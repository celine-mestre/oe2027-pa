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s de Alteração" sheetId="1" state="visible" r:id="rId1"/>
    <sheet xmlns:r="http://schemas.openxmlformats.org/officeDocument/2006/relationships" name="Medidas Anunciadas" sheetId="2" state="visible" r:id="rId2"/>
    <sheet xmlns:r="http://schemas.openxmlformats.org/officeDocument/2006/relationships" name="Ponto de Situação" sheetId="3" state="visible" r:id="rId3"/>
    <sheet xmlns:r="http://schemas.openxmlformats.org/officeDocument/2006/relationships" name="Listas" sheetId="4" state="visible" r:id="rId4"/>
    <sheet xmlns:r="http://schemas.openxmlformats.org/officeDocument/2006/relationships" name="Instruções" sheetId="5" state="visible" r:id="rId5"/>
    <sheet xmlns:r="http://schemas.openxmlformats.org/officeDocument/2006/relationships" name="Registo de Consultas" sheetId="6" state="visible" r:id="rId6"/>
    <sheet xmlns:r="http://schemas.openxmlformats.org/officeDocument/2006/relationships" name="Calendário e Documentos" sheetId="7" state="visible" r:id="rId7"/>
    <sheet xmlns:r="http://schemas.openxmlformats.org/officeDocument/2006/relationships" name="Resposta UPE" sheetId="8" state="visible" r:id="rId8"/>
  </sheets>
  <definedNames>
    <definedName name="_xlnm._FilterDatabase" localSheetId="0" hidden="1">'Propostas de Alteração'!$A$1:$AJ$5001</definedName>
    <definedName name="_xlnm._FilterDatabase" localSheetId="1" hidden="1">'Medidas Anunciadas'!$A$1:$M$5001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3" customWidth="1" min="4" max="4"/>
    <col width="11" customWidth="1" min="5" max="5"/>
    <col width="24" customWidth="1" min="6" max="6"/>
    <col width="18" customWidth="1" min="7" max="7"/>
    <col width="22" customWidth="1" min="8" max="8"/>
    <col width="18" customWidth="1" min="9" max="9"/>
    <col width="22" customWidth="1" min="10" max="10"/>
    <col width="22" customWidth="1" min="11" max="11"/>
    <col width="50" customWidth="1" min="12" max="12"/>
    <col width="14" customWidth="1" min="13" max="13"/>
    <col width="14" customWidth="1" min="14" max="14"/>
    <col width="16" customWidth="1" min="15" max="15"/>
    <col width="12" customWidth="1" min="16" max="16"/>
    <col width="11" customWidth="1" min="17" max="17"/>
    <col width="14" customWidth="1" min="18" max="18"/>
    <col width="22" customWidth="1" min="19" max="19"/>
    <col width="18" customWidth="1" min="20" max="20"/>
    <col width="40" customWidth="1" min="21" max="21"/>
    <col width="12" customWidth="1" min="22" max="22"/>
    <col width="40" customWidth="1" min="23" max="23"/>
    <col width="22" customWidth="1" min="24" max="24"/>
    <col width="11" customWidth="1" min="25" max="25"/>
    <col width="22" customWidth="1" min="26" max="26"/>
    <col width="24" customWidth="1" min="27" max="27"/>
    <col width="10" customWidth="1" min="28" max="28"/>
    <col width="7" customWidth="1" min="29" max="29"/>
    <col width="9" customWidth="1" min="30" max="30"/>
    <col width="9" customWidth="1" min="31" max="31"/>
    <col width="40" customWidth="1" min="32" max="32"/>
    <col width="40" customWidth="1" min="33" max="33"/>
    <col width="17" customWidth="1" min="34" max="34"/>
    <col width="17" customWidth="1" min="35" max="35"/>
    <col width="17" customWidth="1" min="36" max="36"/>
  </cols>
  <sheetData>
    <row r="1" ht="30" customHeight="1">
      <c r="A1" s="1" t="inlineStr">
        <is>
          <t>ID</t>
        </is>
      </c>
      <c r="B1" s="1" t="inlineStr">
        <is>
          <t>N.º PA</t>
        </is>
      </c>
      <c r="C1" s="1" t="inlineStr">
        <is>
          <t>Data Entrada</t>
        </is>
      </c>
      <c r="D1" s="1" t="inlineStr">
        <is>
          <t>Versão</t>
        </is>
      </c>
      <c r="E1" s="1" t="inlineStr">
        <is>
          <t>Partido</t>
        </is>
      </c>
      <c r="F1" s="1" t="inlineStr">
        <is>
          <t>Deputado/Proponente</t>
        </is>
      </c>
      <c r="G1" s="1" t="inlineStr">
        <is>
          <t>Artigo Alterado</t>
        </is>
      </c>
      <c r="H1" s="1" t="inlineStr">
        <is>
          <t>Tipo de PA</t>
        </is>
      </c>
      <c r="I1" s="1" t="inlineStr">
        <is>
          <t>Tema</t>
        </is>
      </c>
      <c r="J1" s="1" t="inlineStr">
        <is>
          <t>Área Governativa</t>
        </is>
      </c>
      <c r="K1" s="1" t="inlineStr">
        <is>
          <t>Ministério</t>
        </is>
      </c>
      <c r="L1" s="1" t="inlineStr">
        <is>
          <t>Descrição Sumária</t>
        </is>
      </c>
      <c r="M1" s="1" t="inlineStr">
        <is>
          <t>Impacto Receita (€)</t>
        </is>
      </c>
      <c r="N1" s="1" t="inlineStr">
        <is>
          <t>Impacto Despesa (€)</t>
        </is>
      </c>
      <c r="O1" s="1" t="inlineStr">
        <is>
          <t>Fonte da Estimativa</t>
        </is>
      </c>
      <c r="P1" s="1" t="inlineStr">
        <is>
          <t>Medida Anunciada (S/N)</t>
        </is>
      </c>
      <c r="Q1" s="1" t="inlineStr">
        <is>
          <t>Relevância</t>
        </is>
      </c>
      <c r="R1" s="1" t="inlineStr">
        <is>
          <t>Necessita Análise Jurídica (S/N)</t>
        </is>
      </c>
      <c r="S1" s="1" t="inlineStr">
        <is>
          <t>Estado</t>
        </is>
      </c>
      <c r="T1" s="1" t="inlineStr">
        <is>
          <t>Resultado Votação</t>
        </is>
      </c>
      <c r="U1" s="1" t="inlineStr">
        <is>
          <t>Sentido de Voto</t>
        </is>
      </c>
      <c r="V1" s="1" t="inlineStr">
        <is>
          <t>Data Votação</t>
        </is>
      </c>
      <c r="W1" s="1" t="inlineStr">
        <is>
          <t>Observações</t>
        </is>
      </c>
      <c r="X1" s="1" t="inlineStr">
        <is>
          <t>Tema AR</t>
        </is>
      </c>
      <c r="Y1" s="1" t="inlineStr">
        <is>
          <t>Incide</t>
        </is>
      </c>
      <c r="Z1" s="1" t="inlineStr">
        <is>
          <t>Tipo (AR)</t>
        </is>
      </c>
      <c r="AA1" s="1" t="inlineStr">
        <is>
          <t>Estado (AR)</t>
        </is>
      </c>
      <c r="AB1" s="1" t="inlineStr">
        <is>
          <t>Avocação a Plenário</t>
        </is>
      </c>
      <c r="AC1" s="1" t="inlineStr">
        <is>
          <t>Parte</t>
        </is>
      </c>
      <c r="AD1" s="1" t="inlineStr">
        <is>
          <t>N.º de votações</t>
        </is>
      </c>
      <c r="AE1" s="1" t="inlineStr">
        <is>
          <t>ID AR</t>
        </is>
      </c>
      <c r="AF1" s="1" t="inlineStr">
        <is>
          <t>Ligação AR</t>
        </is>
      </c>
      <c r="AG1" s="1" t="inlineStr">
        <is>
          <t>PDF</t>
        </is>
      </c>
      <c r="AH1" s="1" t="inlineStr">
        <is>
          <t>Primeira captura</t>
        </is>
      </c>
      <c r="AI1" s="1" t="inlineStr">
        <is>
          <t>Última captura</t>
        </is>
      </c>
      <c r="AJ1" s="1" t="inlineStr">
        <is>
          <t>Ausente da fonte</t>
        </is>
      </c>
    </row>
    <row r="2">
      <c r="A2" s="2" t="n">
        <v>1</v>
      </c>
      <c r="B2" s="2" t="inlineStr">
        <is>
          <t>1C-1</t>
        </is>
      </c>
      <c r="C2" s="3" t="n">
        <v>45959.375</v>
      </c>
      <c r="D2" s="2" t="inlineStr">
        <is>
          <t>Original</t>
        </is>
      </c>
      <c r="E2" s="2" t="inlineStr">
        <is>
          <t>PSD</t>
        </is>
      </c>
      <c r="F2" s="2" t="inlineStr">
        <is>
          <t>Paulo Neves; Pedro Coelho; Vânia Jesus</t>
        </is>
      </c>
      <c r="G2" s="2" t="inlineStr">
        <is>
          <t>Art. 62.º (substituição)</t>
        </is>
      </c>
      <c r="H2" s="2" t="n"/>
      <c r="I2" s="2" t="n"/>
      <c r="J2" s="2" t="n"/>
      <c r="K2" s="2" t="n"/>
      <c r="L2" s="2" t="inlineStr">
        <is>
          <t>N.º1, N.º10, Artigo 36.º-A do EBF</t>
        </is>
      </c>
      <c r="M2" s="4" t="n"/>
      <c r="N2" s="4" t="n"/>
      <c r="O2" s="2" t="n"/>
      <c r="P2" s="2" t="n"/>
      <c r="Q2" s="2" t="n"/>
      <c r="R2" s="2" t="n"/>
      <c r="S2" s="2" t="inlineStr">
        <is>
          <t>Aprovado(a) em Comissão</t>
        </is>
      </c>
      <c r="T2" s="2" t="inlineStr">
        <is>
          <t>Aprovada</t>
        </is>
      </c>
      <c r="U2" s="2" t="inlineStr">
        <is>
          <t>Favor: PSD, CH, PS, IL, CDS-PP; Contra: L, PCP, BE, PAN</t>
        </is>
      </c>
      <c r="V2" s="3" t="n">
        <v>45981</v>
      </c>
      <c r="W2" s="2" t="inlineStr">
        <is>
          <t>AR: https://www.parlamento.pt/OrcamentoEstado/Paginas/DetalhePropostaAlteracao.aspx?BID=23194 PDF: https://app.parlamento.pt/webutils/docs/doc.pdf?path=6148523063484d364c793942556b356c6443397a6158526c63793959566b6c4a544556484c3039464c7a49774d6a59794d4449314d5441774f5339515153396b5a6a45794e6a41315a5330324e6d5a6d4c5451335a445174596a677a4e69316a4e4751794e546b304e6d4a6b5a4445756347526d&amp;Fich=df12605e-66ff-47d4-b836-c4d25946bdd1.pdf&amp;Inline=true</t>
        </is>
      </c>
      <c r="X2" s="2" t="inlineStr">
        <is>
          <t>Orçamento, Finanças e Administração Pública</t>
        </is>
      </c>
      <c r="Y2" s="2" t="inlineStr">
        <is>
          <t>Articulado</t>
        </is>
      </c>
      <c r="Z2" s="2" t="inlineStr">
        <is>
          <t>Substituição</t>
        </is>
      </c>
      <c r="AA2" s="2" t="inlineStr">
        <is>
          <t>Aprovado(a) em Comissão</t>
        </is>
      </c>
      <c r="AB2" s="2" t="inlineStr"/>
      <c r="AC2" s="2" t="inlineStr">
        <is>
          <t>1</t>
        </is>
      </c>
      <c r="AD2" s="2" t="inlineStr">
        <is>
          <t>1</t>
        </is>
      </c>
      <c r="AE2" s="2" t="inlineStr">
        <is>
          <t>23194</t>
        </is>
      </c>
      <c r="AF2" s="2" t="inlineStr">
        <is>
          <t>https://www.parlamento.pt/OrcamentoEstado/Paginas/DetalhePropostaAlteracao.aspx?BID=23194</t>
        </is>
      </c>
      <c r="AG2" s="2" t="inlineStr">
        <is>
          <t>https://app.parlamento.pt/webutils/docs/doc.pdf?path=6148523063484d364c793942556b356c6443397a6158526c63793959566b6c4a544556484c3039464c7a49774d6a59794d4449314d5441774f5339515153396b5a6a45794e6a41315a5330324e6d5a6d4c5451335a445174596a677a4e69316a4e4751794e546b304e6d4a6b5a4445756347526d&amp;Fich=df12605e-66ff-47d4-b836-c4d25946bdd1.pdf&amp;Inline=true</t>
        </is>
      </c>
      <c r="AH2" s="3" t="n">
        <v>46321.77847222222</v>
      </c>
      <c r="AI2" s="3" t="n">
        <v>46321.78055555555</v>
      </c>
      <c r="AJ2" s="2" t="inlineStr"/>
    </row>
    <row r="3">
      <c r="A3" s="2" t="n">
        <v>2</v>
      </c>
      <c r="B3" s="2" t="inlineStr">
        <is>
          <t>1C-2</t>
        </is>
      </c>
      <c r="C3" s="3" t="n">
        <v>45959.375</v>
      </c>
      <c r="D3" s="2" t="inlineStr">
        <is>
          <t>Original</t>
        </is>
      </c>
      <c r="E3" s="2" t="inlineStr">
        <is>
          <t>PSD</t>
        </is>
      </c>
      <c r="F3" s="2" t="inlineStr">
        <is>
          <t>Paulo Neves; Pedro Coelho; Vânia Jesus</t>
        </is>
      </c>
      <c r="G3" s="2" t="inlineStr">
        <is>
          <t>Art. 62.º-A (aditamento)</t>
        </is>
      </c>
      <c r="H3" s="2" t="n"/>
      <c r="I3" s="2" t="n"/>
      <c r="J3" s="2" t="n"/>
      <c r="K3" s="2" t="n"/>
      <c r="L3" s="2" t="inlineStr">
        <is>
          <t>Artigo 62.º-A (Alteração à Lei n.º 21/2021, de 20 de abril)</t>
        </is>
      </c>
      <c r="M3" s="4" t="n"/>
      <c r="N3" s="4" t="n"/>
      <c r="O3" s="2" t="n"/>
      <c r="P3" s="2" t="n"/>
      <c r="Q3" s="2" t="n"/>
      <c r="R3" s="2" t="n"/>
      <c r="S3" s="2" t="inlineStr">
        <is>
          <t>Aprovado(a) em Comissão</t>
        </is>
      </c>
      <c r="T3" s="2" t="inlineStr">
        <is>
          <t>Aprovada</t>
        </is>
      </c>
      <c r="U3" s="2" t="inlineStr">
        <is>
          <t>Favor: PSD, CH, PS, IL, CDS-PP; Contra: L, PCP, BE, PAN</t>
        </is>
      </c>
      <c r="V3" s="3" t="n">
        <v>45981</v>
      </c>
      <c r="W3" s="2" t="inlineStr">
        <is>
          <t>AR: https://www.parlamento.pt/OrcamentoEstado/Paginas/DetalhePropostaAlteracao.aspx?BID=23490 PDF: https://app.parlamento.pt/webutils/docs/doc.pdf?path=6148523063484d364c793942556b356c6443397a6158526c63793959566b6c4a544556484c3039464c7a49774d6a59794d4449314d5441774f533951515338355954466a4f5452694f43316d5a575a6a4c54517a595751745954526d4f433079595463345a6d46695a5759784e3249756347526d&amp;Fich=9a1c94b8-fefc-43ad-a4f8-2a78fabef17b.pdf&amp;Inline=true</t>
        </is>
      </c>
      <c r="X3" s="2" t="inlineStr">
        <is>
          <t>Orçamento, Finanças e Administração Pública</t>
        </is>
      </c>
      <c r="Y3" s="2" t="inlineStr">
        <is>
          <t>Articulado</t>
        </is>
      </c>
      <c r="Z3" s="2" t="inlineStr">
        <is>
          <t>Aditamento (Artigo PPL)</t>
        </is>
      </c>
      <c r="AA3" s="2" t="inlineStr">
        <is>
          <t>Aprovado(a) em Comissão</t>
        </is>
      </c>
      <c r="AB3" s="2" t="inlineStr"/>
      <c r="AC3" s="2" t="inlineStr">
        <is>
          <t>2</t>
        </is>
      </c>
      <c r="AD3" s="2" t="inlineStr">
        <is>
          <t>1</t>
        </is>
      </c>
      <c r="AE3" s="2" t="inlineStr">
        <is>
          <t>23490</t>
        </is>
      </c>
      <c r="AF3" s="2" t="inlineStr">
        <is>
          <t>https://www.parlamento.pt/OrcamentoEstado/Paginas/DetalhePropostaAlteracao.aspx?BID=23490</t>
        </is>
      </c>
      <c r="AG3" s="2" t="inlineStr">
        <is>
          <t>https://app.parlamento.pt/webutils/docs/doc.pdf?path=6148523063484d364c793942556b356c6443397a6158526c63793959566b6c4a544556484c3039464c7a49774d6a59794d4449314d5441774f533951515338355954466a4f5452694f43316d5a575a6a4c54517a595751745954526d4f433079595463345a6d46695a5759784e3249756347526d&amp;Fich=9a1c94b8-fefc-43ad-a4f8-2a78fabef17b.pdf&amp;Inline=true</t>
        </is>
      </c>
      <c r="AH3" s="3" t="n">
        <v>46321.77847222222</v>
      </c>
      <c r="AI3" s="3" t="n">
        <v>46321.78055555555</v>
      </c>
      <c r="AJ3" s="2" t="inlineStr"/>
    </row>
    <row r="4">
      <c r="A4" s="2" t="n">
        <v>3</v>
      </c>
      <c r="B4" s="2" t="inlineStr">
        <is>
          <t>2C</t>
        </is>
      </c>
      <c r="C4" s="3" t="n">
        <v>45959.37708333333</v>
      </c>
      <c r="D4" s="2" t="inlineStr">
        <is>
          <t>Original</t>
        </is>
      </c>
      <c r="E4" s="2" t="inlineStr">
        <is>
          <t>IL</t>
        </is>
      </c>
      <c r="F4" s="2" t="inlineStr">
        <is>
          <t>Angélique Da Teresa; Carlos Guimarães Pinto; Joana Cordeiro; Jorge Miguel Teixeira; Mariana Leitão; Mário Amorim Lopes; Miguel Rangel; Rodrigo Saraiva; Rui Rocha</t>
        </is>
      </c>
      <c r="G4" s="2" t="inlineStr">
        <is>
          <t>Art. 63.º (substituição)</t>
        </is>
      </c>
      <c r="H4" s="2" t="n"/>
      <c r="I4" s="2" t="n"/>
      <c r="J4" s="2" t="n"/>
      <c r="K4" s="2" t="n"/>
      <c r="L4" s="2" t="inlineStr">
        <is>
          <t>Verba 2.37, Verba 2.40, Verba 2.41, Lista I anexa ao Código do IVA, constante do Artigo 63.º da PPL</t>
        </is>
      </c>
      <c r="M4" s="4" t="n"/>
      <c r="N4" s="4" t="n"/>
      <c r="O4" s="2" t="n"/>
      <c r="P4" s="2" t="n"/>
      <c r="Q4" s="2" t="n"/>
      <c r="R4" s="2" t="n"/>
      <c r="S4" s="2" t="inlineStr">
        <is>
          <t>Rejeitado(a) em Comissão</t>
        </is>
      </c>
      <c r="T4" s="2" t="inlineStr">
        <is>
          <t>Rejeitada</t>
        </is>
      </c>
      <c r="U4" s="2" t="inlineStr">
        <is>
          <t>Favor: CH, IL, BE, PAN; Contra: PSD, L, CDS-PP; Abstenção: PS, PCP</t>
        </is>
      </c>
      <c r="V4" s="3" t="n">
        <v>45982</v>
      </c>
      <c r="W4" s="2" t="inlineStr">
        <is>
          <t>AR: https://www.parlamento.pt/OrcamentoEstado/Paginas/DetalhePropostaAlteracao.aspx?BID=23195 PDF: https://app.parlamento.pt/webutils/docs/doc.pdf?path=6148523063484d364c793942556b356c6443397a6158526c63793959566b6c4a544556484c3039464c7a49774d6a59794d4449314d5441774f533951515338344e6d45334d3259304f5330354d7a63324c5451344d6d5974596a49344e6930785a5459314d7a6335595467324f4449756347526d&amp;Fich=86a73f49-9376-482f-b286-1e65379a8682.pdf&amp;Inline=true</t>
        </is>
      </c>
      <c r="X4" s="2" t="inlineStr">
        <is>
          <t>Ambiente e Energia; Orçamento, Finanças e Administração Pública</t>
        </is>
      </c>
      <c r="Y4" s="2" t="inlineStr">
        <is>
          <t>Articulado</t>
        </is>
      </c>
      <c r="Z4" s="2" t="inlineStr">
        <is>
          <t>Substituição</t>
        </is>
      </c>
      <c r="AA4" s="2" t="inlineStr">
        <is>
          <t>Rejeitado(a) em Comissão</t>
        </is>
      </c>
      <c r="AB4" s="2" t="inlineStr"/>
      <c r="AC4" s="2" t="inlineStr"/>
      <c r="AD4" s="2" t="inlineStr">
        <is>
          <t>2</t>
        </is>
      </c>
      <c r="AE4" s="2" t="inlineStr">
        <is>
          <t>23195</t>
        </is>
      </c>
      <c r="AF4" s="2" t="inlineStr">
        <is>
          <t>https://www.parlamento.pt/OrcamentoEstado/Paginas/DetalhePropostaAlteracao.aspx?BID=23195</t>
        </is>
      </c>
      <c r="AG4" s="2" t="inlineStr">
        <is>
          <t>https://app.parlamento.pt/webutils/docs/doc.pdf?path=6148523063484d364c793942556b356c6443397a6158526c63793959566b6c4a544556484c3039464c7a49774d6a59794d4449314d5441774f533951515338344e6d45334d3259304f5330354d7a63324c5451344d6d5974596a49344e6930785a5459314d7a6335595467324f4449756347526d&amp;Fich=86a73f49-9376-482f-b286-1e65379a8682.pdf&amp;Inline=true</t>
        </is>
      </c>
      <c r="AH4" s="3" t="n">
        <v>46321.77847222222</v>
      </c>
      <c r="AI4" s="3" t="n">
        <v>46321.78055555555</v>
      </c>
      <c r="AJ4" s="2" t="inlineStr"/>
    </row>
    <row r="5">
      <c r="A5" s="2" t="n">
        <v>4</v>
      </c>
      <c r="B5" s="2" t="inlineStr">
        <is>
          <t>3C</t>
        </is>
      </c>
      <c r="C5" s="3" t="n">
        <v>45959.37708333333</v>
      </c>
      <c r="D5" s="2" t="inlineStr">
        <is>
          <t>Original</t>
        </is>
      </c>
      <c r="E5" s="2" t="inlineStr">
        <is>
          <t>PAN</t>
        </is>
      </c>
      <c r="F5" s="2" t="inlineStr">
        <is>
          <t>Inês de Sousa Real</t>
        </is>
      </c>
      <c r="G5" s="2" t="inlineStr">
        <is>
          <t>Art. 137.º (aditamento)</t>
        </is>
      </c>
      <c r="H5" s="2" t="n"/>
      <c r="I5" s="2" t="n"/>
      <c r="J5" s="2" t="n"/>
      <c r="K5" s="2" t="n"/>
      <c r="L5" s="2" t="inlineStr">
        <is>
          <t>N.º 4, Artigo 137.º</t>
        </is>
      </c>
      <c r="M5" s="4" t="n"/>
      <c r="N5" s="4" t="n"/>
      <c r="O5" s="2" t="n"/>
      <c r="P5" s="2" t="n"/>
      <c r="Q5" s="2" t="n"/>
      <c r="R5" s="2" t="n"/>
      <c r="S5" s="2" t="inlineStr">
        <is>
          <t>Aprovado(a) em Comissão</t>
        </is>
      </c>
      <c r="T5" s="2" t="inlineStr">
        <is>
          <t>Aprovada</t>
        </is>
      </c>
      <c r="U5" s="2" t="inlineStr">
        <is>
          <t>Favor: PSD, CH, PS, IL, L, PCP, BE, PAN; Contra: CDS-PP</t>
        </is>
      </c>
      <c r="V5" s="3" t="n">
        <v>45987</v>
      </c>
      <c r="W5" s="2" t="inlineStr">
        <is>
          <t>AR: https://www.parlamento.pt/OrcamentoEstado/Paginas/DetalhePropostaAlteracao.aspx?BID=23196 PDF: https://app.parlamento.pt/webutils/docs/doc.pdf?path=6148523063484d364c793942556b356c6443397a6158526c63793959566b6c4a544556484c3039464c7a49774d6a59794d4449314d5441774f533951515338794e4751774d7a557a4f5330794d446c6a4c54517a4e325174596d5535596931695a546b7a4d7a4932596d59325a6d4d756347526d&amp;Fich=24d03539-209c-437d-be9b-be93326bf6fc.pdf&amp;Inline=true</t>
        </is>
      </c>
      <c r="X5" s="2" t="inlineStr">
        <is>
          <t>Agricultura e Pescas</t>
        </is>
      </c>
      <c r="Y5" s="2" t="inlineStr">
        <is>
          <t>Articulado</t>
        </is>
      </c>
      <c r="Z5" s="2" t="inlineStr">
        <is>
          <t>Aditamento (Números e Alíneas)</t>
        </is>
      </c>
      <c r="AA5" s="2" t="inlineStr">
        <is>
          <t>Aprovado(a) em Comissão</t>
        </is>
      </c>
      <c r="AB5" s="2" t="inlineStr"/>
      <c r="AC5" s="2" t="inlineStr"/>
      <c r="AD5" s="2" t="inlineStr">
        <is>
          <t>1</t>
        </is>
      </c>
      <c r="AE5" s="2" t="inlineStr">
        <is>
          <t>23196</t>
        </is>
      </c>
      <c r="AF5" s="2" t="inlineStr">
        <is>
          <t>https://www.parlamento.pt/OrcamentoEstado/Paginas/DetalhePropostaAlteracao.aspx?BID=23196</t>
        </is>
      </c>
      <c r="AG5" s="2" t="inlineStr">
        <is>
          <t>https://app.parlamento.pt/webutils/docs/doc.pdf?path=6148523063484d364c793942556b356c6443397a6158526c63793959566b6c4a544556484c3039464c7a49774d6a59794d4449314d5441774f533951515338794e4751774d7a557a4f5330794d446c6a4c54517a4e325174596d5535596931695a546b7a4d7a4932596d59325a6d4d756347526d&amp;Fich=24d03539-209c-437d-be9b-be93326bf6fc.pdf&amp;Inline=true</t>
        </is>
      </c>
      <c r="AH5" s="3" t="n">
        <v>46321.77847222222</v>
      </c>
      <c r="AI5" s="3" t="n">
        <v>46321.78055555555</v>
      </c>
      <c r="AJ5" s="2" t="inlineStr"/>
    </row>
    <row r="6">
      <c r="A6" s="2" t="n">
        <v>5</v>
      </c>
      <c r="B6" s="2" t="inlineStr">
        <is>
          <t>4C</t>
        </is>
      </c>
      <c r="C6" s="3" t="n">
        <v>45959.37847222222</v>
      </c>
      <c r="D6" s="2" t="inlineStr">
        <is>
          <t>Original</t>
        </is>
      </c>
      <c r="E6" s="2" t="inlineStr">
        <is>
          <t>PAN</t>
        </is>
      </c>
      <c r="F6" s="2" t="inlineStr">
        <is>
          <t>Inês de Sousa Real</t>
        </is>
      </c>
      <c r="G6" s="2" t="inlineStr">
        <is>
          <t>Art. 63.º-A (aditamento)</t>
        </is>
      </c>
      <c r="H6" s="2" t="n"/>
      <c r="I6" s="2" t="n"/>
      <c r="J6" s="2" t="n"/>
      <c r="K6" s="2" t="n"/>
      <c r="L6" s="2" t="inlineStr">
        <is>
          <t>Artigo 63.º-A (Aditamento à lista I anexa ao Código do Imposto sobre o Valor Acrescentado)</t>
        </is>
      </c>
      <c r="M6" s="4" t="n"/>
      <c r="N6" s="4" t="n"/>
      <c r="O6" s="2" t="n"/>
      <c r="P6" s="2" t="n"/>
      <c r="Q6" s="2" t="n"/>
      <c r="R6" s="2" t="n"/>
      <c r="S6" s="2" t="inlineStr">
        <is>
          <t>Rejeitado(a) em Comissão</t>
        </is>
      </c>
      <c r="T6" s="2" t="inlineStr">
        <is>
          <t>Rejeitada</t>
        </is>
      </c>
      <c r="U6" s="2" t="inlineStr">
        <is>
          <t>Favor: CH, IL, L, BE, PAN; Contra: PSD, PCP, CDS-PP; Abstenção: PS</t>
        </is>
      </c>
      <c r="V6" s="3" t="n">
        <v>45982</v>
      </c>
      <c r="W6" s="2" t="inlineStr">
        <is>
          <t>AR: https://www.parlamento.pt/OrcamentoEstado/Paginas/DetalhePropostaAlteracao.aspx?BID=23197 PDF: https://app.parlamento.pt/webutils/docs/doc.pdf?path=6148523063484d364c793942556b356c6443397a6158526c63793959566b6c4a544556484c3039464c7a49774d6a59794d4449314d5441774f5339515153396c4f574d334e5755794d7930334f544a694c54526d596a6374596a4a684e6930304d5442684e6a5577593252695a4459756347526d&amp;Fich=e9c75e23-792b-4fb7-b2a6-410a650cdbd6.pdf&amp;Inline=true</t>
        </is>
      </c>
      <c r="X6" s="2" t="inlineStr">
        <is>
          <t>Agricultura e Pescas</t>
        </is>
      </c>
      <c r="Y6" s="2" t="inlineStr">
        <is>
          <t>Articulado</t>
        </is>
      </c>
      <c r="Z6" s="2" t="inlineStr">
        <is>
          <t>Aditamento (Artigo PPL)</t>
        </is>
      </c>
      <c r="AA6" s="2" t="inlineStr">
        <is>
          <t>Rejeitado(a) em Comissão</t>
        </is>
      </c>
      <c r="AB6" s="2" t="inlineStr"/>
      <c r="AC6" s="2" t="inlineStr"/>
      <c r="AD6" s="2" t="inlineStr">
        <is>
          <t>1</t>
        </is>
      </c>
      <c r="AE6" s="2" t="inlineStr">
        <is>
          <t>23197</t>
        </is>
      </c>
      <c r="AF6" s="2" t="inlineStr">
        <is>
          <t>https://www.parlamento.pt/OrcamentoEstado/Paginas/DetalhePropostaAlteracao.aspx?BID=23197</t>
        </is>
      </c>
      <c r="AG6" s="2" t="inlineStr">
        <is>
          <t>https://app.parlamento.pt/webutils/docs/doc.pdf?path=6148523063484d364c793942556b356c6443397a6158526c63793959566b6c4a544556484c3039464c7a49774d6a59794d4449314d5441774f5339515153396c4f574d334e5755794d7930334f544a694c54526d596a6374596a4a684e6930304d5442684e6a5577593252695a4459756347526d&amp;Fich=e9c75e23-792b-4fb7-b2a6-410a650cdbd6.pdf&amp;Inline=true</t>
        </is>
      </c>
      <c r="AH6" s="3" t="n">
        <v>46321.77847222222</v>
      </c>
      <c r="AI6" s="3" t="n">
        <v>46321.78055555555</v>
      </c>
      <c r="AJ6" s="2" t="inlineStr"/>
    </row>
    <row r="7">
      <c r="A7" s="2" t="n">
        <v>6</v>
      </c>
      <c r="B7" s="2" t="inlineStr">
        <is>
          <t>5C</t>
        </is>
      </c>
      <c r="C7" s="3" t="n">
        <v>45959.37986111111</v>
      </c>
      <c r="D7" s="2" t="inlineStr">
        <is>
          <t>Original</t>
        </is>
      </c>
      <c r="E7" s="2" t="inlineStr">
        <is>
          <t>PAN</t>
        </is>
      </c>
      <c r="F7" s="2" t="inlineStr">
        <is>
          <t>Inês de Sousa Real</t>
        </is>
      </c>
      <c r="G7" s="2" t="inlineStr">
        <is>
          <t>Art. 63.º-A (aditamento)</t>
        </is>
      </c>
      <c r="H7" s="2" t="n"/>
      <c r="I7" s="2" t="n"/>
      <c r="J7" s="2" t="n"/>
      <c r="K7" s="2" t="n"/>
      <c r="L7" s="2" t="inlineStr">
        <is>
          <t>Artigo 63.º-A (Aditamento à lista I anexa ao Código do Imposto sobre o Valor Acrescentado)</t>
        </is>
      </c>
      <c r="M7" s="4" t="n"/>
      <c r="N7" s="4" t="n"/>
      <c r="O7" s="2" t="n"/>
      <c r="P7" s="2" t="n"/>
      <c r="Q7" s="2" t="n"/>
      <c r="R7" s="2" t="n"/>
      <c r="S7" s="2" t="inlineStr">
        <is>
          <t>Rejeitado(a) em Plenário</t>
        </is>
      </c>
      <c r="T7" s="2" t="inlineStr">
        <is>
          <t>Rejeitada</t>
        </is>
      </c>
      <c r="U7" s="2" t="inlineStr">
        <is>
          <t>Favor: CH, L, BE, PAN, JPP; Contra: PSD, CDS-PP; Abstenção: PS, IL, PCP</t>
        </is>
      </c>
      <c r="V7" s="3" t="n">
        <v>45985</v>
      </c>
      <c r="W7" s="2" t="inlineStr">
        <is>
          <t>Avocada a Plenário. AR: https://www.parlamento.pt/OrcamentoEstado/Paginas/DetalhePropostaAlteracao.aspx?BID=23198 PDF: https://app.parlamento.pt/webutils/docs/doc.pdf?path=6148523063484d364c793942556b356c6443397a6158526c63793959566b6c4a544556484c3039464c7a49774d6a59794d4449314d5441774f53395151533878595755795a5749305a533032595759794c5452684e445974595449324e43316d4d6d59324e6d49785957497a596d59756347526d&amp;Fich=1ae2eb4e-6af2-4a46-a264-f2f66b1ab3bf.pdf&amp;Inline=true</t>
        </is>
      </c>
      <c r="X7" s="2" t="inlineStr">
        <is>
          <t>Agricultura e Pescas</t>
        </is>
      </c>
      <c r="Y7" s="2" t="inlineStr">
        <is>
          <t>Articulado</t>
        </is>
      </c>
      <c r="Z7" s="2" t="inlineStr">
        <is>
          <t>Aditamento (Artigo PPL)</t>
        </is>
      </c>
      <c r="AA7" s="2" t="inlineStr">
        <is>
          <t>Rejeitado(a) em Plenário</t>
        </is>
      </c>
      <c r="AB7" s="2" t="inlineStr">
        <is>
          <t>S</t>
        </is>
      </c>
      <c r="AC7" s="2" t="inlineStr"/>
      <c r="AD7" s="2" t="inlineStr">
        <is>
          <t>2</t>
        </is>
      </c>
      <c r="AE7" s="2" t="inlineStr">
        <is>
          <t>23198</t>
        </is>
      </c>
      <c r="AF7" s="2" t="inlineStr">
        <is>
          <t>https://www.parlamento.pt/OrcamentoEstado/Paginas/DetalhePropostaAlteracao.aspx?BID=23198</t>
        </is>
      </c>
      <c r="AG7" s="2" t="inlineStr">
        <is>
          <t>https://app.parlamento.pt/webutils/docs/doc.pdf?path=6148523063484d364c793942556b356c6443397a6158526c63793959566b6c4a544556484c3039464c7a49774d6a59794d4449314d5441774f53395151533878595755795a5749305a533032595759794c5452684e445974595449324e43316d4d6d59324e6d49785957497a596d59756347526d&amp;Fich=1ae2eb4e-6af2-4a46-a264-f2f66b1ab3bf.pdf&amp;Inline=true</t>
        </is>
      </c>
      <c r="AH7" s="3" t="n">
        <v>46321.77847222222</v>
      </c>
      <c r="AI7" s="3" t="n">
        <v>46321.78055555555</v>
      </c>
      <c r="AJ7" s="2" t="inlineStr"/>
    </row>
    <row r="8">
      <c r="A8" s="2" t="n">
        <v>7</v>
      </c>
      <c r="B8" s="2" t="inlineStr">
        <is>
          <t>6C</t>
        </is>
      </c>
      <c r="C8" s="3" t="n">
        <v>45959.38263888889</v>
      </c>
      <c r="D8" s="2" t="inlineStr">
        <is>
          <t>Original</t>
        </is>
      </c>
      <c r="E8" s="2" t="inlineStr">
        <is>
          <t>PAN</t>
        </is>
      </c>
      <c r="F8" s="2" t="inlineStr">
        <is>
          <t>Inês de Sousa Real</t>
        </is>
      </c>
      <c r="G8" s="2" t="inlineStr">
        <is>
          <t>Art. 130.º (substituição)</t>
        </is>
      </c>
      <c r="H8" s="2" t="n"/>
      <c r="I8" s="2" t="n"/>
      <c r="J8" s="2" t="n"/>
      <c r="K8" s="2" t="n"/>
      <c r="L8" s="2" t="inlineStr">
        <is>
          <t>N.º 2, Artigo 130.º</t>
        </is>
      </c>
      <c r="M8" s="4" t="n"/>
      <c r="N8" s="4" t="n"/>
      <c r="O8" s="2" t="n"/>
      <c r="P8" s="2" t="n"/>
      <c r="Q8" s="2" t="n"/>
      <c r="R8" s="2" t="n"/>
      <c r="S8" s="2" t="inlineStr">
        <is>
          <t>Rejeitado(a) em Comissão</t>
        </is>
      </c>
      <c r="T8" s="2" t="inlineStr">
        <is>
          <t>Rejeitada</t>
        </is>
      </c>
      <c r="U8" s="2" t="inlineStr">
        <is>
          <t>Favor: L, PCP, BE, PAN; Contra: PSD, CH, CDS-PP; Abstenção: PS, IL</t>
        </is>
      </c>
      <c r="V8" s="3" t="n">
        <v>45984</v>
      </c>
      <c r="W8" s="2" t="inlineStr">
        <is>
          <t>AR: https://www.parlamento.pt/OrcamentoEstado/Paginas/DetalhePropostaAlteracao.aspx?BID=23199 PDF: https://app.parlamento.pt/webutils/docs/doc.pdf?path=6148523063484d364c793942556b356c6443397a6158526c63793959566b6c4a544556484c3039464c7a49774d6a59794d4449314d5441774f533951515338354e7a4d314d6a4d304d6930344e6d45314c54526c5a4451744f5745325a43316b5a444a6a4e446b344e5749304e6a49756347526d&amp;Fich=97352342-86a5-4ed4-9a6d-dd2c4985b462.pdf&amp;Inline=true</t>
        </is>
      </c>
      <c r="X8" s="2" t="inlineStr">
        <is>
          <t>Ambiente e Energia; Assuntos Constitucionais, Direitos, Liberdades e Garantias; Orçamento, Finanças e Administração Pública</t>
        </is>
      </c>
      <c r="Y8" s="2" t="inlineStr">
        <is>
          <t>Articulado</t>
        </is>
      </c>
      <c r="Z8" s="2" t="inlineStr">
        <is>
          <t>Substituição</t>
        </is>
      </c>
      <c r="AA8" s="2" t="inlineStr">
        <is>
          <t>Rejeitado(a) em Comissão</t>
        </is>
      </c>
      <c r="AB8" s="2" t="inlineStr"/>
      <c r="AC8" s="2" t="inlineStr"/>
      <c r="AD8" s="2" t="inlineStr">
        <is>
          <t>1</t>
        </is>
      </c>
      <c r="AE8" s="2" t="inlineStr">
        <is>
          <t>23199</t>
        </is>
      </c>
      <c r="AF8" s="2" t="inlineStr">
        <is>
          <t>https://www.parlamento.pt/OrcamentoEstado/Paginas/DetalhePropostaAlteracao.aspx?BID=23199</t>
        </is>
      </c>
      <c r="AG8" s="2" t="inlineStr">
        <is>
          <t>https://app.parlamento.pt/webutils/docs/doc.pdf?path=6148523063484d364c793942556b356c6443397a6158526c63793959566b6c4a544556484c3039464c7a49774d6a59794d4449314d5441774f533951515338354e7a4d314d6a4d304d6930344e6d45314c54526c5a4451744f5745325a43316b5a444a6a4e446b344e5749304e6a49756347526d&amp;Fich=97352342-86a5-4ed4-9a6d-dd2c4985b462.pdf&amp;Inline=true</t>
        </is>
      </c>
      <c r="AH8" s="3" t="n">
        <v>46321.77847222222</v>
      </c>
      <c r="AI8" s="3" t="n">
        <v>46321.78055555555</v>
      </c>
      <c r="AJ8" s="2" t="inlineStr"/>
    </row>
    <row r="9">
      <c r="A9" s="2" t="n">
        <v>8</v>
      </c>
      <c r="B9" s="2" t="inlineStr">
        <is>
          <t>7C</t>
        </is>
      </c>
      <c r="C9" s="3" t="n">
        <v>45959.38472222222</v>
      </c>
      <c r="D9" s="2" t="inlineStr">
        <is>
          <t>Original</t>
        </is>
      </c>
      <c r="E9" s="2" t="inlineStr">
        <is>
          <t>PAN</t>
        </is>
      </c>
      <c r="F9" s="2" t="inlineStr">
        <is>
          <t>Inês de Sousa Real</t>
        </is>
      </c>
      <c r="G9" s="2" t="inlineStr">
        <is>
          <t>Art. 95.º (substituição)</t>
        </is>
      </c>
      <c r="H9" s="2" t="n"/>
      <c r="I9" s="2" t="n"/>
      <c r="J9" s="2" t="n"/>
      <c r="K9" s="2" t="n"/>
      <c r="L9" s="2" t="inlineStr">
        <is>
          <t>N.º 4, Artigo 95.º</t>
        </is>
      </c>
      <c r="M9" s="4" t="n"/>
      <c r="N9" s="4" t="n"/>
      <c r="O9" s="2" t="n"/>
      <c r="P9" s="2" t="n"/>
      <c r="Q9" s="2" t="n"/>
      <c r="R9" s="2" t="n"/>
      <c r="S9" s="2" t="inlineStr">
        <is>
          <t>Rejeitado(a) em Plenário</t>
        </is>
      </c>
      <c r="T9" s="2" t="inlineStr">
        <is>
          <t>Rejeitada</t>
        </is>
      </c>
      <c r="U9" s="2" t="inlineStr">
        <is>
          <t>Favor: IL, L, PCP, BE, PAN, JPP; Contra: PSD, CDS-PP; Abstenção: CH, PS</t>
        </is>
      </c>
      <c r="V9" s="3" t="n">
        <v>45985</v>
      </c>
      <c r="W9" s="2" t="inlineStr">
        <is>
          <t>Avocada a Plenário. AR: https://www.parlamento.pt/OrcamentoEstado/Paginas/DetalhePropostaAlteracao.aspx?BID=23200 PDF: https://app.parlamento.pt/webutils/docs/doc.pdf?path=6148523063484d364c793942556b356c6443397a6158526c63793959566b6c4a544556484c3039464c7a49774d6a59794d4449314d5441774f5339515153396d4d546c6b4e444e6d4e4330344e5755314c5452694d4467745954646b4e4330324d6d466c5a5463794f474a6d4e6d51756347526d&amp;Fich=f19d43f4-85e5-4b08-a7d4-62aee728bf6d.pdf&amp;Inline=true</t>
        </is>
      </c>
      <c r="X9" s="2" t="inlineStr">
        <is>
          <t>Ambiente e Energia; Orçamento, Finanças e Administração Pública; Reforma do Estado e Poder Local</t>
        </is>
      </c>
      <c r="Y9" s="2" t="inlineStr">
        <is>
          <t>Articulado</t>
        </is>
      </c>
      <c r="Z9" s="2" t="inlineStr">
        <is>
          <t>Substituição</t>
        </is>
      </c>
      <c r="AA9" s="2" t="inlineStr">
        <is>
          <t>Rejeitado(a) em Plenário</t>
        </is>
      </c>
      <c r="AB9" s="2" t="inlineStr">
        <is>
          <t>S</t>
        </is>
      </c>
      <c r="AC9" s="2" t="inlineStr"/>
      <c r="AD9" s="2" t="inlineStr">
        <is>
          <t>1</t>
        </is>
      </c>
      <c r="AE9" s="2" t="inlineStr">
        <is>
          <t>23200</t>
        </is>
      </c>
      <c r="AF9" s="2" t="inlineStr">
        <is>
          <t>https://www.parlamento.pt/OrcamentoEstado/Paginas/DetalhePropostaAlteracao.aspx?BID=23200</t>
        </is>
      </c>
      <c r="AG9" s="2" t="inlineStr">
        <is>
          <t>https://app.parlamento.pt/webutils/docs/doc.pdf?path=6148523063484d364c793942556b356c6443397a6158526c63793959566b6c4a544556484c3039464c7a49774d6a59794d4449314d5441774f5339515153396d4d546c6b4e444e6d4e4330344e5755314c5452694d4467745954646b4e4330324d6d466c5a5463794f474a6d4e6d51756347526d&amp;Fich=f19d43f4-85e5-4b08-a7d4-62aee728bf6d.pdf&amp;Inline=true</t>
        </is>
      </c>
      <c r="AH9" s="3" t="n">
        <v>46321.77847222222</v>
      </c>
      <c r="AI9" s="3" t="n">
        <v>46321.78055555555</v>
      </c>
      <c r="AJ9" s="2" t="inlineStr"/>
    </row>
    <row r="10">
      <c r="A10" s="2" t="n">
        <v>9</v>
      </c>
      <c r="B10" s="2" t="inlineStr">
        <is>
          <t>8C-1</t>
        </is>
      </c>
      <c r="C10" s="3" t="n">
        <v>45959.38611111111</v>
      </c>
      <c r="D10" s="2" t="inlineStr">
        <is>
          <t>Original</t>
        </is>
      </c>
      <c r="E10" s="2" t="inlineStr">
        <is>
          <t>PAN</t>
        </is>
      </c>
      <c r="F10" s="2" t="inlineStr">
        <is>
          <t>Inês de Sousa Real</t>
        </is>
      </c>
      <c r="G10" s="2" t="inlineStr">
        <is>
          <t>Art. 101.º (substituição)</t>
        </is>
      </c>
      <c r="H10" s="2" t="n"/>
      <c r="I10" s="2" t="n"/>
      <c r="J10" s="2" t="n"/>
      <c r="K10" s="2" t="n"/>
      <c r="L10" s="2" t="inlineStr">
        <is>
          <t>N.º 1, Artigo 101.º</t>
        </is>
      </c>
      <c r="M10" s="4" t="n"/>
      <c r="N10" s="4" t="n"/>
      <c r="O10" s="2" t="n"/>
      <c r="P10" s="2" t="n"/>
      <c r="Q10" s="2" t="n"/>
      <c r="R10" s="2" t="n"/>
      <c r="S10" s="2" t="inlineStr">
        <is>
          <t>Rejeitado(a) em Plenário</t>
        </is>
      </c>
      <c r="T10" s="2" t="inlineStr">
        <is>
          <t>Rejeitada</t>
        </is>
      </c>
      <c r="U10" s="2" t="inlineStr">
        <is>
          <t>Favor: L, PAN, JPP; Contra: PSD, IL, PCP, CDS-PP; Abstenção: CH, PS, BE</t>
        </is>
      </c>
      <c r="V10" s="3" t="n">
        <v>45985</v>
      </c>
      <c r="W10" s="2" t="inlineStr">
        <is>
          <t>Avocada a Plenário. AR: https://www.parlamento.pt/OrcamentoEstado/Paginas/DetalhePropostaAlteracao.aspx?BID=23201 PDF: https://app.parlamento.pt/webutils/docs/doc.pdf?path=6148523063484d364c793942556b356c6443397a6158526c63793959566b6c4a544556484c3039464c7a49774d6a59794d4449314d5441774f533951515338304e574d315a474e6c4e53316c4e6a67354c54526d4d6a63744f475579596930304e4749784e6d557a4f44677a4f5451756347526d&amp;Fich=45c5dce5-e689-4f27-8e2b-44b16e388394.pdf&amp;Inline=true</t>
        </is>
      </c>
      <c r="X10" s="2" t="inlineStr">
        <is>
          <t>Assuntos Constitucionais, Direitos, Liberdades e Garantias; Infraestruturas, Mobilidade e Habitação</t>
        </is>
      </c>
      <c r="Y10" s="2" t="inlineStr">
        <is>
          <t>Articulado</t>
        </is>
      </c>
      <c r="Z10" s="2" t="inlineStr">
        <is>
          <t>Substituição</t>
        </is>
      </c>
      <c r="AA10" s="2" t="inlineStr">
        <is>
          <t>Rejeitado(a) em Plenário</t>
        </is>
      </c>
      <c r="AB10" s="2" t="inlineStr">
        <is>
          <t>S</t>
        </is>
      </c>
      <c r="AC10" s="2" t="inlineStr">
        <is>
          <t>1</t>
        </is>
      </c>
      <c r="AD10" s="2" t="inlineStr">
        <is>
          <t>1</t>
        </is>
      </c>
      <c r="AE10" s="2" t="inlineStr">
        <is>
          <t>23201</t>
        </is>
      </c>
      <c r="AF10" s="2" t="inlineStr">
        <is>
          <t>https://www.parlamento.pt/OrcamentoEstado/Paginas/DetalhePropostaAlteracao.aspx?BID=23201</t>
        </is>
      </c>
      <c r="AG10" s="2" t="inlineStr">
        <is>
          <t>https://app.parlamento.pt/webutils/docs/doc.pdf?path=6148523063484d364c793942556b356c6443397a6158526c63793959566b6c4a544556484c3039464c7a49774d6a59794d4449314d5441774f533951515338304e574d315a474e6c4e53316c4e6a67354c54526d4d6a63744f475579596930304e4749784e6d557a4f44677a4f5451756347526d&amp;Fich=45c5dce5-e689-4f27-8e2b-44b16e388394.pdf&amp;Inline=true</t>
        </is>
      </c>
      <c r="AH10" s="3" t="n">
        <v>46321.77847222222</v>
      </c>
      <c r="AI10" s="3" t="n">
        <v>46321.78055555555</v>
      </c>
      <c r="AJ10" s="2" t="inlineStr"/>
    </row>
    <row r="11">
      <c r="A11" s="2" t="n">
        <v>10</v>
      </c>
      <c r="B11" s="2" t="inlineStr">
        <is>
          <t>8C-2</t>
        </is>
      </c>
      <c r="C11" s="3" t="n">
        <v>45959.38611111111</v>
      </c>
      <c r="D11" s="2" t="inlineStr">
        <is>
          <t>Original</t>
        </is>
      </c>
      <c r="E11" s="2" t="inlineStr">
        <is>
          <t>PAN</t>
        </is>
      </c>
      <c r="F11" s="2" t="inlineStr">
        <is>
          <t>Inês de Sousa Real</t>
        </is>
      </c>
      <c r="G11" s="2" t="inlineStr">
        <is>
          <t>Art. 101.º (aditamento)</t>
        </is>
      </c>
      <c r="H11" s="2" t="n"/>
      <c r="I11" s="2" t="n"/>
      <c r="J11" s="2" t="n"/>
      <c r="K11" s="2" t="n"/>
      <c r="L11" s="2" t="inlineStr">
        <is>
          <t>N.º 4, Artigo 101.º</t>
        </is>
      </c>
      <c r="M11" s="4" t="n"/>
      <c r="N11" s="4" t="n"/>
      <c r="O11" s="2" t="n"/>
      <c r="P11" s="2" t="n"/>
      <c r="Q11" s="2" t="n"/>
      <c r="R11" s="2" t="n"/>
      <c r="S11" s="2" t="inlineStr">
        <is>
          <t>Rejeitado(a) em Plenário</t>
        </is>
      </c>
      <c r="T11" s="2" t="inlineStr">
        <is>
          <t>Rejeitada</t>
        </is>
      </c>
      <c r="U11" s="2" t="inlineStr">
        <is>
          <t>Favor: L, PAN, JPP; Contra: PSD, IL, PCP, CDS-PP; Abstenção: CH, PS, BE</t>
        </is>
      </c>
      <c r="V11" s="3" t="n">
        <v>45985</v>
      </c>
      <c r="W11" s="2" t="inlineStr">
        <is>
          <t>Avocada a Plenário. AR: https://www.parlamento.pt/OrcamentoEstado/Paginas/DetalhePropostaAlteracao.aspx?BID=25386 PDF: https://app.parlamento.pt/webutils/docs/doc.pdf?path=6148523063484d364c793942556b356c6443397a6158526c63793959566b6c4a544556484c3039464c7a49774d6a59794d4449314d5441774f5339515153396a5a47566b4f5449315979303359544d334c5451794d3255744f546b795a6930344e475a6c597a5a694d6d4e6b595441756347526d&amp;Fich=cded925c-7a37-423e-992f-84fec6b2cda0.pdf&amp;Inline=true</t>
        </is>
      </c>
      <c r="X11" s="2" t="inlineStr">
        <is>
          <t>Assuntos Constitucionais, Direitos, Liberdades e Garantias; Infraestruturas, Mobilidade e Habitação</t>
        </is>
      </c>
      <c r="Y11" s="2" t="inlineStr">
        <is>
          <t>Articulado</t>
        </is>
      </c>
      <c r="Z11" s="2" t="inlineStr">
        <is>
          <t>Aditamento (Números e Alíneas)</t>
        </is>
      </c>
      <c r="AA11" s="2" t="inlineStr">
        <is>
          <t>Rejeitado(a) em Plenário</t>
        </is>
      </c>
      <c r="AB11" s="2" t="inlineStr">
        <is>
          <t>S</t>
        </is>
      </c>
      <c r="AC11" s="2" t="inlineStr">
        <is>
          <t>2</t>
        </is>
      </c>
      <c r="AD11" s="2" t="inlineStr">
        <is>
          <t>1</t>
        </is>
      </c>
      <c r="AE11" s="2" t="inlineStr">
        <is>
          <t>25386</t>
        </is>
      </c>
      <c r="AF11" s="2" t="inlineStr">
        <is>
          <t>https://www.parlamento.pt/OrcamentoEstado/Paginas/DetalhePropostaAlteracao.aspx?BID=25386</t>
        </is>
      </c>
      <c r="AG11" s="2" t="inlineStr">
        <is>
          <t>https://app.parlamento.pt/webutils/docs/doc.pdf?path=6148523063484d364c793942556b356c6443397a6158526c63793959566b6c4a544556484c3039464c7a49774d6a59794d4449314d5441774f5339515153396a5a47566b4f5449315979303359544d334c5451794d3255744f546b795a6930344e475a6c597a5a694d6d4e6b595441756347526d&amp;Fich=cded925c-7a37-423e-992f-84fec6b2cda0.pdf&amp;Inline=true</t>
        </is>
      </c>
      <c r="AH11" s="3" t="n">
        <v>46321.77847222222</v>
      </c>
      <c r="AI11" s="3" t="n">
        <v>46321.78055555555</v>
      </c>
      <c r="AJ11" s="2" t="inlineStr"/>
    </row>
    <row r="12">
      <c r="A12" s="2" t="n">
        <v>11</v>
      </c>
      <c r="B12" s="2" t="inlineStr">
        <is>
          <t>9C</t>
        </is>
      </c>
      <c r="C12" s="3" t="n">
        <v>45959.38819444444</v>
      </c>
      <c r="D12" s="2" t="inlineStr">
        <is>
          <t>Original</t>
        </is>
      </c>
      <c r="E12" s="2" t="inlineStr">
        <is>
          <t>PAN</t>
        </is>
      </c>
      <c r="F12" s="2" t="inlineStr">
        <is>
          <t>Inês de Sousa Real</t>
        </is>
      </c>
      <c r="G12" s="2" t="inlineStr">
        <is>
          <t>Art. 108.º-A (aditamento)</t>
        </is>
      </c>
      <c r="H12" s="2" t="n"/>
      <c r="I12" s="2" t="n"/>
      <c r="J12" s="2" t="n"/>
      <c r="K12" s="2" t="n"/>
      <c r="L12" s="2" t="inlineStr">
        <is>
          <t>Artigo 108.º-A (Planos plurianuais de promoção do bem-estar dos animais de companhia nas freguesias)</t>
        </is>
      </c>
      <c r="M12" s="4" t="n"/>
      <c r="N12" s="4" t="n"/>
      <c r="O12" s="2" t="n"/>
      <c r="P12" s="2" t="n"/>
      <c r="Q12" s="2" t="n"/>
      <c r="R12" s="2" t="n"/>
      <c r="S12" s="2" t="inlineStr">
        <is>
          <t>Aprovado(a) em Comissão</t>
        </is>
      </c>
      <c r="T12" s="2" t="inlineStr">
        <is>
          <t>Aprovada</t>
        </is>
      </c>
      <c r="U12" s="2" t="inlineStr">
        <is>
          <t>Favor: CH, PS, L, BE, PAN; Contra: PSD, IL, PCP, CDS-PP</t>
        </is>
      </c>
      <c r="V12" s="3" t="n">
        <v>45982</v>
      </c>
      <c r="W12" s="2" t="inlineStr">
        <is>
          <t>AR: https://www.parlamento.pt/OrcamentoEstado/Paginas/DetalhePropostaAlteracao.aspx?BID=23202 PDF: https://app.parlamento.pt/webutils/docs/doc.pdf?path=6148523063484d364c793942556b356c6443397a6158526c63793959566b6c4a544556484c3039464c7a49774d6a59794d4449314d5441774f533951515338344f47526d4d6d59314d4330794e4755794c54526c5a6d4d74596d4e695a53307a4f4441354e6d5135596a4a6d4e446b756347526d&amp;Fich=88df2f50-24e2-4efc-bcbe-38096d9b2f49.pdf&amp;Inline=true</t>
        </is>
      </c>
      <c r="X12" s="2" t="inlineStr">
        <is>
          <t>Defesa Nacional; Educação e Ciência</t>
        </is>
      </c>
      <c r="Y12" s="2" t="inlineStr">
        <is>
          <t>Articulado</t>
        </is>
      </c>
      <c r="Z12" s="2" t="inlineStr">
        <is>
          <t>Aditamento (Artigo PPL)</t>
        </is>
      </c>
      <c r="AA12" s="2" t="inlineStr">
        <is>
          <t>Aprovado(a) em Comissão</t>
        </is>
      </c>
      <c r="AB12" s="2" t="inlineStr"/>
      <c r="AC12" s="2" t="inlineStr"/>
      <c r="AD12" s="2" t="inlineStr">
        <is>
          <t>1</t>
        </is>
      </c>
      <c r="AE12" s="2" t="inlineStr">
        <is>
          <t>23202</t>
        </is>
      </c>
      <c r="AF12" s="2" t="inlineStr">
        <is>
          <t>https://www.parlamento.pt/OrcamentoEstado/Paginas/DetalhePropostaAlteracao.aspx?BID=23202</t>
        </is>
      </c>
      <c r="AG12" s="2" t="inlineStr">
        <is>
          <t>https://app.parlamento.pt/webutils/docs/doc.pdf?path=6148523063484d364c793942556b356c6443397a6158526c63793959566b6c4a544556484c3039464c7a49774d6a59794d4449314d5441774f533951515338344f47526d4d6d59314d4330794e4755794c54526c5a6d4d74596d4e695a53307a4f4441354e6d5135596a4a6d4e446b756347526d&amp;Fich=88df2f50-24e2-4efc-bcbe-38096d9b2f49.pdf&amp;Inline=true</t>
        </is>
      </c>
      <c r="AH12" s="3" t="n">
        <v>46321.77847222222</v>
      </c>
      <c r="AI12" s="3" t="n">
        <v>46321.78055555555</v>
      </c>
      <c r="AJ12" s="2" t="inlineStr"/>
    </row>
    <row r="13">
      <c r="A13" s="2" t="n">
        <v>12</v>
      </c>
      <c r="B13" s="2" t="inlineStr">
        <is>
          <t>10C</t>
        </is>
      </c>
      <c r="C13" s="3" t="n">
        <v>45959.39027777778</v>
      </c>
      <c r="D13" s="2" t="inlineStr">
        <is>
          <t>Original</t>
        </is>
      </c>
      <c r="E13" s="2" t="inlineStr">
        <is>
          <t>PAN</t>
        </is>
      </c>
      <c r="F13" s="2" t="inlineStr">
        <is>
          <t>Inês de Sousa Real</t>
        </is>
      </c>
      <c r="G13" s="2" t="inlineStr">
        <is>
          <t>Art. 108.º (substituição)</t>
        </is>
      </c>
      <c r="H13" s="2" t="n"/>
      <c r="I13" s="2" t="n"/>
      <c r="J13" s="2" t="n"/>
      <c r="K13" s="2" t="n"/>
      <c r="L13" s="2" t="inlineStr">
        <is>
          <t>Subalínea i), Corpo, Alínea c), Alínea f), Corpo, N.º 1, Artigo 108.º</t>
        </is>
      </c>
      <c r="M13" s="4" t="n"/>
      <c r="N13" s="4" t="n"/>
      <c r="O13" s="2" t="n"/>
      <c r="P13" s="2" t="n"/>
      <c r="Q13" s="2" t="n"/>
      <c r="R13" s="2" t="n"/>
      <c r="S13" s="2" t="inlineStr">
        <is>
          <t>Rejeitado(a) em Comissão</t>
        </is>
      </c>
      <c r="T13" s="2" t="inlineStr">
        <is>
          <t>Rejeitada</t>
        </is>
      </c>
      <c r="U13" s="2" t="inlineStr">
        <is>
          <t>Favor: L, PCP, BE, PAN; Contra: PSD, CDS-PP; Abstenção: CH, PS, IL</t>
        </is>
      </c>
      <c r="V13" s="3" t="n">
        <v>45982</v>
      </c>
      <c r="W13" s="2" t="inlineStr">
        <is>
          <t>AR: https://www.parlamento.pt/OrcamentoEstado/Paginas/DetalhePropostaAlteracao.aspx?BID=23203 PDF: https://app.parlamento.pt/webutils/docs/doc.pdf?path=6148523063484d364c793942556b356c6443397a6158526c63793959566b6c4a544556484c3039464c7a49774d6a59794d4449314d5441774f533951515338334e7a6b774e44686a4d79316859546c6b4c5451784f545574596a5a6c5979316d4d544977595459344e7a49334d4449756347526d&amp;Fich=779048c3-aa9d-4195-b6ec-f120a6872702.pdf&amp;Inline=true</t>
        </is>
      </c>
      <c r="X13" s="2" t="inlineStr">
        <is>
          <t>Agricultura e Pescas</t>
        </is>
      </c>
      <c r="Y13" s="2" t="inlineStr">
        <is>
          <t>Articulado</t>
        </is>
      </c>
      <c r="Z13" s="2" t="inlineStr">
        <is>
          <t>Substituição</t>
        </is>
      </c>
      <c r="AA13" s="2" t="inlineStr">
        <is>
          <t>Rejeitado(a) em Comissão</t>
        </is>
      </c>
      <c r="AB13" s="2" t="inlineStr"/>
      <c r="AC13" s="2" t="inlineStr"/>
      <c r="AD13" s="2" t="inlineStr">
        <is>
          <t>1</t>
        </is>
      </c>
      <c r="AE13" s="2" t="inlineStr">
        <is>
          <t>23203</t>
        </is>
      </c>
      <c r="AF13" s="2" t="inlineStr">
        <is>
          <t>https://www.parlamento.pt/OrcamentoEstado/Paginas/DetalhePropostaAlteracao.aspx?BID=23203</t>
        </is>
      </c>
      <c r="AG13" s="2" t="inlineStr">
        <is>
          <t>https://app.parlamento.pt/webutils/docs/doc.pdf?path=6148523063484d364c793942556b356c6443397a6158526c63793959566b6c4a544556484c3039464c7a49774d6a59794d4449314d5441774f533951515338334e7a6b774e44686a4d79316859546c6b4c5451784f545574596a5a6c5979316d4d544977595459344e7a49334d4449756347526d&amp;Fich=779048c3-aa9d-4195-b6ec-f120a6872702.pdf&amp;Inline=true</t>
        </is>
      </c>
      <c r="AH13" s="3" t="n">
        <v>46321.77847222222</v>
      </c>
      <c r="AI13" s="3" t="n">
        <v>46321.78055555555</v>
      </c>
      <c r="AJ13" s="2" t="inlineStr"/>
    </row>
    <row r="14">
      <c r="A14" s="2" t="n">
        <v>13</v>
      </c>
      <c r="B14" s="2" t="inlineStr">
        <is>
          <t>11C-1</t>
        </is>
      </c>
      <c r="C14" s="3" t="n">
        <v>45959.39236111111</v>
      </c>
      <c r="D14" s="2" t="inlineStr">
        <is>
          <t>Original</t>
        </is>
      </c>
      <c r="E14" s="2" t="inlineStr">
        <is>
          <t>PAN</t>
        </is>
      </c>
      <c r="F14" s="2" t="inlineStr">
        <is>
          <t>Inês de Sousa Real</t>
        </is>
      </c>
      <c r="G14" s="2" t="inlineStr">
        <is>
          <t>Art. 113.º (substituição)</t>
        </is>
      </c>
      <c r="H14" s="2" t="n"/>
      <c r="I14" s="2" t="n"/>
      <c r="J14" s="2" t="n"/>
      <c r="K14" s="2" t="n"/>
      <c r="L14" s="2" t="inlineStr">
        <is>
          <t>N.º 2, Artigo 113.º</t>
        </is>
      </c>
      <c r="M14" s="4" t="n"/>
      <c r="N14" s="4" t="n"/>
      <c r="O14" s="2" t="n"/>
      <c r="P14" s="2" t="n"/>
      <c r="Q14" s="2" t="n"/>
      <c r="R14" s="2" t="n"/>
      <c r="S14" s="2" t="inlineStr">
        <is>
          <t>Rejeitado(a) em Comissão</t>
        </is>
      </c>
      <c r="T14" s="2" t="inlineStr">
        <is>
          <t>Rejeitada</t>
        </is>
      </c>
      <c r="U14" s="2" t="inlineStr">
        <is>
          <t>Favor: CH, L, PCP, BE, PAN; Contra: PSD, IL, CDS-PP; Abstenção: PS</t>
        </is>
      </c>
      <c r="V14" s="3" t="n">
        <v>45985</v>
      </c>
      <c r="W14" s="2" t="inlineStr">
        <is>
          <t>AR: https://www.parlamento.pt/OrcamentoEstado/Paginas/DetalhePropostaAlteracao.aspx?BID=23204 PDF: https://app.parlamento.pt/webutils/docs/doc.pdf?path=6148523063484d364c793942556b356c6443397a6158526c63793959566b6c4a544556484c3039464c7a49774d6a59794d4449314d5441774f53395151533877597a4a6a4e57566c4e533032596d4d794c5451344f544974595751784d43316a4d4441304d6a63335a4445334d3255756347526d&amp;Fich=0c2c5ee5-6bc2-4892-ad10-c004277d173e.pdf&amp;Inline=true</t>
        </is>
      </c>
      <c r="X14" s="2" t="inlineStr">
        <is>
          <t>Agricultura e Pescas; Assuntos Constitucionais, Direitos, Liberdades e Garantias; Orçamento, Finanças e Administração Pública</t>
        </is>
      </c>
      <c r="Y14" s="2" t="inlineStr">
        <is>
          <t>Articulado</t>
        </is>
      </c>
      <c r="Z14" s="2" t="inlineStr">
        <is>
          <t>Substituição</t>
        </is>
      </c>
      <c r="AA14" s="2" t="inlineStr">
        <is>
          <t>Rejeitado(a) em Comissão</t>
        </is>
      </c>
      <c r="AB14" s="2" t="inlineStr"/>
      <c r="AC14" s="2" t="inlineStr">
        <is>
          <t>1</t>
        </is>
      </c>
      <c r="AD14" s="2" t="inlineStr">
        <is>
          <t>1</t>
        </is>
      </c>
      <c r="AE14" s="2" t="inlineStr">
        <is>
          <t>23204</t>
        </is>
      </c>
      <c r="AF14" s="2" t="inlineStr">
        <is>
          <t>https://www.parlamento.pt/OrcamentoEstado/Paginas/DetalhePropostaAlteracao.aspx?BID=23204</t>
        </is>
      </c>
      <c r="AG14" s="2" t="inlineStr">
        <is>
          <t>https://app.parlamento.pt/webutils/docs/doc.pdf?path=6148523063484d364c793942556b356c6443397a6158526c63793959566b6c4a544556484c3039464c7a49774d6a59794d4449314d5441774f53395151533877597a4a6a4e57566c4e533032596d4d794c5451344f544974595751784d43316a4d4441304d6a63335a4445334d3255756347526d&amp;Fich=0c2c5ee5-6bc2-4892-ad10-c004277d173e.pdf&amp;Inline=true</t>
        </is>
      </c>
      <c r="AH14" s="3" t="n">
        <v>46321.77847222222</v>
      </c>
      <c r="AI14" s="3" t="n">
        <v>46321.78055555555</v>
      </c>
      <c r="AJ14" s="2" t="inlineStr"/>
    </row>
    <row r="15">
      <c r="A15" s="2" t="n">
        <v>14</v>
      </c>
      <c r="B15" s="2" t="inlineStr">
        <is>
          <t>11C-2</t>
        </is>
      </c>
      <c r="C15" s="3" t="n">
        <v>45959.39236111111</v>
      </c>
      <c r="D15" s="2" t="inlineStr">
        <is>
          <t>Original</t>
        </is>
      </c>
      <c r="E15" s="2" t="inlineStr">
        <is>
          <t>PAN</t>
        </is>
      </c>
      <c r="F15" s="2" t="inlineStr">
        <is>
          <t>Inês de Sousa Real</t>
        </is>
      </c>
      <c r="G15" s="2" t="inlineStr">
        <is>
          <t>Art. 113.º (aditamento)</t>
        </is>
      </c>
      <c r="H15" s="2" t="n"/>
      <c r="I15" s="2" t="n"/>
      <c r="J15" s="2" t="n"/>
      <c r="K15" s="2" t="n"/>
      <c r="L15" s="2" t="inlineStr">
        <is>
          <t>N.º 5, Artigo 113.º</t>
        </is>
      </c>
      <c r="M15" s="4" t="n"/>
      <c r="N15" s="4" t="n"/>
      <c r="O15" s="2" t="n"/>
      <c r="P15" s="2" t="n"/>
      <c r="Q15" s="2" t="n"/>
      <c r="R15" s="2" t="n"/>
      <c r="S15" s="2" t="inlineStr">
        <is>
          <t>Rejeitado(a) em Comissão</t>
        </is>
      </c>
      <c r="T15" s="2" t="inlineStr">
        <is>
          <t>Rejeitada</t>
        </is>
      </c>
      <c r="U15" s="2" t="inlineStr">
        <is>
          <t>Favor: CH, L, BE, PAN; Contra: PSD, IL, CDS-PP; Abstenção: PS, PCP</t>
        </is>
      </c>
      <c r="V15" s="3" t="n">
        <v>45985</v>
      </c>
      <c r="W15" s="2" t="inlineStr">
        <is>
          <t>AR: https://www.parlamento.pt/OrcamentoEstado/Paginas/DetalhePropostaAlteracao.aspx?BID=23436 PDF: https://app.parlamento.pt/webutils/docs/doc.pdf?path=6148523063484d364c793942556b356c6443397a6158526c63793959566b6c4a544556484c3039464c7a49774d6a59794d4449314d5441774f5339515153396c4e6a4d79595442685a53307a4e544e684c5451324f546b744f44417a596930784f5455304f4755305a57466b4e3259756347526d&amp;Fich=e632a0ae-353a-4699-803b-19548e4ead7f.pdf&amp;Inline=true</t>
        </is>
      </c>
      <c r="X15" s="2" t="inlineStr">
        <is>
          <t>Agricultura e Pescas; Assuntos Constitucionais, Direitos, Liberdades e Garantias; Orçamento, Finanças e Administração Pública</t>
        </is>
      </c>
      <c r="Y15" s="2" t="inlineStr">
        <is>
          <t>Articulado</t>
        </is>
      </c>
      <c r="Z15" s="2" t="inlineStr">
        <is>
          <t>Aditamento (Números e Alíneas)</t>
        </is>
      </c>
      <c r="AA15" s="2" t="inlineStr">
        <is>
          <t>Rejeitado(a) em Comissão</t>
        </is>
      </c>
      <c r="AB15" s="2" t="inlineStr"/>
      <c r="AC15" s="2" t="inlineStr">
        <is>
          <t>2</t>
        </is>
      </c>
      <c r="AD15" s="2" t="inlineStr">
        <is>
          <t>1</t>
        </is>
      </c>
      <c r="AE15" s="2" t="inlineStr">
        <is>
          <t>23436</t>
        </is>
      </c>
      <c r="AF15" s="2" t="inlineStr">
        <is>
          <t>https://www.parlamento.pt/OrcamentoEstado/Paginas/DetalhePropostaAlteracao.aspx?BID=23436</t>
        </is>
      </c>
      <c r="AG15" s="2" t="inlineStr">
        <is>
          <t>https://app.parlamento.pt/webutils/docs/doc.pdf?path=6148523063484d364c793942556b356c6443397a6158526c63793959566b6c4a544556484c3039464c7a49774d6a59794d4449314d5441774f5339515153396c4e6a4d79595442685a53307a4e544e684c5451324f546b744f44417a596930784f5455304f4755305a57466b4e3259756347526d&amp;Fich=e632a0ae-353a-4699-803b-19548e4ead7f.pdf&amp;Inline=true</t>
        </is>
      </c>
      <c r="AH15" s="3" t="n">
        <v>46321.77847222222</v>
      </c>
      <c r="AI15" s="3" t="n">
        <v>46321.78055555555</v>
      </c>
      <c r="AJ15" s="2" t="inlineStr"/>
    </row>
    <row r="16">
      <c r="A16" s="2" t="n">
        <v>15</v>
      </c>
      <c r="B16" s="2" t="inlineStr">
        <is>
          <t>12C</t>
        </is>
      </c>
      <c r="C16" s="3" t="n">
        <v>45959.39375</v>
      </c>
      <c r="D16" s="2" t="inlineStr">
        <is>
          <t>Original</t>
        </is>
      </c>
      <c r="E16" s="2" t="inlineStr">
        <is>
          <t>PAN</t>
        </is>
      </c>
      <c r="F16" s="2" t="inlineStr">
        <is>
          <t>Inês de Sousa Real</t>
        </is>
      </c>
      <c r="G16" s="2" t="inlineStr">
        <is>
          <t>Art. 60.º (substituição)</t>
        </is>
      </c>
      <c r="H16" s="2" t="n"/>
      <c r="I16" s="2" t="n"/>
      <c r="J16" s="2" t="n"/>
      <c r="K16" s="2" t="n"/>
      <c r="L16" s="2" t="inlineStr">
        <is>
          <t>N.º 7, Artigo 12.º, N.º 19, Artigo 72.º do Código do IRS</t>
        </is>
      </c>
      <c r="M16" s="4" t="n"/>
      <c r="N16" s="4" t="n"/>
      <c r="O16" s="2" t="n"/>
      <c r="P16" s="2" t="n"/>
      <c r="Q16" s="2" t="n"/>
      <c r="R16" s="2" t="n"/>
      <c r="S16" s="2" t="inlineStr">
        <is>
          <t>Rejeitado(a) em Comissão</t>
        </is>
      </c>
      <c r="T16" s="2" t="inlineStr">
        <is>
          <t>Rejeitada</t>
        </is>
      </c>
      <c r="U16" s="2" t="inlineStr">
        <is>
          <t>Favor: CH, BE, PAN; Contra: PSD, CDS-PP; Abstenção: PS, IL, L, PCP</t>
        </is>
      </c>
      <c r="V16" s="3" t="n">
        <v>45981</v>
      </c>
      <c r="W16" s="2" t="inlineStr">
        <is>
          <t>AR: https://www.parlamento.pt/OrcamentoEstado/Paginas/DetalhePropostaAlteracao.aspx?BID=23205 PDF: https://app.parlamento.pt/webutils/docs/doc.pdf?path=6148523063484d364c793942556b356c6443397a6158526c63793959566b6c4a544556484c3039464c7a49774d6a59794d4449314d5441774f5339515153396d4d444d335a4463305979316a595455794c5452685a4759744f47466b4d5330324d474d335a5756685957566c4d4467756347526d&amp;Fich=f037d74c-ca52-4adf-8ad1-60c7eeaaee08.pdf&amp;Inline=true</t>
        </is>
      </c>
      <c r="X16" s="2" t="inlineStr">
        <is>
          <t>Assuntos Constitucionais, Direitos, Liberdades e Garantias; Orçamento, Finanças e Administração Pública</t>
        </is>
      </c>
      <c r="Y16" s="2" t="inlineStr">
        <is>
          <t>Articulado</t>
        </is>
      </c>
      <c r="Z16" s="2" t="inlineStr">
        <is>
          <t>Substituição</t>
        </is>
      </c>
      <c r="AA16" s="2" t="inlineStr">
        <is>
          <t>Rejeitado(a) em Comissão</t>
        </is>
      </c>
      <c r="AB16" s="2" t="inlineStr"/>
      <c r="AC16" s="2" t="inlineStr"/>
      <c r="AD16" s="2" t="inlineStr">
        <is>
          <t>2</t>
        </is>
      </c>
      <c r="AE16" s="2" t="inlineStr">
        <is>
          <t>23205</t>
        </is>
      </c>
      <c r="AF16" s="2" t="inlineStr">
        <is>
          <t>https://www.parlamento.pt/OrcamentoEstado/Paginas/DetalhePropostaAlteracao.aspx?BID=23205</t>
        </is>
      </c>
      <c r="AG16" s="2" t="inlineStr">
        <is>
          <t>https://app.parlamento.pt/webutils/docs/doc.pdf?path=6148523063484d364c793942556b356c6443397a6158526c63793959566b6c4a544556484c3039464c7a49774d6a59794d4449314d5441774f5339515153396d4d444d335a4463305979316a595455794c5452685a4759744f47466b4d5330324d474d335a5756685957566c4d4467756347526d&amp;Fich=f037d74c-ca52-4adf-8ad1-60c7eeaaee08.pdf&amp;Inline=true</t>
        </is>
      </c>
      <c r="AH16" s="3" t="n">
        <v>46321.77847222222</v>
      </c>
      <c r="AI16" s="3" t="n">
        <v>46321.78055555555</v>
      </c>
      <c r="AJ16" s="2" t="inlineStr"/>
    </row>
    <row r="17">
      <c r="A17" s="2" t="n">
        <v>16</v>
      </c>
      <c r="B17" s="2" t="inlineStr">
        <is>
          <t>13C</t>
        </is>
      </c>
      <c r="C17" s="3" t="n">
        <v>45959.39513888889</v>
      </c>
      <c r="D17" s="2" t="inlineStr">
        <is>
          <t>Original</t>
        </is>
      </c>
      <c r="E17" s="2" t="inlineStr">
        <is>
          <t>PAN</t>
        </is>
      </c>
      <c r="F17" s="2" t="inlineStr">
        <is>
          <t>Inês de Sousa Real</t>
        </is>
      </c>
      <c r="G17" s="2" t="inlineStr">
        <is>
          <t>Art. 7.º (substituição)</t>
        </is>
      </c>
      <c r="H17" s="2" t="n"/>
      <c r="I17" s="2" t="n"/>
      <c r="J17" s="2" t="n"/>
      <c r="K17" s="2" t="n"/>
      <c r="L17" s="2" t="inlineStr">
        <is>
          <t>Verba 28, Mapa de alterações e transferências orçamentais, Artigo 7.º</t>
        </is>
      </c>
      <c r="M17" s="4" t="n"/>
      <c r="N17" s="4" t="n"/>
      <c r="O17" s="2" t="n"/>
      <c r="P17" s="2" t="n"/>
      <c r="Q17" s="2" t="n"/>
      <c r="R17" s="2" t="n"/>
      <c r="S17" s="2" t="inlineStr">
        <is>
          <t>Rejeitado(a) em Comissão</t>
        </is>
      </c>
      <c r="T17" s="2" t="inlineStr">
        <is>
          <t>Rejeitada</t>
        </is>
      </c>
      <c r="U17" s="2" t="inlineStr">
        <is>
          <t>Favor: L, PCP, BE, PAN; Contra: PSD, IL, CDS-PP; Abstenção: CH, PS</t>
        </is>
      </c>
      <c r="V17" s="3" t="n">
        <v>45987</v>
      </c>
      <c r="W17" s="2" t="inlineStr">
        <is>
          <t>AR: https://www.parlamento.pt/OrcamentoEstado/Paginas/DetalhePropostaAlteracao.aspx?BID=23206 PDF: https://app.parlamento.pt/webutils/docs/doc.pdf?path=6148523063484d364c793942556b356c6443397a6158526c63793959566b6c4a544556484c3039464c7a49774d6a59794d4449314d5441774f5339515153396a4f4455794d6a63775a6930784e574d784c54526c4d57497459546b34595331694d6d59314e32566859324e6a595463756347526d&amp;Fich=c852270f-15c1-4e1b-a98a-b2f57eaccca7.pdf&amp;Inline=true</t>
        </is>
      </c>
      <c r="X17" s="2" t="inlineStr">
        <is>
          <t>Ambiente e Energia</t>
        </is>
      </c>
      <c r="Y17" s="2" t="inlineStr">
        <is>
          <t>Mapas</t>
        </is>
      </c>
      <c r="Z17" s="2" t="inlineStr">
        <is>
          <t>Substituição</t>
        </is>
      </c>
      <c r="AA17" s="2" t="inlineStr">
        <is>
          <t>Rejeitado(a) em Comissão</t>
        </is>
      </c>
      <c r="AB17" s="2" t="inlineStr"/>
      <c r="AC17" s="2" t="inlineStr"/>
      <c r="AD17" s="2" t="inlineStr">
        <is>
          <t>1</t>
        </is>
      </c>
      <c r="AE17" s="2" t="inlineStr">
        <is>
          <t>23206</t>
        </is>
      </c>
      <c r="AF17" s="2" t="inlineStr">
        <is>
          <t>https://www.parlamento.pt/OrcamentoEstado/Paginas/DetalhePropostaAlteracao.aspx?BID=23206</t>
        </is>
      </c>
      <c r="AG17" s="2" t="inlineStr">
        <is>
          <t>https://app.parlamento.pt/webutils/docs/doc.pdf?path=6148523063484d364c793942556b356c6443397a6158526c63793959566b6c4a544556484c3039464c7a49774d6a59794d4449314d5441774f5339515153396a4f4455794d6a63775a6930784e574d784c54526c4d57497459546b34595331694d6d59314e32566859324e6a595463756347526d&amp;Fich=c852270f-15c1-4e1b-a98a-b2f57eaccca7.pdf&amp;Inline=true</t>
        </is>
      </c>
      <c r="AH17" s="3" t="n">
        <v>46321.77847222222</v>
      </c>
      <c r="AI17" s="3" t="n">
        <v>46321.78055555555</v>
      </c>
      <c r="AJ17" s="2" t="inlineStr"/>
    </row>
    <row r="18">
      <c r="A18" s="2" t="n">
        <v>17</v>
      </c>
      <c r="B18" s="2" t="inlineStr">
        <is>
          <t>14C</t>
        </is>
      </c>
      <c r="C18" s="3" t="n">
        <v>45959.39652777778</v>
      </c>
      <c r="D18" s="2" t="inlineStr">
        <is>
          <t>Original</t>
        </is>
      </c>
      <c r="E18" s="2" t="inlineStr">
        <is>
          <t>PAN</t>
        </is>
      </c>
      <c r="F18" s="2" t="inlineStr">
        <is>
          <t>Inês de Sousa Real</t>
        </is>
      </c>
      <c r="G18" s="2" t="inlineStr">
        <is>
          <t>Art. 81.º-A (aditamento)</t>
        </is>
      </c>
      <c r="H18" s="2" t="n"/>
      <c r="I18" s="2" t="n"/>
      <c r="J18" s="2" t="n"/>
      <c r="K18" s="2" t="n"/>
      <c r="L18" s="2" t="inlineStr">
        <is>
          <t>Artigo 81.º-A (Alteração ao Decreto-Lei n.º 84/2017, de 21 de julho)</t>
        </is>
      </c>
      <c r="M18" s="4" t="n"/>
      <c r="N18" s="4" t="n"/>
      <c r="O18" s="2" t="n"/>
      <c r="P18" s="2" t="n"/>
      <c r="Q18" s="2" t="n"/>
      <c r="R18" s="2" t="n"/>
      <c r="S18" s="2" t="inlineStr">
        <is>
          <t>Rejeitado(a) em Comissão</t>
        </is>
      </c>
      <c r="T18" s="2" t="inlineStr">
        <is>
          <t>Rejeitada</t>
        </is>
      </c>
      <c r="U18" s="2" t="inlineStr">
        <is>
          <t>Favor: IL, L, PCP, BE, PAN; Contra: PSD, CDS-PP; Abstenção: CH, PS</t>
        </is>
      </c>
      <c r="V18" s="3" t="n">
        <v>45982</v>
      </c>
      <c r="W18" s="2" t="inlineStr">
        <is>
          <t>AR: https://www.parlamento.pt/OrcamentoEstado/Paginas/DetalhePropostaAlteracao.aspx?BID=23207 PDF: https://app.parlamento.pt/webutils/docs/doc.pdf?path=6148523063484d364c793942556b356c6443397a6158526c63793959566b6c4a544556484c3039464c7a49774d6a59794d4449314d5441774f533951515339695a474e684d7a49784f4330335a5755794c5451334e7a63744f546b7a5a4330304f5441774d6a49794d6d55334f4445756347526d&amp;Fich=bdca3218-7ee2-4777-993d-49002222e781.pdf&amp;Inline=true</t>
        </is>
      </c>
      <c r="X18" s="2" t="inlineStr">
        <is>
          <t>Orçamento, Finanças e Administração Pública; Reforma do Estado e Poder Local</t>
        </is>
      </c>
      <c r="Y18" s="2" t="inlineStr">
        <is>
          <t>Articulado</t>
        </is>
      </c>
      <c r="Z18" s="2" t="inlineStr">
        <is>
          <t>Aditamento (Artigo PPL)</t>
        </is>
      </c>
      <c r="AA18" s="2" t="inlineStr">
        <is>
          <t>Rejeitado(a) em Comissão</t>
        </is>
      </c>
      <c r="AB18" s="2" t="inlineStr"/>
      <c r="AC18" s="2" t="inlineStr"/>
      <c r="AD18" s="2" t="inlineStr">
        <is>
          <t>1</t>
        </is>
      </c>
      <c r="AE18" s="2" t="inlineStr">
        <is>
          <t>23207</t>
        </is>
      </c>
      <c r="AF18" s="2" t="inlineStr">
        <is>
          <t>https://www.parlamento.pt/OrcamentoEstado/Paginas/DetalhePropostaAlteracao.aspx?BID=23207</t>
        </is>
      </c>
      <c r="AG18" s="2" t="inlineStr">
        <is>
          <t>https://app.parlamento.pt/webutils/docs/doc.pdf?path=6148523063484d364c793942556b356c6443397a6158526c63793959566b6c4a544556484c3039464c7a49774d6a59794d4449314d5441774f533951515339695a474e684d7a49784f4330335a5755794c5451334e7a63744f546b7a5a4330304f5441774d6a49794d6d55334f4445756347526d&amp;Fich=bdca3218-7ee2-4777-993d-49002222e781.pdf&amp;Inline=true</t>
        </is>
      </c>
      <c r="AH18" s="3" t="n">
        <v>46321.77847222222</v>
      </c>
      <c r="AI18" s="3" t="n">
        <v>46321.78055555555</v>
      </c>
      <c r="AJ18" s="2" t="inlineStr"/>
    </row>
    <row r="19">
      <c r="A19" s="2" t="n">
        <v>18</v>
      </c>
      <c r="B19" s="2" t="inlineStr">
        <is>
          <t>15C</t>
        </is>
      </c>
      <c r="C19" s="3" t="n">
        <v>45959.39861111111</v>
      </c>
      <c r="D19" s="2" t="inlineStr">
        <is>
          <t>Retirada</t>
        </is>
      </c>
      <c r="E19" s="2" t="inlineStr">
        <is>
          <t>PAN</t>
        </is>
      </c>
      <c r="F19" s="2" t="inlineStr">
        <is>
          <t>Inês de Sousa Real</t>
        </is>
      </c>
      <c r="G19" s="2" t="inlineStr">
        <is>
          <t>Articulado</t>
        </is>
      </c>
      <c r="H19" s="2" t="n"/>
      <c r="I19" s="2" t="n"/>
      <c r="J19" s="2" t="n"/>
      <c r="K19" s="2" t="n"/>
      <c r="L19" s="2" t="inlineStr">
        <is>
          <t>Artigo 81.º-A</t>
        </is>
      </c>
      <c r="M19" s="4" t="n"/>
      <c r="N19" s="4" t="n"/>
      <c r="O19" s="2" t="n"/>
      <c r="P19" s="2" t="n"/>
      <c r="Q19" s="2" t="n"/>
      <c r="R19" s="2" t="n"/>
      <c r="S19" s="2" t="inlineStr">
        <is>
          <t>Retirado(a)</t>
        </is>
      </c>
      <c r="T19" s="2" t="inlineStr">
        <is>
          <t>Retirada</t>
        </is>
      </c>
      <c r="U19" s="2" t="inlineStr"/>
      <c r="V19" s="3" t="n"/>
      <c r="W19" s="2" t="inlineStr">
        <is>
          <t>AR: https://www.parlamento.pt/OrcamentoEstado/Paginas/DetalhePropostaAlteracao.aspx?BID=23208 PDF: https://app.parlamento.pt/webutils/docs/doc.pdf?path=6148523063484d364c793942556b356c6443397a6158526c63793959566b6c4a544556484c3039464c7a49774d6a59794d4449314d5441774f533951515338354d44686a595759774e69316d4e6a41774c54526859544974596a4a6a4f5330344d7a51774e575a6a4f5749354f544d756347526d&amp;Fich=908caf06-f600-4aa2-b2c9-83405fc9b993.pdf&amp;Inline=true</t>
        </is>
      </c>
      <c r="X19" s="2" t="inlineStr">
        <is>
          <t>Assuntos Constitucionais, Direitos, Liberdades e Garantias; Orçamento, Finanças e Administração Pública</t>
        </is>
      </c>
      <c r="Y19" s="2" t="inlineStr">
        <is>
          <t>Articulado</t>
        </is>
      </c>
      <c r="Z19" s="2" t="inlineStr">
        <is>
          <t>Por Definir</t>
        </is>
      </c>
      <c r="AA19" s="2" t="inlineStr">
        <is>
          <t>Retirado(a)</t>
        </is>
      </c>
      <c r="AB19" s="2" t="inlineStr"/>
      <c r="AC19" s="2" t="inlineStr"/>
      <c r="AD19" s="2" t="inlineStr">
        <is>
          <t>0</t>
        </is>
      </c>
      <c r="AE19" s="2" t="inlineStr">
        <is>
          <t>23208</t>
        </is>
      </c>
      <c r="AF19" s="2" t="inlineStr">
        <is>
          <t>https://www.parlamento.pt/OrcamentoEstado/Paginas/DetalhePropostaAlteracao.aspx?BID=23208</t>
        </is>
      </c>
      <c r="AG19" s="2" t="inlineStr">
        <is>
          <t>https://app.parlamento.pt/webutils/docs/doc.pdf?path=6148523063484d364c793942556b356c6443397a6158526c63793959566b6c4a544556484c3039464c7a49774d6a59794d4449314d5441774f533951515338354d44686a595759774e69316d4e6a41774c54526859544974596a4a6a4f5330344d7a51774e575a6a4f5749354f544d756347526d&amp;Fich=908caf06-f600-4aa2-b2c9-83405fc9b993.pdf&amp;Inline=true</t>
        </is>
      </c>
      <c r="AH19" s="3" t="n">
        <v>46321.77847222222</v>
      </c>
      <c r="AI19" s="3" t="n">
        <v>46321.78055555555</v>
      </c>
      <c r="AJ19" s="2" t="inlineStr"/>
    </row>
    <row r="20">
      <c r="A20" s="2" t="n">
        <v>19</v>
      </c>
      <c r="B20" s="2" t="inlineStr">
        <is>
          <t>16C</t>
        </is>
      </c>
      <c r="C20" s="3" t="n">
        <v>45959.39930555555</v>
      </c>
      <c r="D20" s="2" t="inlineStr">
        <is>
          <t>Original</t>
        </is>
      </c>
      <c r="E20" s="2" t="inlineStr">
        <is>
          <t>PAN</t>
        </is>
      </c>
      <c r="F20" s="2" t="inlineStr">
        <is>
          <t>Inês de Sousa Real</t>
        </is>
      </c>
      <c r="G20" s="2" t="inlineStr">
        <is>
          <t>Art. 63.º-A (aditamento)</t>
        </is>
      </c>
      <c r="H20" s="2" t="n"/>
      <c r="I20" s="2" t="n"/>
      <c r="J20" s="2" t="n"/>
      <c r="K20" s="2" t="n"/>
      <c r="L20" s="2" t="inlineStr">
        <is>
          <t>Artigo 63.º-A (Aditamento à lista I anexa ao Código do Imposto sobre o Valor Acrescentado)</t>
        </is>
      </c>
      <c r="M20" s="4" t="n"/>
      <c r="N20" s="4" t="n"/>
      <c r="O20" s="2" t="n"/>
      <c r="P20" s="2" t="n"/>
      <c r="Q20" s="2" t="n"/>
      <c r="R20" s="2" t="n"/>
      <c r="S20" s="2" t="inlineStr">
        <is>
          <t>Rejeitado(a) em Comissão</t>
        </is>
      </c>
      <c r="T20" s="2" t="inlineStr">
        <is>
          <t>Rejeitada</t>
        </is>
      </c>
      <c r="U20" s="2" t="inlineStr">
        <is>
          <t>Favor: CH, IL, L, PCP, BE, PAN; Contra: PSD, CDS-PP; Abstenção: PS</t>
        </is>
      </c>
      <c r="V20" s="3" t="n">
        <v>45982</v>
      </c>
      <c r="W20" s="2" t="inlineStr">
        <is>
          <t>AR: https://www.parlamento.pt/OrcamentoEstado/Paginas/DetalhePropostaAlteracao.aspx?BID=23209 PDF: https://app.parlamento.pt/webutils/docs/doc.pdf?path=6148523063484d364c793942556b356c6443397a6158526c63793959566b6c4a544556484c3039464c7a49774d6a59794d4449314d5441774f5339515153396a4f4759794d3249795953316b4d324d794c5451774f4441744f57566a5953316a4e4755784d7a4e684f54646a4f574d756347526d&amp;Fich=c8f23b2a-d3c2-4080-9eca-c4e133a97c9c.pdf&amp;Inline=true</t>
        </is>
      </c>
      <c r="X20" s="2" t="inlineStr">
        <is>
          <t>Ambiente e Energia; Orçamento, Finanças e Administração Pública</t>
        </is>
      </c>
      <c r="Y20" s="2" t="inlineStr">
        <is>
          <t>Articulado</t>
        </is>
      </c>
      <c r="Z20" s="2" t="inlineStr">
        <is>
          <t>Aditamento (Artigo PPL)</t>
        </is>
      </c>
      <c r="AA20" s="2" t="inlineStr">
        <is>
          <t>Rejeitado(a) em Comissão</t>
        </is>
      </c>
      <c r="AB20" s="2" t="inlineStr"/>
      <c r="AC20" s="2" t="inlineStr"/>
      <c r="AD20" s="2" t="inlineStr">
        <is>
          <t>1</t>
        </is>
      </c>
      <c r="AE20" s="2" t="inlineStr">
        <is>
          <t>23209</t>
        </is>
      </c>
      <c r="AF20" s="2" t="inlineStr">
        <is>
          <t>https://www.parlamento.pt/OrcamentoEstado/Paginas/DetalhePropostaAlteracao.aspx?BID=23209</t>
        </is>
      </c>
      <c r="AG20" s="2" t="inlineStr">
        <is>
          <t>https://app.parlamento.pt/webutils/docs/doc.pdf?path=6148523063484d364c793942556b356c6443397a6158526c63793959566b6c4a544556484c3039464c7a49774d6a59794d4449314d5441774f5339515153396a4f4759794d3249795953316b4d324d794c5451774f4441744f57566a5953316a4e4755784d7a4e684f54646a4f574d756347526d&amp;Fich=c8f23b2a-d3c2-4080-9eca-c4e133a97c9c.pdf&amp;Inline=true</t>
        </is>
      </c>
      <c r="AH20" s="3" t="n">
        <v>46321.77847222222</v>
      </c>
      <c r="AI20" s="3" t="n">
        <v>46321.78055555555</v>
      </c>
      <c r="AJ20" s="2" t="inlineStr"/>
    </row>
    <row r="21">
      <c r="A21" s="2" t="n">
        <v>20</v>
      </c>
      <c r="B21" s="2" t="inlineStr">
        <is>
          <t>17C</t>
        </is>
      </c>
      <c r="C21" s="3" t="n">
        <v>45959.40138888889</v>
      </c>
      <c r="D21" s="2" t="inlineStr">
        <is>
          <t>Original</t>
        </is>
      </c>
      <c r="E21" s="2" t="inlineStr">
        <is>
          <t>PAN</t>
        </is>
      </c>
      <c r="F21" s="2" t="inlineStr">
        <is>
          <t>Inês de Sousa Real</t>
        </is>
      </c>
      <c r="G21" s="2" t="inlineStr">
        <is>
          <t>Art. 60.º (substituição)</t>
        </is>
      </c>
      <c r="H21" s="2" t="n"/>
      <c r="I21" s="2" t="n"/>
      <c r="J21" s="2" t="n"/>
      <c r="K21" s="2" t="n"/>
      <c r="L21" s="2" t="inlineStr">
        <is>
          <t>Alínea b), alínea c), alínea d), N.º 1, Artigo 78.º-E do Código do IRS</t>
        </is>
      </c>
      <c r="M21" s="4" t="n"/>
      <c r="N21" s="4" t="n"/>
      <c r="O21" s="2" t="n"/>
      <c r="P21" s="2" t="n"/>
      <c r="Q21" s="2" t="n"/>
      <c r="R21" s="2" t="n"/>
      <c r="S21" s="2" t="inlineStr">
        <is>
          <t>Rejeitado(a) em Comissão</t>
        </is>
      </c>
      <c r="T21" s="2" t="inlineStr">
        <is>
          <t>Rejeitada</t>
        </is>
      </c>
      <c r="U21" s="2" t="inlineStr">
        <is>
          <t>Favor: CH, IL, L, PCP, BE, PAN; Contra: PSD, CDS-PP; Abstenção: PS</t>
        </is>
      </c>
      <c r="V21" s="3" t="n">
        <v>45981</v>
      </c>
      <c r="W21" s="2" t="inlineStr">
        <is>
          <t>AR: https://www.parlamento.pt/OrcamentoEstado/Paginas/DetalhePropostaAlteracao.aspx?BID=23210 PDF: https://app.parlamento.pt/webutils/docs/doc.pdf?path=6148523063484d364c793942556b356c6443397a6158526c63793959566b6c4a544556484c3039464c7a49774d6a59794d4449314d5441774f53395151533835596d4d30595755794e7930304e6d45784c5451354f5751744f544e6a4e79316a4d4745334d44426b4e575532596d51756347526d&amp;Fich=9bc4ae27-46a1-499d-93c7-c0a700d5e6bd.pdf&amp;Inline=true</t>
        </is>
      </c>
      <c r="X21" s="2" t="inlineStr">
        <is>
          <t>Infraestruturas, Mobilidade e Habitação; Orçamento, Finanças e Administração Pública</t>
        </is>
      </c>
      <c r="Y21" s="2" t="inlineStr">
        <is>
          <t>Articulado</t>
        </is>
      </c>
      <c r="Z21" s="2" t="inlineStr">
        <is>
          <t>Substituição</t>
        </is>
      </c>
      <c r="AA21" s="2" t="inlineStr">
        <is>
          <t>Rejeitado(a) em Comissão</t>
        </is>
      </c>
      <c r="AB21" s="2" t="inlineStr"/>
      <c r="AC21" s="2" t="inlineStr"/>
      <c r="AD21" s="2" t="inlineStr">
        <is>
          <t>1</t>
        </is>
      </c>
      <c r="AE21" s="2" t="inlineStr">
        <is>
          <t>23210</t>
        </is>
      </c>
      <c r="AF21" s="2" t="inlineStr">
        <is>
          <t>https://www.parlamento.pt/OrcamentoEstado/Paginas/DetalhePropostaAlteracao.aspx?BID=23210</t>
        </is>
      </c>
      <c r="AG21" s="2" t="inlineStr">
        <is>
          <t>https://app.parlamento.pt/webutils/docs/doc.pdf?path=6148523063484d364c793942556b356c6443397a6158526c63793959566b6c4a544556484c3039464c7a49774d6a59794d4449314d5441774f53395151533835596d4d30595755794e7930304e6d45784c5451354f5751744f544e6a4e79316a4d4745334d44426b4e575532596d51756347526d&amp;Fich=9bc4ae27-46a1-499d-93c7-c0a700d5e6bd.pdf&amp;Inline=true</t>
        </is>
      </c>
      <c r="AH21" s="3" t="n">
        <v>46321.77847222222</v>
      </c>
      <c r="AI21" s="3" t="n">
        <v>46321.78055555555</v>
      </c>
      <c r="AJ21" s="2" t="inlineStr"/>
    </row>
    <row r="22">
      <c r="A22" s="2" t="n">
        <v>21</v>
      </c>
      <c r="B22" s="2" t="inlineStr">
        <is>
          <t>18C</t>
        </is>
      </c>
      <c r="C22" s="3" t="n">
        <v>45959.40208333333</v>
      </c>
      <c r="D22" s="2" t="inlineStr">
        <is>
          <t>Original</t>
        </is>
      </c>
      <c r="E22" s="2" t="inlineStr">
        <is>
          <t>PAN</t>
        </is>
      </c>
      <c r="F22" s="2" t="inlineStr">
        <is>
          <t>Inês de Sousa Real</t>
        </is>
      </c>
      <c r="G22" s="2" t="inlineStr">
        <is>
          <t>Art. 8.º (substituição)</t>
        </is>
      </c>
      <c r="H22" s="2" t="n"/>
      <c r="I22" s="2" t="n"/>
      <c r="J22" s="2" t="n"/>
      <c r="K22" s="2" t="n"/>
      <c r="L22" s="2" t="inlineStr">
        <is>
          <t>N.º 17, Artigo 8.º</t>
        </is>
      </c>
      <c r="M22" s="4" t="n"/>
      <c r="N22" s="4" t="n"/>
      <c r="O22" s="2" t="n"/>
      <c r="P22" s="2" t="n"/>
      <c r="Q22" s="2" t="n"/>
      <c r="R22" s="2" t="n"/>
      <c r="S22" s="2" t="inlineStr">
        <is>
          <t>Rejeitado(a) em Comissão</t>
        </is>
      </c>
      <c r="T22" s="2" t="inlineStr">
        <is>
          <t>Rejeitada</t>
        </is>
      </c>
      <c r="U22" s="2" t="inlineStr">
        <is>
          <t>Favor: IL, L, PCP, CDS-PP, BE, PAN; Contra: PSD, CH; Abstenção: PS</t>
        </is>
      </c>
      <c r="V22" s="3" t="n">
        <v>45981</v>
      </c>
      <c r="W22" s="2" t="inlineStr">
        <is>
          <t>AR: https://www.parlamento.pt/OrcamentoEstado/Paginas/DetalhePropostaAlteracao.aspx?BID=23211 PDF: https://app.parlamento.pt/webutils/docs/doc.pdf?path=6148523063484d364c793942556b356c6443397a6158526c63793959566b6c4a544556484c3039464c7a49774d6a59794d4449314d5441774f5339515153396d5a44426a5a546b79596930784f574d774c5451774f5441745954646d4d7930334d6d45335a4755354d574a685a4463756347526d&amp;Fich=fd0ce92b-19c0-4090-a7f3-72a7de91bad7.pdf&amp;Inline=true</t>
        </is>
      </c>
      <c r="X22" s="2" t="inlineStr">
        <is>
          <t>Assuntos Constitucionais, Direitos, Liberdades e Garantias</t>
        </is>
      </c>
      <c r="Y22" s="2" t="inlineStr">
        <is>
          <t>Articulado</t>
        </is>
      </c>
      <c r="Z22" s="2" t="inlineStr">
        <is>
          <t>Substituição</t>
        </is>
      </c>
      <c r="AA22" s="2" t="inlineStr">
        <is>
          <t>Rejeitado(a) em Comissão</t>
        </is>
      </c>
      <c r="AB22" s="2" t="inlineStr"/>
      <c r="AC22" s="2" t="inlineStr"/>
      <c r="AD22" s="2" t="inlineStr">
        <is>
          <t>1</t>
        </is>
      </c>
      <c r="AE22" s="2" t="inlineStr">
        <is>
          <t>23211</t>
        </is>
      </c>
      <c r="AF22" s="2" t="inlineStr">
        <is>
          <t>https://www.parlamento.pt/OrcamentoEstado/Paginas/DetalhePropostaAlteracao.aspx?BID=23211</t>
        </is>
      </c>
      <c r="AG22" s="2" t="inlineStr">
        <is>
          <t>https://app.parlamento.pt/webutils/docs/doc.pdf?path=6148523063484d364c793942556b356c6443397a6158526c63793959566b6c4a544556484c3039464c7a49774d6a59794d4449314d5441774f5339515153396d5a44426a5a546b79596930784f574d774c5451774f5441745954646d4d7930334d6d45335a4755354d574a685a4463756347526d&amp;Fich=fd0ce92b-19c0-4090-a7f3-72a7de91bad7.pdf&amp;Inline=true</t>
        </is>
      </c>
      <c r="AH22" s="3" t="n">
        <v>46321.77847222222</v>
      </c>
      <c r="AI22" s="3" t="n">
        <v>46321.78055555555</v>
      </c>
      <c r="AJ22" s="2" t="inlineStr"/>
    </row>
    <row r="23">
      <c r="A23" s="2" t="n">
        <v>22</v>
      </c>
      <c r="B23" s="2" t="inlineStr">
        <is>
          <t>19C</t>
        </is>
      </c>
      <c r="C23" s="3" t="n">
        <v>45959.41736111111</v>
      </c>
      <c r="D23" s="2" t="inlineStr">
        <is>
          <t>Original</t>
        </is>
      </c>
      <c r="E23" s="2" t="inlineStr">
        <is>
          <t>PAN</t>
        </is>
      </c>
      <c r="F23" s="2" t="inlineStr">
        <is>
          <t>Inês de Sousa Real</t>
        </is>
      </c>
      <c r="G23" s="2" t="inlineStr">
        <is>
          <t>Art. 39.º-A (aditamento)</t>
        </is>
      </c>
      <c r="H23" s="2" t="n"/>
      <c r="I23" s="2" t="n"/>
      <c r="J23" s="2" t="n"/>
      <c r="K23" s="2" t="n"/>
      <c r="L23" s="2" t="inlineStr">
        <is>
          <t>Artigo 39.º-A (Respostas de suporte habitacional a pessoas em situação de sem-abrigo)</t>
        </is>
      </c>
      <c r="M23" s="4" t="n"/>
      <c r="N23" s="4" t="n"/>
      <c r="O23" s="2" t="n"/>
      <c r="P23" s="2" t="n"/>
      <c r="Q23" s="2" t="n"/>
      <c r="R23" s="2" t="n"/>
      <c r="S23" s="2" t="inlineStr">
        <is>
          <t>Aprovado(a) em Comissão</t>
        </is>
      </c>
      <c r="T23" s="2" t="inlineStr">
        <is>
          <t>Aprovada</t>
        </is>
      </c>
      <c r="U23" s="2" t="inlineStr">
        <is>
          <t>Favor: CH, PS, IL, L, PCP, BE, PAN; Contra: PSD, CDS-PP</t>
        </is>
      </c>
      <c r="V23" s="3" t="n">
        <v>45981</v>
      </c>
      <c r="W23" s="2" t="inlineStr">
        <is>
          <t>AR: https://www.parlamento.pt/OrcamentoEstado/Paginas/DetalhePropostaAlteracao.aspx?BID=23212 PDF: https://app.parlamento.pt/webutils/docs/doc.pdf?path=6148523063484d364c793942556b356c6443397a6158526c63793959566b6c4a544556484c3039464c7a49774d6a59794d4449314d5441774f533951515338784e7a646a4f5451304d5330775a5751304c54526d4e446b744f544a695a6930334d6a6c6a596a466c4e6d566c595463756347526d&amp;Fich=177c9441-0ed4-4f49-92bf-729cb1e6eea7.pdf&amp;Inline=true</t>
        </is>
      </c>
      <c r="X23" s="2" t="inlineStr">
        <is>
          <t>Assuntos Constitucionais, Direitos, Liberdades e Garantias; Trabalho, Segurança Social e Inclusão</t>
        </is>
      </c>
      <c r="Y23" s="2" t="inlineStr">
        <is>
          <t>Articulado</t>
        </is>
      </c>
      <c r="Z23" s="2" t="inlineStr">
        <is>
          <t>Aditamento (Artigo PPL)</t>
        </is>
      </c>
      <c r="AA23" s="2" t="inlineStr">
        <is>
          <t>Aprovado(a) em Comissão</t>
        </is>
      </c>
      <c r="AB23" s="2" t="inlineStr"/>
      <c r="AC23" s="2" t="inlineStr"/>
      <c r="AD23" s="2" t="inlineStr">
        <is>
          <t>1</t>
        </is>
      </c>
      <c r="AE23" s="2" t="inlineStr">
        <is>
          <t>23212</t>
        </is>
      </c>
      <c r="AF23" s="2" t="inlineStr">
        <is>
          <t>https://www.parlamento.pt/OrcamentoEstado/Paginas/DetalhePropostaAlteracao.aspx?BID=23212</t>
        </is>
      </c>
      <c r="AG23" s="2" t="inlineStr">
        <is>
          <t>https://app.parlamento.pt/webutils/docs/doc.pdf?path=6148523063484d364c793942556b356c6443397a6158526c63793959566b6c4a544556484c3039464c7a49774d6a59794d4449314d5441774f533951515338784e7a646a4f5451304d5330775a5751304c54526d4e446b744f544a695a6930334d6a6c6a596a466c4e6d566c595463756347526d&amp;Fich=177c9441-0ed4-4f49-92bf-729cb1e6eea7.pdf&amp;Inline=true</t>
        </is>
      </c>
      <c r="AH23" s="3" t="n">
        <v>46321.77847222222</v>
      </c>
      <c r="AI23" s="3" t="n">
        <v>46321.78055555555</v>
      </c>
      <c r="AJ23" s="2" t="inlineStr"/>
    </row>
    <row r="24">
      <c r="A24" s="2" t="n">
        <v>23</v>
      </c>
      <c r="B24" s="2" t="inlineStr">
        <is>
          <t>20C</t>
        </is>
      </c>
      <c r="C24" s="3" t="n">
        <v>45959.41875</v>
      </c>
      <c r="D24" s="2" t="inlineStr">
        <is>
          <t>Original</t>
        </is>
      </c>
      <c r="E24" s="2" t="inlineStr">
        <is>
          <t>PAN</t>
        </is>
      </c>
      <c r="F24" s="2" t="inlineStr">
        <is>
          <t>Inês de Sousa Real</t>
        </is>
      </c>
      <c r="G24" s="2" t="inlineStr">
        <is>
          <t>Art. 7.º (aditamento)</t>
        </is>
      </c>
      <c r="H24" s="2" t="n"/>
      <c r="I24" s="2" t="n"/>
      <c r="J24" s="2" t="n"/>
      <c r="K24" s="2" t="n"/>
      <c r="L24" s="2" t="inlineStr">
        <is>
          <t>Verba 107, Mapa de alterações e transferências orçamentais, Artigo 7.º</t>
        </is>
      </c>
      <c r="M24" s="4" t="n"/>
      <c r="N24" s="4" t="n"/>
      <c r="O24" s="2" t="n"/>
      <c r="P24" s="2" t="n"/>
      <c r="Q24" s="2" t="n"/>
      <c r="R24" s="2" t="n"/>
      <c r="S24" s="2" t="inlineStr">
        <is>
          <t>Rejeitado(a) em Comissão</t>
        </is>
      </c>
      <c r="T24" s="2" t="inlineStr">
        <is>
          <t>Rejeitada</t>
        </is>
      </c>
      <c r="U24" s="2" t="inlineStr">
        <is>
          <t>Favor: CH, L, PCP, BE, PAN; Contra: PSD, IL, CDS-PP; Abstenção: PS</t>
        </is>
      </c>
      <c r="V24" s="3" t="n">
        <v>45987</v>
      </c>
      <c r="W24" s="2" t="inlineStr">
        <is>
          <t>AR: https://www.parlamento.pt/OrcamentoEstado/Paginas/DetalhePropostaAlteracao.aspx?BID=23213 PDF: https://app.parlamento.pt/webutils/docs/doc.pdf?path=6148523063484d364c793942556b356c6443397a6158526c63793959566b6c4a544556484c3039464c7a49774d6a59794d4449314d5441774f533951515338784f54686b4f5463314f43316c4f5456684c5451314d7a4d744f4441325953303459544e6a4e44466c59544e6c4f5441756347526d&amp;Fich=198d9758-e95a-4533-806a-8a3c41ea3e90.pdf&amp;Inline=true</t>
        </is>
      </c>
      <c r="X24" s="2" t="inlineStr">
        <is>
          <t>Infraestruturas, Mobilidade e Habitação; Orçamento, Finanças e Administração Pública</t>
        </is>
      </c>
      <c r="Y24" s="2" t="inlineStr">
        <is>
          <t>Mapas</t>
        </is>
      </c>
      <c r="Z24" s="2" t="inlineStr">
        <is>
          <t>Aditamento (Números e Alíneas)</t>
        </is>
      </c>
      <c r="AA24" s="2" t="inlineStr">
        <is>
          <t>Rejeitado(a) em Comissão</t>
        </is>
      </c>
      <c r="AB24" s="2" t="inlineStr"/>
      <c r="AC24" s="2" t="inlineStr"/>
      <c r="AD24" s="2" t="inlineStr">
        <is>
          <t>1</t>
        </is>
      </c>
      <c r="AE24" s="2" t="inlineStr">
        <is>
          <t>23213</t>
        </is>
      </c>
      <c r="AF24" s="2" t="inlineStr">
        <is>
          <t>https://www.parlamento.pt/OrcamentoEstado/Paginas/DetalhePropostaAlteracao.aspx?BID=23213</t>
        </is>
      </c>
      <c r="AG24" s="2" t="inlineStr">
        <is>
          <t>https://app.parlamento.pt/webutils/docs/doc.pdf?path=6148523063484d364c793942556b356c6443397a6158526c63793959566b6c4a544556484c3039464c7a49774d6a59794d4449314d5441774f533951515338784f54686b4f5463314f43316c4f5456684c5451314d7a4d744f4441325953303459544e6a4e44466c59544e6c4f5441756347526d&amp;Fich=198d9758-e95a-4533-806a-8a3c41ea3e90.pdf&amp;Inline=true</t>
        </is>
      </c>
      <c r="AH24" s="3" t="n">
        <v>46321.77847222222</v>
      </c>
      <c r="AI24" s="3" t="n">
        <v>46321.78055555555</v>
      </c>
      <c r="AJ24" s="2" t="inlineStr"/>
    </row>
    <row r="25">
      <c r="A25" s="2" t="n">
        <v>24</v>
      </c>
      <c r="B25" s="2" t="inlineStr">
        <is>
          <t>21C-1</t>
        </is>
      </c>
      <c r="C25" s="3" t="n">
        <v>45959.42013888889</v>
      </c>
      <c r="D25" s="2" t="inlineStr">
        <is>
          <t>Original</t>
        </is>
      </c>
      <c r="E25" s="2" t="inlineStr">
        <is>
          <t>PAN</t>
        </is>
      </c>
      <c r="F25" s="2" t="inlineStr">
        <is>
          <t>Inês de Sousa Real</t>
        </is>
      </c>
      <c r="G25" s="2" t="inlineStr">
        <is>
          <t>Art. 7.º (aditamento)</t>
        </is>
      </c>
      <c r="H25" s="2" t="n"/>
      <c r="I25" s="2" t="n"/>
      <c r="J25" s="2" t="n"/>
      <c r="K25" s="2" t="n"/>
      <c r="L25" s="2" t="inlineStr">
        <is>
          <t>Verba 107, Mapa de alterações e transferências orçamentais, Artigo 7.º</t>
        </is>
      </c>
      <c r="M25" s="4" t="n"/>
      <c r="N25" s="4" t="n"/>
      <c r="O25" s="2" t="n"/>
      <c r="P25" s="2" t="n"/>
      <c r="Q25" s="2" t="n"/>
      <c r="R25" s="2" t="n"/>
      <c r="S25" s="2" t="inlineStr">
        <is>
          <t>Rejeitado(a) em Comissão</t>
        </is>
      </c>
      <c r="T25" s="2" t="inlineStr">
        <is>
          <t>Rejeitada</t>
        </is>
      </c>
      <c r="U25" s="2" t="inlineStr">
        <is>
          <t>Favor: PS, L, PCP, BE, PAN; Contra: PSD, CH, CDS-PP; Abstenção: IL</t>
        </is>
      </c>
      <c r="V25" s="3" t="n">
        <v>45987</v>
      </c>
      <c r="W25" s="2" t="inlineStr">
        <is>
          <t>AR: https://www.parlamento.pt/OrcamentoEstado/Paginas/DetalhePropostaAlteracao.aspx?BID=23214 PDF: https://app.parlamento.pt/webutils/docs/doc.pdf?path=6148523063484d364c793942556b356c6443397a6158526c63793959566b6c4a544556484c3039464c7a49774d6a59794d4449314d5441774f533951515338324e3255324e6d49794f4330774d3259314c54517a4f57517459545133596930774d6a557a59574d305a4463344d6d51756347526d&amp;Fich=67e66b28-03f5-439d-a47b-0253ac4d782d.pdf&amp;Inline=true</t>
        </is>
      </c>
      <c r="X25" s="2" t="inlineStr">
        <is>
          <t>Transparência e Estatuto dos Deputados</t>
        </is>
      </c>
      <c r="Y25" s="2" t="inlineStr">
        <is>
          <t>Mapas</t>
        </is>
      </c>
      <c r="Z25" s="2" t="inlineStr">
        <is>
          <t>Aditamento (Números e Alíneas)</t>
        </is>
      </c>
      <c r="AA25" s="2" t="inlineStr">
        <is>
          <t>Rejeitado(a) em Comissão</t>
        </is>
      </c>
      <c r="AB25" s="2" t="inlineStr"/>
      <c r="AC25" s="2" t="inlineStr">
        <is>
          <t>1</t>
        </is>
      </c>
      <c r="AD25" s="2" t="inlineStr">
        <is>
          <t>1</t>
        </is>
      </c>
      <c r="AE25" s="2" t="inlineStr">
        <is>
          <t>23214</t>
        </is>
      </c>
      <c r="AF25" s="2" t="inlineStr">
        <is>
          <t>https://www.parlamento.pt/OrcamentoEstado/Paginas/DetalhePropostaAlteracao.aspx?BID=23214</t>
        </is>
      </c>
      <c r="AG25" s="2" t="inlineStr">
        <is>
          <t>https://app.parlamento.pt/webutils/docs/doc.pdf?path=6148523063484d364c793942556b356c6443397a6158526c63793959566b6c4a544556484c3039464c7a49774d6a59794d4449314d5441774f533951515338324e3255324e6d49794f4330774d3259314c54517a4f57517459545133596930774d6a557a59574d305a4463344d6d51756347526d&amp;Fich=67e66b28-03f5-439d-a47b-0253ac4d782d.pdf&amp;Inline=true</t>
        </is>
      </c>
      <c r="AH25" s="3" t="n">
        <v>46321.77847222222</v>
      </c>
      <c r="AI25" s="3" t="n">
        <v>46321.78055555555</v>
      </c>
      <c r="AJ25" s="2" t="inlineStr"/>
    </row>
    <row r="26">
      <c r="A26" s="2" t="n">
        <v>25</v>
      </c>
      <c r="B26" s="2" t="inlineStr">
        <is>
          <t>21C-2</t>
        </is>
      </c>
      <c r="C26" s="3" t="n">
        <v>45959.42013888889</v>
      </c>
      <c r="D26" s="2" t="inlineStr">
        <is>
          <t>Original</t>
        </is>
      </c>
      <c r="E26" s="2" t="inlineStr">
        <is>
          <t>PAN</t>
        </is>
      </c>
      <c r="F26" s="2" t="inlineStr">
        <is>
          <t>Inês de Sousa Real</t>
        </is>
      </c>
      <c r="G26" s="2" t="inlineStr">
        <is>
          <t>Art. 1.º (substituição)</t>
        </is>
      </c>
      <c r="H26" s="2" t="n"/>
      <c r="I26" s="2" t="n"/>
      <c r="J26" s="2" t="n"/>
      <c r="K26" s="2" t="n"/>
      <c r="L26" s="2" t="inlineStr">
        <is>
          <t>Mapa 4, Reforço da verba, € 1.600.000</t>
        </is>
      </c>
      <c r="M26" s="4" t="n"/>
      <c r="N26" s="4" t="n"/>
      <c r="O26" s="2" t="n"/>
      <c r="P26" s="2" t="n"/>
      <c r="Q26" s="2" t="n"/>
      <c r="R26" s="2" t="n"/>
      <c r="S26" s="2" t="inlineStr">
        <is>
          <t>Rejeitado(a) em Comissão</t>
        </is>
      </c>
      <c r="T26" s="2" t="inlineStr">
        <is>
          <t>Rejeitada</t>
        </is>
      </c>
      <c r="U26" s="2" t="inlineStr">
        <is>
          <t>Favor: PS, L, PCP, BE, PAN; Contra: PSD, CH, CDS-PP; Abstenção: IL</t>
        </is>
      </c>
      <c r="V26" s="3" t="n">
        <v>45987</v>
      </c>
      <c r="W26" s="2" t="inlineStr">
        <is>
          <t>AR: https://www.parlamento.pt/OrcamentoEstado/Paginas/DetalhePropostaAlteracao.aspx?BID=24520 PDF: https://app.parlamento.pt/webutils/docs/doc.pdf?path=6148523063484d364c793942556b356c6443397a6158526c63793959566b6c4a544556484c3039464c7a49774d6a59794d4449314d5441774f5339515153396c4f47457a4d32517a5a43316d4d7a646d4c545132597a4d744f444e685a4330304e7a45784e44637a4d3245784f5463756347526d&amp;Fich=e8a33d3d-f37f-46c3-83ad-47114733a197.pdf&amp;Inline=true</t>
        </is>
      </c>
      <c r="X26" s="2" t="inlineStr">
        <is>
          <t>Transparência e Estatuto dos Deputados</t>
        </is>
      </c>
      <c r="Y26" s="2" t="inlineStr">
        <is>
          <t>Mapas</t>
        </is>
      </c>
      <c r="Z26" s="2" t="inlineStr">
        <is>
          <t>Substituição</t>
        </is>
      </c>
      <c r="AA26" s="2" t="inlineStr">
        <is>
          <t>Rejeitado(a) em Comissão</t>
        </is>
      </c>
      <c r="AB26" s="2" t="inlineStr"/>
      <c r="AC26" s="2" t="inlineStr">
        <is>
          <t>2</t>
        </is>
      </c>
      <c r="AD26" s="2" t="inlineStr">
        <is>
          <t>1</t>
        </is>
      </c>
      <c r="AE26" s="2" t="inlineStr">
        <is>
          <t>24520</t>
        </is>
      </c>
      <c r="AF26" s="2" t="inlineStr">
        <is>
          <t>https://www.parlamento.pt/OrcamentoEstado/Paginas/DetalhePropostaAlteracao.aspx?BID=24520</t>
        </is>
      </c>
      <c r="AG26" s="2" t="inlineStr">
        <is>
          <t>https://app.parlamento.pt/webutils/docs/doc.pdf?path=6148523063484d364c793942556b356c6443397a6158526c63793959566b6c4a544556484c3039464c7a49774d6a59794d4449314d5441774f5339515153396c4f47457a4d32517a5a43316d4d7a646d4c545132597a4d744f444e685a4330304e7a45784e44637a4d3245784f5463756347526d&amp;Fich=e8a33d3d-f37f-46c3-83ad-47114733a197.pdf&amp;Inline=true</t>
        </is>
      </c>
      <c r="AH26" s="3" t="n">
        <v>46321.77847222222</v>
      </c>
      <c r="AI26" s="3" t="n">
        <v>46321.78055555555</v>
      </c>
      <c r="AJ26" s="2" t="inlineStr"/>
    </row>
    <row r="27">
      <c r="A27" s="2" t="n">
        <v>26</v>
      </c>
      <c r="B27" s="2" t="inlineStr">
        <is>
          <t>22C</t>
        </is>
      </c>
      <c r="C27" s="3" t="n">
        <v>45959.42083333333</v>
      </c>
      <c r="D27" s="2" t="inlineStr">
        <is>
          <t>Original</t>
        </is>
      </c>
      <c r="E27" s="2" t="inlineStr">
        <is>
          <t>PAN</t>
        </is>
      </c>
      <c r="F27" s="2" t="inlineStr">
        <is>
          <t>Inês de Sousa Real</t>
        </is>
      </c>
      <c r="G27" s="2" t="inlineStr">
        <is>
          <t>Art. 11.º-A (aditamento)</t>
        </is>
      </c>
      <c r="H27" s="2" t="n"/>
      <c r="I27" s="2" t="n"/>
      <c r="J27" s="2" t="n"/>
      <c r="K27" s="2" t="n"/>
      <c r="L27" s="2" t="inlineStr">
        <is>
          <t>Artigo 11.º-A (Portal Queixa Eletrónica)</t>
        </is>
      </c>
      <c r="M27" s="4" t="n"/>
      <c r="N27" s="4" t="n"/>
      <c r="O27" s="2" t="n"/>
      <c r="P27" s="2" t="n"/>
      <c r="Q27" s="2" t="n"/>
      <c r="R27" s="2" t="n"/>
      <c r="S27" s="2" t="inlineStr">
        <is>
          <t>Aprovado(a) em Comissão</t>
        </is>
      </c>
      <c r="T27" s="2" t="inlineStr">
        <is>
          <t>Aprovada</t>
        </is>
      </c>
      <c r="U27" s="2" t="inlineStr">
        <is>
          <t>Favor: CH, PS, L, PCP, BE, PAN; Contra: PSD, CDS-PP; Abstenção: IL</t>
        </is>
      </c>
      <c r="V27" s="3" t="n">
        <v>45981</v>
      </c>
      <c r="W27" s="2" t="inlineStr">
        <is>
          <t>AR: https://www.parlamento.pt/OrcamentoEstado/Paginas/DetalhePropostaAlteracao.aspx?BID=23215 PDF: https://app.parlamento.pt/webutils/docs/doc.pdf?path=6148523063484d364c793942556b356c6443397a6158526c63793959566b6c4a544556484c3039464c7a49774d6a59794d4449314d5441774f533951515338335a6a4d794d4441315953316a4e4751784c5451334e6a41744f5467354e79307a4d474d784e44566a4d7a51314e4745756347526d&amp;Fich=7f32005a-c4d1-4760-9897-30c145c3454a.pdf&amp;Inline=true</t>
        </is>
      </c>
      <c r="X27" s="2" t="inlineStr">
        <is>
          <t>Assuntos Constitucionais, Direitos, Liberdades e Garantias</t>
        </is>
      </c>
      <c r="Y27" s="2" t="inlineStr">
        <is>
          <t>Articulado</t>
        </is>
      </c>
      <c r="Z27" s="2" t="inlineStr">
        <is>
          <t>Aditamento (Artigo PPL)</t>
        </is>
      </c>
      <c r="AA27" s="2" t="inlineStr">
        <is>
          <t>Aprovado(a) em Comissão</t>
        </is>
      </c>
      <c r="AB27" s="2" t="inlineStr"/>
      <c r="AC27" s="2" t="inlineStr"/>
      <c r="AD27" s="2" t="inlineStr">
        <is>
          <t>1</t>
        </is>
      </c>
      <c r="AE27" s="2" t="inlineStr">
        <is>
          <t>23215</t>
        </is>
      </c>
      <c r="AF27" s="2" t="inlineStr">
        <is>
          <t>https://www.parlamento.pt/OrcamentoEstado/Paginas/DetalhePropostaAlteracao.aspx?BID=23215</t>
        </is>
      </c>
      <c r="AG27" s="2" t="inlineStr">
        <is>
          <t>https://app.parlamento.pt/webutils/docs/doc.pdf?path=6148523063484d364c793942556b356c6443397a6158526c63793959566b6c4a544556484c3039464c7a49774d6a59794d4449314d5441774f533951515338335a6a4d794d4441315953316a4e4751784c5451334e6a41744f5467354e79307a4d474d784e44566a4d7a51314e4745756347526d&amp;Fich=7f32005a-c4d1-4760-9897-30c145c3454a.pdf&amp;Inline=true</t>
        </is>
      </c>
      <c r="AH27" s="3" t="n">
        <v>46321.77847222222</v>
      </c>
      <c r="AI27" s="3" t="n">
        <v>46321.78055555555</v>
      </c>
      <c r="AJ27" s="2" t="inlineStr"/>
    </row>
    <row r="28">
      <c r="A28" s="2" t="n">
        <v>27</v>
      </c>
      <c r="B28" s="2" t="inlineStr">
        <is>
          <t>23C</t>
        </is>
      </c>
      <c r="C28" s="3" t="n">
        <v>45959.42291666667</v>
      </c>
      <c r="D28" s="2" t="inlineStr">
        <is>
          <t>Original</t>
        </is>
      </c>
      <c r="E28" s="2" t="inlineStr">
        <is>
          <t>PAN</t>
        </is>
      </c>
      <c r="F28" s="2" t="inlineStr">
        <is>
          <t>Inês de Sousa Real</t>
        </is>
      </c>
      <c r="G28" s="2" t="inlineStr">
        <is>
          <t>Art. 11.º-B (aditamento)</t>
        </is>
      </c>
      <c r="H28" s="2" t="n"/>
      <c r="I28" s="2" t="n"/>
      <c r="J28" s="2" t="n"/>
      <c r="K28" s="2" t="n"/>
      <c r="L28" s="2" t="inlineStr">
        <is>
          <t>Artigo 11.º-B (Enquadramento de práticas tradicionais nefastas no âmbito do Portal Queixa Eletrónica)</t>
        </is>
      </c>
      <c r="M28" s="4" t="n"/>
      <c r="N28" s="4" t="n"/>
      <c r="O28" s="2" t="n"/>
      <c r="P28" s="2" t="n"/>
      <c r="Q28" s="2" t="n"/>
      <c r="R28" s="2" t="n"/>
      <c r="S28" s="2" t="inlineStr">
        <is>
          <t>Rejeitado(a) em Comissão</t>
        </is>
      </c>
      <c r="T28" s="2" t="inlineStr">
        <is>
          <t>Rejeitada</t>
        </is>
      </c>
      <c r="U28" s="2" t="inlineStr">
        <is>
          <t>Favor: CH, IL, L, PCP, BE, PAN; Contra: PSD; Abstenção: PS, CDS-PP</t>
        </is>
      </c>
      <c r="V28" s="3" t="n">
        <v>45981</v>
      </c>
      <c r="W28" s="2" t="inlineStr">
        <is>
          <t>AR: https://www.parlamento.pt/OrcamentoEstado/Paginas/DetalhePropostaAlteracao.aspx?BID=23216 PDF: https://app.parlamento.pt/webutils/docs/doc.pdf?path=6148523063484d364c793942556b356c6443397a6158526c63793959566b6c4a544556484c3039464c7a49774d6a59794d4449314d5441774f5339515153396d5a6a49784d54566b4d69316c4e5463794c545177595755744f4463314e53316b4d325a6b5a5755794d47457a596a4d756347526d&amp;Fich=ff2115d2-e572-40ae-8755-d3fdee20a3b3.pdf&amp;Inline=true</t>
        </is>
      </c>
      <c r="X28" s="2" t="inlineStr">
        <is>
          <t>Assuntos Constitucionais, Direitos, Liberdades e Garantias</t>
        </is>
      </c>
      <c r="Y28" s="2" t="inlineStr">
        <is>
          <t>Articulado</t>
        </is>
      </c>
      <c r="Z28" s="2" t="inlineStr">
        <is>
          <t>Aditamento (Artigo PPL)</t>
        </is>
      </c>
      <c r="AA28" s="2" t="inlineStr">
        <is>
          <t>Rejeitado(a) em Comissão</t>
        </is>
      </c>
      <c r="AB28" s="2" t="inlineStr"/>
      <c r="AC28" s="2" t="inlineStr"/>
      <c r="AD28" s="2" t="inlineStr">
        <is>
          <t>1</t>
        </is>
      </c>
      <c r="AE28" s="2" t="inlineStr">
        <is>
          <t>23216</t>
        </is>
      </c>
      <c r="AF28" s="2" t="inlineStr">
        <is>
          <t>https://www.parlamento.pt/OrcamentoEstado/Paginas/DetalhePropostaAlteracao.aspx?BID=23216</t>
        </is>
      </c>
      <c r="AG28" s="2" t="inlineStr">
        <is>
          <t>https://app.parlamento.pt/webutils/docs/doc.pdf?path=6148523063484d364c793942556b356c6443397a6158526c63793959566b6c4a544556484c3039464c7a49774d6a59794d4449314d5441774f5339515153396d5a6a49784d54566b4d69316c4e5463794c545177595755744f4463314e53316b4d325a6b5a5755794d47457a596a4d756347526d&amp;Fich=ff2115d2-e572-40ae-8755-d3fdee20a3b3.pdf&amp;Inline=true</t>
        </is>
      </c>
      <c r="AH28" s="3" t="n">
        <v>46321.77847222222</v>
      </c>
      <c r="AI28" s="3" t="n">
        <v>46321.78055555555</v>
      </c>
      <c r="AJ28" s="2" t="inlineStr"/>
    </row>
    <row r="29">
      <c r="A29" s="2" t="n">
        <v>28</v>
      </c>
      <c r="B29" s="2" t="inlineStr">
        <is>
          <t>24C</t>
        </is>
      </c>
      <c r="C29" s="3" t="n">
        <v>45959.42361111111</v>
      </c>
      <c r="D29" s="2" t="inlineStr">
        <is>
          <t>Original</t>
        </is>
      </c>
      <c r="E29" s="2" t="inlineStr">
        <is>
          <t>PAN</t>
        </is>
      </c>
      <c r="F29" s="2" t="inlineStr">
        <is>
          <t>Inês de Sousa Real</t>
        </is>
      </c>
      <c r="G29" s="2" t="inlineStr">
        <is>
          <t>Art. 129.º-B (aditamento)</t>
        </is>
      </c>
      <c r="H29" s="2" t="n"/>
      <c r="I29" s="2" t="n"/>
      <c r="J29" s="2" t="n"/>
      <c r="K29" s="2" t="n"/>
      <c r="L29" s="2" t="inlineStr">
        <is>
          <t>Artigo 129.º-B (Prevenção da corrupção na Administração Pública)</t>
        </is>
      </c>
      <c r="M29" s="4" t="n"/>
      <c r="N29" s="4" t="n"/>
      <c r="O29" s="2" t="n"/>
      <c r="P29" s="2" t="n"/>
      <c r="Q29" s="2" t="n"/>
      <c r="R29" s="2" t="n"/>
      <c r="S29" s="2" t="inlineStr">
        <is>
          <t>Aprovado(a) em Comissão</t>
        </is>
      </c>
      <c r="T29" s="2" t="inlineStr">
        <is>
          <t>Aprovada</t>
        </is>
      </c>
      <c r="U29" s="2" t="inlineStr">
        <is>
          <t>Favor: CH, IL, L, PCP, BE, PAN; Abstenção: PSD, PS, CDS-PP</t>
        </is>
      </c>
      <c r="V29" s="3" t="n">
        <v>45985</v>
      </c>
      <c r="W29" s="2" t="inlineStr">
        <is>
          <t>AR: https://www.parlamento.pt/OrcamentoEstado/Paginas/DetalhePropostaAlteracao.aspx?BID=23217 PDF: https://app.parlamento.pt/webutils/docs/doc.pdf?path=6148523063484d364c793942556b356c6443397a6158526c63793959566b6c4a544556484c3039464c7a49774d6a59794d4449314d5441774f533951515339694d6a67794e6a497a5a4330344e4446694c5451794f4755744f5459774f4330774e47466d4e54426a5a575934595745756347526d&amp;Fich=b282623d-841b-428e-9608-04af50cef8aa.pdf&amp;Inline=true</t>
        </is>
      </c>
      <c r="X29" s="2" t="inlineStr">
        <is>
          <t>Orçamento, Finanças e Administração Pública</t>
        </is>
      </c>
      <c r="Y29" s="2" t="inlineStr">
        <is>
          <t>Articulado</t>
        </is>
      </c>
      <c r="Z29" s="2" t="inlineStr">
        <is>
          <t>Aditamento (Artigo PPL)</t>
        </is>
      </c>
      <c r="AA29" s="2" t="inlineStr">
        <is>
          <t>Aprovado(a) em Comissão</t>
        </is>
      </c>
      <c r="AB29" s="2" t="inlineStr"/>
      <c r="AC29" s="2" t="inlineStr"/>
      <c r="AD29" s="2" t="inlineStr">
        <is>
          <t>1</t>
        </is>
      </c>
      <c r="AE29" s="2" t="inlineStr">
        <is>
          <t>23217</t>
        </is>
      </c>
      <c r="AF29" s="2" t="inlineStr">
        <is>
          <t>https://www.parlamento.pt/OrcamentoEstado/Paginas/DetalhePropostaAlteracao.aspx?BID=23217</t>
        </is>
      </c>
      <c r="AG29" s="2" t="inlineStr">
        <is>
          <t>https://app.parlamento.pt/webutils/docs/doc.pdf?path=6148523063484d364c793942556b356c6443397a6158526c63793959566b6c4a544556484c3039464c7a49774d6a59794d4449314d5441774f533951515339694d6a67794e6a497a5a4330344e4446694c5451794f4755744f5459774f4330774e47466d4e54426a5a575934595745756347526d&amp;Fich=b282623d-841b-428e-9608-04af50cef8aa.pdf&amp;Inline=true</t>
        </is>
      </c>
      <c r="AH29" s="3" t="n">
        <v>46321.77847222222</v>
      </c>
      <c r="AI29" s="3" t="n">
        <v>46321.78055555555</v>
      </c>
      <c r="AJ29" s="2" t="inlineStr"/>
    </row>
    <row r="30">
      <c r="A30" s="2" t="n">
        <v>29</v>
      </c>
      <c r="B30" s="2" t="inlineStr">
        <is>
          <t>25C</t>
        </is>
      </c>
      <c r="C30" s="3" t="n">
        <v>45959.42361111111</v>
      </c>
      <c r="D30" s="2" t="inlineStr">
        <is>
          <t>Original</t>
        </is>
      </c>
      <c r="E30" s="2" t="inlineStr">
        <is>
          <t>PAN</t>
        </is>
      </c>
      <c r="F30" s="2" t="inlineStr">
        <is>
          <t>Inês de Sousa Real</t>
        </is>
      </c>
      <c r="G30" s="2" t="inlineStr">
        <is>
          <t>Art. 108.º-A (aditamento)</t>
        </is>
      </c>
      <c r="H30" s="2" t="n"/>
      <c r="I30" s="2" t="n"/>
      <c r="J30" s="2" t="n"/>
      <c r="K30" s="2" t="n"/>
      <c r="L30" s="2" t="inlineStr">
        <is>
          <t>Artigo 108.º-A (Programa Nacional de financiamento da rede de centros de recuperação de fauna selvagem)</t>
        </is>
      </c>
      <c r="M30" s="4" t="n"/>
      <c r="N30" s="4" t="n"/>
      <c r="O30" s="2" t="n"/>
      <c r="P30" s="2" t="n"/>
      <c r="Q30" s="2" t="n"/>
      <c r="R30" s="2" t="n"/>
      <c r="S30" s="2" t="inlineStr">
        <is>
          <t>Rejeitado(a) em Comissão</t>
        </is>
      </c>
      <c r="T30" s="2" t="inlineStr">
        <is>
          <t>Rejeitada</t>
        </is>
      </c>
      <c r="U30" s="2" t="inlineStr">
        <is>
          <t>Favor: CH, L, PCP, BE, PAN; Contra: PSD, IL, CDS-PP; Abstenção: PS</t>
        </is>
      </c>
      <c r="V30" s="3" t="n">
        <v>45982</v>
      </c>
      <c r="W30" s="2" t="inlineStr">
        <is>
          <t>AR: https://www.parlamento.pt/OrcamentoEstado/Paginas/DetalhePropostaAlteracao.aspx?BID=23218 PDF: https://app.parlamento.pt/webutils/docs/doc.pdf?path=6148523063484d364c793942556b356c6443397a6158526c63793959566b6c4a544556484c3039464c7a49774d6a59794d4449314d5441774f533951515338784d6a6c6c4f574e684e5330334d5749774c5451794f446b7459575530597931694e574e6d4e7a59355a4464694f4745756347526d&amp;Fich=129e9ca5-71b0-4289-ae4c-b5cf769d7b8a.pdf&amp;Inline=true</t>
        </is>
      </c>
      <c r="X30" s="2" t="inlineStr">
        <is>
          <t>Agricultura e Pescas; Ambiente e Energia</t>
        </is>
      </c>
      <c r="Y30" s="2" t="inlineStr">
        <is>
          <t>Articulado</t>
        </is>
      </c>
      <c r="Z30" s="2" t="inlineStr">
        <is>
          <t>Aditamento (Artigo PPL)</t>
        </is>
      </c>
      <c r="AA30" s="2" t="inlineStr">
        <is>
          <t>Rejeitado(a) em Comissão</t>
        </is>
      </c>
      <c r="AB30" s="2" t="inlineStr"/>
      <c r="AC30" s="2" t="inlineStr"/>
      <c r="AD30" s="2" t="inlineStr">
        <is>
          <t>1</t>
        </is>
      </c>
      <c r="AE30" s="2" t="inlineStr">
        <is>
          <t>23218</t>
        </is>
      </c>
      <c r="AF30" s="2" t="inlineStr">
        <is>
          <t>https://www.parlamento.pt/OrcamentoEstado/Paginas/DetalhePropostaAlteracao.aspx?BID=23218</t>
        </is>
      </c>
      <c r="AG30" s="2" t="inlineStr">
        <is>
          <t>https://app.parlamento.pt/webutils/docs/doc.pdf?path=6148523063484d364c793942556b356c6443397a6158526c63793959566b6c4a544556484c3039464c7a49774d6a59794d4449314d5441774f533951515338784d6a6c6c4f574e684e5330334d5749774c5451794f446b7459575530597931694e574e6d4e7a59355a4464694f4745756347526d&amp;Fich=129e9ca5-71b0-4289-ae4c-b5cf769d7b8a.pdf&amp;Inline=true</t>
        </is>
      </c>
      <c r="AH30" s="3" t="n">
        <v>46321.77847222222</v>
      </c>
      <c r="AI30" s="3" t="n">
        <v>46321.78055555555</v>
      </c>
      <c r="AJ30" s="2" t="inlineStr"/>
    </row>
    <row r="31">
      <c r="A31" s="2" t="n">
        <v>30</v>
      </c>
      <c r="B31" s="2" t="inlineStr">
        <is>
          <t>26C</t>
        </is>
      </c>
      <c r="C31" s="3" t="n">
        <v>45959.42430555556</v>
      </c>
      <c r="D31" s="2" t="inlineStr">
        <is>
          <t>Original</t>
        </is>
      </c>
      <c r="E31" s="2" t="inlineStr">
        <is>
          <t>PAN</t>
        </is>
      </c>
      <c r="F31" s="2" t="inlineStr">
        <is>
          <t>Inês de Sousa Real</t>
        </is>
      </c>
      <c r="G31" s="2" t="inlineStr">
        <is>
          <t>Art. 129.º-A (aditamento)</t>
        </is>
      </c>
      <c r="H31" s="2" t="n"/>
      <c r="I31" s="2" t="n"/>
      <c r="J31" s="2" t="n"/>
      <c r="K31" s="2" t="n"/>
      <c r="L31" s="2" t="inlineStr">
        <is>
          <t>Artigo 129.º-A (Reforço do combate à corrupção, fraude e criminalidade económico-financeira)</t>
        </is>
      </c>
      <c r="M31" s="4" t="n"/>
      <c r="N31" s="4" t="n"/>
      <c r="O31" s="2" t="n"/>
      <c r="P31" s="2" t="n"/>
      <c r="Q31" s="2" t="n"/>
      <c r="R31" s="2" t="n"/>
      <c r="S31" s="2" t="inlineStr">
        <is>
          <t>Aprovado(a) Parcialmente em Comissão</t>
        </is>
      </c>
      <c r="T31" s="2" t="inlineStr">
        <is>
          <t>Aprovada parcialmente</t>
        </is>
      </c>
      <c r="U31" s="2" t="inlineStr">
        <is>
          <t>Favor: PSD, CH, IL, L, PCP, CDS-PP, BE, PAN; Abstenção: PS</t>
        </is>
      </c>
      <c r="V31" s="3" t="n">
        <v>45985</v>
      </c>
      <c r="W31" s="2" t="inlineStr">
        <is>
          <t>AR: https://www.parlamento.pt/OrcamentoEstado/Paginas/DetalhePropostaAlteracao.aspx?BID=23219 PDF: https://app.parlamento.pt/webutils/docs/doc.pdf?path=6148523063484d364c793942556b356c6443397a6158526c63793959566b6c4a544556484c3039464c7a49774d6a59794d4449314d5441774f533951515338334d6a68694e6a5532597930794d4445784c5451354e6a49744f5745354d5330794e57526b4d54686a4f54646c4f4745756347526d&amp;Fich=728b656c-2011-4962-9a91-25dd18c97e8a.pdf&amp;Inline=true</t>
        </is>
      </c>
      <c r="X31" s="2" t="inlineStr">
        <is>
          <t>Assuntos Constitucionais, Direitos, Liberdades e Garantias; Orçamento, Finanças e Administração Pública</t>
        </is>
      </c>
      <c r="Y31" s="2" t="inlineStr">
        <is>
          <t>Articulado</t>
        </is>
      </c>
      <c r="Z31" s="2" t="inlineStr">
        <is>
          <t>Aditamento (Artigo PPL)</t>
        </is>
      </c>
      <c r="AA31" s="2" t="inlineStr">
        <is>
          <t>Aprovado(a) Parcialmente em Comissão</t>
        </is>
      </c>
      <c r="AB31" s="2" t="inlineStr"/>
      <c r="AC31" s="2" t="inlineStr"/>
      <c r="AD31" s="2" t="inlineStr">
        <is>
          <t>1</t>
        </is>
      </c>
      <c r="AE31" s="2" t="inlineStr">
        <is>
          <t>23219</t>
        </is>
      </c>
      <c r="AF31" s="2" t="inlineStr">
        <is>
          <t>https://www.parlamento.pt/OrcamentoEstado/Paginas/DetalhePropostaAlteracao.aspx?BID=23219</t>
        </is>
      </c>
      <c r="AG31" s="2" t="inlineStr">
        <is>
          <t>https://app.parlamento.pt/webutils/docs/doc.pdf?path=6148523063484d364c793942556b356c6443397a6158526c63793959566b6c4a544556484c3039464c7a49774d6a59794d4449314d5441774f533951515338334d6a68694e6a5532597930794d4445784c5451354e6a49744f5745354d5330794e57526b4d54686a4f54646c4f4745756347526d&amp;Fich=728b656c-2011-4962-9a91-25dd18c97e8a.pdf&amp;Inline=true</t>
        </is>
      </c>
      <c r="AH31" s="3" t="n">
        <v>46321.77847222222</v>
      </c>
      <c r="AI31" s="3" t="n">
        <v>46321.78055555555</v>
      </c>
      <c r="AJ31" s="2" t="inlineStr"/>
    </row>
    <row r="32">
      <c r="A32" s="2" t="n">
        <v>31</v>
      </c>
      <c r="B32" s="2" t="inlineStr">
        <is>
          <t>27C</t>
        </is>
      </c>
      <c r="C32" s="3" t="n">
        <v>45959.42430555556</v>
      </c>
      <c r="D32" s="2" t="inlineStr">
        <is>
          <t>Original</t>
        </is>
      </c>
      <c r="E32" s="2" t="inlineStr">
        <is>
          <t>PAN</t>
        </is>
      </c>
      <c r="F32" s="2" t="inlineStr">
        <is>
          <t>Inês de Sousa Real</t>
        </is>
      </c>
      <c r="G32" s="2" t="inlineStr">
        <is>
          <t>Art. 108.º-B (aditamento)</t>
        </is>
      </c>
      <c r="H32" s="2" t="n"/>
      <c r="I32" s="2" t="n"/>
      <c r="J32" s="2" t="n"/>
      <c r="K32" s="2" t="n"/>
      <c r="L32" s="2" t="inlineStr">
        <is>
          <t>Artigo 108.º-B (Revisão da Portaria n.º 1112/2009, de 28 de setembro)</t>
        </is>
      </c>
      <c r="M32" s="4" t="n"/>
      <c r="N32" s="4" t="n"/>
      <c r="O32" s="2" t="n"/>
      <c r="P32" s="2" t="n"/>
      <c r="Q32" s="2" t="n"/>
      <c r="R32" s="2" t="n"/>
      <c r="S32" s="2" t="inlineStr">
        <is>
          <t>Rejeitado(a) em Comissão</t>
        </is>
      </c>
      <c r="T32" s="2" t="inlineStr">
        <is>
          <t>Rejeitada</t>
        </is>
      </c>
      <c r="U32" s="2" t="inlineStr">
        <is>
          <t>Favor: CH, L, PCP, BE, PAN; Contra: PSD, CDS-PP; Abstenção: PS, IL</t>
        </is>
      </c>
      <c r="V32" s="3" t="n">
        <v>45982</v>
      </c>
      <c r="W32" s="2" t="inlineStr">
        <is>
          <t>AR: https://www.parlamento.pt/OrcamentoEstado/Paginas/DetalhePropostaAlteracao.aspx?BID=23220 PDF: https://app.parlamento.pt/webutils/docs/doc.pdf?path=6148523063484d364c793942556b356c6443397a6158526c63793959566b6c4a544556484c3039464c7a49774d6a59794d4449314d5441774f5339515153396a4e6a5135596a67774d69316a4e5756684c5451314e575174595463304f4331684d7a426d4e47566b4e5755304d4749756347526d&amp;Fich=c649b802-c5ea-455d-a748-a30f4ed5e40b.pdf&amp;Inline=true</t>
        </is>
      </c>
      <c r="X32" s="2" t="inlineStr">
        <is>
          <t>Agricultura e Pescas; Ambiente e Energia</t>
        </is>
      </c>
      <c r="Y32" s="2" t="inlineStr">
        <is>
          <t>Articulado</t>
        </is>
      </c>
      <c r="Z32" s="2" t="inlineStr">
        <is>
          <t>Aditamento (Artigo PPL)</t>
        </is>
      </c>
      <c r="AA32" s="2" t="inlineStr">
        <is>
          <t>Rejeitado(a) em Comissão</t>
        </is>
      </c>
      <c r="AB32" s="2" t="inlineStr"/>
      <c r="AC32" s="2" t="inlineStr"/>
      <c r="AD32" s="2" t="inlineStr">
        <is>
          <t>1</t>
        </is>
      </c>
      <c r="AE32" s="2" t="inlineStr">
        <is>
          <t>23220</t>
        </is>
      </c>
      <c r="AF32" s="2" t="inlineStr">
        <is>
          <t>https://www.parlamento.pt/OrcamentoEstado/Paginas/DetalhePropostaAlteracao.aspx?BID=23220</t>
        </is>
      </c>
      <c r="AG32" s="2" t="inlineStr">
        <is>
          <t>https://app.parlamento.pt/webutils/docs/doc.pdf?path=6148523063484d364c793942556b356c6443397a6158526c63793959566b6c4a544556484c3039464c7a49774d6a59794d4449314d5441774f5339515153396a4e6a5135596a67774d69316a4e5756684c5451314e575174595463304f4331684d7a426d4e47566b4e5755304d4749756347526d&amp;Fich=c649b802-c5ea-455d-a748-a30f4ed5e40b.pdf&amp;Inline=true</t>
        </is>
      </c>
      <c r="AH32" s="3" t="n">
        <v>46321.77847222222</v>
      </c>
      <c r="AI32" s="3" t="n">
        <v>46321.78055555555</v>
      </c>
      <c r="AJ32" s="2" t="inlineStr"/>
    </row>
    <row r="33">
      <c r="A33" s="2" t="n">
        <v>32</v>
      </c>
      <c r="B33" s="2" t="inlineStr">
        <is>
          <t>28C</t>
        </is>
      </c>
      <c r="C33" s="3" t="n">
        <v>45959.42569444444</v>
      </c>
      <c r="D33" s="2" t="inlineStr">
        <is>
          <t>Original</t>
        </is>
      </c>
      <c r="E33" s="2" t="inlineStr">
        <is>
          <t>PAN</t>
        </is>
      </c>
      <c r="F33" s="2" t="inlineStr">
        <is>
          <t>Inês de Sousa Real</t>
        </is>
      </c>
      <c r="G33" s="2" t="inlineStr">
        <is>
          <t>Art. 108.º-A (aditamento)</t>
        </is>
      </c>
      <c r="H33" s="2" t="n"/>
      <c r="I33" s="2" t="n"/>
      <c r="J33" s="2" t="n"/>
      <c r="K33" s="2" t="n"/>
      <c r="L33" s="2" t="inlineStr">
        <is>
          <t>Artigo 108.º-A (Criação da linha telefónica nacional de socorro animal)</t>
        </is>
      </c>
      <c r="M33" s="4" t="n"/>
      <c r="N33" s="4" t="n"/>
      <c r="O33" s="2" t="n"/>
      <c r="P33" s="2" t="n"/>
      <c r="Q33" s="2" t="n"/>
      <c r="R33" s="2" t="n"/>
      <c r="S33" s="2" t="inlineStr">
        <is>
          <t>Rejeitado(a) em Comissão</t>
        </is>
      </c>
      <c r="T33" s="2" t="inlineStr">
        <is>
          <t>Rejeitada</t>
        </is>
      </c>
      <c r="U33" s="2" t="inlineStr">
        <is>
          <t>Favor: CH, L, BE, PAN; Contra: PSD, IL, PCP, CDS-PP; Abstenção: PS</t>
        </is>
      </c>
      <c r="V33" s="3" t="n">
        <v>45982</v>
      </c>
      <c r="W33" s="2" t="inlineStr">
        <is>
          <t>AR: https://www.parlamento.pt/OrcamentoEstado/Paginas/DetalhePropostaAlteracao.aspx?BID=23221 PDF: https://app.parlamento.pt/webutils/docs/doc.pdf?path=6148523063484d364c793942556b356c6443397a6158526c63793959566b6c4a544556484c3039464c7a49774d6a59794d4449314d5441774f533951515339684f544931596a4d31596930344f54557a4c5451344e7a4174596a4533597930784d54686b4e6d45345a5755785a4449756347526d&amp;Fich=a925b35b-8953-4870-b17c-118d6a8ee1d2.pdf&amp;Inline=true</t>
        </is>
      </c>
      <c r="X33" s="2" t="inlineStr">
        <is>
          <t>Agricultura e Pescas; Ambiente e Energia</t>
        </is>
      </c>
      <c r="Y33" s="2" t="inlineStr">
        <is>
          <t>Articulado</t>
        </is>
      </c>
      <c r="Z33" s="2" t="inlineStr">
        <is>
          <t>Aditamento (Artigo PPL)</t>
        </is>
      </c>
      <c r="AA33" s="2" t="inlineStr">
        <is>
          <t>Rejeitado(a) em Comissão</t>
        </is>
      </c>
      <c r="AB33" s="2" t="inlineStr"/>
      <c r="AC33" s="2" t="inlineStr"/>
      <c r="AD33" s="2" t="inlineStr">
        <is>
          <t>1</t>
        </is>
      </c>
      <c r="AE33" s="2" t="inlineStr">
        <is>
          <t>23221</t>
        </is>
      </c>
      <c r="AF33" s="2" t="inlineStr">
        <is>
          <t>https://www.parlamento.pt/OrcamentoEstado/Paginas/DetalhePropostaAlteracao.aspx?BID=23221</t>
        </is>
      </c>
      <c r="AG33" s="2" t="inlineStr">
        <is>
          <t>https://app.parlamento.pt/webutils/docs/doc.pdf?path=6148523063484d364c793942556b356c6443397a6158526c63793959566b6c4a544556484c3039464c7a49774d6a59794d4449314d5441774f533951515339684f544931596a4d31596930344f54557a4c5451344e7a4174596a4533597930784d54686b4e6d45345a5755785a4449756347526d&amp;Fich=a925b35b-8953-4870-b17c-118d6a8ee1d2.pdf&amp;Inline=true</t>
        </is>
      </c>
      <c r="AH33" s="3" t="n">
        <v>46321.77847222222</v>
      </c>
      <c r="AI33" s="3" t="n">
        <v>46321.78055555555</v>
      </c>
      <c r="AJ33" s="2" t="inlineStr"/>
    </row>
    <row r="34">
      <c r="A34" s="2" t="n">
        <v>33</v>
      </c>
      <c r="B34" s="2" t="inlineStr">
        <is>
          <t>29C</t>
        </is>
      </c>
      <c r="C34" s="3" t="n">
        <v>45959.42569444444</v>
      </c>
      <c r="D34" s="2" t="inlineStr">
        <is>
          <t>Original</t>
        </is>
      </c>
      <c r="E34" s="2" t="inlineStr">
        <is>
          <t>PAN</t>
        </is>
      </c>
      <c r="F34" s="2" t="inlineStr">
        <is>
          <t>Inês de Sousa Real</t>
        </is>
      </c>
      <c r="G34" s="2" t="inlineStr">
        <is>
          <t>Art. 109.º-A (aditamento)</t>
        </is>
      </c>
      <c r="H34" s="2" t="n"/>
      <c r="I34" s="2" t="n"/>
      <c r="J34" s="2" t="n"/>
      <c r="K34" s="2" t="n"/>
      <c r="L34" s="2" t="inlineStr">
        <is>
          <t>Artigo 109.º-A (Extensão da Cobertura dos Seguros Multirriscos Habitação a Situações de Violência Doméstica)</t>
        </is>
      </c>
      <c r="M34" s="4" t="n"/>
      <c r="N34" s="4" t="n"/>
      <c r="O34" s="2" t="n"/>
      <c r="P34" s="2" t="n"/>
      <c r="Q34" s="2" t="n"/>
      <c r="R34" s="2" t="n"/>
      <c r="S34" s="2" t="inlineStr">
        <is>
          <t>Rejeitado(a) em Comissão</t>
        </is>
      </c>
      <c r="T34" s="2" t="inlineStr">
        <is>
          <t>Rejeitada</t>
        </is>
      </c>
      <c r="U34" s="2" t="inlineStr">
        <is>
          <t>Favor: L, BE, PAN; Contra: PSD, PS, IL, CDS-PP; Abstenção: CH, PCP</t>
        </is>
      </c>
      <c r="V34" s="3" t="n">
        <v>45982</v>
      </c>
      <c r="W34" s="2" t="inlineStr">
        <is>
          <t>AR: https://www.parlamento.pt/OrcamentoEstado/Paginas/DetalhePropostaAlteracao.aspx?BID=23222 PDF: https://app.parlamento.pt/webutils/docs/doc.pdf?path=6148523063484d364c793942556b356c6443397a6158526c63793959566b6c4a544556484c3039464c7a49774d6a59794d4449314d5441774f533951515338354d574e6a4f4751344d5330784e47597a4c5451354d474d744f44566b4e79307a5932526c595463785954426a596a51756347526d&amp;Fich=91cc8d81-14f3-490c-85d7-3cdea71a0cb4.pdf&amp;Inline=true</t>
        </is>
      </c>
      <c r="X34" s="2" t="inlineStr">
        <is>
          <t>Assuntos Constitucionais, Direitos, Liberdades e Garantias; Infraestruturas, Mobilidade e Habitação</t>
        </is>
      </c>
      <c r="Y34" s="2" t="inlineStr">
        <is>
          <t>Articulado</t>
        </is>
      </c>
      <c r="Z34" s="2" t="inlineStr">
        <is>
          <t>Aditamento (Artigo PPL)</t>
        </is>
      </c>
      <c r="AA34" s="2" t="inlineStr">
        <is>
          <t>Rejeitado(a) em Comissão</t>
        </is>
      </c>
      <c r="AB34" s="2" t="inlineStr"/>
      <c r="AC34" s="2" t="inlineStr"/>
      <c r="AD34" s="2" t="inlineStr">
        <is>
          <t>1</t>
        </is>
      </c>
      <c r="AE34" s="2" t="inlineStr">
        <is>
          <t>23222</t>
        </is>
      </c>
      <c r="AF34" s="2" t="inlineStr">
        <is>
          <t>https://www.parlamento.pt/OrcamentoEstado/Paginas/DetalhePropostaAlteracao.aspx?BID=23222</t>
        </is>
      </c>
      <c r="AG34" s="2" t="inlineStr">
        <is>
          <t>https://app.parlamento.pt/webutils/docs/doc.pdf?path=6148523063484d364c793942556b356c6443397a6158526c63793959566b6c4a544556484c3039464c7a49774d6a59794d4449314d5441774f533951515338354d574e6a4f4751344d5330784e47597a4c5451354d474d744f44566b4e79307a5932526c595463785954426a596a51756347526d&amp;Fich=91cc8d81-14f3-490c-85d7-3cdea71a0cb4.pdf&amp;Inline=true</t>
        </is>
      </c>
      <c r="AH34" s="3" t="n">
        <v>46321.77847222222</v>
      </c>
      <c r="AI34" s="3" t="n">
        <v>46321.78055555555</v>
      </c>
      <c r="AJ34" s="2" t="inlineStr"/>
    </row>
    <row r="35">
      <c r="A35" s="2" t="n">
        <v>34</v>
      </c>
      <c r="B35" s="2" t="inlineStr">
        <is>
          <t>30C</t>
        </is>
      </c>
      <c r="C35" s="3" t="n">
        <v>45959.42638888889</v>
      </c>
      <c r="D35" s="2" t="inlineStr">
        <is>
          <t>Original</t>
        </is>
      </c>
      <c r="E35" s="2" t="inlineStr">
        <is>
          <t>PAN</t>
        </is>
      </c>
      <c r="F35" s="2" t="inlineStr">
        <is>
          <t>Inês de Sousa Real</t>
        </is>
      </c>
      <c r="G35" s="2" t="inlineStr">
        <is>
          <t>Art. 108.º (aditamento)</t>
        </is>
      </c>
      <c r="H35" s="2" t="n"/>
      <c r="I35" s="2" t="n"/>
      <c r="J35" s="2" t="n"/>
      <c r="K35" s="2" t="n"/>
      <c r="L35" s="2" t="inlineStr">
        <is>
          <t>Novo N.º 3, Artigo 108.º</t>
        </is>
      </c>
      <c r="M35" s="4" t="n"/>
      <c r="N35" s="4" t="n"/>
      <c r="O35" s="2" t="n"/>
      <c r="P35" s="2" t="n"/>
      <c r="Q35" s="2" t="n"/>
      <c r="R35" s="2" t="n"/>
      <c r="S35" s="2" t="inlineStr">
        <is>
          <t>Rejeitado(a) em Comissão</t>
        </is>
      </c>
      <c r="T35" s="2" t="inlineStr">
        <is>
          <t>Rejeitada</t>
        </is>
      </c>
      <c r="U35" s="2" t="inlineStr">
        <is>
          <t>Favor: CH, IL, L, BE, PAN; Contra: PSD, CDS-PP; Abstenção: PS, PCP</t>
        </is>
      </c>
      <c r="V35" s="3" t="n">
        <v>45982</v>
      </c>
      <c r="W35" s="2" t="inlineStr">
        <is>
          <t>AR: https://www.parlamento.pt/OrcamentoEstado/Paginas/DetalhePropostaAlteracao.aspx?BID=23223 PDF: https://app.parlamento.pt/webutils/docs/doc.pdf?path=6148523063484d364c793942556b356c6443397a6158526c63793959566b6c4a544556484c3039464c7a49774d6a59794d4449314d5441774f533951515338794d47557a4e7a64695a43303159574d794c5452684e6a41745954526a4d7930314e325a6a5a6a5a6a4f544d77595749756347526d&amp;Fich=20e377bd-5ac2-4a60-a4c3-57fcf6c930ab.pdf&amp;Inline=true</t>
        </is>
      </c>
      <c r="X35" s="2" t="inlineStr">
        <is>
          <t>Agricultura e Pescas</t>
        </is>
      </c>
      <c r="Y35" s="2" t="inlineStr">
        <is>
          <t>Articulado</t>
        </is>
      </c>
      <c r="Z35" s="2" t="inlineStr">
        <is>
          <t>Aditamento (Números e Alíneas)</t>
        </is>
      </c>
      <c r="AA35" s="2" t="inlineStr">
        <is>
          <t>Rejeitado(a) em Comissão</t>
        </is>
      </c>
      <c r="AB35" s="2" t="inlineStr"/>
      <c r="AC35" s="2" t="inlineStr"/>
      <c r="AD35" s="2" t="inlineStr">
        <is>
          <t>1</t>
        </is>
      </c>
      <c r="AE35" s="2" t="inlineStr">
        <is>
          <t>23223</t>
        </is>
      </c>
      <c r="AF35" s="2" t="inlineStr">
        <is>
          <t>https://www.parlamento.pt/OrcamentoEstado/Paginas/DetalhePropostaAlteracao.aspx?BID=23223</t>
        </is>
      </c>
      <c r="AG35" s="2" t="inlineStr">
        <is>
          <t>https://app.parlamento.pt/webutils/docs/doc.pdf?path=6148523063484d364c793942556b356c6443397a6158526c63793959566b6c4a544556484c3039464c7a49774d6a59794d4449314d5441774f533951515338794d47557a4e7a64695a43303159574d794c5452684e6a41745954526a4d7930314e325a6a5a6a5a6a4f544d77595749756347526d&amp;Fich=20e377bd-5ac2-4a60-a4c3-57fcf6c930ab.pdf&amp;Inline=true</t>
        </is>
      </c>
      <c r="AH35" s="3" t="n">
        <v>46321.77847222222</v>
      </c>
      <c r="AI35" s="3" t="n">
        <v>46321.78055555555</v>
      </c>
      <c r="AJ35" s="2" t="inlineStr"/>
    </row>
    <row r="36">
      <c r="A36" s="2" t="n">
        <v>35</v>
      </c>
      <c r="B36" s="2" t="inlineStr">
        <is>
          <t>31C</t>
        </is>
      </c>
      <c r="C36" s="3" t="n">
        <v>45959.42638888889</v>
      </c>
      <c r="D36" s="2" t="inlineStr">
        <is>
          <t>Original</t>
        </is>
      </c>
      <c r="E36" s="2" t="inlineStr">
        <is>
          <t>PAN</t>
        </is>
      </c>
      <c r="F36" s="2" t="inlineStr">
        <is>
          <t>Inês de Sousa Real</t>
        </is>
      </c>
      <c r="G36" s="2" t="inlineStr">
        <is>
          <t>Art. 11.º-C (aditamento)</t>
        </is>
      </c>
      <c r="H36" s="2" t="n"/>
      <c r="I36" s="2" t="n"/>
      <c r="J36" s="2" t="n"/>
      <c r="K36" s="2" t="n"/>
      <c r="L36" s="2" t="inlineStr">
        <is>
          <t>Artigo 11.º-C (Prevenção e combate da Mutilação Genital Feminina)</t>
        </is>
      </c>
      <c r="M36" s="4" t="n"/>
      <c r="N36" s="4" t="n"/>
      <c r="O36" s="2" t="n"/>
      <c r="P36" s="2" t="n"/>
      <c r="Q36" s="2" t="n"/>
      <c r="R36" s="2" t="n"/>
      <c r="S36" s="2" t="inlineStr">
        <is>
          <t>Aprovado(a) em Comissão</t>
        </is>
      </c>
      <c r="T36" s="2" t="inlineStr">
        <is>
          <t>Aprovada</t>
        </is>
      </c>
      <c r="U36" s="2" t="inlineStr">
        <is>
          <t>Favor: CH, PS, IL, L, PCP, BE, PAN; Contra: PSD; Abstenção: CDS-PP</t>
        </is>
      </c>
      <c r="V36" s="3" t="n">
        <v>45981</v>
      </c>
      <c r="W36" s="2" t="inlineStr">
        <is>
          <t>AR: https://www.parlamento.pt/OrcamentoEstado/Paginas/DetalhePropostaAlteracao.aspx?BID=23224 PDF: https://app.parlamento.pt/webutils/docs/doc.pdf?path=6148523063484d364c793942556b356c6443397a6158526c63793959566b6c4a544556484c3039464c7a49774d6a59794d4449314d5441774f533951515338334d6a6b314e6a59794e4330345a444e684c54526d596a4d744f4751774e7930334d7a6b775932526d4e6d5978596d51756347526d&amp;Fich=72956624-8d3a-4fb3-8d07-7390cdf6f1bd.pdf&amp;Inline=true</t>
        </is>
      </c>
      <c r="X36" s="2" t="inlineStr">
        <is>
          <t>Assuntos Constitucionais, Direitos, Liberdades e Garantias; Saúde</t>
        </is>
      </c>
      <c r="Y36" s="2" t="inlineStr">
        <is>
          <t>Articulado</t>
        </is>
      </c>
      <c r="Z36" s="2" t="inlineStr">
        <is>
          <t>Aditamento (Artigo PPL)</t>
        </is>
      </c>
      <c r="AA36" s="2" t="inlineStr">
        <is>
          <t>Aprovado(a) em Comissão</t>
        </is>
      </c>
      <c r="AB36" s="2" t="inlineStr"/>
      <c r="AC36" s="2" t="inlineStr"/>
      <c r="AD36" s="2" t="inlineStr">
        <is>
          <t>1</t>
        </is>
      </c>
      <c r="AE36" s="2" t="inlineStr">
        <is>
          <t>23224</t>
        </is>
      </c>
      <c r="AF36" s="2" t="inlineStr">
        <is>
          <t>https://www.parlamento.pt/OrcamentoEstado/Paginas/DetalhePropostaAlteracao.aspx?BID=23224</t>
        </is>
      </c>
      <c r="AG36" s="2" t="inlineStr">
        <is>
          <t>https://app.parlamento.pt/webutils/docs/doc.pdf?path=6148523063484d364c793942556b356c6443397a6158526c63793959566b6c4a544556484c3039464c7a49774d6a59794d4449314d5441774f533951515338334d6a6b314e6a59794e4330345a444e684c54526d596a4d744f4751774e7930334d7a6b775932526d4e6d5978596d51756347526d&amp;Fich=72956624-8d3a-4fb3-8d07-7390cdf6f1bd.pdf&amp;Inline=true</t>
        </is>
      </c>
      <c r="AH36" s="3" t="n">
        <v>46321.77847222222</v>
      </c>
      <c r="AI36" s="3" t="n">
        <v>46321.78055555555</v>
      </c>
      <c r="AJ36" s="2" t="inlineStr"/>
    </row>
    <row r="37">
      <c r="A37" s="2" t="n">
        <v>36</v>
      </c>
      <c r="B37" s="2" t="inlineStr">
        <is>
          <t>32C</t>
        </is>
      </c>
      <c r="C37" s="3" t="n">
        <v>45959.42777777778</v>
      </c>
      <c r="D37" s="2" t="inlineStr">
        <is>
          <t>Original</t>
        </is>
      </c>
      <c r="E37" s="2" t="inlineStr">
        <is>
          <t>PAN</t>
        </is>
      </c>
      <c r="F37" s="2" t="inlineStr">
        <is>
          <t>Inês de Sousa Real</t>
        </is>
      </c>
      <c r="G37" s="2" t="inlineStr">
        <is>
          <t>Art. 101.º-A (aditamento)</t>
        </is>
      </c>
      <c r="H37" s="2" t="n"/>
      <c r="I37" s="2" t="n"/>
      <c r="J37" s="2" t="n"/>
      <c r="K37" s="2" t="n"/>
      <c r="L37" s="2" t="inlineStr">
        <is>
          <t>Artigo 101.º-A (Programa nacional de apoio às cooperativas de habitação)</t>
        </is>
      </c>
      <c r="M37" s="4" t="n"/>
      <c r="N37" s="4" t="n"/>
      <c r="O37" s="2" t="n"/>
      <c r="P37" s="2" t="n"/>
      <c r="Q37" s="2" t="n"/>
      <c r="R37" s="2" t="n"/>
      <c r="S37" s="2" t="inlineStr">
        <is>
          <t>Rejeitado(a) em Comissão</t>
        </is>
      </c>
      <c r="T37" s="2" t="inlineStr">
        <is>
          <t>Rejeitada</t>
        </is>
      </c>
      <c r="U37" s="2" t="inlineStr">
        <is>
          <t>Favor: L, PCP, BE, PAN; Contra: PSD, IL, CDS-PP; Abstenção: CH, PS</t>
        </is>
      </c>
      <c r="V37" s="3" t="n">
        <v>45982</v>
      </c>
      <c r="W37" s="2" t="inlineStr">
        <is>
          <t>AR: https://www.parlamento.pt/OrcamentoEstado/Paginas/DetalhePropostaAlteracao.aspx?BID=23225 PDF: https://app.parlamento.pt/webutils/docs/doc.pdf?path=6148523063484d364c793942556b356c6443397a6158526c63793959566b6c4a544556484c3039464c7a49774d6a59794d4449314d5441774f533951515338775a4745324d32497a4d43316c4e44677a4c545179596a5574596d51304d79316d596a6b7a4d544d785a6d45304e6d55756347526d&amp;Fich=0da63b30-e483-42b5-bd43-fb93131fa46e.pdf&amp;Inline=true</t>
        </is>
      </c>
      <c r="X37" s="2" t="inlineStr">
        <is>
          <t>Infraestruturas, Mobilidade e Habitação</t>
        </is>
      </c>
      <c r="Y37" s="2" t="inlineStr">
        <is>
          <t>Articulado</t>
        </is>
      </c>
      <c r="Z37" s="2" t="inlineStr">
        <is>
          <t>Aditamento (Artigo PPL)</t>
        </is>
      </c>
      <c r="AA37" s="2" t="inlineStr">
        <is>
          <t>Rejeitado(a) em Comissão</t>
        </is>
      </c>
      <c r="AB37" s="2" t="inlineStr"/>
      <c r="AC37" s="2" t="inlineStr"/>
      <c r="AD37" s="2" t="inlineStr">
        <is>
          <t>1</t>
        </is>
      </c>
      <c r="AE37" s="2" t="inlineStr">
        <is>
          <t>23225</t>
        </is>
      </c>
      <c r="AF37" s="2" t="inlineStr">
        <is>
          <t>https://www.parlamento.pt/OrcamentoEstado/Paginas/DetalhePropostaAlteracao.aspx?BID=23225</t>
        </is>
      </c>
      <c r="AG37" s="2" t="inlineStr">
        <is>
          <t>https://app.parlamento.pt/webutils/docs/doc.pdf?path=6148523063484d364c793942556b356c6443397a6158526c63793959566b6c4a544556484c3039464c7a49774d6a59794d4449314d5441774f533951515338775a4745324d32497a4d43316c4e44677a4c545179596a5574596d51304d79316d596a6b7a4d544d785a6d45304e6d55756347526d&amp;Fich=0da63b30-e483-42b5-bd43-fb93131fa46e.pdf&amp;Inline=true</t>
        </is>
      </c>
      <c r="AH37" s="3" t="n">
        <v>46321.77847222222</v>
      </c>
      <c r="AI37" s="3" t="n">
        <v>46321.78055555555</v>
      </c>
      <c r="AJ37" s="2" t="inlineStr"/>
    </row>
    <row r="38">
      <c r="A38" s="2" t="n">
        <v>37</v>
      </c>
      <c r="B38" s="2" t="inlineStr">
        <is>
          <t>33C</t>
        </is>
      </c>
      <c r="C38" s="3" t="n">
        <v>45959.42777777778</v>
      </c>
      <c r="D38" s="2" t="inlineStr">
        <is>
          <t>Original</t>
        </is>
      </c>
      <c r="E38" s="2" t="inlineStr">
        <is>
          <t>PAN</t>
        </is>
      </c>
      <c r="F38" s="2" t="inlineStr">
        <is>
          <t>Inês de Sousa Real</t>
        </is>
      </c>
      <c r="G38" s="2" t="inlineStr">
        <is>
          <t>Art. 10.º-A (aditamento)</t>
        </is>
      </c>
      <c r="H38" s="2" t="n"/>
      <c r="I38" s="2" t="n"/>
      <c r="J38" s="2" t="n"/>
      <c r="K38" s="2" t="n"/>
      <c r="L38" s="2" t="inlineStr">
        <is>
          <t>Artigo 10.º-A (Alargamento do Porta 65+ às vítimas de violência doméstica)</t>
        </is>
      </c>
      <c r="M38" s="4" t="n"/>
      <c r="N38" s="4" t="n"/>
      <c r="O38" s="2" t="n"/>
      <c r="P38" s="2" t="n"/>
      <c r="Q38" s="2" t="n"/>
      <c r="R38" s="2" t="n"/>
      <c r="S38" s="2" t="inlineStr">
        <is>
          <t>Aprovado(a) por Unanimidade em Comissão</t>
        </is>
      </c>
      <c r="T38" s="2" t="inlineStr">
        <is>
          <t>Aprovada</t>
        </is>
      </c>
      <c r="U38" s="2" t="inlineStr">
        <is>
          <t>Favor: PSD, CH, PS, IL, L, PCP, CDS-PP, BE, PAN</t>
        </is>
      </c>
      <c r="V38" s="3" t="n">
        <v>45981</v>
      </c>
      <c r="W38" s="2" t="inlineStr">
        <is>
          <t>AR: https://www.parlamento.pt/OrcamentoEstado/Paginas/DetalhePropostaAlteracao.aspx?BID=23226 PDF: https://app.parlamento.pt/webutils/docs/doc.pdf?path=6148523063484d364c793942556b356c6443397a6158526c63793959566b6c4a544556484c3039464c7a49774d6a59794d4449314d5441774f5339515153387a4f544e6d596a4e6b4d7930784e574a6d4c54526a4d545574596d55774e4330304f474579596a41314e6a52695a446b756347526d&amp;Fich=393fb3d3-15bf-4c15-be04-48a2b0564bd9.pdf&amp;Inline=true</t>
        </is>
      </c>
      <c r="X38" s="2" t="inlineStr">
        <is>
          <t>Assuntos Constitucionais, Direitos, Liberdades e Garantias; Infraestruturas, Mobilidade e Habitação</t>
        </is>
      </c>
      <c r="Y38" s="2" t="inlineStr">
        <is>
          <t>Articulado</t>
        </is>
      </c>
      <c r="Z38" s="2" t="inlineStr">
        <is>
          <t>Aditamento (Artigo PPL)</t>
        </is>
      </c>
      <c r="AA38" s="2" t="inlineStr">
        <is>
          <t>Aprovado(a) por Unanimidade em Comissão</t>
        </is>
      </c>
      <c r="AB38" s="2" t="inlineStr"/>
      <c r="AC38" s="2" t="inlineStr"/>
      <c r="AD38" s="2" t="inlineStr">
        <is>
          <t>1</t>
        </is>
      </c>
      <c r="AE38" s="2" t="inlineStr">
        <is>
          <t>23226</t>
        </is>
      </c>
      <c r="AF38" s="2" t="inlineStr">
        <is>
          <t>https://www.parlamento.pt/OrcamentoEstado/Paginas/DetalhePropostaAlteracao.aspx?BID=23226</t>
        </is>
      </c>
      <c r="AG38" s="2" t="inlineStr">
        <is>
          <t>https://app.parlamento.pt/webutils/docs/doc.pdf?path=6148523063484d364c793942556b356c6443397a6158526c63793959566b6c4a544556484c3039464c7a49774d6a59794d4449314d5441774f5339515153387a4f544e6d596a4e6b4d7930784e574a6d4c54526a4d545574596d55774e4330304f474579596a41314e6a52695a446b756347526d&amp;Fich=393fb3d3-15bf-4c15-be04-48a2b0564bd9.pdf&amp;Inline=true</t>
        </is>
      </c>
      <c r="AH38" s="3" t="n">
        <v>46321.77847222222</v>
      </c>
      <c r="AI38" s="3" t="n">
        <v>46321.78055555555</v>
      </c>
      <c r="AJ38" s="2" t="inlineStr"/>
    </row>
    <row r="39">
      <c r="A39" s="2" t="n">
        <v>38</v>
      </c>
      <c r="B39" s="2" t="inlineStr">
        <is>
          <t>34C</t>
        </is>
      </c>
      <c r="C39" s="3" t="n">
        <v>45959.42916666667</v>
      </c>
      <c r="D39" s="2" t="inlineStr">
        <is>
          <t>Original</t>
        </is>
      </c>
      <c r="E39" s="2" t="inlineStr">
        <is>
          <t>PAN</t>
        </is>
      </c>
      <c r="F39" s="2" t="inlineStr">
        <is>
          <t>Inês de Sousa Real</t>
        </is>
      </c>
      <c r="G39" s="2" t="inlineStr">
        <is>
          <t>Art. 120.º-A (aditamento)</t>
        </is>
      </c>
      <c r="H39" s="2" t="n"/>
      <c r="I39" s="2" t="n"/>
      <c r="J39" s="2" t="n"/>
      <c r="K39" s="2" t="n"/>
      <c r="L39" s="2" t="inlineStr">
        <is>
          <t>Artigo 120.º-A (Kits emergenciais para vítimas de abuso sexual e violação)</t>
        </is>
      </c>
      <c r="M39" s="4" t="n"/>
      <c r="N39" s="4" t="n"/>
      <c r="O39" s="2" t="n"/>
      <c r="P39" s="2" t="n"/>
      <c r="Q39" s="2" t="n"/>
      <c r="R39" s="2" t="n"/>
      <c r="S39" s="2" t="inlineStr">
        <is>
          <t>Aprovado(a) por Unanimidade em Comissão</t>
        </is>
      </c>
      <c r="T39" s="2" t="inlineStr">
        <is>
          <t>Aprovada</t>
        </is>
      </c>
      <c r="U39" s="2" t="inlineStr">
        <is>
          <t>Favor: PSD, CH, PS, L, PCP, CDS-PP, BE, PAN</t>
        </is>
      </c>
      <c r="V39" s="3" t="n">
        <v>45985</v>
      </c>
      <c r="W39" s="2" t="inlineStr">
        <is>
          <t>AR: https://www.parlamento.pt/OrcamentoEstado/Paginas/DetalhePropostaAlteracao.aspx?BID=23227 PDF: https://app.parlamento.pt/webutils/docs/doc.pdf?path=6148523063484d364c793942556b356c6443397a6158526c63793959566b6c4a544556484c3039464c7a49774d6a59794d4449314d5441774f5339515153396b5a6a67794f5752694e6930334d5759354c5451305a6d4d744f5463784e7930324e7a59314d7a45354d5445334d6d49756347526d&amp;Fich=df829db6-71f9-44fc-9717-67653191172b.pdf&amp;Inline=true</t>
        </is>
      </c>
      <c r="X39" s="2" t="inlineStr">
        <is>
          <t>Assuntos Constitucionais, Direitos, Liberdades e Garantias; Saúde</t>
        </is>
      </c>
      <c r="Y39" s="2" t="inlineStr">
        <is>
          <t>Articulado</t>
        </is>
      </c>
      <c r="Z39" s="2" t="inlineStr">
        <is>
          <t>Aditamento (Artigo PPL)</t>
        </is>
      </c>
      <c r="AA39" s="2" t="inlineStr">
        <is>
          <t>Aprovado(a) por Unanimidade em Comissão</t>
        </is>
      </c>
      <c r="AB39" s="2" t="inlineStr"/>
      <c r="AC39" s="2" t="inlineStr"/>
      <c r="AD39" s="2" t="inlineStr">
        <is>
          <t>1</t>
        </is>
      </c>
      <c r="AE39" s="2" t="inlineStr">
        <is>
          <t>23227</t>
        </is>
      </c>
      <c r="AF39" s="2" t="inlineStr">
        <is>
          <t>https://www.parlamento.pt/OrcamentoEstado/Paginas/DetalhePropostaAlteracao.aspx?BID=23227</t>
        </is>
      </c>
      <c r="AG39" s="2" t="inlineStr">
        <is>
          <t>https://app.parlamento.pt/webutils/docs/doc.pdf?path=6148523063484d364c793942556b356c6443397a6158526c63793959566b6c4a544556484c3039464c7a49774d6a59794d4449314d5441774f5339515153396b5a6a67794f5752694e6930334d5759354c5451305a6d4d744f5463784e7930324e7a59314d7a45354d5445334d6d49756347526d&amp;Fich=df829db6-71f9-44fc-9717-67653191172b.pdf&amp;Inline=true</t>
        </is>
      </c>
      <c r="AH39" s="3" t="n">
        <v>46321.77847222222</v>
      </c>
      <c r="AI39" s="3" t="n">
        <v>46321.78055555555</v>
      </c>
      <c r="AJ39" s="2" t="inlineStr"/>
    </row>
    <row r="40">
      <c r="A40" s="2" t="n">
        <v>39</v>
      </c>
      <c r="B40" s="2" t="inlineStr">
        <is>
          <t>35C</t>
        </is>
      </c>
      <c r="C40" s="3" t="n">
        <v>45959.42916666667</v>
      </c>
      <c r="D40" s="2" t="inlineStr">
        <is>
          <t>Original</t>
        </is>
      </c>
      <c r="E40" s="2" t="inlineStr">
        <is>
          <t>IL</t>
        </is>
      </c>
      <c r="F40" s="2" t="inlineStr">
        <is>
          <t>Angélique Da Teresa; Carlos Guimarães Pinto; Joana Cordeiro; Jorge Miguel Teixeira; Mariana Leitão; Mário Amorim Lopes; Miguel Rangel; Rodrigo Saraiva; Rui Rocha</t>
        </is>
      </c>
      <c r="G40" s="2" t="inlineStr">
        <is>
          <t>Art. 138.º (aditamento)</t>
        </is>
      </c>
      <c r="H40" s="2" t="n"/>
      <c r="I40" s="2" t="n"/>
      <c r="J40" s="2" t="n"/>
      <c r="K40" s="2" t="n"/>
      <c r="L40" s="2" t="inlineStr">
        <is>
          <t>Alínea c), Artigo 138.º</t>
        </is>
      </c>
      <c r="M40" s="4" t="n"/>
      <c r="N40" s="4" t="n"/>
      <c r="O40" s="2" t="n"/>
      <c r="P40" s="2" t="n"/>
      <c r="Q40" s="2" t="n"/>
      <c r="R40" s="2" t="n"/>
      <c r="S40" s="2" t="inlineStr">
        <is>
          <t>Rejeitado(a) em Plenário</t>
        </is>
      </c>
      <c r="T40" s="2" t="inlineStr">
        <is>
          <t>Rejeitada</t>
        </is>
      </c>
      <c r="U40" s="2" t="inlineStr">
        <is>
          <t>Favor: CH, IL; Contra: PSD, PS, L, PCP, BE, PAN; Abstenção: CDS-PP, JPP</t>
        </is>
      </c>
      <c r="V40" s="3" t="n">
        <v>45988</v>
      </c>
      <c r="W40" s="2" t="inlineStr">
        <is>
          <t>Avocada a Plenário. AR: https://www.parlamento.pt/OrcamentoEstado/Paginas/DetalhePropostaAlteracao.aspx?BID=23228 PDF: https://app.parlamento.pt/webutils/docs/doc.pdf?path=6148523063484d364c793942556b356c6443397a6158526c63793959566b6c4a544556484c3039464c7a49774d6a59794d4449314d5441774f533951515338784f446869596a637a4e4330794e6d45344c5451354e6a51744f4441314d693034595746694e6a63314e7a55334e6a67756347526d&amp;Fich=188bb734-26a8-4964-8052-8aab67575768.pdf&amp;Inline=true</t>
        </is>
      </c>
      <c r="X40" s="2" t="inlineStr">
        <is>
          <t>Infraestruturas, Mobilidade e Habitação; Orçamento, Finanças e Administração Pública</t>
        </is>
      </c>
      <c r="Y40" s="2" t="inlineStr">
        <is>
          <t>Articulado</t>
        </is>
      </c>
      <c r="Z40" s="2" t="inlineStr">
        <is>
          <t>Aditamento (Números e Alíneas)</t>
        </is>
      </c>
      <c r="AA40" s="2" t="inlineStr">
        <is>
          <t>Rejeitado(a) em Plenário</t>
        </is>
      </c>
      <c r="AB40" s="2" t="inlineStr">
        <is>
          <t>S</t>
        </is>
      </c>
      <c r="AC40" s="2" t="inlineStr"/>
      <c r="AD40" s="2" t="inlineStr">
        <is>
          <t>2</t>
        </is>
      </c>
      <c r="AE40" s="2" t="inlineStr">
        <is>
          <t>23228</t>
        </is>
      </c>
      <c r="AF40" s="2" t="inlineStr">
        <is>
          <t>https://www.parlamento.pt/OrcamentoEstado/Paginas/DetalhePropostaAlteracao.aspx?BID=23228</t>
        </is>
      </c>
      <c r="AG40" s="2" t="inlineStr">
        <is>
          <t>https://app.parlamento.pt/webutils/docs/doc.pdf?path=6148523063484d364c793942556b356c6443397a6158526c63793959566b6c4a544556484c3039464c7a49774d6a59794d4449314d5441774f533951515338784f446869596a637a4e4330794e6d45344c5451354e6a51744f4441314d693034595746694e6a63314e7a55334e6a67756347526d&amp;Fich=188bb734-26a8-4964-8052-8aab67575768.pdf&amp;Inline=true</t>
        </is>
      </c>
      <c r="AH40" s="3" t="n">
        <v>46321.77847222222</v>
      </c>
      <c r="AI40" s="3" t="n">
        <v>46321.78055555555</v>
      </c>
      <c r="AJ40" s="2" t="inlineStr"/>
    </row>
    <row r="41">
      <c r="A41" s="2" t="n">
        <v>40</v>
      </c>
      <c r="B41" s="2" t="inlineStr">
        <is>
          <t>36C</t>
        </is>
      </c>
      <c r="C41" s="3" t="n">
        <v>45959.43055555555</v>
      </c>
      <c r="D41" s="2" t="inlineStr">
        <is>
          <t>Original</t>
        </is>
      </c>
      <c r="E41" s="2" t="inlineStr">
        <is>
          <t>PAN</t>
        </is>
      </c>
      <c r="F41" s="2" t="inlineStr">
        <is>
          <t>Inês de Sousa Real</t>
        </is>
      </c>
      <c r="G41" s="2" t="inlineStr">
        <is>
          <t>Art. 99.º-A (aditamento)</t>
        </is>
      </c>
      <c r="H41" s="2" t="n"/>
      <c r="I41" s="2" t="n"/>
      <c r="J41" s="2" t="n"/>
      <c r="K41" s="2" t="n"/>
      <c r="L41" s="2" t="inlineStr">
        <is>
          <t>Artigo 99.º-A (Utilização Inteligência Artificial para a prevenção de incêndios florestais)</t>
        </is>
      </c>
      <c r="M41" s="4" t="n"/>
      <c r="N41" s="4" t="n"/>
      <c r="O41" s="2" t="n"/>
      <c r="P41" s="2" t="n"/>
      <c r="Q41" s="2" t="n"/>
      <c r="R41" s="2" t="n"/>
      <c r="S41" s="2" t="inlineStr">
        <is>
          <t>Rejeitado(a) em Comissão</t>
        </is>
      </c>
      <c r="T41" s="2" t="inlineStr">
        <is>
          <t>Rejeitada</t>
        </is>
      </c>
      <c r="U41" s="2" t="inlineStr">
        <is>
          <t>Favor: IL, L, PAN; Contra: PSD, CDS-PP; Abstenção: CH, PS, PCP, BE</t>
        </is>
      </c>
      <c r="V41" s="3" t="n">
        <v>45982</v>
      </c>
      <c r="W41" s="2" t="inlineStr">
        <is>
          <t>AR: https://www.parlamento.pt/OrcamentoEstado/Paginas/DetalhePropostaAlteracao.aspx?BID=23229 PDF: https://app.parlamento.pt/webutils/docs/doc.pdf?path=6148523063484d364c793942556b356c6443397a6158526c63793959566b6c4a544556484c3039464c7a49774d6a59794d4449314d5441774f5339515153396b4f5468694e6a63784d7930324e57566c4c54517a5a6a4174596a49794e43316c4e6a45794e546b79597a46684e6a59756347526d&amp;Fich=d98b6713-65ee-43f0-b224-e612592c1a66.pdf&amp;Inline=true</t>
        </is>
      </c>
      <c r="X41" s="2" t="inlineStr">
        <is>
          <t>Ambiente e Energia</t>
        </is>
      </c>
      <c r="Y41" s="2" t="inlineStr">
        <is>
          <t>Articulado</t>
        </is>
      </c>
      <c r="Z41" s="2" t="inlineStr">
        <is>
          <t>Aditamento (Artigo PPL)</t>
        </is>
      </c>
      <c r="AA41" s="2" t="inlineStr">
        <is>
          <t>Rejeitado(a) em Comissão</t>
        </is>
      </c>
      <c r="AB41" s="2" t="inlineStr"/>
      <c r="AC41" s="2" t="inlineStr"/>
      <c r="AD41" s="2" t="inlineStr">
        <is>
          <t>1</t>
        </is>
      </c>
      <c r="AE41" s="2" t="inlineStr">
        <is>
          <t>23229</t>
        </is>
      </c>
      <c r="AF41" s="2" t="inlineStr">
        <is>
          <t>https://www.parlamento.pt/OrcamentoEstado/Paginas/DetalhePropostaAlteracao.aspx?BID=23229</t>
        </is>
      </c>
      <c r="AG41" s="2" t="inlineStr">
        <is>
          <t>https://app.parlamento.pt/webutils/docs/doc.pdf?path=6148523063484d364c793942556b356c6443397a6158526c63793959566b6c4a544556484c3039464c7a49774d6a59794d4449314d5441774f5339515153396b4f5468694e6a63784d7930324e57566c4c54517a5a6a4174596a49794e43316c4e6a45794e546b79597a46684e6a59756347526d&amp;Fich=d98b6713-65ee-43f0-b224-e612592c1a66.pdf&amp;Inline=true</t>
        </is>
      </c>
      <c r="AH41" s="3" t="n">
        <v>46321.77847222222</v>
      </c>
      <c r="AI41" s="3" t="n">
        <v>46321.78055555555</v>
      </c>
      <c r="AJ41" s="2" t="inlineStr"/>
    </row>
    <row r="42">
      <c r="A42" s="2" t="n">
        <v>41</v>
      </c>
      <c r="B42" s="2" t="inlineStr">
        <is>
          <t>37C</t>
        </is>
      </c>
      <c r="C42" s="3" t="n">
        <v>45959.43055555555</v>
      </c>
      <c r="D42" s="2" t="inlineStr">
        <is>
          <t>Original</t>
        </is>
      </c>
      <c r="E42" s="2" t="inlineStr">
        <is>
          <t>PAN</t>
        </is>
      </c>
      <c r="F42" s="2" t="inlineStr">
        <is>
          <t>Inês de Sousa Real</t>
        </is>
      </c>
      <c r="G42" s="2" t="inlineStr">
        <is>
          <t>Art. 66.º (aditamento)</t>
        </is>
      </c>
      <c r="H42" s="2" t="n"/>
      <c r="I42" s="2" t="n"/>
      <c r="J42" s="2" t="n"/>
      <c r="K42" s="2" t="n"/>
      <c r="L42" s="2" t="inlineStr">
        <is>
          <t>N.º 11, N.º 12, Artigo 66.º</t>
        </is>
      </c>
      <c r="M42" s="4" t="n"/>
      <c r="N42" s="4" t="n"/>
      <c r="O42" s="2" t="n"/>
      <c r="P42" s="2" t="n"/>
      <c r="Q42" s="2" t="n"/>
      <c r="R42" s="2" t="n"/>
      <c r="S42" s="2" t="inlineStr">
        <is>
          <t>Rejeitado(a) em Comissão</t>
        </is>
      </c>
      <c r="T42" s="2" t="inlineStr">
        <is>
          <t>Rejeitada</t>
        </is>
      </c>
      <c r="U42" s="2" t="inlineStr">
        <is>
          <t>Favor: IL, L, BE, PAN; Contra: PSD, CDS-PP; Abstenção: CH, PS, PCP</t>
        </is>
      </c>
      <c r="V42" s="3" t="n">
        <v>45982</v>
      </c>
      <c r="W42" s="2" t="inlineStr">
        <is>
          <t>AR: https://www.parlamento.pt/OrcamentoEstado/Paginas/DetalhePropostaAlteracao.aspx?BID=23230 PDF: https://app.parlamento.pt/webutils/docs/doc.pdf?path=6148523063484d364c793942556b356c6443397a6158526c63793959566b6c4a544556484c3039464c7a49774d6a59794d4449314d5441774f533951515338354f4759315a4745354f4330325a54466b4c54526c59324d7459544e684e6930315a6a566b4e5759344f57457959574d756347526d&amp;Fich=98f5da98-6e1d-4ecc-a3a6-5f5d5f89a2ac.pdf&amp;Inline=true</t>
        </is>
      </c>
      <c r="X42" s="2" t="inlineStr">
        <is>
          <t>Ambiente e Energia; Orçamento, Finanças e Administração Pública</t>
        </is>
      </c>
      <c r="Y42" s="2" t="inlineStr">
        <is>
          <t>Articulado</t>
        </is>
      </c>
      <c r="Z42" s="2" t="inlineStr">
        <is>
          <t>Aditamento (Números e Alíneas)</t>
        </is>
      </c>
      <c r="AA42" s="2" t="inlineStr">
        <is>
          <t>Rejeitado(a) em Comissão</t>
        </is>
      </c>
      <c r="AB42" s="2" t="inlineStr"/>
      <c r="AC42" s="2" t="inlineStr"/>
      <c r="AD42" s="2" t="inlineStr">
        <is>
          <t>1</t>
        </is>
      </c>
      <c r="AE42" s="2" t="inlineStr">
        <is>
          <t>23230</t>
        </is>
      </c>
      <c r="AF42" s="2" t="inlineStr">
        <is>
          <t>https://www.parlamento.pt/OrcamentoEstado/Paginas/DetalhePropostaAlteracao.aspx?BID=23230</t>
        </is>
      </c>
      <c r="AG42" s="2" t="inlineStr">
        <is>
          <t>https://app.parlamento.pt/webutils/docs/doc.pdf?path=6148523063484d364c793942556b356c6443397a6158526c63793959566b6c4a544556484c3039464c7a49774d6a59794d4449314d5441774f533951515338354f4759315a4745354f4330325a54466b4c54526c59324d7459544e684e6930315a6a566b4e5759344f57457959574d756347526d&amp;Fich=98f5da98-6e1d-4ecc-a3a6-5f5d5f89a2ac.pdf&amp;Inline=true</t>
        </is>
      </c>
      <c r="AH42" s="3" t="n">
        <v>46321.77847222222</v>
      </c>
      <c r="AI42" s="3" t="n">
        <v>46321.78055555555</v>
      </c>
      <c r="AJ42" s="2" t="inlineStr"/>
    </row>
    <row r="43">
      <c r="A43" s="2" t="n">
        <v>42</v>
      </c>
      <c r="B43" s="2" t="inlineStr">
        <is>
          <t>38C</t>
        </is>
      </c>
      <c r="C43" s="3" t="n">
        <v>45959.43125</v>
      </c>
      <c r="D43" s="2" t="inlineStr">
        <is>
          <t>Original</t>
        </is>
      </c>
      <c r="E43" s="2" t="inlineStr">
        <is>
          <t>PAN</t>
        </is>
      </c>
      <c r="F43" s="2" t="inlineStr">
        <is>
          <t>Inês de Sousa Real</t>
        </is>
      </c>
      <c r="G43" s="2" t="inlineStr">
        <is>
          <t>Art. 10.º-A (aditamento)</t>
        </is>
      </c>
      <c r="H43" s="2" t="n"/>
      <c r="I43" s="2" t="n"/>
      <c r="J43" s="2" t="n"/>
      <c r="K43" s="2" t="n"/>
      <c r="L43" s="2" t="inlineStr">
        <is>
          <t>Artigo 10.º-A (Transparência em matéria de política climática)</t>
        </is>
      </c>
      <c r="M43" s="4" t="n"/>
      <c r="N43" s="4" t="n"/>
      <c r="O43" s="2" t="n"/>
      <c r="P43" s="2" t="n"/>
      <c r="Q43" s="2" t="n"/>
      <c r="R43" s="2" t="n"/>
      <c r="S43" s="2" t="inlineStr">
        <is>
          <t>Rejeitado(a) em Comissão</t>
        </is>
      </c>
      <c r="T43" s="2" t="inlineStr">
        <is>
          <t>Rejeitada</t>
        </is>
      </c>
      <c r="U43" s="2" t="inlineStr">
        <is>
          <t>Favor: PS, IL, L, PCP, BE, PAN; Contra: PSD, CDS-PP; Abstenção: CH</t>
        </is>
      </c>
      <c r="V43" s="3" t="n">
        <v>45981</v>
      </c>
      <c r="W43" s="2" t="inlineStr">
        <is>
          <t>AR: https://www.parlamento.pt/OrcamentoEstado/Paginas/DetalhePropostaAlteracao.aspx?BID=23231 PDF: https://app.parlamento.pt/webutils/docs/doc.pdf?path=6148523063484d364c793942556b356c6443397a6158526c63793959566b6c4a544556484c3039464c7a49774d6a59794d4449314d5441774f5339515153396c5954686d4e446c6d4d4330794d7a55794c54526a5a6a5174596d59314d5330304e6d4e6d4d546c695a444e6c4e6a67756347526d&amp;Fich=ea8f49f0-2352-4cf4-bf51-46cf19bd3e68.pdf&amp;Inline=true</t>
        </is>
      </c>
      <c r="X43" s="2" t="inlineStr">
        <is>
          <t>Ambiente e Energia; Orçamento, Finanças e Administração Pública</t>
        </is>
      </c>
      <c r="Y43" s="2" t="inlineStr">
        <is>
          <t>Articulado</t>
        </is>
      </c>
      <c r="Z43" s="2" t="inlineStr">
        <is>
          <t>Aditamento (Artigo PPL)</t>
        </is>
      </c>
      <c r="AA43" s="2" t="inlineStr">
        <is>
          <t>Rejeitado(a) em Comissão</t>
        </is>
      </c>
      <c r="AB43" s="2" t="inlineStr"/>
      <c r="AC43" s="2" t="inlineStr"/>
      <c r="AD43" s="2" t="inlineStr">
        <is>
          <t>1</t>
        </is>
      </c>
      <c r="AE43" s="2" t="inlineStr">
        <is>
          <t>23231</t>
        </is>
      </c>
      <c r="AF43" s="2" t="inlineStr">
        <is>
          <t>https://www.parlamento.pt/OrcamentoEstado/Paginas/DetalhePropostaAlteracao.aspx?BID=23231</t>
        </is>
      </c>
      <c r="AG43" s="2" t="inlineStr">
        <is>
          <t>https://app.parlamento.pt/webutils/docs/doc.pdf?path=6148523063484d364c793942556b356c6443397a6158526c63793959566b6c4a544556484c3039464c7a49774d6a59794d4449314d5441774f5339515153396c5954686d4e446c6d4d4330794d7a55794c54526a5a6a5174596d59314d5330304e6d4e6d4d546c695a444e6c4e6a67756347526d&amp;Fich=ea8f49f0-2352-4cf4-bf51-46cf19bd3e68.pdf&amp;Inline=true</t>
        </is>
      </c>
      <c r="AH43" s="3" t="n">
        <v>46321.77847222222</v>
      </c>
      <c r="AI43" s="3" t="n">
        <v>46321.78055555555</v>
      </c>
      <c r="AJ43" s="2" t="inlineStr"/>
    </row>
    <row r="44">
      <c r="A44" s="2" t="n">
        <v>43</v>
      </c>
      <c r="B44" s="2" t="inlineStr">
        <is>
          <t>39C-1</t>
        </is>
      </c>
      <c r="C44" s="3" t="n">
        <v>45959.43263888889</v>
      </c>
      <c r="D44" s="2" t="inlineStr">
        <is>
          <t>Original</t>
        </is>
      </c>
      <c r="E44" s="2" t="inlineStr">
        <is>
          <t>PAN</t>
        </is>
      </c>
      <c r="F44" s="2" t="inlineStr">
        <is>
          <t>Inês de Sousa Real</t>
        </is>
      </c>
      <c r="G44" s="2" t="inlineStr">
        <is>
          <t>Art. 66.º (substituição)</t>
        </is>
      </c>
      <c r="H44" s="2" t="n"/>
      <c r="I44" s="2" t="n"/>
      <c r="J44" s="2" t="n"/>
      <c r="K44" s="2" t="n"/>
      <c r="L44" s="2" t="inlineStr">
        <is>
          <t>N.º 3, N.º 7, N.º 10, Artigo 66.º</t>
        </is>
      </c>
      <c r="M44" s="4" t="n"/>
      <c r="N44" s="4" t="n"/>
      <c r="O44" s="2" t="n"/>
      <c r="P44" s="2" t="n"/>
      <c r="Q44" s="2" t="n"/>
      <c r="R44" s="2" t="n"/>
      <c r="S44" s="2" t="inlineStr">
        <is>
          <t>Rejeitado(a) em Comissão</t>
        </is>
      </c>
      <c r="T44" s="2" t="inlineStr">
        <is>
          <t>Rejeitada</t>
        </is>
      </c>
      <c r="U44" s="2" t="inlineStr">
        <is>
          <t>Favor: PSD, L, CDS-PP, BE, PAN; Contra: CH, PS, PCP; Abstenção: IL</t>
        </is>
      </c>
      <c r="V44" s="3" t="n">
        <v>45982</v>
      </c>
      <c r="W44" s="2" t="inlineStr">
        <is>
          <t>AR: https://www.parlamento.pt/OrcamentoEstado/Paginas/DetalhePropostaAlteracao.aspx?BID=23232 PDF: https://app.parlamento.pt/webutils/docs/doc.pdf?path=6148523063484d364c793942556b356c6443397a6158526c63793959566b6c4a544556484c3039464c7a49774d6a59794d4449314d5441774f533951515338354f4459774e5445334d5330774f444d7a4c54526d4d4459744f4751345969316d4d3249784e4451314e4755324e4745756347526d&amp;Fich=98605171-0833-4f06-8d8b-f3b14454e64a.pdf&amp;Inline=true</t>
        </is>
      </c>
      <c r="X44" s="2" t="inlineStr">
        <is>
          <t>Ambiente e Energia; Orçamento, Finanças e Administração Pública</t>
        </is>
      </c>
      <c r="Y44" s="2" t="inlineStr">
        <is>
          <t>Articulado</t>
        </is>
      </c>
      <c r="Z44" s="2" t="inlineStr">
        <is>
          <t>Substituição</t>
        </is>
      </c>
      <c r="AA44" s="2" t="inlineStr">
        <is>
          <t>Rejeitado(a) em Comissão</t>
        </is>
      </c>
      <c r="AB44" s="2" t="inlineStr"/>
      <c r="AC44" s="2" t="inlineStr">
        <is>
          <t>1</t>
        </is>
      </c>
      <c r="AD44" s="2" t="inlineStr">
        <is>
          <t>1</t>
        </is>
      </c>
      <c r="AE44" s="2" t="inlineStr">
        <is>
          <t>23232</t>
        </is>
      </c>
      <c r="AF44" s="2" t="inlineStr">
        <is>
          <t>https://www.parlamento.pt/OrcamentoEstado/Paginas/DetalhePropostaAlteracao.aspx?BID=23232</t>
        </is>
      </c>
      <c r="AG44" s="2" t="inlineStr">
        <is>
          <t>https://app.parlamento.pt/webutils/docs/doc.pdf?path=6148523063484d364c793942556b356c6443397a6158526c63793959566b6c4a544556484c3039464c7a49774d6a59794d4449314d5441774f533951515338354f4459774e5445334d5330774f444d7a4c54526d4d4459744f4751345969316d4d3249784e4451314e4755324e4745756347526d&amp;Fich=98605171-0833-4f06-8d8b-f3b14454e64a.pdf&amp;Inline=true</t>
        </is>
      </c>
      <c r="AH44" s="3" t="n">
        <v>46321.77847222222</v>
      </c>
      <c r="AI44" s="3" t="n">
        <v>46321.78055555555</v>
      </c>
      <c r="AJ44" s="2" t="inlineStr"/>
    </row>
    <row r="45">
      <c r="A45" s="2" t="n">
        <v>44</v>
      </c>
      <c r="B45" s="2" t="inlineStr">
        <is>
          <t>39C-2</t>
        </is>
      </c>
      <c r="C45" s="3" t="n">
        <v>45959.43263888889</v>
      </c>
      <c r="D45" s="2" t="inlineStr">
        <is>
          <t>Original</t>
        </is>
      </c>
      <c r="E45" s="2" t="inlineStr">
        <is>
          <t>PAN</t>
        </is>
      </c>
      <c r="F45" s="2" t="inlineStr">
        <is>
          <t>Inês de Sousa Real</t>
        </is>
      </c>
      <c r="G45" s="2" t="inlineStr">
        <is>
          <t>Art. 66.º (aditamento)</t>
        </is>
      </c>
      <c r="H45" s="2" t="n"/>
      <c r="I45" s="2" t="n"/>
      <c r="J45" s="2" t="n"/>
      <c r="K45" s="2" t="n"/>
      <c r="L45" s="2" t="inlineStr">
        <is>
          <t>Novo N.º 11, Artigo 66.º</t>
        </is>
      </c>
      <c r="M45" s="4" t="n"/>
      <c r="N45" s="4" t="n"/>
      <c r="O45" s="2" t="n"/>
      <c r="P45" s="2" t="n"/>
      <c r="Q45" s="2" t="n"/>
      <c r="R45" s="2" t="n"/>
      <c r="S45" s="2" t="inlineStr">
        <is>
          <t>Rejeitado(a) em Comissão</t>
        </is>
      </c>
      <c r="T45" s="2" t="inlineStr">
        <is>
          <t>Rejeitada</t>
        </is>
      </c>
      <c r="U45" s="2" t="inlineStr">
        <is>
          <t>Favor: PSD, CDS-PP, BE, PAN; Contra: CH, PS; Abstenção: IL, L, PCP</t>
        </is>
      </c>
      <c r="V45" s="3" t="n">
        <v>45982</v>
      </c>
      <c r="W45" s="2" t="inlineStr">
        <is>
          <t>AR: https://www.parlamento.pt/OrcamentoEstado/Paginas/DetalhePropostaAlteracao.aspx?BID=23491 PDF: https://app.parlamento.pt/webutils/docs/doc.pdf?path=6148523063484d364c793942556b356c6443397a6158526c63793959566b6c4a544556484c3039464c7a49774d6a59794d4449314d5441774f5339515153396d4d7a5a6a4f44566a4d5330304f444a6b4c5451324e6a63744f574d324d53316d4e6a63334f54566a4e3251334e4459756347526d&amp;Fich=f36c85c1-482d-4667-9c61-f67795c7d746.pdf&amp;Inline=true</t>
        </is>
      </c>
      <c r="X45" s="2" t="inlineStr">
        <is>
          <t>Ambiente e Energia; Orçamento, Finanças e Administração Pública</t>
        </is>
      </c>
      <c r="Y45" s="2" t="inlineStr">
        <is>
          <t>Articulado</t>
        </is>
      </c>
      <c r="Z45" s="2" t="inlineStr">
        <is>
          <t>Aditamento (Números e Alíneas)</t>
        </is>
      </c>
      <c r="AA45" s="2" t="inlineStr">
        <is>
          <t>Rejeitado(a) em Comissão</t>
        </is>
      </c>
      <c r="AB45" s="2" t="inlineStr"/>
      <c r="AC45" s="2" t="inlineStr">
        <is>
          <t>2</t>
        </is>
      </c>
      <c r="AD45" s="2" t="inlineStr">
        <is>
          <t>1</t>
        </is>
      </c>
      <c r="AE45" s="2" t="inlineStr">
        <is>
          <t>23491</t>
        </is>
      </c>
      <c r="AF45" s="2" t="inlineStr">
        <is>
          <t>https://www.parlamento.pt/OrcamentoEstado/Paginas/DetalhePropostaAlteracao.aspx?BID=23491</t>
        </is>
      </c>
      <c r="AG45" s="2" t="inlineStr">
        <is>
          <t>https://app.parlamento.pt/webutils/docs/doc.pdf?path=6148523063484d364c793942556b356c6443397a6158526c63793959566b6c4a544556484c3039464c7a49774d6a59794d4449314d5441774f5339515153396d4d7a5a6a4f44566a4d5330304f444a6b4c5451324e6a63744f574d324d53316d4e6a63334f54566a4e3251334e4459756347526d&amp;Fich=f36c85c1-482d-4667-9c61-f67795c7d746.pdf&amp;Inline=true</t>
        </is>
      </c>
      <c r="AH45" s="3" t="n">
        <v>46321.77847222222</v>
      </c>
      <c r="AI45" s="3" t="n">
        <v>46321.78055555555</v>
      </c>
      <c r="AJ45" s="2" t="inlineStr"/>
    </row>
    <row r="46">
      <c r="A46" s="2" t="n">
        <v>45</v>
      </c>
      <c r="B46" s="2" t="inlineStr">
        <is>
          <t>40C-1</t>
        </is>
      </c>
      <c r="C46" s="3" t="n">
        <v>45959.50555555556</v>
      </c>
      <c r="D46" s="2" t="inlineStr">
        <is>
          <t>Original</t>
        </is>
      </c>
      <c r="E46" s="2" t="inlineStr">
        <is>
          <t>L</t>
        </is>
      </c>
      <c r="F46" s="2" t="inlineStr">
        <is>
          <t>Filipa Pinto; Isabel Mendes Lopes; Jorge Pinto; Patrícia Gonçalves; Paulo Muacho; Rui Tavares</t>
        </is>
      </c>
      <c r="G46" s="2" t="inlineStr">
        <is>
          <t>Art. 63.º-A (aditamento)</t>
        </is>
      </c>
      <c r="H46" s="2" t="n"/>
      <c r="I46" s="2" t="n"/>
      <c r="J46" s="2" t="n"/>
      <c r="K46" s="2" t="n"/>
      <c r="L46" s="2" t="inlineStr">
        <is>
          <t>Artigo 63.º-A (Alteração ao artigo 18.º do Código do Imposto sobre o Valor Acrescentado)</t>
        </is>
      </c>
      <c r="M46" s="4" t="n"/>
      <c r="N46" s="4" t="n"/>
      <c r="O46" s="2" t="n"/>
      <c r="P46" s="2" t="n"/>
      <c r="Q46" s="2" t="n"/>
      <c r="R46" s="2" t="n"/>
      <c r="S46" s="2" t="inlineStr">
        <is>
          <t>Rejeitado(a) em Comissão</t>
        </is>
      </c>
      <c r="T46" s="2" t="inlineStr">
        <is>
          <t>Rejeitada</t>
        </is>
      </c>
      <c r="U46" s="2" t="inlineStr">
        <is>
          <t>Favor: L, PCP, BE, PAN; Contra: PSD, CDS-PP; Abstenção: CH, PS, IL</t>
        </is>
      </c>
      <c r="V46" s="3" t="n">
        <v>45982</v>
      </c>
      <c r="W46" s="2" t="inlineStr">
        <is>
          <t>AR: https://www.parlamento.pt/OrcamentoEstado/Paginas/DetalhePropostaAlteracao.aspx?BID=23233 PDF: https://app.parlamento.pt/webutils/docs/doc.pdf?path=6148523063484d364c793942556b356c6443397a6158526c63793959566b6c4a544556484c3039464c7a49774d6a59794d4449314d5441774f533951515338304e6a51324f544d33597930344e3245324c54526a4f5455744f546c694f4330775a4451304d446335596d4e6d4e6a49756347526d&amp;Fich=4646937c-87a6-4c95-99b8-0d44079bcf62.pdf&amp;Inline=true</t>
        </is>
      </c>
      <c r="X46" s="2" t="inlineStr">
        <is>
          <t>Orçamento, Finanças e Administração Pública</t>
        </is>
      </c>
      <c r="Y46" s="2" t="inlineStr">
        <is>
          <t>Articulado</t>
        </is>
      </c>
      <c r="Z46" s="2" t="inlineStr">
        <is>
          <t>Aditamento (Artigo PPL)</t>
        </is>
      </c>
      <c r="AA46" s="2" t="inlineStr">
        <is>
          <t>Rejeitado(a) em Comissão</t>
        </is>
      </c>
      <c r="AB46" s="2" t="inlineStr"/>
      <c r="AC46" s="2" t="inlineStr">
        <is>
          <t>1</t>
        </is>
      </c>
      <c r="AD46" s="2" t="inlineStr">
        <is>
          <t>1</t>
        </is>
      </c>
      <c r="AE46" s="2" t="inlineStr">
        <is>
          <t>23233</t>
        </is>
      </c>
      <c r="AF46" s="2" t="inlineStr">
        <is>
          <t>https://www.parlamento.pt/OrcamentoEstado/Paginas/DetalhePropostaAlteracao.aspx?BID=23233</t>
        </is>
      </c>
      <c r="AG46" s="2" t="inlineStr">
        <is>
          <t>https://app.parlamento.pt/webutils/docs/doc.pdf?path=6148523063484d364c793942556b356c6443397a6158526c63793959566b6c4a544556484c3039464c7a49774d6a59794d4449314d5441774f533951515338304e6a51324f544d33597930344e3245324c54526a4f5455744f546c694f4330775a4451304d446335596d4e6d4e6a49756347526d&amp;Fich=4646937c-87a6-4c95-99b8-0d44079bcf62.pdf&amp;Inline=true</t>
        </is>
      </c>
      <c r="AH46" s="3" t="n">
        <v>46321.77847222222</v>
      </c>
      <c r="AI46" s="3" t="n">
        <v>46321.78055555555</v>
      </c>
      <c r="AJ46" s="2" t="inlineStr"/>
    </row>
    <row r="47">
      <c r="A47" s="2" t="n">
        <v>46</v>
      </c>
      <c r="B47" s="2" t="inlineStr">
        <is>
          <t>40C-2</t>
        </is>
      </c>
      <c r="C47" s="3" t="n">
        <v>45959.50555555556</v>
      </c>
      <c r="D47" s="2" t="inlineStr">
        <is>
          <t>Original</t>
        </is>
      </c>
      <c r="E47" s="2" t="inlineStr">
        <is>
          <t>L</t>
        </is>
      </c>
      <c r="F47" s="2" t="inlineStr">
        <is>
          <t>Filipa Pinto; Isabel Mendes Lopes; Jorge Pinto; Patrícia Gonçalves; Paulo Muacho; Rui Tavares</t>
        </is>
      </c>
      <c r="G47" s="2" t="inlineStr">
        <is>
          <t>Art. 63.º-B (aditamento)</t>
        </is>
      </c>
      <c r="H47" s="2" t="n"/>
      <c r="I47" s="2" t="n"/>
      <c r="J47" s="2" t="n"/>
      <c r="K47" s="2" t="n"/>
      <c r="L47" s="2" t="inlineStr">
        <is>
          <t>Artigo 63.º-B (Redução faseada da taxa de IVA)</t>
        </is>
      </c>
      <c r="M47" s="4" t="n"/>
      <c r="N47" s="4" t="n"/>
      <c r="O47" s="2" t="n"/>
      <c r="P47" s="2" t="n"/>
      <c r="Q47" s="2" t="n"/>
      <c r="R47" s="2" t="n"/>
      <c r="S47" s="2" t="inlineStr">
        <is>
          <t>Rejeitado(a) em Comissão</t>
        </is>
      </c>
      <c r="T47" s="2" t="inlineStr">
        <is>
          <t>Rejeitada</t>
        </is>
      </c>
      <c r="U47" s="2" t="inlineStr">
        <is>
          <t>Favor: L, PCP, BE, PAN; Contra: PSD, CDS-PP; Abstenção: CH, PS, IL</t>
        </is>
      </c>
      <c r="V47" s="3" t="n">
        <v>45982</v>
      </c>
      <c r="W47" s="2" t="inlineStr">
        <is>
          <t>AR: https://www.parlamento.pt/OrcamentoEstado/Paginas/DetalhePropostaAlteracao.aspx?BID=23594 PDF: https://app.parlamento.pt/webutils/docs/doc.pdf?path=6148523063484d364c793942556b356c6443397a6158526c63793959566b6c4a544556484c3039464c7a49774d6a59794d4449314d5441774f533951515339684d6a41344e474d774e5331694e3259324c5451324f5445744f5745775a4330774d575578597a566859545669596a67756347526d&amp;Fich=a2084c05-b7f6-4691-9a0d-01e1c5aa5bb8.pdf&amp;Inline=true</t>
        </is>
      </c>
      <c r="X47" s="2" t="inlineStr">
        <is>
          <t>Orçamento, Finanças e Administração Pública</t>
        </is>
      </c>
      <c r="Y47" s="2" t="inlineStr">
        <is>
          <t>Articulado</t>
        </is>
      </c>
      <c r="Z47" s="2" t="inlineStr">
        <is>
          <t>Aditamento (Artigo PPL)</t>
        </is>
      </c>
      <c r="AA47" s="2" t="inlineStr">
        <is>
          <t>Rejeitado(a) em Comissão</t>
        </is>
      </c>
      <c r="AB47" s="2" t="inlineStr"/>
      <c r="AC47" s="2" t="inlineStr">
        <is>
          <t>2</t>
        </is>
      </c>
      <c r="AD47" s="2" t="inlineStr">
        <is>
          <t>1</t>
        </is>
      </c>
      <c r="AE47" s="2" t="inlineStr">
        <is>
          <t>23594</t>
        </is>
      </c>
      <c r="AF47" s="2" t="inlineStr">
        <is>
          <t>https://www.parlamento.pt/OrcamentoEstado/Paginas/DetalhePropostaAlteracao.aspx?BID=23594</t>
        </is>
      </c>
      <c r="AG47" s="2" t="inlineStr">
        <is>
          <t>https://app.parlamento.pt/webutils/docs/doc.pdf?path=6148523063484d364c793942556b356c6443397a6158526c63793959566b6c4a544556484c3039464c7a49774d6a59794d4449314d5441774f533951515339684d6a41344e474d774e5331694e3259324c5451324f5445744f5745775a4330774d575578597a566859545669596a67756347526d&amp;Fich=a2084c05-b7f6-4691-9a0d-01e1c5aa5bb8.pdf&amp;Inline=true</t>
        </is>
      </c>
      <c r="AH47" s="3" t="n">
        <v>46321.77847222222</v>
      </c>
      <c r="AI47" s="3" t="n">
        <v>46321.78055555555</v>
      </c>
      <c r="AJ47" s="2" t="inlineStr"/>
    </row>
    <row r="48">
      <c r="A48" s="2" t="n">
        <v>47</v>
      </c>
      <c r="B48" s="2" t="inlineStr">
        <is>
          <t>40C-3</t>
        </is>
      </c>
      <c r="C48" s="3" t="n">
        <v>45959.50555555556</v>
      </c>
      <c r="D48" s="2" t="inlineStr">
        <is>
          <t>Original</t>
        </is>
      </c>
      <c r="E48" s="2" t="inlineStr">
        <is>
          <t>L</t>
        </is>
      </c>
      <c r="F48" s="2" t="inlineStr">
        <is>
          <t>Filipa Pinto; Isabel Mendes Lopes; Jorge Pinto; Patrícia Gonçalves; Paulo Muacho; Rui Tavares</t>
        </is>
      </c>
      <c r="G48" s="2" t="inlineStr">
        <is>
          <t>Art. 63.º-C (aditamento)</t>
        </is>
      </c>
      <c r="H48" s="2" t="n"/>
      <c r="I48" s="2" t="n"/>
      <c r="J48" s="2" t="n"/>
      <c r="K48" s="2" t="n"/>
      <c r="L48" s="2" t="inlineStr">
        <is>
          <t>Artigo 63.º-C (Alteração ao artigo 18.º do Código do Imposto sobre o Valor Acrescentado)</t>
        </is>
      </c>
      <c r="M48" s="4" t="n"/>
      <c r="N48" s="4" t="n"/>
      <c r="O48" s="2" t="n"/>
      <c r="P48" s="2" t="n"/>
      <c r="Q48" s="2" t="n"/>
      <c r="R48" s="2" t="n"/>
      <c r="S48" s="2" t="inlineStr">
        <is>
          <t>Rejeitado(a) em Comissão</t>
        </is>
      </c>
      <c r="T48" s="2" t="inlineStr">
        <is>
          <t>Rejeitada</t>
        </is>
      </c>
      <c r="U48" s="2" t="inlineStr">
        <is>
          <t>Favor: L, PCP, BE, PAN; Contra: PSD, CDS-PP; Abstenção: CH, PS, IL</t>
        </is>
      </c>
      <c r="V48" s="3" t="n">
        <v>45982</v>
      </c>
      <c r="W48" s="2" t="inlineStr">
        <is>
          <t>AR: https://www.parlamento.pt/OrcamentoEstado/Paginas/DetalhePropostaAlteracao.aspx?BID=23595 PDF: https://app.parlamento.pt/webutils/docs/doc.pdf?path=6148523063484d364c793942556b356c6443397a6158526c63793959566b6c4a544556484c3039464c7a49774d6a59794d4449314d5441774f5339515153396c4d446734597a49324e43307a597a63344c5451344d575974596d4d79596930304d574d7a4d6a45784e7a41334d7a63756347526d&amp;Fich=e088c264-3c78-481f-bc2b-41c321170737.pdf&amp;Inline=true</t>
        </is>
      </c>
      <c r="X48" s="2" t="inlineStr">
        <is>
          <t>Orçamento, Finanças e Administração Pública</t>
        </is>
      </c>
      <c r="Y48" s="2" t="inlineStr">
        <is>
          <t>Articulado</t>
        </is>
      </c>
      <c r="Z48" s="2" t="inlineStr">
        <is>
          <t>Aditamento (Artigo PPL)</t>
        </is>
      </c>
      <c r="AA48" s="2" t="inlineStr">
        <is>
          <t>Rejeitado(a) em Comissão</t>
        </is>
      </c>
      <c r="AB48" s="2" t="inlineStr"/>
      <c r="AC48" s="2" t="inlineStr">
        <is>
          <t>3</t>
        </is>
      </c>
      <c r="AD48" s="2" t="inlineStr">
        <is>
          <t>1</t>
        </is>
      </c>
      <c r="AE48" s="2" t="inlineStr">
        <is>
          <t>23595</t>
        </is>
      </c>
      <c r="AF48" s="2" t="inlineStr">
        <is>
          <t>https://www.parlamento.pt/OrcamentoEstado/Paginas/DetalhePropostaAlteracao.aspx?BID=23595</t>
        </is>
      </c>
      <c r="AG48" s="2" t="inlineStr">
        <is>
          <t>https://app.parlamento.pt/webutils/docs/doc.pdf?path=6148523063484d364c793942556b356c6443397a6158526c63793959566b6c4a544556484c3039464c7a49774d6a59794d4449314d5441774f5339515153396c4d446734597a49324e43307a597a63344c5451344d575974596d4d79596930304d574d7a4d6a45784e7a41334d7a63756347526d&amp;Fich=e088c264-3c78-481f-bc2b-41c321170737.pdf&amp;Inline=true</t>
        </is>
      </c>
      <c r="AH48" s="3" t="n">
        <v>46321.77847222222</v>
      </c>
      <c r="AI48" s="3" t="n">
        <v>46321.78055555555</v>
      </c>
      <c r="AJ48" s="2" t="inlineStr"/>
    </row>
    <row r="49">
      <c r="A49" s="2" t="n">
        <v>48</v>
      </c>
      <c r="B49" s="2" t="inlineStr">
        <is>
          <t>41C</t>
        </is>
      </c>
      <c r="C49" s="3" t="n">
        <v>45959.54305555556</v>
      </c>
      <c r="D49" s="2" t="inlineStr">
        <is>
          <t>Original</t>
        </is>
      </c>
      <c r="E49" s="2" t="inlineStr">
        <is>
          <t>L</t>
        </is>
      </c>
      <c r="F49" s="2" t="inlineStr">
        <is>
          <t>Filipa Pinto; Isabel Mendes Lopes; Jorge Pinto; Patrícia Gonçalves; Paulo Muacho; Rui Tavares</t>
        </is>
      </c>
      <c r="G49" s="2" t="inlineStr">
        <is>
          <t>Art. 19.º-A (aditamento)</t>
        </is>
      </c>
      <c r="H49" s="2" t="n"/>
      <c r="I49" s="2" t="n"/>
      <c r="J49" s="2" t="n"/>
      <c r="K49" s="2" t="n"/>
      <c r="L49" s="2" t="inlineStr">
        <is>
          <t>Artigo 19.º-A (Aumento salarial na Administração Pública)</t>
        </is>
      </c>
      <c r="M49" s="4" t="n"/>
      <c r="N49" s="4" t="n"/>
      <c r="O49" s="2" t="n"/>
      <c r="P49" s="2" t="n"/>
      <c r="Q49" s="2" t="n"/>
      <c r="R49" s="2" t="n"/>
      <c r="S49" s="2" t="inlineStr">
        <is>
          <t>Rejeitado(a) em Comissão</t>
        </is>
      </c>
      <c r="T49" s="2" t="inlineStr">
        <is>
          <t>Rejeitada</t>
        </is>
      </c>
      <c r="U49" s="2" t="inlineStr">
        <is>
          <t>Favor: L, PCP, BE, PAN; Contra: PSD, IL, CDS-PP; Abstenção: CH, PS</t>
        </is>
      </c>
      <c r="V49" s="3" t="n">
        <v>45981</v>
      </c>
      <c r="W49" s="2" t="inlineStr">
        <is>
          <t>AR: https://www.parlamento.pt/OrcamentoEstado/Paginas/DetalhePropostaAlteracao.aspx?BID=23234 PDF: https://app.parlamento.pt/webutils/docs/doc.pdf?path=6148523063484d364c793942556b356c6443397a6158526c63793959566b6c4a544556484c3039464c7a49774d6a59794d4449314d5441774f533951515338314f57466d4d544935595331684d546b354c54526c597a63744f44637a597930354d5445355a6a457a5932597a4d6a55756347526d&amp;Fich=59af129a-a199-4ec7-873c-9119f13cf325.pdf&amp;Inline=true</t>
        </is>
      </c>
      <c r="X49" s="2" t="inlineStr">
        <is>
          <t>Orçamento, Finanças e Administração Pública</t>
        </is>
      </c>
      <c r="Y49" s="2" t="inlineStr">
        <is>
          <t>Articulado</t>
        </is>
      </c>
      <c r="Z49" s="2" t="inlineStr">
        <is>
          <t>Aditamento (Artigo PPL)</t>
        </is>
      </c>
      <c r="AA49" s="2" t="inlineStr">
        <is>
          <t>Rejeitado(a) em Comissão</t>
        </is>
      </c>
      <c r="AB49" s="2" t="inlineStr"/>
      <c r="AC49" s="2" t="inlineStr"/>
      <c r="AD49" s="2" t="inlineStr">
        <is>
          <t>1</t>
        </is>
      </c>
      <c r="AE49" s="2" t="inlineStr">
        <is>
          <t>23234</t>
        </is>
      </c>
      <c r="AF49" s="2" t="inlineStr">
        <is>
          <t>https://www.parlamento.pt/OrcamentoEstado/Paginas/DetalhePropostaAlteracao.aspx?BID=23234</t>
        </is>
      </c>
      <c r="AG49" s="2" t="inlineStr">
        <is>
          <t>https://app.parlamento.pt/webutils/docs/doc.pdf?path=6148523063484d364c793942556b356c6443397a6158526c63793959566b6c4a544556484c3039464c7a49774d6a59794d4449314d5441774f533951515338314f57466d4d544935595331684d546b354c54526c597a63744f44637a597930354d5445355a6a457a5932597a4d6a55756347526d&amp;Fich=59af129a-a199-4ec7-873c-9119f13cf325.pdf&amp;Inline=true</t>
        </is>
      </c>
      <c r="AH49" s="3" t="n">
        <v>46321.77847222222</v>
      </c>
      <c r="AI49" s="3" t="n">
        <v>46321.78055555555</v>
      </c>
      <c r="AJ49" s="2" t="inlineStr"/>
    </row>
    <row r="50">
      <c r="A50" s="2" t="n">
        <v>49</v>
      </c>
      <c r="B50" s="2" t="inlineStr">
        <is>
          <t>42C</t>
        </is>
      </c>
      <c r="C50" s="3" t="n">
        <v>45959.55833333333</v>
      </c>
      <c r="D50" s="2" t="inlineStr">
        <is>
          <t>Original</t>
        </is>
      </c>
      <c r="E50" s="2" t="inlineStr">
        <is>
          <t>L</t>
        </is>
      </c>
      <c r="F50" s="2" t="inlineStr">
        <is>
          <t>Filipa Pinto; Isabel Mendes Lopes; Jorge Pinto; Patrícia Gonçalves; Paulo Muacho; Rui Tavares</t>
        </is>
      </c>
      <c r="G50" s="2" t="inlineStr">
        <is>
          <t>Art. 112.º-A (aditamento)</t>
        </is>
      </c>
      <c r="H50" s="2" t="n"/>
      <c r="I50" s="2" t="n"/>
      <c r="J50" s="2" t="n"/>
      <c r="K50" s="2" t="n"/>
      <c r="L50" s="2" t="inlineStr">
        <is>
          <t>Artigo 112.º-A (Alarga o Projeto-piloto da semana de quatro dias de trabalho no setor privado)</t>
        </is>
      </c>
      <c r="M50" s="4" t="n"/>
      <c r="N50" s="4" t="n"/>
      <c r="O50" s="2" t="n"/>
      <c r="P50" s="2" t="n"/>
      <c r="Q50" s="2" t="n"/>
      <c r="R50" s="2" t="n"/>
      <c r="S50" s="2" t="inlineStr">
        <is>
          <t>Rejeitado(a) em Comissão</t>
        </is>
      </c>
      <c r="T50" s="2" t="inlineStr">
        <is>
          <t>Rejeitada</t>
        </is>
      </c>
      <c r="U50" s="2" t="inlineStr">
        <is>
          <t>Favor: L, BE, PAN; Contra: PSD, CH, IL, CDS-PP; Abstenção: PS, PCP</t>
        </is>
      </c>
      <c r="V50" s="3" t="n">
        <v>45982</v>
      </c>
      <c r="W50" s="2" t="inlineStr">
        <is>
          <t>AR: https://www.parlamento.pt/OrcamentoEstado/Paginas/DetalhePropostaAlteracao.aspx?BID=23235 PDF: https://app.parlamento.pt/webutils/docs/doc.pdf?path=6148523063484d364c793942556b356c6443397a6158526c63793959566b6c4a544556484c3039464c7a49774d6a59794d4449314d5441774f533951515338344e6d4d325a4445774e53316a4d574d774c54526c4d6a41744f4749774e5330784e6a426c4e574a6b4e7a686c5a5449756347526d&amp;Fich=86c6d105-c1c0-4e20-8b05-160e5bd78ee2.pdf&amp;Inline=true</t>
        </is>
      </c>
      <c r="X50" s="2" t="inlineStr">
        <is>
          <t>Trabalho, Segurança Social e Inclusão</t>
        </is>
      </c>
      <c r="Y50" s="2" t="inlineStr">
        <is>
          <t>Articulado</t>
        </is>
      </c>
      <c r="Z50" s="2" t="inlineStr">
        <is>
          <t>Aditamento (Artigo PPL)</t>
        </is>
      </c>
      <c r="AA50" s="2" t="inlineStr">
        <is>
          <t>Rejeitado(a) em Comissão</t>
        </is>
      </c>
      <c r="AB50" s="2" t="inlineStr"/>
      <c r="AC50" s="2" t="inlineStr"/>
      <c r="AD50" s="2" t="inlineStr">
        <is>
          <t>1</t>
        </is>
      </c>
      <c r="AE50" s="2" t="inlineStr">
        <is>
          <t>23235</t>
        </is>
      </c>
      <c r="AF50" s="2" t="inlineStr">
        <is>
          <t>https://www.parlamento.pt/OrcamentoEstado/Paginas/DetalhePropostaAlteracao.aspx?BID=23235</t>
        </is>
      </c>
      <c r="AG50" s="2" t="inlineStr">
        <is>
          <t>https://app.parlamento.pt/webutils/docs/doc.pdf?path=6148523063484d364c793942556b356c6443397a6158526c63793959566b6c4a544556484c3039464c7a49774d6a59794d4449314d5441774f533951515338344e6d4d325a4445774e53316a4d574d774c54526c4d6a41744f4749774e5330784e6a426c4e574a6b4e7a686c5a5449756347526d&amp;Fich=86c6d105-c1c0-4e20-8b05-160e5bd78ee2.pdf&amp;Inline=true</t>
        </is>
      </c>
      <c r="AH50" s="3" t="n">
        <v>46321.77847222222</v>
      </c>
      <c r="AI50" s="3" t="n">
        <v>46321.78055555555</v>
      </c>
      <c r="AJ50" s="2" t="inlineStr"/>
    </row>
    <row r="51">
      <c r="A51" s="2" t="n">
        <v>50</v>
      </c>
      <c r="B51" s="2" t="inlineStr">
        <is>
          <t>43C</t>
        </is>
      </c>
      <c r="C51" s="3" t="n">
        <v>45959.56388888889</v>
      </c>
      <c r="D51" s="2" t="inlineStr">
        <is>
          <t>Original</t>
        </is>
      </c>
      <c r="E51" s="2" t="inlineStr">
        <is>
          <t>L</t>
        </is>
      </c>
      <c r="F51" s="2" t="inlineStr">
        <is>
          <t>Filipa Pinto; Isabel Mendes Lopes; Jorge Pinto; Patrícia Gonçalves; Paulo Muacho; Rui Tavares</t>
        </is>
      </c>
      <c r="G51" s="2" t="inlineStr">
        <is>
          <t>Art. 112.º-A (aditamento)</t>
        </is>
      </c>
      <c r="H51" s="2" t="n"/>
      <c r="I51" s="2" t="n"/>
      <c r="J51" s="2" t="n"/>
      <c r="K51" s="2" t="n"/>
      <c r="L51" s="2" t="inlineStr">
        <is>
          <t>Artigo 112.º-A (Cria o Serviço Nacional de Habitação)</t>
        </is>
      </c>
      <c r="M51" s="4" t="n"/>
      <c r="N51" s="4" t="n"/>
      <c r="O51" s="2" t="n"/>
      <c r="P51" s="2" t="n"/>
      <c r="Q51" s="2" t="n"/>
      <c r="R51" s="2" t="n"/>
      <c r="S51" s="2" t="inlineStr">
        <is>
          <t>Rejeitado(a) em Comissão</t>
        </is>
      </c>
      <c r="T51" s="2" t="inlineStr">
        <is>
          <t>Rejeitada</t>
        </is>
      </c>
      <c r="U51" s="2" t="inlineStr">
        <is>
          <t>Favor: L, PCP, BE, PAN; Contra: PSD, CH, IL, CDS-PP; Abstenção: PS</t>
        </is>
      </c>
      <c r="V51" s="3" t="n">
        <v>45982</v>
      </c>
      <c r="W51" s="2" t="inlineStr">
        <is>
          <t>AR: https://www.parlamento.pt/OrcamentoEstado/Paginas/DetalhePropostaAlteracao.aspx?BID=23236 PDF: https://app.parlamento.pt/webutils/docs/doc.pdf?path=6148523063484d364c793942556b356c6443397a6158526c63793959566b6c4a544556484c3039464c7a49774d6a59794d4449314d5441774f5339515153396d4e47526d5a4745774e53316c597a63774c54517a4f445174596d4d314e53316b595756695a544d774e6a55344e6a6b756347526d&amp;Fich=f4dfda05-ec70-4384-bc55-daebe3065869.pdf&amp;Inline=true</t>
        </is>
      </c>
      <c r="X51" s="2" t="inlineStr">
        <is>
          <t>Infraestruturas, Mobilidade e Habitação</t>
        </is>
      </c>
      <c r="Y51" s="2" t="inlineStr">
        <is>
          <t>Articulado</t>
        </is>
      </c>
      <c r="Z51" s="2" t="inlineStr">
        <is>
          <t>Aditamento (Artigo PPL)</t>
        </is>
      </c>
      <c r="AA51" s="2" t="inlineStr">
        <is>
          <t>Rejeitado(a) em Comissão</t>
        </is>
      </c>
      <c r="AB51" s="2" t="inlineStr"/>
      <c r="AC51" s="2" t="inlineStr"/>
      <c r="AD51" s="2" t="inlineStr">
        <is>
          <t>1</t>
        </is>
      </c>
      <c r="AE51" s="2" t="inlineStr">
        <is>
          <t>23236</t>
        </is>
      </c>
      <c r="AF51" s="2" t="inlineStr">
        <is>
          <t>https://www.parlamento.pt/OrcamentoEstado/Paginas/DetalhePropostaAlteracao.aspx?BID=23236</t>
        </is>
      </c>
      <c r="AG51" s="2" t="inlineStr">
        <is>
          <t>https://app.parlamento.pt/webutils/docs/doc.pdf?path=6148523063484d364c793942556b356c6443397a6158526c63793959566b6c4a544556484c3039464c7a49774d6a59794d4449314d5441774f5339515153396d4e47526d5a4745774e53316c597a63774c54517a4f445174596d4d314e53316b595756695a544d774e6a55344e6a6b756347526d&amp;Fich=f4dfda05-ec70-4384-bc55-daebe3065869.pdf&amp;Inline=true</t>
        </is>
      </c>
      <c r="AH51" s="3" t="n">
        <v>46321.77847222222</v>
      </c>
      <c r="AI51" s="3" t="n">
        <v>46321.78055555555</v>
      </c>
      <c r="AJ51" s="2" t="inlineStr"/>
    </row>
    <row r="52">
      <c r="A52" s="2" t="n">
        <v>51</v>
      </c>
      <c r="B52" s="2" t="inlineStr">
        <is>
          <t>44C</t>
        </is>
      </c>
      <c r="C52" s="3" t="n">
        <v>45959.56666666667</v>
      </c>
      <c r="D52" s="2" t="inlineStr">
        <is>
          <t>Original</t>
        </is>
      </c>
      <c r="E52" s="2" t="inlineStr">
        <is>
          <t>L</t>
        </is>
      </c>
      <c r="F52" s="2" t="inlineStr">
        <is>
          <t>Filipa Pinto; Isabel Mendes Lopes; Jorge Pinto; Patrícia Gonçalves; Paulo Muacho; Rui Tavares</t>
        </is>
      </c>
      <c r="G52" s="2" t="inlineStr">
        <is>
          <t>Art. 112.º-A (aditamento)</t>
        </is>
      </c>
      <c r="H52" s="2" t="n"/>
      <c r="I52" s="2" t="n"/>
      <c r="J52" s="2" t="n"/>
      <c r="K52" s="2" t="n"/>
      <c r="L52" s="2" t="inlineStr">
        <is>
          <t>Artigo 112.º-A (Aumento do Salário Mínimo Nacional)</t>
        </is>
      </c>
      <c r="M52" s="4" t="n"/>
      <c r="N52" s="4" t="n"/>
      <c r="O52" s="2" t="n"/>
      <c r="P52" s="2" t="n"/>
      <c r="Q52" s="2" t="n"/>
      <c r="R52" s="2" t="n"/>
      <c r="S52" s="2" t="inlineStr">
        <is>
          <t>Rejeitado(a) em Comissão</t>
        </is>
      </c>
      <c r="T52" s="2" t="inlineStr">
        <is>
          <t>Rejeitada</t>
        </is>
      </c>
      <c r="U52" s="2" t="inlineStr">
        <is>
          <t>Favor: L, PCP, BE, PAN; Contra: PSD, IL, CDS-PP; Abstenção: CH, PS</t>
        </is>
      </c>
      <c r="V52" s="3" t="n">
        <v>45982</v>
      </c>
      <c r="W52" s="2" t="inlineStr">
        <is>
          <t>AR: https://www.parlamento.pt/OrcamentoEstado/Paginas/DetalhePropostaAlteracao.aspx?BID=23237 PDF: https://app.parlamento.pt/webutils/docs/doc.pdf?path=6148523063484d364c793942556b356c6443397a6158526c63793959566b6c4a544556484c3039464c7a49774d6a59794d4449314d5441774f533951515338314d446c6a4e6a67315a4330774e446b7a4c54526a4f544974596a41324f433077597a4d305a4445335a6a4d344d6d49756347526d&amp;Fich=509c685d-0493-4c92-b068-0c34d17f382b.pdf&amp;Inline=true</t>
        </is>
      </c>
      <c r="X52" s="2" t="inlineStr">
        <is>
          <t>Trabalho, Segurança Social e Inclusão</t>
        </is>
      </c>
      <c r="Y52" s="2" t="inlineStr">
        <is>
          <t>Articulado</t>
        </is>
      </c>
      <c r="Z52" s="2" t="inlineStr">
        <is>
          <t>Aditamento (Artigo PPL)</t>
        </is>
      </c>
      <c r="AA52" s="2" t="inlineStr">
        <is>
          <t>Rejeitado(a) em Comissão</t>
        </is>
      </c>
      <c r="AB52" s="2" t="inlineStr"/>
      <c r="AC52" s="2" t="inlineStr"/>
      <c r="AD52" s="2" t="inlineStr">
        <is>
          <t>1</t>
        </is>
      </c>
      <c r="AE52" s="2" t="inlineStr">
        <is>
          <t>23237</t>
        </is>
      </c>
      <c r="AF52" s="2" t="inlineStr">
        <is>
          <t>https://www.parlamento.pt/OrcamentoEstado/Paginas/DetalhePropostaAlteracao.aspx?BID=23237</t>
        </is>
      </c>
      <c r="AG52" s="2" t="inlineStr">
        <is>
          <t>https://app.parlamento.pt/webutils/docs/doc.pdf?path=6148523063484d364c793942556b356c6443397a6158526c63793959566b6c4a544556484c3039464c7a49774d6a59794d4449314d5441774f533951515338314d446c6a4e6a67315a4330774e446b7a4c54526a4f544974596a41324f433077597a4d305a4445335a6a4d344d6d49756347526d&amp;Fich=509c685d-0493-4c92-b068-0c34d17f382b.pdf&amp;Inline=true</t>
        </is>
      </c>
      <c r="AH52" s="3" t="n">
        <v>46321.77847222222</v>
      </c>
      <c r="AI52" s="3" t="n">
        <v>46321.78055555555</v>
      </c>
      <c r="AJ52" s="2" t="inlineStr"/>
    </row>
    <row r="53">
      <c r="A53" s="2" t="n">
        <v>52</v>
      </c>
      <c r="B53" s="2" t="inlineStr">
        <is>
          <t>45C</t>
        </is>
      </c>
      <c r="C53" s="3" t="n">
        <v>45959.60347222222</v>
      </c>
      <c r="D53" s="2" t="inlineStr">
        <is>
          <t>Original</t>
        </is>
      </c>
      <c r="E53" s="2" t="inlineStr">
        <is>
          <t>PCP</t>
        </is>
      </c>
      <c r="F53" s="2" t="inlineStr">
        <is>
          <t>Alfredo Maia; Paula Santos; Paulo Raimundo</t>
        </is>
      </c>
      <c r="G53" s="2" t="inlineStr">
        <is>
          <t>Art. 18.º-A (aditamento)</t>
        </is>
      </c>
      <c r="H53" s="2" t="n"/>
      <c r="I53" s="2" t="n"/>
      <c r="J53" s="2" t="n"/>
      <c r="K53" s="2" t="n"/>
      <c r="L53" s="2" t="inlineStr">
        <is>
          <t>Artigo 18.º-A (Valorização Poder Compra Trabalhadores da Administração Pública)</t>
        </is>
      </c>
      <c r="M53" s="4" t="n"/>
      <c r="N53" s="4" t="n"/>
      <c r="O53" s="2" t="n"/>
      <c r="P53" s="2" t="n"/>
      <c r="Q53" s="2" t="n"/>
      <c r="R53" s="2" t="n"/>
      <c r="S53" s="2" t="inlineStr">
        <is>
          <t>Rejeitado(a) em Comissão</t>
        </is>
      </c>
      <c r="T53" s="2" t="inlineStr">
        <is>
          <t>Rejeitada</t>
        </is>
      </c>
      <c r="U53" s="2" t="inlineStr">
        <is>
          <t>Favor: L, PCP, BE, PAN; Contra: PSD, IL, CDS-PP; Abstenção: CH, PS</t>
        </is>
      </c>
      <c r="V53" s="3" t="n">
        <v>45981</v>
      </c>
      <c r="W53" s="2" t="inlineStr">
        <is>
          <t>AR: https://www.parlamento.pt/OrcamentoEstado/Paginas/DetalhePropostaAlteracao.aspx?BID=23238 PDF: https://app.parlamento.pt/webutils/docs/doc.pdf?path=6148523063484d364c793942556b356c6443397a6158526c63793959566b6c4a544556484c3039464c7a49774d6a59794d4449314d5441774f5339515153396b4f446732596a557a4f5330794e4449794c5451795a6d59744f445a6c5a5330784f5756685a44426d4f545a6b4d6a4d756347526d&amp;Fich=d886b539-2422-42ff-86ee-19ead0f96d23.pdf&amp;Inline=true</t>
        </is>
      </c>
      <c r="X53" s="2" t="inlineStr">
        <is>
          <t>Orçamento, Finanças e Administração Pública</t>
        </is>
      </c>
      <c r="Y53" s="2" t="inlineStr">
        <is>
          <t>Articulado</t>
        </is>
      </c>
      <c r="Z53" s="2" t="inlineStr">
        <is>
          <t>Aditamento (Artigo PPL)</t>
        </is>
      </c>
      <c r="AA53" s="2" t="inlineStr">
        <is>
          <t>Rejeitado(a) em Comissão</t>
        </is>
      </c>
      <c r="AB53" s="2" t="inlineStr"/>
      <c r="AC53" s="2" t="inlineStr"/>
      <c r="AD53" s="2" t="inlineStr">
        <is>
          <t>1</t>
        </is>
      </c>
      <c r="AE53" s="2" t="inlineStr">
        <is>
          <t>23238</t>
        </is>
      </c>
      <c r="AF53" s="2" t="inlineStr">
        <is>
          <t>https://www.parlamento.pt/OrcamentoEstado/Paginas/DetalhePropostaAlteracao.aspx?BID=23238</t>
        </is>
      </c>
      <c r="AG53" s="2" t="inlineStr">
        <is>
          <t>https://app.parlamento.pt/webutils/docs/doc.pdf?path=6148523063484d364c793942556b356c6443397a6158526c63793959566b6c4a544556484c3039464c7a49774d6a59794d4449314d5441774f5339515153396b4f446732596a557a4f5330794e4449794c5451795a6d59744f445a6c5a5330784f5756685a44426d4f545a6b4d6a4d756347526d&amp;Fich=d886b539-2422-42ff-86ee-19ead0f96d23.pdf&amp;Inline=true</t>
        </is>
      </c>
      <c r="AH53" s="3" t="n">
        <v>46321.77847222222</v>
      </c>
      <c r="AI53" s="3" t="n">
        <v>46321.78055555555</v>
      </c>
      <c r="AJ53" s="2" t="inlineStr"/>
    </row>
    <row r="54">
      <c r="A54" s="2" t="n">
        <v>53</v>
      </c>
      <c r="B54" s="2" t="inlineStr">
        <is>
          <t>46C</t>
        </is>
      </c>
      <c r="C54" s="3" t="n">
        <v>45959.60555555556</v>
      </c>
      <c r="D54" s="2" t="inlineStr">
        <is>
          <t>Original</t>
        </is>
      </c>
      <c r="E54" s="2" t="inlineStr">
        <is>
          <t>PCP</t>
        </is>
      </c>
      <c r="F54" s="2" t="inlineStr">
        <is>
          <t>Alfredo Maia; Paula Santos; Paulo Raimundo</t>
        </is>
      </c>
      <c r="G54" s="2" t="inlineStr">
        <is>
          <t>Art. 18.º-A (aditamento)</t>
        </is>
      </c>
      <c r="H54" s="2" t="n"/>
      <c r="I54" s="2" t="n"/>
      <c r="J54" s="2" t="n"/>
      <c r="K54" s="2" t="n"/>
      <c r="L54" s="2" t="inlineStr">
        <is>
          <t>Artigo 18.º-A (Atualização do subsídio de refeição)</t>
        </is>
      </c>
      <c r="M54" s="4" t="n"/>
      <c r="N54" s="4" t="n"/>
      <c r="O54" s="2" t="n"/>
      <c r="P54" s="2" t="n"/>
      <c r="Q54" s="2" t="n"/>
      <c r="R54" s="2" t="n"/>
      <c r="S54" s="2" t="inlineStr">
        <is>
          <t>Rejeitado(a) em Comissão</t>
        </is>
      </c>
      <c r="T54" s="2" t="inlineStr">
        <is>
          <t>Rejeitada</t>
        </is>
      </c>
      <c r="U54" s="2" t="inlineStr">
        <is>
          <t>Favor: CH, L, PCP, BE, PAN; Contra: PSD, IL, CDS-PP; Abstenção: PS</t>
        </is>
      </c>
      <c r="V54" s="3" t="n">
        <v>45981</v>
      </c>
      <c r="W54" s="2" t="inlineStr">
        <is>
          <t>AR: https://www.parlamento.pt/OrcamentoEstado/Paginas/DetalhePropostaAlteracao.aspx?BID=23239 PDF: https://app.parlamento.pt/webutils/docs/doc.pdf?path=6148523063484d364c793942556b356c6443397a6158526c63793959566b6c4a544556484c3039464c7a49774d6a59794d4449314d5441774f5339515153387a5a574e695a474a6d5a6930775a6d526d4c5451794f4467744f5463304f53316b4e32566a4e6a45794e5452685a5441756347526d&amp;Fich=3ecbdbff-0fdf-4288-9749-d7ec61254ae0.pdf&amp;Inline=true</t>
        </is>
      </c>
      <c r="X54" s="2" t="inlineStr">
        <is>
          <t>Orçamento, Finanças e Administração Pública</t>
        </is>
      </c>
      <c r="Y54" s="2" t="inlineStr">
        <is>
          <t>Articulado</t>
        </is>
      </c>
      <c r="Z54" s="2" t="inlineStr">
        <is>
          <t>Aditamento (Artigo PPL)</t>
        </is>
      </c>
      <c r="AA54" s="2" t="inlineStr">
        <is>
          <t>Rejeitado(a) em Comissão</t>
        </is>
      </c>
      <c r="AB54" s="2" t="inlineStr"/>
      <c r="AC54" s="2" t="inlineStr"/>
      <c r="AD54" s="2" t="inlineStr">
        <is>
          <t>1</t>
        </is>
      </c>
      <c r="AE54" s="2" t="inlineStr">
        <is>
          <t>23239</t>
        </is>
      </c>
      <c r="AF54" s="2" t="inlineStr">
        <is>
          <t>https://www.parlamento.pt/OrcamentoEstado/Paginas/DetalhePropostaAlteracao.aspx?BID=23239</t>
        </is>
      </c>
      <c r="AG54" s="2" t="inlineStr">
        <is>
          <t>https://app.parlamento.pt/webutils/docs/doc.pdf?path=6148523063484d364c793942556b356c6443397a6158526c63793959566b6c4a544556484c3039464c7a49774d6a59794d4449314d5441774f5339515153387a5a574e695a474a6d5a6930775a6d526d4c5451794f4467744f5463304f53316b4e32566a4e6a45794e5452685a5441756347526d&amp;Fich=3ecbdbff-0fdf-4288-9749-d7ec61254ae0.pdf&amp;Inline=true</t>
        </is>
      </c>
      <c r="AH54" s="3" t="n">
        <v>46321.77847222222</v>
      </c>
      <c r="AI54" s="3" t="n">
        <v>46321.78055555555</v>
      </c>
      <c r="AJ54" s="2" t="inlineStr"/>
    </row>
    <row r="55">
      <c r="A55" s="2" t="n">
        <v>54</v>
      </c>
      <c r="B55" s="2" t="inlineStr">
        <is>
          <t>47C</t>
        </is>
      </c>
      <c r="C55" s="3" t="n">
        <v>45959.60694444444</v>
      </c>
      <c r="D55" s="2" t="inlineStr">
        <is>
          <t>Original</t>
        </is>
      </c>
      <c r="E55" s="2" t="inlineStr">
        <is>
          <t>PCP</t>
        </is>
      </c>
      <c r="F55" s="2" t="inlineStr">
        <is>
          <t>Alfredo Maia; Paula Santos; Paulo Raimundo</t>
        </is>
      </c>
      <c r="G55" s="2" t="inlineStr">
        <is>
          <t>Art. 38.º-A (aditamento)</t>
        </is>
      </c>
      <c r="H55" s="2" t="n"/>
      <c r="I55" s="2" t="n"/>
      <c r="J55" s="2" t="n"/>
      <c r="K55" s="2" t="n"/>
      <c r="L55" s="2" t="inlineStr">
        <is>
          <t>Artigo 38.º-A (Atualização de pensões)</t>
        </is>
      </c>
      <c r="M55" s="4" t="n"/>
      <c r="N55" s="4" t="n"/>
      <c r="O55" s="2" t="n"/>
      <c r="P55" s="2" t="n"/>
      <c r="Q55" s="2" t="n"/>
      <c r="R55" s="2" t="n"/>
      <c r="S55" s="2" t="inlineStr">
        <is>
          <t>Rejeitado(a) em Plenário</t>
        </is>
      </c>
      <c r="T55" s="2" t="inlineStr">
        <is>
          <t>Rejeitada</t>
        </is>
      </c>
      <c r="U55" s="2" t="inlineStr">
        <is>
          <t>Favor: L, PCP, BE, PAN, JPP; Contra: PSD, IL, CDS-PP; Abstenção: CH, PS</t>
        </is>
      </c>
      <c r="V55" s="3" t="n">
        <v>45982</v>
      </c>
      <c r="W55" s="2" t="inlineStr">
        <is>
          <t>Avocada a Plenário. AR: https://www.parlamento.pt/OrcamentoEstado/Paginas/DetalhePropostaAlteracao.aspx?BID=23240 PDF: https://app.parlamento.pt/webutils/docs/doc.pdf?path=6148523063484d364c793942556b356c6443397a6158526c63793959566b6c4a544556484c3039464c7a49774d6a59794d4449314d5441774f5339515153396a5a6a553259574d34595331684e4441354c5451784e6a67744f4449354d53316c4e474d354e325a684f544d7a4e444d756347526d&amp;Fich=cf56ac8a-a409-4168-8291-e4c97fa93343.pdf&amp;Inline=true</t>
        </is>
      </c>
      <c r="X55" s="2" t="inlineStr">
        <is>
          <t>Trabalho, Segurança Social e Inclusão</t>
        </is>
      </c>
      <c r="Y55" s="2" t="inlineStr">
        <is>
          <t>Articulado</t>
        </is>
      </c>
      <c r="Z55" s="2" t="inlineStr">
        <is>
          <t>Aditamento (Artigo PPL)</t>
        </is>
      </c>
      <c r="AA55" s="2" t="inlineStr">
        <is>
          <t>Rejeitado(a) em Plenário</t>
        </is>
      </c>
      <c r="AB55" s="2" t="inlineStr">
        <is>
          <t>S</t>
        </is>
      </c>
      <c r="AC55" s="2" t="inlineStr"/>
      <c r="AD55" s="2" t="inlineStr">
        <is>
          <t>2</t>
        </is>
      </c>
      <c r="AE55" s="2" t="inlineStr">
        <is>
          <t>23240</t>
        </is>
      </c>
      <c r="AF55" s="2" t="inlineStr">
        <is>
          <t>https://www.parlamento.pt/OrcamentoEstado/Paginas/DetalhePropostaAlteracao.aspx?BID=23240</t>
        </is>
      </c>
      <c r="AG55" s="2" t="inlineStr">
        <is>
          <t>https://app.parlamento.pt/webutils/docs/doc.pdf?path=6148523063484d364c793942556b356c6443397a6158526c63793959566b6c4a544556484c3039464c7a49774d6a59794d4449314d5441774f5339515153396a5a6a553259574d34595331684e4441354c5451784e6a67744f4449354d53316c4e474d354e325a684f544d7a4e444d756347526d&amp;Fich=cf56ac8a-a409-4168-8291-e4c97fa93343.pdf&amp;Inline=true</t>
        </is>
      </c>
      <c r="AH55" s="3" t="n">
        <v>46321.77847222222</v>
      </c>
      <c r="AI55" s="3" t="n">
        <v>46321.78055555555</v>
      </c>
      <c r="AJ55" s="2" t="inlineStr"/>
    </row>
    <row r="56">
      <c r="A56" s="2" t="n">
        <v>55</v>
      </c>
      <c r="B56" s="2" t="inlineStr">
        <is>
          <t>48C</t>
        </is>
      </c>
      <c r="C56" s="3" t="n">
        <v>45959.60902777778</v>
      </c>
      <c r="D56" s="2" t="inlineStr">
        <is>
          <t>Original</t>
        </is>
      </c>
      <c r="E56" s="2" t="inlineStr">
        <is>
          <t>PCP</t>
        </is>
      </c>
      <c r="F56" s="2" t="inlineStr">
        <is>
          <t>Alfredo Maia; Paula Santos; Paulo Raimundo</t>
        </is>
      </c>
      <c r="G56" s="2" t="inlineStr">
        <is>
          <t>Art. 126.º-A (aditamento)</t>
        </is>
      </c>
      <c r="H56" s="2" t="n"/>
      <c r="I56" s="2" t="n"/>
      <c r="J56" s="2" t="n"/>
      <c r="K56" s="2" t="n"/>
      <c r="L56" s="2" t="inlineStr">
        <is>
          <t>Artigo 126.º-A (Controlo e fixação de preços do GPL - Gases de Petróleo Liquefeito Butano engarrafado (13kg))</t>
        </is>
      </c>
      <c r="M56" s="4" t="n"/>
      <c r="N56" s="4" t="n"/>
      <c r="O56" s="2" t="n"/>
      <c r="P56" s="2" t="n"/>
      <c r="Q56" s="2" t="n"/>
      <c r="R56" s="2" t="n"/>
      <c r="S56" s="2" t="inlineStr">
        <is>
          <t>Rejeitado(a) em Comissão</t>
        </is>
      </c>
      <c r="T56" s="2" t="inlineStr">
        <is>
          <t>Rejeitada</t>
        </is>
      </c>
      <c r="U56" s="2" t="inlineStr">
        <is>
          <t>Favor: L, PCP, BE, PAN; Contra: PSD, CH, IL, CDS-PP; Abstenção: PS</t>
        </is>
      </c>
      <c r="V56" s="3" t="n">
        <v>45985</v>
      </c>
      <c r="W56" s="2" t="inlineStr">
        <is>
          <t>AR: https://www.parlamento.pt/OrcamentoEstado/Paginas/DetalhePropostaAlteracao.aspx?BID=23241 PDF: https://app.parlamento.pt/webutils/docs/doc.pdf?path=6148523063484d364c793942556b356c6443397a6158526c63793959566b6c4a544556484c3039464c7a49774d6a59794d4449314d5441774f53395151533969597a453559574e684e6930314d7a68684c5452684e6a597459574a6b5a43316b4d5449784d6a55334e7a4d344d6a6b756347526d&amp;Fich=bc19aca6-538a-4a66-abdd-d12125773829.pdf&amp;Inline=true</t>
        </is>
      </c>
      <c r="X56" s="2" t="inlineStr">
        <is>
          <t>Ambiente e Energia</t>
        </is>
      </c>
      <c r="Y56" s="2" t="inlineStr">
        <is>
          <t>Articulado</t>
        </is>
      </c>
      <c r="Z56" s="2" t="inlineStr">
        <is>
          <t>Aditamento (Artigo PPL)</t>
        </is>
      </c>
      <c r="AA56" s="2" t="inlineStr">
        <is>
          <t>Rejeitado(a) em Comissão</t>
        </is>
      </c>
      <c r="AB56" s="2" t="inlineStr"/>
      <c r="AC56" s="2" t="inlineStr"/>
      <c r="AD56" s="2" t="inlineStr">
        <is>
          <t>1</t>
        </is>
      </c>
      <c r="AE56" s="2" t="inlineStr">
        <is>
          <t>23241</t>
        </is>
      </c>
      <c r="AF56" s="2" t="inlineStr">
        <is>
          <t>https://www.parlamento.pt/OrcamentoEstado/Paginas/DetalhePropostaAlteracao.aspx?BID=23241</t>
        </is>
      </c>
      <c r="AG56" s="2" t="inlineStr">
        <is>
          <t>https://app.parlamento.pt/webutils/docs/doc.pdf?path=6148523063484d364c793942556b356c6443397a6158526c63793959566b6c4a544556484c3039464c7a49774d6a59794d4449314d5441774f53395151533969597a453559574e684e6930314d7a68684c5452684e6a597459574a6b5a43316b4d5449784d6a55334e7a4d344d6a6b756347526d&amp;Fich=bc19aca6-538a-4a66-abdd-d12125773829.pdf&amp;Inline=true</t>
        </is>
      </c>
      <c r="AH56" s="3" t="n">
        <v>46321.77847222222</v>
      </c>
      <c r="AI56" s="3" t="n">
        <v>46321.78055555555</v>
      </c>
      <c r="AJ56" s="2" t="inlineStr"/>
    </row>
    <row r="57">
      <c r="A57" s="2" t="n">
        <v>56</v>
      </c>
      <c r="B57" s="2" t="inlineStr">
        <is>
          <t>49C</t>
        </is>
      </c>
      <c r="C57" s="3" t="n">
        <v>45959.61041666667</v>
      </c>
      <c r="D57" s="2" t="inlineStr">
        <is>
          <t>Original</t>
        </is>
      </c>
      <c r="E57" s="2" t="inlineStr">
        <is>
          <t>PCP</t>
        </is>
      </c>
      <c r="F57" s="2" t="inlineStr">
        <is>
          <t>Alfredo Maia; Paula Santos; Paulo Raimundo</t>
        </is>
      </c>
      <c r="G57" s="2" t="inlineStr">
        <is>
          <t>Art. 121.º-A (aditamento)</t>
        </is>
      </c>
      <c r="H57" s="2" t="n"/>
      <c r="I57" s="2" t="n"/>
      <c r="J57" s="2" t="n"/>
      <c r="K57" s="2" t="n"/>
      <c r="L57" s="2" t="inlineStr">
        <is>
          <t>Artigo 121.º-A (Gratuitidade de medicamentos para doentes crónicos, utentes com mais de 65 anos e utentes com insuficiência económica)</t>
        </is>
      </c>
      <c r="M57" s="4" t="n"/>
      <c r="N57" s="4" t="n"/>
      <c r="O57" s="2" t="n"/>
      <c r="P57" s="2" t="n"/>
      <c r="Q57" s="2" t="n"/>
      <c r="R57" s="2" t="n"/>
      <c r="S57" s="2" t="inlineStr">
        <is>
          <t>Rejeitado(a) em Comissão</t>
        </is>
      </c>
      <c r="T57" s="2" t="inlineStr">
        <is>
          <t>Rejeitada</t>
        </is>
      </c>
      <c r="U57" s="2" t="inlineStr">
        <is>
          <t>Favor: CH, L, PCP, BE, PAN; Contra: PSD, IL, CDS-PP; Abstenção: PS</t>
        </is>
      </c>
      <c r="V57" s="3" t="n">
        <v>45985</v>
      </c>
      <c r="W57" s="2" t="inlineStr">
        <is>
          <t>AR: https://www.parlamento.pt/OrcamentoEstado/Paginas/DetalhePropostaAlteracao.aspx?BID=23242 PDF: https://app.parlamento.pt/webutils/docs/doc.pdf?path=6148523063484d364c793942556b356c6443397a6158526c63793959566b6c4a544556484c3039464c7a49774d6a59794d4449314d5441774f533951515338344d6d51314d324a6a5a6930315a474d344c5451354e6a45744f5449324f5330795932526a595455314d7a45344d4445756347526d&amp;Fich=82d53bcf-5dc8-4961-9269-2cdca5531801.pdf&amp;Inline=true</t>
        </is>
      </c>
      <c r="X57" s="2" t="inlineStr">
        <is>
          <t>Saúde</t>
        </is>
      </c>
      <c r="Y57" s="2" t="inlineStr">
        <is>
          <t>Articulado</t>
        </is>
      </c>
      <c r="Z57" s="2" t="inlineStr">
        <is>
          <t>Aditamento (Artigo PPL)</t>
        </is>
      </c>
      <c r="AA57" s="2" t="inlineStr">
        <is>
          <t>Rejeitado(a) em Comissão</t>
        </is>
      </c>
      <c r="AB57" s="2" t="inlineStr"/>
      <c r="AC57" s="2" t="inlineStr"/>
      <c r="AD57" s="2" t="inlineStr">
        <is>
          <t>1</t>
        </is>
      </c>
      <c r="AE57" s="2" t="inlineStr">
        <is>
          <t>23242</t>
        </is>
      </c>
      <c r="AF57" s="2" t="inlineStr">
        <is>
          <t>https://www.parlamento.pt/OrcamentoEstado/Paginas/DetalhePropostaAlteracao.aspx?BID=23242</t>
        </is>
      </c>
      <c r="AG57" s="2" t="inlineStr">
        <is>
          <t>https://app.parlamento.pt/webutils/docs/doc.pdf?path=6148523063484d364c793942556b356c6443397a6158526c63793959566b6c4a544556484c3039464c7a49774d6a59794d4449314d5441774f533951515338344d6d51314d324a6a5a6930315a474d344c5451354e6a45744f5449324f5330795932526a595455314d7a45344d4445756347526d&amp;Fich=82d53bcf-5dc8-4961-9269-2cdca5531801.pdf&amp;Inline=true</t>
        </is>
      </c>
      <c r="AH57" s="3" t="n">
        <v>46321.77847222222</v>
      </c>
      <c r="AI57" s="3" t="n">
        <v>46321.78055555555</v>
      </c>
      <c r="AJ57" s="2" t="inlineStr"/>
    </row>
    <row r="58">
      <c r="A58" s="2" t="n">
        <v>57</v>
      </c>
      <c r="B58" s="2" t="inlineStr">
        <is>
          <t>50C</t>
        </is>
      </c>
      <c r="C58" s="3" t="n">
        <v>45959.61180555556</v>
      </c>
      <c r="D58" s="2" t="inlineStr">
        <is>
          <t>Original</t>
        </is>
      </c>
      <c r="E58" s="2" t="inlineStr">
        <is>
          <t>PCP</t>
        </is>
      </c>
      <c r="F58" s="2" t="inlineStr">
        <is>
          <t>Alfredo Maia; Paula Santos; Paulo Raimundo</t>
        </is>
      </c>
      <c r="G58" s="2" t="inlineStr">
        <is>
          <t>Art. 22.º-A (aditamento)</t>
        </is>
      </c>
      <c r="H58" s="2" t="n"/>
      <c r="I58" s="2" t="n"/>
      <c r="J58" s="2" t="n"/>
      <c r="K58" s="2" t="n"/>
      <c r="L58" s="2" t="inlineStr">
        <is>
          <t>Artigo 22.º-A (Criação do regime de dedicação exclusiva no SNS)</t>
        </is>
      </c>
      <c r="M58" s="4" t="n"/>
      <c r="N58" s="4" t="n"/>
      <c r="O58" s="2" t="n"/>
      <c r="P58" s="2" t="n"/>
      <c r="Q58" s="2" t="n"/>
      <c r="R58" s="2" t="n"/>
      <c r="S58" s="2" t="inlineStr">
        <is>
          <t>Rejeitado(a) em Comissão</t>
        </is>
      </c>
      <c r="T58" s="2" t="inlineStr">
        <is>
          <t>Rejeitada</t>
        </is>
      </c>
      <c r="U58" s="2" t="inlineStr">
        <is>
          <t>Favor: L, BE, PAN; Contra: PSD, IL, CDS-PP; Abstenção: CH, PS</t>
        </is>
      </c>
      <c r="V58" s="3" t="n">
        <v>45981</v>
      </c>
      <c r="W58" s="2" t="inlineStr">
        <is>
          <t>AR: https://www.parlamento.pt/OrcamentoEstado/Paginas/DetalhePropostaAlteracao.aspx?BID=23243 PDF: https://app.parlamento.pt/webutils/docs/doc.pdf?path=6148523063484d364c793942556b356c6443397a6158526c63793959566b6c4a544556484c3039464c7a49774d6a59794d4449314d5441774f53395151533879596d59334d4449775a6930344e6d51774c5451335a475974596d4932595330794d7a4d344e7a67774e5452695a5455756347526d&amp;Fich=2bf7020f-86d0-47df-bb6a-233878054be5.pdf&amp;Inline=true</t>
        </is>
      </c>
      <c r="X58" s="2" t="inlineStr">
        <is>
          <t>Saúde</t>
        </is>
      </c>
      <c r="Y58" s="2" t="inlineStr">
        <is>
          <t>Articulado</t>
        </is>
      </c>
      <c r="Z58" s="2" t="inlineStr">
        <is>
          <t>Aditamento (Artigo PPL)</t>
        </is>
      </c>
      <c r="AA58" s="2" t="inlineStr">
        <is>
          <t>Rejeitado(a) em Comissão</t>
        </is>
      </c>
      <c r="AB58" s="2" t="inlineStr"/>
      <c r="AC58" s="2" t="inlineStr"/>
      <c r="AD58" s="2" t="inlineStr">
        <is>
          <t>1</t>
        </is>
      </c>
      <c r="AE58" s="2" t="inlineStr">
        <is>
          <t>23243</t>
        </is>
      </c>
      <c r="AF58" s="2" t="inlineStr">
        <is>
          <t>https://www.parlamento.pt/OrcamentoEstado/Paginas/DetalhePropostaAlteracao.aspx?BID=23243</t>
        </is>
      </c>
      <c r="AG58" s="2" t="inlineStr">
        <is>
          <t>https://app.parlamento.pt/webutils/docs/doc.pdf?path=6148523063484d364c793942556b356c6443397a6158526c63793959566b6c4a544556484c3039464c7a49774d6a59794d4449314d5441774f53395151533879596d59334d4449775a6930344e6d51774c5451335a475974596d4932595330794d7a4d344e7a67774e5452695a5455756347526d&amp;Fich=2bf7020f-86d0-47df-bb6a-233878054be5.pdf&amp;Inline=true</t>
        </is>
      </c>
      <c r="AH58" s="3" t="n">
        <v>46321.77847222222</v>
      </c>
      <c r="AI58" s="3" t="n">
        <v>46321.78055555555</v>
      </c>
      <c r="AJ58" s="2" t="inlineStr"/>
    </row>
    <row r="59">
      <c r="A59" s="2" t="n">
        <v>58</v>
      </c>
      <c r="B59" s="2" t="inlineStr">
        <is>
          <t>51C</t>
        </is>
      </c>
      <c r="C59" s="3" t="n">
        <v>45959.61319444444</v>
      </c>
      <c r="D59" s="2" t="inlineStr">
        <is>
          <t>Original</t>
        </is>
      </c>
      <c r="E59" s="2" t="inlineStr">
        <is>
          <t>PCP</t>
        </is>
      </c>
      <c r="F59" s="2" t="inlineStr">
        <is>
          <t>Alfredo Maia; Paula Santos; Paulo Raimundo</t>
        </is>
      </c>
      <c r="G59" s="2" t="inlineStr">
        <is>
          <t>Art. 21.º-A (aditamento)</t>
        </is>
      </c>
      <c r="H59" s="2" t="n"/>
      <c r="I59" s="2" t="n"/>
      <c r="J59" s="2" t="n"/>
      <c r="K59" s="2" t="n"/>
      <c r="L59" s="2" t="inlineStr">
        <is>
          <t>Artigo 21.º-A (Medidas de valorização da Carreira Docente)</t>
        </is>
      </c>
      <c r="M59" s="4" t="n"/>
      <c r="N59" s="4" t="n"/>
      <c r="O59" s="2" t="n"/>
      <c r="P59" s="2" t="n"/>
      <c r="Q59" s="2" t="n"/>
      <c r="R59" s="2" t="n"/>
      <c r="S59" s="2" t="inlineStr">
        <is>
          <t>Rejeitado(a) em Comissão</t>
        </is>
      </c>
      <c r="T59" s="2" t="inlineStr">
        <is>
          <t>Rejeitada</t>
        </is>
      </c>
      <c r="U59" s="2" t="inlineStr">
        <is>
          <t>Favor: L, PCP, BE, PAN; Contra: PSD, CDS-PP; Abstenção: CH, PS, IL</t>
        </is>
      </c>
      <c r="V59" s="3" t="n">
        <v>45981</v>
      </c>
      <c r="W59" s="2" t="inlineStr">
        <is>
          <t>AR: https://www.parlamento.pt/OrcamentoEstado/Paginas/DetalhePropostaAlteracao.aspx?BID=23244 PDF: https://app.parlamento.pt/webutils/docs/doc.pdf?path=6148523063484d364c793942556b356c6443397a6158526c63793959566b6c4a544556484c3039464c7a49774d6a59794d4449314d5441774f53395151533834596a677a4e54686b4f4331694e3259314c5451775a6a6b74596a5a6b4e7930324d6a6b795a6d59784d47466c5a446b756347526d&amp;Fich=8b8358d8-b7f5-40f9-b6d7-6292ff10aed9.pdf&amp;Inline=true</t>
        </is>
      </c>
      <c r="X59" s="2" t="inlineStr">
        <is>
          <t>Educação e Ciência</t>
        </is>
      </c>
      <c r="Y59" s="2" t="inlineStr">
        <is>
          <t>Articulado</t>
        </is>
      </c>
      <c r="Z59" s="2" t="inlineStr">
        <is>
          <t>Aditamento (Artigo PPL)</t>
        </is>
      </c>
      <c r="AA59" s="2" t="inlineStr">
        <is>
          <t>Rejeitado(a) em Comissão</t>
        </is>
      </c>
      <c r="AB59" s="2" t="inlineStr"/>
      <c r="AC59" s="2" t="inlineStr"/>
      <c r="AD59" s="2" t="inlineStr">
        <is>
          <t>1</t>
        </is>
      </c>
      <c r="AE59" s="2" t="inlineStr">
        <is>
          <t>23244</t>
        </is>
      </c>
      <c r="AF59" s="2" t="inlineStr">
        <is>
          <t>https://www.parlamento.pt/OrcamentoEstado/Paginas/DetalhePropostaAlteracao.aspx?BID=23244</t>
        </is>
      </c>
      <c r="AG59" s="2" t="inlineStr">
        <is>
          <t>https://app.parlamento.pt/webutils/docs/doc.pdf?path=6148523063484d364c793942556b356c6443397a6158526c63793959566b6c4a544556484c3039464c7a49774d6a59794d4449314d5441774f53395151533834596a677a4e54686b4f4331694e3259314c5451775a6a6b74596a5a6b4e7930324d6a6b795a6d59784d47466c5a446b756347526d&amp;Fich=8b8358d8-b7f5-40f9-b6d7-6292ff10aed9.pdf&amp;Inline=true</t>
        </is>
      </c>
      <c r="AH59" s="3" t="n">
        <v>46321.77847222222</v>
      </c>
      <c r="AI59" s="3" t="n">
        <v>46321.78055555555</v>
      </c>
      <c r="AJ59" s="2" t="inlineStr"/>
    </row>
    <row r="60">
      <c r="A60" s="2" t="n">
        <v>59</v>
      </c>
      <c r="B60" s="2" t="inlineStr">
        <is>
          <t>52C</t>
        </is>
      </c>
      <c r="C60" s="3" t="n">
        <v>45959.61527777778</v>
      </c>
      <c r="D60" s="2" t="inlineStr">
        <is>
          <t>Original</t>
        </is>
      </c>
      <c r="E60" s="2" t="inlineStr">
        <is>
          <t>PCP</t>
        </is>
      </c>
      <c r="F60" s="2" t="inlineStr">
        <is>
          <t>Alfredo Maia; Paula Santos; Paulo Raimundo</t>
        </is>
      </c>
      <c r="G60" s="2" t="inlineStr">
        <is>
          <t>Art. 118.º-A (aditamento)</t>
        </is>
      </c>
      <c r="H60" s="2" t="n"/>
      <c r="I60" s="2" t="n"/>
      <c r="J60" s="2" t="n"/>
      <c r="K60" s="2" t="n"/>
      <c r="L60" s="2" t="inlineStr">
        <is>
          <t>Artigo 118.º-A (Eliminação das propinas, taxas e emolumentos no ensino superior público)</t>
        </is>
      </c>
      <c r="M60" s="4" t="n"/>
      <c r="N60" s="4" t="n"/>
      <c r="O60" s="2" t="n"/>
      <c r="P60" s="2" t="n"/>
      <c r="Q60" s="2" t="n"/>
      <c r="R60" s="2" t="n"/>
      <c r="S60" s="2" t="inlineStr">
        <is>
          <t>Rejeitado(a) em Comissão</t>
        </is>
      </c>
      <c r="T60" s="2" t="inlineStr">
        <is>
          <t>Rejeitada</t>
        </is>
      </c>
      <c r="U60" s="2" t="inlineStr">
        <is>
          <t>Favor: PCP, BE, PAN; Contra: PSD, CH, IL, CDS-PP; Abstenção: PS, L</t>
        </is>
      </c>
      <c r="V60" s="3" t="n">
        <v>45985</v>
      </c>
      <c r="W60" s="2" t="inlineStr">
        <is>
          <t>AR: https://www.parlamento.pt/OrcamentoEstado/Paginas/DetalhePropostaAlteracao.aspx?BID=23245 PDF: https://app.parlamento.pt/webutils/docs/doc.pdf?path=6148523063484d364c793942556b356c6443397a6158526c63793959566b6c4a544556484c3039464c7a49774d6a59794d4449314d5441774f5339515153396a4d7a49355a5451774d69316c4e5751314c545178597a6374596d51354e79316a4e4441784d4441354f5749775a6a67756347526d&amp;Fich=c329e402-e5d5-41c7-bd97-c4010099b0f8.pdf&amp;Inline=true</t>
        </is>
      </c>
      <c r="X60" s="2" t="inlineStr">
        <is>
          <t>Educação e Ciência</t>
        </is>
      </c>
      <c r="Y60" s="2" t="inlineStr">
        <is>
          <t>Articulado</t>
        </is>
      </c>
      <c r="Z60" s="2" t="inlineStr">
        <is>
          <t>Aditamento (Artigo PPL)</t>
        </is>
      </c>
      <c r="AA60" s="2" t="inlineStr">
        <is>
          <t>Rejeitado(a) em Comissão</t>
        </is>
      </c>
      <c r="AB60" s="2" t="inlineStr"/>
      <c r="AC60" s="2" t="inlineStr"/>
      <c r="AD60" s="2" t="inlineStr">
        <is>
          <t>1</t>
        </is>
      </c>
      <c r="AE60" s="2" t="inlineStr">
        <is>
          <t>23245</t>
        </is>
      </c>
      <c r="AF60" s="2" t="inlineStr">
        <is>
          <t>https://www.parlamento.pt/OrcamentoEstado/Paginas/DetalhePropostaAlteracao.aspx?BID=23245</t>
        </is>
      </c>
      <c r="AG60" s="2" t="inlineStr">
        <is>
          <t>https://app.parlamento.pt/webutils/docs/doc.pdf?path=6148523063484d364c793942556b356c6443397a6158526c63793959566b6c4a544556484c3039464c7a49774d6a59794d4449314d5441774f5339515153396a4d7a49355a5451774d69316c4e5751314c545178597a6374596d51354e79316a4e4441784d4441354f5749775a6a67756347526d&amp;Fich=c329e402-e5d5-41c7-bd97-c4010099b0f8.pdf&amp;Inline=true</t>
        </is>
      </c>
      <c r="AH60" s="3" t="n">
        <v>46321.77847222222</v>
      </c>
      <c r="AI60" s="3" t="n">
        <v>46321.78055555555</v>
      </c>
      <c r="AJ60" s="2" t="inlineStr"/>
    </row>
    <row r="61">
      <c r="A61" s="2" t="n">
        <v>60</v>
      </c>
      <c r="B61" s="2" t="inlineStr">
        <is>
          <t>53C</t>
        </is>
      </c>
      <c r="C61" s="3" t="n">
        <v>45959.61666666667</v>
      </c>
      <c r="D61" s="2" t="inlineStr">
        <is>
          <t>Original</t>
        </is>
      </c>
      <c r="E61" s="2" t="inlineStr">
        <is>
          <t>PCP</t>
        </is>
      </c>
      <c r="F61" s="2" t="inlineStr">
        <is>
          <t>Alfredo Maia; Paula Santos; Paulo Raimundo</t>
        </is>
      </c>
      <c r="G61" s="2" t="inlineStr">
        <is>
          <t>Art. 118.º-A (aditamento)</t>
        </is>
      </c>
      <c r="H61" s="2" t="n"/>
      <c r="I61" s="2" t="n"/>
      <c r="J61" s="2" t="n"/>
      <c r="K61" s="2" t="n"/>
      <c r="L61" s="2" t="inlineStr">
        <is>
          <t>Artigo 118.º-A (Rede pública de creches)</t>
        </is>
      </c>
      <c r="M61" s="4" t="n"/>
      <c r="N61" s="4" t="n"/>
      <c r="O61" s="2" t="n"/>
      <c r="P61" s="2" t="n"/>
      <c r="Q61" s="2" t="n"/>
      <c r="R61" s="2" t="n"/>
      <c r="S61" s="2" t="inlineStr">
        <is>
          <t>Rejeitado(a) em Plenário</t>
        </is>
      </c>
      <c r="T61" s="2" t="inlineStr">
        <is>
          <t>Rejeitada</t>
        </is>
      </c>
      <c r="U61" s="2" t="inlineStr">
        <is>
          <t>Favor: CH, L, PCP, BE, PAN, JPP; Contra: PSD, IL, CDS-PP; Abstenção: PS</t>
        </is>
      </c>
      <c r="V61" s="3" t="n">
        <v>45987</v>
      </c>
      <c r="W61" s="2" t="inlineStr">
        <is>
          <t>Avocada a Plenário. AR: https://www.parlamento.pt/OrcamentoEstado/Paginas/DetalhePropostaAlteracao.aspx?BID=23246 PDF: https://app.parlamento.pt/webutils/docs/doc.pdf?path=6148523063484d364c793942556b356c6443397a6158526c63793959566b6c4a544556484c3039464c7a49774d6a59794d4449314d5441774f533951515338304d474d304e6d56694d7930305a44426b4c5452684e544d744f546c695a5330344d3259354d7a417759574a684d4455756347526d&amp;Fich=40c46eb3-4d0d-4a53-99be-83f9300aba05.pdf&amp;Inline=true</t>
        </is>
      </c>
      <c r="X61" s="2" t="inlineStr">
        <is>
          <t>Trabalho, Segurança Social e Inclusão</t>
        </is>
      </c>
      <c r="Y61" s="2" t="inlineStr">
        <is>
          <t>Articulado</t>
        </is>
      </c>
      <c r="Z61" s="2" t="inlineStr">
        <is>
          <t>Aditamento (Artigo PPL)</t>
        </is>
      </c>
      <c r="AA61" s="2" t="inlineStr">
        <is>
          <t>Rejeitado(a) em Plenário</t>
        </is>
      </c>
      <c r="AB61" s="2" t="inlineStr">
        <is>
          <t>S</t>
        </is>
      </c>
      <c r="AC61" s="2" t="inlineStr"/>
      <c r="AD61" s="2" t="inlineStr">
        <is>
          <t>2</t>
        </is>
      </c>
      <c r="AE61" s="2" t="inlineStr">
        <is>
          <t>23246</t>
        </is>
      </c>
      <c r="AF61" s="2" t="inlineStr">
        <is>
          <t>https://www.parlamento.pt/OrcamentoEstado/Paginas/DetalhePropostaAlteracao.aspx?BID=23246</t>
        </is>
      </c>
      <c r="AG61" s="2" t="inlineStr">
        <is>
          <t>https://app.parlamento.pt/webutils/docs/doc.pdf?path=6148523063484d364c793942556b356c6443397a6158526c63793959566b6c4a544556484c3039464c7a49774d6a59794d4449314d5441774f533951515338304d474d304e6d56694d7930305a44426b4c5452684e544d744f546c695a5330344d3259354d7a417759574a684d4455756347526d&amp;Fich=40c46eb3-4d0d-4a53-99be-83f9300aba05.pdf&amp;Inline=true</t>
        </is>
      </c>
      <c r="AH61" s="3" t="n">
        <v>46321.77847222222</v>
      </c>
      <c r="AI61" s="3" t="n">
        <v>46321.78055555555</v>
      </c>
      <c r="AJ61" s="2" t="inlineStr"/>
    </row>
    <row r="62">
      <c r="A62" s="2" t="n">
        <v>61</v>
      </c>
      <c r="B62" s="2" t="inlineStr">
        <is>
          <t>54C</t>
        </is>
      </c>
      <c r="C62" s="3" t="n">
        <v>45959.61805555555</v>
      </c>
      <c r="D62" s="2" t="inlineStr">
        <is>
          <t>Original</t>
        </is>
      </c>
      <c r="E62" s="2" t="inlineStr">
        <is>
          <t>PCP</t>
        </is>
      </c>
      <c r="F62" s="2" t="inlineStr">
        <is>
          <t>Alfredo Maia; Paula Santos; Paulo Raimundo</t>
        </is>
      </c>
      <c r="G62" s="2" t="inlineStr">
        <is>
          <t>Art. 128.º-A (aditamento)</t>
        </is>
      </c>
      <c r="H62" s="2" t="n"/>
      <c r="I62" s="2" t="n"/>
      <c r="J62" s="2" t="n"/>
      <c r="K62" s="2" t="n"/>
      <c r="L62" s="2" t="inlineStr">
        <is>
          <t>Artigo 128.º-A (Regime especial de proteção da habitação arrendada)</t>
        </is>
      </c>
      <c r="M62" s="4" t="n"/>
      <c r="N62" s="4" t="n"/>
      <c r="O62" s="2" t="n"/>
      <c r="P62" s="2" t="n"/>
      <c r="Q62" s="2" t="n"/>
      <c r="R62" s="2" t="n"/>
      <c r="S62" s="2" t="inlineStr">
        <is>
          <t>Rejeitado(a) em Comissão</t>
        </is>
      </c>
      <c r="T62" s="2" t="inlineStr">
        <is>
          <t>Rejeitada</t>
        </is>
      </c>
      <c r="U62" s="2" t="inlineStr">
        <is>
          <t>Favor: L, PCP, BE; Contra: PSD, CH, IL, CDS-PP, PAN; Abstenção: PS</t>
        </is>
      </c>
      <c r="V62" s="3" t="n">
        <v>45985</v>
      </c>
      <c r="W62" s="2" t="inlineStr">
        <is>
          <t>AR: https://www.parlamento.pt/OrcamentoEstado/Paginas/DetalhePropostaAlteracao.aspx?BID=23247 PDF: https://app.parlamento.pt/webutils/docs/doc.pdf?path=6148523063484d364c793942556b356c6443397a6158526c63793959566b6c4a544556484c3039464c7a49774d6a59794d4449314d5441774f533951515338355a474d35595749345a53307a4e4441354c5451354f446b74596d49324e4330314d5452684e7a63785a6a4d775a5467756347526d&amp;Fich=9dc9ab8e-3409-4989-bb64-514a771f30e8.pdf&amp;Inline=true</t>
        </is>
      </c>
      <c r="X62" s="2" t="inlineStr">
        <is>
          <t>Infraestruturas, Mobilidade e Habitação</t>
        </is>
      </c>
      <c r="Y62" s="2" t="inlineStr">
        <is>
          <t>Articulado</t>
        </is>
      </c>
      <c r="Z62" s="2" t="inlineStr">
        <is>
          <t>Aditamento (Artigo PPL)</t>
        </is>
      </c>
      <c r="AA62" s="2" t="inlineStr">
        <is>
          <t>Rejeitado(a) em Comissão</t>
        </is>
      </c>
      <c r="AB62" s="2" t="inlineStr"/>
      <c r="AC62" s="2" t="inlineStr"/>
      <c r="AD62" s="2" t="inlineStr">
        <is>
          <t>1</t>
        </is>
      </c>
      <c r="AE62" s="2" t="inlineStr">
        <is>
          <t>23247</t>
        </is>
      </c>
      <c r="AF62" s="2" t="inlineStr">
        <is>
          <t>https://www.parlamento.pt/OrcamentoEstado/Paginas/DetalhePropostaAlteracao.aspx?BID=23247</t>
        </is>
      </c>
      <c r="AG62" s="2" t="inlineStr">
        <is>
          <t>https://app.parlamento.pt/webutils/docs/doc.pdf?path=6148523063484d364c793942556b356c6443397a6158526c63793959566b6c4a544556484c3039464c7a49774d6a59794d4449314d5441774f533951515338355a474d35595749345a53307a4e4441354c5451354f446b74596d49324e4330314d5452684e7a63785a6a4d775a5467756347526d&amp;Fich=9dc9ab8e-3409-4989-bb64-514a771f30e8.pdf&amp;Inline=true</t>
        </is>
      </c>
      <c r="AH62" s="3" t="n">
        <v>46321.77847222222</v>
      </c>
      <c r="AI62" s="3" t="n">
        <v>46321.78055555555</v>
      </c>
      <c r="AJ62" s="2" t="inlineStr"/>
    </row>
    <row r="63">
      <c r="A63" s="2" t="n">
        <v>62</v>
      </c>
      <c r="B63" s="2" t="inlineStr">
        <is>
          <t>55C-1</t>
        </is>
      </c>
      <c r="C63" s="3" t="n">
        <v>45959.63055555556</v>
      </c>
      <c r="D63" s="2" t="inlineStr">
        <is>
          <t>Original</t>
        </is>
      </c>
      <c r="E63" s="2" t="inlineStr">
        <is>
          <t>PAN</t>
        </is>
      </c>
      <c r="F63" s="2" t="inlineStr">
        <is>
          <t>Inês de Sousa Real</t>
        </is>
      </c>
      <c r="G63" s="2" t="inlineStr">
        <is>
          <t>Art. 95.º (substituição)</t>
        </is>
      </c>
      <c r="H63" s="2" t="n"/>
      <c r="I63" s="2" t="n"/>
      <c r="J63" s="2" t="n"/>
      <c r="K63" s="2" t="n"/>
      <c r="L63" s="2" t="inlineStr">
        <is>
          <t>N.º 1, Artigo 95.º</t>
        </is>
      </c>
      <c r="M63" s="4" t="n"/>
      <c r="N63" s="4" t="n"/>
      <c r="O63" s="2" t="n"/>
      <c r="P63" s="2" t="n"/>
      <c r="Q63" s="2" t="n"/>
      <c r="R63" s="2" t="n"/>
      <c r="S63" s="2" t="inlineStr">
        <is>
          <t>Rejeitado(a) em Plenário</t>
        </is>
      </c>
      <c r="T63" s="2" t="inlineStr">
        <is>
          <t>Rejeitada</t>
        </is>
      </c>
      <c r="U63" s="2" t="inlineStr">
        <is>
          <t>Favor: IL, L, PCP, BE, PAN, JPP; Contra: PSD, CDS-PP; Abstenção: CH, PS</t>
        </is>
      </c>
      <c r="V63" s="3" t="n">
        <v>45985</v>
      </c>
      <c r="W63" s="2" t="inlineStr">
        <is>
          <t>Avocada a Plenário. AR: https://www.parlamento.pt/OrcamentoEstado/Paginas/DetalhePropostaAlteracao.aspx?BID=23248 PDF: https://app.parlamento.pt/webutils/docs/doc.pdf?path=6148523063484d364c793942556b356c6443397a6158526c63793959566b6c4a544556484c3039464c7a49774d6a59794d4449314d5441774f533951515338774f444d304d4759304f43316a4d474e6b4c5451774e3251744f544e685a4330354d5467314e7a426b596a6468596a4d756347526d&amp;Fich=08340f48-c0cd-407d-93ad-918570db7ab3.pdf&amp;Inline=true</t>
        </is>
      </c>
      <c r="X63" s="2" t="inlineStr">
        <is>
          <t>Ambiente e Energia; Reforma do Estado e Poder Local</t>
        </is>
      </c>
      <c r="Y63" s="2" t="inlineStr">
        <is>
          <t>Articulado</t>
        </is>
      </c>
      <c r="Z63" s="2" t="inlineStr">
        <is>
          <t>Substituição</t>
        </is>
      </c>
      <c r="AA63" s="2" t="inlineStr">
        <is>
          <t>Rejeitado(a) em Plenário</t>
        </is>
      </c>
      <c r="AB63" s="2" t="inlineStr">
        <is>
          <t>S</t>
        </is>
      </c>
      <c r="AC63" s="2" t="inlineStr">
        <is>
          <t>1</t>
        </is>
      </c>
      <c r="AD63" s="2" t="inlineStr">
        <is>
          <t>1</t>
        </is>
      </c>
      <c r="AE63" s="2" t="inlineStr">
        <is>
          <t>23248</t>
        </is>
      </c>
      <c r="AF63" s="2" t="inlineStr">
        <is>
          <t>https://www.parlamento.pt/OrcamentoEstado/Paginas/DetalhePropostaAlteracao.aspx?BID=23248</t>
        </is>
      </c>
      <c r="AG63" s="2" t="inlineStr">
        <is>
          <t>https://app.parlamento.pt/webutils/docs/doc.pdf?path=6148523063484d364c793942556b356c6443397a6158526c63793959566b6c4a544556484c3039464c7a49774d6a59794d4449314d5441774f533951515338774f444d304d4759304f43316a4d474e6b4c5451774e3251744f544e685a4330354d5467314e7a426b596a6468596a4d756347526d&amp;Fich=08340f48-c0cd-407d-93ad-918570db7ab3.pdf&amp;Inline=true</t>
        </is>
      </c>
      <c r="AH63" s="3" t="n">
        <v>46321.77847222222</v>
      </c>
      <c r="AI63" s="3" t="n">
        <v>46321.78055555555</v>
      </c>
      <c r="AJ63" s="2" t="inlineStr"/>
    </row>
    <row r="64">
      <c r="A64" s="2" t="n">
        <v>63</v>
      </c>
      <c r="B64" s="2" t="inlineStr">
        <is>
          <t>55C-2</t>
        </is>
      </c>
      <c r="C64" s="3" t="n">
        <v>45959.63055555556</v>
      </c>
      <c r="D64" s="2" t="inlineStr">
        <is>
          <t>Original</t>
        </is>
      </c>
      <c r="E64" s="2" t="inlineStr">
        <is>
          <t>PAN</t>
        </is>
      </c>
      <c r="F64" s="2" t="inlineStr">
        <is>
          <t>Inês de Sousa Real</t>
        </is>
      </c>
      <c r="G64" s="2" t="inlineStr">
        <is>
          <t>Art. 95.º (aditamento)</t>
        </is>
      </c>
      <c r="H64" s="2" t="n"/>
      <c r="I64" s="2" t="n"/>
      <c r="J64" s="2" t="n"/>
      <c r="K64" s="2" t="n"/>
      <c r="L64" s="2" t="inlineStr">
        <is>
          <t>N.º 5, Artigo 95.º</t>
        </is>
      </c>
      <c r="M64" s="4" t="n"/>
      <c r="N64" s="4" t="n"/>
      <c r="O64" s="2" t="n"/>
      <c r="P64" s="2" t="n"/>
      <c r="Q64" s="2" t="n"/>
      <c r="R64" s="2" t="n"/>
      <c r="S64" s="2" t="inlineStr">
        <is>
          <t>Rejeitado(a) em Plenário</t>
        </is>
      </c>
      <c r="T64" s="2" t="inlineStr">
        <is>
          <t>Rejeitada</t>
        </is>
      </c>
      <c r="U64" s="2" t="inlineStr">
        <is>
          <t>Favor: IL, L, BE, PAN, JPP; Contra: PSD, CDS-PP; Abstenção: CH, PS, PCP</t>
        </is>
      </c>
      <c r="V64" s="3" t="n">
        <v>45985</v>
      </c>
      <c r="W64" s="2" t="inlineStr">
        <is>
          <t>Avocada a Plenário. AR: https://www.parlamento.pt/OrcamentoEstado/Paginas/DetalhePropostaAlteracao.aspx?BID=24171 PDF: https://app.parlamento.pt/webutils/docs/doc.pdf?path=6148523063484d364c793942556b356c6443397a6158526c63793959566b6c4a544556484c3039464c7a49774d6a59794d4449314d5441774f533951515338314e6a41334e546b794d69307a4e7a67304c5451314f5745744f54686d4e5330325a44646d596d49325a444d354e3245756347526d&amp;Fich=56075922-3784-459a-98f5-6d7fbb6d397a.pdf&amp;Inline=true</t>
        </is>
      </c>
      <c r="X64" s="2" t="inlineStr">
        <is>
          <t>Ambiente e Energia; Reforma do Estado e Poder Local</t>
        </is>
      </c>
      <c r="Y64" s="2" t="inlineStr">
        <is>
          <t>Articulado</t>
        </is>
      </c>
      <c r="Z64" s="2" t="inlineStr">
        <is>
          <t>Aditamento (Números e Alíneas)</t>
        </is>
      </c>
      <c r="AA64" s="2" t="inlineStr">
        <is>
          <t>Rejeitado(a) em Plenário</t>
        </is>
      </c>
      <c r="AB64" s="2" t="inlineStr">
        <is>
          <t>S</t>
        </is>
      </c>
      <c r="AC64" s="2" t="inlineStr">
        <is>
          <t>2</t>
        </is>
      </c>
      <c r="AD64" s="2" t="inlineStr">
        <is>
          <t>1</t>
        </is>
      </c>
      <c r="AE64" s="2" t="inlineStr">
        <is>
          <t>24171</t>
        </is>
      </c>
      <c r="AF64" s="2" t="inlineStr">
        <is>
          <t>https://www.parlamento.pt/OrcamentoEstado/Paginas/DetalhePropostaAlteracao.aspx?BID=24171</t>
        </is>
      </c>
      <c r="AG64" s="2" t="inlineStr">
        <is>
          <t>https://app.parlamento.pt/webutils/docs/doc.pdf?path=6148523063484d364c793942556b356c6443397a6158526c63793959566b6c4a544556484c3039464c7a49774d6a59794d4449314d5441774f533951515338314e6a41334e546b794d69307a4e7a67304c5451314f5745744f54686d4e5330325a44646d596d49325a444d354e3245756347526d&amp;Fich=56075922-3784-459a-98f5-6d7fbb6d397a.pdf&amp;Inline=true</t>
        </is>
      </c>
      <c r="AH64" s="3" t="n">
        <v>46321.77847222222</v>
      </c>
      <c r="AI64" s="3" t="n">
        <v>46321.78055555555</v>
      </c>
      <c r="AJ64" s="2" t="inlineStr"/>
    </row>
    <row r="65">
      <c r="A65" s="2" t="n">
        <v>64</v>
      </c>
      <c r="B65" s="2" t="inlineStr">
        <is>
          <t>56C</t>
        </is>
      </c>
      <c r="C65" s="3" t="n">
        <v>45959.64305555556</v>
      </c>
      <c r="D65" s="2" t="inlineStr">
        <is>
          <t>Original</t>
        </is>
      </c>
      <c r="E65" s="2" t="inlineStr">
        <is>
          <t>PAN</t>
        </is>
      </c>
      <c r="F65" s="2" t="inlineStr">
        <is>
          <t>Inês de Sousa Real</t>
        </is>
      </c>
      <c r="G65" s="2" t="inlineStr">
        <is>
          <t>Art. 95.º (substituição)</t>
        </is>
      </c>
      <c r="H65" s="2" t="n"/>
      <c r="I65" s="2" t="n"/>
      <c r="J65" s="2" t="n"/>
      <c r="K65" s="2" t="n"/>
      <c r="L65" s="2" t="inlineStr">
        <is>
          <t>N.º 3, Artigo 95.º</t>
        </is>
      </c>
      <c r="M65" s="4" t="n"/>
      <c r="N65" s="4" t="n"/>
      <c r="O65" s="2" t="n"/>
      <c r="P65" s="2" t="n"/>
      <c r="Q65" s="2" t="n"/>
      <c r="R65" s="2" t="n"/>
      <c r="S65" s="2" t="inlineStr">
        <is>
          <t>Aprovado(a) em Plenário</t>
        </is>
      </c>
      <c r="T65" s="2" t="inlineStr">
        <is>
          <t>Aprovada</t>
        </is>
      </c>
      <c r="U65" s="2" t="inlineStr">
        <is>
          <t>Favor: PSD, L, PCP, CDS-PP, BE, PAN, JPP; Contra: IL; Abstenção: CH, PS</t>
        </is>
      </c>
      <c r="V65" s="3" t="n">
        <v>45985</v>
      </c>
      <c r="W65" s="2" t="inlineStr">
        <is>
          <t>Avocada a Plenário. AR: https://www.parlamento.pt/OrcamentoEstado/Paginas/DetalhePropostaAlteracao.aspx?BID=23249 PDF: https://app.parlamento.pt/webutils/docs/doc.pdf?path=6148523063484d364c793942556b356c6443397a6158526c63793959566b6c4a544556484c3039464c7a49774d6a59794d4449314d5441774f533951515338334e6a6b77596d49774f4330774e7a457a4c54526c4e7a4974595449304e693169596d45354d6a4d3259575a6d5a4755756347526d&amp;Fich=7690bb08-0713-4e72-a246-bba9236affde.pdf&amp;Inline=true</t>
        </is>
      </c>
      <c r="X65" s="2" t="inlineStr">
        <is>
          <t>Ambiente e Energia; Reforma do Estado e Poder Local</t>
        </is>
      </c>
      <c r="Y65" s="2" t="inlineStr">
        <is>
          <t>Articulado</t>
        </is>
      </c>
      <c r="Z65" s="2" t="inlineStr">
        <is>
          <t>Substituição</t>
        </is>
      </c>
      <c r="AA65" s="2" t="inlineStr">
        <is>
          <t>Aprovado(a) em Plenário</t>
        </is>
      </c>
      <c r="AB65" s="2" t="inlineStr">
        <is>
          <t>S</t>
        </is>
      </c>
      <c r="AC65" s="2" t="inlineStr"/>
      <c r="AD65" s="2" t="inlineStr">
        <is>
          <t>1</t>
        </is>
      </c>
      <c r="AE65" s="2" t="inlineStr">
        <is>
          <t>23249</t>
        </is>
      </c>
      <c r="AF65" s="2" t="inlineStr">
        <is>
          <t>https://www.parlamento.pt/OrcamentoEstado/Paginas/DetalhePropostaAlteracao.aspx?BID=23249</t>
        </is>
      </c>
      <c r="AG65" s="2" t="inlineStr">
        <is>
          <t>https://app.parlamento.pt/webutils/docs/doc.pdf?path=6148523063484d364c793942556b356c6443397a6158526c63793959566b6c4a544556484c3039464c7a49774d6a59794d4449314d5441774f533951515338334e6a6b77596d49774f4330774e7a457a4c54526c4e7a4974595449304e693169596d45354d6a4d3259575a6d5a4755756347526d&amp;Fich=7690bb08-0713-4e72-a246-bba9236affde.pdf&amp;Inline=true</t>
        </is>
      </c>
      <c r="AH65" s="3" t="n">
        <v>46321.77847222222</v>
      </c>
      <c r="AI65" s="3" t="n">
        <v>46321.78055555555</v>
      </c>
      <c r="AJ65" s="2" t="inlineStr"/>
    </row>
    <row r="66">
      <c r="A66" s="2" t="n">
        <v>65</v>
      </c>
      <c r="B66" s="2" t="inlineStr">
        <is>
          <t>57C</t>
        </is>
      </c>
      <c r="C66" s="3" t="n">
        <v>45959.76041666666</v>
      </c>
      <c r="D66" s="2" t="inlineStr">
        <is>
          <t>Original</t>
        </is>
      </c>
      <c r="E66" s="2" t="inlineStr">
        <is>
          <t>L</t>
        </is>
      </c>
      <c r="F66" s="2" t="inlineStr">
        <is>
          <t>Filipa Pinto; Isabel Mendes Lopes; Jorge Pinto; Patrícia Gonçalves; Paulo Muacho; Rui Tavares</t>
        </is>
      </c>
      <c r="G66" s="2" t="inlineStr">
        <is>
          <t>Art. 38.º-A (aditamento)</t>
        </is>
      </c>
      <c r="H66" s="2" t="n"/>
      <c r="I66" s="2" t="n"/>
      <c r="J66" s="2" t="n"/>
      <c r="K66" s="2" t="n"/>
      <c r="L66" s="2" t="inlineStr">
        <is>
          <t>Artigo 38.º-A (Alteração ao Decreto-Lei n.º 89/2009, de 9 de abril)</t>
        </is>
      </c>
      <c r="M66" s="4" t="n"/>
      <c r="N66" s="4" t="n"/>
      <c r="O66" s="2" t="n"/>
      <c r="P66" s="2" t="n"/>
      <c r="Q66" s="2" t="n"/>
      <c r="R66" s="2" t="n"/>
      <c r="S66" s="2" t="inlineStr">
        <is>
          <t>Rejeitado(a) em Comissão</t>
        </is>
      </c>
      <c r="T66" s="2" t="inlineStr">
        <is>
          <t>Rejeitada</t>
        </is>
      </c>
      <c r="U66" s="2" t="inlineStr">
        <is>
          <t>Favor: CH, L, PCP, BE, PAN; Contra: PSD, CDS-PP; Abstenção: PS, IL</t>
        </is>
      </c>
      <c r="V66" s="3" t="n">
        <v>45981</v>
      </c>
      <c r="W66" s="2" t="inlineStr">
        <is>
          <t>AR: https://www.parlamento.pt/OrcamentoEstado/Paginas/DetalhePropostaAlteracao.aspx?BID=23250 PDF: https://app.parlamento.pt/webutils/docs/doc.pdf?path=6148523063484d364c793942556b356c6443397a6158526c63793959566b6c4a544556484c3039464c7a49774d6a59794d4449314d5441774f5339515153396a4f47497a4d544a6c4d6930354d446b344c5451794e6d5174595459784e6930784e4463795a4467314e6a466d4e324d756347526d&amp;Fich=c8b312e2-9098-426d-a616-1472d8561f7c.pdf&amp;Inline=true</t>
        </is>
      </c>
      <c r="X66" s="2" t="inlineStr">
        <is>
          <t>Trabalho, Segurança Social e Inclusão</t>
        </is>
      </c>
      <c r="Y66" s="2" t="inlineStr">
        <is>
          <t>Articulado</t>
        </is>
      </c>
      <c r="Z66" s="2" t="inlineStr">
        <is>
          <t>Aditamento (Artigo PPL)</t>
        </is>
      </c>
      <c r="AA66" s="2" t="inlineStr">
        <is>
          <t>Rejeitado(a) em Comissão</t>
        </is>
      </c>
      <c r="AB66" s="2" t="inlineStr"/>
      <c r="AC66" s="2" t="inlineStr"/>
      <c r="AD66" s="2" t="inlineStr">
        <is>
          <t>1</t>
        </is>
      </c>
      <c r="AE66" s="2" t="inlineStr">
        <is>
          <t>23250</t>
        </is>
      </c>
      <c r="AF66" s="2" t="inlineStr">
        <is>
          <t>https://www.parlamento.pt/OrcamentoEstado/Paginas/DetalhePropostaAlteracao.aspx?BID=23250</t>
        </is>
      </c>
      <c r="AG66" s="2" t="inlineStr">
        <is>
          <t>https://app.parlamento.pt/webutils/docs/doc.pdf?path=6148523063484d364c793942556b356c6443397a6158526c63793959566b6c4a544556484c3039464c7a49774d6a59794d4449314d5441774f5339515153396a4f47497a4d544a6c4d6930354d446b344c5451794e6d5174595459784e6930784e4463795a4467314e6a466d4e324d756347526d&amp;Fich=c8b312e2-9098-426d-a616-1472d8561f7c.pdf&amp;Inline=true</t>
        </is>
      </c>
      <c r="AH66" s="3" t="n">
        <v>46321.77847222222</v>
      </c>
      <c r="AI66" s="3" t="n">
        <v>46321.78055555555</v>
      </c>
      <c r="AJ66" s="2" t="inlineStr"/>
    </row>
    <row r="67">
      <c r="A67" s="2" t="n">
        <v>66</v>
      </c>
      <c r="B67" s="2" t="inlineStr">
        <is>
          <t>58C-1</t>
        </is>
      </c>
      <c r="C67" s="3" t="n">
        <v>45959.81736111111</v>
      </c>
      <c r="D67" s="2" t="inlineStr">
        <is>
          <t>Original</t>
        </is>
      </c>
      <c r="E67" s="2" t="inlineStr">
        <is>
          <t>L</t>
        </is>
      </c>
      <c r="F67" s="2" t="inlineStr">
        <is>
          <t>Filipa Pinto; Isabel Mendes Lopes; Jorge Pinto; Patrícia Gonçalves; Paulo Muacho; Rui Tavares</t>
        </is>
      </c>
      <c r="G67" s="2" t="inlineStr">
        <is>
          <t>Art. 38.º-A (aditamento)</t>
        </is>
      </c>
      <c r="H67" s="2" t="n"/>
      <c r="I67" s="2" t="n"/>
      <c r="J67" s="2" t="n"/>
      <c r="K67" s="2" t="n"/>
      <c r="L67" s="2" t="inlineStr">
        <is>
          <t>Artigo 38.º-A (Alteração ao Código do Trabalho)</t>
        </is>
      </c>
      <c r="M67" s="4" t="n"/>
      <c r="N67" s="4" t="n"/>
      <c r="O67" s="2" t="n"/>
      <c r="P67" s="2" t="n"/>
      <c r="Q67" s="2" t="n"/>
      <c r="R67" s="2" t="n"/>
      <c r="S67" s="2" t="inlineStr">
        <is>
          <t>Rejeitado(a) em Comissão</t>
        </is>
      </c>
      <c r="T67" s="2" t="inlineStr">
        <is>
          <t>Rejeitada</t>
        </is>
      </c>
      <c r="U67" s="2" t="inlineStr">
        <is>
          <t>Favor: CH, IL, L, PCP, BE, PAN; Contra: PSD, CDS-PP; Abstenção: PS</t>
        </is>
      </c>
      <c r="V67" s="3" t="n">
        <v>45981</v>
      </c>
      <c r="W67" s="2" t="inlineStr">
        <is>
          <t>AR: https://www.parlamento.pt/OrcamentoEstado/Paginas/DetalhePropostaAlteracao.aspx?BID=23251 PDF: https://app.parlamento.pt/webutils/docs/doc.pdf?path=6148523063484d364c793942556b356c6443397a6158526c63793959566b6c4a544556484c3039464c7a49774d6a59794d4449314d5441774f5339515153396d4d54646d5a474d3159793031595445354c54513559546774595441334d5330304e44646c597a45314e6d597a596a63756347526d&amp;Fich=f17fdc5c-5a19-49a8-a071-447ec156f3b7.pdf&amp;Inline=true</t>
        </is>
      </c>
      <c r="X67" s="2" t="inlineStr">
        <is>
          <t>Trabalho, Segurança Social e Inclusão</t>
        </is>
      </c>
      <c r="Y67" s="2" t="inlineStr">
        <is>
          <t>Articulado</t>
        </is>
      </c>
      <c r="Z67" s="2" t="inlineStr">
        <is>
          <t>Aditamento (Artigo PPL)</t>
        </is>
      </c>
      <c r="AA67" s="2" t="inlineStr">
        <is>
          <t>Rejeitado(a) em Comissão</t>
        </is>
      </c>
      <c r="AB67" s="2" t="inlineStr"/>
      <c r="AC67" s="2" t="inlineStr">
        <is>
          <t>1</t>
        </is>
      </c>
      <c r="AD67" s="2" t="inlineStr">
        <is>
          <t>1</t>
        </is>
      </c>
      <c r="AE67" s="2" t="inlineStr">
        <is>
          <t>23251</t>
        </is>
      </c>
      <c r="AF67" s="2" t="inlineStr">
        <is>
          <t>https://www.parlamento.pt/OrcamentoEstado/Paginas/DetalhePropostaAlteracao.aspx?BID=23251</t>
        </is>
      </c>
      <c r="AG67" s="2" t="inlineStr">
        <is>
          <t>https://app.parlamento.pt/webutils/docs/doc.pdf?path=6148523063484d364c793942556b356c6443397a6158526c63793959566b6c4a544556484c3039464c7a49774d6a59794d4449314d5441774f5339515153396d4d54646d5a474d3159793031595445354c54513559546774595441334d5330304e44646c597a45314e6d597a596a63756347526d&amp;Fich=f17fdc5c-5a19-49a8-a071-447ec156f3b7.pdf&amp;Inline=true</t>
        </is>
      </c>
      <c r="AH67" s="3" t="n">
        <v>46321.77847222222</v>
      </c>
      <c r="AI67" s="3" t="n">
        <v>46321.78055555555</v>
      </c>
      <c r="AJ67" s="2" t="inlineStr"/>
    </row>
    <row r="68">
      <c r="A68" s="2" t="n">
        <v>67</v>
      </c>
      <c r="B68" s="2" t="inlineStr">
        <is>
          <t>58C-2</t>
        </is>
      </c>
      <c r="C68" s="3" t="n">
        <v>45959.81736111111</v>
      </c>
      <c r="D68" s="2" t="inlineStr">
        <is>
          <t>Original</t>
        </is>
      </c>
      <c r="E68" s="2" t="inlineStr">
        <is>
          <t>L</t>
        </is>
      </c>
      <c r="F68" s="2" t="inlineStr">
        <is>
          <t>Filipa Pinto; Isabel Mendes Lopes; Jorge Pinto; Patrícia Gonçalves; Paulo Muacho; Rui Tavares</t>
        </is>
      </c>
      <c r="G68" s="2" t="inlineStr">
        <is>
          <t>Art. 38.º-B (aditamento)</t>
        </is>
      </c>
      <c r="H68" s="2" t="n"/>
      <c r="I68" s="2" t="n"/>
      <c r="J68" s="2" t="n"/>
      <c r="K68" s="2" t="n"/>
      <c r="L68" s="2" t="inlineStr">
        <is>
          <t>Artigo 38.º-B (Subsídio para assistência a filho com deficiência, doença crónica ou doença oncológica)</t>
        </is>
      </c>
      <c r="M68" s="4" t="n"/>
      <c r="N68" s="4" t="n"/>
      <c r="O68" s="2" t="n"/>
      <c r="P68" s="2" t="n"/>
      <c r="Q68" s="2" t="n"/>
      <c r="R68" s="2" t="n"/>
      <c r="S68" s="2" t="inlineStr">
        <is>
          <t>Rejeitado(a) em Plenário</t>
        </is>
      </c>
      <c r="T68" s="2" t="inlineStr">
        <is>
          <t>Rejeitada</t>
        </is>
      </c>
      <c r="U68" s="2" t="inlineStr">
        <is>
          <t>Favor: CH, IL, L, PCP, BE, PAN, JPP; Contra: PSD, CDS-PP; Abstenção: PS</t>
        </is>
      </c>
      <c r="V68" s="3" t="n">
        <v>45982</v>
      </c>
      <c r="W68" s="2" t="inlineStr">
        <is>
          <t>Avocada a Plenário. AR: https://www.parlamento.pt/OrcamentoEstado/Paginas/DetalhePropostaAlteracao.aspx?BID=23444 PDF: https://app.parlamento.pt/webutils/docs/doc.pdf?path=6148523063484d364c793942556b356c6443397a6158526c63793959566b6c4a544556484c3039464c7a49774d6a59794d4449314d5441774f53395151533835596a5a6d5a6a4e684d7930305a6a4d7a4c5451334e7a6b74596d52694e6930324e4449344e575a6c596a68684e4745756347526d&amp;Fich=9b6ff3a3-4f33-4779-bdb6-64285feb8a4a.pdf&amp;Inline=true</t>
        </is>
      </c>
      <c r="X68" s="2" t="inlineStr">
        <is>
          <t>Trabalho, Segurança Social e Inclusão</t>
        </is>
      </c>
      <c r="Y68" s="2" t="inlineStr">
        <is>
          <t>Articulado</t>
        </is>
      </c>
      <c r="Z68" s="2" t="inlineStr">
        <is>
          <t>Aditamento (Artigo PPL)</t>
        </is>
      </c>
      <c r="AA68" s="2" t="inlineStr">
        <is>
          <t>Rejeitado(a) em Plenário</t>
        </is>
      </c>
      <c r="AB68" s="2" t="inlineStr">
        <is>
          <t>S</t>
        </is>
      </c>
      <c r="AC68" s="2" t="inlineStr">
        <is>
          <t>2</t>
        </is>
      </c>
      <c r="AD68" s="2" t="inlineStr">
        <is>
          <t>2</t>
        </is>
      </c>
      <c r="AE68" s="2" t="inlineStr">
        <is>
          <t>23444</t>
        </is>
      </c>
      <c r="AF68" s="2" t="inlineStr">
        <is>
          <t>https://www.parlamento.pt/OrcamentoEstado/Paginas/DetalhePropostaAlteracao.aspx?BID=23444</t>
        </is>
      </c>
      <c r="AG68" s="2" t="inlineStr">
        <is>
          <t>https://app.parlamento.pt/webutils/docs/doc.pdf?path=6148523063484d364c793942556b356c6443397a6158526c63793959566b6c4a544556484c3039464c7a49774d6a59794d4449314d5441774f53395151533835596a5a6d5a6a4e684d7930305a6a4d7a4c5451334e7a6b74596d52694e6930324e4449344e575a6c596a68684e4745756347526d&amp;Fich=9b6ff3a3-4f33-4779-bdb6-64285feb8a4a.pdf&amp;Inline=true</t>
        </is>
      </c>
      <c r="AH68" s="3" t="n">
        <v>46321.77847222222</v>
      </c>
      <c r="AI68" s="3" t="n">
        <v>46321.78055555555</v>
      </c>
      <c r="AJ68" s="2" t="inlineStr"/>
    </row>
    <row r="69">
      <c r="A69" s="2" t="n">
        <v>68</v>
      </c>
      <c r="B69" s="2" t="inlineStr">
        <is>
          <t>59C</t>
        </is>
      </c>
      <c r="C69" s="3" t="n">
        <v>45960.48680555556</v>
      </c>
      <c r="D69" s="2" t="inlineStr">
        <is>
          <t>Original</t>
        </is>
      </c>
      <c r="E69" s="2" t="inlineStr">
        <is>
          <t>PCP</t>
        </is>
      </c>
      <c r="F69" s="2" t="inlineStr">
        <is>
          <t>Alfredo Maia; Paula Santos; Paulo Raimundo</t>
        </is>
      </c>
      <c r="G69" s="2" t="inlineStr">
        <is>
          <t>Art. 7.º (aditamento)</t>
        </is>
      </c>
      <c r="H69" s="2" t="n"/>
      <c r="I69" s="2" t="n"/>
      <c r="J69" s="2" t="n"/>
      <c r="K69" s="2" t="n"/>
      <c r="L69" s="2" t="inlineStr">
        <is>
          <t>Nova Verba 81, Mapa de alterações e transferências orçamentais, Artigo 7.º</t>
        </is>
      </c>
      <c r="M69" s="4" t="n"/>
      <c r="N69" s="4" t="n"/>
      <c r="O69" s="2" t="n"/>
      <c r="P69" s="2" t="n"/>
      <c r="Q69" s="2" t="n"/>
      <c r="R69" s="2" t="n"/>
      <c r="S69" s="2" t="inlineStr">
        <is>
          <t>Rejeitado(a) em Comissão</t>
        </is>
      </c>
      <c r="T69" s="2" t="inlineStr">
        <is>
          <t>Rejeitada</t>
        </is>
      </c>
      <c r="U69" s="2" t="inlineStr">
        <is>
          <t>Favor: CH, L, PCP, BE, PAN; Contra: PSD, CDS-PP; Abstenção: PS, IL</t>
        </is>
      </c>
      <c r="V69" s="3" t="n">
        <v>45987</v>
      </c>
      <c r="W69" s="2" t="inlineStr">
        <is>
          <t>AR: https://www.parlamento.pt/OrcamentoEstado/Paginas/DetalhePropostaAlteracao.aspx?BID=23252 PDF: https://app.parlamento.pt/webutils/docs/doc.pdf?path=6148523063484d364c793942556b356c6443397a6158526c63793959566b6c4a544556484c3039464c7a49774d6a59794d4449314d5441774f533951515338314e7a49324e7a45795a693078597a49354c54526a4e7a4174596a49794d69316c59574d30595468694d6d4d334d3251756347526d&amp;Fich=5726712f-1c29-4c70-b222-eac4a8b2c73d.pdf&amp;Inline=true</t>
        </is>
      </c>
      <c r="X69" s="2" t="inlineStr">
        <is>
          <t>Assuntos Constitucionais, Direitos, Liberdades e Garantias</t>
        </is>
      </c>
      <c r="Y69" s="2" t="inlineStr">
        <is>
          <t>Articulado</t>
        </is>
      </c>
      <c r="Z69" s="2" t="inlineStr">
        <is>
          <t>Aditamento (Números e Alíneas)</t>
        </is>
      </c>
      <c r="AA69" s="2" t="inlineStr">
        <is>
          <t>Rejeitado(a) em Comissão</t>
        </is>
      </c>
      <c r="AB69" s="2" t="inlineStr"/>
      <c r="AC69" s="2" t="inlineStr"/>
      <c r="AD69" s="2" t="inlineStr">
        <is>
          <t>1</t>
        </is>
      </c>
      <c r="AE69" s="2" t="inlineStr">
        <is>
          <t>23252</t>
        </is>
      </c>
      <c r="AF69" s="2" t="inlineStr">
        <is>
          <t>https://www.parlamento.pt/OrcamentoEstado/Paginas/DetalhePropostaAlteracao.aspx?BID=23252</t>
        </is>
      </c>
      <c r="AG69" s="2" t="inlineStr">
        <is>
          <t>https://app.parlamento.pt/webutils/docs/doc.pdf?path=6148523063484d364c793942556b356c6443397a6158526c63793959566b6c4a544556484c3039464c7a49774d6a59794d4449314d5441774f533951515338314e7a49324e7a45795a693078597a49354c54526a4e7a4174596a49794d69316c59574d30595468694d6d4d334d3251756347526d&amp;Fich=5726712f-1c29-4c70-b222-eac4a8b2c73d.pdf&amp;Inline=true</t>
        </is>
      </c>
      <c r="AH69" s="3" t="n">
        <v>46321.77847222222</v>
      </c>
      <c r="AI69" s="3" t="n">
        <v>46321.78055555555</v>
      </c>
      <c r="AJ69" s="2" t="inlineStr"/>
    </row>
    <row r="70">
      <c r="A70" s="2" t="n">
        <v>69</v>
      </c>
      <c r="B70" s="2" t="inlineStr">
        <is>
          <t>60C</t>
        </is>
      </c>
      <c r="C70" s="3" t="n">
        <v>45960.48819444444</v>
      </c>
      <c r="D70" s="2" t="inlineStr">
        <is>
          <t>Original</t>
        </is>
      </c>
      <c r="E70" s="2" t="inlineStr">
        <is>
          <t>PCP</t>
        </is>
      </c>
      <c r="F70" s="2" t="inlineStr">
        <is>
          <t>Alfredo Maia; Paula Santos; Paulo Raimundo</t>
        </is>
      </c>
      <c r="G70" s="2" t="inlineStr">
        <is>
          <t>Art. 7.º (aditamento)</t>
        </is>
      </c>
      <c r="H70" s="2" t="n"/>
      <c r="I70" s="2" t="n"/>
      <c r="J70" s="2" t="n"/>
      <c r="K70" s="2" t="n"/>
      <c r="L70" s="2" t="inlineStr">
        <is>
          <t>Nova Verba 80, Mapa de alterações e transferências orçamentais, Artigo 7.º</t>
        </is>
      </c>
      <c r="M70" s="4" t="n"/>
      <c r="N70" s="4" t="n"/>
      <c r="O70" s="2" t="n"/>
      <c r="P70" s="2" t="n"/>
      <c r="Q70" s="2" t="n"/>
      <c r="R70" s="2" t="n"/>
      <c r="S70" s="2" t="inlineStr">
        <is>
          <t>Rejeitado(a) em Comissão</t>
        </is>
      </c>
      <c r="T70" s="2" t="inlineStr">
        <is>
          <t>Rejeitada</t>
        </is>
      </c>
      <c r="U70" s="2" t="inlineStr">
        <is>
          <t>Favor: CH, L, PCP, BE, PAN; Contra: PSD, CDS-PP; Abstenção: PS, IL</t>
        </is>
      </c>
      <c r="V70" s="3" t="n">
        <v>45987</v>
      </c>
      <c r="W70" s="2" t="inlineStr">
        <is>
          <t>AR: https://www.parlamento.pt/OrcamentoEstado/Paginas/DetalhePropostaAlteracao.aspx?BID=23253 PDF: https://app.parlamento.pt/webutils/docs/doc.pdf?path=6148523063484d364c793942556b356c6443397a6158526c63793959566b6c4a544556484c3039464c7a49774d6a59794d4449314d5441774f533951515338354f5441314e3259314e6930334d4459334c5451335a4441744f4759334f5330344f5441774f4749794e6d45774e6d55756347526d&amp;Fich=99057f56-7067-47d0-8f79-89008b26a06e.pdf&amp;Inline=true</t>
        </is>
      </c>
      <c r="X70" s="2" t="inlineStr">
        <is>
          <t>Assuntos Constitucionais, Direitos, Liberdades e Garantias</t>
        </is>
      </c>
      <c r="Y70" s="2" t="inlineStr">
        <is>
          <t>Articulado</t>
        </is>
      </c>
      <c r="Z70" s="2" t="inlineStr">
        <is>
          <t>Aditamento (Números e Alíneas)</t>
        </is>
      </c>
      <c r="AA70" s="2" t="inlineStr">
        <is>
          <t>Rejeitado(a) em Comissão</t>
        </is>
      </c>
      <c r="AB70" s="2" t="inlineStr"/>
      <c r="AC70" s="2" t="inlineStr"/>
      <c r="AD70" s="2" t="inlineStr">
        <is>
          <t>1</t>
        </is>
      </c>
      <c r="AE70" s="2" t="inlineStr">
        <is>
          <t>23253</t>
        </is>
      </c>
      <c r="AF70" s="2" t="inlineStr">
        <is>
          <t>https://www.parlamento.pt/OrcamentoEstado/Paginas/DetalhePropostaAlteracao.aspx?BID=23253</t>
        </is>
      </c>
      <c r="AG70" s="2" t="inlineStr">
        <is>
          <t>https://app.parlamento.pt/webutils/docs/doc.pdf?path=6148523063484d364c793942556b356c6443397a6158526c63793959566b6c4a544556484c3039464c7a49774d6a59794d4449314d5441774f533951515338354f5441314e3259314e6930334d4459334c5451335a4441744f4759334f5330344f5441774f4749794e6d45774e6d55756347526d&amp;Fich=99057f56-7067-47d0-8f79-89008b26a06e.pdf&amp;Inline=true</t>
        </is>
      </c>
      <c r="AH70" s="3" t="n">
        <v>46321.77847222222</v>
      </c>
      <c r="AI70" s="3" t="n">
        <v>46321.78055555555</v>
      </c>
      <c r="AJ70" s="2" t="inlineStr"/>
    </row>
    <row r="71">
      <c r="A71" s="2" t="n">
        <v>70</v>
      </c>
      <c r="B71" s="2" t="inlineStr">
        <is>
          <t>61C</t>
        </is>
      </c>
      <c r="C71" s="3" t="n">
        <v>45960.49027777778</v>
      </c>
      <c r="D71" s="2" t="inlineStr">
        <is>
          <t>Original</t>
        </is>
      </c>
      <c r="E71" s="2" t="inlineStr">
        <is>
          <t>PCP</t>
        </is>
      </c>
      <c r="F71" s="2" t="inlineStr">
        <is>
          <t>Alfredo Maia; Paula Santos; Paulo Raimundo</t>
        </is>
      </c>
      <c r="G71" s="2" t="inlineStr">
        <is>
          <t>Art. 8.º (aditamento)</t>
        </is>
      </c>
      <c r="H71" s="2" t="n"/>
      <c r="I71" s="2" t="n"/>
      <c r="J71" s="2" t="n"/>
      <c r="K71" s="2" t="n"/>
      <c r="L71" s="2" t="inlineStr">
        <is>
          <t>Novo N.º 6, Artigo 8.º</t>
        </is>
      </c>
      <c r="M71" s="4" t="n"/>
      <c r="N71" s="4" t="n"/>
      <c r="O71" s="2" t="n"/>
      <c r="P71" s="2" t="n"/>
      <c r="Q71" s="2" t="n"/>
      <c r="R71" s="2" t="n"/>
      <c r="S71" s="2" t="inlineStr">
        <is>
          <t>Rejeitado(a) em Comissão</t>
        </is>
      </c>
      <c r="T71" s="2" t="inlineStr">
        <is>
          <t>Rejeitada</t>
        </is>
      </c>
      <c r="U71" s="2" t="inlineStr">
        <is>
          <t>Favor: L, PCP, BE, PAN; Contra: PSD, CH, CDS-PP; Abstenção: PS, IL</t>
        </is>
      </c>
      <c r="V71" s="3" t="n">
        <v>45981</v>
      </c>
      <c r="W71" s="2" t="inlineStr">
        <is>
          <t>AR: https://www.parlamento.pt/OrcamentoEstado/Paginas/DetalhePropostaAlteracao.aspx?BID=23254 PDF: https://app.parlamento.pt/webutils/docs/doc.pdf?path=6148523063484d364c793942556b356c6443397a6158526c63793959566b6c4a544556484c3039464c7a49774d6a59794d4449314d5441774f5339515153396d4e6a593359544130596931694d4455784c5451324e544574595751324f4330354e6d5935596d466c4d5449794f4745756347526d&amp;Fich=f667a04b-b051-4651-ad68-96f9bae1228a.pdf&amp;Inline=true</t>
        </is>
      </c>
      <c r="X71" s="2" t="inlineStr">
        <is>
          <t>Assuntos Constitucionais, Direitos, Liberdades e Garantias</t>
        </is>
      </c>
      <c r="Y71" s="2" t="inlineStr">
        <is>
          <t>Articulado</t>
        </is>
      </c>
      <c r="Z71" s="2" t="inlineStr">
        <is>
          <t>Aditamento (Números e Alíneas)</t>
        </is>
      </c>
      <c r="AA71" s="2" t="inlineStr">
        <is>
          <t>Rejeitado(a) em Comissão</t>
        </is>
      </c>
      <c r="AB71" s="2" t="inlineStr"/>
      <c r="AC71" s="2" t="inlineStr"/>
      <c r="AD71" s="2" t="inlineStr">
        <is>
          <t>1</t>
        </is>
      </c>
      <c r="AE71" s="2" t="inlineStr">
        <is>
          <t>23254</t>
        </is>
      </c>
      <c r="AF71" s="2" t="inlineStr">
        <is>
          <t>https://www.parlamento.pt/OrcamentoEstado/Paginas/DetalhePropostaAlteracao.aspx?BID=23254</t>
        </is>
      </c>
      <c r="AG71" s="2" t="inlineStr">
        <is>
          <t>https://app.parlamento.pt/webutils/docs/doc.pdf?path=6148523063484d364c793942556b356c6443397a6158526c63793959566b6c4a544556484c3039464c7a49774d6a59794d4449314d5441774f5339515153396d4e6a593359544130596931694d4455784c5451324e544574595751324f4330354e6d5935596d466c4d5449794f4745756347526d&amp;Fich=f667a04b-b051-4651-ad68-96f9bae1228a.pdf&amp;Inline=true</t>
        </is>
      </c>
      <c r="AH71" s="3" t="n">
        <v>46321.77847222222</v>
      </c>
      <c r="AI71" s="3" t="n">
        <v>46321.78055555555</v>
      </c>
      <c r="AJ71" s="2" t="inlineStr"/>
    </row>
    <row r="72">
      <c r="A72" s="2" t="n">
        <v>71</v>
      </c>
      <c r="B72" s="2" t="inlineStr">
        <is>
          <t>62C</t>
        </is>
      </c>
      <c r="C72" s="3" t="n">
        <v>45960.49236111111</v>
      </c>
      <c r="D72" s="2" t="inlineStr">
        <is>
          <t>Original</t>
        </is>
      </c>
      <c r="E72" s="2" t="inlineStr">
        <is>
          <t>PCP</t>
        </is>
      </c>
      <c r="F72" s="2" t="inlineStr">
        <is>
          <t>Alfredo Maia; Paula Santos; Paulo Raimundo</t>
        </is>
      </c>
      <c r="G72" s="2" t="inlineStr">
        <is>
          <t>Art. 8.º (aditamento)</t>
        </is>
      </c>
      <c r="H72" s="2" t="n"/>
      <c r="I72" s="2" t="n"/>
      <c r="J72" s="2" t="n"/>
      <c r="K72" s="2" t="n"/>
      <c r="L72" s="2" t="inlineStr">
        <is>
          <t>Novo N.º 6, Artigo 8.º</t>
        </is>
      </c>
      <c r="M72" s="4" t="n"/>
      <c r="N72" s="4" t="n"/>
      <c r="O72" s="2" t="n"/>
      <c r="P72" s="2" t="n"/>
      <c r="Q72" s="2" t="n"/>
      <c r="R72" s="2" t="n"/>
      <c r="S72" s="2" t="inlineStr">
        <is>
          <t>Rejeitado(a) em Comissão</t>
        </is>
      </c>
      <c r="T72" s="2" t="inlineStr">
        <is>
          <t>Rejeitada</t>
        </is>
      </c>
      <c r="U72" s="2" t="inlineStr">
        <is>
          <t>Favor: L, PCP, BE, PAN; Contra: PSD, CDS-PP; Abstenção: CH, PS, IL</t>
        </is>
      </c>
      <c r="V72" s="3" t="n">
        <v>45981</v>
      </c>
      <c r="W72" s="2" t="inlineStr">
        <is>
          <t>AR: https://www.parlamento.pt/OrcamentoEstado/Paginas/DetalhePropostaAlteracao.aspx?BID=23255 PDF: https://app.parlamento.pt/webutils/docs/doc.pdf?path=6148523063484d364c793942556b356c6443397a6158526c63793959566b6c4a544556484c3039464c7a49774d6a59794d4449314d5441774f533951515338784e4441305a44417759533079596d466d4c54526c4d47497459574e6d5a43316a5a6a4e684e7a55795a445130595467756347526d&amp;Fich=1404d00a-2baf-4e0b-acfd-cf3a752d44a8.pdf&amp;Inline=true</t>
        </is>
      </c>
      <c r="X72" s="2" t="inlineStr">
        <is>
          <t>Assuntos Constitucionais, Direitos, Liberdades e Garantias</t>
        </is>
      </c>
      <c r="Y72" s="2" t="inlineStr">
        <is>
          <t>Articulado</t>
        </is>
      </c>
      <c r="Z72" s="2" t="inlineStr">
        <is>
          <t>Aditamento (Números e Alíneas)</t>
        </is>
      </c>
      <c r="AA72" s="2" t="inlineStr">
        <is>
          <t>Rejeitado(a) em Comissão</t>
        </is>
      </c>
      <c r="AB72" s="2" t="inlineStr"/>
      <c r="AC72" s="2" t="inlineStr"/>
      <c r="AD72" s="2" t="inlineStr">
        <is>
          <t>1</t>
        </is>
      </c>
      <c r="AE72" s="2" t="inlineStr">
        <is>
          <t>23255</t>
        </is>
      </c>
      <c r="AF72" s="2" t="inlineStr">
        <is>
          <t>https://www.parlamento.pt/OrcamentoEstado/Paginas/DetalhePropostaAlteracao.aspx?BID=23255</t>
        </is>
      </c>
      <c r="AG72" s="2" t="inlineStr">
        <is>
          <t>https://app.parlamento.pt/webutils/docs/doc.pdf?path=6148523063484d364c793942556b356c6443397a6158526c63793959566b6c4a544556484c3039464c7a49774d6a59794d4449314d5441774f533951515338784e4441305a44417759533079596d466d4c54526c4d47497459574e6d5a43316a5a6a4e684e7a55795a445130595467756347526d&amp;Fich=1404d00a-2baf-4e0b-acfd-cf3a752d44a8.pdf&amp;Inline=true</t>
        </is>
      </c>
      <c r="AH72" s="3" t="n">
        <v>46321.77847222222</v>
      </c>
      <c r="AI72" s="3" t="n">
        <v>46321.78055555555</v>
      </c>
      <c r="AJ72" s="2" t="inlineStr"/>
    </row>
    <row r="73">
      <c r="A73" s="2" t="n">
        <v>72</v>
      </c>
      <c r="B73" s="2" t="inlineStr">
        <is>
          <t>63C</t>
        </is>
      </c>
      <c r="C73" s="3" t="n">
        <v>45960.49513888889</v>
      </c>
      <c r="D73" s="2" t="inlineStr">
        <is>
          <t>Original</t>
        </is>
      </c>
      <c r="E73" s="2" t="inlineStr">
        <is>
          <t>PCP</t>
        </is>
      </c>
      <c r="F73" s="2" t="inlineStr">
        <is>
          <t>Alfredo Maia; Paula Santos; Paulo Raimundo</t>
        </is>
      </c>
      <c r="G73" s="2" t="inlineStr">
        <is>
          <t>Art. 8.º (aditamento)</t>
        </is>
      </c>
      <c r="H73" s="2" t="n"/>
      <c r="I73" s="2" t="n"/>
      <c r="J73" s="2" t="n"/>
      <c r="K73" s="2" t="n"/>
      <c r="L73" s="2" t="inlineStr">
        <is>
          <t>Novo N.º 16, Artigo 8.º</t>
        </is>
      </c>
      <c r="M73" s="4" t="n"/>
      <c r="N73" s="4" t="n"/>
      <c r="O73" s="2" t="n"/>
      <c r="P73" s="2" t="n"/>
      <c r="Q73" s="2" t="n"/>
      <c r="R73" s="2" t="n"/>
      <c r="S73" s="2" t="inlineStr">
        <is>
          <t>Rejeitado(a) em Comissão</t>
        </is>
      </c>
      <c r="T73" s="2" t="inlineStr">
        <is>
          <t>Rejeitada</t>
        </is>
      </c>
      <c r="U73" s="2" t="inlineStr">
        <is>
          <t>Favor: PCP, BE, PAN; Contra: PSD, CH, CDS-PP; Abstenção: PS, IL, L</t>
        </is>
      </c>
      <c r="V73" s="3" t="n">
        <v>45981</v>
      </c>
      <c r="W73" s="2" t="inlineStr">
        <is>
          <t>AR: https://www.parlamento.pt/OrcamentoEstado/Paginas/DetalhePropostaAlteracao.aspx?BID=23256 PDF: https://app.parlamento.pt/webutils/docs/doc.pdf?path=6148523063484d364c793942556b356c6443397a6158526c63793959566b6c4a544556484c3039464c7a49774d6a59794d4449314d5441774f5339515153396d5a5759314e44646b5a69316c4e6d56694c5451335a6a4d74596a55344e7930334e6a51305a5751324f4455334d5745756347526d&amp;Fich=fef547df-e6eb-47f3-b587-7644ed68571a.pdf&amp;Inline=true</t>
        </is>
      </c>
      <c r="X73" s="2" t="inlineStr">
        <is>
          <t>Assuntos Constitucionais, Direitos, Liberdades e Garantias</t>
        </is>
      </c>
      <c r="Y73" s="2" t="inlineStr">
        <is>
          <t>Articulado</t>
        </is>
      </c>
      <c r="Z73" s="2" t="inlineStr">
        <is>
          <t>Aditamento (Números e Alíneas)</t>
        </is>
      </c>
      <c r="AA73" s="2" t="inlineStr">
        <is>
          <t>Rejeitado(a) em Comissão</t>
        </is>
      </c>
      <c r="AB73" s="2" t="inlineStr"/>
      <c r="AC73" s="2" t="inlineStr"/>
      <c r="AD73" s="2" t="inlineStr">
        <is>
          <t>1</t>
        </is>
      </c>
      <c r="AE73" s="2" t="inlineStr">
        <is>
          <t>23256</t>
        </is>
      </c>
      <c r="AF73" s="2" t="inlineStr">
        <is>
          <t>https://www.parlamento.pt/OrcamentoEstado/Paginas/DetalhePropostaAlteracao.aspx?BID=23256</t>
        </is>
      </c>
      <c r="AG73" s="2" t="inlineStr">
        <is>
          <t>https://app.parlamento.pt/webutils/docs/doc.pdf?path=6148523063484d364c793942556b356c6443397a6158526c63793959566b6c4a544556484c3039464c7a49774d6a59794d4449314d5441774f5339515153396d5a5759314e44646b5a69316c4e6d56694c5451335a6a4d74596a55344e7930334e6a51305a5751324f4455334d5745756347526d&amp;Fich=fef547df-e6eb-47f3-b587-7644ed68571a.pdf&amp;Inline=true</t>
        </is>
      </c>
      <c r="AH73" s="3" t="n">
        <v>46321.77847222222</v>
      </c>
      <c r="AI73" s="3" t="n">
        <v>46321.78055555555</v>
      </c>
      <c r="AJ73" s="2" t="inlineStr"/>
    </row>
    <row r="74">
      <c r="A74" s="2" t="n">
        <v>73</v>
      </c>
      <c r="B74" s="2" t="inlineStr">
        <is>
          <t>64C</t>
        </is>
      </c>
      <c r="C74" s="3" t="n">
        <v>45960.49861111111</v>
      </c>
      <c r="D74" s="2" t="inlineStr">
        <is>
          <t>Original</t>
        </is>
      </c>
      <c r="E74" s="2" t="inlineStr">
        <is>
          <t>PCP</t>
        </is>
      </c>
      <c r="F74" s="2" t="inlineStr">
        <is>
          <t>Alfredo Maia; Paula Santos; Paulo Raimundo</t>
        </is>
      </c>
      <c r="G74" s="2" t="inlineStr">
        <is>
          <t>Art. 27.º-A (aditamento)</t>
        </is>
      </c>
      <c r="H74" s="2" t="n"/>
      <c r="I74" s="2" t="n"/>
      <c r="J74" s="2" t="n"/>
      <c r="K74" s="2" t="n"/>
      <c r="L74" s="2" t="inlineStr">
        <is>
          <t>Artigo 27.º-A (Contratação de mediadores culturais e linguísticos para a Escola Pública)</t>
        </is>
      </c>
      <c r="M74" s="4" t="n"/>
      <c r="N74" s="4" t="n"/>
      <c r="O74" s="2" t="n"/>
      <c r="P74" s="2" t="n"/>
      <c r="Q74" s="2" t="n"/>
      <c r="R74" s="2" t="n"/>
      <c r="S74" s="2" t="inlineStr">
        <is>
          <t>Rejeitado(a) em Comissão</t>
        </is>
      </c>
      <c r="T74" s="2" t="inlineStr">
        <is>
          <t>Rejeitada</t>
        </is>
      </c>
      <c r="U74" s="2" t="inlineStr">
        <is>
          <t>Favor: PS, L, PCP, BE, PAN; Contra: PSD, CH, IL, CDS-PP</t>
        </is>
      </c>
      <c r="V74" s="3" t="n">
        <v>45981</v>
      </c>
      <c r="W74" s="2" t="inlineStr">
        <is>
          <t>AR: https://www.parlamento.pt/OrcamentoEstado/Paginas/DetalhePropostaAlteracao.aspx?BID=23257 PDF: https://app.parlamento.pt/webutils/docs/doc.pdf?path=6148523063484d364c793942556b356c6443397a6158526c63793959566b6c4a544556484c3039464c7a49774d6a59794d4449314d5441774f5339515153396a596d49795a47526b4d793079596d45784c5451344e6a63744f54497a4d79307a5a57566c59574e6c4f445131597a49756347526d&amp;Fich=cbb2ddd3-2ba1-4867-9233-3eeeace845c2.pdf&amp;Inline=true</t>
        </is>
      </c>
      <c r="X74" s="2" t="inlineStr">
        <is>
          <t>Assuntos Constitucionais, Direitos, Liberdades e Garantias</t>
        </is>
      </c>
      <c r="Y74" s="2" t="inlineStr">
        <is>
          <t>Articulado</t>
        </is>
      </c>
      <c r="Z74" s="2" t="inlineStr">
        <is>
          <t>Aditamento (Artigo PPL)</t>
        </is>
      </c>
      <c r="AA74" s="2" t="inlineStr">
        <is>
          <t>Rejeitado(a) em Comissão</t>
        </is>
      </c>
      <c r="AB74" s="2" t="inlineStr"/>
      <c r="AC74" s="2" t="inlineStr"/>
      <c r="AD74" s="2" t="inlineStr">
        <is>
          <t>1</t>
        </is>
      </c>
      <c r="AE74" s="2" t="inlineStr">
        <is>
          <t>23257</t>
        </is>
      </c>
      <c r="AF74" s="2" t="inlineStr">
        <is>
          <t>https://www.parlamento.pt/OrcamentoEstado/Paginas/DetalhePropostaAlteracao.aspx?BID=23257</t>
        </is>
      </c>
      <c r="AG74" s="2" t="inlineStr">
        <is>
          <t>https://app.parlamento.pt/webutils/docs/doc.pdf?path=6148523063484d364c793942556b356c6443397a6158526c63793959566b6c4a544556484c3039464c7a49774d6a59794d4449314d5441774f5339515153396a596d49795a47526b4d793079596d45784c5451344e6a63744f54497a4d79307a5a57566c59574e6c4f445131597a49756347526d&amp;Fich=cbb2ddd3-2ba1-4867-9233-3eeeace845c2.pdf&amp;Inline=true</t>
        </is>
      </c>
      <c r="AH74" s="3" t="n">
        <v>46321.77847222222</v>
      </c>
      <c r="AI74" s="3" t="n">
        <v>46321.78055555555</v>
      </c>
      <c r="AJ74" s="2" t="inlineStr"/>
    </row>
    <row r="75">
      <c r="A75" s="2" t="n">
        <v>74</v>
      </c>
      <c r="B75" s="2" t="inlineStr">
        <is>
          <t>65C</t>
        </is>
      </c>
      <c r="C75" s="3" t="n">
        <v>45960.50208333333</v>
      </c>
      <c r="D75" s="2" t="inlineStr">
        <is>
          <t>Original</t>
        </is>
      </c>
      <c r="E75" s="2" t="inlineStr">
        <is>
          <t>PCP</t>
        </is>
      </c>
      <c r="F75" s="2" t="inlineStr">
        <is>
          <t>Alfredo Maia; Paula Santos; Paulo Raimundo</t>
        </is>
      </c>
      <c r="G75" s="2" t="inlineStr">
        <is>
          <t>Art. 27.º-A (aditamento)</t>
        </is>
      </c>
      <c r="H75" s="2" t="n"/>
      <c r="I75" s="2" t="n"/>
      <c r="J75" s="2" t="n"/>
      <c r="K75" s="2" t="n"/>
      <c r="L75" s="2" t="inlineStr">
        <is>
          <t>Artigo 27.º-A (Vinculação de trabalhadores e mediadores na Agência para a Integração, Migrações e Asilo)</t>
        </is>
      </c>
      <c r="M75" s="4" t="n"/>
      <c r="N75" s="4" t="n"/>
      <c r="O75" s="2" t="n"/>
      <c r="P75" s="2" t="n"/>
      <c r="Q75" s="2" t="n"/>
      <c r="R75" s="2" t="n"/>
      <c r="S75" s="2" t="inlineStr">
        <is>
          <t>Rejeitado(a) em Comissão</t>
        </is>
      </c>
      <c r="T75" s="2" t="inlineStr">
        <is>
          <t>Rejeitada</t>
        </is>
      </c>
      <c r="U75" s="2" t="inlineStr">
        <is>
          <t>Favor: L, PCP, BE, PAN; Contra: PSD, CH, IL, CDS-PP; Abstenção: PS</t>
        </is>
      </c>
      <c r="V75" s="3" t="n">
        <v>45981</v>
      </c>
      <c r="W75" s="2" t="inlineStr">
        <is>
          <t>AR: https://www.parlamento.pt/OrcamentoEstado/Paginas/DetalhePropostaAlteracao.aspx?BID=23258 PDF: https://app.parlamento.pt/webutils/docs/doc.pdf?path=6148523063484d364c793942556b356c6443397a6158526c63793959566b6c4a544556484c3039464c7a49774d6a59794d4449314d5441774f533951515338325a6d59774e5445305953316b4e7a6c6d4c5452684e7a677459575a6d4f4331684e4467335a4749795954526b4f4441756347526d&amp;Fich=6ff0514a-d79f-4a78-aff8-a487db2a4d80.pdf&amp;Inline=true</t>
        </is>
      </c>
      <c r="X75" s="2" t="inlineStr">
        <is>
          <t>Assuntos Constitucionais, Direitos, Liberdades e Garantias</t>
        </is>
      </c>
      <c r="Y75" s="2" t="inlineStr">
        <is>
          <t>Articulado</t>
        </is>
      </c>
      <c r="Z75" s="2" t="inlineStr">
        <is>
          <t>Aditamento (Artigo PPL)</t>
        </is>
      </c>
      <c r="AA75" s="2" t="inlineStr">
        <is>
          <t>Rejeitado(a) em Comissão</t>
        </is>
      </c>
      <c r="AB75" s="2" t="inlineStr"/>
      <c r="AC75" s="2" t="inlineStr"/>
      <c r="AD75" s="2" t="inlineStr">
        <is>
          <t>1</t>
        </is>
      </c>
      <c r="AE75" s="2" t="inlineStr">
        <is>
          <t>23258</t>
        </is>
      </c>
      <c r="AF75" s="2" t="inlineStr">
        <is>
          <t>https://www.parlamento.pt/OrcamentoEstado/Paginas/DetalhePropostaAlteracao.aspx?BID=23258</t>
        </is>
      </c>
      <c r="AG75" s="2" t="inlineStr">
        <is>
          <t>https://app.parlamento.pt/webutils/docs/doc.pdf?path=6148523063484d364c793942556b356c6443397a6158526c63793959566b6c4a544556484c3039464c7a49774d6a59794d4449314d5441774f533951515338325a6d59774e5445305953316b4e7a6c6d4c5452684e7a677459575a6d4f4331684e4467335a4749795954526b4f4441756347526d&amp;Fich=6ff0514a-d79f-4a78-aff8-a487db2a4d80.pdf&amp;Inline=true</t>
        </is>
      </c>
      <c r="AH75" s="3" t="n">
        <v>46321.77847222222</v>
      </c>
      <c r="AI75" s="3" t="n">
        <v>46321.78055555555</v>
      </c>
      <c r="AJ75" s="2" t="inlineStr"/>
    </row>
    <row r="76">
      <c r="A76" s="2" t="n">
        <v>75</v>
      </c>
      <c r="B76" s="2" t="inlineStr">
        <is>
          <t>66C</t>
        </is>
      </c>
      <c r="C76" s="3" t="n">
        <v>45960.50347222222</v>
      </c>
      <c r="D76" s="2" t="inlineStr">
        <is>
          <t>Original</t>
        </is>
      </c>
      <c r="E76" s="2" t="inlineStr">
        <is>
          <t>PCP</t>
        </is>
      </c>
      <c r="F76" s="2" t="inlineStr">
        <is>
          <t>Alfredo Maia; Paula Santos; Paulo Raimundo</t>
        </is>
      </c>
      <c r="G76" s="2" t="inlineStr">
        <is>
          <t>Art. 135.º-A (aditamento)</t>
        </is>
      </c>
      <c r="H76" s="2" t="n"/>
      <c r="I76" s="2" t="n"/>
      <c r="J76" s="2" t="n"/>
      <c r="K76" s="2" t="n"/>
      <c r="L76" s="2" t="inlineStr">
        <is>
          <t>Artigo 135.º-A (Suspensão do aumento das taxas de requerimentos de autorização de residência e vistos de trabalho)</t>
        </is>
      </c>
      <c r="M76" s="4" t="n"/>
      <c r="N76" s="4" t="n"/>
      <c r="O76" s="2" t="n"/>
      <c r="P76" s="2" t="n"/>
      <c r="Q76" s="2" t="n"/>
      <c r="R76" s="2" t="n"/>
      <c r="S76" s="2" t="inlineStr">
        <is>
          <t>Rejeitado(a) em Comissão</t>
        </is>
      </c>
      <c r="T76" s="2" t="inlineStr">
        <is>
          <t>Rejeitada</t>
        </is>
      </c>
      <c r="U76" s="2" t="inlineStr">
        <is>
          <t>Favor: L, PCP, BE, PAN; Contra: PSD, CH, IL, CDS-PP; Abstenção: PS</t>
        </is>
      </c>
      <c r="V76" s="3" t="n">
        <v>45987</v>
      </c>
      <c r="W76" s="2" t="inlineStr">
        <is>
          <t>AR: https://www.parlamento.pt/OrcamentoEstado/Paginas/DetalhePropostaAlteracao.aspx?BID=23259 PDF: https://app.parlamento.pt/webutils/docs/doc.pdf?path=6148523063484d364c793942556b356c6443397a6158526c63793959566b6c4a544556484c3039464c7a49774d6a59794d4449314d5441774f533951515338304d546c685a6a4d345a4330325a5745774c54517a4f5751744f47557a4e5330324e6a49355a546b794e5751354e4459756347526d&amp;Fich=419af38d-6ea0-439d-8e35-6629e925d946.pdf&amp;Inline=true</t>
        </is>
      </c>
      <c r="X76" s="2" t="inlineStr">
        <is>
          <t>Assuntos Constitucionais, Direitos, Liberdades e Garantias</t>
        </is>
      </c>
      <c r="Y76" s="2" t="inlineStr">
        <is>
          <t>Articulado</t>
        </is>
      </c>
      <c r="Z76" s="2" t="inlineStr">
        <is>
          <t>Aditamento (Artigo PPL)</t>
        </is>
      </c>
      <c r="AA76" s="2" t="inlineStr">
        <is>
          <t>Rejeitado(a) em Comissão</t>
        </is>
      </c>
      <c r="AB76" s="2" t="inlineStr"/>
      <c r="AC76" s="2" t="inlineStr"/>
      <c r="AD76" s="2" t="inlineStr">
        <is>
          <t>1</t>
        </is>
      </c>
      <c r="AE76" s="2" t="inlineStr">
        <is>
          <t>23259</t>
        </is>
      </c>
      <c r="AF76" s="2" t="inlineStr">
        <is>
          <t>https://www.parlamento.pt/OrcamentoEstado/Paginas/DetalhePropostaAlteracao.aspx?BID=23259</t>
        </is>
      </c>
      <c r="AG76" s="2" t="inlineStr">
        <is>
          <t>https://app.parlamento.pt/webutils/docs/doc.pdf?path=6148523063484d364c793942556b356c6443397a6158526c63793959566b6c4a544556484c3039464c7a49774d6a59794d4449314d5441774f533951515338304d546c685a6a4d345a4330325a5745774c54517a4f5751744f47557a4e5330324e6a49355a546b794e5751354e4459756347526d&amp;Fich=419af38d-6ea0-439d-8e35-6629e925d946.pdf&amp;Inline=true</t>
        </is>
      </c>
      <c r="AH76" s="3" t="n">
        <v>46321.77847222222</v>
      </c>
      <c r="AI76" s="3" t="n">
        <v>46321.78055555555</v>
      </c>
      <c r="AJ76" s="2" t="inlineStr"/>
    </row>
    <row r="77">
      <c r="A77" s="2" t="n">
        <v>76</v>
      </c>
      <c r="B77" s="2" t="inlineStr">
        <is>
          <t>67C</t>
        </is>
      </c>
      <c r="C77" s="3" t="n">
        <v>45960.50833333333</v>
      </c>
      <c r="D77" s="2" t="inlineStr">
        <is>
          <t>Original</t>
        </is>
      </c>
      <c r="E77" s="2" t="inlineStr">
        <is>
          <t>PCP</t>
        </is>
      </c>
      <c r="F77" s="2" t="inlineStr">
        <is>
          <t>Alfredo Maia; Paula Santos; Paulo Raimundo</t>
        </is>
      </c>
      <c r="G77" s="2" t="inlineStr">
        <is>
          <t>Art. 7.º (aditamento)</t>
        </is>
      </c>
      <c r="H77" s="2" t="n"/>
      <c r="I77" s="2" t="n"/>
      <c r="J77" s="2" t="n"/>
      <c r="K77" s="2" t="n"/>
      <c r="L77" s="2" t="inlineStr">
        <is>
          <t>Nova Verba 81, Mapa de alterações e transferências orçamentais, Artigo 7.º</t>
        </is>
      </c>
      <c r="M77" s="4" t="n"/>
      <c r="N77" s="4" t="n"/>
      <c r="O77" s="2" t="n"/>
      <c r="P77" s="2" t="n"/>
      <c r="Q77" s="2" t="n"/>
      <c r="R77" s="2" t="n"/>
      <c r="S77" s="2" t="inlineStr">
        <is>
          <t>Rejeitado(a) em Comissão</t>
        </is>
      </c>
      <c r="T77" s="2" t="inlineStr">
        <is>
          <t>Rejeitada</t>
        </is>
      </c>
      <c r="U77" s="2" t="inlineStr">
        <is>
          <t>Favor: L, PCP, BE, PAN; Contra: PSD, CH, IL, CDS-PP; Abstenção: PS</t>
        </is>
      </c>
      <c r="V77" s="3" t="n">
        <v>45987</v>
      </c>
      <c r="W77" s="2" t="inlineStr">
        <is>
          <t>AR: https://www.parlamento.pt/OrcamentoEstado/Paginas/DetalhePropostaAlteracao.aspx?BID=23260 PDF: https://app.parlamento.pt/webutils/docs/doc.pdf?path=6148523063484d364c793942556b356c6443397a6158526c63793959566b6c4a544556484c3039464c7a49774d6a59794d4449314d5441774f5339515153396c4d4745344d3245774d79316d4d4463304c5451345a6d55744f4463794e6930334d324e685a6a5a6b4d7a526a5a5441756347526d&amp;Fich=e0a83a03-f074-48fe-8726-73caf6d34ce0.pdf&amp;Inline=true</t>
        </is>
      </c>
      <c r="X77" s="2" t="inlineStr">
        <is>
          <t>Assuntos Constitucionais, Direitos, Liberdades e Garantias</t>
        </is>
      </c>
      <c r="Y77" s="2" t="inlineStr">
        <is>
          <t>Articulado</t>
        </is>
      </c>
      <c r="Z77" s="2" t="inlineStr">
        <is>
          <t>Aditamento (Números e Alíneas)</t>
        </is>
      </c>
      <c r="AA77" s="2" t="inlineStr">
        <is>
          <t>Rejeitado(a) em Comissão</t>
        </is>
      </c>
      <c r="AB77" s="2" t="inlineStr"/>
      <c r="AC77" s="2" t="inlineStr"/>
      <c r="AD77" s="2" t="inlineStr">
        <is>
          <t>1</t>
        </is>
      </c>
      <c r="AE77" s="2" t="inlineStr">
        <is>
          <t>23260</t>
        </is>
      </c>
      <c r="AF77" s="2" t="inlineStr">
        <is>
          <t>https://www.parlamento.pt/OrcamentoEstado/Paginas/DetalhePropostaAlteracao.aspx?BID=23260</t>
        </is>
      </c>
      <c r="AG77" s="2" t="inlineStr">
        <is>
          <t>https://app.parlamento.pt/webutils/docs/doc.pdf?path=6148523063484d364c793942556b356c6443397a6158526c63793959566b6c4a544556484c3039464c7a49774d6a59794d4449314d5441774f5339515153396c4d4745344d3245774d79316d4d4463304c5451345a6d55744f4463794e6930334d324e685a6a5a6b4d7a526a5a5441756347526d&amp;Fich=e0a83a03-f074-48fe-8726-73caf6d34ce0.pdf&amp;Inline=true</t>
        </is>
      </c>
      <c r="AH77" s="3" t="n">
        <v>46321.77847222222</v>
      </c>
      <c r="AI77" s="3" t="n">
        <v>46321.78055555555</v>
      </c>
      <c r="AJ77" s="2" t="inlineStr"/>
    </row>
    <row r="78">
      <c r="A78" s="2" t="n">
        <v>77</v>
      </c>
      <c r="B78" s="2" t="inlineStr">
        <is>
          <t>68C</t>
        </is>
      </c>
      <c r="C78" s="3" t="n">
        <v>45960.51111111111</v>
      </c>
      <c r="D78" s="2" t="inlineStr">
        <is>
          <t>Original</t>
        </is>
      </c>
      <c r="E78" s="2" t="inlineStr">
        <is>
          <t>PCP</t>
        </is>
      </c>
      <c r="F78" s="2" t="inlineStr">
        <is>
          <t>Alfredo Maia; Paula Santos; Paulo Raimundo</t>
        </is>
      </c>
      <c r="G78" s="2" t="inlineStr">
        <is>
          <t>Art. 7.º (aditamento)</t>
        </is>
      </c>
      <c r="H78" s="2" t="n"/>
      <c r="I78" s="2" t="n"/>
      <c r="J78" s="2" t="n"/>
      <c r="K78" s="2" t="n"/>
      <c r="L78" s="2" t="inlineStr">
        <is>
          <t>Nova Verba 104, Mapa de alterações e transferências orçamentais, Artigo 7.º</t>
        </is>
      </c>
      <c r="M78" s="4" t="n"/>
      <c r="N78" s="4" t="n"/>
      <c r="O78" s="2" t="n"/>
      <c r="P78" s="2" t="n"/>
      <c r="Q78" s="2" t="n"/>
      <c r="R78" s="2" t="n"/>
      <c r="S78" s="2" t="inlineStr">
        <is>
          <t>Rejeitado(a) em Comissão</t>
        </is>
      </c>
      <c r="T78" s="2" t="inlineStr">
        <is>
          <t>Rejeitada</t>
        </is>
      </c>
      <c r="U78" s="2" t="inlineStr">
        <is>
          <t>Favor: L, PCP, BE, PAN; Contra: PSD, CH, CDS-PP; Abstenção: PS, IL</t>
        </is>
      </c>
      <c r="V78" s="3" t="n">
        <v>45987</v>
      </c>
      <c r="W78" s="2" t="inlineStr">
        <is>
          <t>AR: https://www.parlamento.pt/OrcamentoEstado/Paginas/DetalhePropostaAlteracao.aspx?BID=23261 PDF: https://app.parlamento.pt/webutils/docs/doc.pdf?path=6148523063484d364c793942556b356c6443397a6158526c63793959566b6c4a544556484c3039464c7a49774d6a59794d4449314d5441774f5339515153396c4e7a4d345a47566a4d43316b4d5468684c54526c597a49744f54426d4d43316d5a5463775a6a6c684e544d344e444d756347526d&amp;Fich=e738dec0-d18a-4ec2-90f0-fe70f9a53843.pdf&amp;Inline=true</t>
        </is>
      </c>
      <c r="X78" s="2" t="inlineStr">
        <is>
          <t>Assuntos Constitucionais, Direitos, Liberdades e Garantias</t>
        </is>
      </c>
      <c r="Y78" s="2" t="inlineStr">
        <is>
          <t>Articulado</t>
        </is>
      </c>
      <c r="Z78" s="2" t="inlineStr">
        <is>
          <t>Aditamento (Números e Alíneas)</t>
        </is>
      </c>
      <c r="AA78" s="2" t="inlineStr">
        <is>
          <t>Rejeitado(a) em Comissão</t>
        </is>
      </c>
      <c r="AB78" s="2" t="inlineStr"/>
      <c r="AC78" s="2" t="inlineStr"/>
      <c r="AD78" s="2" t="inlineStr">
        <is>
          <t>1</t>
        </is>
      </c>
      <c r="AE78" s="2" t="inlineStr">
        <is>
          <t>23261</t>
        </is>
      </c>
      <c r="AF78" s="2" t="inlineStr">
        <is>
          <t>https://www.parlamento.pt/OrcamentoEstado/Paginas/DetalhePropostaAlteracao.aspx?BID=23261</t>
        </is>
      </c>
      <c r="AG78" s="2" t="inlineStr">
        <is>
          <t>https://app.parlamento.pt/webutils/docs/doc.pdf?path=6148523063484d364c793942556b356c6443397a6158526c63793959566b6c4a544556484c3039464c7a49774d6a59794d4449314d5441774f5339515153396c4e7a4d345a47566a4d43316b4d5468684c54526c597a49744f54426d4d43316d5a5463775a6a6c684e544d344e444d756347526d&amp;Fich=e738dec0-d18a-4ec2-90f0-fe70f9a53843.pdf&amp;Inline=true</t>
        </is>
      </c>
      <c r="AH78" s="3" t="n">
        <v>46321.77847222222</v>
      </c>
      <c r="AI78" s="3" t="n">
        <v>46321.78055555555</v>
      </c>
      <c r="AJ78" s="2" t="inlineStr"/>
    </row>
    <row r="79">
      <c r="A79" s="2" t="n">
        <v>78</v>
      </c>
      <c r="B79" s="2" t="inlineStr">
        <is>
          <t>69C</t>
        </is>
      </c>
      <c r="C79" s="3" t="n">
        <v>45960.5125</v>
      </c>
      <c r="D79" s="2" t="inlineStr">
        <is>
          <t>Original</t>
        </is>
      </c>
      <c r="E79" s="2" t="inlineStr">
        <is>
          <t>PCP</t>
        </is>
      </c>
      <c r="F79" s="2" t="inlineStr">
        <is>
          <t>Alfredo Maia; Paula Santos; Paulo Raimundo</t>
        </is>
      </c>
      <c r="G79" s="2" t="inlineStr">
        <is>
          <t>Art. 7.º (aditamento)</t>
        </is>
      </c>
      <c r="H79" s="2" t="n"/>
      <c r="I79" s="2" t="n"/>
      <c r="J79" s="2" t="n"/>
      <c r="K79" s="2" t="n"/>
      <c r="L79" s="2" t="inlineStr">
        <is>
          <t>Nova Verba 81, Mapa de alterações e transferências orçamentais, Artigo 7.º</t>
        </is>
      </c>
      <c r="M79" s="4" t="n"/>
      <c r="N79" s="4" t="n"/>
      <c r="O79" s="2" t="n"/>
      <c r="P79" s="2" t="n"/>
      <c r="Q79" s="2" t="n"/>
      <c r="R79" s="2" t="n"/>
      <c r="S79" s="2" t="inlineStr">
        <is>
          <t>Rejeitado(a) em Comissão</t>
        </is>
      </c>
      <c r="T79" s="2" t="inlineStr">
        <is>
          <t>Rejeitada</t>
        </is>
      </c>
      <c r="U79" s="2" t="inlineStr">
        <is>
          <t>Favor: L, PCP, BE, PAN; Contra: PSD, CDS-PP; Abstenção: CH, PS, IL</t>
        </is>
      </c>
      <c r="V79" s="3" t="n">
        <v>45987</v>
      </c>
      <c r="W79" s="2" t="inlineStr">
        <is>
          <t>AR: https://www.parlamento.pt/OrcamentoEstado/Paginas/DetalhePropostaAlteracao.aspx?BID=23262 PDF: https://app.parlamento.pt/webutils/docs/doc.pdf?path=6148523063484d364c793942556b356c6443397a6158526c63793959566b6c4a544556484c3039464c7a49774d6a59794d4449314d5441774f533951515338774d5751315a44457a4d4330354d4449344c5451334d544d744f5441304d533031597a5978596d466b5a6a41354e6a63756347526d&amp;Fich=01d5d130-9028-4713-9041-5c61badf0967.pdf&amp;Inline=true</t>
        </is>
      </c>
      <c r="X79" s="2" t="inlineStr">
        <is>
          <t>Assuntos Constitucionais, Direitos, Liberdades e Garantias</t>
        </is>
      </c>
      <c r="Y79" s="2" t="inlineStr">
        <is>
          <t>Articulado</t>
        </is>
      </c>
      <c r="Z79" s="2" t="inlineStr">
        <is>
          <t>Aditamento (Números e Alíneas)</t>
        </is>
      </c>
      <c r="AA79" s="2" t="inlineStr">
        <is>
          <t>Rejeitado(a) em Comissão</t>
        </is>
      </c>
      <c r="AB79" s="2" t="inlineStr"/>
      <c r="AC79" s="2" t="inlineStr"/>
      <c r="AD79" s="2" t="inlineStr">
        <is>
          <t>1</t>
        </is>
      </c>
      <c r="AE79" s="2" t="inlineStr">
        <is>
          <t>23262</t>
        </is>
      </c>
      <c r="AF79" s="2" t="inlineStr">
        <is>
          <t>https://www.parlamento.pt/OrcamentoEstado/Paginas/DetalhePropostaAlteracao.aspx?BID=23262</t>
        </is>
      </c>
      <c r="AG79" s="2" t="inlineStr">
        <is>
          <t>https://app.parlamento.pt/webutils/docs/doc.pdf?path=6148523063484d364c793942556b356c6443397a6158526c63793959566b6c4a544556484c3039464c7a49774d6a59794d4449314d5441774f533951515338774d5751315a44457a4d4330354d4449344c5451334d544d744f5441304d533031597a5978596d466b5a6a41354e6a63756347526d&amp;Fich=01d5d130-9028-4713-9041-5c61badf0967.pdf&amp;Inline=true</t>
        </is>
      </c>
      <c r="AH79" s="3" t="n">
        <v>46321.77847222222</v>
      </c>
      <c r="AI79" s="3" t="n">
        <v>46321.78055555555</v>
      </c>
      <c r="AJ79" s="2" t="inlineStr"/>
    </row>
    <row r="80">
      <c r="A80" s="2" t="n">
        <v>79</v>
      </c>
      <c r="B80" s="2" t="inlineStr">
        <is>
          <t>70C</t>
        </is>
      </c>
      <c r="C80" s="3" t="n">
        <v>45960.51458333333</v>
      </c>
      <c r="D80" s="2" t="inlineStr">
        <is>
          <t>Original</t>
        </is>
      </c>
      <c r="E80" s="2" t="inlineStr">
        <is>
          <t>PCP</t>
        </is>
      </c>
      <c r="F80" s="2" t="inlineStr">
        <is>
          <t>Alfredo Maia; Paula Santos; Paulo Raimundo</t>
        </is>
      </c>
      <c r="G80" s="2" t="inlineStr">
        <is>
          <t>Art. 131.º (aditamento)</t>
        </is>
      </c>
      <c r="H80" s="2" t="n"/>
      <c r="I80" s="2" t="n"/>
      <c r="J80" s="2" t="n"/>
      <c r="K80" s="2" t="n"/>
      <c r="L80" s="2" t="inlineStr">
        <is>
          <t>Novo N.º 4, Artigo 131.º</t>
        </is>
      </c>
      <c r="M80" s="4" t="n"/>
      <c r="N80" s="4" t="n"/>
      <c r="O80" s="2" t="n"/>
      <c r="P80" s="2" t="n"/>
      <c r="Q80" s="2" t="n"/>
      <c r="R80" s="2" t="n"/>
      <c r="S80" s="2" t="inlineStr">
        <is>
          <t>Rejeitado(a) em Comissão</t>
        </is>
      </c>
      <c r="T80" s="2" t="inlineStr">
        <is>
          <t>Rejeitada</t>
        </is>
      </c>
      <c r="U80" s="2" t="inlineStr">
        <is>
          <t>Favor: IL, L, PCP, BE, PAN; Contra: PSD, CH, CDS-PP; Abstenção: PS</t>
        </is>
      </c>
      <c r="V80" s="3" t="n">
        <v>45985</v>
      </c>
      <c r="W80" s="2" t="inlineStr">
        <is>
          <t>AR: https://www.parlamento.pt/OrcamentoEstado/Paginas/DetalhePropostaAlteracao.aspx?BID=23263 PDF: https://app.parlamento.pt/webutils/docs/doc.pdf?path=6148523063484d364c793942556b356c6443397a6158526c63793959566b6c4a544556484c3039464c7a49774d6a59794d4449314d5441774f533951515338334e7a4a6b5a5751305a693079596d55314c5451314d7a557459546b314e4331695a5459775954426b597a466b4d7a55756347526d&amp;Fich=772ded4f-2be5-4535-a954-be60a0dc1d35.pdf&amp;Inline=true</t>
        </is>
      </c>
      <c r="X80" s="2" t="inlineStr">
        <is>
          <t>Assuntos Constitucionais, Direitos, Liberdades e Garantias</t>
        </is>
      </c>
      <c r="Y80" s="2" t="inlineStr">
        <is>
          <t>Articulado</t>
        </is>
      </c>
      <c r="Z80" s="2" t="inlineStr">
        <is>
          <t>Aditamento (Números e Alíneas)</t>
        </is>
      </c>
      <c r="AA80" s="2" t="inlineStr">
        <is>
          <t>Rejeitado(a) em Comissão</t>
        </is>
      </c>
      <c r="AB80" s="2" t="inlineStr"/>
      <c r="AC80" s="2" t="inlineStr"/>
      <c r="AD80" s="2" t="inlineStr">
        <is>
          <t>1</t>
        </is>
      </c>
      <c r="AE80" s="2" t="inlineStr">
        <is>
          <t>23263</t>
        </is>
      </c>
      <c r="AF80" s="2" t="inlineStr">
        <is>
          <t>https://www.parlamento.pt/OrcamentoEstado/Paginas/DetalhePropostaAlteracao.aspx?BID=23263</t>
        </is>
      </c>
      <c r="AG80" s="2" t="inlineStr">
        <is>
          <t>https://app.parlamento.pt/webutils/docs/doc.pdf?path=6148523063484d364c793942556b356c6443397a6158526c63793959566b6c4a544556484c3039464c7a49774d6a59794d4449314d5441774f533951515338334e7a4a6b5a5751305a693079596d55314c5451314d7a557459546b314e4331695a5459775954426b597a466b4d7a55756347526d&amp;Fich=772ded4f-2be5-4535-a954-be60a0dc1d35.pdf&amp;Inline=true</t>
        </is>
      </c>
      <c r="AH80" s="3" t="n">
        <v>46321.77847222222</v>
      </c>
      <c r="AI80" s="3" t="n">
        <v>46321.78055555555</v>
      </c>
      <c r="AJ80" s="2" t="inlineStr"/>
    </row>
    <row r="81">
      <c r="A81" s="2" t="n">
        <v>80</v>
      </c>
      <c r="B81" s="2" t="inlineStr">
        <is>
          <t>71C</t>
        </is>
      </c>
      <c r="C81" s="3" t="n">
        <v>45960.51458333333</v>
      </c>
      <c r="D81" s="2" t="inlineStr">
        <is>
          <t>Original</t>
        </is>
      </c>
      <c r="E81" s="2" t="inlineStr">
        <is>
          <t>L</t>
        </is>
      </c>
      <c r="F81" s="2" t="inlineStr">
        <is>
          <t>Filipa Pinto; Isabel Mendes Lopes; Jorge Pinto; Patrícia Gonçalves; Paulo Muacho; Rui Tavares</t>
        </is>
      </c>
      <c r="G81" s="2" t="inlineStr">
        <is>
          <t>Art. 63.º-A (aditamento)</t>
        </is>
      </c>
      <c r="H81" s="2" t="n"/>
      <c r="I81" s="2" t="n"/>
      <c r="J81" s="2" t="n"/>
      <c r="K81" s="2" t="n"/>
      <c r="L81" s="2" t="inlineStr">
        <is>
          <t>Artigo 63.º-A (Alteração ao Código do Imposto sobre o Valor Acrescentado)</t>
        </is>
      </c>
      <c r="M81" s="4" t="n"/>
      <c r="N81" s="4" t="n"/>
      <c r="O81" s="2" t="n"/>
      <c r="P81" s="2" t="n"/>
      <c r="Q81" s="2" t="n"/>
      <c r="R81" s="2" t="n"/>
      <c r="S81" s="2" t="inlineStr">
        <is>
          <t>Rejeitado(a) em Comissão</t>
        </is>
      </c>
      <c r="T81" s="2" t="inlineStr">
        <is>
          <t>Rejeitada</t>
        </is>
      </c>
      <c r="U81" s="2" t="inlineStr">
        <is>
          <t>Favor: CH, IL, L, BE, PAN; Contra: PSD, CDS-PP; Abstenção: PS, PCP</t>
        </is>
      </c>
      <c r="V81" s="3" t="n">
        <v>45982</v>
      </c>
      <c r="W81" s="2" t="inlineStr">
        <is>
          <t>AR: https://www.parlamento.pt/OrcamentoEstado/Paginas/DetalhePropostaAlteracao.aspx?BID=23264 PDF: https://app.parlamento.pt/webutils/docs/doc.pdf?path=6148523063484d364c793942556b356c6443397a6158526c63793959566b6c4a544556484c3039464c7a49774d6a59794d4449314d5441774f5339515153396c4e575a6b4d4756684d7930304f544d7a4c5451784d6a4d744f5455335a6930314f4459305a544a6b5a6d51334e4759756347526d&amp;Fich=e5fd0ea3-4933-4123-957f-5864e2dfd74f.pdf&amp;Inline=true</t>
        </is>
      </c>
      <c r="X81" s="2" t="inlineStr">
        <is>
          <t>Ambiente e Energia; Orçamento, Finanças e Administração Pública</t>
        </is>
      </c>
      <c r="Y81" s="2" t="inlineStr">
        <is>
          <t>Articulado</t>
        </is>
      </c>
      <c r="Z81" s="2" t="inlineStr">
        <is>
          <t>Aditamento (Artigo PPL)</t>
        </is>
      </c>
      <c r="AA81" s="2" t="inlineStr">
        <is>
          <t>Rejeitado(a) em Comissão</t>
        </is>
      </c>
      <c r="AB81" s="2" t="inlineStr"/>
      <c r="AC81" s="2" t="inlineStr"/>
      <c r="AD81" s="2" t="inlineStr">
        <is>
          <t>1</t>
        </is>
      </c>
      <c r="AE81" s="2" t="inlineStr">
        <is>
          <t>23264</t>
        </is>
      </c>
      <c r="AF81" s="2" t="inlineStr">
        <is>
          <t>https://www.parlamento.pt/OrcamentoEstado/Paginas/DetalhePropostaAlteracao.aspx?BID=23264</t>
        </is>
      </c>
      <c r="AG81" s="2" t="inlineStr">
        <is>
          <t>https://app.parlamento.pt/webutils/docs/doc.pdf?path=6148523063484d364c793942556b356c6443397a6158526c63793959566b6c4a544556484c3039464c7a49774d6a59794d4449314d5441774f5339515153396c4e575a6b4d4756684d7930304f544d7a4c5451784d6a4d744f5455335a6930314f4459305a544a6b5a6d51334e4759756347526d&amp;Fich=e5fd0ea3-4933-4123-957f-5864e2dfd74f.pdf&amp;Inline=true</t>
        </is>
      </c>
      <c r="AH81" s="3" t="n">
        <v>46321.77847222222</v>
      </c>
      <c r="AI81" s="3" t="n">
        <v>46321.78055555555</v>
      </c>
      <c r="AJ81" s="2" t="inlineStr"/>
    </row>
    <row r="82">
      <c r="A82" s="2" t="n">
        <v>81</v>
      </c>
      <c r="B82" s="2" t="inlineStr">
        <is>
          <t>72C</t>
        </is>
      </c>
      <c r="C82" s="3" t="n">
        <v>45960.72638888889</v>
      </c>
      <c r="D82" s="2" t="inlineStr">
        <is>
          <t>Original</t>
        </is>
      </c>
      <c r="E82" s="2" t="inlineStr">
        <is>
          <t>L</t>
        </is>
      </c>
      <c r="F82" s="2" t="inlineStr">
        <is>
          <t>Filipa Pinto; Isabel Mendes Lopes; Jorge Pinto; Patrícia Gonçalves; Paulo Muacho; Rui Tavares</t>
        </is>
      </c>
      <c r="G82" s="2" t="inlineStr">
        <is>
          <t>Art. 119.º-A (aditamento)</t>
        </is>
      </c>
      <c r="H82" s="2" t="n"/>
      <c r="I82" s="2" t="n"/>
      <c r="J82" s="2" t="n"/>
      <c r="K82" s="2" t="n"/>
      <c r="L82" s="2" t="inlineStr">
        <is>
          <t>Artigo 119.º-A (Campanha de sensibilização sobre os riscos de adição ao jogo)</t>
        </is>
      </c>
      <c r="M82" s="4" t="n"/>
      <c r="N82" s="4" t="n"/>
      <c r="O82" s="2" t="n"/>
      <c r="P82" s="2" t="n"/>
      <c r="Q82" s="2" t="n"/>
      <c r="R82" s="2" t="n"/>
      <c r="S82" s="2" t="inlineStr">
        <is>
          <t>Rejeitado(a) em Comissão</t>
        </is>
      </c>
      <c r="T82" s="2" t="inlineStr">
        <is>
          <t>Rejeitada</t>
        </is>
      </c>
      <c r="U82" s="2" t="inlineStr">
        <is>
          <t>Favor: PS, L, PCP, BE, PAN; Contra: PSD, CDS-PP; Abstenção: CH, IL</t>
        </is>
      </c>
      <c r="V82" s="3" t="n">
        <v>45985</v>
      </c>
      <c r="W82" s="2" t="inlineStr">
        <is>
          <t>AR: https://www.parlamento.pt/OrcamentoEstado/Paginas/DetalhePropostaAlteracao.aspx?BID=23265 PDF: https://app.parlamento.pt/webutils/docs/doc.pdf?path=6148523063484d364c793942556b356c6443397a6158526c63793959566b6c4a544556484c3039464c7a49774d6a59794d4449314d5441774f533951515338774e6a4d795a4749314e53316c5a444e6a4c54526c4e6d4d744f54426c4f53316d4d6a63314f4455304e5751334e7a63756347526d&amp;Fich=0632db55-ed3c-4e6c-90e9-f2758545d777.pdf&amp;Inline=true</t>
        </is>
      </c>
      <c r="X82" s="2" t="inlineStr">
        <is>
          <t>Saúde</t>
        </is>
      </c>
      <c r="Y82" s="2" t="inlineStr">
        <is>
          <t>Articulado</t>
        </is>
      </c>
      <c r="Z82" s="2" t="inlineStr">
        <is>
          <t>Aditamento (Artigo PPL)</t>
        </is>
      </c>
      <c r="AA82" s="2" t="inlineStr">
        <is>
          <t>Rejeitado(a) em Comissão</t>
        </is>
      </c>
      <c r="AB82" s="2" t="inlineStr"/>
      <c r="AC82" s="2" t="inlineStr"/>
      <c r="AD82" s="2" t="inlineStr">
        <is>
          <t>1</t>
        </is>
      </c>
      <c r="AE82" s="2" t="inlineStr">
        <is>
          <t>23265</t>
        </is>
      </c>
      <c r="AF82" s="2" t="inlineStr">
        <is>
          <t>https://www.parlamento.pt/OrcamentoEstado/Paginas/DetalhePropostaAlteracao.aspx?BID=23265</t>
        </is>
      </c>
      <c r="AG82" s="2" t="inlineStr">
        <is>
          <t>https://app.parlamento.pt/webutils/docs/doc.pdf?path=6148523063484d364c793942556b356c6443397a6158526c63793959566b6c4a544556484c3039464c7a49774d6a59794d4449314d5441774f533951515338774e6a4d795a4749314e53316c5a444e6a4c54526c4e6d4d744f54426c4f53316d4d6a63314f4455304e5751334e7a63756347526d&amp;Fich=0632db55-ed3c-4e6c-90e9-f2758545d777.pdf&amp;Inline=true</t>
        </is>
      </c>
      <c r="AH82" s="3" t="n">
        <v>46321.77847222222</v>
      </c>
      <c r="AI82" s="3" t="n">
        <v>46321.78055555555</v>
      </c>
      <c r="AJ82" s="2" t="inlineStr"/>
    </row>
    <row r="83">
      <c r="A83" s="2" t="n">
        <v>82</v>
      </c>
      <c r="B83" s="2" t="inlineStr">
        <is>
          <t>73C</t>
        </is>
      </c>
      <c r="C83" s="3" t="n">
        <v>45960.72916666666</v>
      </c>
      <c r="D83" s="2" t="inlineStr">
        <is>
          <t>Original</t>
        </is>
      </c>
      <c r="E83" s="2" t="inlineStr">
        <is>
          <t>L</t>
        </is>
      </c>
      <c r="F83" s="2" t="inlineStr">
        <is>
          <t>Filipa Pinto; Isabel Mendes Lopes; Jorge Pinto; Patrícia Gonçalves; Paulo Muacho; Rui Tavares</t>
        </is>
      </c>
      <c r="G83" s="2" t="inlineStr">
        <is>
          <t>Art. 22.º-A (aditamento)</t>
        </is>
      </c>
      <c r="H83" s="2" t="n"/>
      <c r="I83" s="2" t="n"/>
      <c r="J83" s="2" t="n"/>
      <c r="K83" s="2" t="n"/>
      <c r="L83" s="2" t="inlineStr">
        <is>
          <t>Artigo 22.º-A (Contratação de coordenadores clínicos para todas as linhas telefónicas e especialidades do SNS 24)</t>
        </is>
      </c>
      <c r="M83" s="4" t="n"/>
      <c r="N83" s="4" t="n"/>
      <c r="O83" s="2" t="n"/>
      <c r="P83" s="2" t="n"/>
      <c r="Q83" s="2" t="n"/>
      <c r="R83" s="2" t="n"/>
      <c r="S83" s="2" t="inlineStr">
        <is>
          <t>Rejeitado(a) em Comissão</t>
        </is>
      </c>
      <c r="T83" s="2" t="inlineStr">
        <is>
          <t>Rejeitada</t>
        </is>
      </c>
      <c r="U83" s="2" t="inlineStr">
        <is>
          <t>Favor: L, BE, PAN; Contra: PSD, CH, IL, CDS-PP; Abstenção: PS, PCP</t>
        </is>
      </c>
      <c r="V83" s="3" t="n">
        <v>45981</v>
      </c>
      <c r="W83" s="2" t="inlineStr">
        <is>
          <t>AR: https://www.parlamento.pt/OrcamentoEstado/Paginas/DetalhePropostaAlteracao.aspx?BID=23266 PDF: https://app.parlamento.pt/webutils/docs/doc.pdf?path=6148523063484d364c793942556b356c6443397a6158526c63793959566b6c4a544556484c3039464c7a49774d6a59794d4449314d5441774f533951515338794e6a497a4f5751304d79307759546c6a4c5451324d6a51744f5752684e7930334e446b785a5455784f575a6d5a6d45756347526d&amp;Fich=26239d43-0a9c-4624-9da7-7491e519fffa.pdf&amp;Inline=true</t>
        </is>
      </c>
      <c r="X83" s="2" t="inlineStr">
        <is>
          <t>Saúde</t>
        </is>
      </c>
      <c r="Y83" s="2" t="inlineStr">
        <is>
          <t>Articulado</t>
        </is>
      </c>
      <c r="Z83" s="2" t="inlineStr">
        <is>
          <t>Aditamento (Artigo PPL)</t>
        </is>
      </c>
      <c r="AA83" s="2" t="inlineStr">
        <is>
          <t>Rejeitado(a) em Comissão</t>
        </is>
      </c>
      <c r="AB83" s="2" t="inlineStr"/>
      <c r="AC83" s="2" t="inlineStr"/>
      <c r="AD83" s="2" t="inlineStr">
        <is>
          <t>1</t>
        </is>
      </c>
      <c r="AE83" s="2" t="inlineStr">
        <is>
          <t>23266</t>
        </is>
      </c>
      <c r="AF83" s="2" t="inlineStr">
        <is>
          <t>https://www.parlamento.pt/OrcamentoEstado/Paginas/DetalhePropostaAlteracao.aspx?BID=23266</t>
        </is>
      </c>
      <c r="AG83" s="2" t="inlineStr">
        <is>
          <t>https://app.parlamento.pt/webutils/docs/doc.pdf?path=6148523063484d364c793942556b356c6443397a6158526c63793959566b6c4a544556484c3039464c7a49774d6a59794d4449314d5441774f533951515338794e6a497a4f5751304d79307759546c6a4c5451324d6a51744f5752684e7930334e446b785a5455784f575a6d5a6d45756347526d&amp;Fich=26239d43-0a9c-4624-9da7-7491e519fffa.pdf&amp;Inline=true</t>
        </is>
      </c>
      <c r="AH83" s="3" t="n">
        <v>46321.77847222222</v>
      </c>
      <c r="AI83" s="3" t="n">
        <v>46321.78055555555</v>
      </c>
      <c r="AJ83" s="2" t="inlineStr"/>
    </row>
    <row r="84">
      <c r="A84" s="2" t="n">
        <v>83</v>
      </c>
      <c r="B84" s="2" t="inlineStr">
        <is>
          <t>74C</t>
        </is>
      </c>
      <c r="C84" s="3" t="n">
        <v>45960.73402777778</v>
      </c>
      <c r="D84" s="2" t="inlineStr">
        <is>
          <t>Original</t>
        </is>
      </c>
      <c r="E84" s="2" t="inlineStr">
        <is>
          <t>L</t>
        </is>
      </c>
      <c r="F84" s="2" t="inlineStr">
        <is>
          <t>Filipa Pinto; Isabel Mendes Lopes; Jorge Pinto; Patrícia Gonçalves; Paulo Muacho; Rui Tavares</t>
        </is>
      </c>
      <c r="G84" s="2" t="inlineStr">
        <is>
          <t>Art. 22.º-A (aditamento)</t>
        </is>
      </c>
      <c r="H84" s="2" t="n"/>
      <c r="I84" s="2" t="n"/>
      <c r="J84" s="2" t="n"/>
      <c r="K84" s="2" t="n"/>
      <c r="L84" s="2" t="inlineStr">
        <is>
          <t>Artigo 22.º-A (Contabilização do exercício de funções no ingresso nas carreiras especiais do Serviço Nacional de Saúde)</t>
        </is>
      </c>
      <c r="M84" s="4" t="n"/>
      <c r="N84" s="4" t="n"/>
      <c r="O84" s="2" t="n"/>
      <c r="P84" s="2" t="n"/>
      <c r="Q84" s="2" t="n"/>
      <c r="R84" s="2" t="n"/>
      <c r="S84" s="2" t="inlineStr">
        <is>
          <t>Rejeitado(a) em Comissão</t>
        </is>
      </c>
      <c r="T84" s="2" t="inlineStr">
        <is>
          <t>Rejeitada</t>
        </is>
      </c>
      <c r="U84" s="2" t="inlineStr">
        <is>
          <t>Favor: L, BE, PAN; Contra: PSD, IL, CDS-PP; Abstenção: CH, PS, PCP</t>
        </is>
      </c>
      <c r="V84" s="3" t="n">
        <v>45981</v>
      </c>
      <c r="W84" s="2" t="inlineStr">
        <is>
          <t>AR: https://www.parlamento.pt/OrcamentoEstado/Paginas/DetalhePropostaAlteracao.aspx?BID=23267 PDF: https://app.parlamento.pt/webutils/docs/doc.pdf?path=6148523063484d364c793942556b356c6443397a6158526c63793959566b6c4a544556484c3039464c7a49774d6a59794d4449314d5441774f53395151533879596a49355a54426c4e79316a4e5745354c54526d5a474d744f444a694e6930354d6a55304d544e6a597a6c6a4f4759756347526d&amp;Fich=2b29e0e7-c5a9-4fdc-82b6-925413cc9c8f.pdf&amp;Inline=true</t>
        </is>
      </c>
      <c r="X84" s="2" t="inlineStr">
        <is>
          <t>Saúde</t>
        </is>
      </c>
      <c r="Y84" s="2" t="inlineStr">
        <is>
          <t>Articulado</t>
        </is>
      </c>
      <c r="Z84" s="2" t="inlineStr">
        <is>
          <t>Aditamento (Artigo PPL)</t>
        </is>
      </c>
      <c r="AA84" s="2" t="inlineStr">
        <is>
          <t>Rejeitado(a) em Comissão</t>
        </is>
      </c>
      <c r="AB84" s="2" t="inlineStr"/>
      <c r="AC84" s="2" t="inlineStr"/>
      <c r="AD84" s="2" t="inlineStr">
        <is>
          <t>1</t>
        </is>
      </c>
      <c r="AE84" s="2" t="inlineStr">
        <is>
          <t>23267</t>
        </is>
      </c>
      <c r="AF84" s="2" t="inlineStr">
        <is>
          <t>https://www.parlamento.pt/OrcamentoEstado/Paginas/DetalhePropostaAlteracao.aspx?BID=23267</t>
        </is>
      </c>
      <c r="AG84" s="2" t="inlineStr">
        <is>
          <t>https://app.parlamento.pt/webutils/docs/doc.pdf?path=6148523063484d364c793942556b356c6443397a6158526c63793959566b6c4a544556484c3039464c7a49774d6a59794d4449314d5441774f53395151533879596a49355a54426c4e79316a4e5745354c54526d5a474d744f444a694e6930354d6a55304d544e6a597a6c6a4f4759756347526d&amp;Fich=2b29e0e7-c5a9-4fdc-82b6-925413cc9c8f.pdf&amp;Inline=true</t>
        </is>
      </c>
      <c r="AH84" s="3" t="n">
        <v>46321.77847222222</v>
      </c>
      <c r="AI84" s="3" t="n">
        <v>46321.78055555555</v>
      </c>
      <c r="AJ84" s="2" t="inlineStr"/>
    </row>
    <row r="85">
      <c r="A85" s="2" t="n">
        <v>84</v>
      </c>
      <c r="B85" s="2" t="inlineStr">
        <is>
          <t>75C</t>
        </is>
      </c>
      <c r="C85" s="3" t="n">
        <v>45960.73680555556</v>
      </c>
      <c r="D85" s="2" t="inlineStr">
        <is>
          <t>Original</t>
        </is>
      </c>
      <c r="E85" s="2" t="inlineStr">
        <is>
          <t>L</t>
        </is>
      </c>
      <c r="F85" s="2" t="inlineStr">
        <is>
          <t>Filipa Pinto; Isabel Mendes Lopes; Jorge Pinto; Patrícia Gonçalves; Paulo Muacho; Rui Tavares</t>
        </is>
      </c>
      <c r="G85" s="2" t="inlineStr">
        <is>
          <t>Art. 60.º (substituição)</t>
        </is>
      </c>
      <c r="H85" s="2" t="n"/>
      <c r="I85" s="2" t="n"/>
      <c r="J85" s="2" t="n"/>
      <c r="K85" s="2" t="n"/>
      <c r="L85" s="2" t="inlineStr">
        <is>
          <t>Alínea c), N.º1, Artigo 78.º do Código do IRS</t>
        </is>
      </c>
      <c r="M85" s="4" t="n"/>
      <c r="N85" s="4" t="n"/>
      <c r="O85" s="2" t="n"/>
      <c r="P85" s="2" t="n"/>
      <c r="Q85" s="2" t="n"/>
      <c r="R85" s="2" t="n"/>
      <c r="S85" s="2" t="inlineStr">
        <is>
          <t>Rejeitado(a) em Comissão</t>
        </is>
      </c>
      <c r="T85" s="2" t="inlineStr">
        <is>
          <t>Rejeitada</t>
        </is>
      </c>
      <c r="U85" s="2" t="inlineStr">
        <is>
          <t>Favor: L, PCP, BE, PAN; Contra: PSD, CDS-PP; Abstenção: CH, PS, IL</t>
        </is>
      </c>
      <c r="V85" s="3" t="n">
        <v>45981</v>
      </c>
      <c r="W85" s="2" t="inlineStr">
        <is>
          <t>AR: https://www.parlamento.pt/OrcamentoEstado/Paginas/DetalhePropostaAlteracao.aspx?BID=23268 PDF: https://app.parlamento.pt/webutils/docs/doc.pdf?path=6148523063484d364c793942556b356c6443397a6158526c63793959566b6c4a544556484c3039464c7a49774d6a59794d4449314d5441774f533951515338345a6a67344e7a526c4d7931695a5759334c54526d5a57457459544d774e6930325a4755784e7a417a4e6d5a6c4d4463756347526d&amp;Fich=8f8874e3-bef7-4fea-a306-6de17036fe07.pdf&amp;Inline=true</t>
        </is>
      </c>
      <c r="X85" s="2" t="inlineStr">
        <is>
          <t>Orçamento, Finanças e Administração Pública; Saúde</t>
        </is>
      </c>
      <c r="Y85" s="2" t="inlineStr">
        <is>
          <t>Articulado</t>
        </is>
      </c>
      <c r="Z85" s="2" t="inlineStr">
        <is>
          <t>Substituição</t>
        </is>
      </c>
      <c r="AA85" s="2" t="inlineStr">
        <is>
          <t>Rejeitado(a) em Comissão</t>
        </is>
      </c>
      <c r="AB85" s="2" t="inlineStr"/>
      <c r="AC85" s="2" t="inlineStr"/>
      <c r="AD85" s="2" t="inlineStr">
        <is>
          <t>1</t>
        </is>
      </c>
      <c r="AE85" s="2" t="inlineStr">
        <is>
          <t>23268</t>
        </is>
      </c>
      <c r="AF85" s="2" t="inlineStr">
        <is>
          <t>https://www.parlamento.pt/OrcamentoEstado/Paginas/DetalhePropostaAlteracao.aspx?BID=23268</t>
        </is>
      </c>
      <c r="AG85" s="2" t="inlineStr">
        <is>
          <t>https://app.parlamento.pt/webutils/docs/doc.pdf?path=6148523063484d364c793942556b356c6443397a6158526c63793959566b6c4a544556484c3039464c7a49774d6a59794d4449314d5441774f533951515338345a6a67344e7a526c4d7931695a5759334c54526d5a57457459544d774e6930325a4755784e7a417a4e6d5a6c4d4463756347526d&amp;Fich=8f8874e3-bef7-4fea-a306-6de17036fe07.pdf&amp;Inline=true</t>
        </is>
      </c>
      <c r="AH85" s="3" t="n">
        <v>46321.77847222222</v>
      </c>
      <c r="AI85" s="3" t="n">
        <v>46321.78055555555</v>
      </c>
      <c r="AJ85" s="2" t="inlineStr"/>
    </row>
    <row r="86">
      <c r="A86" s="2" t="n">
        <v>85</v>
      </c>
      <c r="B86" s="2" t="inlineStr">
        <is>
          <t>76C</t>
        </is>
      </c>
      <c r="C86" s="3" t="n">
        <v>45960.75069444445</v>
      </c>
      <c r="D86" s="2" t="inlineStr">
        <is>
          <t>Original</t>
        </is>
      </c>
      <c r="E86" s="2" t="inlineStr">
        <is>
          <t>L</t>
        </is>
      </c>
      <c r="F86" s="2" t="inlineStr">
        <is>
          <t>Filipa Pinto; Isabel Mendes Lopes; Jorge Pinto; Patrícia Gonçalves; Paulo Muacho; Rui Tavares</t>
        </is>
      </c>
      <c r="G86" s="2" t="inlineStr">
        <is>
          <t>Art. 120.º-A (aditamento)</t>
        </is>
      </c>
      <c r="H86" s="2" t="n"/>
      <c r="I86" s="2" t="n"/>
      <c r="J86" s="2" t="n"/>
      <c r="K86" s="2" t="n"/>
      <c r="L86" s="2" t="inlineStr">
        <is>
          <t>Artigo 120.º-A (Garantia de transporte e despesas em casos de transferência para IVG)</t>
        </is>
      </c>
      <c r="M86" s="4" t="n"/>
      <c r="N86" s="4" t="n"/>
      <c r="O86" s="2" t="n"/>
      <c r="P86" s="2" t="n"/>
      <c r="Q86" s="2" t="n"/>
      <c r="R86" s="2" t="n"/>
      <c r="S86" s="2" t="inlineStr">
        <is>
          <t>Rejeitado(a) em Comissão</t>
        </is>
      </c>
      <c r="T86" s="2" t="inlineStr">
        <is>
          <t>Rejeitada</t>
        </is>
      </c>
      <c r="U86" s="2" t="inlineStr">
        <is>
          <t>Favor: L, PCP, BE, PAN; Contra: PSD, CH, IL, CDS-PP; Abstenção: PS</t>
        </is>
      </c>
      <c r="V86" s="3" t="n">
        <v>45985</v>
      </c>
      <c r="W86" s="2" t="inlineStr">
        <is>
          <t>AR: https://www.parlamento.pt/OrcamentoEstado/Paginas/DetalhePropostaAlteracao.aspx?BID=23269 PDF: https://app.parlamento.pt/webutils/docs/doc.pdf?path=6148523063484d364c793942556b356c6443397a6158526c63793959566b6c4a544556484c3039464c7a49774d6a59794d4449314d5441774f533951515339694f4749355a6a49794e4330304d5459344c545178595451744f4745344f43316d5a6a646a596d55784e3259324d4749756347526d&amp;Fich=b8b9f224-4168-41a4-8a88-ff7cbe17f60b.pdf&amp;Inline=true</t>
        </is>
      </c>
      <c r="X86" s="2" t="inlineStr">
        <is>
          <t>Saúde</t>
        </is>
      </c>
      <c r="Y86" s="2" t="inlineStr">
        <is>
          <t>Articulado</t>
        </is>
      </c>
      <c r="Z86" s="2" t="inlineStr">
        <is>
          <t>Aditamento (Artigo PPL)</t>
        </is>
      </c>
      <c r="AA86" s="2" t="inlineStr">
        <is>
          <t>Rejeitado(a) em Comissão</t>
        </is>
      </c>
      <c r="AB86" s="2" t="inlineStr"/>
      <c r="AC86" s="2" t="inlineStr"/>
      <c r="AD86" s="2" t="inlineStr">
        <is>
          <t>1</t>
        </is>
      </c>
      <c r="AE86" s="2" t="inlineStr">
        <is>
          <t>23269</t>
        </is>
      </c>
      <c r="AF86" s="2" t="inlineStr">
        <is>
          <t>https://www.parlamento.pt/OrcamentoEstado/Paginas/DetalhePropostaAlteracao.aspx?BID=23269</t>
        </is>
      </c>
      <c r="AG86" s="2" t="inlineStr">
        <is>
          <t>https://app.parlamento.pt/webutils/docs/doc.pdf?path=6148523063484d364c793942556b356c6443397a6158526c63793959566b6c4a544556484c3039464c7a49774d6a59794d4449314d5441774f533951515339694f4749355a6a49794e4330304d5459344c545178595451744f4745344f43316d5a6a646a596d55784e3259324d4749756347526d&amp;Fich=b8b9f224-4168-41a4-8a88-ff7cbe17f60b.pdf&amp;Inline=true</t>
        </is>
      </c>
      <c r="AH86" s="3" t="n">
        <v>46321.77847222222</v>
      </c>
      <c r="AI86" s="3" t="n">
        <v>46321.78055555555</v>
      </c>
      <c r="AJ86" s="2" t="inlineStr"/>
    </row>
    <row r="87">
      <c r="A87" s="2" t="n">
        <v>86</v>
      </c>
      <c r="B87" s="2" t="inlineStr">
        <is>
          <t>77C</t>
        </is>
      </c>
      <c r="C87" s="3" t="n">
        <v>45960.75694444445</v>
      </c>
      <c r="D87" s="2" t="inlineStr">
        <is>
          <t>Original</t>
        </is>
      </c>
      <c r="E87" s="2" t="inlineStr">
        <is>
          <t>L</t>
        </is>
      </c>
      <c r="F87" s="2" t="inlineStr">
        <is>
          <t>Filipa Pinto; Isabel Mendes Lopes; Jorge Pinto; Patrícia Gonçalves; Paulo Muacho; Rui Tavares</t>
        </is>
      </c>
      <c r="G87" s="2" t="inlineStr">
        <is>
          <t>Art. 119.º-A (aditamento)</t>
        </is>
      </c>
      <c r="H87" s="2" t="n"/>
      <c r="I87" s="2" t="n"/>
      <c r="J87" s="2" t="n"/>
      <c r="K87" s="2" t="n"/>
      <c r="L87" s="2" t="inlineStr">
        <is>
          <t>Artigo 119.º-A (Reforço do Programa de Saúde Sexual e Reprodutiva)</t>
        </is>
      </c>
      <c r="M87" s="4" t="n"/>
      <c r="N87" s="4" t="n"/>
      <c r="O87" s="2" t="n"/>
      <c r="P87" s="2" t="n"/>
      <c r="Q87" s="2" t="n"/>
      <c r="R87" s="2" t="n"/>
      <c r="S87" s="2" t="inlineStr">
        <is>
          <t>Rejeitado(a) em Comissão</t>
        </is>
      </c>
      <c r="T87" s="2" t="inlineStr">
        <is>
          <t>Rejeitada</t>
        </is>
      </c>
      <c r="U87" s="2" t="inlineStr">
        <is>
          <t>Favor: L, PCP, BE, PAN; Contra: PSD, CDS-PP; Abstenção: CH, PS, IL</t>
        </is>
      </c>
      <c r="V87" s="3" t="n">
        <v>45985</v>
      </c>
      <c r="W87" s="2" t="inlineStr">
        <is>
          <t>AR: https://www.parlamento.pt/OrcamentoEstado/Paginas/DetalhePropostaAlteracao.aspx?BID=23270 PDF: https://app.parlamento.pt/webutils/docs/doc.pdf?path=6148523063484d364c793942556b356c6443397a6158526c63793959566b6c4a544556484c3039464c7a49774d6a59794d4449314d5441774f5339515153383359546c69597a59774e69307a4d6a41354c54526d4f5751745957566a4e4330774f446b7a4e44426a5a6a41324f4745756347526d&amp;Fich=7a9bc606-3209-4f9d-aec4-089340cf068a.pdf&amp;Inline=true</t>
        </is>
      </c>
      <c r="X87" s="2" t="inlineStr">
        <is>
          <t>Saúde</t>
        </is>
      </c>
      <c r="Y87" s="2" t="inlineStr">
        <is>
          <t>Articulado</t>
        </is>
      </c>
      <c r="Z87" s="2" t="inlineStr">
        <is>
          <t>Aditamento (Artigo PPL)</t>
        </is>
      </c>
      <c r="AA87" s="2" t="inlineStr">
        <is>
          <t>Rejeitado(a) em Comissão</t>
        </is>
      </c>
      <c r="AB87" s="2" t="inlineStr"/>
      <c r="AC87" s="2" t="inlineStr"/>
      <c r="AD87" s="2" t="inlineStr">
        <is>
          <t>1</t>
        </is>
      </c>
      <c r="AE87" s="2" t="inlineStr">
        <is>
          <t>23270</t>
        </is>
      </c>
      <c r="AF87" s="2" t="inlineStr">
        <is>
          <t>https://www.parlamento.pt/OrcamentoEstado/Paginas/DetalhePropostaAlteracao.aspx?BID=23270</t>
        </is>
      </c>
      <c r="AG87" s="2" t="inlineStr">
        <is>
          <t>https://app.parlamento.pt/webutils/docs/doc.pdf?path=6148523063484d364c793942556b356c6443397a6158526c63793959566b6c4a544556484c3039464c7a49774d6a59794d4449314d5441774f5339515153383359546c69597a59774e69307a4d6a41354c54526d4f5751745957566a4e4330774f446b7a4e44426a5a6a41324f4745756347526d&amp;Fich=7a9bc606-3209-4f9d-aec4-089340cf068a.pdf&amp;Inline=true</t>
        </is>
      </c>
      <c r="AH87" s="3" t="n">
        <v>46321.77847222222</v>
      </c>
      <c r="AI87" s="3" t="n">
        <v>46321.78055555555</v>
      </c>
      <c r="AJ87" s="2" t="inlineStr"/>
    </row>
    <row r="88">
      <c r="A88" s="2" t="n">
        <v>87</v>
      </c>
      <c r="B88" s="2" t="inlineStr">
        <is>
          <t>78C</t>
        </is>
      </c>
      <c r="C88" s="3" t="n">
        <v>45960.77013888889</v>
      </c>
      <c r="D88" s="2" t="inlineStr">
        <is>
          <t>Original</t>
        </is>
      </c>
      <c r="E88" s="2" t="inlineStr">
        <is>
          <t>L</t>
        </is>
      </c>
      <c r="F88" s="2" t="inlineStr">
        <is>
          <t>Filipa Pinto; Isabel Mendes Lopes; Jorge Pinto; Patrícia Gonçalves; Paulo Muacho; Rui Tavares</t>
        </is>
      </c>
      <c r="G88" s="2" t="inlineStr">
        <is>
          <t>Art. 17.º (aditamento)</t>
        </is>
      </c>
      <c r="H88" s="2" t="n"/>
      <c r="I88" s="2" t="n"/>
      <c r="J88" s="2" t="n"/>
      <c r="K88" s="2" t="n"/>
      <c r="L88" s="2" t="inlineStr">
        <is>
          <t>N.º 10, Artigo 17.º</t>
        </is>
      </c>
      <c r="M88" s="4" t="n"/>
      <c r="N88" s="4" t="n"/>
      <c r="O88" s="2" t="n"/>
      <c r="P88" s="2" t="n"/>
      <c r="Q88" s="2" t="n"/>
      <c r="R88" s="2" t="n"/>
      <c r="S88" s="2" t="inlineStr">
        <is>
          <t>Rejeitado(a) em Plenário</t>
        </is>
      </c>
      <c r="T88" s="2" t="inlineStr">
        <is>
          <t>Rejeitada</t>
        </is>
      </c>
      <c r="U88" s="2" t="inlineStr">
        <is>
          <t>Favor: L, PCP, BE, PAN, JPP; Contra: PSD, IL, CDS-PP; Abstenção: CH, PS</t>
        </is>
      </c>
      <c r="V88" s="3" t="n">
        <v>45982</v>
      </c>
      <c r="W88" s="2" t="inlineStr">
        <is>
          <t>Avocada a Plenário. AR: https://www.parlamento.pt/OrcamentoEstado/Paginas/DetalhePropostaAlteracao.aspx?BID=23271 PDF: https://app.parlamento.pt/webutils/docs/doc.pdf?path=6148523063484d364c793942556b356c6443397a6158526c63793959566b6c4a544556484c3039464c7a49774d6a59794d4449314d5441774f5339515153396b4f4749314d6a466b597930334e7a6b784c5452685a574574595745314d53316c4e5441304f474a6b4d4752694d4759756347526d&amp;Fich=d8b521dc-7791-4aea-aa51-e5048bd0db0f.pdf&amp;Inline=true</t>
        </is>
      </c>
      <c r="X88" s="2" t="inlineStr">
        <is>
          <t>Saúde</t>
        </is>
      </c>
      <c r="Y88" s="2" t="inlineStr">
        <is>
          <t>Articulado</t>
        </is>
      </c>
      <c r="Z88" s="2" t="inlineStr">
        <is>
          <t>Aditamento (Números e Alíneas)</t>
        </is>
      </c>
      <c r="AA88" s="2" t="inlineStr">
        <is>
          <t>Rejeitado(a) em Plenário</t>
        </is>
      </c>
      <c r="AB88" s="2" t="inlineStr">
        <is>
          <t>S</t>
        </is>
      </c>
      <c r="AC88" s="2" t="inlineStr"/>
      <c r="AD88" s="2" t="inlineStr">
        <is>
          <t>2</t>
        </is>
      </c>
      <c r="AE88" s="2" t="inlineStr">
        <is>
          <t>23271</t>
        </is>
      </c>
      <c r="AF88" s="2" t="inlineStr">
        <is>
          <t>https://www.parlamento.pt/OrcamentoEstado/Paginas/DetalhePropostaAlteracao.aspx?BID=23271</t>
        </is>
      </c>
      <c r="AG88" s="2" t="inlineStr">
        <is>
          <t>https://app.parlamento.pt/webutils/docs/doc.pdf?path=6148523063484d364c793942556b356c6443397a6158526c63793959566b6c4a544556484c3039464c7a49774d6a59794d4449314d5441774f5339515153396b4f4749314d6a466b597930334e7a6b784c5452685a574574595745314d53316c4e5441304f474a6b4d4752694d4759756347526d&amp;Fich=d8b521dc-7791-4aea-aa51-e5048bd0db0f.pdf&amp;Inline=true</t>
        </is>
      </c>
      <c r="AH88" s="3" t="n">
        <v>46321.77847222222</v>
      </c>
      <c r="AI88" s="3" t="n">
        <v>46321.78055555555</v>
      </c>
      <c r="AJ88" s="2" t="inlineStr"/>
    </row>
    <row r="89">
      <c r="A89" s="2" t="n">
        <v>88</v>
      </c>
      <c r="B89" s="2" t="inlineStr">
        <is>
          <t>79C-1</t>
        </is>
      </c>
      <c r="C89" s="3" t="n">
        <v>45961.47083333333</v>
      </c>
      <c r="D89" s="2" t="inlineStr">
        <is>
          <t>Original</t>
        </is>
      </c>
      <c r="E89" s="2" t="inlineStr">
        <is>
          <t>IL</t>
        </is>
      </c>
      <c r="F89" s="2" t="inlineStr">
        <is>
          <t>Angélique Da Teresa; Carlos Guimarães Pinto; Joana Cordeiro; Jorge Miguel Teixeira; Mariana Leitão; Mário Amorim Lopes; Miguel Rangel; Rodrigo Saraiva; Rui Rocha</t>
        </is>
      </c>
      <c r="G89" s="2" t="inlineStr">
        <is>
          <t>Art. 63.º (substituição)</t>
        </is>
      </c>
      <c r="H89" s="2" t="n"/>
      <c r="I89" s="2" t="n"/>
      <c r="J89" s="2" t="n"/>
      <c r="K89" s="2" t="n"/>
      <c r="L89" s="2" t="inlineStr">
        <is>
          <t>Verba 2.27, Lista I anexa ao Código do IVA</t>
        </is>
      </c>
      <c r="M89" s="4" t="n"/>
      <c r="N89" s="4" t="n"/>
      <c r="O89" s="2" t="n"/>
      <c r="P89" s="2" t="n"/>
      <c r="Q89" s="2" t="n"/>
      <c r="R89" s="2" t="n"/>
      <c r="S89" s="2" t="inlineStr">
        <is>
          <t>Rejeitado(a) em Comissão</t>
        </is>
      </c>
      <c r="T89" s="2" t="inlineStr">
        <is>
          <t>Rejeitada</t>
        </is>
      </c>
      <c r="U89" s="2" t="inlineStr">
        <is>
          <t>Favor: CH, IL; Contra: PSD, PS, L, PCP, CDS-PP, BE; Abstenção: PAN</t>
        </is>
      </c>
      <c r="V89" s="3" t="n">
        <v>45982</v>
      </c>
      <c r="W89" s="2" t="inlineStr">
        <is>
          <t>AR: https://www.parlamento.pt/OrcamentoEstado/Paginas/DetalhePropostaAlteracao.aspx?BID=23272 PDF: https://app.parlamento.pt/webutils/docs/doc.pdf?path=6148523063484d364c793942556b356c6443397a6158526c63793959566b6c4a544556484c3039464c7a49774d6a59794d4449314d5441774f533951515338354d6a4d334d546b334e53316c4d4749324c5451314e545174596a6b344d69307a4f444e6c596a67794d5449345a474d756347526d&amp;Fich=92371975-e0b6-4554-b982-383eb82128dc.pdf&amp;Inline=true</t>
        </is>
      </c>
      <c r="X89" s="2" t="inlineStr">
        <is>
          <t>Comissão de Economia e Coesão Territorial; Infraestruturas, Mobilidade e Habitação; Orçamento, Finanças e Administração Pública</t>
        </is>
      </c>
      <c r="Y89" s="2" t="inlineStr">
        <is>
          <t>Articulado</t>
        </is>
      </c>
      <c r="Z89" s="2" t="inlineStr">
        <is>
          <t>Substituição</t>
        </is>
      </c>
      <c r="AA89" s="2" t="inlineStr">
        <is>
          <t>Rejeitado(a) em Comissão</t>
        </is>
      </c>
      <c r="AB89" s="2" t="inlineStr"/>
      <c r="AC89" s="2" t="inlineStr">
        <is>
          <t>1</t>
        </is>
      </c>
      <c r="AD89" s="2" t="inlineStr">
        <is>
          <t>1</t>
        </is>
      </c>
      <c r="AE89" s="2" t="inlineStr">
        <is>
          <t>23272</t>
        </is>
      </c>
      <c r="AF89" s="2" t="inlineStr">
        <is>
          <t>https://www.parlamento.pt/OrcamentoEstado/Paginas/DetalhePropostaAlteracao.aspx?BID=23272</t>
        </is>
      </c>
      <c r="AG89" s="2" t="inlineStr">
        <is>
          <t>https://app.parlamento.pt/webutils/docs/doc.pdf?path=6148523063484d364c793942556b356c6443397a6158526c63793959566b6c4a544556484c3039464c7a49774d6a59794d4449314d5441774f533951515338354d6a4d334d546b334e53316c4d4749324c5451314e545174596a6b344d69307a4f444e6c596a67794d5449345a474d756347526d&amp;Fich=92371975-e0b6-4554-b982-383eb82128dc.pdf&amp;Inline=true</t>
        </is>
      </c>
      <c r="AH89" s="3" t="n">
        <v>46321.77847222222</v>
      </c>
      <c r="AI89" s="3" t="n">
        <v>46321.78055555555</v>
      </c>
      <c r="AJ89" s="2" t="inlineStr"/>
    </row>
    <row r="90">
      <c r="A90" s="2" t="n">
        <v>89</v>
      </c>
      <c r="B90" s="2" t="inlineStr">
        <is>
          <t>79C-2</t>
        </is>
      </c>
      <c r="C90" s="3" t="n">
        <v>45961.47083333333</v>
      </c>
      <c r="D90" s="2" t="inlineStr">
        <is>
          <t>Original</t>
        </is>
      </c>
      <c r="E90" s="2" t="inlineStr">
        <is>
          <t>IL</t>
        </is>
      </c>
      <c r="F90" s="2" t="inlineStr">
        <is>
          <t>Angélique Da Teresa; Carlos Guimarães Pinto; Joana Cordeiro; Jorge Miguel Teixeira; Mariana Leitão; Mário Amorim Lopes; Miguel Rangel; Rodrigo Saraiva; Rui Rocha</t>
        </is>
      </c>
      <c r="G90" s="2" t="inlineStr">
        <is>
          <t>Art. 63.º-A (aditamento)</t>
        </is>
      </c>
      <c r="H90" s="2" t="n"/>
      <c r="I90" s="2" t="n"/>
      <c r="J90" s="2" t="n"/>
      <c r="K90" s="2" t="n"/>
      <c r="L90" s="2" t="inlineStr">
        <is>
          <t>Artigo 63.º-A (Aditamento ao Código do IVA)</t>
        </is>
      </c>
      <c r="M90" s="4" t="n"/>
      <c r="N90" s="4" t="n"/>
      <c r="O90" s="2" t="n"/>
      <c r="P90" s="2" t="n"/>
      <c r="Q90" s="2" t="n"/>
      <c r="R90" s="2" t="n"/>
      <c r="S90" s="2" t="inlineStr">
        <is>
          <t>Rejeitado(a) em Comissão</t>
        </is>
      </c>
      <c r="T90" s="2" t="inlineStr">
        <is>
          <t>Rejeitada</t>
        </is>
      </c>
      <c r="U90" s="2" t="inlineStr">
        <is>
          <t>Favor: CH, IL; Contra: PSD, PS, L, PCP, CDS-PP, BE; Abstenção: PAN</t>
        </is>
      </c>
      <c r="V90" s="3" t="n">
        <v>45982</v>
      </c>
      <c r="W90" s="2" t="inlineStr">
        <is>
          <t>AR: https://www.parlamento.pt/OrcamentoEstado/Paginas/DetalhePropostaAlteracao.aspx?BID=24483 PDF: https://app.parlamento.pt/webutils/docs/doc.pdf?path=6148523063484d364c793942556b356c6443397a6158526c63793959566b6c4a544556484c3039464c7a49774d6a59794d4449314d5441774f533951515338354f475a6b4e4751785a43316d4d4467334c5451324e574d74595445785969316d4d6a466d59575a6a4d474d335a6a55756347526d&amp;Fich=98fd4d1d-f087-465c-a11b-f21fafc0c7f5.pdf&amp;Inline=true</t>
        </is>
      </c>
      <c r="X90" s="2" t="inlineStr">
        <is>
          <t>Comissão de Economia e Coesão Territorial; Infraestruturas, Mobilidade e Habitação; Orçamento, Finanças e Administração Pública</t>
        </is>
      </c>
      <c r="Y90" s="2" t="inlineStr">
        <is>
          <t>Articulado</t>
        </is>
      </c>
      <c r="Z90" s="2" t="inlineStr">
        <is>
          <t>Aditamento (Artigo PPL)</t>
        </is>
      </c>
      <c r="AA90" s="2" t="inlineStr">
        <is>
          <t>Rejeitado(a) em Comissão</t>
        </is>
      </c>
      <c r="AB90" s="2" t="inlineStr"/>
      <c r="AC90" s="2" t="inlineStr">
        <is>
          <t>2</t>
        </is>
      </c>
      <c r="AD90" s="2" t="inlineStr">
        <is>
          <t>1</t>
        </is>
      </c>
      <c r="AE90" s="2" t="inlineStr">
        <is>
          <t>24483</t>
        </is>
      </c>
      <c r="AF90" s="2" t="inlineStr">
        <is>
          <t>https://www.parlamento.pt/OrcamentoEstado/Paginas/DetalhePropostaAlteracao.aspx?BID=24483</t>
        </is>
      </c>
      <c r="AG90" s="2" t="inlineStr">
        <is>
          <t>https://app.parlamento.pt/webutils/docs/doc.pdf?path=6148523063484d364c793942556b356c6443397a6158526c63793959566b6c4a544556484c3039464c7a49774d6a59794d4449314d5441774f533951515338354f475a6b4e4751785a43316d4d4467334c5451324e574d74595445785969316d4d6a466d59575a6a4d474d335a6a55756347526d&amp;Fich=98fd4d1d-f087-465c-a11b-f21fafc0c7f5.pdf&amp;Inline=true</t>
        </is>
      </c>
      <c r="AH90" s="3" t="n">
        <v>46321.77847222222</v>
      </c>
      <c r="AI90" s="3" t="n">
        <v>46321.78055555555</v>
      </c>
      <c r="AJ90" s="2" t="inlineStr"/>
    </row>
    <row r="91">
      <c r="A91" s="2" t="n">
        <v>90</v>
      </c>
      <c r="B91" s="2" t="inlineStr">
        <is>
          <t>80C</t>
        </is>
      </c>
      <c r="C91" s="3" t="n">
        <v>45961.48888888889</v>
      </c>
      <c r="D91" s="2" t="inlineStr">
        <is>
          <t>Original</t>
        </is>
      </c>
      <c r="E91" s="2" t="inlineStr">
        <is>
          <t>IL</t>
        </is>
      </c>
      <c r="F91" s="2" t="inlineStr">
        <is>
          <t>Angélique Da Teresa; Carlos Guimarães Pinto; Joana Cordeiro; Jorge Miguel Teixeira; Mariana Leitão; Mário Amorim Lopes; Miguel Rangel; Rodrigo Saraiva; Rui Rocha</t>
        </is>
      </c>
      <c r="G91" s="2" t="inlineStr">
        <is>
          <t>Art. 63.º-A (aditamento)</t>
        </is>
      </c>
      <c r="H91" s="2" t="n"/>
      <c r="I91" s="2" t="n"/>
      <c r="J91" s="2" t="n"/>
      <c r="K91" s="2" t="n"/>
      <c r="L91" s="2" t="inlineStr">
        <is>
          <t>Artigo 63.º-A (Alteração ao Decreto-Lei n.º 84/2017, de 21 de julho)</t>
        </is>
      </c>
      <c r="M91" s="4" t="n"/>
      <c r="N91" s="4" t="n"/>
      <c r="O91" s="2" t="n"/>
      <c r="P91" s="2" t="n"/>
      <c r="Q91" s="2" t="n"/>
      <c r="R91" s="2" t="n"/>
      <c r="S91" s="2" t="inlineStr">
        <is>
          <t>Rejeitado(a) em Comissão</t>
        </is>
      </c>
      <c r="T91" s="2" t="inlineStr">
        <is>
          <t>Rejeitada</t>
        </is>
      </c>
      <c r="U91" s="2" t="inlineStr">
        <is>
          <t>Favor: IL, PAN; Contra: PSD, CDS-PP; Abstenção: CH, PS, L, PCP, BE</t>
        </is>
      </c>
      <c r="V91" s="3" t="n">
        <v>45982</v>
      </c>
      <c r="W91" s="2" t="inlineStr">
        <is>
          <t>AR: https://www.parlamento.pt/OrcamentoEstado/Paginas/DetalhePropostaAlteracao.aspx?BID=23273 PDF: https://app.parlamento.pt/webutils/docs/doc.pdf?path=6148523063484d364c793942556b356c6443397a6158526c63793959566b6c4a544556484c3039464c7a49774d6a59794d4449314d5441774f533951515338774d324d324e7a4a6859533034596d597a4c5451354e7a4974595445784f433079595441314e7a41785a5446684f5449756347526d&amp;Fich=03c672aa-8bf3-4972-a118-2a05701e1a92.pdf&amp;Inline=true</t>
        </is>
      </c>
      <c r="X91" s="2" t="inlineStr">
        <is>
          <t>Comissão de Economia e Coesão Territorial; Orçamento, Finanças e Administração Pública</t>
        </is>
      </c>
      <c r="Y91" s="2" t="inlineStr">
        <is>
          <t>Articulado</t>
        </is>
      </c>
      <c r="Z91" s="2" t="inlineStr">
        <is>
          <t>Aditamento (Artigo PPL)</t>
        </is>
      </c>
      <c r="AA91" s="2" t="inlineStr">
        <is>
          <t>Rejeitado(a) em Comissão</t>
        </is>
      </c>
      <c r="AB91" s="2" t="inlineStr"/>
      <c r="AC91" s="2" t="inlineStr"/>
      <c r="AD91" s="2" t="inlineStr">
        <is>
          <t>1</t>
        </is>
      </c>
      <c r="AE91" s="2" t="inlineStr">
        <is>
          <t>23273</t>
        </is>
      </c>
      <c r="AF91" s="2" t="inlineStr">
        <is>
          <t>https://www.parlamento.pt/OrcamentoEstado/Paginas/DetalhePropostaAlteracao.aspx?BID=23273</t>
        </is>
      </c>
      <c r="AG91" s="2" t="inlineStr">
        <is>
          <t>https://app.parlamento.pt/webutils/docs/doc.pdf?path=6148523063484d364c793942556b356c6443397a6158526c63793959566b6c4a544556484c3039464c7a49774d6a59794d4449314d5441774f533951515338774d324d324e7a4a6859533034596d597a4c5451354e7a4974595445784f433079595441314e7a41785a5446684f5449756347526d&amp;Fich=03c672aa-8bf3-4972-a118-2a05701e1a92.pdf&amp;Inline=true</t>
        </is>
      </c>
      <c r="AH91" s="3" t="n">
        <v>46321.77847222222</v>
      </c>
      <c r="AI91" s="3" t="n">
        <v>46321.78055555555</v>
      </c>
      <c r="AJ91" s="2" t="inlineStr"/>
    </row>
    <row r="92">
      <c r="A92" s="2" t="n">
        <v>91</v>
      </c>
      <c r="B92" s="2" t="inlineStr">
        <is>
          <t>81C</t>
        </is>
      </c>
      <c r="C92" s="3" t="n">
        <v>45961.49166666667</v>
      </c>
      <c r="D92" s="2" t="inlineStr">
        <is>
          <t>Original</t>
        </is>
      </c>
      <c r="E92" s="2" t="inlineStr">
        <is>
          <t>IL</t>
        </is>
      </c>
      <c r="F92" s="2" t="inlineStr">
        <is>
          <t>Angélique Da Teresa; Carlos Guimarães Pinto; Joana Cordeiro; Jorge Miguel Teixeira; Mariana Leitão; Mário Amorim Lopes; Miguel Rangel; Rodrigo Saraiva; Rui Rocha</t>
        </is>
      </c>
      <c r="G92" s="2" t="inlineStr">
        <is>
          <t>Art. 68.º-A (aditamento)</t>
        </is>
      </c>
      <c r="H92" s="2" t="n"/>
      <c r="I92" s="2" t="n"/>
      <c r="J92" s="2" t="n"/>
      <c r="K92" s="2" t="n"/>
      <c r="L92" s="2" t="inlineStr">
        <is>
          <t>Artigo 68.º-A (Alteração ao Código do Imposto Municipal sobre Imóveis)</t>
        </is>
      </c>
      <c r="M92" s="4" t="n"/>
      <c r="N92" s="4" t="n"/>
      <c r="O92" s="2" t="n"/>
      <c r="P92" s="2" t="n"/>
      <c r="Q92" s="2" t="n"/>
      <c r="R92" s="2" t="n"/>
      <c r="S92" s="2" t="inlineStr">
        <is>
          <t>Rejeitado(a) em Comissão</t>
        </is>
      </c>
      <c r="T92" s="2" t="inlineStr">
        <is>
          <t>Rejeitada</t>
        </is>
      </c>
      <c r="U92" s="2" t="inlineStr">
        <is>
          <t>Favor: CH, IL, PAN; Contra: PSD, PS, PCP, CDS-PP, BE; Abstenção: L</t>
        </is>
      </c>
      <c r="V92" s="3" t="n">
        <v>45982</v>
      </c>
      <c r="W92" s="2" t="inlineStr">
        <is>
          <t>AR: https://www.parlamento.pt/OrcamentoEstado/Paginas/DetalhePropostaAlteracao.aspx?BID=23274 PDF: https://app.parlamento.pt/webutils/docs/doc.pdf?path=6148523063484d364c793942556b356c6443397a6158526c63793959566b6c4a544556484c3039464c7a49774d6a59794d4449314d5441774f5339515153387a597a5a6c4e6d59304e4330315a6a6b324c54517a5a574574596a41774d6930774e325132597a51354e7a55344d5463756347526d&amp;Fich=3c6e6f44-5f96-43ea-b002-07d6c4975817.pdf&amp;Inline=true</t>
        </is>
      </c>
      <c r="X92" s="2" t="inlineStr">
        <is>
          <t>Infraestruturas, Mobilidade e Habitação; Orçamento, Finanças e Administração Pública; Reforma do Estado e Poder Local</t>
        </is>
      </c>
      <c r="Y92" s="2" t="inlineStr">
        <is>
          <t>Articulado</t>
        </is>
      </c>
      <c r="Z92" s="2" t="inlineStr">
        <is>
          <t>Aditamento (Artigo PPL)</t>
        </is>
      </c>
      <c r="AA92" s="2" t="inlineStr">
        <is>
          <t>Rejeitado(a) em Comissão</t>
        </is>
      </c>
      <c r="AB92" s="2" t="inlineStr"/>
      <c r="AC92" s="2" t="inlineStr"/>
      <c r="AD92" s="2" t="inlineStr">
        <is>
          <t>1</t>
        </is>
      </c>
      <c r="AE92" s="2" t="inlineStr">
        <is>
          <t>23274</t>
        </is>
      </c>
      <c r="AF92" s="2" t="inlineStr">
        <is>
          <t>https://www.parlamento.pt/OrcamentoEstado/Paginas/DetalhePropostaAlteracao.aspx?BID=23274</t>
        </is>
      </c>
      <c r="AG92" s="2" t="inlineStr">
        <is>
          <t>https://app.parlamento.pt/webutils/docs/doc.pdf?path=6148523063484d364c793942556b356c6443397a6158526c63793959566b6c4a544556484c3039464c7a49774d6a59794d4449314d5441774f5339515153387a597a5a6c4e6d59304e4330315a6a6b324c54517a5a574574596a41774d6930774e325132597a51354e7a55344d5463756347526d&amp;Fich=3c6e6f44-5f96-43ea-b002-07d6c4975817.pdf&amp;Inline=true</t>
        </is>
      </c>
      <c r="AH92" s="3" t="n">
        <v>46321.77847222222</v>
      </c>
      <c r="AI92" s="3" t="n">
        <v>46321.78055555555</v>
      </c>
      <c r="AJ92" s="2" t="inlineStr"/>
    </row>
    <row r="93">
      <c r="A93" s="2" t="n">
        <v>92</v>
      </c>
      <c r="B93" s="2" t="inlineStr">
        <is>
          <t>82C</t>
        </is>
      </c>
      <c r="C93" s="3" t="n">
        <v>45961.49444444444</v>
      </c>
      <c r="D93" s="2" t="inlineStr">
        <is>
          <t>Original</t>
        </is>
      </c>
      <c r="E93" s="2" t="inlineStr">
        <is>
          <t>IL</t>
        </is>
      </c>
      <c r="F93" s="2" t="inlineStr">
        <is>
          <t>Angélique Da Teresa; Carlos Guimarães Pinto; Joana Cordeiro; Jorge Miguel Teixeira; Mariana Leitão; Mário Amorim Lopes; Miguel Rangel; Rodrigo Saraiva; Rui Rocha</t>
        </is>
      </c>
      <c r="G93" s="2" t="inlineStr">
        <is>
          <t>Art. 60.º-A (aditamento)</t>
        </is>
      </c>
      <c r="H93" s="2" t="n"/>
      <c r="I93" s="2" t="n"/>
      <c r="J93" s="2" t="n"/>
      <c r="K93" s="2" t="n"/>
      <c r="L93" s="2" t="inlineStr">
        <is>
          <t>Artigo 60.º-A (Isenção extraordinária de mais-valias de imóveis para habitação)</t>
        </is>
      </c>
      <c r="M93" s="4" t="n"/>
      <c r="N93" s="4" t="n"/>
      <c r="O93" s="2" t="n"/>
      <c r="P93" s="2" t="n"/>
      <c r="Q93" s="2" t="n"/>
      <c r="R93" s="2" t="n"/>
      <c r="S93" s="2" t="inlineStr">
        <is>
          <t>Rejeitado(a) em Comissão</t>
        </is>
      </c>
      <c r="T93" s="2" t="inlineStr">
        <is>
          <t>Rejeitada</t>
        </is>
      </c>
      <c r="U93" s="2" t="inlineStr">
        <is>
          <t>Favor: CH, IL; Contra: PSD, PS, L, PCP, CDS-PP, BE, PAN</t>
        </is>
      </c>
      <c r="V93" s="3" t="n">
        <v>45981</v>
      </c>
      <c r="W93" s="2" t="inlineStr">
        <is>
          <t>AR: https://www.parlamento.pt/OrcamentoEstado/Paginas/DetalhePropostaAlteracao.aspx?BID=23275 PDF: https://app.parlamento.pt/webutils/docs/doc.pdf?path=6148523063484d364c793942556b356c6443397a6158526c63793959566b6c4a544556484c3039464c7a49774d6a59794d4449314d5441774f5339515153396d4d7a466c5a575669597930334d574d304c545135597a5574596d5579597930304d546b314e57526a595441324f5751756347526d&amp;Fich=f31eeebc-71c4-49c5-be2c-41955dca069d.pdf&amp;Inline=true</t>
        </is>
      </c>
      <c r="X93" s="2" t="inlineStr">
        <is>
          <t>Comissão de Economia e Coesão Territorial; Infraestruturas, Mobilidade e Habitação; Orçamento, Finanças e Administração Pública</t>
        </is>
      </c>
      <c r="Y93" s="2" t="inlineStr">
        <is>
          <t>Articulado</t>
        </is>
      </c>
      <c r="Z93" s="2" t="inlineStr">
        <is>
          <t>Aditamento (Artigo PPL)</t>
        </is>
      </c>
      <c r="AA93" s="2" t="inlineStr">
        <is>
          <t>Rejeitado(a) em Comissão</t>
        </is>
      </c>
      <c r="AB93" s="2" t="inlineStr"/>
      <c r="AC93" s="2" t="inlineStr"/>
      <c r="AD93" s="2" t="inlineStr">
        <is>
          <t>1</t>
        </is>
      </c>
      <c r="AE93" s="2" t="inlineStr">
        <is>
          <t>23275</t>
        </is>
      </c>
      <c r="AF93" s="2" t="inlineStr">
        <is>
          <t>https://www.parlamento.pt/OrcamentoEstado/Paginas/DetalhePropostaAlteracao.aspx?BID=23275</t>
        </is>
      </c>
      <c r="AG93" s="2" t="inlineStr">
        <is>
          <t>https://app.parlamento.pt/webutils/docs/doc.pdf?path=6148523063484d364c793942556b356c6443397a6158526c63793959566b6c4a544556484c3039464c7a49774d6a59794d4449314d5441774f5339515153396d4d7a466c5a575669597930334d574d304c545135597a5574596d5579597930304d546b314e57526a595441324f5751756347526d&amp;Fich=f31eeebc-71c4-49c5-be2c-41955dca069d.pdf&amp;Inline=true</t>
        </is>
      </c>
      <c r="AH93" s="3" t="n">
        <v>46321.77847222222</v>
      </c>
      <c r="AI93" s="3" t="n">
        <v>46321.78055555555</v>
      </c>
      <c r="AJ93" s="2" t="inlineStr"/>
    </row>
    <row r="94">
      <c r="A94" s="2" t="n">
        <v>93</v>
      </c>
      <c r="B94" s="2" t="inlineStr">
        <is>
          <t>83C-1</t>
        </is>
      </c>
      <c r="C94" s="3" t="n">
        <v>45961.49652777778</v>
      </c>
      <c r="D94" s="2" t="inlineStr">
        <is>
          <t>Original</t>
        </is>
      </c>
      <c r="E94" s="2" t="inlineStr">
        <is>
          <t>IL</t>
        </is>
      </c>
      <c r="F94" s="2" t="inlineStr">
        <is>
          <t>Angélique Da Teresa; Carlos Guimarães Pinto; Joana Cordeiro; Jorge Miguel Teixeira; Mariana Leitão; Mário Amorim Lopes; Miguel Rangel; Rodrigo Saraiva; Rui Rocha</t>
        </is>
      </c>
      <c r="G94" s="2" t="inlineStr">
        <is>
          <t>Art. 60.º (substituição)</t>
        </is>
      </c>
      <c r="H94" s="2" t="n"/>
      <c r="I94" s="2" t="n"/>
      <c r="J94" s="2" t="n"/>
      <c r="K94" s="2" t="n"/>
      <c r="L94" s="2" t="inlineStr">
        <is>
          <t>Alínea a), N.º 5, Corpo, Alínea a), Alínea b), N.º 7, N.º 9, Artigo 10.º do Código do IRS</t>
        </is>
      </c>
      <c r="M94" s="4" t="n"/>
      <c r="N94" s="4" t="n"/>
      <c r="O94" s="2" t="n"/>
      <c r="P94" s="2" t="n"/>
      <c r="Q94" s="2" t="n"/>
      <c r="R94" s="2" t="n"/>
      <c r="S94" s="2" t="inlineStr">
        <is>
          <t>Rejeitado(a) em Comissão</t>
        </is>
      </c>
      <c r="T94" s="2" t="inlineStr">
        <is>
          <t>Rejeitada</t>
        </is>
      </c>
      <c r="U94" s="2" t="inlineStr">
        <is>
          <t>Favor: CH, IL; Contra: PSD, PS, L, PCP, CDS-PP, BE; Abstenção: PAN</t>
        </is>
      </c>
      <c r="V94" s="3" t="n">
        <v>45981</v>
      </c>
      <c r="W94" s="2" t="inlineStr">
        <is>
          <t>AR: https://www.parlamento.pt/OrcamentoEstado/Paginas/DetalhePropostaAlteracao.aspx?BID=23276 PDF: https://app.parlamento.pt/webutils/docs/doc.pdf?path=6148523063484d364c793942556b356c6443397a6158526c63793959566b6c4a544556484c3039464c7a49774d6a59794d4449314d5441774f5339515153396c596d49335a446b315a6930314f44426a4c54526a4e325974595449334d433169596d51305a6a63344e7a63794d6d51756347526d&amp;Fich=ebb7d95f-580c-4c7f-a270-bbd4f787722d.pdf&amp;Inline=true</t>
        </is>
      </c>
      <c r="X94" s="2" t="inlineStr">
        <is>
          <t>Infraestruturas, Mobilidade e Habitação; Orçamento, Finanças e Administração Pública</t>
        </is>
      </c>
      <c r="Y94" s="2" t="inlineStr">
        <is>
          <t>Articulado</t>
        </is>
      </c>
      <c r="Z94" s="2" t="inlineStr">
        <is>
          <t>Substituição</t>
        </is>
      </c>
      <c r="AA94" s="2" t="inlineStr">
        <is>
          <t>Rejeitado(a) em Comissão</t>
        </is>
      </c>
      <c r="AB94" s="2" t="inlineStr"/>
      <c r="AC94" s="2" t="inlineStr">
        <is>
          <t>1</t>
        </is>
      </c>
      <c r="AD94" s="2" t="inlineStr">
        <is>
          <t>1</t>
        </is>
      </c>
      <c r="AE94" s="2" t="inlineStr">
        <is>
          <t>23276</t>
        </is>
      </c>
      <c r="AF94" s="2" t="inlineStr">
        <is>
          <t>https://www.parlamento.pt/OrcamentoEstado/Paginas/DetalhePropostaAlteracao.aspx?BID=23276</t>
        </is>
      </c>
      <c r="AG94" s="2" t="inlineStr">
        <is>
          <t>https://app.parlamento.pt/webutils/docs/doc.pdf?path=6148523063484d364c793942556b356c6443397a6158526c63793959566b6c4a544556484c3039464c7a49774d6a59794d4449314d5441774f5339515153396c596d49335a446b315a6930314f44426a4c54526a4e325974595449334d433169596d51305a6a63344e7a63794d6d51756347526d&amp;Fich=ebb7d95f-580c-4c7f-a270-bbd4f787722d.pdf&amp;Inline=true</t>
        </is>
      </c>
      <c r="AH94" s="3" t="n">
        <v>46321.77847222222</v>
      </c>
      <c r="AI94" s="3" t="n">
        <v>46321.78055555555</v>
      </c>
      <c r="AJ94" s="2" t="inlineStr"/>
    </row>
    <row r="95">
      <c r="A95" s="2" t="n">
        <v>94</v>
      </c>
      <c r="B95" s="2" t="inlineStr">
        <is>
          <t>83C-2</t>
        </is>
      </c>
      <c r="C95" s="3" t="n">
        <v>45961.49652777778</v>
      </c>
      <c r="D95" s="2" t="inlineStr">
        <is>
          <t>Original</t>
        </is>
      </c>
      <c r="E95" s="2" t="inlineStr">
        <is>
          <t>IL</t>
        </is>
      </c>
      <c r="F95" s="2" t="inlineStr">
        <is>
          <t>Angélique Da Teresa; Carlos Guimarães Pinto; Joana Cordeiro; Jorge Miguel Teixeira; Mariana Leitão; Mário Amorim Lopes; Miguel Rangel; Rodrigo Saraiva; Rui Rocha</t>
        </is>
      </c>
      <c r="G95" s="2" t="inlineStr">
        <is>
          <t>Art. 60.º (aditamento)</t>
        </is>
      </c>
      <c r="H95" s="2" t="n"/>
      <c r="I95" s="2" t="n"/>
      <c r="J95" s="2" t="n"/>
      <c r="K95" s="2" t="n"/>
      <c r="L95" s="2" t="inlineStr">
        <is>
          <t>Subalínea V), Subalínea VI), Alínea a), N.º 7, N.º 24, Artigo 10.º do Código do IRS</t>
        </is>
      </c>
      <c r="M95" s="4" t="n"/>
      <c r="N95" s="4" t="n"/>
      <c r="O95" s="2" t="n"/>
      <c r="P95" s="2" t="n"/>
      <c r="Q95" s="2" t="n"/>
      <c r="R95" s="2" t="n"/>
      <c r="S95" s="2" t="inlineStr">
        <is>
          <t>Rejeitado(a) em Comissão</t>
        </is>
      </c>
      <c r="T95" s="2" t="inlineStr">
        <is>
          <t>Rejeitada</t>
        </is>
      </c>
      <c r="U95" s="2" t="inlineStr">
        <is>
          <t>Favor: CH, IL; Contra: PSD, PS, L, PCP, CDS-PP, BE; Abstenção: PAN</t>
        </is>
      </c>
      <c r="V95" s="3" t="n">
        <v>45981</v>
      </c>
      <c r="W95" s="2" t="inlineStr">
        <is>
          <t>AR: https://www.parlamento.pt/OrcamentoEstado/Paginas/DetalhePropostaAlteracao.aspx?BID=23596 PDF: https://app.parlamento.pt/webutils/docs/doc.pdf?path=6148523063484d364c793942556b356c6443397a6158526c63793959566b6c4a544556484c3039464c7a49774d6a59794d4449314d5441774f533951515338784d5441324d446b314e43316d5a5455324c5451325a546b744f4455775a53307a4d3251334e546c6a4f5745354d6d49756347526d&amp;Fich=11060954-fe56-46e9-850e-33d759c9a92b.pdf&amp;Inline=true</t>
        </is>
      </c>
      <c r="X95" s="2" t="inlineStr">
        <is>
          <t>Infraestruturas, Mobilidade e Habitação; Orçamento, Finanças e Administração Pública</t>
        </is>
      </c>
      <c r="Y95" s="2" t="inlineStr">
        <is>
          <t>Articulado</t>
        </is>
      </c>
      <c r="Z95" s="2" t="inlineStr">
        <is>
          <t>Aditamento (Números e Alíneas)</t>
        </is>
      </c>
      <c r="AA95" s="2" t="inlineStr">
        <is>
          <t>Rejeitado(a) em Comissão</t>
        </is>
      </c>
      <c r="AB95" s="2" t="inlineStr"/>
      <c r="AC95" s="2" t="inlineStr">
        <is>
          <t>2</t>
        </is>
      </c>
      <c r="AD95" s="2" t="inlineStr">
        <is>
          <t>1</t>
        </is>
      </c>
      <c r="AE95" s="2" t="inlineStr">
        <is>
          <t>23596</t>
        </is>
      </c>
      <c r="AF95" s="2" t="inlineStr">
        <is>
          <t>https://www.parlamento.pt/OrcamentoEstado/Paginas/DetalhePropostaAlteracao.aspx?BID=23596</t>
        </is>
      </c>
      <c r="AG95" s="2" t="inlineStr">
        <is>
          <t>https://app.parlamento.pt/webutils/docs/doc.pdf?path=6148523063484d364c793942556b356c6443397a6158526c63793959566b6c4a544556484c3039464c7a49774d6a59794d4449314d5441774f533951515338784d5441324d446b314e43316d5a5455324c5451325a546b744f4455775a53307a4d3251334e546c6a4f5745354d6d49756347526d&amp;Fich=11060954-fe56-46e9-850e-33d759c9a92b.pdf&amp;Inline=true</t>
        </is>
      </c>
      <c r="AH95" s="3" t="n">
        <v>46321.77847222222</v>
      </c>
      <c r="AI95" s="3" t="n">
        <v>46321.78055555555</v>
      </c>
      <c r="AJ95" s="2" t="inlineStr"/>
    </row>
    <row r="96">
      <c r="A96" s="2" t="n">
        <v>95</v>
      </c>
      <c r="B96" s="2" t="inlineStr">
        <is>
          <t>83C-3</t>
        </is>
      </c>
      <c r="C96" s="3" t="n">
        <v>45961.49652777778</v>
      </c>
      <c r="D96" s="2" t="inlineStr">
        <is>
          <t>Original</t>
        </is>
      </c>
      <c r="E96" s="2" t="inlineStr">
        <is>
          <t>IL</t>
        </is>
      </c>
      <c r="F96" s="2" t="inlineStr">
        <is>
          <t>Angélique Da Teresa; Carlos Guimarães Pinto; Joana Cordeiro; Jorge Miguel Teixeira; Mariana Leitão; Mário Amorim Lopes; Miguel Rangel; Rodrigo Saraiva; Rui Rocha</t>
        </is>
      </c>
      <c r="G96" s="2" t="inlineStr">
        <is>
          <t>Art. 138.º (aditamento)</t>
        </is>
      </c>
      <c r="H96" s="2" t="n"/>
      <c r="I96" s="2" t="n"/>
      <c r="J96" s="2" t="n"/>
      <c r="K96" s="2" t="n"/>
      <c r="L96" s="2" t="inlineStr">
        <is>
          <t>Alínea c), Artigo 138.º</t>
        </is>
      </c>
      <c r="M96" s="4" t="n"/>
      <c r="N96" s="4" t="n"/>
      <c r="O96" s="2" t="n"/>
      <c r="P96" s="2" t="n"/>
      <c r="Q96" s="2" t="n"/>
      <c r="R96" s="2" t="n"/>
      <c r="S96" s="2" t="inlineStr">
        <is>
          <t>Rejeitado(a) em Comissão</t>
        </is>
      </c>
      <c r="T96" s="2" t="inlineStr">
        <is>
          <t>Rejeitada</t>
        </is>
      </c>
      <c r="U96" s="2" t="inlineStr">
        <is>
          <t>Favor: CH, IL; Contra: PSD, PS, L, PCP, CDS-PP, BE; Abstenção: PAN</t>
        </is>
      </c>
      <c r="V96" s="3" t="n">
        <v>45987</v>
      </c>
      <c r="W96" s="2" t="inlineStr">
        <is>
          <t>AR: https://www.parlamento.pt/OrcamentoEstado/Paginas/DetalhePropostaAlteracao.aspx?BID=23622 PDF: https://app.parlamento.pt/webutils/docs/doc.pdf?path=6148523063484d364c793942556b356c6443397a6158526c63793959566b6c4a544556484c3039464c7a49774d6a59794d4449314d5441774f5339515153396d4d445131596a45314f4330314e7a6b304c54517a5a6d51744f474e6c4d53316a595467784e6a566a59574e6d4d6d59756347526d&amp;Fich=f045b158-5794-43fd-8ce1-ca8165cacf2f.pdf&amp;Inline=true</t>
        </is>
      </c>
      <c r="X96" s="2" t="inlineStr">
        <is>
          <t>Infraestruturas, Mobilidade e Habitação; Orçamento, Finanças e Administração Pública</t>
        </is>
      </c>
      <c r="Y96" s="2" t="inlineStr">
        <is>
          <t>Articulado</t>
        </is>
      </c>
      <c r="Z96" s="2" t="inlineStr">
        <is>
          <t>Aditamento (Números e Alíneas)</t>
        </is>
      </c>
      <c r="AA96" s="2" t="inlineStr">
        <is>
          <t>Rejeitado(a) em Comissão</t>
        </is>
      </c>
      <c r="AB96" s="2" t="inlineStr"/>
      <c r="AC96" s="2" t="inlineStr">
        <is>
          <t>3</t>
        </is>
      </c>
      <c r="AD96" s="2" t="inlineStr">
        <is>
          <t>1</t>
        </is>
      </c>
      <c r="AE96" s="2" t="inlineStr">
        <is>
          <t>23622</t>
        </is>
      </c>
      <c r="AF96" s="2" t="inlineStr">
        <is>
          <t>https://www.parlamento.pt/OrcamentoEstado/Paginas/DetalhePropostaAlteracao.aspx?BID=23622</t>
        </is>
      </c>
      <c r="AG96" s="2" t="inlineStr">
        <is>
          <t>https://app.parlamento.pt/webutils/docs/doc.pdf?path=6148523063484d364c793942556b356c6443397a6158526c63793959566b6c4a544556484c3039464c7a49774d6a59794d4449314d5441774f5339515153396d4d445131596a45314f4330314e7a6b304c54517a5a6d51744f474e6c4d53316a595467784e6a566a59574e6d4d6d59756347526d&amp;Fich=f045b158-5794-43fd-8ce1-ca8165cacf2f.pdf&amp;Inline=true</t>
        </is>
      </c>
      <c r="AH96" s="3" t="n">
        <v>46321.77847222222</v>
      </c>
      <c r="AI96" s="3" t="n">
        <v>46321.78055555555</v>
      </c>
      <c r="AJ96" s="2" t="inlineStr"/>
    </row>
    <row r="97">
      <c r="A97" s="2" t="n">
        <v>96</v>
      </c>
      <c r="B97" s="2" t="inlineStr">
        <is>
          <t>84C</t>
        </is>
      </c>
      <c r="C97" s="3" t="n">
        <v>45961.5</v>
      </c>
      <c r="D97" s="2" t="inlineStr">
        <is>
          <t>Retirada</t>
        </is>
      </c>
      <c r="E97" s="2" t="inlineStr">
        <is>
          <t>IL</t>
        </is>
      </c>
      <c r="F97" s="2" t="inlineStr">
        <is>
          <t>Angélique Da Teresa; Carlos Guimarães Pinto; Joana Cordeiro; Jorge Miguel Teixeira; Mariana Leitão; Mário Amorim Lopes; Miguel Rangel; Rodrigo Saraiva; Rui Rocha</t>
        </is>
      </c>
      <c r="G97" s="2" t="inlineStr">
        <is>
          <t>Art. 62.º-A (aditamento)</t>
        </is>
      </c>
      <c r="H97" s="2" t="n"/>
      <c r="I97" s="2" t="n"/>
      <c r="J97" s="2" t="n"/>
      <c r="K97" s="2" t="n"/>
      <c r="L97" s="2" t="inlineStr">
        <is>
          <t>Artigo 62.º-A (Aditamento ao Estatuto dos Benefícios Fiscais)</t>
        </is>
      </c>
      <c r="M97" s="4" t="n"/>
      <c r="N97" s="4" t="n"/>
      <c r="O97" s="2" t="n"/>
      <c r="P97" s="2" t="n"/>
      <c r="Q97" s="2" t="n"/>
      <c r="R97" s="2" t="n"/>
      <c r="S97" s="2" t="inlineStr">
        <is>
          <t>Retirado(a)</t>
        </is>
      </c>
      <c r="T97" s="2" t="inlineStr">
        <is>
          <t>Retirada</t>
        </is>
      </c>
      <c r="U97" s="2" t="inlineStr"/>
      <c r="V97" s="3" t="n"/>
      <c r="W97" s="2" t="inlineStr">
        <is>
          <t>AR: https://www.parlamento.pt/OrcamentoEstado/Paginas/DetalhePropostaAlteracao.aspx?BID=23277 PDF: https://app.parlamento.pt/webutils/docs/doc.pdf?path=6148523063484d364c793942556b356c6443397a6158526c63793959566b6c4a544556484c3039464c7a49774d6a59794d4449314d5441774f533951515338304e324d33596d59354f43307a4d6a5a6d4c5451325a6a4d745954566d5969303559544e6c4f4445774e7a49775a6a4d756347526d&amp;Fich=47c7bf98-326f-46f3-a5fb-9a3e810720f3.pdf&amp;Inline=true</t>
        </is>
      </c>
      <c r="X97" s="2" t="inlineStr">
        <is>
          <t>Infraestruturas, Mobilidade e Habitação; Orçamento, Finanças e Administração Pública</t>
        </is>
      </c>
      <c r="Y97" s="2" t="inlineStr">
        <is>
          <t>Articulado</t>
        </is>
      </c>
      <c r="Z97" s="2" t="inlineStr">
        <is>
          <t>Aditamento (Artigo PPL)</t>
        </is>
      </c>
      <c r="AA97" s="2" t="inlineStr">
        <is>
          <t>Retirado(a)</t>
        </is>
      </c>
      <c r="AB97" s="2" t="inlineStr"/>
      <c r="AC97" s="2" t="inlineStr"/>
      <c r="AD97" s="2" t="inlineStr">
        <is>
          <t>0</t>
        </is>
      </c>
      <c r="AE97" s="2" t="inlineStr">
        <is>
          <t>23277</t>
        </is>
      </c>
      <c r="AF97" s="2" t="inlineStr">
        <is>
          <t>https://www.parlamento.pt/OrcamentoEstado/Paginas/DetalhePropostaAlteracao.aspx?BID=23277</t>
        </is>
      </c>
      <c r="AG97" s="2" t="inlineStr">
        <is>
          <t>https://app.parlamento.pt/webutils/docs/doc.pdf?path=6148523063484d364c793942556b356c6443397a6158526c63793959566b6c4a544556484c3039464c7a49774d6a59794d4449314d5441774f533951515338304e324d33596d59354f43307a4d6a5a6d4c5451325a6a4d745954566d5969303559544e6c4f4445774e7a49775a6a4d756347526d&amp;Fich=47c7bf98-326f-46f3-a5fb-9a3e810720f3.pdf&amp;Inline=true</t>
        </is>
      </c>
      <c r="AH97" s="3" t="n">
        <v>46321.77847222222</v>
      </c>
      <c r="AI97" s="3" t="n">
        <v>46321.78055555555</v>
      </c>
      <c r="AJ97" s="2" t="inlineStr"/>
    </row>
    <row r="98">
      <c r="A98" s="2" t="n">
        <v>97</v>
      </c>
      <c r="B98" s="2" t="inlineStr">
        <is>
          <t>85C</t>
        </is>
      </c>
      <c r="C98" s="3" t="n">
        <v>45961.75486111111</v>
      </c>
      <c r="D98" s="2" t="inlineStr">
        <is>
          <t>Original</t>
        </is>
      </c>
      <c r="E98" s="2" t="inlineStr">
        <is>
          <t>L</t>
        </is>
      </c>
      <c r="F98" s="2" t="inlineStr">
        <is>
          <t>Filipa Pinto; Isabel Mendes Lopes; Jorge Pinto; Patrícia Gonçalves; Paulo Muacho; Rui Tavares</t>
        </is>
      </c>
      <c r="G98" s="2" t="inlineStr">
        <is>
          <t>Art. 123.º-A (aditamento)</t>
        </is>
      </c>
      <c r="H98" s="2" t="n"/>
      <c r="I98" s="2" t="n"/>
      <c r="J98" s="2" t="n"/>
      <c r="K98" s="2" t="n"/>
      <c r="L98" s="2" t="inlineStr">
        <is>
          <t>Artigo 123.º-A (Passe de Mobilidade Nacional)</t>
        </is>
      </c>
      <c r="M98" s="4" t="n"/>
      <c r="N98" s="4" t="n"/>
      <c r="O98" s="2" t="n"/>
      <c r="P98" s="2" t="n"/>
      <c r="Q98" s="2" t="n"/>
      <c r="R98" s="2" t="n"/>
      <c r="S98" s="2" t="inlineStr">
        <is>
          <t>Rejeitado(a) em Comissão</t>
        </is>
      </c>
      <c r="T98" s="2" t="inlineStr">
        <is>
          <t>Rejeitada</t>
        </is>
      </c>
      <c r="U98" s="2" t="inlineStr">
        <is>
          <t>Favor: L, BE, PAN; Contra: PSD, IL, CDS-PP; Abstenção: CH, PS, PCP</t>
        </is>
      </c>
      <c r="V98" s="3" t="n">
        <v>45985</v>
      </c>
      <c r="W98" s="2" t="inlineStr">
        <is>
          <t>AR: https://www.parlamento.pt/OrcamentoEstado/Paginas/DetalhePropostaAlteracao.aspx?BID=23278 PDF: https://app.parlamento.pt/webutils/docs/doc.pdf?path=6148523063484d364c793942556b356c6443397a6158526c63793959566b6c4a544556484c3039464c7a49774d6a59794d4449314d5441774f5339515153396c4d544e695a446c684e5330785a44466c4c54517a4e325174596a56684f4330774f5445334d7a49334e3245324d4751756347526d&amp;Fich=e13bd9a5-1d1e-437d-b5a8-09173277a60d.pdf&amp;Inline=true</t>
        </is>
      </c>
      <c r="X98" s="2" t="inlineStr">
        <is>
          <t>Infraestruturas, Mobilidade e Habitação</t>
        </is>
      </c>
      <c r="Y98" s="2" t="inlineStr">
        <is>
          <t>Articulado</t>
        </is>
      </c>
      <c r="Z98" s="2" t="inlineStr">
        <is>
          <t>Aditamento (Artigo PPL)</t>
        </is>
      </c>
      <c r="AA98" s="2" t="inlineStr">
        <is>
          <t>Rejeitado(a) em Comissão</t>
        </is>
      </c>
      <c r="AB98" s="2" t="inlineStr"/>
      <c r="AC98" s="2" t="inlineStr"/>
      <c r="AD98" s="2" t="inlineStr">
        <is>
          <t>1</t>
        </is>
      </c>
      <c r="AE98" s="2" t="inlineStr">
        <is>
          <t>23278</t>
        </is>
      </c>
      <c r="AF98" s="2" t="inlineStr">
        <is>
          <t>https://www.parlamento.pt/OrcamentoEstado/Paginas/DetalhePropostaAlteracao.aspx?BID=23278</t>
        </is>
      </c>
      <c r="AG98" s="2" t="inlineStr">
        <is>
          <t>https://app.parlamento.pt/webutils/docs/doc.pdf?path=6148523063484d364c793942556b356c6443397a6158526c63793959566b6c4a544556484c3039464c7a49774d6a59794d4449314d5441774f5339515153396c4d544e695a446c684e5330785a44466c4c54517a4e325174596a56684f4330774f5445334d7a49334e3245324d4751756347526d&amp;Fich=e13bd9a5-1d1e-437d-b5a8-09173277a60d.pdf&amp;Inline=true</t>
        </is>
      </c>
      <c r="AH98" s="3" t="n">
        <v>46321.77847222222</v>
      </c>
      <c r="AI98" s="3" t="n">
        <v>46321.78055555555</v>
      </c>
      <c r="AJ98" s="2" t="inlineStr"/>
    </row>
    <row r="99">
      <c r="A99" s="2" t="n">
        <v>98</v>
      </c>
      <c r="B99" s="2" t="inlineStr">
        <is>
          <t>86C</t>
        </is>
      </c>
      <c r="C99" s="3" t="n">
        <v>45961.81180555555</v>
      </c>
      <c r="D99" s="2" t="inlineStr">
        <is>
          <t>Original</t>
        </is>
      </c>
      <c r="E99" s="2" t="inlineStr">
        <is>
          <t>L</t>
        </is>
      </c>
      <c r="F99" s="2" t="inlineStr">
        <is>
          <t>Filipa Pinto; Isabel Mendes Lopes; Jorge Pinto; Patrícia Gonçalves; Paulo Muacho; Rui Tavares</t>
        </is>
      </c>
      <c r="G99" s="2" t="inlineStr">
        <is>
          <t>Art. 123.º-A (aditamento)</t>
        </is>
      </c>
      <c r="H99" s="2" t="n"/>
      <c r="I99" s="2" t="n"/>
      <c r="J99" s="2" t="n"/>
      <c r="K99" s="2" t="n"/>
      <c r="L99" s="2" t="inlineStr">
        <is>
          <t>Artigo 123.º-A (Estrutura de Missão para a Mobilidade Ativa)</t>
        </is>
      </c>
      <c r="M99" s="4" t="n"/>
      <c r="N99" s="4" t="n"/>
      <c r="O99" s="2" t="n"/>
      <c r="P99" s="2" t="n"/>
      <c r="Q99" s="2" t="n"/>
      <c r="R99" s="2" t="n"/>
      <c r="S99" s="2" t="inlineStr">
        <is>
          <t>Rejeitado(a) em Comissão</t>
        </is>
      </c>
      <c r="T99" s="2" t="inlineStr">
        <is>
          <t>Rejeitada</t>
        </is>
      </c>
      <c r="U99" s="2" t="inlineStr">
        <is>
          <t>Favor: L, PCP, BE, PAN; Contra: PSD, CH, IL, CDS-PP; Abstenção: PS</t>
        </is>
      </c>
      <c r="V99" s="3" t="n">
        <v>45985</v>
      </c>
      <c r="W99" s="2" t="inlineStr">
        <is>
          <t>AR: https://www.parlamento.pt/OrcamentoEstado/Paginas/DetalhePropostaAlteracao.aspx?BID=23279 PDF: https://app.parlamento.pt/webutils/docs/doc.pdf?path=6148523063484d364c793942556b356c6443397a6158526c63793959566b6c4a544556484c3039464c7a49774d6a59794d4449314d5441774f533951515338774e4749784e6d5a6d5a5331695a6d45324c5451314e324d744f4459324d6930354f444e6a4f4745344e6d4e694e6a55756347526d&amp;Fich=04b16ffe-bfa6-457c-8662-983c8a86cb65.pdf&amp;Inline=true</t>
        </is>
      </c>
      <c r="X99" s="2" t="inlineStr">
        <is>
          <t>Infraestruturas, Mobilidade e Habitação</t>
        </is>
      </c>
      <c r="Y99" s="2" t="inlineStr">
        <is>
          <t>Articulado</t>
        </is>
      </c>
      <c r="Z99" s="2" t="inlineStr">
        <is>
          <t>Aditamento (Artigo PPL)</t>
        </is>
      </c>
      <c r="AA99" s="2" t="inlineStr">
        <is>
          <t>Rejeitado(a) em Comissão</t>
        </is>
      </c>
      <c r="AB99" s="2" t="inlineStr"/>
      <c r="AC99" s="2" t="inlineStr"/>
      <c r="AD99" s="2" t="inlineStr">
        <is>
          <t>1</t>
        </is>
      </c>
      <c r="AE99" s="2" t="inlineStr">
        <is>
          <t>23279</t>
        </is>
      </c>
      <c r="AF99" s="2" t="inlineStr">
        <is>
          <t>https://www.parlamento.pt/OrcamentoEstado/Paginas/DetalhePropostaAlteracao.aspx?BID=23279</t>
        </is>
      </c>
      <c r="AG99" s="2" t="inlineStr">
        <is>
          <t>https://app.parlamento.pt/webutils/docs/doc.pdf?path=6148523063484d364c793942556b356c6443397a6158526c63793959566b6c4a544556484c3039464c7a49774d6a59794d4449314d5441774f533951515338774e4749784e6d5a6d5a5331695a6d45324c5451314e324d744f4459324d6930354f444e6a4f4745344e6d4e694e6a55756347526d&amp;Fich=04b16ffe-bfa6-457c-8662-983c8a86cb65.pdf&amp;Inline=true</t>
        </is>
      </c>
      <c r="AH99" s="3" t="n">
        <v>46321.77847222222</v>
      </c>
      <c r="AI99" s="3" t="n">
        <v>46321.78055555555</v>
      </c>
      <c r="AJ99" s="2" t="inlineStr"/>
    </row>
    <row r="100">
      <c r="A100" s="2" t="n">
        <v>99</v>
      </c>
      <c r="B100" s="2" t="inlineStr">
        <is>
          <t>87C</t>
        </is>
      </c>
      <c r="C100" s="3" t="n">
        <v>45961.81944444445</v>
      </c>
      <c r="D100" s="2" t="inlineStr">
        <is>
          <t>Original</t>
        </is>
      </c>
      <c r="E100" s="2" t="inlineStr">
        <is>
          <t>L</t>
        </is>
      </c>
      <c r="F100" s="2" t="inlineStr">
        <is>
          <t>Filipa Pinto; Isabel Mendes Lopes; Jorge Pinto; Patrícia Gonçalves; Paulo Muacho; Rui Tavares</t>
        </is>
      </c>
      <c r="G100" s="2" t="inlineStr">
        <is>
          <t>Art. 123.º-A (aditamento)</t>
        </is>
      </c>
      <c r="H100" s="2" t="n"/>
      <c r="I100" s="2" t="n"/>
      <c r="J100" s="2" t="n"/>
      <c r="K100" s="2" t="n"/>
      <c r="L100" s="2" t="inlineStr">
        <is>
          <t>Artigo 123.º-A (Retoma dos comboios noturnos internacionais Portugal-Espanha)</t>
        </is>
      </c>
      <c r="M100" s="4" t="n"/>
      <c r="N100" s="4" t="n"/>
      <c r="O100" s="2" t="n"/>
      <c r="P100" s="2" t="n"/>
      <c r="Q100" s="2" t="n"/>
      <c r="R100" s="2" t="n"/>
      <c r="S100" s="2" t="inlineStr">
        <is>
          <t>Aprovado(a) em Comissão</t>
        </is>
      </c>
      <c r="T100" s="2" t="inlineStr">
        <is>
          <t>Aprovada</t>
        </is>
      </c>
      <c r="U100" s="2" t="inlineStr">
        <is>
          <t>Favor: CH, PS, L, PCP, BE, PAN; Contra: PSD, CDS-PP; Abstenção: IL</t>
        </is>
      </c>
      <c r="V100" s="3" t="n">
        <v>45985</v>
      </c>
      <c r="W100" s="2" t="inlineStr">
        <is>
          <t>AR: https://www.parlamento.pt/OrcamentoEstado/Paginas/DetalhePropostaAlteracao.aspx?BID=23280 PDF: https://app.parlamento.pt/webutils/docs/doc.pdf?path=6148523063484d364c793942556b356c6443397a6158526c63793959566b6c4a544556484c3039464c7a49774d6a59794d4449314d5441774f533951515338314d546c685a444a6d4f53316b5954466c4c545134595463744f544a694d433032597a49314f44426d4d4449795a4451756347526d&amp;Fich=519ad2f9-da1e-48a7-92b0-6c2580f022d4.pdf&amp;Inline=true</t>
        </is>
      </c>
      <c r="X100" s="2" t="inlineStr">
        <is>
          <t>Infraestruturas, Mobilidade e Habitação</t>
        </is>
      </c>
      <c r="Y100" s="2" t="inlineStr">
        <is>
          <t>Articulado</t>
        </is>
      </c>
      <c r="Z100" s="2" t="inlineStr">
        <is>
          <t>Aditamento (Artigo PPL)</t>
        </is>
      </c>
      <c r="AA100" s="2" t="inlineStr">
        <is>
          <t>Aprovado(a) em Comissão</t>
        </is>
      </c>
      <c r="AB100" s="2" t="inlineStr"/>
      <c r="AC100" s="2" t="inlineStr"/>
      <c r="AD100" s="2" t="inlineStr">
        <is>
          <t>1</t>
        </is>
      </c>
      <c r="AE100" s="2" t="inlineStr">
        <is>
          <t>23280</t>
        </is>
      </c>
      <c r="AF100" s="2" t="inlineStr">
        <is>
          <t>https://www.parlamento.pt/OrcamentoEstado/Paginas/DetalhePropostaAlteracao.aspx?BID=23280</t>
        </is>
      </c>
      <c r="AG100" s="2" t="inlineStr">
        <is>
          <t>https://app.parlamento.pt/webutils/docs/doc.pdf?path=6148523063484d364c793942556b356c6443397a6158526c63793959566b6c4a544556484c3039464c7a49774d6a59794d4449314d5441774f533951515338314d546c685a444a6d4f53316b5954466c4c545134595463744f544a694d433032597a49314f44426d4d4449795a4451756347526d&amp;Fich=519ad2f9-da1e-48a7-92b0-6c2580f022d4.pdf&amp;Inline=true</t>
        </is>
      </c>
      <c r="AH100" s="3" t="n">
        <v>46321.77847222222</v>
      </c>
      <c r="AI100" s="3" t="n">
        <v>46321.78055555555</v>
      </c>
      <c r="AJ100" s="2" t="inlineStr"/>
    </row>
    <row r="101">
      <c r="A101" s="2" t="n">
        <v>100</v>
      </c>
      <c r="B101" s="2" t="inlineStr">
        <is>
          <t>88C</t>
        </is>
      </c>
      <c r="C101" s="3" t="n">
        <v>45961.82847222222</v>
      </c>
      <c r="D101" s="2" t="inlineStr">
        <is>
          <t>Original</t>
        </is>
      </c>
      <c r="E101" s="2" t="inlineStr">
        <is>
          <t>L</t>
        </is>
      </c>
      <c r="F101" s="2" t="inlineStr">
        <is>
          <t>Filipa Pinto; Isabel Mendes Lopes; Jorge Pinto; Patrícia Gonçalves; Paulo Muacho; Rui Tavares</t>
        </is>
      </c>
      <c r="G101" s="2" t="inlineStr">
        <is>
          <t>Art. 67.º (substituição)</t>
        </is>
      </c>
      <c r="H101" s="2" t="n"/>
      <c r="I101" s="2" t="n"/>
      <c r="J101" s="2" t="n"/>
      <c r="K101" s="2" t="n"/>
      <c r="L101" s="2" t="inlineStr">
        <is>
          <t>N.º 2, N.º 4, Artigo 54.º do Código do ISV</t>
        </is>
      </c>
      <c r="M101" s="4" t="n"/>
      <c r="N101" s="4" t="n"/>
      <c r="O101" s="2" t="n"/>
      <c r="P101" s="2" t="n"/>
      <c r="Q101" s="2" t="n"/>
      <c r="R101" s="2" t="n"/>
      <c r="S101" s="2" t="inlineStr">
        <is>
          <t>Rejeitado(a) em Comissão</t>
        </is>
      </c>
      <c r="T101" s="2" t="inlineStr">
        <is>
          <t>Rejeitada</t>
        </is>
      </c>
      <c r="U101" s="2" t="inlineStr">
        <is>
          <t>Favor: IL, L, PCP, BE, PAN; Contra: PSD, CH, CDS-PP; Abstenção: PS</t>
        </is>
      </c>
      <c r="V101" s="3" t="n">
        <v>45982</v>
      </c>
      <c r="W101" s="2" t="inlineStr">
        <is>
          <t>AR: https://www.parlamento.pt/OrcamentoEstado/Paginas/DetalhePropostaAlteracao.aspx?BID=23281 PDF: https://app.parlamento.pt/webutils/docs/doc.pdf?path=6148523063484d364c793942556b356c6443397a6158526c63793959566b6c4a544556484c3039464c7a49774d6a59794d4449314d5441774f533951515339684f474d78596d49315969307a5a4459314c5451774d574574595451324d4331694e6d55344d7a4e6c5a6d466c595459756347526d&amp;Fich=a8c1bb5b-3d65-401a-a460-b6e833efaea6.pdf&amp;Inline=true</t>
        </is>
      </c>
      <c r="X101" s="2" t="inlineStr">
        <is>
          <t>Infraestruturas, Mobilidade e Habitação; Orçamento, Finanças e Administração Pública</t>
        </is>
      </c>
      <c r="Y101" s="2" t="inlineStr">
        <is>
          <t>Articulado</t>
        </is>
      </c>
      <c r="Z101" s="2" t="inlineStr">
        <is>
          <t>Substituição</t>
        </is>
      </c>
      <c r="AA101" s="2" t="inlineStr">
        <is>
          <t>Rejeitado(a) em Comissão</t>
        </is>
      </c>
      <c r="AB101" s="2" t="inlineStr"/>
      <c r="AC101" s="2" t="inlineStr"/>
      <c r="AD101" s="2" t="inlineStr">
        <is>
          <t>1</t>
        </is>
      </c>
      <c r="AE101" s="2" t="inlineStr">
        <is>
          <t>23281</t>
        </is>
      </c>
      <c r="AF101" s="2" t="inlineStr">
        <is>
          <t>https://www.parlamento.pt/OrcamentoEstado/Paginas/DetalhePropostaAlteracao.aspx?BID=23281</t>
        </is>
      </c>
      <c r="AG101" s="2" t="inlineStr">
        <is>
          <t>https://app.parlamento.pt/webutils/docs/doc.pdf?path=6148523063484d364c793942556b356c6443397a6158526c63793959566b6c4a544556484c3039464c7a49774d6a59794d4449314d5441774f533951515339684f474d78596d49315969307a5a4459314c5451774d574574595451324d4331694e6d55344d7a4e6c5a6d466c595459756347526d&amp;Fich=a8c1bb5b-3d65-401a-a460-b6e833efaea6.pdf&amp;Inline=true</t>
        </is>
      </c>
      <c r="AH101" s="3" t="n">
        <v>46321.77847222222</v>
      </c>
      <c r="AI101" s="3" t="n">
        <v>46321.78055555555</v>
      </c>
      <c r="AJ101" s="2" t="inlineStr"/>
    </row>
    <row r="102">
      <c r="A102" s="2" t="n">
        <v>101</v>
      </c>
      <c r="B102" s="2" t="inlineStr">
        <is>
          <t>89C</t>
        </is>
      </c>
      <c r="C102" s="3" t="n">
        <v>45961.83194444444</v>
      </c>
      <c r="D102" s="2" t="inlineStr">
        <is>
          <t>Original</t>
        </is>
      </c>
      <c r="E102" s="2" t="inlineStr">
        <is>
          <t>L</t>
        </is>
      </c>
      <c r="F102" s="2" t="inlineStr">
        <is>
          <t>Filipa Pinto; Isabel Mendes Lopes; Jorge Pinto; Patrícia Gonçalves; Paulo Muacho; Rui Tavares</t>
        </is>
      </c>
      <c r="G102" s="2" t="inlineStr">
        <is>
          <t>Art. 67.º (substituição)</t>
        </is>
      </c>
      <c r="H102" s="2" t="n"/>
      <c r="I102" s="2" t="n"/>
      <c r="J102" s="2" t="n"/>
      <c r="K102" s="2" t="n"/>
      <c r="L102" s="2" t="inlineStr">
        <is>
          <t>Alínea a), N.º 1, Artigo 55.º do Código do ISV</t>
        </is>
      </c>
      <c r="M102" s="4" t="n"/>
      <c r="N102" s="4" t="n"/>
      <c r="O102" s="2" t="n"/>
      <c r="P102" s="2" t="n"/>
      <c r="Q102" s="2" t="n"/>
      <c r="R102" s="2" t="n"/>
      <c r="S102" s="2" t="inlineStr">
        <is>
          <t>Rejeitado(a) em Comissão</t>
        </is>
      </c>
      <c r="T102" s="2" t="inlineStr">
        <is>
          <t>Rejeitada</t>
        </is>
      </c>
      <c r="U102" s="2" t="inlineStr">
        <is>
          <t>Favor: IL, L, PCP, BE, PAN; Contra: PSD, CH, CDS-PP; Abstenção: PS</t>
        </is>
      </c>
      <c r="V102" s="3" t="n">
        <v>45982</v>
      </c>
      <c r="W102" s="2" t="inlineStr">
        <is>
          <t>AR: https://www.parlamento.pt/OrcamentoEstado/Paginas/DetalhePropostaAlteracao.aspx?BID=23282 PDF: https://app.parlamento.pt/webutils/docs/doc.pdf?path=6148523063484d364c793942556b356c6443397a6158526c63793959566b6c4a544556484c3039464c7a49774d6a59794d4449314d5441774f533951515338794e47466b4d44466c4d69316b5a5451774c5452694d6d5974596a5535597930785a6a4935596a67334d446b774e5445756347526d&amp;Fich=24ad01e2-de40-4b2f-b59c-1f29b8709051.pdf&amp;Inline=true</t>
        </is>
      </c>
      <c r="X102" s="2" t="inlineStr">
        <is>
          <t>Infraestruturas, Mobilidade e Habitação; Orçamento, Finanças e Administração Pública</t>
        </is>
      </c>
      <c r="Y102" s="2" t="inlineStr">
        <is>
          <t>Articulado</t>
        </is>
      </c>
      <c r="Z102" s="2" t="inlineStr">
        <is>
          <t>Substituição</t>
        </is>
      </c>
      <c r="AA102" s="2" t="inlineStr">
        <is>
          <t>Rejeitado(a) em Comissão</t>
        </is>
      </c>
      <c r="AB102" s="2" t="inlineStr"/>
      <c r="AC102" s="2" t="inlineStr"/>
      <c r="AD102" s="2" t="inlineStr">
        <is>
          <t>1</t>
        </is>
      </c>
      <c r="AE102" s="2" t="inlineStr">
        <is>
          <t>23282</t>
        </is>
      </c>
      <c r="AF102" s="2" t="inlineStr">
        <is>
          <t>https://www.parlamento.pt/OrcamentoEstado/Paginas/DetalhePropostaAlteracao.aspx?BID=23282</t>
        </is>
      </c>
      <c r="AG102" s="2" t="inlineStr">
        <is>
          <t>https://app.parlamento.pt/webutils/docs/doc.pdf?path=6148523063484d364c793942556b356c6443397a6158526c63793959566b6c4a544556484c3039464c7a49774d6a59794d4449314d5441774f533951515338794e47466b4d44466c4d69316b5a5451774c5452694d6d5974596a5535597930785a6a4935596a67334d446b774e5445756347526d&amp;Fich=24ad01e2-de40-4b2f-b59c-1f29b8709051.pdf&amp;Inline=true</t>
        </is>
      </c>
      <c r="AH102" s="3" t="n">
        <v>46321.77847222222</v>
      </c>
      <c r="AI102" s="3" t="n">
        <v>46321.78055555555</v>
      </c>
      <c r="AJ102" s="2" t="inlineStr"/>
    </row>
    <row r="103">
      <c r="A103" s="2" t="n">
        <v>102</v>
      </c>
      <c r="B103" s="2" t="inlineStr">
        <is>
          <t>90C</t>
        </is>
      </c>
      <c r="C103" s="3" t="n">
        <v>45961.83472222222</v>
      </c>
      <c r="D103" s="2" t="inlineStr">
        <is>
          <t>Original</t>
        </is>
      </c>
      <c r="E103" s="2" t="inlineStr">
        <is>
          <t>L</t>
        </is>
      </c>
      <c r="F103" s="2" t="inlineStr">
        <is>
          <t>Filipa Pinto; Isabel Mendes Lopes; Jorge Pinto; Patrícia Gonçalves; Paulo Muacho; Rui Tavares</t>
        </is>
      </c>
      <c r="G103" s="2" t="inlineStr">
        <is>
          <t>Art. 138.º (aditamento)</t>
        </is>
      </c>
      <c r="H103" s="2" t="n"/>
      <c r="I103" s="2" t="n"/>
      <c r="J103" s="2" t="n"/>
      <c r="K103" s="2" t="n"/>
      <c r="L103" s="2" t="inlineStr">
        <is>
          <t>Alínea c), Artigo 138.º</t>
        </is>
      </c>
      <c r="M103" s="4" t="n"/>
      <c r="N103" s="4" t="n"/>
      <c r="O103" s="2" t="n"/>
      <c r="P103" s="2" t="n"/>
      <c r="Q103" s="2" t="n"/>
      <c r="R103" s="2" t="n"/>
      <c r="S103" s="2" t="inlineStr">
        <is>
          <t>Rejeitado(a) em Comissão</t>
        </is>
      </c>
      <c r="T103" s="2" t="inlineStr">
        <is>
          <t>Rejeitada</t>
        </is>
      </c>
      <c r="U103" s="2" t="inlineStr">
        <is>
          <t>Favor: IL, L, PCP, BE, PAN; Contra: PSD, CDS-PP; Abstenção: CH, PS</t>
        </is>
      </c>
      <c r="V103" s="3" t="n">
        <v>45987</v>
      </c>
      <c r="W103" s="2" t="inlineStr">
        <is>
          <t>AR: https://www.parlamento.pt/OrcamentoEstado/Paginas/DetalhePropostaAlteracao.aspx?BID=23283 PDF: https://app.parlamento.pt/webutils/docs/doc.pdf?path=6148523063484d364c793942556b356c6443397a6158526c63793959566b6c4a544556484c3039464c7a49774d6a59794d4449314d5441774f533951515338304e4455784d6a426c4d69316a5a4449324c5451794f545174596d5a6a5969316c4d4445774e54466a4d6d56694f5751756347526d&amp;Fich=445120e2-cd26-4294-bfcb-e01051c2eb9d.pdf&amp;Inline=true</t>
        </is>
      </c>
      <c r="X103" s="2" t="inlineStr">
        <is>
          <t>Infraestruturas, Mobilidade e Habitação; Orçamento, Finanças e Administração Pública</t>
        </is>
      </c>
      <c r="Y103" s="2" t="inlineStr">
        <is>
          <t>Articulado</t>
        </is>
      </c>
      <c r="Z103" s="2" t="inlineStr">
        <is>
          <t>Aditamento (Números e Alíneas)</t>
        </is>
      </c>
      <c r="AA103" s="2" t="inlineStr">
        <is>
          <t>Rejeitado(a) em Comissão</t>
        </is>
      </c>
      <c r="AB103" s="2" t="inlineStr"/>
      <c r="AC103" s="2" t="inlineStr"/>
      <c r="AD103" s="2" t="inlineStr">
        <is>
          <t>1</t>
        </is>
      </c>
      <c r="AE103" s="2" t="inlineStr">
        <is>
          <t>23283</t>
        </is>
      </c>
      <c r="AF103" s="2" t="inlineStr">
        <is>
          <t>https://www.parlamento.pt/OrcamentoEstado/Paginas/DetalhePropostaAlteracao.aspx?BID=23283</t>
        </is>
      </c>
      <c r="AG103" s="2" t="inlineStr">
        <is>
          <t>https://app.parlamento.pt/webutils/docs/doc.pdf?path=6148523063484d364c793942556b356c6443397a6158526c63793959566b6c4a544556484c3039464c7a49774d6a59794d4449314d5441774f533951515338304e4455784d6a426c4d69316a5a4449324c5451794f545174596d5a6a5969316c4d4445774e54466a4d6d56694f5751756347526d&amp;Fich=445120e2-cd26-4294-bfcb-e01051c2eb9d.pdf&amp;Inline=true</t>
        </is>
      </c>
      <c r="AH103" s="3" t="n">
        <v>46321.77847222222</v>
      </c>
      <c r="AI103" s="3" t="n">
        <v>46321.78055555555</v>
      </c>
      <c r="AJ103" s="2" t="inlineStr"/>
    </row>
    <row r="104">
      <c r="A104" s="2" t="n">
        <v>103</v>
      </c>
      <c r="B104" s="2" t="inlineStr">
        <is>
          <t>91C</t>
        </is>
      </c>
      <c r="C104" s="3" t="n">
        <v>45961.83958333333</v>
      </c>
      <c r="D104" s="2" t="inlineStr">
        <is>
          <t>Original</t>
        </is>
      </c>
      <c r="E104" s="2" t="inlineStr">
        <is>
          <t>L</t>
        </is>
      </c>
      <c r="F104" s="2" t="inlineStr">
        <is>
          <t>Filipa Pinto; Isabel Mendes Lopes; Jorge Pinto; Patrícia Gonçalves; Paulo Muacho; Rui Tavares</t>
        </is>
      </c>
      <c r="G104" s="2" t="inlineStr">
        <is>
          <t>Art. 126.º-A (aditamento)</t>
        </is>
      </c>
      <c r="H104" s="2" t="n"/>
      <c r="I104" s="2" t="n"/>
      <c r="J104" s="2" t="n"/>
      <c r="K104" s="2" t="n"/>
      <c r="L104" s="2" t="inlineStr">
        <is>
          <t>Artigo 126.º-A (Apoio para instalação de hangares de bicicletas em parques de estacionamento)</t>
        </is>
      </c>
      <c r="M104" s="4" t="n"/>
      <c r="N104" s="4" t="n"/>
      <c r="O104" s="2" t="n"/>
      <c r="P104" s="2" t="n"/>
      <c r="Q104" s="2" t="n"/>
      <c r="R104" s="2" t="n"/>
      <c r="S104" s="2" t="inlineStr">
        <is>
          <t>Rejeitado(a) em Comissão</t>
        </is>
      </c>
      <c r="T104" s="2" t="inlineStr">
        <is>
          <t>Rejeitada</t>
        </is>
      </c>
      <c r="U104" s="2" t="inlineStr">
        <is>
          <t>Favor: L, BE, PAN; Contra: PSD, CH, CDS-PP; Abstenção: PS, IL, PCP</t>
        </is>
      </c>
      <c r="V104" s="3" t="n">
        <v>45985</v>
      </c>
      <c r="W104" s="2" t="inlineStr">
        <is>
          <t>AR: https://www.parlamento.pt/OrcamentoEstado/Paginas/DetalhePropostaAlteracao.aspx?BID=23284 PDF: https://app.parlamento.pt/webutils/docs/doc.pdf?path=6148523063484d364c793942556b356c6443397a6158526c63793959566b6c4a544556484c3039464c7a49774d6a59794d4449314d5441774f533951515338304e546c6b4f574a6a5969316b59324e694c5451774d545174596d597a4f53307859325534596a517a4f4745304e6a51756347526d&amp;Fich=459d9bcb-dccb-4014-bf39-1ce8b438a464.pdf&amp;Inline=true</t>
        </is>
      </c>
      <c r="X104" s="2" t="inlineStr">
        <is>
          <t>Ambiente e Energia; Infraestruturas, Mobilidade e Habitação</t>
        </is>
      </c>
      <c r="Y104" s="2" t="inlineStr">
        <is>
          <t>Articulado</t>
        </is>
      </c>
      <c r="Z104" s="2" t="inlineStr">
        <is>
          <t>Aditamento (Artigo PPL)</t>
        </is>
      </c>
      <c r="AA104" s="2" t="inlineStr">
        <is>
          <t>Rejeitado(a) em Comissão</t>
        </is>
      </c>
      <c r="AB104" s="2" t="inlineStr"/>
      <c r="AC104" s="2" t="inlineStr"/>
      <c r="AD104" s="2" t="inlineStr">
        <is>
          <t>1</t>
        </is>
      </c>
      <c r="AE104" s="2" t="inlineStr">
        <is>
          <t>23284</t>
        </is>
      </c>
      <c r="AF104" s="2" t="inlineStr">
        <is>
          <t>https://www.parlamento.pt/OrcamentoEstado/Paginas/DetalhePropostaAlteracao.aspx?BID=23284</t>
        </is>
      </c>
      <c r="AG104" s="2" t="inlineStr">
        <is>
          <t>https://app.parlamento.pt/webutils/docs/doc.pdf?path=6148523063484d364c793942556b356c6443397a6158526c63793959566b6c4a544556484c3039464c7a49774d6a59794d4449314d5441774f533951515338304e546c6b4f574a6a5969316b59324e694c5451774d545174596d597a4f53307859325534596a517a4f4745304e6a51756347526d&amp;Fich=459d9bcb-dccb-4014-bf39-1ce8b438a464.pdf&amp;Inline=true</t>
        </is>
      </c>
      <c r="AH104" s="3" t="n">
        <v>46321.77847222222</v>
      </c>
      <c r="AI104" s="3" t="n">
        <v>46321.78055555555</v>
      </c>
      <c r="AJ104" s="2" t="inlineStr"/>
    </row>
    <row r="105">
      <c r="A105" s="2" t="n">
        <v>104</v>
      </c>
      <c r="B105" s="2" t="inlineStr">
        <is>
          <t>92C</t>
        </is>
      </c>
      <c r="C105" s="3" t="n">
        <v>45961.84305555555</v>
      </c>
      <c r="D105" s="2" t="inlineStr">
        <is>
          <t>Original</t>
        </is>
      </c>
      <c r="E105" s="2" t="inlineStr">
        <is>
          <t>L</t>
        </is>
      </c>
      <c r="F105" s="2" t="inlineStr">
        <is>
          <t>Filipa Pinto; Isabel Mendes Lopes; Jorge Pinto; Patrícia Gonçalves; Paulo Muacho; Rui Tavares</t>
        </is>
      </c>
      <c r="G105" s="2" t="inlineStr">
        <is>
          <t>Art. 126.º-A (aditamento)</t>
        </is>
      </c>
      <c r="H105" s="2" t="n"/>
      <c r="I105" s="2" t="n"/>
      <c r="J105" s="2" t="n"/>
      <c r="K105" s="2" t="n"/>
      <c r="L105" s="2" t="inlineStr">
        <is>
          <t>Artigo 126.º-A (Projetos-piloto de logística urbana sustentável)</t>
        </is>
      </c>
      <c r="M105" s="4" t="n"/>
      <c r="N105" s="4" t="n"/>
      <c r="O105" s="2" t="n"/>
      <c r="P105" s="2" t="n"/>
      <c r="Q105" s="2" t="n"/>
      <c r="R105" s="2" t="n"/>
      <c r="S105" s="2" t="inlineStr">
        <is>
          <t>Rejeitado(a) em Comissão</t>
        </is>
      </c>
      <c r="T105" s="2" t="inlineStr">
        <is>
          <t>Rejeitada</t>
        </is>
      </c>
      <c r="U105" s="2" t="inlineStr">
        <is>
          <t>Favor: L, PCP, BE, PAN; Contra: PSD, CH, IL, CDS-PP; Abstenção: PS</t>
        </is>
      </c>
      <c r="V105" s="3" t="n">
        <v>45985</v>
      </c>
      <c r="W105" s="2" t="inlineStr">
        <is>
          <t>AR: https://www.parlamento.pt/OrcamentoEstado/Paginas/DetalhePropostaAlteracao.aspx?BID=23285 PDF: https://app.parlamento.pt/webutils/docs/doc.pdf?path=6148523063484d364c793942556b356c6443397a6158526c63793959566b6c4a544556484c3039464c7a49774d6a59794d4449314d5441774f533951515338784e3245305a546b354e5330784f5441784c54526b4e474974595749304f5331695a544a694e5755354e6a59315a4759756347526d&amp;Fich=17a4e995-1901-4d4b-ab49-be2b5e9665df.pdf&amp;Inline=true</t>
        </is>
      </c>
      <c r="X105" s="2" t="inlineStr">
        <is>
          <t>Ambiente e Energia; Infraestruturas, Mobilidade e Habitação</t>
        </is>
      </c>
      <c r="Y105" s="2" t="inlineStr">
        <is>
          <t>Articulado</t>
        </is>
      </c>
      <c r="Z105" s="2" t="inlineStr">
        <is>
          <t>Aditamento (Artigo PPL)</t>
        </is>
      </c>
      <c r="AA105" s="2" t="inlineStr">
        <is>
          <t>Rejeitado(a) em Comissão</t>
        </is>
      </c>
      <c r="AB105" s="2" t="inlineStr"/>
      <c r="AC105" s="2" t="inlineStr"/>
      <c r="AD105" s="2" t="inlineStr">
        <is>
          <t>1</t>
        </is>
      </c>
      <c r="AE105" s="2" t="inlineStr">
        <is>
          <t>23285</t>
        </is>
      </c>
      <c r="AF105" s="2" t="inlineStr">
        <is>
          <t>https://www.parlamento.pt/OrcamentoEstado/Paginas/DetalhePropostaAlteracao.aspx?BID=23285</t>
        </is>
      </c>
      <c r="AG105" s="2" t="inlineStr">
        <is>
          <t>https://app.parlamento.pt/webutils/docs/doc.pdf?path=6148523063484d364c793942556b356c6443397a6158526c63793959566b6c4a544556484c3039464c7a49774d6a59794d4449314d5441774f533951515338784e3245305a546b354e5330784f5441784c54526b4e474974595749304f5331695a544a694e5755354e6a59315a4759756347526d&amp;Fich=17a4e995-1901-4d4b-ab49-be2b5e9665df.pdf&amp;Inline=true</t>
        </is>
      </c>
      <c r="AH105" s="3" t="n">
        <v>46321.77847222222</v>
      </c>
      <c r="AI105" s="3" t="n">
        <v>46321.78055555555</v>
      </c>
      <c r="AJ105" s="2" t="inlineStr"/>
    </row>
    <row r="106">
      <c r="A106" s="2" t="n">
        <v>105</v>
      </c>
      <c r="B106" s="2" t="inlineStr">
        <is>
          <t>93C</t>
        </is>
      </c>
      <c r="C106" s="3" t="n">
        <v>45961.84652777778</v>
      </c>
      <c r="D106" s="2" t="inlineStr">
        <is>
          <t>Original</t>
        </is>
      </c>
      <c r="E106" s="2" t="inlineStr">
        <is>
          <t>L</t>
        </is>
      </c>
      <c r="F106" s="2" t="inlineStr">
        <is>
          <t>Filipa Pinto; Isabel Mendes Lopes; Jorge Pinto; Patrícia Gonçalves; Paulo Muacho; Rui Tavares</t>
        </is>
      </c>
      <c r="G106" s="2" t="inlineStr">
        <is>
          <t>Art. 22.º-A (aditamento)</t>
        </is>
      </c>
      <c r="H106" s="2" t="n"/>
      <c r="I106" s="2" t="n"/>
      <c r="J106" s="2" t="n"/>
      <c r="K106" s="2" t="n"/>
      <c r="L106" s="2" t="inlineStr">
        <is>
          <t>Artigo 22.º-A (Projeto-Piloto Saúde Materna Mais Próxima)</t>
        </is>
      </c>
      <c r="M106" s="4" t="n"/>
      <c r="N106" s="4" t="n"/>
      <c r="O106" s="2" t="n"/>
      <c r="P106" s="2" t="n"/>
      <c r="Q106" s="2" t="n"/>
      <c r="R106" s="2" t="n"/>
      <c r="S106" s="2" t="inlineStr">
        <is>
          <t>Rejeitado(a) em Comissão</t>
        </is>
      </c>
      <c r="T106" s="2" t="inlineStr">
        <is>
          <t>Rejeitada</t>
        </is>
      </c>
      <c r="U106" s="2" t="inlineStr">
        <is>
          <t>Favor: IL, L, BE, PAN; Contra: PSD, CDS-PP; Abstenção: CH, PS, PCP</t>
        </is>
      </c>
      <c r="V106" s="3" t="n">
        <v>45981</v>
      </c>
      <c r="W106" s="2" t="inlineStr">
        <is>
          <t>AR: https://www.parlamento.pt/OrcamentoEstado/Paginas/DetalhePropostaAlteracao.aspx?BID=23286 PDF: https://app.parlamento.pt/webutils/docs/doc.pdf?path=6148523063484d364c793942556b356c6443397a6158526c63793959566b6c4a544556484c3039464c7a49774d6a59794d4449314d5441774f533951515338335a444a694f5445774d69307a595445314c5451345a5759744f446c6b5a53316c4d446c6d5954426b4f4441325a6a67756347526d&amp;Fich=7d2b9102-3a15-48ef-89de-e09fa0d806f8.pdf&amp;Inline=true</t>
        </is>
      </c>
      <c r="X106" s="2" t="inlineStr">
        <is>
          <t>Saúde</t>
        </is>
      </c>
      <c r="Y106" s="2" t="inlineStr">
        <is>
          <t>Articulado</t>
        </is>
      </c>
      <c r="Z106" s="2" t="inlineStr">
        <is>
          <t>Aditamento (Artigo PPL)</t>
        </is>
      </c>
      <c r="AA106" s="2" t="inlineStr">
        <is>
          <t>Rejeitado(a) em Comissão</t>
        </is>
      </c>
      <c r="AB106" s="2" t="inlineStr"/>
      <c r="AC106" s="2" t="inlineStr"/>
      <c r="AD106" s="2" t="inlineStr">
        <is>
          <t>1</t>
        </is>
      </c>
      <c r="AE106" s="2" t="inlineStr">
        <is>
          <t>23286</t>
        </is>
      </c>
      <c r="AF106" s="2" t="inlineStr">
        <is>
          <t>https://www.parlamento.pt/OrcamentoEstado/Paginas/DetalhePropostaAlteracao.aspx?BID=23286</t>
        </is>
      </c>
      <c r="AG106" s="2" t="inlineStr">
        <is>
          <t>https://app.parlamento.pt/webutils/docs/doc.pdf?path=6148523063484d364c793942556b356c6443397a6158526c63793959566b6c4a544556484c3039464c7a49774d6a59794d4449314d5441774f533951515338335a444a694f5445774d69307a595445314c5451345a5759744f446c6b5a53316c4d446c6d5954426b4f4441325a6a67756347526d&amp;Fich=7d2b9102-3a15-48ef-89de-e09fa0d806f8.pdf&amp;Inline=true</t>
        </is>
      </c>
      <c r="AH106" s="3" t="n">
        <v>46321.77847222222</v>
      </c>
      <c r="AI106" s="3" t="n">
        <v>46321.78055555555</v>
      </c>
      <c r="AJ106" s="2" t="inlineStr"/>
    </row>
    <row r="107">
      <c r="A107" s="2" t="n">
        <v>106</v>
      </c>
      <c r="B107" s="2" t="inlineStr">
        <is>
          <t>94C</t>
        </is>
      </c>
      <c r="C107" s="3" t="n">
        <v>45961.85555555556</v>
      </c>
      <c r="D107" s="2" t="inlineStr">
        <is>
          <t>Original</t>
        </is>
      </c>
      <c r="E107" s="2" t="inlineStr">
        <is>
          <t>L</t>
        </is>
      </c>
      <c r="F107" s="2" t="inlineStr">
        <is>
          <t>Filipa Pinto; Isabel Mendes Lopes; Jorge Pinto; Patrícia Gonçalves; Paulo Muacho; Rui Tavares</t>
        </is>
      </c>
      <c r="G107" s="2" t="inlineStr">
        <is>
          <t>Art. 80.º-A (aditamento)</t>
        </is>
      </c>
      <c r="H107" s="2" t="n"/>
      <c r="I107" s="2" t="n"/>
      <c r="J107" s="2" t="n"/>
      <c r="K107" s="2" t="n"/>
      <c r="L107" s="2" t="inlineStr">
        <is>
          <t>Artigo 80.º-A (Disposição transitória relativa ao novo calendário de pagamento do Imposto Único de Circulação)</t>
        </is>
      </c>
      <c r="M107" s="4" t="n"/>
      <c r="N107" s="4" t="n"/>
      <c r="O107" s="2" t="n"/>
      <c r="P107" s="2" t="n"/>
      <c r="Q107" s="2" t="n"/>
      <c r="R107" s="2" t="n"/>
      <c r="S107" s="2" t="inlineStr">
        <is>
          <t>Rejeitado(a) em Comissão</t>
        </is>
      </c>
      <c r="T107" s="2" t="inlineStr">
        <is>
          <t>Rejeitada</t>
        </is>
      </c>
      <c r="U107" s="2" t="inlineStr">
        <is>
          <t>Favor: L, PCP, BE, PAN; Contra: PSD, CDS-PP; Abstenção: CH, PS, IL</t>
        </is>
      </c>
      <c r="V107" s="3" t="n">
        <v>45982</v>
      </c>
      <c r="W107" s="2" t="inlineStr">
        <is>
          <t>AR: https://www.parlamento.pt/OrcamentoEstado/Paginas/DetalhePropostaAlteracao.aspx?BID=23287 PDF: https://app.parlamento.pt/webutils/docs/doc.pdf?path=6148523063484d364c793942556b356c6443397a6158526c63793959566b6c4a544556484c3039464c7a49774d6a59794d4449314d5441774f5339515153396b4e7a4e6d4d5751324e7931694d6d59794c5452694d47457459544d354e5330345a6a49325a475a684e5456684e6a55756347526d&amp;Fich=d73f1d67-b2f2-4b0a-a395-8f26dfa55a65.pdf&amp;Inline=true</t>
        </is>
      </c>
      <c r="X107" s="2" t="inlineStr">
        <is>
          <t>Orçamento, Finanças e Administração Pública</t>
        </is>
      </c>
      <c r="Y107" s="2" t="inlineStr">
        <is>
          <t>Articulado</t>
        </is>
      </c>
      <c r="Z107" s="2" t="inlineStr">
        <is>
          <t>Aditamento (Artigo PPL)</t>
        </is>
      </c>
      <c r="AA107" s="2" t="inlineStr">
        <is>
          <t>Rejeitado(a) em Comissão</t>
        </is>
      </c>
      <c r="AB107" s="2" t="inlineStr"/>
      <c r="AC107" s="2" t="inlineStr"/>
      <c r="AD107" s="2" t="inlineStr">
        <is>
          <t>1</t>
        </is>
      </c>
      <c r="AE107" s="2" t="inlineStr">
        <is>
          <t>23287</t>
        </is>
      </c>
      <c r="AF107" s="2" t="inlineStr">
        <is>
          <t>https://www.parlamento.pt/OrcamentoEstado/Paginas/DetalhePropostaAlteracao.aspx?BID=23287</t>
        </is>
      </c>
      <c r="AG107" s="2" t="inlineStr">
        <is>
          <t>https://app.parlamento.pt/webutils/docs/doc.pdf?path=6148523063484d364c793942556b356c6443397a6158526c63793959566b6c4a544556484c3039464c7a49774d6a59794d4449314d5441774f5339515153396b4e7a4e6d4d5751324e7931694d6d59794c5452694d47457459544d354e5330345a6a49325a475a684e5456684e6a55756347526d&amp;Fich=d73f1d67-b2f2-4b0a-a395-8f26dfa55a65.pdf&amp;Inline=true</t>
        </is>
      </c>
      <c r="AH107" s="3" t="n">
        <v>46321.77847222222</v>
      </c>
      <c r="AI107" s="3" t="n">
        <v>46321.78055555555</v>
      </c>
      <c r="AJ107" s="2" t="inlineStr"/>
    </row>
    <row r="108">
      <c r="A108" s="2" t="n">
        <v>107</v>
      </c>
      <c r="B108" s="2" t="inlineStr">
        <is>
          <t>95C</t>
        </is>
      </c>
      <c r="C108" s="3" t="n">
        <v>45962.65972222222</v>
      </c>
      <c r="D108" s="2" t="inlineStr">
        <is>
          <t>Original</t>
        </is>
      </c>
      <c r="E108" s="2" t="inlineStr">
        <is>
          <t>PCP</t>
        </is>
      </c>
      <c r="F108" s="2" t="inlineStr">
        <is>
          <t>Alfredo Maia; Paula Santos; Paulo Raimundo</t>
        </is>
      </c>
      <c r="G108" s="2" t="inlineStr">
        <is>
          <t>Art. 113.º-A (aditamento)</t>
        </is>
      </c>
      <c r="H108" s="2" t="n"/>
      <c r="I108" s="2" t="n"/>
      <c r="J108" s="2" t="n"/>
      <c r="K108" s="2" t="n"/>
      <c r="L108" s="2" t="inlineStr">
        <is>
          <t>Artigo 113.º-A (Concretizar a construção de Barragens de Regadio em Moimenta da Beira e Armamar)</t>
        </is>
      </c>
      <c r="M108" s="4" t="n"/>
      <c r="N108" s="4" t="n"/>
      <c r="O108" s="2" t="n"/>
      <c r="P108" s="2" t="n"/>
      <c r="Q108" s="2" t="n"/>
      <c r="R108" s="2" t="n"/>
      <c r="S108" s="2" t="inlineStr">
        <is>
          <t>Rejeitado(a) em Comissão</t>
        </is>
      </c>
      <c r="T108" s="2" t="inlineStr">
        <is>
          <t>Rejeitada</t>
        </is>
      </c>
      <c r="U108" s="2" t="inlineStr">
        <is>
          <t>Favor: CH, IL, PCP, BE; Contra: PSD, CDS-PP; Abstenção: PS, L, PAN</t>
        </is>
      </c>
      <c r="V108" s="3" t="n">
        <v>45985</v>
      </c>
      <c r="W108" s="2" t="inlineStr">
        <is>
          <t>AR: https://www.parlamento.pt/OrcamentoEstado/Paginas/DetalhePropostaAlteracao.aspx?BID=23288 PDF: https://app.parlamento.pt/webutils/docs/doc.pdf?path=6148523063484d364c793942556b356c6443397a6158526c63793959566b6c4a544556484c3039464c7a49774d6a59794d4449314d5441774f533951515338344e4467344e6d55354f4331694f5745334c54517959544d74595451334e43316c5a44553559545a6b4d474a694e7a63756347526d&amp;Fich=84886e98-b9a7-42a3-a474-ed59a6d0bb77.pdf&amp;Inline=true</t>
        </is>
      </c>
      <c r="X108" s="2" t="inlineStr">
        <is>
          <t>Agricultura e Pescas</t>
        </is>
      </c>
      <c r="Y108" s="2" t="inlineStr">
        <is>
          <t>Articulado</t>
        </is>
      </c>
      <c r="Z108" s="2" t="inlineStr">
        <is>
          <t>Aditamento (Artigo PPL)</t>
        </is>
      </c>
      <c r="AA108" s="2" t="inlineStr">
        <is>
          <t>Rejeitado(a) em Comissão</t>
        </is>
      </c>
      <c r="AB108" s="2" t="inlineStr"/>
      <c r="AC108" s="2" t="inlineStr"/>
      <c r="AD108" s="2" t="inlineStr">
        <is>
          <t>1</t>
        </is>
      </c>
      <c r="AE108" s="2" t="inlineStr">
        <is>
          <t>23288</t>
        </is>
      </c>
      <c r="AF108" s="2" t="inlineStr">
        <is>
          <t>https://www.parlamento.pt/OrcamentoEstado/Paginas/DetalhePropostaAlteracao.aspx?BID=23288</t>
        </is>
      </c>
      <c r="AG108" s="2" t="inlineStr">
        <is>
          <t>https://app.parlamento.pt/webutils/docs/doc.pdf?path=6148523063484d364c793942556b356c6443397a6158526c63793959566b6c4a544556484c3039464c7a49774d6a59794d4449314d5441774f533951515338344e4467344e6d55354f4331694f5745334c54517959544d74595451334e43316c5a44553559545a6b4d474a694e7a63756347526d&amp;Fich=84886e98-b9a7-42a3-a474-ed59a6d0bb77.pdf&amp;Inline=true</t>
        </is>
      </c>
      <c r="AH108" s="3" t="n">
        <v>46321.77847222222</v>
      </c>
      <c r="AI108" s="3" t="n">
        <v>46321.78055555555</v>
      </c>
      <c r="AJ108" s="2" t="inlineStr"/>
    </row>
    <row r="109">
      <c r="A109" s="2" t="n">
        <v>108</v>
      </c>
      <c r="B109" s="2" t="inlineStr">
        <is>
          <t>96C</t>
        </is>
      </c>
      <c r="C109" s="3" t="n">
        <v>45962.66111111111</v>
      </c>
      <c r="D109" s="2" t="inlineStr">
        <is>
          <t>Original</t>
        </is>
      </c>
      <c r="E109" s="2" t="inlineStr">
        <is>
          <t>PCP</t>
        </is>
      </c>
      <c r="F109" s="2" t="inlineStr">
        <is>
          <t>Alfredo Maia; Paula Santos; Paulo Raimundo</t>
        </is>
      </c>
      <c r="G109" s="2" t="inlineStr">
        <is>
          <t>Art. 113.º-A (aditamento)</t>
        </is>
      </c>
      <c r="H109" s="2" t="n"/>
      <c r="I109" s="2" t="n"/>
      <c r="J109" s="2" t="n"/>
      <c r="K109" s="2" t="n"/>
      <c r="L109" s="2" t="inlineStr">
        <is>
          <t>Artigo 113.º-A (Concretizar a construção do IC37 (Viseu - Nelas - Seia)</t>
        </is>
      </c>
      <c r="M109" s="4" t="n"/>
      <c r="N109" s="4" t="n"/>
      <c r="O109" s="2" t="n"/>
      <c r="P109" s="2" t="n"/>
      <c r="Q109" s="2" t="n"/>
      <c r="R109" s="2" t="n"/>
      <c r="S109" s="2" t="inlineStr">
        <is>
          <t>Rejeitado(a) em Comissão</t>
        </is>
      </c>
      <c r="T109" s="2" t="inlineStr">
        <is>
          <t>Rejeitada</t>
        </is>
      </c>
      <c r="U109" s="2" t="inlineStr">
        <is>
          <t>Favor: CH, L, PCP, BE; Contra: PSD, IL, CDS-PP; Abstenção: PS, PAN</t>
        </is>
      </c>
      <c r="V109" s="3" t="n">
        <v>45985</v>
      </c>
      <c r="W109" s="2" t="inlineStr">
        <is>
          <t>AR: https://www.parlamento.pt/OrcamentoEstado/Paginas/DetalhePropostaAlteracao.aspx?BID=23289 PDF: https://app.parlamento.pt/webutils/docs/doc.pdf?path=6148523063484d364c793942556b356c6443397a6158526c63793959566b6c4a544556484c3039464c7a49774d6a59794d4449314d5441774f53395151533831595441794e7a6b34595330794e4445794c545131597a45744f574577596930314e47466c596a4a694e6a41794e5759756347526d&amp;Fich=5a02798a-2412-45c1-9a0b-54aeb2b6025f.pdf&amp;Inline=true</t>
        </is>
      </c>
      <c r="X109" s="2" t="inlineStr">
        <is>
          <t>Infraestruturas, Mobilidade e Habitação</t>
        </is>
      </c>
      <c r="Y109" s="2" t="inlineStr">
        <is>
          <t>Articulado</t>
        </is>
      </c>
      <c r="Z109" s="2" t="inlineStr">
        <is>
          <t>Aditamento (Artigo PPL)</t>
        </is>
      </c>
      <c r="AA109" s="2" t="inlineStr">
        <is>
          <t>Rejeitado(a) em Comissão</t>
        </is>
      </c>
      <c r="AB109" s="2" t="inlineStr"/>
      <c r="AC109" s="2" t="inlineStr"/>
      <c r="AD109" s="2" t="inlineStr">
        <is>
          <t>1</t>
        </is>
      </c>
      <c r="AE109" s="2" t="inlineStr">
        <is>
          <t>23289</t>
        </is>
      </c>
      <c r="AF109" s="2" t="inlineStr">
        <is>
          <t>https://www.parlamento.pt/OrcamentoEstado/Paginas/DetalhePropostaAlteracao.aspx?BID=23289</t>
        </is>
      </c>
      <c r="AG109" s="2" t="inlineStr">
        <is>
          <t>https://app.parlamento.pt/webutils/docs/doc.pdf?path=6148523063484d364c793942556b356c6443397a6158526c63793959566b6c4a544556484c3039464c7a49774d6a59794d4449314d5441774f53395151533831595441794e7a6b34595330794e4445794c545131597a45744f574577596930314e47466c596a4a694e6a41794e5759756347526d&amp;Fich=5a02798a-2412-45c1-9a0b-54aeb2b6025f.pdf&amp;Inline=true</t>
        </is>
      </c>
      <c r="AH109" s="3" t="n">
        <v>46321.77847222222</v>
      </c>
      <c r="AI109" s="3" t="n">
        <v>46321.78055555555</v>
      </c>
      <c r="AJ109" s="2" t="inlineStr"/>
    </row>
    <row r="110">
      <c r="A110" s="2" t="n">
        <v>109</v>
      </c>
      <c r="B110" s="2" t="inlineStr">
        <is>
          <t>97C</t>
        </is>
      </c>
      <c r="C110" s="3" t="n">
        <v>45962.6625</v>
      </c>
      <c r="D110" s="2" t="inlineStr">
        <is>
          <t>Original</t>
        </is>
      </c>
      <c r="E110" s="2" t="inlineStr">
        <is>
          <t>PCP</t>
        </is>
      </c>
      <c r="F110" s="2" t="inlineStr">
        <is>
          <t>Alfredo Maia; Paula Santos; Paulo Raimundo</t>
        </is>
      </c>
      <c r="G110" s="2" t="inlineStr">
        <is>
          <t>Art. 113.º-A (aditamento)</t>
        </is>
      </c>
      <c r="H110" s="2" t="n"/>
      <c r="I110" s="2" t="n"/>
      <c r="J110" s="2" t="n"/>
      <c r="K110" s="2" t="n"/>
      <c r="L110" s="2" t="inlineStr">
        <is>
          <t>Artigo 113.º-A (Reconversão do Hospital Psiquiátrico de Abraveses num serviço público de cuidados continuados e paliativos)</t>
        </is>
      </c>
      <c r="M110" s="4" t="n"/>
      <c r="N110" s="4" t="n"/>
      <c r="O110" s="2" t="n"/>
      <c r="P110" s="2" t="n"/>
      <c r="Q110" s="2" t="n"/>
      <c r="R110" s="2" t="n"/>
      <c r="S110" s="2" t="inlineStr">
        <is>
          <t>Rejeitado(a) em Comissão</t>
        </is>
      </c>
      <c r="T110" s="2" t="inlineStr">
        <is>
          <t>Rejeitada</t>
        </is>
      </c>
      <c r="U110" s="2" t="inlineStr">
        <is>
          <t>Favor: CH, L, PCP, BE, PAN; Contra: PSD, IL, CDS-PP; Abstenção: PS</t>
        </is>
      </c>
      <c r="V110" s="3" t="n">
        <v>45985</v>
      </c>
      <c r="W110" s="2" t="inlineStr">
        <is>
          <t>AR: https://www.parlamento.pt/OrcamentoEstado/Paginas/DetalhePropostaAlteracao.aspx?BID=23290 PDF: https://app.parlamento.pt/webutils/docs/doc.pdf?path=6148523063484d364c793942556b356c6443397a6158526c63793959566b6c4a544556484c3039464c7a49774d6a59794d4449314d5441774f5339515153387a5954457a4f5756694e4330314f4459304c5451314f444d7459545a6d5a4330794e6d566b4d7a426a4f545a6b595459756347526d&amp;Fich=3a139eb4-5864-4583-a6fd-26ed30c96da6.pdf&amp;Inline=true</t>
        </is>
      </c>
      <c r="X110" s="2" t="inlineStr">
        <is>
          <t>Saúde</t>
        </is>
      </c>
      <c r="Y110" s="2" t="inlineStr">
        <is>
          <t>Articulado</t>
        </is>
      </c>
      <c r="Z110" s="2" t="inlineStr">
        <is>
          <t>Aditamento (Artigo PPL)</t>
        </is>
      </c>
      <c r="AA110" s="2" t="inlineStr">
        <is>
          <t>Rejeitado(a) em Comissão</t>
        </is>
      </c>
      <c r="AB110" s="2" t="inlineStr"/>
      <c r="AC110" s="2" t="inlineStr"/>
      <c r="AD110" s="2" t="inlineStr">
        <is>
          <t>1</t>
        </is>
      </c>
      <c r="AE110" s="2" t="inlineStr">
        <is>
          <t>23290</t>
        </is>
      </c>
      <c r="AF110" s="2" t="inlineStr">
        <is>
          <t>https://www.parlamento.pt/OrcamentoEstado/Paginas/DetalhePropostaAlteracao.aspx?BID=23290</t>
        </is>
      </c>
      <c r="AG110" s="2" t="inlineStr">
        <is>
          <t>https://app.parlamento.pt/webutils/docs/doc.pdf?path=6148523063484d364c793942556b356c6443397a6158526c63793959566b6c4a544556484c3039464c7a49774d6a59794d4449314d5441774f5339515153387a5954457a4f5756694e4330314f4459304c5451314f444d7459545a6d5a4330794e6d566b4d7a426a4f545a6b595459756347526d&amp;Fich=3a139eb4-5864-4583-a6fd-26ed30c96da6.pdf&amp;Inline=true</t>
        </is>
      </c>
      <c r="AH110" s="3" t="n">
        <v>46321.77847222222</v>
      </c>
      <c r="AI110" s="3" t="n">
        <v>46321.78055555555</v>
      </c>
      <c r="AJ110" s="2" t="inlineStr"/>
    </row>
    <row r="111">
      <c r="A111" s="2" t="n">
        <v>110</v>
      </c>
      <c r="B111" s="2" t="inlineStr">
        <is>
          <t>98C</t>
        </is>
      </c>
      <c r="C111" s="3" t="n">
        <v>45962.66805555556</v>
      </c>
      <c r="D111" s="2" t="inlineStr">
        <is>
          <t>Original</t>
        </is>
      </c>
      <c r="E111" s="2" t="inlineStr">
        <is>
          <t>PCP</t>
        </is>
      </c>
      <c r="F111" s="2" t="inlineStr">
        <is>
          <t>Alfredo Maia; Paula Santos; Paulo Raimundo</t>
        </is>
      </c>
      <c r="G111" s="2" t="inlineStr">
        <is>
          <t>Art. 113.º-A (aditamento)</t>
        </is>
      </c>
      <c r="H111" s="2" t="n"/>
      <c r="I111" s="2" t="n"/>
      <c r="J111" s="2" t="n"/>
      <c r="K111" s="2" t="n"/>
      <c r="L111" s="2" t="inlineStr">
        <is>
          <t>Artigo 113.º-A (Obras de construção do Circuito Hidráulico de Póvoa - Moura e Respetivos Blocos de Rega)</t>
        </is>
      </c>
      <c r="M111" s="4" t="n"/>
      <c r="N111" s="4" t="n"/>
      <c r="O111" s="2" t="n"/>
      <c r="P111" s="2" t="n"/>
      <c r="Q111" s="2" t="n"/>
      <c r="R111" s="2" t="n"/>
      <c r="S111" s="2" t="inlineStr">
        <is>
          <t>Rejeitado(a) em Comissão</t>
        </is>
      </c>
      <c r="T111" s="2" t="inlineStr">
        <is>
          <t>Rejeitada</t>
        </is>
      </c>
      <c r="U111" s="2" t="inlineStr">
        <is>
          <t>Favor: CH, IL, PCP, BE; Contra: PSD, CDS-PP; Abstenção: PS, L, PAN</t>
        </is>
      </c>
      <c r="V111" s="3" t="n">
        <v>45985</v>
      </c>
      <c r="W111" s="2" t="inlineStr">
        <is>
          <t>AR: https://www.parlamento.pt/OrcamentoEstado/Paginas/DetalhePropostaAlteracao.aspx?BID=23291 PDF: https://app.parlamento.pt/webutils/docs/doc.pdf?path=6148523063484d364c793942556b356c6443397a6158526c63793959566b6c4a544556484c3039464c7a49774d6a59794d4449314d5441774f5339515153396d4d475269597a646c4f533035597a41794c545134597a51744f44457a4f53316b596d51304d324a6c4e574a684d444d756347526d&amp;Fich=f0dbc7e9-9c02-48c4-8139-dbd43be5ba03.pdf&amp;Inline=true</t>
        </is>
      </c>
      <c r="X111" s="2" t="inlineStr">
        <is>
          <t>Agricultura e Pescas</t>
        </is>
      </c>
      <c r="Y111" s="2" t="inlineStr">
        <is>
          <t>Articulado</t>
        </is>
      </c>
      <c r="Z111" s="2" t="inlineStr">
        <is>
          <t>Aditamento (Artigo PPL)</t>
        </is>
      </c>
      <c r="AA111" s="2" t="inlineStr">
        <is>
          <t>Rejeitado(a) em Comissão</t>
        </is>
      </c>
      <c r="AB111" s="2" t="inlineStr"/>
      <c r="AC111" s="2" t="inlineStr"/>
      <c r="AD111" s="2" t="inlineStr">
        <is>
          <t>1</t>
        </is>
      </c>
      <c r="AE111" s="2" t="inlineStr">
        <is>
          <t>23291</t>
        </is>
      </c>
      <c r="AF111" s="2" t="inlineStr">
        <is>
          <t>https://www.parlamento.pt/OrcamentoEstado/Paginas/DetalhePropostaAlteracao.aspx?BID=23291</t>
        </is>
      </c>
      <c r="AG111" s="2" t="inlineStr">
        <is>
          <t>https://app.parlamento.pt/webutils/docs/doc.pdf?path=6148523063484d364c793942556b356c6443397a6158526c63793959566b6c4a544556484c3039464c7a49774d6a59794d4449314d5441774f5339515153396d4d475269597a646c4f533035597a41794c545134597a51744f44457a4f53316b596d51304d324a6c4e574a684d444d756347526d&amp;Fich=f0dbc7e9-9c02-48c4-8139-dbd43be5ba03.pdf&amp;Inline=true</t>
        </is>
      </c>
      <c r="AH111" s="3" t="n">
        <v>46321.77847222222</v>
      </c>
      <c r="AI111" s="3" t="n">
        <v>46321.78055555555</v>
      </c>
      <c r="AJ111" s="2" t="inlineStr"/>
    </row>
    <row r="112">
      <c r="A112" s="2" t="n">
        <v>111</v>
      </c>
      <c r="B112" s="2" t="inlineStr">
        <is>
          <t>99C</t>
        </is>
      </c>
      <c r="C112" s="3" t="n">
        <v>45962.66875</v>
      </c>
      <c r="D112" s="2" t="inlineStr">
        <is>
          <t>Original</t>
        </is>
      </c>
      <c r="E112" s="2" t="inlineStr">
        <is>
          <t>PCP</t>
        </is>
      </c>
      <c r="F112" s="2" t="inlineStr">
        <is>
          <t>Alfredo Maia; Paula Santos; Paulo Raimundo</t>
        </is>
      </c>
      <c r="G112" s="2" t="inlineStr">
        <is>
          <t>Art. 113.º-A (aditamento)</t>
        </is>
      </c>
      <c r="H112" s="2" t="n"/>
      <c r="I112" s="2" t="n"/>
      <c r="J112" s="2" t="n"/>
      <c r="K112" s="2" t="n"/>
      <c r="L112" s="2" t="inlineStr">
        <is>
          <t>Artigo 113.º-A (Obras de construção do circuito hidráulico de Vidigueira e respetivo bloco de rega)</t>
        </is>
      </c>
      <c r="M112" s="4" t="n"/>
      <c r="N112" s="4" t="n"/>
      <c r="O112" s="2" t="n"/>
      <c r="P112" s="2" t="n"/>
      <c r="Q112" s="2" t="n"/>
      <c r="R112" s="2" t="n"/>
      <c r="S112" s="2" t="inlineStr">
        <is>
          <t>Aprovado(a) em Comissão</t>
        </is>
      </c>
      <c r="T112" s="2" t="inlineStr">
        <is>
          <t>Aprovada</t>
        </is>
      </c>
      <c r="U112" s="2" t="inlineStr">
        <is>
          <t>Favor: CH, PS, IL, PCP, BE; Contra: PSD, CDS-PP; Abstenção: L, PAN</t>
        </is>
      </c>
      <c r="V112" s="3" t="n">
        <v>45985</v>
      </c>
      <c r="W112" s="2" t="inlineStr">
        <is>
          <t>AR: https://www.parlamento.pt/OrcamentoEstado/Paginas/DetalhePropostaAlteracao.aspx?BID=23292 PDF: https://app.parlamento.pt/webutils/docs/doc.pdf?path=6148523063484d364c793942556b356c6443397a6158526c63793959566b6c4a544556484c3039464c7a49774d6a59794d4449314d5441774f533951515338784f5459304d5745784d693035597a6c6c4c5452694d7a63745954646d597930324e4749784d325132596a67335a5745756347526d&amp;Fich=19641a12-9c9e-4b37-a7fc-64b13d6b87ea.pdf&amp;Inline=true</t>
        </is>
      </c>
      <c r="X112" s="2" t="inlineStr">
        <is>
          <t>Agricultura e Pescas</t>
        </is>
      </c>
      <c r="Y112" s="2" t="inlineStr">
        <is>
          <t>Articulado</t>
        </is>
      </c>
      <c r="Z112" s="2" t="inlineStr">
        <is>
          <t>Aditamento (Artigo PPL)</t>
        </is>
      </c>
      <c r="AA112" s="2" t="inlineStr">
        <is>
          <t>Aprovado(a) em Comissão</t>
        </is>
      </c>
      <c r="AB112" s="2" t="inlineStr"/>
      <c r="AC112" s="2" t="inlineStr"/>
      <c r="AD112" s="2" t="inlineStr">
        <is>
          <t>1</t>
        </is>
      </c>
      <c r="AE112" s="2" t="inlineStr">
        <is>
          <t>23292</t>
        </is>
      </c>
      <c r="AF112" s="2" t="inlineStr">
        <is>
          <t>https://www.parlamento.pt/OrcamentoEstado/Paginas/DetalhePropostaAlteracao.aspx?BID=23292</t>
        </is>
      </c>
      <c r="AG112" s="2" t="inlineStr">
        <is>
          <t>https://app.parlamento.pt/webutils/docs/doc.pdf?path=6148523063484d364c793942556b356c6443397a6158526c63793959566b6c4a544556484c3039464c7a49774d6a59794d4449314d5441774f533951515338784f5459304d5745784d693035597a6c6c4c5452694d7a63745954646d597930324e4749784d325132596a67335a5745756347526d&amp;Fich=19641a12-9c9e-4b37-a7fc-64b13d6b87ea.pdf&amp;Inline=true</t>
        </is>
      </c>
      <c r="AH112" s="3" t="n">
        <v>46321.77847222222</v>
      </c>
      <c r="AI112" s="3" t="n">
        <v>46321.78055555555</v>
      </c>
      <c r="AJ112" s="2" t="inlineStr"/>
    </row>
    <row r="113">
      <c r="A113" s="2" t="n">
        <v>112</v>
      </c>
      <c r="B113" s="2" t="inlineStr">
        <is>
          <t>100C</t>
        </is>
      </c>
      <c r="C113" s="3" t="n">
        <v>45962.66944444444</v>
      </c>
      <c r="D113" s="2" t="inlineStr">
        <is>
          <t>Original</t>
        </is>
      </c>
      <c r="E113" s="2" t="inlineStr">
        <is>
          <t>PCP</t>
        </is>
      </c>
      <c r="F113" s="2" t="inlineStr">
        <is>
          <t>Alfredo Maia; Paula Santos; Paulo Raimundo</t>
        </is>
      </c>
      <c r="G113" s="2" t="inlineStr">
        <is>
          <t>Art. 113.º-A (aditamento)</t>
        </is>
      </c>
      <c r="H113" s="2" t="n"/>
      <c r="I113" s="2" t="n"/>
      <c r="J113" s="2" t="n"/>
      <c r="K113" s="2" t="n"/>
      <c r="L113" s="2" t="inlineStr">
        <is>
          <t>Artigo 113.º-A (Intervenção nas estradas EN 258 e EN 386)</t>
        </is>
      </c>
      <c r="M113" s="4" t="n"/>
      <c r="N113" s="4" t="n"/>
      <c r="O113" s="2" t="n"/>
      <c r="P113" s="2" t="n"/>
      <c r="Q113" s="2" t="n"/>
      <c r="R113" s="2" t="n"/>
      <c r="S113" s="2" t="inlineStr">
        <is>
          <t>Rejeitado(a) em Comissão</t>
        </is>
      </c>
      <c r="T113" s="2" t="inlineStr">
        <is>
          <t>Rejeitada</t>
        </is>
      </c>
      <c r="U113" s="2" t="inlineStr">
        <is>
          <t>Favor: CH, L, PCP, BE; Contra: PSD, CDS-PP; Abstenção: PS, IL, PAN</t>
        </is>
      </c>
      <c r="V113" s="3" t="n">
        <v>45985</v>
      </c>
      <c r="W113" s="2" t="inlineStr">
        <is>
          <t>AR: https://www.parlamento.pt/OrcamentoEstado/Paginas/DetalhePropostaAlteracao.aspx?BID=23293 PDF: https://app.parlamento.pt/webutils/docs/doc.pdf?path=6148523063484d364c793942556b356c6443397a6158526c63793959566b6c4a544556484c3039464c7a49774d6a59794d4449314d5441774f533951515338354e4467354d6d497a4e6930334f544d7a4c5451345a546b744f54646c4d69307a4d6d4e6b5a445531596d52684e7a6b756347526d&amp;Fich=94892b36-7933-48e9-97e2-32cdd55bda79.pdf&amp;Inline=true</t>
        </is>
      </c>
      <c r="X113" s="2" t="inlineStr">
        <is>
          <t>Infraestruturas, Mobilidade e Habitação</t>
        </is>
      </c>
      <c r="Y113" s="2" t="inlineStr">
        <is>
          <t>Articulado</t>
        </is>
      </c>
      <c r="Z113" s="2" t="inlineStr">
        <is>
          <t>Aditamento (Artigo PPL)</t>
        </is>
      </c>
      <c r="AA113" s="2" t="inlineStr">
        <is>
          <t>Rejeitado(a) em Comissão</t>
        </is>
      </c>
      <c r="AB113" s="2" t="inlineStr"/>
      <c r="AC113" s="2" t="inlineStr"/>
      <c r="AD113" s="2" t="inlineStr">
        <is>
          <t>1</t>
        </is>
      </c>
      <c r="AE113" s="2" t="inlineStr">
        <is>
          <t>23293</t>
        </is>
      </c>
      <c r="AF113" s="2" t="inlineStr">
        <is>
          <t>https://www.parlamento.pt/OrcamentoEstado/Paginas/DetalhePropostaAlteracao.aspx?BID=23293</t>
        </is>
      </c>
      <c r="AG113" s="2" t="inlineStr">
        <is>
          <t>https://app.parlamento.pt/webutils/docs/doc.pdf?path=6148523063484d364c793942556b356c6443397a6158526c63793959566b6c4a544556484c3039464c7a49774d6a59794d4449314d5441774f533951515338354e4467354d6d497a4e6930334f544d7a4c5451345a546b744f54646c4d69307a4d6d4e6b5a445531596d52684e7a6b756347526d&amp;Fich=94892b36-7933-48e9-97e2-32cdd55bda79.pdf&amp;Inline=true</t>
        </is>
      </c>
      <c r="AH113" s="3" t="n">
        <v>46321.77847222222</v>
      </c>
      <c r="AI113" s="3" t="n">
        <v>46321.78055555555</v>
      </c>
      <c r="AJ113" s="2" t="inlineStr"/>
    </row>
    <row r="114">
      <c r="A114" s="2" t="n">
        <v>113</v>
      </c>
      <c r="B114" s="2" t="inlineStr">
        <is>
          <t>101C</t>
        </is>
      </c>
      <c r="C114" s="3" t="n">
        <v>45962.67222222222</v>
      </c>
      <c r="D114" s="2" t="inlineStr">
        <is>
          <t>Original</t>
        </is>
      </c>
      <c r="E114" s="2" t="inlineStr">
        <is>
          <t>PCP</t>
        </is>
      </c>
      <c r="F114" s="2" t="inlineStr">
        <is>
          <t>Alfredo Maia; Paula Santos; Paulo Raimundo</t>
        </is>
      </c>
      <c r="G114" s="2" t="inlineStr">
        <is>
          <t>Art. 113.º-A (aditamento)</t>
        </is>
      </c>
      <c r="H114" s="2" t="n"/>
      <c r="I114" s="2" t="n"/>
      <c r="J114" s="2" t="n"/>
      <c r="K114" s="2" t="n"/>
      <c r="L114" s="2" t="inlineStr">
        <is>
          <t>Artigo 113.º-A (Conclusão das obras do IP8 na sua totalidade)</t>
        </is>
      </c>
      <c r="M114" s="4" t="n"/>
      <c r="N114" s="4" t="n"/>
      <c r="O114" s="2" t="n"/>
      <c r="P114" s="2" t="n"/>
      <c r="Q114" s="2" t="n"/>
      <c r="R114" s="2" t="n"/>
      <c r="S114" s="2" t="inlineStr">
        <is>
          <t>Rejeitado(a) em Comissão</t>
        </is>
      </c>
      <c r="T114" s="2" t="inlineStr">
        <is>
          <t>Rejeitada</t>
        </is>
      </c>
      <c r="U114" s="2" t="inlineStr">
        <is>
          <t>Favor: CH, L, PCP, BE, PAN; Contra: PSD, CDS-PP; Abstenção: PS, IL</t>
        </is>
      </c>
      <c r="V114" s="3" t="n">
        <v>45985</v>
      </c>
      <c r="W114" s="2" t="inlineStr">
        <is>
          <t>AR: https://www.parlamento.pt/OrcamentoEstado/Paginas/DetalhePropostaAlteracao.aspx?BID=23294 PDF: https://app.parlamento.pt/webutils/docs/doc.pdf?path=6148523063484d364c793942556b356c6443397a6158526c63793959566b6c4a544556484c3039464c7a49774d6a59794d4449314d5441774f533951515338354f574e6b5a6a41774f4331694e4451334c5451334d7a4d7459546b305953316a4e546730596a6779595445325a6a55756347526d&amp;Fich=99cdf008-b447-4733-a94a-c584b82a16f5.pdf&amp;Inline=true</t>
        </is>
      </c>
      <c r="X114" s="2" t="inlineStr">
        <is>
          <t>Infraestruturas, Mobilidade e Habitação</t>
        </is>
      </c>
      <c r="Y114" s="2" t="inlineStr">
        <is>
          <t>Articulado</t>
        </is>
      </c>
      <c r="Z114" s="2" t="inlineStr">
        <is>
          <t>Aditamento (Artigo PPL)</t>
        </is>
      </c>
      <c r="AA114" s="2" t="inlineStr">
        <is>
          <t>Rejeitado(a) em Comissão</t>
        </is>
      </c>
      <c r="AB114" s="2" t="inlineStr"/>
      <c r="AC114" s="2" t="inlineStr"/>
      <c r="AD114" s="2" t="inlineStr">
        <is>
          <t>1</t>
        </is>
      </c>
      <c r="AE114" s="2" t="inlineStr">
        <is>
          <t>23294</t>
        </is>
      </c>
      <c r="AF114" s="2" t="inlineStr">
        <is>
          <t>https://www.parlamento.pt/OrcamentoEstado/Paginas/DetalhePropostaAlteracao.aspx?BID=23294</t>
        </is>
      </c>
      <c r="AG114" s="2" t="inlineStr">
        <is>
          <t>https://app.parlamento.pt/webutils/docs/doc.pdf?path=6148523063484d364c793942556b356c6443397a6158526c63793959566b6c4a544556484c3039464c7a49774d6a59794d4449314d5441774f533951515338354f574e6b5a6a41774f4331694e4451334c5451334d7a4d7459546b305953316a4e546730596a6779595445325a6a55756347526d&amp;Fich=99cdf008-b447-4733-a94a-c584b82a16f5.pdf&amp;Inline=true</t>
        </is>
      </c>
      <c r="AH114" s="3" t="n">
        <v>46321.77847222222</v>
      </c>
      <c r="AI114" s="3" t="n">
        <v>46321.78055555555</v>
      </c>
      <c r="AJ114" s="2" t="inlineStr"/>
    </row>
    <row r="115">
      <c r="A115" s="2" t="n">
        <v>114</v>
      </c>
      <c r="B115" s="2" t="inlineStr">
        <is>
          <t>102C</t>
        </is>
      </c>
      <c r="C115" s="3" t="n">
        <v>45962.67361111111</v>
      </c>
      <c r="D115" s="2" t="inlineStr">
        <is>
          <t>Original</t>
        </is>
      </c>
      <c r="E115" s="2" t="inlineStr">
        <is>
          <t>PCP</t>
        </is>
      </c>
      <c r="F115" s="2" t="inlineStr">
        <is>
          <t>Alfredo Maia; Paula Santos; Paulo Raimundo</t>
        </is>
      </c>
      <c r="G115" s="2" t="inlineStr">
        <is>
          <t>Art. 113.º-A (aditamento)</t>
        </is>
      </c>
      <c r="H115" s="2" t="n"/>
      <c r="I115" s="2" t="n"/>
      <c r="J115" s="2" t="n"/>
      <c r="K115" s="2" t="n"/>
      <c r="L115" s="2" t="inlineStr">
        <is>
          <t>Artigo 113.º-A (Eletrificação e modernização da linha ferroviária do Alentejo entre Casa Branca e Ourique)</t>
        </is>
      </c>
      <c r="M115" s="4" t="n"/>
      <c r="N115" s="4" t="n"/>
      <c r="O115" s="2" t="n"/>
      <c r="P115" s="2" t="n"/>
      <c r="Q115" s="2" t="n"/>
      <c r="R115" s="2" t="n"/>
      <c r="S115" s="2" t="inlineStr">
        <is>
          <t>Rejeitado(a) em Comissão</t>
        </is>
      </c>
      <c r="T115" s="2" t="inlineStr">
        <is>
          <t>Rejeitada</t>
        </is>
      </c>
      <c r="U115" s="2" t="inlineStr">
        <is>
          <t>Favor: CH, IL, L, PCP, BE, PAN; Contra: PSD, CDS-PP; Abstenção: PS</t>
        </is>
      </c>
      <c r="V115" s="3" t="n">
        <v>45985</v>
      </c>
      <c r="W115" s="2" t="inlineStr">
        <is>
          <t>AR: https://www.parlamento.pt/OrcamentoEstado/Paginas/DetalhePropostaAlteracao.aspx?BID=23295 PDF: https://app.parlamento.pt/webutils/docs/doc.pdf?path=6148523063484d364c793942556b356c6443397a6158526c63793959566b6c4a544556484c3039464c7a49774d6a59794d4449314d5441774f533951515338354e44526c4e7a6c69595330324d5749334c5451345a6a45744f544a684e7931695a5745325a6a68684e6d4a6d5a4445756347526d&amp;Fich=944e79ba-61b7-48f1-92a7-bea6f8a6bfd1.pdf&amp;Inline=true</t>
        </is>
      </c>
      <c r="X115" s="2" t="inlineStr">
        <is>
          <t>Infraestruturas, Mobilidade e Habitação</t>
        </is>
      </c>
      <c r="Y115" s="2" t="inlineStr">
        <is>
          <t>Articulado</t>
        </is>
      </c>
      <c r="Z115" s="2" t="inlineStr">
        <is>
          <t>Aditamento (Artigo PPL)</t>
        </is>
      </c>
      <c r="AA115" s="2" t="inlineStr">
        <is>
          <t>Rejeitado(a) em Comissão</t>
        </is>
      </c>
      <c r="AB115" s="2" t="inlineStr"/>
      <c r="AC115" s="2" t="inlineStr"/>
      <c r="AD115" s="2" t="inlineStr">
        <is>
          <t>1</t>
        </is>
      </c>
      <c r="AE115" s="2" t="inlineStr">
        <is>
          <t>23295</t>
        </is>
      </c>
      <c r="AF115" s="2" t="inlineStr">
        <is>
          <t>https://www.parlamento.pt/OrcamentoEstado/Paginas/DetalhePropostaAlteracao.aspx?BID=23295</t>
        </is>
      </c>
      <c r="AG115" s="2" t="inlineStr">
        <is>
          <t>https://app.parlamento.pt/webutils/docs/doc.pdf?path=6148523063484d364c793942556b356c6443397a6158526c63793959566b6c4a544556484c3039464c7a49774d6a59794d4449314d5441774f533951515338354e44526c4e7a6c69595330324d5749334c5451345a6a45744f544a684e7931695a5745325a6a68684e6d4a6d5a4445756347526d&amp;Fich=944e79ba-61b7-48f1-92a7-bea6f8a6bfd1.pdf&amp;Inline=true</t>
        </is>
      </c>
      <c r="AH115" s="3" t="n">
        <v>46321.77847222222</v>
      </c>
      <c r="AI115" s="3" t="n">
        <v>46321.78055555555</v>
      </c>
      <c r="AJ115" s="2" t="inlineStr"/>
    </row>
    <row r="116">
      <c r="A116" s="2" t="n">
        <v>115</v>
      </c>
      <c r="B116" s="2" t="inlineStr">
        <is>
          <t>103C</t>
        </is>
      </c>
      <c r="C116" s="3" t="n">
        <v>45962.675</v>
      </c>
      <c r="D116" s="2" t="inlineStr">
        <is>
          <t>Original</t>
        </is>
      </c>
      <c r="E116" s="2" t="inlineStr">
        <is>
          <t>PCP</t>
        </is>
      </c>
      <c r="F116" s="2" t="inlineStr">
        <is>
          <t>Alfredo Maia; Paula Santos; Paulo Raimundo</t>
        </is>
      </c>
      <c r="G116" s="2" t="inlineStr">
        <is>
          <t>Art. 113.º-A (aditamento)</t>
        </is>
      </c>
      <c r="H116" s="2" t="n"/>
      <c r="I116" s="2" t="n"/>
      <c r="J116" s="2" t="n"/>
      <c r="K116" s="2" t="n"/>
      <c r="L116" s="2" t="inlineStr">
        <is>
          <t>Artigo 113.º-A (Criação da plataforma logística junto ao Aeroporto de Beja)</t>
        </is>
      </c>
      <c r="M116" s="4" t="n"/>
      <c r="N116" s="4" t="n"/>
      <c r="O116" s="2" t="n"/>
      <c r="P116" s="2" t="n"/>
      <c r="Q116" s="2" t="n"/>
      <c r="R116" s="2" t="n"/>
      <c r="S116" s="2" t="inlineStr">
        <is>
          <t>Rejeitado(a) em Comissão</t>
        </is>
      </c>
      <c r="T116" s="2" t="inlineStr">
        <is>
          <t>Rejeitada</t>
        </is>
      </c>
      <c r="U116" s="2" t="inlineStr">
        <is>
          <t>Favor: CH, L, PCP, BE, PAN; Contra: PSD, CDS-PP; Abstenção: PS, IL</t>
        </is>
      </c>
      <c r="V116" s="3" t="n">
        <v>45985</v>
      </c>
      <c r="W116" s="2" t="inlineStr">
        <is>
          <t>AR: https://www.parlamento.pt/OrcamentoEstado/Paginas/DetalhePropostaAlteracao.aspx?BID=23296 PDF: https://app.parlamento.pt/webutils/docs/doc.pdf?path=6148523063484d364c793942556b356c6443397a6158526c63793959566b6c4a544556484c3039464c7a49774d6a59794d4449314d5441774f533951515338344f44637a5932526c4d69316b4e3255344c54526a4e474974595449794e6930345a444a6b4f47566d4d444931595745756347526d&amp;Fich=8873cde2-d7e8-4c4b-a226-8d2d8ef025aa.pdf&amp;Inline=true</t>
        </is>
      </c>
      <c r="X116" s="2" t="inlineStr">
        <is>
          <t>Infraestruturas, Mobilidade e Habitação</t>
        </is>
      </c>
      <c r="Y116" s="2" t="inlineStr">
        <is>
          <t>Articulado</t>
        </is>
      </c>
      <c r="Z116" s="2" t="inlineStr">
        <is>
          <t>Aditamento (Artigo PPL)</t>
        </is>
      </c>
      <c r="AA116" s="2" t="inlineStr">
        <is>
          <t>Rejeitado(a) em Comissão</t>
        </is>
      </c>
      <c r="AB116" s="2" t="inlineStr"/>
      <c r="AC116" s="2" t="inlineStr"/>
      <c r="AD116" s="2" t="inlineStr">
        <is>
          <t>1</t>
        </is>
      </c>
      <c r="AE116" s="2" t="inlineStr">
        <is>
          <t>23296</t>
        </is>
      </c>
      <c r="AF116" s="2" t="inlineStr">
        <is>
          <t>https://www.parlamento.pt/OrcamentoEstado/Paginas/DetalhePropostaAlteracao.aspx?BID=23296</t>
        </is>
      </c>
      <c r="AG116" s="2" t="inlineStr">
        <is>
          <t>https://app.parlamento.pt/webutils/docs/doc.pdf?path=6148523063484d364c793942556b356c6443397a6158526c63793959566b6c4a544556484c3039464c7a49774d6a59794d4449314d5441774f533951515338344f44637a5932526c4d69316b4e3255344c54526a4e474974595449794e6930345a444a6b4f47566d4d444931595745756347526d&amp;Fich=8873cde2-d7e8-4c4b-a226-8d2d8ef025aa.pdf&amp;Inline=true</t>
        </is>
      </c>
      <c r="AH116" s="3" t="n">
        <v>46321.77847222222</v>
      </c>
      <c r="AI116" s="3" t="n">
        <v>46321.78055555555</v>
      </c>
      <c r="AJ116" s="2" t="inlineStr"/>
    </row>
    <row r="117">
      <c r="A117" s="2" t="n">
        <v>116</v>
      </c>
      <c r="B117" s="2" t="inlineStr">
        <is>
          <t>104C</t>
        </is>
      </c>
      <c r="C117" s="3" t="n">
        <v>45962.67569444444</v>
      </c>
      <c r="D117" s="2" t="inlineStr">
        <is>
          <t>Original</t>
        </is>
      </c>
      <c r="E117" s="2" t="inlineStr">
        <is>
          <t>PCP</t>
        </is>
      </c>
      <c r="F117" s="2" t="inlineStr">
        <is>
          <t>Alfredo Maia; Paula Santos; Paulo Raimundo</t>
        </is>
      </c>
      <c r="G117" s="2" t="inlineStr">
        <is>
          <t>Art. 113.º-A (aditamento)</t>
        </is>
      </c>
      <c r="H117" s="2" t="n"/>
      <c r="I117" s="2" t="n"/>
      <c r="J117" s="2" t="n"/>
      <c r="K117" s="2" t="n"/>
      <c r="L117" s="2" t="inlineStr">
        <is>
          <t>Artigo 113.º-A (Variante a Moura e alargamento da Ponte sobre o Rio Ardila)</t>
        </is>
      </c>
      <c r="M117" s="4" t="n"/>
      <c r="N117" s="4" t="n"/>
      <c r="O117" s="2" t="n"/>
      <c r="P117" s="2" t="n"/>
      <c r="Q117" s="2" t="n"/>
      <c r="R117" s="2" t="n"/>
      <c r="S117" s="2" t="inlineStr">
        <is>
          <t>Rejeitado(a) em Comissão</t>
        </is>
      </c>
      <c r="T117" s="2" t="inlineStr">
        <is>
          <t>Rejeitada</t>
        </is>
      </c>
      <c r="U117" s="2" t="inlineStr">
        <is>
          <t>Favor: CH, L, PCP, BE, PAN; Contra: PSD, CDS-PP; Abstenção: PS, IL</t>
        </is>
      </c>
      <c r="V117" s="3" t="n">
        <v>45985</v>
      </c>
      <c r="W117" s="2" t="inlineStr">
        <is>
          <t>AR: https://www.parlamento.pt/OrcamentoEstado/Paginas/DetalhePropostaAlteracao.aspx?BID=23297 PDF: https://app.parlamento.pt/webutils/docs/doc.pdf?path=6148523063484d364c793942556b356c6443397a6158526c63793959566b6c4a544556484c3039464c7a49774d6a59794d4449314d5441774f5339515153396d5a6a52685a446379597930335a57526a4c5451314f544974596a6b784d4330794e57497a5a5459354e324a6d4f574d756347526d&amp;Fich=ff4ad72c-7edc-4592-b910-25b3e697bf9c.pdf&amp;Inline=true</t>
        </is>
      </c>
      <c r="X117" s="2" t="inlineStr">
        <is>
          <t>Infraestruturas, Mobilidade e Habitação</t>
        </is>
      </c>
      <c r="Y117" s="2" t="inlineStr">
        <is>
          <t>Articulado</t>
        </is>
      </c>
      <c r="Z117" s="2" t="inlineStr">
        <is>
          <t>Aditamento (Artigo PPL)</t>
        </is>
      </c>
      <c r="AA117" s="2" t="inlineStr">
        <is>
          <t>Rejeitado(a) em Comissão</t>
        </is>
      </c>
      <c r="AB117" s="2" t="inlineStr"/>
      <c r="AC117" s="2" t="inlineStr"/>
      <c r="AD117" s="2" t="inlineStr">
        <is>
          <t>1</t>
        </is>
      </c>
      <c r="AE117" s="2" t="inlineStr">
        <is>
          <t>23297</t>
        </is>
      </c>
      <c r="AF117" s="2" t="inlineStr">
        <is>
          <t>https://www.parlamento.pt/OrcamentoEstado/Paginas/DetalhePropostaAlteracao.aspx?BID=23297</t>
        </is>
      </c>
      <c r="AG117" s="2" t="inlineStr">
        <is>
          <t>https://app.parlamento.pt/webutils/docs/doc.pdf?path=6148523063484d364c793942556b356c6443397a6158526c63793959566b6c4a544556484c3039464c7a49774d6a59794d4449314d5441774f5339515153396d5a6a52685a446379597930335a57526a4c5451314f544974596a6b784d4330794e57497a5a5459354e324a6d4f574d756347526d&amp;Fich=ff4ad72c-7edc-4592-b910-25b3e697bf9c.pdf&amp;Inline=true</t>
        </is>
      </c>
      <c r="AH117" s="3" t="n">
        <v>46321.77847222222</v>
      </c>
      <c r="AI117" s="3" t="n">
        <v>46321.78055555555</v>
      </c>
      <c r="AJ117" s="2" t="inlineStr"/>
    </row>
    <row r="118">
      <c r="A118" s="2" t="n">
        <v>117</v>
      </c>
      <c r="B118" s="2" t="inlineStr">
        <is>
          <t>105C</t>
        </is>
      </c>
      <c r="C118" s="3" t="n">
        <v>45964.35833333333</v>
      </c>
      <c r="D118" s="2" t="inlineStr">
        <is>
          <t>Original</t>
        </is>
      </c>
      <c r="E118" s="2" t="inlineStr">
        <is>
          <t>CH</t>
        </is>
      </c>
      <c r="F11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18" s="2" t="inlineStr">
        <is>
          <t>Art. 46.º-A (aditamento)</t>
        </is>
      </c>
      <c r="H118" s="2" t="n"/>
      <c r="I118" s="2" t="n"/>
      <c r="J118" s="2" t="n"/>
      <c r="K118" s="2" t="n"/>
      <c r="L118" s="2" t="inlineStr">
        <is>
          <t>Artigo 46.º-A (Atualização adicional das pensões)</t>
        </is>
      </c>
      <c r="M118" s="4" t="n"/>
      <c r="N118" s="4" t="n"/>
      <c r="O118" s="2" t="n"/>
      <c r="P118" s="2" t="n"/>
      <c r="Q118" s="2" t="n"/>
      <c r="R118" s="2" t="n"/>
      <c r="S118" s="2" t="inlineStr">
        <is>
          <t>Rejeitado(a) em Plenário</t>
        </is>
      </c>
      <c r="T118" s="2" t="inlineStr">
        <is>
          <t>Rejeitada</t>
        </is>
      </c>
      <c r="U118" s="2" t="inlineStr">
        <is>
          <t>Favor: CH, BE, PAN, JPP; Contra: PSD, IL, CDS-PP; Abstenção: PS, L, PCP</t>
        </is>
      </c>
      <c r="V118" s="3" t="n">
        <v>45982</v>
      </c>
      <c r="W118" s="2" t="inlineStr">
        <is>
          <t>Avocada a Plenário. AR: https://www.parlamento.pt/OrcamentoEstado/Paginas/DetalhePropostaAlteracao.aspx?BID=23298 PDF: https://app.parlamento.pt/webutils/docs/doc.pdf?path=6148523063484d364c793942556b356c6443397a6158526c63793959566b6c4a544556484c3039464c7a49774d6a59794d4449314d5441774f533951515339685a5459784e6d4d344e79307a596a45784c545179596d4574596a4a6d4e7930334e5463325a6d4d7a4d57553059324d756347526d&amp;Fich=ae616c87-3b11-42ba-b2f7-7576fc31e4cc.pdf&amp;Inline=true</t>
        </is>
      </c>
      <c r="X118" s="2" t="inlineStr">
        <is>
          <t>Orçamento, Finanças e Administração Pública; Trabalho, Segurança Social e Inclusão</t>
        </is>
      </c>
      <c r="Y118" s="2" t="inlineStr">
        <is>
          <t>Articulado</t>
        </is>
      </c>
      <c r="Z118" s="2" t="inlineStr">
        <is>
          <t>Aditamento (Artigo PPL)</t>
        </is>
      </c>
      <c r="AA118" s="2" t="inlineStr">
        <is>
          <t>Rejeitado(a) em Plenário</t>
        </is>
      </c>
      <c r="AB118" s="2" t="inlineStr">
        <is>
          <t>S</t>
        </is>
      </c>
      <c r="AC118" s="2" t="inlineStr"/>
      <c r="AD118" s="2" t="inlineStr">
        <is>
          <t>2</t>
        </is>
      </c>
      <c r="AE118" s="2" t="inlineStr">
        <is>
          <t>23298</t>
        </is>
      </c>
      <c r="AF118" s="2" t="inlineStr">
        <is>
          <t>https://www.parlamento.pt/OrcamentoEstado/Paginas/DetalhePropostaAlteracao.aspx?BID=23298</t>
        </is>
      </c>
      <c r="AG118" s="2" t="inlineStr">
        <is>
          <t>https://app.parlamento.pt/webutils/docs/doc.pdf?path=6148523063484d364c793942556b356c6443397a6158526c63793959566b6c4a544556484c3039464c7a49774d6a59794d4449314d5441774f533951515339685a5459784e6d4d344e79307a596a45784c545179596d4574596a4a6d4e7930334e5463325a6d4d7a4d57553059324d756347526d&amp;Fich=ae616c87-3b11-42ba-b2f7-7576fc31e4cc.pdf&amp;Inline=true</t>
        </is>
      </c>
      <c r="AH118" s="3" t="n">
        <v>46321.77847222222</v>
      </c>
      <c r="AI118" s="3" t="n">
        <v>46321.78055555555</v>
      </c>
      <c r="AJ118" s="2" t="inlineStr"/>
    </row>
    <row r="119">
      <c r="A119" s="2" t="n">
        <v>118</v>
      </c>
      <c r="B119" s="2" t="inlineStr">
        <is>
          <t>106C</t>
        </is>
      </c>
      <c r="C119" s="3" t="n">
        <v>45964.36111111111</v>
      </c>
      <c r="D119" s="2" t="inlineStr">
        <is>
          <t>Original</t>
        </is>
      </c>
      <c r="E119" s="2" t="inlineStr">
        <is>
          <t>CH</t>
        </is>
      </c>
      <c r="F11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19" s="2" t="inlineStr">
        <is>
          <t>Art. 138.º (aditamento)</t>
        </is>
      </c>
      <c r="H119" s="2" t="n"/>
      <c r="I119" s="2" t="n"/>
      <c r="J119" s="2" t="n"/>
      <c r="K119" s="2" t="n"/>
      <c r="L119" s="2" t="inlineStr">
        <is>
          <t>Alínea c) do Artigo 138.º</t>
        </is>
      </c>
      <c r="M119" s="4" t="n"/>
      <c r="N119" s="4" t="n"/>
      <c r="O119" s="2" t="n"/>
      <c r="P119" s="2" t="n"/>
      <c r="Q119" s="2" t="n"/>
      <c r="R119" s="2" t="n"/>
      <c r="S119" s="2" t="inlineStr">
        <is>
          <t>Rejeitado(a) em Comissão</t>
        </is>
      </c>
      <c r="T119" s="2" t="inlineStr">
        <is>
          <t>Rejeitada</t>
        </is>
      </c>
      <c r="U119" s="2" t="inlineStr">
        <is>
          <t>Favor: CH, IL; Contra: PSD, PS, L, CDS-PP, PAN; Abstenção: PCP, BE</t>
        </is>
      </c>
      <c r="V119" s="3" t="n">
        <v>45987</v>
      </c>
      <c r="W119" s="2" t="inlineStr">
        <is>
          <t>AR: https://www.parlamento.pt/OrcamentoEstado/Paginas/DetalhePropostaAlteracao.aspx?BID=23299 PDF: https://app.parlamento.pt/webutils/docs/doc.pdf?path=6148523063484d364c793942556b356c6443397a6158526c63793959566b6c4a544556484c3039464c7a49774d6a59794d4449314d5441774f53395151533833595755795a44417a4f4330304f446c684c5451324e6d4974596a45314f4330785a6a59334d6a4a6b4f4449794d5455756347526d&amp;Fich=7ae2d038-489a-466b-b158-1f6722d82215.pdf&amp;Inline=true</t>
        </is>
      </c>
      <c r="X119" s="2" t="inlineStr">
        <is>
          <t>Infraestruturas, Mobilidade e Habitação; Orçamento, Finanças e Administração Pública</t>
        </is>
      </c>
      <c r="Y119" s="2" t="inlineStr">
        <is>
          <t>Articulado</t>
        </is>
      </c>
      <c r="Z119" s="2" t="inlineStr">
        <is>
          <t>Aditamento (Números e Alíneas)</t>
        </is>
      </c>
      <c r="AA119" s="2" t="inlineStr">
        <is>
          <t>Rejeitado(a) em Comissão</t>
        </is>
      </c>
      <c r="AB119" s="2" t="inlineStr"/>
      <c r="AC119" s="2" t="inlineStr"/>
      <c r="AD119" s="2" t="inlineStr">
        <is>
          <t>1</t>
        </is>
      </c>
      <c r="AE119" s="2" t="inlineStr">
        <is>
          <t>23299</t>
        </is>
      </c>
      <c r="AF119" s="2" t="inlineStr">
        <is>
          <t>https://www.parlamento.pt/OrcamentoEstado/Paginas/DetalhePropostaAlteracao.aspx?BID=23299</t>
        </is>
      </c>
      <c r="AG119" s="2" t="inlineStr">
        <is>
          <t>https://app.parlamento.pt/webutils/docs/doc.pdf?path=6148523063484d364c793942556b356c6443397a6158526c63793959566b6c4a544556484c3039464c7a49774d6a59794d4449314d5441774f53395151533833595755795a44417a4f4330304f446c684c5451324e6d4974596a45314f4330785a6a59334d6a4a6b4f4449794d5455756347526d&amp;Fich=7ae2d038-489a-466b-b158-1f6722d82215.pdf&amp;Inline=true</t>
        </is>
      </c>
      <c r="AH119" s="3" t="n">
        <v>46321.77847222222</v>
      </c>
      <c r="AI119" s="3" t="n">
        <v>46321.78055555555</v>
      </c>
      <c r="AJ119" s="2" t="inlineStr"/>
    </row>
    <row r="120">
      <c r="A120" s="2" t="n">
        <v>119</v>
      </c>
      <c r="B120" s="2" t="inlineStr">
        <is>
          <t>107C</t>
        </is>
      </c>
      <c r="C120" s="3" t="n">
        <v>45964.3625</v>
      </c>
      <c r="D120" s="2" t="inlineStr">
        <is>
          <t>Original</t>
        </is>
      </c>
      <c r="E120" s="2" t="inlineStr">
        <is>
          <t>CH</t>
        </is>
      </c>
      <c r="F12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20" s="2" t="inlineStr">
        <is>
          <t>Art. 46.º-A (aditamento)</t>
        </is>
      </c>
      <c r="H120" s="2" t="n"/>
      <c r="I120" s="2" t="n"/>
      <c r="J120" s="2" t="n"/>
      <c r="K120" s="2" t="n"/>
      <c r="L120" s="2" t="inlineStr">
        <is>
          <t>Artigo 46.º-A (Acesso a apoios sociais por cidadãos imigrantes)</t>
        </is>
      </c>
      <c r="M120" s="4" t="n"/>
      <c r="N120" s="4" t="n"/>
      <c r="O120" s="2" t="n"/>
      <c r="P120" s="2" t="n"/>
      <c r="Q120" s="2" t="n"/>
      <c r="R120" s="2" t="n"/>
      <c r="S120" s="2" t="inlineStr">
        <is>
          <t>Rejeitado(a) em Comissão</t>
        </is>
      </c>
      <c r="T120" s="2" t="inlineStr">
        <is>
          <t>Rejeitada</t>
        </is>
      </c>
      <c r="U120" s="2" t="inlineStr">
        <is>
          <t>Favor: CH; Contra: PSD, PS, IL, L, PCP, BE, PAN; Abstenção: CDS-PP</t>
        </is>
      </c>
      <c r="V120" s="3" t="n">
        <v>45981</v>
      </c>
      <c r="W120" s="2" t="inlineStr">
        <is>
          <t>AR: https://www.parlamento.pt/OrcamentoEstado/Paginas/DetalhePropostaAlteracao.aspx?BID=23300 PDF: https://app.parlamento.pt/webutils/docs/doc.pdf?path=6148523063484d364c793942556b356c6443397a6158526c63793959566b6c4a544556484c3039464c7a49774d6a59794d4449314d5441774f5339515153396a5a5745334e7a63775a6930324d6a41314c5451304d7a6774595755334e6931684d6d4a684e6a6c6d596a4d324e5451756347526d&amp;Fich=cea7770f-6205-4438-ae76-a2ba69fb3654.pdf&amp;Inline=true</t>
        </is>
      </c>
      <c r="X120" s="2" t="inlineStr">
        <is>
          <t>Orçamento, Finanças e Administração Pública; Trabalho, Segurança Social e Inclusão</t>
        </is>
      </c>
      <c r="Y120" s="2" t="inlineStr">
        <is>
          <t>Articulado</t>
        </is>
      </c>
      <c r="Z120" s="2" t="inlineStr">
        <is>
          <t>Aditamento (Artigo PPL)</t>
        </is>
      </c>
      <c r="AA120" s="2" t="inlineStr">
        <is>
          <t>Rejeitado(a) em Comissão</t>
        </is>
      </c>
      <c r="AB120" s="2" t="inlineStr"/>
      <c r="AC120" s="2" t="inlineStr"/>
      <c r="AD120" s="2" t="inlineStr">
        <is>
          <t>1</t>
        </is>
      </c>
      <c r="AE120" s="2" t="inlineStr">
        <is>
          <t>23300</t>
        </is>
      </c>
      <c r="AF120" s="2" t="inlineStr">
        <is>
          <t>https://www.parlamento.pt/OrcamentoEstado/Paginas/DetalhePropostaAlteracao.aspx?BID=23300</t>
        </is>
      </c>
      <c r="AG120" s="2" t="inlineStr">
        <is>
          <t>https://app.parlamento.pt/webutils/docs/doc.pdf?path=6148523063484d364c793942556b356c6443397a6158526c63793959566b6c4a544556484c3039464c7a49774d6a59794d4449314d5441774f5339515153396a5a5745334e7a63775a6930324d6a41314c5451304d7a6774595755334e6931684d6d4a684e6a6c6d596a4d324e5451756347526d&amp;Fich=cea7770f-6205-4438-ae76-a2ba69fb3654.pdf&amp;Inline=true</t>
        </is>
      </c>
      <c r="AH120" s="3" t="n">
        <v>46321.77847222222</v>
      </c>
      <c r="AI120" s="3" t="n">
        <v>46321.78055555555</v>
      </c>
      <c r="AJ120" s="2" t="inlineStr"/>
    </row>
    <row r="121">
      <c r="A121" s="2" t="n">
        <v>120</v>
      </c>
      <c r="B121" s="2" t="inlineStr">
        <is>
          <t>108C</t>
        </is>
      </c>
      <c r="C121" s="3" t="n">
        <v>45964.36458333334</v>
      </c>
      <c r="D121" s="2" t="inlineStr">
        <is>
          <t>Original</t>
        </is>
      </c>
      <c r="E121" s="2" t="inlineStr">
        <is>
          <t>CH</t>
        </is>
      </c>
      <c r="F12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21" s="2" t="inlineStr">
        <is>
          <t>Art. 121.º-A (aditamento)</t>
        </is>
      </c>
      <c r="H121" s="2" t="n"/>
      <c r="I121" s="2" t="n"/>
      <c r="J121" s="2" t="n"/>
      <c r="K121" s="2" t="n"/>
      <c r="L121" s="2" t="inlineStr">
        <is>
          <t>Artigo 121.º-A (Cobrança de custos a estrangeiros não residentes sem cobertura no Serviço Nacional de Saúde (SNS))</t>
        </is>
      </c>
      <c r="M121" s="4" t="n"/>
      <c r="N121" s="4" t="n"/>
      <c r="O121" s="2" t="n"/>
      <c r="P121" s="2" t="n"/>
      <c r="Q121" s="2" t="n"/>
      <c r="R121" s="2" t="n"/>
      <c r="S121" s="2" t="inlineStr">
        <is>
          <t>Aprovado(a) em Comissão</t>
        </is>
      </c>
      <c r="T121" s="2" t="inlineStr">
        <is>
          <t>Aprovada</t>
        </is>
      </c>
      <c r="U121" s="2" t="inlineStr">
        <is>
          <t>Favor: CH, IL; Contra: L, PCP, BE, PAN; Abstenção: PSD, PS, CDS-PP</t>
        </is>
      </c>
      <c r="V121" s="3" t="n">
        <v>45985</v>
      </c>
      <c r="W121" s="2" t="inlineStr">
        <is>
          <t>AR: https://www.parlamento.pt/OrcamentoEstado/Paginas/DetalhePropostaAlteracao.aspx?BID=23301 PDF: https://app.parlamento.pt/webutils/docs/doc.pdf?path=6148523063484d364c793942556b356c6443397a6158526c63793959566b6c4a544556484c3039464c7a49774d6a59794d4449314d5441774f533951515339684e6a633459544a694e69307a4d3255324c54526d5a446b74596a6c6b4f5330775a6d55334e4464694f4455774f5445756347526d&amp;Fich=a678a2b6-33e6-4fd9-b9d9-0fe747b85091.pdf&amp;Inline=true</t>
        </is>
      </c>
      <c r="X121" s="2" t="inlineStr">
        <is>
          <t>Orçamento, Finanças e Administração Pública; Saúde</t>
        </is>
      </c>
      <c r="Y121" s="2" t="inlineStr">
        <is>
          <t>Articulado</t>
        </is>
      </c>
      <c r="Z121" s="2" t="inlineStr">
        <is>
          <t>Aditamento (Artigo PPL)</t>
        </is>
      </c>
      <c r="AA121" s="2" t="inlineStr">
        <is>
          <t>Aprovado(a) em Comissão</t>
        </is>
      </c>
      <c r="AB121" s="2" t="inlineStr"/>
      <c r="AC121" s="2" t="inlineStr"/>
      <c r="AD121" s="2" t="inlineStr">
        <is>
          <t>1</t>
        </is>
      </c>
      <c r="AE121" s="2" t="inlineStr">
        <is>
          <t>23301</t>
        </is>
      </c>
      <c r="AF121" s="2" t="inlineStr">
        <is>
          <t>https://www.parlamento.pt/OrcamentoEstado/Paginas/DetalhePropostaAlteracao.aspx?BID=23301</t>
        </is>
      </c>
      <c r="AG121" s="2" t="inlineStr">
        <is>
          <t>https://app.parlamento.pt/webutils/docs/doc.pdf?path=6148523063484d364c793942556b356c6443397a6158526c63793959566b6c4a544556484c3039464c7a49774d6a59794d4449314d5441774f533951515339684e6a633459544a694e69307a4d3255324c54526d5a446b74596a6c6b4f5330775a6d55334e4464694f4455774f5445756347526d&amp;Fich=a678a2b6-33e6-4fd9-b9d9-0fe747b85091.pdf&amp;Inline=true</t>
        </is>
      </c>
      <c r="AH121" s="3" t="n">
        <v>46321.77847222222</v>
      </c>
      <c r="AI121" s="3" t="n">
        <v>46321.78055555555</v>
      </c>
      <c r="AJ121" s="2" t="inlineStr"/>
    </row>
    <row r="122">
      <c r="A122" s="2" t="n">
        <v>121</v>
      </c>
      <c r="B122" s="2" t="inlineStr">
        <is>
          <t>109C</t>
        </is>
      </c>
      <c r="C122" s="3" t="n">
        <v>45964.36597222222</v>
      </c>
      <c r="D122" s="2" t="inlineStr">
        <is>
          <t>Original</t>
        </is>
      </c>
      <c r="E122" s="2" t="inlineStr">
        <is>
          <t>CH</t>
        </is>
      </c>
      <c r="F12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22" s="2" t="inlineStr">
        <is>
          <t>Art. 22.º-A (aditamento)</t>
        </is>
      </c>
      <c r="H122" s="2" t="n"/>
      <c r="I122" s="2" t="n"/>
      <c r="J122" s="2" t="n"/>
      <c r="K122" s="2" t="n"/>
      <c r="L122" s="2" t="inlineStr">
        <is>
          <t>Artigo 22.º-A (Subsídio de Risco dos Profissionais de Saúde)</t>
        </is>
      </c>
      <c r="M122" s="4" t="n"/>
      <c r="N122" s="4" t="n"/>
      <c r="O122" s="2" t="n"/>
      <c r="P122" s="2" t="n"/>
      <c r="Q122" s="2" t="n"/>
      <c r="R122" s="2" t="n"/>
      <c r="S122" s="2" t="inlineStr">
        <is>
          <t>Rejeitado(a) em Comissão</t>
        </is>
      </c>
      <c r="T122" s="2" t="inlineStr">
        <is>
          <t>Rejeitada</t>
        </is>
      </c>
      <c r="U122" s="2" t="inlineStr">
        <is>
          <t>Favor: CH, BE, PAN; Contra: PSD, IL, CDS-PP; Abstenção: PS, L, PCP</t>
        </is>
      </c>
      <c r="V122" s="3" t="n">
        <v>45981</v>
      </c>
      <c r="W122" s="2" t="inlineStr">
        <is>
          <t>AR: https://www.parlamento.pt/OrcamentoEstado/Paginas/DetalhePropostaAlteracao.aspx?BID=23302 PDF: https://app.parlamento.pt/webutils/docs/doc.pdf?path=6148523063484d364c793942556b356c6443397a6158526c63793959566b6c4a544556484c3039464c7a49774d6a59794d4449314d5441774f533951515338785a474935597a686c5a53307a4e5755794c54526c4f5467744f44417a4d7930794f545531595463324d6a6b335a5459756347526d&amp;Fich=1db9c8ee-35e2-4e98-8033-2955a76297e6.pdf&amp;Inline=true</t>
        </is>
      </c>
      <c r="X122" s="2" t="inlineStr">
        <is>
          <t>Orçamento, Finanças e Administração Pública; Saúde</t>
        </is>
      </c>
      <c r="Y122" s="2" t="inlineStr">
        <is>
          <t>Articulado</t>
        </is>
      </c>
      <c r="Z122" s="2" t="inlineStr">
        <is>
          <t>Aditamento (Artigo PPL)</t>
        </is>
      </c>
      <c r="AA122" s="2" t="inlineStr">
        <is>
          <t>Rejeitado(a) em Comissão</t>
        </is>
      </c>
      <c r="AB122" s="2" t="inlineStr"/>
      <c r="AC122" s="2" t="inlineStr"/>
      <c r="AD122" s="2" t="inlineStr">
        <is>
          <t>1</t>
        </is>
      </c>
      <c r="AE122" s="2" t="inlineStr">
        <is>
          <t>23302</t>
        </is>
      </c>
      <c r="AF122" s="2" t="inlineStr">
        <is>
          <t>https://www.parlamento.pt/OrcamentoEstado/Paginas/DetalhePropostaAlteracao.aspx?BID=23302</t>
        </is>
      </c>
      <c r="AG122" s="2" t="inlineStr">
        <is>
          <t>https://app.parlamento.pt/webutils/docs/doc.pdf?path=6148523063484d364c793942556b356c6443397a6158526c63793959566b6c4a544556484c3039464c7a49774d6a59794d4449314d5441774f533951515338785a474935597a686c5a53307a4e5755794c54526c4f5467744f44417a4d7930794f545531595463324d6a6b335a5459756347526d&amp;Fich=1db9c8ee-35e2-4e98-8033-2955a76297e6.pdf&amp;Inline=true</t>
        </is>
      </c>
      <c r="AH122" s="3" t="n">
        <v>46321.77847222222</v>
      </c>
      <c r="AI122" s="3" t="n">
        <v>46321.78055555555</v>
      </c>
      <c r="AJ122" s="2" t="inlineStr"/>
    </row>
    <row r="123">
      <c r="A123" s="2" t="n">
        <v>122</v>
      </c>
      <c r="B123" s="2" t="inlineStr">
        <is>
          <t>110C</t>
        </is>
      </c>
      <c r="C123" s="3" t="n">
        <v>45964.36666666667</v>
      </c>
      <c r="D123" s="2" t="inlineStr">
        <is>
          <t>Original</t>
        </is>
      </c>
      <c r="E123" s="2" t="inlineStr">
        <is>
          <t>CH</t>
        </is>
      </c>
      <c r="F12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23" s="2" t="inlineStr">
        <is>
          <t>Art. 28.º-A (aditamento)</t>
        </is>
      </c>
      <c r="H123" s="2" t="n"/>
      <c r="I123" s="2" t="n"/>
      <c r="J123" s="2" t="n"/>
      <c r="K123" s="2" t="n"/>
      <c r="L123" s="2" t="inlineStr">
        <is>
          <t>Artigo 28.º-A (Constituição de uma Reserva Voluntária das Forças Armadas)</t>
        </is>
      </c>
      <c r="M123" s="4" t="n"/>
      <c r="N123" s="4" t="n"/>
      <c r="O123" s="2" t="n"/>
      <c r="P123" s="2" t="n"/>
      <c r="Q123" s="2" t="n"/>
      <c r="R123" s="2" t="n"/>
      <c r="S123" s="2" t="inlineStr">
        <is>
          <t>Rejeitado(a) em Comissão</t>
        </is>
      </c>
      <c r="T123" s="2" t="inlineStr">
        <is>
          <t>Rejeitada</t>
        </is>
      </c>
      <c r="U123" s="2" t="inlineStr">
        <is>
          <t>Favor: CH, IL; Contra: PSD, PS, L, PCP, CDS-PP, BE, PAN</t>
        </is>
      </c>
      <c r="V123" s="3" t="n">
        <v>45981</v>
      </c>
      <c r="W123" s="2" t="inlineStr">
        <is>
          <t>AR: https://www.parlamento.pt/OrcamentoEstado/Paginas/DetalhePropostaAlteracao.aspx?BID=23303 PDF: https://app.parlamento.pt/webutils/docs/doc.pdf?path=6148523063484d364c793942556b356c6443397a6158526c63793959566b6c4a544556484c3039464c7a49774d6a59794d4449314d5441774f533951515339684e7a4a6b5a5455784d5330304d3259334c54526d4d4749744f5759314e5331684e4751345932566b5a5455314d474d756347526d&amp;Fich=a72de511-43f7-4f0b-9f55-a4d8cede550c.pdf&amp;Inline=true</t>
        </is>
      </c>
      <c r="X123" s="2" t="inlineStr">
        <is>
          <t>Defesa Nacional</t>
        </is>
      </c>
      <c r="Y123" s="2" t="inlineStr">
        <is>
          <t>Articulado</t>
        </is>
      </c>
      <c r="Z123" s="2" t="inlineStr">
        <is>
          <t>Aditamento (Artigo PPL)</t>
        </is>
      </c>
      <c r="AA123" s="2" t="inlineStr">
        <is>
          <t>Rejeitado(a) em Comissão</t>
        </is>
      </c>
      <c r="AB123" s="2" t="inlineStr"/>
      <c r="AC123" s="2" t="inlineStr"/>
      <c r="AD123" s="2" t="inlineStr">
        <is>
          <t>1</t>
        </is>
      </c>
      <c r="AE123" s="2" t="inlineStr">
        <is>
          <t>23303</t>
        </is>
      </c>
      <c r="AF123" s="2" t="inlineStr">
        <is>
          <t>https://www.parlamento.pt/OrcamentoEstado/Paginas/DetalhePropostaAlteracao.aspx?BID=23303</t>
        </is>
      </c>
      <c r="AG123" s="2" t="inlineStr">
        <is>
          <t>https://app.parlamento.pt/webutils/docs/doc.pdf?path=6148523063484d364c793942556b356c6443397a6158526c63793959566b6c4a544556484c3039464c7a49774d6a59794d4449314d5441774f533951515339684e7a4a6b5a5455784d5330304d3259334c54526d4d4749744f5759314e5331684e4751345932566b5a5455314d474d756347526d&amp;Fich=a72de511-43f7-4f0b-9f55-a4d8cede550c.pdf&amp;Inline=true</t>
        </is>
      </c>
      <c r="AH123" s="3" t="n">
        <v>46321.77847222222</v>
      </c>
      <c r="AI123" s="3" t="n">
        <v>46321.78055555555</v>
      </c>
      <c r="AJ123" s="2" t="inlineStr"/>
    </row>
    <row r="124">
      <c r="A124" s="2" t="n">
        <v>123</v>
      </c>
      <c r="B124" s="2" t="inlineStr">
        <is>
          <t>111C</t>
        </is>
      </c>
      <c r="C124" s="3" t="n">
        <v>45964.36875</v>
      </c>
      <c r="D124" s="2" t="inlineStr">
        <is>
          <t>Original</t>
        </is>
      </c>
      <c r="E124" s="2" t="inlineStr">
        <is>
          <t>CH</t>
        </is>
      </c>
      <c r="F12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24" s="2" t="inlineStr">
        <is>
          <t>Art. 136.º-A (aditamento)</t>
        </is>
      </c>
      <c r="H124" s="2" t="n"/>
      <c r="I124" s="2" t="n"/>
      <c r="J124" s="2" t="n"/>
      <c r="K124" s="2" t="n"/>
      <c r="L124" s="2" t="inlineStr">
        <is>
          <t>Artigo 136.º-A (Trabalho Suplementar)</t>
        </is>
      </c>
      <c r="M124" s="4" t="n"/>
      <c r="N124" s="4" t="n"/>
      <c r="O124" s="2" t="n"/>
      <c r="P124" s="2" t="n"/>
      <c r="Q124" s="2" t="n"/>
      <c r="R124" s="2" t="n"/>
      <c r="S124" s="2" t="inlineStr">
        <is>
          <t>Rejeitado(a) em Comissão</t>
        </is>
      </c>
      <c r="T124" s="2" t="inlineStr">
        <is>
          <t>Rejeitada</t>
        </is>
      </c>
      <c r="U124" s="2" t="inlineStr">
        <is>
          <t>Favor: CH, BE, PAN; Contra: PSD, IL, CDS-PP; Abstenção: PS, L, PCP</t>
        </is>
      </c>
      <c r="V124" s="3" t="n">
        <v>45987</v>
      </c>
      <c r="W124" s="2" t="inlineStr">
        <is>
          <t>AR: https://www.parlamento.pt/OrcamentoEstado/Paginas/DetalhePropostaAlteracao.aspx?BID=23304 PDF: https://app.parlamento.pt/webutils/docs/doc.pdf?path=6148523063484d364c793942556b356c6443397a6158526c63793959566b6c4a544556484c3039464c7a49774d6a59794d4449314d5441774f5339515153396a5a546b324f4745334e6931684d6a566a4c5451784d5449744f5441324e7930354e7a5178597a49344d54686a5a6d49756347526d&amp;Fich=ce968a76-a25c-4112-9067-9741c2818cfb.pdf&amp;Inline=true</t>
        </is>
      </c>
      <c r="X124" s="2" t="inlineStr">
        <is>
          <t>Assuntos Constitucionais, Direitos, Liberdades e Garantias</t>
        </is>
      </c>
      <c r="Y124" s="2" t="inlineStr">
        <is>
          <t>Articulado</t>
        </is>
      </c>
      <c r="Z124" s="2" t="inlineStr">
        <is>
          <t>Aditamento (Artigo PPL)</t>
        </is>
      </c>
      <c r="AA124" s="2" t="inlineStr">
        <is>
          <t>Rejeitado(a) em Comissão</t>
        </is>
      </c>
      <c r="AB124" s="2" t="inlineStr"/>
      <c r="AC124" s="2" t="inlineStr"/>
      <c r="AD124" s="2" t="inlineStr">
        <is>
          <t>1</t>
        </is>
      </c>
      <c r="AE124" s="2" t="inlineStr">
        <is>
          <t>23304</t>
        </is>
      </c>
      <c r="AF124" s="2" t="inlineStr">
        <is>
          <t>https://www.parlamento.pt/OrcamentoEstado/Paginas/DetalhePropostaAlteracao.aspx?BID=23304</t>
        </is>
      </c>
      <c r="AG124" s="2" t="inlineStr">
        <is>
          <t>https://app.parlamento.pt/webutils/docs/doc.pdf?path=6148523063484d364c793942556b356c6443397a6158526c63793959566b6c4a544556484c3039464c7a49774d6a59794d4449314d5441774f5339515153396a5a546b324f4745334e6931684d6a566a4c5451784d5449744f5441324e7930354e7a5178597a49344d54686a5a6d49756347526d&amp;Fich=ce968a76-a25c-4112-9067-9741c2818cfb.pdf&amp;Inline=true</t>
        </is>
      </c>
      <c r="AH124" s="3" t="n">
        <v>46321.77847222222</v>
      </c>
      <c r="AI124" s="3" t="n">
        <v>46321.78055555555</v>
      </c>
      <c r="AJ124" s="2" t="inlineStr"/>
    </row>
    <row r="125">
      <c r="A125" s="2" t="n">
        <v>124</v>
      </c>
      <c r="B125" s="2" t="inlineStr">
        <is>
          <t>112C</t>
        </is>
      </c>
      <c r="C125" s="3" t="n">
        <v>45964.36944444444</v>
      </c>
      <c r="D125" s="2" t="inlineStr">
        <is>
          <t>Original</t>
        </is>
      </c>
      <c r="E125" s="2" t="inlineStr">
        <is>
          <t>CH</t>
        </is>
      </c>
      <c r="F12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25" s="2" t="inlineStr">
        <is>
          <t>Art. 136.º-A (aditamento)</t>
        </is>
      </c>
      <c r="H125" s="2" t="n"/>
      <c r="I125" s="2" t="n"/>
      <c r="J125" s="2" t="n"/>
      <c r="K125" s="2" t="n"/>
      <c r="L125" s="2" t="inlineStr">
        <is>
          <t>Artigo 136.º-A (Suplemento especial de serviço de estrangeiros, fronteiras e segurança aeroportuária)</t>
        </is>
      </c>
      <c r="M125" s="4" t="n"/>
      <c r="N125" s="4" t="n"/>
      <c r="O125" s="2" t="n"/>
      <c r="P125" s="2" t="n"/>
      <c r="Q125" s="2" t="n"/>
      <c r="R125" s="2" t="n"/>
      <c r="S125" s="2" t="inlineStr">
        <is>
          <t>Rejeitado(a) em Plenário</t>
        </is>
      </c>
      <c r="T125" s="2" t="inlineStr">
        <is>
          <t>Rejeitada</t>
        </is>
      </c>
      <c r="U125" s="2" t="inlineStr">
        <is>
          <t>Favor: CH, PAN, JPP; Contra: PSD, CDS-PP; Abstenção: PS, IL, L, PCP, BE</t>
        </is>
      </c>
      <c r="V125" s="3" t="n">
        <v>45988</v>
      </c>
      <c r="W125" s="2" t="inlineStr">
        <is>
          <t>Avocada a Plenário. AR: https://www.parlamento.pt/OrcamentoEstado/Paginas/DetalhePropostaAlteracao.aspx?BID=23305 PDF: https://app.parlamento.pt/webutils/docs/doc.pdf?path=6148523063484d364c793942556b356c6443397a6158526c63793959566b6c4a544556484c3039464c7a49774d6a59794d4449314d5441774f533951515338784e324e6d4d6a5a694e43316b5a5464694c54517a596a45744f4751785953316c4d7a49344d6a526959546b355a4459756347526d&amp;Fich=17cf26b4-de7b-43b1-8d1a-e32824ba99d6.pdf&amp;Inline=true</t>
        </is>
      </c>
      <c r="X125" s="2" t="inlineStr">
        <is>
          <t>Assuntos Constitucionais, Direitos, Liberdades e Garantias</t>
        </is>
      </c>
      <c r="Y125" s="2" t="inlineStr">
        <is>
          <t>Articulado</t>
        </is>
      </c>
      <c r="Z125" s="2" t="inlineStr">
        <is>
          <t>Aditamento (Artigo PPL)</t>
        </is>
      </c>
      <c r="AA125" s="2" t="inlineStr">
        <is>
          <t>Rejeitado(a) em Plenário</t>
        </is>
      </c>
      <c r="AB125" s="2" t="inlineStr">
        <is>
          <t>S</t>
        </is>
      </c>
      <c r="AC125" s="2" t="inlineStr"/>
      <c r="AD125" s="2" t="inlineStr">
        <is>
          <t>2</t>
        </is>
      </c>
      <c r="AE125" s="2" t="inlineStr">
        <is>
          <t>23305</t>
        </is>
      </c>
      <c r="AF125" s="2" t="inlineStr">
        <is>
          <t>https://www.parlamento.pt/OrcamentoEstado/Paginas/DetalhePropostaAlteracao.aspx?BID=23305</t>
        </is>
      </c>
      <c r="AG125" s="2" t="inlineStr">
        <is>
          <t>https://app.parlamento.pt/webutils/docs/doc.pdf?path=6148523063484d364c793942556b356c6443397a6158526c63793959566b6c4a544556484c3039464c7a49774d6a59794d4449314d5441774f533951515338784e324e6d4d6a5a694e43316b5a5464694c54517a596a45744f4751785953316c4d7a49344d6a526959546b355a4459756347526d&amp;Fich=17cf26b4-de7b-43b1-8d1a-e32824ba99d6.pdf&amp;Inline=true</t>
        </is>
      </c>
      <c r="AH125" s="3" t="n">
        <v>46321.77847222222</v>
      </c>
      <c r="AI125" s="3" t="n">
        <v>46321.78055555555</v>
      </c>
      <c r="AJ125" s="2" t="inlineStr"/>
    </row>
    <row r="126">
      <c r="A126" s="2" t="n">
        <v>125</v>
      </c>
      <c r="B126" s="2" t="inlineStr">
        <is>
          <t>113C</t>
        </is>
      </c>
      <c r="C126" s="3" t="n">
        <v>45964.41736111111</v>
      </c>
      <c r="D126" s="2" t="inlineStr">
        <is>
          <t>Original</t>
        </is>
      </c>
      <c r="E126" s="2" t="inlineStr">
        <is>
          <t>CH</t>
        </is>
      </c>
      <c r="F12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26" s="2" t="inlineStr">
        <is>
          <t>Art. 136.º-A (aditamento)</t>
        </is>
      </c>
      <c r="H126" s="2" t="n"/>
      <c r="I126" s="2" t="n"/>
      <c r="J126" s="2" t="n"/>
      <c r="K126" s="2" t="n"/>
      <c r="L126" s="2" t="inlineStr">
        <is>
          <t>Artigo 136.º-A (Recuperação do Tempo de Serviço para todos os professores)</t>
        </is>
      </c>
      <c r="M126" s="4" t="n"/>
      <c r="N126" s="4" t="n"/>
      <c r="O126" s="2" t="n"/>
      <c r="P126" s="2" t="n"/>
      <c r="Q126" s="2" t="n"/>
      <c r="R126" s="2" t="n"/>
      <c r="S126" s="2" t="inlineStr">
        <is>
          <t>Rejeitado(a) em Comissão</t>
        </is>
      </c>
      <c r="T126" s="2" t="inlineStr">
        <is>
          <t>Rejeitada</t>
        </is>
      </c>
      <c r="U126" s="2" t="inlineStr">
        <is>
          <t>Favor: CH, BE, PAN; Contra: PSD, IL, CDS-PP; Abstenção: PS, L, PCP</t>
        </is>
      </c>
      <c r="V126" s="3" t="n">
        <v>45987</v>
      </c>
      <c r="W126" s="2" t="inlineStr">
        <is>
          <t>AR: https://www.parlamento.pt/OrcamentoEstado/Paginas/DetalhePropostaAlteracao.aspx?BID=23306 PDF: https://app.parlamento.pt/webutils/docs/doc.pdf?path=6148523063484d364c793942556b356c6443397a6158526c63793959566b6c4a544556484c3039464c7a49774d6a59794d4449314d5441774f533951515339694d5751344e54417959693168597a426c4c5451794f4459744f4441355a53307a4d6a59334f474a6a595756684e3251756347526d&amp;Fich=b1d8502b-ac0e-4286-809e-32678bcaea7d.pdf&amp;Inline=true</t>
        </is>
      </c>
      <c r="X126" s="2" t="inlineStr">
        <is>
          <t>Educação e Ciência; Orçamento, Finanças e Administração Pública</t>
        </is>
      </c>
      <c r="Y126" s="2" t="inlineStr">
        <is>
          <t>Articulado</t>
        </is>
      </c>
      <c r="Z126" s="2" t="inlineStr">
        <is>
          <t>Aditamento (Artigo PPL)</t>
        </is>
      </c>
      <c r="AA126" s="2" t="inlineStr">
        <is>
          <t>Rejeitado(a) em Comissão</t>
        </is>
      </c>
      <c r="AB126" s="2" t="inlineStr"/>
      <c r="AC126" s="2" t="inlineStr"/>
      <c r="AD126" s="2" t="inlineStr">
        <is>
          <t>1</t>
        </is>
      </c>
      <c r="AE126" s="2" t="inlineStr">
        <is>
          <t>23306</t>
        </is>
      </c>
      <c r="AF126" s="2" t="inlineStr">
        <is>
          <t>https://www.parlamento.pt/OrcamentoEstado/Paginas/DetalhePropostaAlteracao.aspx?BID=23306</t>
        </is>
      </c>
      <c r="AG126" s="2" t="inlineStr">
        <is>
          <t>https://app.parlamento.pt/webutils/docs/doc.pdf?path=6148523063484d364c793942556b356c6443397a6158526c63793959566b6c4a544556484c3039464c7a49774d6a59794d4449314d5441774f533951515339694d5751344e54417959693168597a426c4c5451794f4459744f4441355a53307a4d6a59334f474a6a595756684e3251756347526d&amp;Fich=b1d8502b-ac0e-4286-809e-32678bcaea7d.pdf&amp;Inline=true</t>
        </is>
      </c>
      <c r="AH126" s="3" t="n">
        <v>46321.77847222222</v>
      </c>
      <c r="AI126" s="3" t="n">
        <v>46321.78055555555</v>
      </c>
      <c r="AJ126" s="2" t="inlineStr"/>
    </row>
    <row r="127">
      <c r="A127" s="2" t="n">
        <v>126</v>
      </c>
      <c r="B127" s="2" t="inlineStr">
        <is>
          <t>114C</t>
        </is>
      </c>
      <c r="C127" s="3" t="n">
        <v>45964.41875</v>
      </c>
      <c r="D127" s="2" t="inlineStr">
        <is>
          <t>Original</t>
        </is>
      </c>
      <c r="E127" s="2" t="inlineStr">
        <is>
          <t>CH</t>
        </is>
      </c>
      <c r="F12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27" s="2" t="inlineStr">
        <is>
          <t>Art. 9.º-A (aditamento)</t>
        </is>
      </c>
      <c r="H127" s="2" t="n"/>
      <c r="I127" s="2" t="n"/>
      <c r="J127" s="2" t="n"/>
      <c r="K127" s="2" t="n"/>
      <c r="L127" s="2" t="inlineStr">
        <is>
          <t>Artigo 9.º-A (Reforço de dotações orçamentais quando se revelem insuficientes as receitas das Forças Armadas)</t>
        </is>
      </c>
      <c r="M127" s="4" t="n"/>
      <c r="N127" s="4" t="n"/>
      <c r="O127" s="2" t="n"/>
      <c r="P127" s="2" t="n"/>
      <c r="Q127" s="2" t="n"/>
      <c r="R127" s="2" t="n"/>
      <c r="S127" s="2" t="inlineStr">
        <is>
          <t>Rejeitado(a) em Comissão</t>
        </is>
      </c>
      <c r="T127" s="2" t="inlineStr">
        <is>
          <t>Rejeitada</t>
        </is>
      </c>
      <c r="U127" s="2" t="inlineStr">
        <is>
          <t>Favor: CH; Contra: PSD, IL, CDS-PP, PAN; Abstenção: PS, L, PCP, BE</t>
        </is>
      </c>
      <c r="V127" s="3" t="n">
        <v>45981</v>
      </c>
      <c r="W127" s="2" t="inlineStr">
        <is>
          <t>AR: https://www.parlamento.pt/OrcamentoEstado/Paginas/DetalhePropostaAlteracao.aspx?BID=23307 PDF: https://app.parlamento.pt/webutils/docs/doc.pdf?path=6148523063484d364c793942556b356c6443397a6158526c63793959566b6c4a544556484c3039464c7a49774d6a59794d4449314d5441774f533951515339694e324d795a6a5a6d4e4331684d6d55794c54526a597a4974596d49325a69316d5a6a6c6a597a51314e5449324f4463756347526d&amp;Fich=b7c2f6f4-a2e2-4cc2-bb6f-ff9cc4552687.pdf&amp;Inline=true</t>
        </is>
      </c>
      <c r="X127" s="2" t="inlineStr">
        <is>
          <t>Defesa Nacional</t>
        </is>
      </c>
      <c r="Y127" s="2" t="inlineStr">
        <is>
          <t>Articulado</t>
        </is>
      </c>
      <c r="Z127" s="2" t="inlineStr">
        <is>
          <t>Aditamento (Artigo PPL)</t>
        </is>
      </c>
      <c r="AA127" s="2" t="inlineStr">
        <is>
          <t>Rejeitado(a) em Comissão</t>
        </is>
      </c>
      <c r="AB127" s="2" t="inlineStr"/>
      <c r="AC127" s="2" t="inlineStr"/>
      <c r="AD127" s="2" t="inlineStr">
        <is>
          <t>1</t>
        </is>
      </c>
      <c r="AE127" s="2" t="inlineStr">
        <is>
          <t>23307</t>
        </is>
      </c>
      <c r="AF127" s="2" t="inlineStr">
        <is>
          <t>https://www.parlamento.pt/OrcamentoEstado/Paginas/DetalhePropostaAlteracao.aspx?BID=23307</t>
        </is>
      </c>
      <c r="AG127" s="2" t="inlineStr">
        <is>
          <t>https://app.parlamento.pt/webutils/docs/doc.pdf?path=6148523063484d364c793942556b356c6443397a6158526c63793959566b6c4a544556484c3039464c7a49774d6a59794d4449314d5441774f533951515339694e324d795a6a5a6d4e4331684d6d55794c54526a597a4974596d49325a69316d5a6a6c6a597a51314e5449324f4463756347526d&amp;Fich=b7c2f6f4-a2e2-4cc2-bb6f-ff9cc4552687.pdf&amp;Inline=true</t>
        </is>
      </c>
      <c r="AH127" s="3" t="n">
        <v>46321.77847222222</v>
      </c>
      <c r="AI127" s="3" t="n">
        <v>46321.78055555555</v>
      </c>
      <c r="AJ127" s="2" t="inlineStr"/>
    </row>
    <row r="128">
      <c r="A128" s="2" t="n">
        <v>127</v>
      </c>
      <c r="B128" s="2" t="inlineStr">
        <is>
          <t>115C</t>
        </is>
      </c>
      <c r="C128" s="3" t="n">
        <v>45964.42083333333</v>
      </c>
      <c r="D128" s="2" t="inlineStr">
        <is>
          <t>Original</t>
        </is>
      </c>
      <c r="E128" s="2" t="inlineStr">
        <is>
          <t>CH</t>
        </is>
      </c>
      <c r="F12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28" s="2" t="inlineStr">
        <is>
          <t>Art. 14.º-A (aditamento)</t>
        </is>
      </c>
      <c r="H128" s="2" t="n"/>
      <c r="I128" s="2" t="n"/>
      <c r="J128" s="2" t="n"/>
      <c r="K128" s="2" t="n"/>
      <c r="L128" s="2" t="inlineStr">
        <is>
          <t>Artigo 14.º-A (Proibição de utilização de dinheiros públicos para a construção de mesquitas)</t>
        </is>
      </c>
      <c r="M128" s="4" t="n"/>
      <c r="N128" s="4" t="n"/>
      <c r="O128" s="2" t="n"/>
      <c r="P128" s="2" t="n"/>
      <c r="Q128" s="2" t="n"/>
      <c r="R128" s="2" t="n"/>
      <c r="S128" s="2" t="inlineStr">
        <is>
          <t>Rejeitado(a) em Comissão</t>
        </is>
      </c>
      <c r="T128" s="2" t="inlineStr">
        <is>
          <t>Rejeitada</t>
        </is>
      </c>
      <c r="U128" s="2" t="inlineStr">
        <is>
          <t>Favor: CH; Contra: PSD, PS, IL, L, PCP, BE; Abstenção: CDS-PP, PAN</t>
        </is>
      </c>
      <c r="V128" s="3" t="n">
        <v>45981</v>
      </c>
      <c r="W128" s="2" t="inlineStr">
        <is>
          <t>AR: https://www.parlamento.pt/OrcamentoEstado/Paginas/DetalhePropostaAlteracao.aspx?BID=23308 PDF: https://app.parlamento.pt/webutils/docs/doc.pdf?path=6148523063484d364c793942556b356c6443397a6158526c63793959566b6c4a544556484c3039464c7a49774d6a59794d4449314d5441774f533951515338355a57557a4e4745785a4330334f4759794c5451354e7a5174596a67325a5330334f474e6d4e7a6b304d7a566d4e4751756347526d&amp;Fich=9ee34a1d-78f2-4974-b86e-78cf79435f4d.pdf&amp;Inline=true</t>
        </is>
      </c>
      <c r="X128" s="2" t="inlineStr">
        <is>
          <t>Assuntos Constitucionais, Direitos, Liberdades e Garantias; Orçamento, Finanças e Administração Pública</t>
        </is>
      </c>
      <c r="Y128" s="2" t="inlineStr">
        <is>
          <t>Articulado</t>
        </is>
      </c>
      <c r="Z128" s="2" t="inlineStr">
        <is>
          <t>Aditamento (Artigo PPL)</t>
        </is>
      </c>
      <c r="AA128" s="2" t="inlineStr">
        <is>
          <t>Rejeitado(a) em Comissão</t>
        </is>
      </c>
      <c r="AB128" s="2" t="inlineStr"/>
      <c r="AC128" s="2" t="inlineStr"/>
      <c r="AD128" s="2" t="inlineStr">
        <is>
          <t>1</t>
        </is>
      </c>
      <c r="AE128" s="2" t="inlineStr">
        <is>
          <t>23308</t>
        </is>
      </c>
      <c r="AF128" s="2" t="inlineStr">
        <is>
          <t>https://www.parlamento.pt/OrcamentoEstado/Paginas/DetalhePropostaAlteracao.aspx?BID=23308</t>
        </is>
      </c>
      <c r="AG128" s="2" t="inlineStr">
        <is>
          <t>https://app.parlamento.pt/webutils/docs/doc.pdf?path=6148523063484d364c793942556b356c6443397a6158526c63793959566b6c4a544556484c3039464c7a49774d6a59794d4449314d5441774f533951515338355a57557a4e4745785a4330334f4759794c5451354e7a5174596a67325a5330334f474e6d4e7a6b304d7a566d4e4751756347526d&amp;Fich=9ee34a1d-78f2-4974-b86e-78cf79435f4d.pdf&amp;Inline=true</t>
        </is>
      </c>
      <c r="AH128" s="3" t="n">
        <v>46321.77847222222</v>
      </c>
      <c r="AI128" s="3" t="n">
        <v>46321.78055555555</v>
      </c>
      <c r="AJ128" s="2" t="inlineStr"/>
    </row>
    <row r="129">
      <c r="A129" s="2" t="n">
        <v>128</v>
      </c>
      <c r="B129" s="2" t="inlineStr">
        <is>
          <t>116C</t>
        </is>
      </c>
      <c r="C129" s="3" t="n">
        <v>45964.42222222222</v>
      </c>
      <c r="D129" s="2" t="inlineStr">
        <is>
          <t>Original</t>
        </is>
      </c>
      <c r="E129" s="2" t="inlineStr">
        <is>
          <t>CH</t>
        </is>
      </c>
      <c r="F12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29" s="2" t="inlineStr">
        <is>
          <t>Art. 19.º-A (aditamento)</t>
        </is>
      </c>
      <c r="H129" s="2" t="n"/>
      <c r="I129" s="2" t="n"/>
      <c r="J129" s="2" t="n"/>
      <c r="K129" s="2" t="n"/>
      <c r="L129" s="2" t="inlineStr">
        <is>
          <t>Artigo 19.º-A (Reforço das verbas para aquisição de viaturas e equipamentos para as forças de segurança)</t>
        </is>
      </c>
      <c r="M129" s="4" t="n"/>
      <c r="N129" s="4" t="n"/>
      <c r="O129" s="2" t="n"/>
      <c r="P129" s="2" t="n"/>
      <c r="Q129" s="2" t="n"/>
      <c r="R129" s="2" t="n"/>
      <c r="S129" s="2" t="inlineStr">
        <is>
          <t>Rejeitado(a) em Comissão</t>
        </is>
      </c>
      <c r="T129" s="2" t="inlineStr">
        <is>
          <t>Rejeitada</t>
        </is>
      </c>
      <c r="U129" s="2" t="inlineStr">
        <is>
          <t>Favor: CH, BE, PAN; Contra: PSD, CDS-PP; Abstenção: PS, IL, L, PCP</t>
        </is>
      </c>
      <c r="V129" s="3" t="n">
        <v>45981</v>
      </c>
      <c r="W129" s="2" t="inlineStr">
        <is>
          <t>AR: https://www.parlamento.pt/OrcamentoEstado/Paginas/DetalhePropostaAlteracao.aspx?BID=23309 PDF: https://app.parlamento.pt/webutils/docs/doc.pdf?path=6148523063484d364c793942556b356c6443397a6158526c63793959566b6c4a544556484c3039464c7a49774d6a59794d4449314d5441774f5339515153396c5954466c4f575a6a5a4330334e47526d4c5451314d6d4d7459574d314d7930784d7a41344d7a55354d6a426c5a5463756347526d&amp;Fich=ea1e9fcd-74df-452c-ac53-130835920ee7.pdf&amp;Inline=true</t>
        </is>
      </c>
      <c r="X129" s="2" t="inlineStr">
        <is>
          <t>Assuntos Constitucionais, Direitos, Liberdades e Garantias</t>
        </is>
      </c>
      <c r="Y129" s="2" t="inlineStr">
        <is>
          <t>Articulado</t>
        </is>
      </c>
      <c r="Z129" s="2" t="inlineStr">
        <is>
          <t>Aditamento (Artigo PPL)</t>
        </is>
      </c>
      <c r="AA129" s="2" t="inlineStr">
        <is>
          <t>Rejeitado(a) em Comissão</t>
        </is>
      </c>
      <c r="AB129" s="2" t="inlineStr"/>
      <c r="AC129" s="2" t="inlineStr"/>
      <c r="AD129" s="2" t="inlineStr">
        <is>
          <t>1</t>
        </is>
      </c>
      <c r="AE129" s="2" t="inlineStr">
        <is>
          <t>23309</t>
        </is>
      </c>
      <c r="AF129" s="2" t="inlineStr">
        <is>
          <t>https://www.parlamento.pt/OrcamentoEstado/Paginas/DetalhePropostaAlteracao.aspx?BID=23309</t>
        </is>
      </c>
      <c r="AG129" s="2" t="inlineStr">
        <is>
          <t>https://app.parlamento.pt/webutils/docs/doc.pdf?path=6148523063484d364c793942556b356c6443397a6158526c63793959566b6c4a544556484c3039464c7a49774d6a59794d4449314d5441774f5339515153396c5954466c4f575a6a5a4330334e47526d4c5451314d6d4d7459574d314d7930784d7a41344d7a55354d6a426c5a5463756347526d&amp;Fich=ea1e9fcd-74df-452c-ac53-130835920ee7.pdf&amp;Inline=true</t>
        </is>
      </c>
      <c r="AH129" s="3" t="n">
        <v>46321.77847222222</v>
      </c>
      <c r="AI129" s="3" t="n">
        <v>46321.78055555555</v>
      </c>
      <c r="AJ129" s="2" t="inlineStr"/>
    </row>
    <row r="130">
      <c r="A130" s="2" t="n">
        <v>129</v>
      </c>
      <c r="B130" s="2" t="inlineStr">
        <is>
          <t>117C</t>
        </is>
      </c>
      <c r="C130" s="3" t="n">
        <v>45964.42361111111</v>
      </c>
      <c r="D130" s="2" t="inlineStr">
        <is>
          <t>Original</t>
        </is>
      </c>
      <c r="E130" s="2" t="inlineStr">
        <is>
          <t>CH</t>
        </is>
      </c>
      <c r="F13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30" s="2" t="inlineStr">
        <is>
          <t>Art. 21.º-A (aditamento)</t>
        </is>
      </c>
      <c r="H130" s="2" t="n"/>
      <c r="I130" s="2" t="n"/>
      <c r="J130" s="2" t="n"/>
      <c r="K130" s="2" t="n"/>
      <c r="L130" s="2" t="inlineStr">
        <is>
          <t>Artigo 21.º-A (Reforço de nutricionistas nos estabelecimentos de ensino)</t>
        </is>
      </c>
      <c r="M130" s="4" t="n"/>
      <c r="N130" s="4" t="n"/>
      <c r="O130" s="2" t="n"/>
      <c r="P130" s="2" t="n"/>
      <c r="Q130" s="2" t="n"/>
      <c r="R130" s="2" t="n"/>
      <c r="S130" s="2" t="inlineStr">
        <is>
          <t>Rejeitado(a) em Comissão</t>
        </is>
      </c>
      <c r="T130" s="2" t="inlineStr">
        <is>
          <t>Rejeitada</t>
        </is>
      </c>
      <c r="U130" s="2" t="inlineStr">
        <is>
          <t>Favor: CH, BE, PAN; Contra: PSD, CDS-PP; Abstenção: PS, IL, L, PCP</t>
        </is>
      </c>
      <c r="V130" s="3" t="n">
        <v>45981</v>
      </c>
      <c r="W130" s="2" t="inlineStr">
        <is>
          <t>AR: https://www.parlamento.pt/OrcamentoEstado/Paginas/DetalhePropostaAlteracao.aspx?BID=23310 PDF: https://app.parlamento.pt/webutils/docs/doc.pdf?path=6148523063484d364c793942556b356c6443397a6158526c63793959566b6c4a544556484c3039464c7a49774d6a59794d4449314d5441774f533951515338794e7a557a4e6d4a6a5a4330305a4441314c54517a4e444174596a49794d43316c4f5449324e5755304e3255794f4449756347526d&amp;Fich=27536bcd-4d05-4340-b220-e9265e47e282.pdf&amp;Inline=true</t>
        </is>
      </c>
      <c r="X130" s="2" t="inlineStr">
        <is>
          <t>Educação e Ciência; Saúde</t>
        </is>
      </c>
      <c r="Y130" s="2" t="inlineStr">
        <is>
          <t>Articulado</t>
        </is>
      </c>
      <c r="Z130" s="2" t="inlineStr">
        <is>
          <t>Aditamento (Artigo PPL)</t>
        </is>
      </c>
      <c r="AA130" s="2" t="inlineStr">
        <is>
          <t>Rejeitado(a) em Comissão</t>
        </is>
      </c>
      <c r="AB130" s="2" t="inlineStr"/>
      <c r="AC130" s="2" t="inlineStr"/>
      <c r="AD130" s="2" t="inlineStr">
        <is>
          <t>1</t>
        </is>
      </c>
      <c r="AE130" s="2" t="inlineStr">
        <is>
          <t>23310</t>
        </is>
      </c>
      <c r="AF130" s="2" t="inlineStr">
        <is>
          <t>https://www.parlamento.pt/OrcamentoEstado/Paginas/DetalhePropostaAlteracao.aspx?BID=23310</t>
        </is>
      </c>
      <c r="AG130" s="2" t="inlineStr">
        <is>
          <t>https://app.parlamento.pt/webutils/docs/doc.pdf?path=6148523063484d364c793942556b356c6443397a6158526c63793959566b6c4a544556484c3039464c7a49774d6a59794d4449314d5441774f533951515338794e7a557a4e6d4a6a5a4330305a4441314c54517a4e444174596a49794d43316c4f5449324e5755304e3255794f4449756347526d&amp;Fich=27536bcd-4d05-4340-b220-e9265e47e282.pdf&amp;Inline=true</t>
        </is>
      </c>
      <c r="AH130" s="3" t="n">
        <v>46321.77847222222</v>
      </c>
      <c r="AI130" s="3" t="n">
        <v>46321.78055555555</v>
      </c>
      <c r="AJ130" s="2" t="inlineStr"/>
    </row>
    <row r="131">
      <c r="A131" s="2" t="n">
        <v>130</v>
      </c>
      <c r="B131" s="2" t="inlineStr">
        <is>
          <t>118C</t>
        </is>
      </c>
      <c r="C131" s="3" t="n">
        <v>45964.425</v>
      </c>
      <c r="D131" s="2" t="inlineStr">
        <is>
          <t>Original</t>
        </is>
      </c>
      <c r="E131" s="2" t="inlineStr">
        <is>
          <t>CH</t>
        </is>
      </c>
      <c r="F13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31" s="2" t="inlineStr">
        <is>
          <t>Art. 22.º-A (aditamento)</t>
        </is>
      </c>
      <c r="H131" s="2" t="n"/>
      <c r="I131" s="2" t="n"/>
      <c r="J131" s="2" t="n"/>
      <c r="K131" s="2" t="n"/>
      <c r="L131" s="2" t="inlineStr">
        <is>
          <t>Artigo 22.º-A (Contratação de Profissionais de Saúde na Região do Algarve)</t>
        </is>
      </c>
      <c r="M131" s="4" t="n"/>
      <c r="N131" s="4" t="n"/>
      <c r="O131" s="2" t="n"/>
      <c r="P131" s="2" t="n"/>
      <c r="Q131" s="2" t="n"/>
      <c r="R131" s="2" t="n"/>
      <c r="S131" s="2" t="inlineStr">
        <is>
          <t>Rejeitado(a) em Comissão</t>
        </is>
      </c>
      <c r="T131" s="2" t="inlineStr">
        <is>
          <t>Rejeitada</t>
        </is>
      </c>
      <c r="U131" s="2" t="inlineStr">
        <is>
          <t>Favor: CH, BE, PAN; Contra: PSD, CDS-PP; Abstenção: PS, IL, L, PCP</t>
        </is>
      </c>
      <c r="V131" s="3" t="n">
        <v>45981</v>
      </c>
      <c r="W131" s="2" t="inlineStr">
        <is>
          <t>AR: https://www.parlamento.pt/OrcamentoEstado/Paginas/DetalhePropostaAlteracao.aspx?BID=23311 PDF: https://app.parlamento.pt/webutils/docs/doc.pdf?path=6148523063484d364c793942556b356c6443397a6158526c63793959566b6c4a544556484c3039464c7a49774d6a59794d4449314d5441774f533951515338315a444d324e6a55324e69307a595463774c5452694e7a51744f4468684d79307a4d7a55314d44417a5a6d5a6c4e3251756347526d&amp;Fich=5d366566-3a70-4b74-88a3-3355003ffe7d.pdf&amp;Inline=true</t>
        </is>
      </c>
      <c r="X131" s="2" t="inlineStr">
        <is>
          <t>Saúde</t>
        </is>
      </c>
      <c r="Y131" s="2" t="inlineStr">
        <is>
          <t>Articulado</t>
        </is>
      </c>
      <c r="Z131" s="2" t="inlineStr">
        <is>
          <t>Aditamento (Artigo PPL)</t>
        </is>
      </c>
      <c r="AA131" s="2" t="inlineStr">
        <is>
          <t>Rejeitado(a) em Comissão</t>
        </is>
      </c>
      <c r="AB131" s="2" t="inlineStr"/>
      <c r="AC131" s="2" t="inlineStr"/>
      <c r="AD131" s="2" t="inlineStr">
        <is>
          <t>1</t>
        </is>
      </c>
      <c r="AE131" s="2" t="inlineStr">
        <is>
          <t>23311</t>
        </is>
      </c>
      <c r="AF131" s="2" t="inlineStr">
        <is>
          <t>https://www.parlamento.pt/OrcamentoEstado/Paginas/DetalhePropostaAlteracao.aspx?BID=23311</t>
        </is>
      </c>
      <c r="AG131" s="2" t="inlineStr">
        <is>
          <t>https://app.parlamento.pt/webutils/docs/doc.pdf?path=6148523063484d364c793942556b356c6443397a6158526c63793959566b6c4a544556484c3039464c7a49774d6a59794d4449314d5441774f533951515338315a444d324e6a55324e69307a595463774c5452694e7a51744f4468684d79307a4d7a55314d44417a5a6d5a6c4e3251756347526d&amp;Fich=5d366566-3a70-4b74-88a3-3355003ffe7d.pdf&amp;Inline=true</t>
        </is>
      </c>
      <c r="AH131" s="3" t="n">
        <v>46321.77847222222</v>
      </c>
      <c r="AI131" s="3" t="n">
        <v>46321.78055555555</v>
      </c>
      <c r="AJ131" s="2" t="inlineStr"/>
    </row>
    <row r="132">
      <c r="A132" s="2" t="n">
        <v>131</v>
      </c>
      <c r="B132" s="2" t="inlineStr">
        <is>
          <t>119C</t>
        </is>
      </c>
      <c r="C132" s="3" t="n">
        <v>45964.42569444444</v>
      </c>
      <c r="D132" s="2" t="inlineStr">
        <is>
          <t>Original</t>
        </is>
      </c>
      <c r="E132" s="2" t="inlineStr">
        <is>
          <t>CH</t>
        </is>
      </c>
      <c r="F13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32" s="2" t="inlineStr">
        <is>
          <t>Art. 22.º-A (aditamento)</t>
        </is>
      </c>
      <c r="H132" s="2" t="n"/>
      <c r="I132" s="2" t="n"/>
      <c r="J132" s="2" t="n"/>
      <c r="K132" s="2" t="n"/>
      <c r="L132" s="2" t="inlineStr">
        <is>
          <t>Artigo 22.º-A (Revisão da Carreira e Tabela Remuneratória dos Técnicos Superiores de Saúde)</t>
        </is>
      </c>
      <c r="M132" s="4" t="n"/>
      <c r="N132" s="4" t="n"/>
      <c r="O132" s="2" t="n"/>
      <c r="P132" s="2" t="n"/>
      <c r="Q132" s="2" t="n"/>
      <c r="R132" s="2" t="n"/>
      <c r="S132" s="2" t="inlineStr">
        <is>
          <t>Rejeitado(a) em Comissão</t>
        </is>
      </c>
      <c r="T132" s="2" t="inlineStr">
        <is>
          <t>Rejeitada</t>
        </is>
      </c>
      <c r="U132" s="2" t="inlineStr">
        <is>
          <t>Favor: CH, BE, PAN; Contra: PSD, CDS-PP; Abstenção: PS, IL, L, PCP</t>
        </is>
      </c>
      <c r="V132" s="3" t="n">
        <v>45981</v>
      </c>
      <c r="W132" s="2" t="inlineStr">
        <is>
          <t>AR: https://www.parlamento.pt/OrcamentoEstado/Paginas/DetalhePropostaAlteracao.aspx?BID=23312 PDF: https://app.parlamento.pt/webutils/docs/doc.pdf?path=6148523063484d364c793942556b356c6443397a6158526c63793959566b6c4a544556484c3039464c7a49774d6a59794d4449314d5441774f533951515338304d4751314e7a6c694d79307a4e5467784c54526c596a63744f574d30595330774f474a68596d49784d47566d593251756347526d&amp;Fich=40d579b3-3581-4eb7-9c4a-08babb10efcd.pdf&amp;Inline=true</t>
        </is>
      </c>
      <c r="X132" s="2" t="inlineStr">
        <is>
          <t>Orçamento, Finanças e Administração Pública; Saúde</t>
        </is>
      </c>
      <c r="Y132" s="2" t="inlineStr">
        <is>
          <t>Articulado</t>
        </is>
      </c>
      <c r="Z132" s="2" t="inlineStr">
        <is>
          <t>Aditamento (Artigo PPL)</t>
        </is>
      </c>
      <c r="AA132" s="2" t="inlineStr">
        <is>
          <t>Rejeitado(a) em Comissão</t>
        </is>
      </c>
      <c r="AB132" s="2" t="inlineStr"/>
      <c r="AC132" s="2" t="inlineStr"/>
      <c r="AD132" s="2" t="inlineStr">
        <is>
          <t>1</t>
        </is>
      </c>
      <c r="AE132" s="2" t="inlineStr">
        <is>
          <t>23312</t>
        </is>
      </c>
      <c r="AF132" s="2" t="inlineStr">
        <is>
          <t>https://www.parlamento.pt/OrcamentoEstado/Paginas/DetalhePropostaAlteracao.aspx?BID=23312</t>
        </is>
      </c>
      <c r="AG132" s="2" t="inlineStr">
        <is>
          <t>https://app.parlamento.pt/webutils/docs/doc.pdf?path=6148523063484d364c793942556b356c6443397a6158526c63793959566b6c4a544556484c3039464c7a49774d6a59794d4449314d5441774f533951515338304d4751314e7a6c694d79307a4e5467784c54526c596a63744f574d30595330774f474a68596d49784d47566d593251756347526d&amp;Fich=40d579b3-3581-4eb7-9c4a-08babb10efcd.pdf&amp;Inline=true</t>
        </is>
      </c>
      <c r="AH132" s="3" t="n">
        <v>46321.77847222222</v>
      </c>
      <c r="AI132" s="3" t="n">
        <v>46321.78055555555</v>
      </c>
      <c r="AJ132" s="2" t="inlineStr"/>
    </row>
    <row r="133">
      <c r="A133" s="2" t="n">
        <v>132</v>
      </c>
      <c r="B133" s="2" t="inlineStr">
        <is>
          <t>120C</t>
        </is>
      </c>
      <c r="C133" s="3" t="n">
        <v>45964.42777777778</v>
      </c>
      <c r="D133" s="2" t="inlineStr">
        <is>
          <t>Original</t>
        </is>
      </c>
      <c r="E133" s="2" t="inlineStr">
        <is>
          <t>CH</t>
        </is>
      </c>
      <c r="F13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33" s="2" t="inlineStr">
        <is>
          <t>Art. 28.º-A (aditamento)</t>
        </is>
      </c>
      <c r="H133" s="2" t="n"/>
      <c r="I133" s="2" t="n"/>
      <c r="J133" s="2" t="n"/>
      <c r="K133" s="2" t="n"/>
      <c r="L133" s="2" t="inlineStr">
        <is>
          <t>Artigo 28.º-A (Reforço do número de efetivos da Guarda Nacional Republicana e da Polícia de Segurança Pública no Distrito de Setúbal)</t>
        </is>
      </c>
      <c r="M133" s="4" t="n"/>
      <c r="N133" s="4" t="n"/>
      <c r="O133" s="2" t="n"/>
      <c r="P133" s="2" t="n"/>
      <c r="Q133" s="2" t="n"/>
      <c r="R133" s="2" t="n"/>
      <c r="S133" s="2" t="inlineStr">
        <is>
          <t>Rejeitado(a) em Comissão</t>
        </is>
      </c>
      <c r="T133" s="2" t="inlineStr">
        <is>
          <t>Rejeitada</t>
        </is>
      </c>
      <c r="U133" s="2" t="inlineStr">
        <is>
          <t>Favor: CH, BE, PAN; Contra: PSD, CDS-PP; Abstenção: PS, IL, L, PCP</t>
        </is>
      </c>
      <c r="V133" s="3" t="n">
        <v>45981</v>
      </c>
      <c r="W133" s="2" t="inlineStr">
        <is>
          <t>AR: https://www.parlamento.pt/OrcamentoEstado/Paginas/DetalhePropostaAlteracao.aspx?BID=23313 PDF: https://app.parlamento.pt/webutils/docs/doc.pdf?path=6148523063484d364c793942556b356c6443397a6158526c63793959566b6c4a544556484c3039464c7a49774d6a59794d4449314d5441774f533951515338354e6d466a5a5463314f433031596a686b4c54526b4e6d55744f4459355969316a596d4d334e6d4e6d4e546c68597a63756347526d&amp;Fich=96ace758-5b8d-4d6e-869b-cbc76cf59ac7.pdf&amp;Inline=true</t>
        </is>
      </c>
      <c r="X133" s="2" t="inlineStr">
        <is>
          <t>Assuntos Constitucionais, Direitos, Liberdades e Garantias</t>
        </is>
      </c>
      <c r="Y133" s="2" t="inlineStr">
        <is>
          <t>Articulado</t>
        </is>
      </c>
      <c r="Z133" s="2" t="inlineStr">
        <is>
          <t>Aditamento (Artigo PPL)</t>
        </is>
      </c>
      <c r="AA133" s="2" t="inlineStr">
        <is>
          <t>Rejeitado(a) em Comissão</t>
        </is>
      </c>
      <c r="AB133" s="2" t="inlineStr"/>
      <c r="AC133" s="2" t="inlineStr"/>
      <c r="AD133" s="2" t="inlineStr">
        <is>
          <t>1</t>
        </is>
      </c>
      <c r="AE133" s="2" t="inlineStr">
        <is>
          <t>23313</t>
        </is>
      </c>
      <c r="AF133" s="2" t="inlineStr">
        <is>
          <t>https://www.parlamento.pt/OrcamentoEstado/Paginas/DetalhePropostaAlteracao.aspx?BID=23313</t>
        </is>
      </c>
      <c r="AG133" s="2" t="inlineStr">
        <is>
          <t>https://app.parlamento.pt/webutils/docs/doc.pdf?path=6148523063484d364c793942556b356c6443397a6158526c63793959566b6c4a544556484c3039464c7a49774d6a59794d4449314d5441774f533951515338354e6d466a5a5463314f433031596a686b4c54526b4e6d55744f4459355969316a596d4d334e6d4e6d4e546c68597a63756347526d&amp;Fich=96ace758-5b8d-4d6e-869b-cbc76cf59ac7.pdf&amp;Inline=true</t>
        </is>
      </c>
      <c r="AH133" s="3" t="n">
        <v>46321.77847222222</v>
      </c>
      <c r="AI133" s="3" t="n">
        <v>46321.78055555555</v>
      </c>
      <c r="AJ133" s="2" t="inlineStr"/>
    </row>
    <row r="134">
      <c r="A134" s="2" t="n">
        <v>133</v>
      </c>
      <c r="B134" s="2" t="inlineStr">
        <is>
          <t>121C</t>
        </is>
      </c>
      <c r="C134" s="3" t="n">
        <v>45964.42847222222</v>
      </c>
      <c r="D134" s="2" t="inlineStr">
        <is>
          <t>Original</t>
        </is>
      </c>
      <c r="E134" s="2" t="inlineStr">
        <is>
          <t>CH</t>
        </is>
      </c>
      <c r="F13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34" s="2" t="inlineStr">
        <is>
          <t>Art. 28.º-A (aditamento)</t>
        </is>
      </c>
      <c r="H134" s="2" t="n"/>
      <c r="I134" s="2" t="n"/>
      <c r="J134" s="2" t="n"/>
      <c r="K134" s="2" t="n"/>
      <c r="L134" s="2" t="inlineStr">
        <is>
          <t>Artigo 28.º-A (Reforço de funcionários judiciais)</t>
        </is>
      </c>
      <c r="M134" s="4" t="n"/>
      <c r="N134" s="4" t="n"/>
      <c r="O134" s="2" t="n"/>
      <c r="P134" s="2" t="n"/>
      <c r="Q134" s="2" t="n"/>
      <c r="R134" s="2" t="n"/>
      <c r="S134" s="2" t="inlineStr">
        <is>
          <t>Rejeitado(a) em Comissão</t>
        </is>
      </c>
      <c r="T134" s="2" t="inlineStr">
        <is>
          <t>Rejeitada</t>
        </is>
      </c>
      <c r="U134" s="2" t="inlineStr">
        <is>
          <t>Favor: CH, BE, PAN; Contra: PSD, CDS-PP; Abstenção: PS, IL, L, PCP</t>
        </is>
      </c>
      <c r="V134" s="3" t="n">
        <v>45981</v>
      </c>
      <c r="W134" s="2" t="inlineStr">
        <is>
          <t>AR: https://www.parlamento.pt/OrcamentoEstado/Paginas/DetalhePropostaAlteracao.aspx?BID=23314 PDF: https://app.parlamento.pt/webutils/docs/doc.pdf?path=6148523063484d364c793942556b356c6443397a6158526c63793959566b6c4a544556484c3039464c7a49774d6a59794d4449314d5441774f5339515153396c593252694e7a526b59693035595451324c5451325a446374596a67335a53316b5a574d7a5a6a4d774d7a55344d7a59756347526d&amp;Fich=ecdb74db-9a46-46d7-b87e-dec3f3035836.pdf&amp;Inline=true</t>
        </is>
      </c>
      <c r="X134" s="2" t="inlineStr">
        <is>
          <t>Assuntos Constitucionais, Direitos, Liberdades e Garantias</t>
        </is>
      </c>
      <c r="Y134" s="2" t="inlineStr">
        <is>
          <t>Articulado</t>
        </is>
      </c>
      <c r="Z134" s="2" t="inlineStr">
        <is>
          <t>Aditamento (Artigo PPL)</t>
        </is>
      </c>
      <c r="AA134" s="2" t="inlineStr">
        <is>
          <t>Rejeitado(a) em Comissão</t>
        </is>
      </c>
      <c r="AB134" s="2" t="inlineStr"/>
      <c r="AC134" s="2" t="inlineStr"/>
      <c r="AD134" s="2" t="inlineStr">
        <is>
          <t>1</t>
        </is>
      </c>
      <c r="AE134" s="2" t="inlineStr">
        <is>
          <t>23314</t>
        </is>
      </c>
      <c r="AF134" s="2" t="inlineStr">
        <is>
          <t>https://www.parlamento.pt/OrcamentoEstado/Paginas/DetalhePropostaAlteracao.aspx?BID=23314</t>
        </is>
      </c>
      <c r="AG134" s="2" t="inlineStr">
        <is>
          <t>https://app.parlamento.pt/webutils/docs/doc.pdf?path=6148523063484d364c793942556b356c6443397a6158526c63793959566b6c4a544556484c3039464c7a49774d6a59794d4449314d5441774f5339515153396c593252694e7a526b59693035595451324c5451325a446374596a67335a53316b5a574d7a5a6a4d774d7a55344d7a59756347526d&amp;Fich=ecdb74db-9a46-46d7-b87e-dec3f3035836.pdf&amp;Inline=true</t>
        </is>
      </c>
      <c r="AH134" s="3" t="n">
        <v>46321.77847222222</v>
      </c>
      <c r="AI134" s="3" t="n">
        <v>46321.78055555555</v>
      </c>
      <c r="AJ134" s="2" t="inlineStr"/>
    </row>
    <row r="135">
      <c r="A135" s="2" t="n">
        <v>134</v>
      </c>
      <c r="B135" s="2" t="inlineStr">
        <is>
          <t>122C</t>
        </is>
      </c>
      <c r="C135" s="3" t="n">
        <v>45964.42986111111</v>
      </c>
      <c r="D135" s="2" t="inlineStr">
        <is>
          <t>Original</t>
        </is>
      </c>
      <c r="E135" s="2" t="inlineStr">
        <is>
          <t>CH</t>
        </is>
      </c>
      <c r="F13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35" s="2" t="inlineStr">
        <is>
          <t>Art. 63.º-A (aditamento)</t>
        </is>
      </c>
      <c r="H135" s="2" t="n"/>
      <c r="I135" s="2" t="n"/>
      <c r="J135" s="2" t="n"/>
      <c r="K135" s="2" t="n"/>
      <c r="L135" s="2" t="inlineStr">
        <is>
          <t>Artigo 63.º-A (Alteração à lista I anexa ao Código do Imposto sobre o Valor Acrescentado)</t>
        </is>
      </c>
      <c r="M135" s="4" t="n"/>
      <c r="N135" s="4" t="n"/>
      <c r="O135" s="2" t="n"/>
      <c r="P135" s="2" t="n"/>
      <c r="Q135" s="2" t="n"/>
      <c r="R135" s="2" t="n"/>
      <c r="S135" s="2" t="inlineStr">
        <is>
          <t>Rejeitado(a) em Comissão</t>
        </is>
      </c>
      <c r="T135" s="2" t="inlineStr">
        <is>
          <t>Rejeitada</t>
        </is>
      </c>
      <c r="U135" s="2" t="inlineStr">
        <is>
          <t>Favor: CH; Contra: PSD, L, BE, PAN; Abstenção: PS, PCP, CDS-PP</t>
        </is>
      </c>
      <c r="V135" s="3" t="n">
        <v>45982</v>
      </c>
      <c r="W135" s="2" t="inlineStr">
        <is>
          <t>AR: https://www.parlamento.pt/OrcamentoEstado/Paginas/DetalhePropostaAlteracao.aspx?BID=23315 PDF: https://app.parlamento.pt/webutils/docs/doc.pdf?path=6148523063484d364c793942556b356c6443397a6158526c63793959566b6c4a544556484c3039464c7a49774d6a59794d4449314d5441774f5339515153396c4d7a426a4e6a4a694e79307a4f5445324c5451334d444174596d4d775a5330324d57526a4d6a59355a6d4e6c4f4451756347526d&amp;Fich=e30c62b7-3916-4700-bc0e-61dc269fce84.pdf&amp;Inline=true</t>
        </is>
      </c>
      <c r="X135" s="2" t="inlineStr">
        <is>
          <t>Agricultura e Pescas; Orçamento, Finanças e Administração Pública</t>
        </is>
      </c>
      <c r="Y135" s="2" t="inlineStr">
        <is>
          <t>Articulado</t>
        </is>
      </c>
      <c r="Z135" s="2" t="inlineStr">
        <is>
          <t>Aditamento (Artigo PPL)</t>
        </is>
      </c>
      <c r="AA135" s="2" t="inlineStr">
        <is>
          <t>Rejeitado(a) em Comissão</t>
        </is>
      </c>
      <c r="AB135" s="2" t="inlineStr"/>
      <c r="AC135" s="2" t="inlineStr"/>
      <c r="AD135" s="2" t="inlineStr">
        <is>
          <t>1</t>
        </is>
      </c>
      <c r="AE135" s="2" t="inlineStr">
        <is>
          <t>23315</t>
        </is>
      </c>
      <c r="AF135" s="2" t="inlineStr">
        <is>
          <t>https://www.parlamento.pt/OrcamentoEstado/Paginas/DetalhePropostaAlteracao.aspx?BID=23315</t>
        </is>
      </c>
      <c r="AG135" s="2" t="inlineStr">
        <is>
          <t>https://app.parlamento.pt/webutils/docs/doc.pdf?path=6148523063484d364c793942556b356c6443397a6158526c63793959566b6c4a544556484c3039464c7a49774d6a59794d4449314d5441774f5339515153396c4d7a426a4e6a4a694e79307a4f5445324c5451334d444174596d4d775a5330324d57526a4d6a59355a6d4e6c4f4451756347526d&amp;Fich=e30c62b7-3916-4700-bc0e-61dc269fce84.pdf&amp;Inline=true</t>
        </is>
      </c>
      <c r="AH135" s="3" t="n">
        <v>46321.77847222222</v>
      </c>
      <c r="AI135" s="3" t="n">
        <v>46321.78055555555</v>
      </c>
      <c r="AJ135" s="2" t="inlineStr"/>
    </row>
    <row r="136">
      <c r="A136" s="2" t="n">
        <v>135</v>
      </c>
      <c r="B136" s="2" t="inlineStr">
        <is>
          <t>123C</t>
        </is>
      </c>
      <c r="C136" s="3" t="n">
        <v>45964.43055555555</v>
      </c>
      <c r="D136" s="2" t="inlineStr">
        <is>
          <t>Original</t>
        </is>
      </c>
      <c r="E136" s="2" t="inlineStr">
        <is>
          <t>CH</t>
        </is>
      </c>
      <c r="F13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36" s="2" t="inlineStr">
        <is>
          <t>Art. 28.º-A (aditamento)</t>
        </is>
      </c>
      <c r="H136" s="2" t="n"/>
      <c r="I136" s="2" t="n"/>
      <c r="J136" s="2" t="n"/>
      <c r="K136" s="2" t="n"/>
      <c r="L136" s="2" t="inlineStr">
        <is>
          <t>Artigo 28.º-A (Transição do saldo de gerência)</t>
        </is>
      </c>
      <c r="M136" s="4" t="n"/>
      <c r="N136" s="4" t="n"/>
      <c r="O136" s="2" t="n"/>
      <c r="P136" s="2" t="n"/>
      <c r="Q136" s="2" t="n"/>
      <c r="R136" s="2" t="n"/>
      <c r="S136" s="2" t="inlineStr">
        <is>
          <t>Rejeitado(a) em Comissão</t>
        </is>
      </c>
      <c r="T136" s="2" t="inlineStr">
        <is>
          <t>Rejeitada</t>
        </is>
      </c>
      <c r="U136" s="2" t="inlineStr">
        <is>
          <t>Favor: CH, BE, PAN; Contra: PSD, CDS-PP; Abstenção: PS, IL, L, PCP</t>
        </is>
      </c>
      <c r="V136" s="3" t="n">
        <v>45981</v>
      </c>
      <c r="W136" s="2" t="inlineStr">
        <is>
          <t>AR: https://www.parlamento.pt/OrcamentoEstado/Paginas/DetalhePropostaAlteracao.aspx?BID=23316 PDF: https://app.parlamento.pt/webutils/docs/doc.pdf?path=6148523063484d364c793942556b356c6443397a6158526c63793959566b6c4a544556484c3039464c7a49774d6a59794d4449314d5441774f533951515338785a57553259325a6b595330304d6a686c4c5451324e6a63744f5467774e79316859574d30596a566a596d497a5a6a6b756347526d&amp;Fich=1ee6cfda-428e-4667-9807-aac4b5cbb3f9.pdf&amp;Inline=true</t>
        </is>
      </c>
      <c r="X136" s="2" t="inlineStr">
        <is>
          <t>Orçamento, Finanças e Administração Pública</t>
        </is>
      </c>
      <c r="Y136" s="2" t="inlineStr">
        <is>
          <t>Articulado</t>
        </is>
      </c>
      <c r="Z136" s="2" t="inlineStr">
        <is>
          <t>Aditamento (Artigo PPL)</t>
        </is>
      </c>
      <c r="AA136" s="2" t="inlineStr">
        <is>
          <t>Rejeitado(a) em Comissão</t>
        </is>
      </c>
      <c r="AB136" s="2" t="inlineStr"/>
      <c r="AC136" s="2" t="inlineStr"/>
      <c r="AD136" s="2" t="inlineStr">
        <is>
          <t>1</t>
        </is>
      </c>
      <c r="AE136" s="2" t="inlineStr">
        <is>
          <t>23316</t>
        </is>
      </c>
      <c r="AF136" s="2" t="inlineStr">
        <is>
          <t>https://www.parlamento.pt/OrcamentoEstado/Paginas/DetalhePropostaAlteracao.aspx?BID=23316</t>
        </is>
      </c>
      <c r="AG136" s="2" t="inlineStr">
        <is>
          <t>https://app.parlamento.pt/webutils/docs/doc.pdf?path=6148523063484d364c793942556b356c6443397a6158526c63793959566b6c4a544556484c3039464c7a49774d6a59794d4449314d5441774f533951515338785a57553259325a6b595330304d6a686c4c5451324e6a63744f5467774e79316859574d30596a566a596d497a5a6a6b756347526d&amp;Fich=1ee6cfda-428e-4667-9807-aac4b5cbb3f9.pdf&amp;Inline=true</t>
        </is>
      </c>
      <c r="AH136" s="3" t="n">
        <v>46321.77847222222</v>
      </c>
      <c r="AI136" s="3" t="n">
        <v>46321.78055555555</v>
      </c>
      <c r="AJ136" s="2" t="inlineStr"/>
    </row>
    <row r="137">
      <c r="A137" s="2" t="n">
        <v>136</v>
      </c>
      <c r="B137" s="2" t="inlineStr">
        <is>
          <t>124C</t>
        </is>
      </c>
      <c r="C137" s="3" t="n">
        <v>45964.43125</v>
      </c>
      <c r="D137" s="2" t="inlineStr">
        <is>
          <t>Original</t>
        </is>
      </c>
      <c r="E137" s="2" t="inlineStr">
        <is>
          <t>CH</t>
        </is>
      </c>
      <c r="F13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37" s="2" t="inlineStr">
        <is>
          <t>Art. 28.º-A (aditamento)</t>
        </is>
      </c>
      <c r="H137" s="2" t="n"/>
      <c r="I137" s="2" t="n"/>
      <c r="J137" s="2" t="n"/>
      <c r="K137" s="2" t="n"/>
      <c r="L137" s="2" t="inlineStr">
        <is>
          <t>Artigo 28.º-A (Aumento da idade máxima de admissão à prestação de Serviço Militar nos diferentes Regimes de Contrato e no Regime de Voluntariado das Forças Armadas)</t>
        </is>
      </c>
      <c r="M137" s="4" t="n"/>
      <c r="N137" s="4" t="n"/>
      <c r="O137" s="2" t="n"/>
      <c r="P137" s="2" t="n"/>
      <c r="Q137" s="2" t="n"/>
      <c r="R137" s="2" t="n"/>
      <c r="S137" s="2" t="inlineStr">
        <is>
          <t>Rejeitado(a) em Comissão</t>
        </is>
      </c>
      <c r="T137" s="2" t="inlineStr">
        <is>
          <t>Rejeitada</t>
        </is>
      </c>
      <c r="U137" s="2" t="inlineStr">
        <is>
          <t>Favor: CH, BE; Contra: PSD, PS, CDS-PP; Abstenção: IL, L, PCP, PAN</t>
        </is>
      </c>
      <c r="V137" s="3" t="n">
        <v>45981</v>
      </c>
      <c r="W137" s="2" t="inlineStr">
        <is>
          <t>AR: https://www.parlamento.pt/OrcamentoEstado/Paginas/DetalhePropostaAlteracao.aspx?BID=23317 PDF: https://app.parlamento.pt/webutils/docs/doc.pdf?path=6148523063484d364c793942556b356c6443397a6158526c63793959566b6c4a544556484c3039464c7a49774d6a59794d4449314d5441774f5339515153387a4e5749354d54426c4e53316d5a446b324c5451304d7a41744f4456694e4330784d324a6b5a6a55324d44566b4e7a6b756347526d&amp;Fich=35b910e5-fd96-4430-85b4-13bdf5605d79.pdf&amp;Inline=true</t>
        </is>
      </c>
      <c r="X137" s="2" t="inlineStr">
        <is>
          <t>Assuntos Constitucionais, Direitos, Liberdades e Garantias; Defesa Nacional</t>
        </is>
      </c>
      <c r="Y137" s="2" t="inlineStr">
        <is>
          <t>Articulado</t>
        </is>
      </c>
      <c r="Z137" s="2" t="inlineStr">
        <is>
          <t>Aditamento (Artigo PPL)</t>
        </is>
      </c>
      <c r="AA137" s="2" t="inlineStr">
        <is>
          <t>Rejeitado(a) em Comissão</t>
        </is>
      </c>
      <c r="AB137" s="2" t="inlineStr"/>
      <c r="AC137" s="2" t="inlineStr"/>
      <c r="AD137" s="2" t="inlineStr">
        <is>
          <t>1</t>
        </is>
      </c>
      <c r="AE137" s="2" t="inlineStr">
        <is>
          <t>23317</t>
        </is>
      </c>
      <c r="AF137" s="2" t="inlineStr">
        <is>
          <t>https://www.parlamento.pt/OrcamentoEstado/Paginas/DetalhePropostaAlteracao.aspx?BID=23317</t>
        </is>
      </c>
      <c r="AG137" s="2" t="inlineStr">
        <is>
          <t>https://app.parlamento.pt/webutils/docs/doc.pdf?path=6148523063484d364c793942556b356c6443397a6158526c63793959566b6c4a544556484c3039464c7a49774d6a59794d4449314d5441774f5339515153387a4e5749354d54426c4e53316d5a446b324c5451304d7a41744f4456694e4330784d324a6b5a6a55324d44566b4e7a6b756347526d&amp;Fich=35b910e5-fd96-4430-85b4-13bdf5605d79.pdf&amp;Inline=true</t>
        </is>
      </c>
      <c r="AH137" s="3" t="n">
        <v>46321.77847222222</v>
      </c>
      <c r="AI137" s="3" t="n">
        <v>46321.78055555555</v>
      </c>
      <c r="AJ137" s="2" t="inlineStr"/>
    </row>
    <row r="138">
      <c r="A138" s="2" t="n">
        <v>137</v>
      </c>
      <c r="B138" s="2" t="inlineStr">
        <is>
          <t>125C</t>
        </is>
      </c>
      <c r="C138" s="3" t="n">
        <v>45964.43194444444</v>
      </c>
      <c r="D138" s="2" t="inlineStr">
        <is>
          <t>Original</t>
        </is>
      </c>
      <c r="E138" s="2" t="inlineStr">
        <is>
          <t>CH</t>
        </is>
      </c>
      <c r="F13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38" s="2" t="inlineStr">
        <is>
          <t>Art. 63.º-A (aditamento)</t>
        </is>
      </c>
      <c r="H138" s="2" t="n"/>
      <c r="I138" s="2" t="n"/>
      <c r="J138" s="2" t="n"/>
      <c r="K138" s="2" t="n"/>
      <c r="L138" s="2" t="inlineStr">
        <is>
          <t>Artigo 63.º-A (Aditamento à lista II anexa ao Código do Imposto sobre o Valor Acrescentado)</t>
        </is>
      </c>
      <c r="M138" s="4" t="n"/>
      <c r="N138" s="4" t="n"/>
      <c r="O138" s="2" t="n"/>
      <c r="P138" s="2" t="n"/>
      <c r="Q138" s="2" t="n"/>
      <c r="R138" s="2" t="n"/>
      <c r="S138" s="2" t="inlineStr">
        <is>
          <t>Rejeitado(a) em Comissão</t>
        </is>
      </c>
      <c r="T138" s="2" t="inlineStr">
        <is>
          <t>Rejeitada</t>
        </is>
      </c>
      <c r="U138" s="2" t="inlineStr">
        <is>
          <t>Favor: CH, IL, BE, PAN; Contra: PSD, CDS-PP; Abstenção: PS, L, PCP</t>
        </is>
      </c>
      <c r="V138" s="3" t="n">
        <v>45982</v>
      </c>
      <c r="W138" s="2" t="inlineStr">
        <is>
          <t>AR: https://www.parlamento.pt/OrcamentoEstado/Paginas/DetalhePropostaAlteracao.aspx?BID=23318 PDF: https://app.parlamento.pt/webutils/docs/doc.pdf?path=6148523063484d364c793942556b356c6443397a6158526c63793959566b6c4a544556484c3039464c7a49774d6a59794d4449314d5441774f533951515338324e3252685a5451785a4330304d6a68684c5451304d6d4574596a686b4d5330314e4455774d6d5a684f47526b5a4445756347526d&amp;Fich=67dae41d-428a-442a-b8d1-54502fa8ddd1.pdf&amp;Inline=true</t>
        </is>
      </c>
      <c r="X138" s="2" t="inlineStr">
        <is>
          <t>Agricultura e Pescas; Orçamento, Finanças e Administração Pública</t>
        </is>
      </c>
      <c r="Y138" s="2" t="inlineStr">
        <is>
          <t>Articulado</t>
        </is>
      </c>
      <c r="Z138" s="2" t="inlineStr">
        <is>
          <t>Aditamento (Artigo PPL)</t>
        </is>
      </c>
      <c r="AA138" s="2" t="inlineStr">
        <is>
          <t>Rejeitado(a) em Comissão</t>
        </is>
      </c>
      <c r="AB138" s="2" t="inlineStr"/>
      <c r="AC138" s="2" t="inlineStr"/>
      <c r="AD138" s="2" t="inlineStr">
        <is>
          <t>1</t>
        </is>
      </c>
      <c r="AE138" s="2" t="inlineStr">
        <is>
          <t>23318</t>
        </is>
      </c>
      <c r="AF138" s="2" t="inlineStr">
        <is>
          <t>https://www.parlamento.pt/OrcamentoEstado/Paginas/DetalhePropostaAlteracao.aspx?BID=23318</t>
        </is>
      </c>
      <c r="AG138" s="2" t="inlineStr">
        <is>
          <t>https://app.parlamento.pt/webutils/docs/doc.pdf?path=6148523063484d364c793942556b356c6443397a6158526c63793959566b6c4a544556484c3039464c7a49774d6a59794d4449314d5441774f533951515338324e3252685a5451785a4330304d6a68684c5451304d6d4574596a686b4d5330314e4455774d6d5a684f47526b5a4445756347526d&amp;Fich=67dae41d-428a-442a-b8d1-54502fa8ddd1.pdf&amp;Inline=true</t>
        </is>
      </c>
      <c r="AH138" s="3" t="n">
        <v>46321.77847222222</v>
      </c>
      <c r="AI138" s="3" t="n">
        <v>46321.78055555555</v>
      </c>
      <c r="AJ138" s="2" t="inlineStr"/>
    </row>
    <row r="139">
      <c r="A139" s="2" t="n">
        <v>138</v>
      </c>
      <c r="B139" s="2" t="inlineStr">
        <is>
          <t>126C</t>
        </is>
      </c>
      <c r="C139" s="3" t="n">
        <v>45964.43263888889</v>
      </c>
      <c r="D139" s="2" t="inlineStr">
        <is>
          <t>Original</t>
        </is>
      </c>
      <c r="E139" s="2" t="inlineStr">
        <is>
          <t>CH</t>
        </is>
      </c>
      <c r="F13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39" s="2" t="inlineStr">
        <is>
          <t>Art. 28.º-A (aditamento)</t>
        </is>
      </c>
      <c r="H139" s="2" t="n"/>
      <c r="I139" s="2" t="n"/>
      <c r="J139" s="2" t="n"/>
      <c r="K139" s="2" t="n"/>
      <c r="L139" s="2" t="inlineStr">
        <is>
          <t>Artigo 28.º-A (Recrutamento de trabalhadores para o Instituto de Registos e Notariado, I.P.)</t>
        </is>
      </c>
      <c r="M139" s="4" t="n"/>
      <c r="N139" s="4" t="n"/>
      <c r="O139" s="2" t="n"/>
      <c r="P139" s="2" t="n"/>
      <c r="Q139" s="2" t="n"/>
      <c r="R139" s="2" t="n"/>
      <c r="S139" s="2" t="inlineStr">
        <is>
          <t>Rejeitado(a) em Comissão</t>
        </is>
      </c>
      <c r="T139" s="2" t="inlineStr">
        <is>
          <t>Rejeitada</t>
        </is>
      </c>
      <c r="U139" s="2" t="inlineStr">
        <is>
          <t>Favor: CH, BE, PAN; Contra: PSD, CDS-PP; Abstenção: PS, IL, L, PCP</t>
        </is>
      </c>
      <c r="V139" s="3" t="n">
        <v>45981</v>
      </c>
      <c r="W139" s="2" t="inlineStr">
        <is>
          <t>AR: https://www.parlamento.pt/OrcamentoEstado/Paginas/DetalhePropostaAlteracao.aspx?BID=23319 PDF: https://app.parlamento.pt/webutils/docs/doc.pdf?path=6148523063484d364c793942556b356c6443397a6158526c63793959566b6c4a544556484c3039464c7a49774d6a59794d4449314d5441774f5339515153396a4d325a6a4e6d526b5a69307a596a51304c545131596a4d74596a55334f5331684e5467304e7a4977596a41785a546b756347526d&amp;Fich=c3fc6ddf-3b44-45b3-b579-a584720b01e9.pdf&amp;Inline=true</t>
        </is>
      </c>
      <c r="X139" s="2" t="inlineStr">
        <is>
          <t>Assuntos Constitucionais, Direitos, Liberdades e Garantias</t>
        </is>
      </c>
      <c r="Y139" s="2" t="inlineStr">
        <is>
          <t>Articulado</t>
        </is>
      </c>
      <c r="Z139" s="2" t="inlineStr">
        <is>
          <t>Aditamento (Artigo PPL)</t>
        </is>
      </c>
      <c r="AA139" s="2" t="inlineStr">
        <is>
          <t>Rejeitado(a) em Comissão</t>
        </is>
      </c>
      <c r="AB139" s="2" t="inlineStr"/>
      <c r="AC139" s="2" t="inlineStr"/>
      <c r="AD139" s="2" t="inlineStr">
        <is>
          <t>1</t>
        </is>
      </c>
      <c r="AE139" s="2" t="inlineStr">
        <is>
          <t>23319</t>
        </is>
      </c>
      <c r="AF139" s="2" t="inlineStr">
        <is>
          <t>https://www.parlamento.pt/OrcamentoEstado/Paginas/DetalhePropostaAlteracao.aspx?BID=23319</t>
        </is>
      </c>
      <c r="AG139" s="2" t="inlineStr">
        <is>
          <t>https://app.parlamento.pt/webutils/docs/doc.pdf?path=6148523063484d364c793942556b356c6443397a6158526c63793959566b6c4a544556484c3039464c7a49774d6a59794d4449314d5441774f5339515153396a4d325a6a4e6d526b5a69307a596a51304c545131596a4d74596a55334f5331684e5467304e7a4977596a41785a546b756347526d&amp;Fich=c3fc6ddf-3b44-45b3-b579-a584720b01e9.pdf&amp;Inline=true</t>
        </is>
      </c>
      <c r="AH139" s="3" t="n">
        <v>46321.77847222222</v>
      </c>
      <c r="AI139" s="3" t="n">
        <v>46321.78055555555</v>
      </c>
      <c r="AJ139" s="2" t="inlineStr"/>
    </row>
    <row r="140">
      <c r="A140" s="2" t="n">
        <v>139</v>
      </c>
      <c r="B140" s="2" t="inlineStr">
        <is>
          <t>127C-1</t>
        </is>
      </c>
      <c r="C140" s="3" t="n">
        <v>45964.43333333333</v>
      </c>
      <c r="D140" s="2" t="inlineStr">
        <is>
          <t>Original</t>
        </is>
      </c>
      <c r="E140" s="2" t="inlineStr">
        <is>
          <t>CH</t>
        </is>
      </c>
      <c r="F14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40" s="2" t="inlineStr">
        <is>
          <t>Art. 63.º-A (aditamento)</t>
        </is>
      </c>
      <c r="H140" s="2" t="n"/>
      <c r="I140" s="2" t="n"/>
      <c r="J140" s="2" t="n"/>
      <c r="K140" s="2" t="n"/>
      <c r="L140" s="2" t="inlineStr">
        <is>
          <t>Artigo 63.º-A (Alteração ao artigo 18.º do Código do Imposto sobre o Valor Acrescentado)</t>
        </is>
      </c>
      <c r="M140" s="4" t="n"/>
      <c r="N140" s="4" t="n"/>
      <c r="O140" s="2" t="n"/>
      <c r="P140" s="2" t="n"/>
      <c r="Q140" s="2" t="n"/>
      <c r="R140" s="2" t="n"/>
      <c r="S140" s="2" t="inlineStr">
        <is>
          <t>Aprovado(a) em Comissão</t>
        </is>
      </c>
      <c r="T140" s="2" t="inlineStr">
        <is>
          <t>Aprovada</t>
        </is>
      </c>
      <c r="U140" s="2" t="inlineStr">
        <is>
          <t>Favor: CH, PS, IL; Contra: PSD, PCP, CDS-PP, PAN; Abstenção: L, BE</t>
        </is>
      </c>
      <c r="V140" s="3" t="n">
        <v>45985</v>
      </c>
      <c r="W140" s="2" t="inlineStr">
        <is>
          <t>AR: https://www.parlamento.pt/OrcamentoEstado/Paginas/DetalhePropostaAlteracao.aspx?BID=23320 PDF: https://app.parlamento.pt/webutils/docs/doc.pdf?path=6148523063484d364c793942556b356c6443397a6158526c63793959566b6c4a544556484c3039464c7a49774d6a59794d4449314d5441774f533951515338775a6a597a596a51794d53303159574d354c54526b4d324974596a466a59693079595451794e5455354e6a67785a4459756347526d&amp;Fich=0f63b421-5ac9-4d3b-b1cb-2a42559681d6.pdf&amp;Inline=true</t>
        </is>
      </c>
      <c r="X140" s="2" t="inlineStr">
        <is>
          <t>Cultura, Comunicação, Juventude e Desporto; Orçamento, Finanças e Administração Pública</t>
        </is>
      </c>
      <c r="Y140" s="2" t="inlineStr">
        <is>
          <t>Articulado</t>
        </is>
      </c>
      <c r="Z140" s="2" t="inlineStr">
        <is>
          <t>Aditamento (Artigo PPL)</t>
        </is>
      </c>
      <c r="AA140" s="2" t="inlineStr">
        <is>
          <t>Aprovado(a) em Comissão</t>
        </is>
      </c>
      <c r="AB140" s="2" t="inlineStr"/>
      <c r="AC140" s="2" t="inlineStr">
        <is>
          <t>1</t>
        </is>
      </c>
      <c r="AD140" s="2" t="inlineStr">
        <is>
          <t>1</t>
        </is>
      </c>
      <c r="AE140" s="2" t="inlineStr">
        <is>
          <t>23320</t>
        </is>
      </c>
      <c r="AF140" s="2" t="inlineStr">
        <is>
          <t>https://www.parlamento.pt/OrcamentoEstado/Paginas/DetalhePropostaAlteracao.aspx?BID=23320</t>
        </is>
      </c>
      <c r="AG140" s="2" t="inlineStr">
        <is>
          <t>https://app.parlamento.pt/webutils/docs/doc.pdf?path=6148523063484d364c793942556b356c6443397a6158526c63793959566b6c4a544556484c3039464c7a49774d6a59794d4449314d5441774f533951515338775a6a597a596a51794d53303159574d354c54526b4d324974596a466a59693079595451794e5455354e6a67785a4459756347526d&amp;Fich=0f63b421-5ac9-4d3b-b1cb-2a42559681d6.pdf&amp;Inline=true</t>
        </is>
      </c>
      <c r="AH140" s="3" t="n">
        <v>46321.77847222222</v>
      </c>
      <c r="AI140" s="3" t="n">
        <v>46321.78055555555</v>
      </c>
      <c r="AJ140" s="2" t="inlineStr"/>
    </row>
    <row r="141">
      <c r="A141" s="2" t="n">
        <v>140</v>
      </c>
      <c r="B141" s="2" t="inlineStr">
        <is>
          <t>127C-2</t>
        </is>
      </c>
      <c r="C141" s="3" t="n">
        <v>45964.43333333333</v>
      </c>
      <c r="D141" s="2" t="inlineStr">
        <is>
          <t>Retirada</t>
        </is>
      </c>
      <c r="E141" s="2" t="inlineStr">
        <is>
          <t>CH</t>
        </is>
      </c>
      <c r="F14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41" s="2" t="inlineStr">
        <is>
          <t>Art. 63.º-B (aditamento)</t>
        </is>
      </c>
      <c r="H141" s="2" t="n"/>
      <c r="I141" s="2" t="n"/>
      <c r="J141" s="2" t="n"/>
      <c r="K141" s="2" t="n"/>
      <c r="L141" s="2" t="inlineStr">
        <is>
          <t>Artigo 63.º-B (Alteração ao artigo 15.º do Regime Especial de Tributação dos Bens em Segunda Mão, Objetos de Arte, de Coleção e Antiguidades)</t>
        </is>
      </c>
      <c r="M141" s="4" t="n"/>
      <c r="N141" s="4" t="n"/>
      <c r="O141" s="2" t="n"/>
      <c r="P141" s="2" t="n"/>
      <c r="Q141" s="2" t="n"/>
      <c r="R141" s="2" t="n"/>
      <c r="S141" s="2" t="inlineStr">
        <is>
          <t>Retirado(a)</t>
        </is>
      </c>
      <c r="T141" s="2" t="inlineStr">
        <is>
          <t>Retirada</t>
        </is>
      </c>
      <c r="U141" s="2" t="inlineStr"/>
      <c r="V141" s="3" t="n"/>
      <c r="W141" s="2" t="inlineStr">
        <is>
          <t>AR: https://www.parlamento.pt/OrcamentoEstado/Paginas/DetalhePropostaAlteracao.aspx?BID=25371 PDF: https://app.parlamento.pt/webutils/docs/doc.pdf?path=6148523063484d364c793942556b356c6443397a6158526c63793959566b6c4a544556484c3039464c7a49774d6a59794d4449314d5441774f53395151533831596a55354d3255354d6931685954686a4c5452694e6d5974596a49344e43316d4d546735597a5a6d4d474a694d6a6b756347526d&amp;Fich=5b593e92-aa8c-4b6f-b284-f189c6f0bb29.pdf&amp;Inline=true</t>
        </is>
      </c>
      <c r="X141" s="2" t="inlineStr">
        <is>
          <t>Cultura, Comunicação, Juventude e Desporto; Orçamento, Finanças e Administração Pública</t>
        </is>
      </c>
      <c r="Y141" s="2" t="inlineStr">
        <is>
          <t>Articulado</t>
        </is>
      </c>
      <c r="Z141" s="2" t="inlineStr">
        <is>
          <t>Aditamento (Artigo PPL)</t>
        </is>
      </c>
      <c r="AA141" s="2" t="inlineStr">
        <is>
          <t>Retirado(a)</t>
        </is>
      </c>
      <c r="AB141" s="2" t="inlineStr"/>
      <c r="AC141" s="2" t="inlineStr">
        <is>
          <t>2</t>
        </is>
      </c>
      <c r="AD141" s="2" t="inlineStr">
        <is>
          <t>0</t>
        </is>
      </c>
      <c r="AE141" s="2" t="inlineStr">
        <is>
          <t>25371</t>
        </is>
      </c>
      <c r="AF141" s="2" t="inlineStr">
        <is>
          <t>https://www.parlamento.pt/OrcamentoEstado/Paginas/DetalhePropostaAlteracao.aspx?BID=25371</t>
        </is>
      </c>
      <c r="AG141" s="2" t="inlineStr">
        <is>
          <t>https://app.parlamento.pt/webutils/docs/doc.pdf?path=6148523063484d364c793942556b356c6443397a6158526c63793959566b6c4a544556484c3039464c7a49774d6a59794d4449314d5441774f53395151533831596a55354d3255354d6931685954686a4c5452694e6d5974596a49344e43316d4d546735597a5a6d4d474a694d6a6b756347526d&amp;Fich=5b593e92-aa8c-4b6f-b284-f189c6f0bb29.pdf&amp;Inline=true</t>
        </is>
      </c>
      <c r="AH141" s="3" t="n">
        <v>46321.77847222222</v>
      </c>
      <c r="AI141" s="3" t="n">
        <v>46321.78055555555</v>
      </c>
      <c r="AJ141" s="2" t="inlineStr"/>
    </row>
    <row r="142">
      <c r="A142" s="2" t="n">
        <v>141</v>
      </c>
      <c r="B142" s="2" t="inlineStr">
        <is>
          <t>128C</t>
        </is>
      </c>
      <c r="C142" s="3" t="n">
        <v>45964.43333333333</v>
      </c>
      <c r="D142" s="2" t="inlineStr">
        <is>
          <t>Original</t>
        </is>
      </c>
      <c r="E142" s="2" t="inlineStr">
        <is>
          <t>CH</t>
        </is>
      </c>
      <c r="F14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42" s="2" t="inlineStr">
        <is>
          <t>Art. 28.º-A (aditamento)</t>
        </is>
      </c>
      <c r="H142" s="2" t="n"/>
      <c r="I142" s="2" t="n"/>
      <c r="J142" s="2" t="n"/>
      <c r="K142" s="2" t="n"/>
      <c r="L142" s="2" t="inlineStr">
        <is>
          <t>Artigo 28.º-A (Atribuição de subsídio de deslocação aos elementos das forças de segurança)</t>
        </is>
      </c>
      <c r="M142" s="4" t="n"/>
      <c r="N142" s="4" t="n"/>
      <c r="O142" s="2" t="n"/>
      <c r="P142" s="2" t="n"/>
      <c r="Q142" s="2" t="n"/>
      <c r="R142" s="2" t="n"/>
      <c r="S142" s="2" t="inlineStr">
        <is>
          <t>Rejeitado(a) em Comissão</t>
        </is>
      </c>
      <c r="T142" s="2" t="inlineStr">
        <is>
          <t>Rejeitada</t>
        </is>
      </c>
      <c r="U142" s="2" t="inlineStr">
        <is>
          <t>Favor: CH, BE, PAN; Contra: PSD, IL, CDS-PP; Abstenção: PS, L, PCP</t>
        </is>
      </c>
      <c r="V142" s="3" t="n">
        <v>45981</v>
      </c>
      <c r="W142" s="2" t="inlineStr">
        <is>
          <t>AR: https://www.parlamento.pt/OrcamentoEstado/Paginas/DetalhePropostaAlteracao.aspx?BID=23321 PDF: https://app.parlamento.pt/webutils/docs/doc.pdf?path=6148523063484d364c793942556b356c6443397a6158526c63793959566b6c4a544556484c3039464c7a49774d6a59794d4449314d5441774f533951515339695a4463784e4464694d7931685a544e694c54513559546b74595745344e6930355932497a5a574a6859574d344d6a4d756347526d&amp;Fich=bd7147b3-ae3b-49a9-aa86-9cb3ebaac823.pdf&amp;Inline=true</t>
        </is>
      </c>
      <c r="X142" s="2" t="inlineStr">
        <is>
          <t>Assuntos Constitucionais, Direitos, Liberdades e Garantias</t>
        </is>
      </c>
      <c r="Y142" s="2" t="inlineStr">
        <is>
          <t>Articulado</t>
        </is>
      </c>
      <c r="Z142" s="2" t="inlineStr">
        <is>
          <t>Aditamento (Artigo PPL)</t>
        </is>
      </c>
      <c r="AA142" s="2" t="inlineStr">
        <is>
          <t>Rejeitado(a) em Comissão</t>
        </is>
      </c>
      <c r="AB142" s="2" t="inlineStr"/>
      <c r="AC142" s="2" t="inlineStr"/>
      <c r="AD142" s="2" t="inlineStr">
        <is>
          <t>1</t>
        </is>
      </c>
      <c r="AE142" s="2" t="inlineStr">
        <is>
          <t>23321</t>
        </is>
      </c>
      <c r="AF142" s="2" t="inlineStr">
        <is>
          <t>https://www.parlamento.pt/OrcamentoEstado/Paginas/DetalhePropostaAlteracao.aspx?BID=23321</t>
        </is>
      </c>
      <c r="AG142" s="2" t="inlineStr">
        <is>
          <t>https://app.parlamento.pt/webutils/docs/doc.pdf?path=6148523063484d364c793942556b356c6443397a6158526c63793959566b6c4a544556484c3039464c7a49774d6a59794d4449314d5441774f533951515339695a4463784e4464694d7931685a544e694c54513559546b74595745344e6930355932497a5a574a6859574d344d6a4d756347526d&amp;Fich=bd7147b3-ae3b-49a9-aa86-9cb3ebaac823.pdf&amp;Inline=true</t>
        </is>
      </c>
      <c r="AH142" s="3" t="n">
        <v>46321.77847222222</v>
      </c>
      <c r="AI142" s="3" t="n">
        <v>46321.78055555555</v>
      </c>
      <c r="AJ142" s="2" t="inlineStr"/>
    </row>
    <row r="143">
      <c r="A143" s="2" t="n">
        <v>142</v>
      </c>
      <c r="B143" s="2" t="inlineStr">
        <is>
          <t>129C</t>
        </is>
      </c>
      <c r="C143" s="3" t="n">
        <v>45964.43472222222</v>
      </c>
      <c r="D143" s="2" t="inlineStr">
        <is>
          <t>Original</t>
        </is>
      </c>
      <c r="E143" s="2" t="inlineStr">
        <is>
          <t>CH</t>
        </is>
      </c>
      <c r="F14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43" s="2" t="inlineStr">
        <is>
          <t>Art. 34.º-A (aditamento)</t>
        </is>
      </c>
      <c r="H143" s="2" t="n"/>
      <c r="I143" s="2" t="n"/>
      <c r="J143" s="2" t="n"/>
      <c r="K143" s="2" t="n"/>
      <c r="L143" s="2" t="inlineStr">
        <is>
          <t>Artigo 34.º-A (Revisão do contrato de concessão da RTP)</t>
        </is>
      </c>
      <c r="M143" s="4" t="n"/>
      <c r="N143" s="4" t="n"/>
      <c r="O143" s="2" t="n"/>
      <c r="P143" s="2" t="n"/>
      <c r="Q143" s="2" t="n"/>
      <c r="R143" s="2" t="n"/>
      <c r="S143" s="2" t="inlineStr">
        <is>
          <t>Rejeitado(a) em Comissão</t>
        </is>
      </c>
      <c r="T143" s="2" t="inlineStr">
        <is>
          <t>Rejeitada</t>
        </is>
      </c>
      <c r="U143" s="2" t="inlineStr">
        <is>
          <t>Favor: CH, CDS-PP; Contra: PSD, L, BE, PAN; Abstenção: PS, IL, PCP</t>
        </is>
      </c>
      <c r="V143" s="3" t="n">
        <v>45981</v>
      </c>
      <c r="W143" s="2" t="inlineStr">
        <is>
          <t>AR: https://www.parlamento.pt/OrcamentoEstado/Paginas/DetalhePropostaAlteracao.aspx?BID=23322 PDF: https://app.parlamento.pt/webutils/docs/doc.pdf?path=6148523063484d364c793942556b356c6443397a6158526c63793959566b6c4a544556484c3039464c7a49774d6a59794d4449314d5441774f5339515153396b5a546c694e6d49314f43316b4f575a684c5451354f474d74596d55335a4331694d5759305a4746694e546777595467756347526d&amp;Fich=de9b6b58-d9fa-498c-be7d-b1f4dab580a8.pdf&amp;Inline=true</t>
        </is>
      </c>
      <c r="X143" s="2" t="inlineStr">
        <is>
          <t>Cultura, Comunicação, Juventude e Desporto</t>
        </is>
      </c>
      <c r="Y143" s="2" t="inlineStr">
        <is>
          <t>Articulado</t>
        </is>
      </c>
      <c r="Z143" s="2" t="inlineStr">
        <is>
          <t>Aditamento (Artigo PPL)</t>
        </is>
      </c>
      <c r="AA143" s="2" t="inlineStr">
        <is>
          <t>Rejeitado(a) em Comissão</t>
        </is>
      </c>
      <c r="AB143" s="2" t="inlineStr"/>
      <c r="AC143" s="2" t="inlineStr"/>
      <c r="AD143" s="2" t="inlineStr">
        <is>
          <t>1</t>
        </is>
      </c>
      <c r="AE143" s="2" t="inlineStr">
        <is>
          <t>23322</t>
        </is>
      </c>
      <c r="AF143" s="2" t="inlineStr">
        <is>
          <t>https://www.parlamento.pt/OrcamentoEstado/Paginas/DetalhePropostaAlteracao.aspx?BID=23322</t>
        </is>
      </c>
      <c r="AG143" s="2" t="inlineStr">
        <is>
          <t>https://app.parlamento.pt/webutils/docs/doc.pdf?path=6148523063484d364c793942556b356c6443397a6158526c63793959566b6c4a544556484c3039464c7a49774d6a59794d4449314d5441774f5339515153396b5a546c694e6d49314f43316b4f575a684c5451354f474d74596d55335a4331694d5759305a4746694e546777595467756347526d&amp;Fich=de9b6b58-d9fa-498c-be7d-b1f4dab580a8.pdf&amp;Inline=true</t>
        </is>
      </c>
      <c r="AH143" s="3" t="n">
        <v>46321.77847222222</v>
      </c>
      <c r="AI143" s="3" t="n">
        <v>46321.78055555555</v>
      </c>
      <c r="AJ143" s="2" t="inlineStr"/>
    </row>
    <row r="144">
      <c r="A144" s="2" t="n">
        <v>143</v>
      </c>
      <c r="B144" s="2" t="inlineStr">
        <is>
          <t>130C</t>
        </is>
      </c>
      <c r="C144" s="3" t="n">
        <v>45964.43472222222</v>
      </c>
      <c r="D144" s="2" t="inlineStr">
        <is>
          <t>Original</t>
        </is>
      </c>
      <c r="E144" s="2" t="inlineStr">
        <is>
          <t>CH</t>
        </is>
      </c>
      <c r="F14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44" s="2" t="inlineStr">
        <is>
          <t>Art. 68.º-A (aditamento)</t>
        </is>
      </c>
      <c r="H144" s="2" t="n"/>
      <c r="I144" s="2" t="n"/>
      <c r="J144" s="2" t="n"/>
      <c r="K144" s="2" t="n"/>
      <c r="L144" s="2" t="inlineStr">
        <is>
          <t>Artigo 68.º-A (Alteração do Código do Imposto Municipal sobre Imóveis)</t>
        </is>
      </c>
      <c r="M144" s="4" t="n"/>
      <c r="N144" s="4" t="n"/>
      <c r="O144" s="2" t="n"/>
      <c r="P144" s="2" t="n"/>
      <c r="Q144" s="2" t="n"/>
      <c r="R144" s="2" t="n"/>
      <c r="S144" s="2" t="inlineStr">
        <is>
          <t>Rejeitado(a) em Comissão</t>
        </is>
      </c>
      <c r="T144" s="2" t="inlineStr">
        <is>
          <t>Rejeitada</t>
        </is>
      </c>
      <c r="U144" s="2" t="inlineStr">
        <is>
          <t>Favor: CH, IL; Contra: PSD, PS, L, PCP, BE, PAN; Abstenção: CDS-PP</t>
        </is>
      </c>
      <c r="V144" s="3" t="n">
        <v>45982</v>
      </c>
      <c r="W144" s="2" t="inlineStr">
        <is>
          <t>AR: https://www.parlamento.pt/OrcamentoEstado/Paginas/DetalhePropostaAlteracao.aspx?BID=23323 PDF: https://app.parlamento.pt/webutils/docs/doc.pdf?path=6148523063484d364c793942556b356c6443397a6158526c63793959566b6c4a544556484c3039464c7a49774d6a59794d4449314d5441774f533951515339684e7a45355a6d46684f5331685a474a694c5451784d6a4d744f444d345a43316a4f5745344e5749794d57466a4f5441756347526d&amp;Fich=a719faa9-adbb-4123-838d-c9a85b21ac90.pdf&amp;Inline=true</t>
        </is>
      </c>
      <c r="X144" s="2" t="inlineStr">
        <is>
          <t>Orçamento, Finanças e Administração Pública</t>
        </is>
      </c>
      <c r="Y144" s="2" t="inlineStr">
        <is>
          <t>Articulado</t>
        </is>
      </c>
      <c r="Z144" s="2" t="inlineStr">
        <is>
          <t>Aditamento (Artigo PPL)</t>
        </is>
      </c>
      <c r="AA144" s="2" t="inlineStr">
        <is>
          <t>Rejeitado(a) em Comissão</t>
        </is>
      </c>
      <c r="AB144" s="2" t="inlineStr"/>
      <c r="AC144" s="2" t="inlineStr"/>
      <c r="AD144" s="2" t="inlineStr">
        <is>
          <t>1</t>
        </is>
      </c>
      <c r="AE144" s="2" t="inlineStr">
        <is>
          <t>23323</t>
        </is>
      </c>
      <c r="AF144" s="2" t="inlineStr">
        <is>
          <t>https://www.parlamento.pt/OrcamentoEstado/Paginas/DetalhePropostaAlteracao.aspx?BID=23323</t>
        </is>
      </c>
      <c r="AG144" s="2" t="inlineStr">
        <is>
          <t>https://app.parlamento.pt/webutils/docs/doc.pdf?path=6148523063484d364c793942556b356c6443397a6158526c63793959566b6c4a544556484c3039464c7a49774d6a59794d4449314d5441774f533951515339684e7a45355a6d46684f5331685a474a694c5451784d6a4d744f444d345a43316a4f5745344e5749794d57466a4f5441756347526d&amp;Fich=a719faa9-adbb-4123-838d-c9a85b21ac90.pdf&amp;Inline=true</t>
        </is>
      </c>
      <c r="AH144" s="3" t="n">
        <v>46321.77847222222</v>
      </c>
      <c r="AI144" s="3" t="n">
        <v>46321.78055555555</v>
      </c>
      <c r="AJ144" s="2" t="inlineStr"/>
    </row>
    <row r="145">
      <c r="A145" s="2" t="n">
        <v>144</v>
      </c>
      <c r="B145" s="2" t="inlineStr">
        <is>
          <t>131C</t>
        </is>
      </c>
      <c r="C145" s="3" t="n">
        <v>45964.43611111111</v>
      </c>
      <c r="D145" s="2" t="inlineStr">
        <is>
          <t>Original</t>
        </is>
      </c>
      <c r="E145" s="2" t="inlineStr">
        <is>
          <t>CH</t>
        </is>
      </c>
      <c r="F14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45" s="2" t="inlineStr">
        <is>
          <t>Art. 83.º-A (aditamento)</t>
        </is>
      </c>
      <c r="H145" s="2" t="n"/>
      <c r="I145" s="2" t="n"/>
      <c r="J145" s="2" t="n"/>
      <c r="K145" s="2" t="n"/>
      <c r="L145" s="2" t="inlineStr">
        <is>
          <t>Artigo 83.º-A (Alteração ao Regime Jurídico dos Jogos e Apostas Online)</t>
        </is>
      </c>
      <c r="M145" s="4" t="n"/>
      <c r="N145" s="4" t="n"/>
      <c r="O145" s="2" t="n"/>
      <c r="P145" s="2" t="n"/>
      <c r="Q145" s="2" t="n"/>
      <c r="R145" s="2" t="n"/>
      <c r="S145" s="2" t="inlineStr">
        <is>
          <t>Rejeitado(a) em Comissão</t>
        </is>
      </c>
      <c r="T145" s="2" t="inlineStr">
        <is>
          <t>Rejeitada</t>
        </is>
      </c>
      <c r="U145" s="2" t="inlineStr">
        <is>
          <t>Favor: CH, PAN; Contra: PSD, PS, IL, PCP, CDS-PP; Abstenção: L, BE</t>
        </is>
      </c>
      <c r="V145" s="3" t="n">
        <v>45982</v>
      </c>
      <c r="W145" s="2" t="inlineStr">
        <is>
          <t>AR: https://www.parlamento.pt/OrcamentoEstado/Paginas/DetalhePropostaAlteracao.aspx?BID=23324 PDF: https://app.parlamento.pt/webutils/docs/doc.pdf?path=6148523063484d364c793942556b356c6443397a6158526c63793959566b6c4a544556484c3039464c7a49774d6a59794d4449314d5441774f53395151533879596d45334d446c6c5a4330795a44686b4c5451314d7a51744f446b794f4330315a5759774e544e6a5a6a677a4d7a63756347526d&amp;Fich=2ba709ed-2d8d-4534-8928-5ef053cf8337.pdf&amp;Inline=true</t>
        </is>
      </c>
      <c r="X145" s="2" t="inlineStr">
        <is>
          <t>Orçamento, Finanças e Administração Pública</t>
        </is>
      </c>
      <c r="Y145" s="2" t="inlineStr">
        <is>
          <t>Articulado</t>
        </is>
      </c>
      <c r="Z145" s="2" t="inlineStr">
        <is>
          <t>Aditamento (Artigo PPL)</t>
        </is>
      </c>
      <c r="AA145" s="2" t="inlineStr">
        <is>
          <t>Rejeitado(a) em Comissão</t>
        </is>
      </c>
      <c r="AB145" s="2" t="inlineStr"/>
      <c r="AC145" s="2" t="inlineStr"/>
      <c r="AD145" s="2" t="inlineStr">
        <is>
          <t>1</t>
        </is>
      </c>
      <c r="AE145" s="2" t="inlineStr">
        <is>
          <t>23324</t>
        </is>
      </c>
      <c r="AF145" s="2" t="inlineStr">
        <is>
          <t>https://www.parlamento.pt/OrcamentoEstado/Paginas/DetalhePropostaAlteracao.aspx?BID=23324</t>
        </is>
      </c>
      <c r="AG145" s="2" t="inlineStr">
        <is>
          <t>https://app.parlamento.pt/webutils/docs/doc.pdf?path=6148523063484d364c793942556b356c6443397a6158526c63793959566b6c4a544556484c3039464c7a49774d6a59794d4449314d5441774f53395151533879596d45334d446c6c5a4330795a44686b4c5451314d7a51744f446b794f4330315a5759774e544e6a5a6a677a4d7a63756347526d&amp;Fich=2ba709ed-2d8d-4534-8928-5ef053cf8337.pdf&amp;Inline=true</t>
        </is>
      </c>
      <c r="AH145" s="3" t="n">
        <v>46321.77847222222</v>
      </c>
      <c r="AI145" s="3" t="n">
        <v>46321.78055555555</v>
      </c>
      <c r="AJ145" s="2" t="inlineStr"/>
    </row>
    <row r="146">
      <c r="A146" s="2" t="n">
        <v>145</v>
      </c>
      <c r="B146" s="2" t="inlineStr">
        <is>
          <t>132C</t>
        </is>
      </c>
      <c r="C146" s="3" t="n">
        <v>45964.43611111111</v>
      </c>
      <c r="D146" s="2" t="inlineStr">
        <is>
          <t>Original</t>
        </is>
      </c>
      <c r="E146" s="2" t="inlineStr">
        <is>
          <t>CH</t>
        </is>
      </c>
      <c r="F14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46" s="2" t="inlineStr">
        <is>
          <t>Art. 28.º-A (aditamento)</t>
        </is>
      </c>
      <c r="H146" s="2" t="n"/>
      <c r="I146" s="2" t="n"/>
      <c r="J146" s="2" t="n"/>
      <c r="K146" s="2" t="n"/>
      <c r="L146" s="2" t="inlineStr">
        <is>
          <t>Artigo 28.º-A (Suplemento pelo ónus específico da prestação de trabalho, risco, disponibilidade permanente para os bombeiros voluntários)</t>
        </is>
      </c>
      <c r="M146" s="4" t="n"/>
      <c r="N146" s="4" t="n"/>
      <c r="O146" s="2" t="n"/>
      <c r="P146" s="2" t="n"/>
      <c r="Q146" s="2" t="n"/>
      <c r="R146" s="2" t="n"/>
      <c r="S146" s="2" t="inlineStr">
        <is>
          <t>Rejeitado(a) em Comissão</t>
        </is>
      </c>
      <c r="T146" s="2" t="inlineStr">
        <is>
          <t>Rejeitada</t>
        </is>
      </c>
      <c r="U146" s="2" t="inlineStr">
        <is>
          <t>Favor: CH, BE, PAN; Contra: PSD, CDS-PP; Abstenção: PS, IL, L, PCP</t>
        </is>
      </c>
      <c r="V146" s="3" t="n">
        <v>45981</v>
      </c>
      <c r="W146" s="2" t="inlineStr">
        <is>
          <t>AR: https://www.parlamento.pt/OrcamentoEstado/Paginas/DetalhePropostaAlteracao.aspx?BID=23325 PDF: https://app.parlamento.pt/webutils/docs/doc.pdf?path=6148523063484d364c793942556b356c6443397a6158526c63793959566b6c4a544556484c3039464c7a49774d6a59794d4449314d5441774f533951515338325a5441334d324d78595330314d574d7a4c54526b5a4455744f5759354e4330784d574a68593251304e7a5a6b5a6d59756347526d&amp;Fich=6e073c1a-51c3-4dd5-9f94-11bacd476dff.pdf&amp;Inline=true</t>
        </is>
      </c>
      <c r="X146" s="2" t="inlineStr">
        <is>
          <t>Assuntos Constitucionais, Direitos, Liberdades e Garantias</t>
        </is>
      </c>
      <c r="Y146" s="2" t="inlineStr">
        <is>
          <t>Articulado</t>
        </is>
      </c>
      <c r="Z146" s="2" t="inlineStr">
        <is>
          <t>Aditamento (Artigo PPL)</t>
        </is>
      </c>
      <c r="AA146" s="2" t="inlineStr">
        <is>
          <t>Rejeitado(a) em Comissão</t>
        </is>
      </c>
      <c r="AB146" s="2" t="inlineStr"/>
      <c r="AC146" s="2" t="inlineStr"/>
      <c r="AD146" s="2" t="inlineStr">
        <is>
          <t>1</t>
        </is>
      </c>
      <c r="AE146" s="2" t="inlineStr">
        <is>
          <t>23325</t>
        </is>
      </c>
      <c r="AF146" s="2" t="inlineStr">
        <is>
          <t>https://www.parlamento.pt/OrcamentoEstado/Paginas/DetalhePropostaAlteracao.aspx?BID=23325</t>
        </is>
      </c>
      <c r="AG146" s="2" t="inlineStr">
        <is>
          <t>https://app.parlamento.pt/webutils/docs/doc.pdf?path=6148523063484d364c793942556b356c6443397a6158526c63793959566b6c4a544556484c3039464c7a49774d6a59794d4449314d5441774f533951515338325a5441334d324d78595330314d574d7a4c54526b5a4455744f5759354e4330784d574a68593251304e7a5a6b5a6d59756347526d&amp;Fich=6e073c1a-51c3-4dd5-9f94-11bacd476dff.pdf&amp;Inline=true</t>
        </is>
      </c>
      <c r="AH146" s="3" t="n">
        <v>46321.77847222222</v>
      </c>
      <c r="AI146" s="3" t="n">
        <v>46321.78055555555</v>
      </c>
      <c r="AJ146" s="2" t="inlineStr"/>
    </row>
    <row r="147">
      <c r="A147" s="2" t="n">
        <v>146</v>
      </c>
      <c r="B147" s="2" t="inlineStr">
        <is>
          <t>133C</t>
        </is>
      </c>
      <c r="C147" s="3" t="n">
        <v>45964.43680555555</v>
      </c>
      <c r="D147" s="2" t="inlineStr">
        <is>
          <t>Original</t>
        </is>
      </c>
      <c r="E147" s="2" t="inlineStr">
        <is>
          <t>CH</t>
        </is>
      </c>
      <c r="F14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47" s="2" t="inlineStr">
        <is>
          <t>Art. 112.º-A (aditamento)</t>
        </is>
      </c>
      <c r="H147" s="2" t="n"/>
      <c r="I147" s="2" t="n"/>
      <c r="J147" s="2" t="n"/>
      <c r="K147" s="2" t="n"/>
      <c r="L147" s="2" t="inlineStr">
        <is>
          <t>Artigo 112.º-A (Isenção da taxa turística para habitantes das Regiões Autónomas da Madeira e Açores)</t>
        </is>
      </c>
      <c r="M147" s="4" t="n"/>
      <c r="N147" s="4" t="n"/>
      <c r="O147" s="2" t="n"/>
      <c r="P147" s="2" t="n"/>
      <c r="Q147" s="2" t="n"/>
      <c r="R147" s="2" t="n"/>
      <c r="S147" s="2" t="inlineStr">
        <is>
          <t>Rejeitado(a) em Comissão</t>
        </is>
      </c>
      <c r="T147" s="2" t="inlineStr">
        <is>
          <t>Rejeitada</t>
        </is>
      </c>
      <c r="U147" s="2" t="inlineStr">
        <is>
          <t>Favor: CH, BE, PAN; Contra: PSD, PS, IL, L, CDS-PP; Abstenção: PCP</t>
        </is>
      </c>
      <c r="V147" s="3" t="n">
        <v>45982</v>
      </c>
      <c r="W147" s="2" t="inlineStr">
        <is>
          <t>AR: https://www.parlamento.pt/OrcamentoEstado/Paginas/DetalhePropostaAlteracao.aspx?BID=23326 PDF: https://app.parlamento.pt/webutils/docs/doc.pdf?path=6148523063484d364c793942556b356c6443397a6158526c63793959566b6c4a544556484c3039464c7a49774d6a59794d4449314d5441774f53395151533969596a6b7a5a4445785a43307a4e5445794c5452694d7a41744f574a694f5330795954646b4e5441354e6a6c684f444d756347526d&amp;Fich=bb93d11d-3512-4b30-9bb9-2a7d50969a83.pdf&amp;Inline=true</t>
        </is>
      </c>
      <c r="X147" s="2" t="inlineStr">
        <is>
          <t>Orçamento, Finanças e Administração Pública</t>
        </is>
      </c>
      <c r="Y147" s="2" t="inlineStr">
        <is>
          <t>Articulado</t>
        </is>
      </c>
      <c r="Z147" s="2" t="inlineStr">
        <is>
          <t>Aditamento (Artigo PPL)</t>
        </is>
      </c>
      <c r="AA147" s="2" t="inlineStr">
        <is>
          <t>Rejeitado(a) em Comissão</t>
        </is>
      </c>
      <c r="AB147" s="2" t="inlineStr"/>
      <c r="AC147" s="2" t="inlineStr"/>
      <c r="AD147" s="2" t="inlineStr">
        <is>
          <t>1</t>
        </is>
      </c>
      <c r="AE147" s="2" t="inlineStr">
        <is>
          <t>23326</t>
        </is>
      </c>
      <c r="AF147" s="2" t="inlineStr">
        <is>
          <t>https://www.parlamento.pt/OrcamentoEstado/Paginas/DetalhePropostaAlteracao.aspx?BID=23326</t>
        </is>
      </c>
      <c r="AG147" s="2" t="inlineStr">
        <is>
          <t>https://app.parlamento.pt/webutils/docs/doc.pdf?path=6148523063484d364c793942556b356c6443397a6158526c63793959566b6c4a544556484c3039464c7a49774d6a59794d4449314d5441774f53395151533969596a6b7a5a4445785a43307a4e5445794c5452694d7a41744f574a694f5330795954646b4e5441354e6a6c684f444d756347526d&amp;Fich=bb93d11d-3512-4b30-9bb9-2a7d50969a83.pdf&amp;Inline=true</t>
        </is>
      </c>
      <c r="AH147" s="3" t="n">
        <v>46321.77847222222</v>
      </c>
      <c r="AI147" s="3" t="n">
        <v>46321.78055555555</v>
      </c>
      <c r="AJ147" s="2" t="inlineStr"/>
    </row>
    <row r="148">
      <c r="A148" s="2" t="n">
        <v>147</v>
      </c>
      <c r="B148" s="2" t="inlineStr">
        <is>
          <t>134C</t>
        </is>
      </c>
      <c r="C148" s="3" t="n">
        <v>45964.43680555555</v>
      </c>
      <c r="D148" s="2" t="inlineStr">
        <is>
          <t>Original</t>
        </is>
      </c>
      <c r="E148" s="2" t="inlineStr">
        <is>
          <t>CH</t>
        </is>
      </c>
      <c r="F14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48" s="2" t="inlineStr">
        <is>
          <t>Art. 38.º-A (aditamento)</t>
        </is>
      </c>
      <c r="H148" s="2" t="n"/>
      <c r="I148" s="2" t="n"/>
      <c r="J148" s="2" t="n"/>
      <c r="K148" s="2" t="n"/>
      <c r="L148" s="2" t="inlineStr">
        <is>
          <t>Artigo 38.º-A (Programa de auxílio ao combate à pobreza)</t>
        </is>
      </c>
      <c r="M148" s="4" t="n"/>
      <c r="N148" s="4" t="n"/>
      <c r="O148" s="2" t="n"/>
      <c r="P148" s="2" t="n"/>
      <c r="Q148" s="2" t="n"/>
      <c r="R148" s="2" t="n"/>
      <c r="S148" s="2" t="inlineStr">
        <is>
          <t>Rejeitado(a) em Comissão</t>
        </is>
      </c>
      <c r="T148" s="2" t="inlineStr">
        <is>
          <t>Rejeitada</t>
        </is>
      </c>
      <c r="U148" s="2" t="inlineStr">
        <is>
          <t>Favor: CH, PAN; Contra: PSD, PS, IL, CDS-PP; Abstenção: L, PCP, BE</t>
        </is>
      </c>
      <c r="V148" s="3" t="n">
        <v>45981</v>
      </c>
      <c r="W148" s="2" t="inlineStr">
        <is>
          <t>AR: https://www.parlamento.pt/OrcamentoEstado/Paginas/DetalhePropostaAlteracao.aspx?BID=23327 PDF: https://app.parlamento.pt/webutils/docs/doc.pdf?path=6148523063484d364c793942556b356c6443397a6158526c63793959566b6c4a544556484c3039464c7a49774d6a59794d4449314d5441774f5339515153396a4d4449775a4441345a69303259324d334c5451324e4751744f4463304d79316c4d4759315a6a64694e6a4d7a5a6a41756347526d&amp;Fich=c020d08f-6cc7-464d-8743-e0f5f7b633f0.pdf&amp;Inline=true</t>
        </is>
      </c>
      <c r="X148" s="2" t="inlineStr">
        <is>
          <t>Trabalho, Segurança Social e Inclusão</t>
        </is>
      </c>
      <c r="Y148" s="2" t="inlineStr">
        <is>
          <t>Articulado</t>
        </is>
      </c>
      <c r="Z148" s="2" t="inlineStr">
        <is>
          <t>Aditamento (Artigo PPL)</t>
        </is>
      </c>
      <c r="AA148" s="2" t="inlineStr">
        <is>
          <t>Rejeitado(a) em Comissão</t>
        </is>
      </c>
      <c r="AB148" s="2" t="inlineStr"/>
      <c r="AC148" s="2" t="inlineStr"/>
      <c r="AD148" s="2" t="inlineStr">
        <is>
          <t>1</t>
        </is>
      </c>
      <c r="AE148" s="2" t="inlineStr">
        <is>
          <t>23327</t>
        </is>
      </c>
      <c r="AF148" s="2" t="inlineStr">
        <is>
          <t>https://www.parlamento.pt/OrcamentoEstado/Paginas/DetalhePropostaAlteracao.aspx?BID=23327</t>
        </is>
      </c>
      <c r="AG148" s="2" t="inlineStr">
        <is>
          <t>https://app.parlamento.pt/webutils/docs/doc.pdf?path=6148523063484d364c793942556b356c6443397a6158526c63793959566b6c4a544556484c3039464c7a49774d6a59794d4449314d5441774f5339515153396a4d4449775a4441345a69303259324d334c5451324e4751744f4463304d79316c4d4759315a6a64694e6a4d7a5a6a41756347526d&amp;Fich=c020d08f-6cc7-464d-8743-e0f5f7b633f0.pdf&amp;Inline=true</t>
        </is>
      </c>
      <c r="AH148" s="3" t="n">
        <v>46321.77847222222</v>
      </c>
      <c r="AI148" s="3" t="n">
        <v>46321.78055555555</v>
      </c>
      <c r="AJ148" s="2" t="inlineStr"/>
    </row>
    <row r="149">
      <c r="A149" s="2" t="n">
        <v>148</v>
      </c>
      <c r="B149" s="2" t="inlineStr">
        <is>
          <t>135C-1</t>
        </is>
      </c>
      <c r="C149" s="3" t="n">
        <v>45964.4375</v>
      </c>
      <c r="D149" s="2" t="inlineStr">
        <is>
          <t>Original</t>
        </is>
      </c>
      <c r="E149" s="2" t="inlineStr">
        <is>
          <t>CH</t>
        </is>
      </c>
      <c r="F14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49" s="2" t="inlineStr">
        <is>
          <t>Art. 113.º-A (aditamento)</t>
        </is>
      </c>
      <c r="H149" s="2" t="n"/>
      <c r="I149" s="2" t="n"/>
      <c r="J149" s="2" t="n"/>
      <c r="K149" s="2" t="n"/>
      <c r="L149" s="2" t="inlineStr">
        <is>
          <t>Artigo 113.º-A (Alteração ao Decreto-Lei n.º 70/2020, de 16 de setembro)</t>
        </is>
      </c>
      <c r="M149" s="4" t="n"/>
      <c r="N149" s="4" t="n"/>
      <c r="O149" s="2" t="n"/>
      <c r="P149" s="2" t="n"/>
      <c r="Q149" s="2" t="n"/>
      <c r="R149" s="2" t="n"/>
      <c r="S149" s="2" t="inlineStr">
        <is>
          <t>Rejeitado(a) em Comissão</t>
        </is>
      </c>
      <c r="T149" s="2" t="inlineStr">
        <is>
          <t>Rejeitada</t>
        </is>
      </c>
      <c r="U149" s="2" t="inlineStr">
        <is>
          <t>Favor: CH, BE, PAN; Contra: PSD, IL, CDS-PP; Abstenção: PS, L, PCP</t>
        </is>
      </c>
      <c r="V149" s="3" t="n">
        <v>45985</v>
      </c>
      <c r="W149" s="2" t="inlineStr">
        <is>
          <t>AR: https://www.parlamento.pt/OrcamentoEstado/Paginas/DetalhePropostaAlteracao.aspx?BID=23328 PDF: https://app.parlamento.pt/webutils/docs/doc.pdf?path=6148523063484d364c793942556b356c6443397a6158526c63793959566b6c4a544556484c3039464c7a49774d6a59794d4449314d5441774f533951515339684d444977596a4e694f5330314d6a63314c5451774d5455744f5749324e7930345a6a51784d474a6a4f47526c4e6d4d756347526d&amp;Fich=a020b3b9-5275-4015-9b67-8f410bc8de6c.pdf&amp;Inline=true</t>
        </is>
      </c>
      <c r="X149" s="2" t="inlineStr">
        <is>
          <t>Assuntos Constitucionais, Direitos, Liberdades e Garantias; Orçamento, Finanças e Administração Pública</t>
        </is>
      </c>
      <c r="Y149" s="2" t="inlineStr">
        <is>
          <t>Articulado</t>
        </is>
      </c>
      <c r="Z149" s="2" t="inlineStr">
        <is>
          <t>Aditamento (Artigo PPL)</t>
        </is>
      </c>
      <c r="AA149" s="2" t="inlineStr">
        <is>
          <t>Rejeitado(a) em Comissão</t>
        </is>
      </c>
      <c r="AB149" s="2" t="inlineStr"/>
      <c r="AC149" s="2" t="inlineStr">
        <is>
          <t>1</t>
        </is>
      </c>
      <c r="AD149" s="2" t="inlineStr">
        <is>
          <t>1</t>
        </is>
      </c>
      <c r="AE149" s="2" t="inlineStr">
        <is>
          <t>23328</t>
        </is>
      </c>
      <c r="AF149" s="2" t="inlineStr">
        <is>
          <t>https://www.parlamento.pt/OrcamentoEstado/Paginas/DetalhePropostaAlteracao.aspx?BID=23328</t>
        </is>
      </c>
      <c r="AG149" s="2" t="inlineStr">
        <is>
          <t>https://app.parlamento.pt/webutils/docs/doc.pdf?path=6148523063484d364c793942556b356c6443397a6158526c63793959566b6c4a544556484c3039464c7a49774d6a59794d4449314d5441774f533951515339684d444977596a4e694f5330314d6a63314c5451774d5455744f5749324e7930345a6a51784d474a6a4f47526c4e6d4d756347526d&amp;Fich=a020b3b9-5275-4015-9b67-8f410bc8de6c.pdf&amp;Inline=true</t>
        </is>
      </c>
      <c r="AH149" s="3" t="n">
        <v>46321.77847222222</v>
      </c>
      <c r="AI149" s="3" t="n">
        <v>46321.78055555555</v>
      </c>
      <c r="AJ149" s="2" t="inlineStr"/>
    </row>
    <row r="150">
      <c r="A150" s="2" t="n">
        <v>149</v>
      </c>
      <c r="B150" s="2" t="inlineStr">
        <is>
          <t>135C-2</t>
        </is>
      </c>
      <c r="C150" s="3" t="n">
        <v>45964.4375</v>
      </c>
      <c r="D150" s="2" t="inlineStr">
        <is>
          <t>Original</t>
        </is>
      </c>
      <c r="E150" s="2" t="inlineStr">
        <is>
          <t>CH</t>
        </is>
      </c>
      <c r="F15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50" s="2" t="inlineStr">
        <is>
          <t>Art. 113.º-B (aditamento)</t>
        </is>
      </c>
      <c r="H150" s="2" t="n"/>
      <c r="I150" s="2" t="n"/>
      <c r="J150" s="2" t="n"/>
      <c r="K150" s="2" t="n"/>
      <c r="L150" s="2" t="inlineStr">
        <is>
          <t>Artigo 113.º-B (Alteração ao Decreto-Lei n.º 55/2006, de 15 de março)</t>
        </is>
      </c>
      <c r="M150" s="4" t="n"/>
      <c r="N150" s="4" t="n"/>
      <c r="O150" s="2" t="n"/>
      <c r="P150" s="2" t="n"/>
      <c r="Q150" s="2" t="n"/>
      <c r="R150" s="2" t="n"/>
      <c r="S150" s="2" t="inlineStr">
        <is>
          <t>Rejeitado(a) em Comissão</t>
        </is>
      </c>
      <c r="T150" s="2" t="inlineStr">
        <is>
          <t>Rejeitada</t>
        </is>
      </c>
      <c r="U150" s="2" t="inlineStr">
        <is>
          <t>Favor: CH, BE, PAN; Contra: PSD, IL, CDS-PP; Abstenção: PS, L, PCP</t>
        </is>
      </c>
      <c r="V150" s="3" t="n">
        <v>45985</v>
      </c>
      <c r="W150" s="2" t="inlineStr">
        <is>
          <t>AR: https://www.parlamento.pt/OrcamentoEstado/Paginas/DetalhePropostaAlteracao.aspx?BID=23713 PDF: https://app.parlamento.pt/webutils/docs/doc.pdf?path=6148523063484d364c793942556b356c6443397a6158526c63793959566b6c4a544556484c3039464c7a49774d6a59794d4449314d5441774f533951515339694e6a4d355a6a4e684f43316d5a6d51354c54526c5a57557459545578596930324f5459354f574d335a6a5a6c4f4455756347526d&amp;Fich=b639f3a8-ffd9-4eee-a51b-69699c7f6e85.pdf&amp;Inline=true</t>
        </is>
      </c>
      <c r="X150" s="2" t="inlineStr">
        <is>
          <t>Assuntos Constitucionais, Direitos, Liberdades e Garantias; Orçamento, Finanças e Administração Pública</t>
        </is>
      </c>
      <c r="Y150" s="2" t="inlineStr">
        <is>
          <t>Articulado</t>
        </is>
      </c>
      <c r="Z150" s="2" t="inlineStr">
        <is>
          <t>Aditamento (Artigo PPL)</t>
        </is>
      </c>
      <c r="AA150" s="2" t="inlineStr">
        <is>
          <t>Rejeitado(a) em Comissão</t>
        </is>
      </c>
      <c r="AB150" s="2" t="inlineStr"/>
      <c r="AC150" s="2" t="inlineStr">
        <is>
          <t>2</t>
        </is>
      </c>
      <c r="AD150" s="2" t="inlineStr">
        <is>
          <t>1</t>
        </is>
      </c>
      <c r="AE150" s="2" t="inlineStr">
        <is>
          <t>23713</t>
        </is>
      </c>
      <c r="AF150" s="2" t="inlineStr">
        <is>
          <t>https://www.parlamento.pt/OrcamentoEstado/Paginas/DetalhePropostaAlteracao.aspx?BID=23713</t>
        </is>
      </c>
      <c r="AG150" s="2" t="inlineStr">
        <is>
          <t>https://app.parlamento.pt/webutils/docs/doc.pdf?path=6148523063484d364c793942556b356c6443397a6158526c63793959566b6c4a544556484c3039464c7a49774d6a59794d4449314d5441774f533951515339694e6a4d355a6a4e684f43316d5a6d51354c54526c5a57557459545578596930324f5459354f574d335a6a5a6c4f4455756347526d&amp;Fich=b639f3a8-ffd9-4eee-a51b-69699c7f6e85.pdf&amp;Inline=true</t>
        </is>
      </c>
      <c r="AH150" s="3" t="n">
        <v>46321.77847222222</v>
      </c>
      <c r="AI150" s="3" t="n">
        <v>46321.78055555555</v>
      </c>
      <c r="AJ150" s="2" t="inlineStr"/>
    </row>
    <row r="151">
      <c r="A151" s="2" t="n">
        <v>150</v>
      </c>
      <c r="B151" s="2" t="inlineStr">
        <is>
          <t>135C-3</t>
        </is>
      </c>
      <c r="C151" s="3" t="n">
        <v>45964.4375</v>
      </c>
      <c r="D151" s="2" t="inlineStr">
        <is>
          <t>Original</t>
        </is>
      </c>
      <c r="E151" s="2" t="inlineStr">
        <is>
          <t>CH</t>
        </is>
      </c>
      <c r="F15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51" s="2" t="inlineStr">
        <is>
          <t>Art. 113.º-C (aditamento)</t>
        </is>
      </c>
      <c r="H151" s="2" t="n"/>
      <c r="I151" s="2" t="n"/>
      <c r="J151" s="2" t="n"/>
      <c r="K151" s="2" t="n"/>
      <c r="L151" s="2" t="inlineStr">
        <is>
          <t>Artigo 113.º-C (Idade de acesso à pensão de velhice)</t>
        </is>
      </c>
      <c r="M151" s="4" t="n"/>
      <c r="N151" s="4" t="n"/>
      <c r="O151" s="2" t="n"/>
      <c r="P151" s="2" t="n"/>
      <c r="Q151" s="2" t="n"/>
      <c r="R151" s="2" t="n"/>
      <c r="S151" s="2" t="inlineStr">
        <is>
          <t>Rejeitado(a) em Comissão</t>
        </is>
      </c>
      <c r="T151" s="2" t="inlineStr">
        <is>
          <t>Rejeitada</t>
        </is>
      </c>
      <c r="U151" s="2" t="inlineStr">
        <is>
          <t>Favor: CH, BE, PAN; Contra: PSD, IL, CDS-PP; Abstenção: PS, L, PCP</t>
        </is>
      </c>
      <c r="V151" s="3" t="n">
        <v>45985</v>
      </c>
      <c r="W151" s="2" t="inlineStr">
        <is>
          <t>AR: https://www.parlamento.pt/OrcamentoEstado/Paginas/DetalhePropostaAlteracao.aspx?BID=23714 PDF: https://app.parlamento.pt/webutils/docs/doc.pdf?path=6148523063484d364c793942556b356c6443397a6158526c63793959566b6c4a544556484c3039464c7a49774d6a59794d4449314d5441774f533951515338305a4449335954466d4d433079596d55794c545132593249744f574d314e6930784e54566d597a466d597a67304f474d756347526d&amp;Fich=4d27a1f0-2be2-46cb-9c56-155fc1fc848c.pdf&amp;Inline=true</t>
        </is>
      </c>
      <c r="X151" s="2" t="inlineStr">
        <is>
          <t>Assuntos Constitucionais, Direitos, Liberdades e Garantias; Orçamento, Finanças e Administração Pública</t>
        </is>
      </c>
      <c r="Y151" s="2" t="inlineStr">
        <is>
          <t>Articulado</t>
        </is>
      </c>
      <c r="Z151" s="2" t="inlineStr">
        <is>
          <t>Aditamento (Artigo PPL)</t>
        </is>
      </c>
      <c r="AA151" s="2" t="inlineStr">
        <is>
          <t>Rejeitado(a) em Comissão</t>
        </is>
      </c>
      <c r="AB151" s="2" t="inlineStr"/>
      <c r="AC151" s="2" t="inlineStr">
        <is>
          <t>3</t>
        </is>
      </c>
      <c r="AD151" s="2" t="inlineStr">
        <is>
          <t>1</t>
        </is>
      </c>
      <c r="AE151" s="2" t="inlineStr">
        <is>
          <t>23714</t>
        </is>
      </c>
      <c r="AF151" s="2" t="inlineStr">
        <is>
          <t>https://www.parlamento.pt/OrcamentoEstado/Paginas/DetalhePropostaAlteracao.aspx?BID=23714</t>
        </is>
      </c>
      <c r="AG151" s="2" t="inlineStr">
        <is>
          <t>https://app.parlamento.pt/webutils/docs/doc.pdf?path=6148523063484d364c793942556b356c6443397a6158526c63793959566b6c4a544556484c3039464c7a49774d6a59794d4449314d5441774f533951515338305a4449335954466d4d433079596d55794c545132593249744f574d314e6930784e54566d597a466d597a67304f474d756347526d&amp;Fich=4d27a1f0-2be2-46cb-9c56-155fc1fc848c.pdf&amp;Inline=true</t>
        </is>
      </c>
      <c r="AH151" s="3" t="n">
        <v>46321.77847222222</v>
      </c>
      <c r="AI151" s="3" t="n">
        <v>46321.78055555555</v>
      </c>
      <c r="AJ151" s="2" t="inlineStr"/>
    </row>
    <row r="152">
      <c r="A152" s="2" t="n">
        <v>151</v>
      </c>
      <c r="B152" s="2" t="inlineStr">
        <is>
          <t>136C</t>
        </is>
      </c>
      <c r="C152" s="3" t="n">
        <v>45964.43819444445</v>
      </c>
      <c r="D152" s="2" t="inlineStr">
        <is>
          <t>Original</t>
        </is>
      </c>
      <c r="E152" s="2" t="inlineStr">
        <is>
          <t>CH</t>
        </is>
      </c>
      <c r="F15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52" s="2" t="inlineStr">
        <is>
          <t>Art. 43.º-A (aditamento)</t>
        </is>
      </c>
      <c r="H152" s="2" t="n"/>
      <c r="I152" s="2" t="n"/>
      <c r="J152" s="2" t="n"/>
      <c r="K152" s="2" t="n"/>
      <c r="L152" s="2" t="inlineStr">
        <is>
          <t>Artigo 43.º-A (Formação profissional e reintegração social de pessoas sem-abrigo)</t>
        </is>
      </c>
      <c r="M152" s="4" t="n"/>
      <c r="N152" s="4" t="n"/>
      <c r="O152" s="2" t="n"/>
      <c r="P152" s="2" t="n"/>
      <c r="Q152" s="2" t="n"/>
      <c r="R152" s="2" t="n"/>
      <c r="S152" s="2" t="inlineStr">
        <is>
          <t>Rejeitado(a) em Comissão</t>
        </is>
      </c>
      <c r="T152" s="2" t="inlineStr">
        <is>
          <t>Rejeitada</t>
        </is>
      </c>
      <c r="U152" s="2" t="inlineStr">
        <is>
          <t>Favor: CH, PAN; Contra: PSD, L, CDS-PP; Abstenção: PS, IL, PCP, BE</t>
        </is>
      </c>
      <c r="V152" s="3" t="n">
        <v>45981</v>
      </c>
      <c r="W152" s="2" t="inlineStr">
        <is>
          <t>AR: https://www.parlamento.pt/OrcamentoEstado/Paginas/DetalhePropostaAlteracao.aspx?BID=23329 PDF: https://app.parlamento.pt/webutils/docs/doc.pdf?path=6148523063484d364c793942556b356c6443397a6158526c63793959566b6c4a544556484c3039464c7a49774d6a59794d4449314d5441774f53395151533833596a646b4e6a566959693034597a59774c54517a595459745954566b4d69307a597a63774e5449324e6a68694d474d756347526d&amp;Fich=7b7d65bb-8c60-43a6-a5d2-3c7052668b0c.pdf&amp;Inline=true</t>
        </is>
      </c>
      <c r="X152" s="2" t="inlineStr">
        <is>
          <t>Trabalho, Segurança Social e Inclusão</t>
        </is>
      </c>
      <c r="Y152" s="2" t="inlineStr">
        <is>
          <t>Articulado</t>
        </is>
      </c>
      <c r="Z152" s="2" t="inlineStr">
        <is>
          <t>Aditamento (Artigo PPL)</t>
        </is>
      </c>
      <c r="AA152" s="2" t="inlineStr">
        <is>
          <t>Rejeitado(a) em Comissão</t>
        </is>
      </c>
      <c r="AB152" s="2" t="inlineStr"/>
      <c r="AC152" s="2" t="inlineStr"/>
      <c r="AD152" s="2" t="inlineStr">
        <is>
          <t>1</t>
        </is>
      </c>
      <c r="AE152" s="2" t="inlineStr">
        <is>
          <t>23329</t>
        </is>
      </c>
      <c r="AF152" s="2" t="inlineStr">
        <is>
          <t>https://www.parlamento.pt/OrcamentoEstado/Paginas/DetalhePropostaAlteracao.aspx?BID=23329</t>
        </is>
      </c>
      <c r="AG152" s="2" t="inlineStr">
        <is>
          <t>https://app.parlamento.pt/webutils/docs/doc.pdf?path=6148523063484d364c793942556b356c6443397a6158526c63793959566b6c4a544556484c3039464c7a49774d6a59794d4449314d5441774f53395151533833596a646b4e6a566959693034597a59774c54517a595459745954566b4d69307a597a63774e5449324e6a68694d474d756347526d&amp;Fich=7b7d65bb-8c60-43a6-a5d2-3c7052668b0c.pdf&amp;Inline=true</t>
        </is>
      </c>
      <c r="AH152" s="3" t="n">
        <v>46321.77847222222</v>
      </c>
      <c r="AI152" s="3" t="n">
        <v>46321.78055555555</v>
      </c>
      <c r="AJ152" s="2" t="inlineStr"/>
    </row>
    <row r="153">
      <c r="A153" s="2" t="n">
        <v>152</v>
      </c>
      <c r="B153" s="2" t="inlineStr">
        <is>
          <t>137C</t>
        </is>
      </c>
      <c r="C153" s="3" t="n">
        <v>45964.43888888889</v>
      </c>
      <c r="D153" s="2" t="inlineStr">
        <is>
          <t>Original</t>
        </is>
      </c>
      <c r="E153" s="2" t="inlineStr">
        <is>
          <t>CH</t>
        </is>
      </c>
      <c r="F15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53" s="2" t="inlineStr">
        <is>
          <t>Art. 119.º-A (aditamento)</t>
        </is>
      </c>
      <c r="H153" s="2" t="n"/>
      <c r="I153" s="2" t="n"/>
      <c r="J153" s="2" t="n"/>
      <c r="K153" s="2" t="n"/>
      <c r="L153" s="2" t="inlineStr">
        <is>
          <t>Artigo 119.º-A (Regime de Dispensa de medicamentos em proximidade)</t>
        </is>
      </c>
      <c r="M153" s="4" t="n"/>
      <c r="N153" s="4" t="n"/>
      <c r="O153" s="2" t="n"/>
      <c r="P153" s="2" t="n"/>
      <c r="Q153" s="2" t="n"/>
      <c r="R153" s="2" t="n"/>
      <c r="S153" s="2" t="inlineStr">
        <is>
          <t>Rejeitado(a) em Comissão</t>
        </is>
      </c>
      <c r="T153" s="2" t="inlineStr">
        <is>
          <t>Rejeitada</t>
        </is>
      </c>
      <c r="U153" s="2" t="inlineStr">
        <is>
          <t>Favor: CH, PAN; Contra: PSD, CDS-PP; Abstenção: PS, IL, L, PCP, BE</t>
        </is>
      </c>
      <c r="V153" s="3" t="n">
        <v>45985</v>
      </c>
      <c r="W153" s="2" t="inlineStr">
        <is>
          <t>AR: https://www.parlamento.pt/OrcamentoEstado/Paginas/DetalhePropostaAlteracao.aspx?BID=23330 PDF: https://app.parlamento.pt/webutils/docs/doc.pdf?path=6148523063484d364c793942556b356c6443397a6158526c63793959566b6c4a544556484c3039464c7a49774d6a59794d4449314d5441774f533951515338354e4441775a4451774d7930774d6a67354c54526a5a545174596a637a5969316a5a6a68694f4468694e4446694e5441756347526d&amp;Fich=9400d403-0289-4ce4-b73b-cf8b88b41b50.pdf&amp;Inline=true</t>
        </is>
      </c>
      <c r="X153" s="2" t="inlineStr">
        <is>
          <t>Orçamento, Finanças e Administração Pública; Saúde</t>
        </is>
      </c>
      <c r="Y153" s="2" t="inlineStr">
        <is>
          <t>Articulado</t>
        </is>
      </c>
      <c r="Z153" s="2" t="inlineStr">
        <is>
          <t>Aditamento (Artigo PPL)</t>
        </is>
      </c>
      <c r="AA153" s="2" t="inlineStr">
        <is>
          <t>Rejeitado(a) em Comissão</t>
        </is>
      </c>
      <c r="AB153" s="2" t="inlineStr"/>
      <c r="AC153" s="2" t="inlineStr"/>
      <c r="AD153" s="2" t="inlineStr">
        <is>
          <t>1</t>
        </is>
      </c>
      <c r="AE153" s="2" t="inlineStr">
        <is>
          <t>23330</t>
        </is>
      </c>
      <c r="AF153" s="2" t="inlineStr">
        <is>
          <t>https://www.parlamento.pt/OrcamentoEstado/Paginas/DetalhePropostaAlteracao.aspx?BID=23330</t>
        </is>
      </c>
      <c r="AG153" s="2" t="inlineStr">
        <is>
          <t>https://app.parlamento.pt/webutils/docs/doc.pdf?path=6148523063484d364c793942556b356c6443397a6158526c63793959566b6c4a544556484c3039464c7a49774d6a59794d4449314d5441774f533951515338354e4441775a4451774d7930774d6a67354c54526a5a545174596a637a5969316a5a6a68694f4468694e4446694e5441756347526d&amp;Fich=9400d403-0289-4ce4-b73b-cf8b88b41b50.pdf&amp;Inline=true</t>
        </is>
      </c>
      <c r="AH153" s="3" t="n">
        <v>46321.77847222222</v>
      </c>
      <c r="AI153" s="3" t="n">
        <v>46321.78055555555</v>
      </c>
      <c r="AJ153" s="2" t="inlineStr"/>
    </row>
    <row r="154">
      <c r="A154" s="2" t="n">
        <v>153</v>
      </c>
      <c r="B154" s="2" t="inlineStr">
        <is>
          <t>138C</t>
        </is>
      </c>
      <c r="C154" s="3" t="n">
        <v>45964.43888888889</v>
      </c>
      <c r="D154" s="2" t="inlineStr">
        <is>
          <t>Original</t>
        </is>
      </c>
      <c r="E154" s="2" t="inlineStr">
        <is>
          <t>CH</t>
        </is>
      </c>
      <c r="F15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54" s="2" t="inlineStr">
        <is>
          <t>Art. 44.º-A (aditamento)</t>
        </is>
      </c>
      <c r="H154" s="2" t="n"/>
      <c r="I154" s="2" t="n"/>
      <c r="J154" s="2" t="n"/>
      <c r="K154" s="2" t="n"/>
      <c r="L154" s="2" t="inlineStr">
        <is>
          <t>Artigo 44.º-A (Circular informativa da carreira contributiva da Segurança Social)</t>
        </is>
      </c>
      <c r="M154" s="4" t="n"/>
      <c r="N154" s="4" t="n"/>
      <c r="O154" s="2" t="n"/>
      <c r="P154" s="2" t="n"/>
      <c r="Q154" s="2" t="n"/>
      <c r="R154" s="2" t="n"/>
      <c r="S154" s="2" t="inlineStr">
        <is>
          <t>Rejeitado(a) em Comissão</t>
        </is>
      </c>
      <c r="T154" s="2" t="inlineStr">
        <is>
          <t>Rejeitada</t>
        </is>
      </c>
      <c r="U154" s="2" t="inlineStr">
        <is>
          <t>Favor: CH; Contra: PSD, PS, IL, L, PCP, CDS-PP, BE, PAN</t>
        </is>
      </c>
      <c r="V154" s="3" t="n">
        <v>45981</v>
      </c>
      <c r="W154" s="2" t="inlineStr">
        <is>
          <t>AR: https://www.parlamento.pt/OrcamentoEstado/Paginas/DetalhePropostaAlteracao.aspx?BID=23331 PDF: https://app.parlamento.pt/webutils/docs/doc.pdf?path=6148523063484d364c793942556b356c6443397a6158526c63793959566b6c4a544556484c3039464c7a49774d6a59794d4449314d5441774f533951515339694d6d56694f575a6d5a53316c4e7a46694c5452684e544174595442694e693169596a41784e54466c5a6a59794d5441756347526d&amp;Fich=b2eb9ffe-e71b-4a50-a0b6-bb0151ef6210.pdf&amp;Inline=true</t>
        </is>
      </c>
      <c r="X154" s="2" t="inlineStr">
        <is>
          <t>Trabalho, Segurança Social e Inclusão</t>
        </is>
      </c>
      <c r="Y154" s="2" t="inlineStr">
        <is>
          <t>Articulado</t>
        </is>
      </c>
      <c r="Z154" s="2" t="inlineStr">
        <is>
          <t>Aditamento (Artigo PPL)</t>
        </is>
      </c>
      <c r="AA154" s="2" t="inlineStr">
        <is>
          <t>Rejeitado(a) em Comissão</t>
        </is>
      </c>
      <c r="AB154" s="2" t="inlineStr"/>
      <c r="AC154" s="2" t="inlineStr"/>
      <c r="AD154" s="2" t="inlineStr">
        <is>
          <t>1</t>
        </is>
      </c>
      <c r="AE154" s="2" t="inlineStr">
        <is>
          <t>23331</t>
        </is>
      </c>
      <c r="AF154" s="2" t="inlineStr">
        <is>
          <t>https://www.parlamento.pt/OrcamentoEstado/Paginas/DetalhePropostaAlteracao.aspx?BID=23331</t>
        </is>
      </c>
      <c r="AG154" s="2" t="inlineStr">
        <is>
          <t>https://app.parlamento.pt/webutils/docs/doc.pdf?path=6148523063484d364c793942556b356c6443397a6158526c63793959566b6c4a544556484c3039464c7a49774d6a59794d4449314d5441774f533951515339694d6d56694f575a6d5a53316c4e7a46694c5452684e544174595442694e693169596a41784e54466c5a6a59794d5441756347526d&amp;Fich=b2eb9ffe-e71b-4a50-a0b6-bb0151ef6210.pdf&amp;Inline=true</t>
        </is>
      </c>
      <c r="AH154" s="3" t="n">
        <v>46321.77847222222</v>
      </c>
      <c r="AI154" s="3" t="n">
        <v>46321.78055555555</v>
      </c>
      <c r="AJ154" s="2" t="inlineStr"/>
    </row>
    <row r="155">
      <c r="A155" s="2" t="n">
        <v>154</v>
      </c>
      <c r="B155" s="2" t="inlineStr">
        <is>
          <t>139C</t>
        </is>
      </c>
      <c r="C155" s="3" t="n">
        <v>45964.43958333333</v>
      </c>
      <c r="D155" s="2" t="inlineStr">
        <is>
          <t>Original</t>
        </is>
      </c>
      <c r="E155" s="2" t="inlineStr">
        <is>
          <t>CH</t>
        </is>
      </c>
      <c r="F15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55" s="2" t="inlineStr">
        <is>
          <t>Art. 119.º-A (aditamento)</t>
        </is>
      </c>
      <c r="H155" s="2" t="n"/>
      <c r="I155" s="2" t="n"/>
      <c r="J155" s="2" t="n"/>
      <c r="K155" s="2" t="n"/>
      <c r="L155" s="2" t="inlineStr">
        <is>
          <t>Artigo 119.º-A (Reforço da promoção da saúde mental em todos os estabelecimentos de ensino)</t>
        </is>
      </c>
      <c r="M155" s="4" t="n"/>
      <c r="N155" s="4" t="n"/>
      <c r="O155" s="2" t="n"/>
      <c r="P155" s="2" t="n"/>
      <c r="Q155" s="2" t="n"/>
      <c r="R155" s="2" t="n"/>
      <c r="S155" s="2" t="inlineStr">
        <is>
          <t>Rejeitado(a) em Comissão</t>
        </is>
      </c>
      <c r="T155" s="2" t="inlineStr">
        <is>
          <t>Rejeitada</t>
        </is>
      </c>
      <c r="U155" s="2" t="inlineStr">
        <is>
          <t>Favor: CH, IL, BE, PAN; Contra: PSD, CDS-PP; Abstenção: PS, L, PCP</t>
        </is>
      </c>
      <c r="V155" s="3" t="n">
        <v>45985</v>
      </c>
      <c r="W155" s="2" t="inlineStr">
        <is>
          <t>AR: https://www.parlamento.pt/OrcamentoEstado/Paginas/DetalhePropostaAlteracao.aspx?BID=23332 PDF: https://app.parlamento.pt/webutils/docs/doc.pdf?path=6148523063484d364c793942556b356c6443397a6158526c63793959566b6c4a544556484c3039464c7a49774d6a59794d4449314d5441774f5339515153396d4e32557a4d574d784f533169596d4d774c5451315a444574596d5178596930305a47566c596a6b794e324a684e7a59756347526d&amp;Fich=f7e31c19-bbc0-45d1-bd1b-4deeb927ba76.pdf&amp;Inline=true</t>
        </is>
      </c>
      <c r="X155" s="2" t="inlineStr">
        <is>
          <t>Orçamento, Finanças e Administração Pública; Saúde</t>
        </is>
      </c>
      <c r="Y155" s="2" t="inlineStr">
        <is>
          <t>Articulado</t>
        </is>
      </c>
      <c r="Z155" s="2" t="inlineStr">
        <is>
          <t>Aditamento (Artigo PPL)</t>
        </is>
      </c>
      <c r="AA155" s="2" t="inlineStr">
        <is>
          <t>Rejeitado(a) em Comissão</t>
        </is>
      </c>
      <c r="AB155" s="2" t="inlineStr"/>
      <c r="AC155" s="2" t="inlineStr"/>
      <c r="AD155" s="2" t="inlineStr">
        <is>
          <t>1</t>
        </is>
      </c>
      <c r="AE155" s="2" t="inlineStr">
        <is>
          <t>23332</t>
        </is>
      </c>
      <c r="AF155" s="2" t="inlineStr">
        <is>
          <t>https://www.parlamento.pt/OrcamentoEstado/Paginas/DetalhePropostaAlteracao.aspx?BID=23332</t>
        </is>
      </c>
      <c r="AG155" s="2" t="inlineStr">
        <is>
          <t>https://app.parlamento.pt/webutils/docs/doc.pdf?path=6148523063484d364c793942556b356c6443397a6158526c63793959566b6c4a544556484c3039464c7a49774d6a59794d4449314d5441774f5339515153396d4e32557a4d574d784f533169596d4d774c5451315a444574596d5178596930305a47566c596a6b794e324a684e7a59756347526d&amp;Fich=f7e31c19-bbc0-45d1-bd1b-4deeb927ba76.pdf&amp;Inline=true</t>
        </is>
      </c>
      <c r="AH155" s="3" t="n">
        <v>46321.77847222222</v>
      </c>
      <c r="AI155" s="3" t="n">
        <v>46321.78055555555</v>
      </c>
      <c r="AJ155" s="2" t="inlineStr"/>
    </row>
    <row r="156">
      <c r="A156" s="2" t="n">
        <v>155</v>
      </c>
      <c r="B156" s="2" t="inlineStr">
        <is>
          <t>140C</t>
        </is>
      </c>
      <c r="C156" s="3" t="n">
        <v>45964.44027777778</v>
      </c>
      <c r="D156" s="2" t="inlineStr">
        <is>
          <t>Original</t>
        </is>
      </c>
      <c r="E156" s="2" t="inlineStr">
        <is>
          <t>CH</t>
        </is>
      </c>
      <c r="F15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56" s="2" t="inlineStr">
        <is>
          <t>Art. 44.º-A (aditamento)</t>
        </is>
      </c>
      <c r="H156" s="2" t="n"/>
      <c r="I156" s="2" t="n"/>
      <c r="J156" s="2" t="n"/>
      <c r="K156" s="2" t="n"/>
      <c r="L156" s="2" t="inlineStr">
        <is>
          <t>Artigo 44.º-A (Criação da Carreira Contributiva do Cuidador Informal Principal)</t>
        </is>
      </c>
      <c r="M156" s="4" t="n"/>
      <c r="N156" s="4" t="n"/>
      <c r="O156" s="2" t="n"/>
      <c r="P156" s="2" t="n"/>
      <c r="Q156" s="2" t="n"/>
      <c r="R156" s="2" t="n"/>
      <c r="S156" s="2" t="inlineStr">
        <is>
          <t>Rejeitado(a) em Comissão</t>
        </is>
      </c>
      <c r="T156" s="2" t="inlineStr">
        <is>
          <t>Rejeitada</t>
        </is>
      </c>
      <c r="U156" s="2" t="inlineStr">
        <is>
          <t>Favor: CH, PAN; Contra: PSD, IL, PCP, CDS-PP; Abstenção: PS, L, BE</t>
        </is>
      </c>
      <c r="V156" s="3" t="n">
        <v>45981</v>
      </c>
      <c r="W156" s="2" t="inlineStr">
        <is>
          <t>AR: https://www.parlamento.pt/OrcamentoEstado/Paginas/DetalhePropostaAlteracao.aspx?BID=23333 PDF: https://app.parlamento.pt/webutils/docs/doc.pdf?path=6148523063484d364c793942556b356c6443397a6158526c63793959566b6c4a544556484c3039464c7a49774d6a59794d4449314d5441774f533951515338794d6a4d344e446b78595330324e54426d4c5451775a445974596a4a6a5953316b4d6a63784d544a6d4e6d4d324e4451756347526d&amp;Fich=2238491a-650f-40d6-b2ca-d27112f6c644.pdf&amp;Inline=true</t>
        </is>
      </c>
      <c r="X156" s="2" t="inlineStr">
        <is>
          <t>Trabalho, Segurança Social e Inclusão</t>
        </is>
      </c>
      <c r="Y156" s="2" t="inlineStr">
        <is>
          <t>Articulado</t>
        </is>
      </c>
      <c r="Z156" s="2" t="inlineStr">
        <is>
          <t>Aditamento (Artigo PPL)</t>
        </is>
      </c>
      <c r="AA156" s="2" t="inlineStr">
        <is>
          <t>Rejeitado(a) em Comissão</t>
        </is>
      </c>
      <c r="AB156" s="2" t="inlineStr"/>
      <c r="AC156" s="2" t="inlineStr"/>
      <c r="AD156" s="2" t="inlineStr">
        <is>
          <t>1</t>
        </is>
      </c>
      <c r="AE156" s="2" t="inlineStr">
        <is>
          <t>23333</t>
        </is>
      </c>
      <c r="AF156" s="2" t="inlineStr">
        <is>
          <t>https://www.parlamento.pt/OrcamentoEstado/Paginas/DetalhePropostaAlteracao.aspx?BID=23333</t>
        </is>
      </c>
      <c r="AG156" s="2" t="inlineStr">
        <is>
          <t>https://app.parlamento.pt/webutils/docs/doc.pdf?path=6148523063484d364c793942556b356c6443397a6158526c63793959566b6c4a544556484c3039464c7a49774d6a59794d4449314d5441774f533951515338794d6a4d344e446b78595330324e54426d4c5451775a445974596a4a6a5953316b4d6a63784d544a6d4e6d4d324e4451756347526d&amp;Fich=2238491a-650f-40d6-b2ca-d27112f6c644.pdf&amp;Inline=true</t>
        </is>
      </c>
      <c r="AH156" s="3" t="n">
        <v>46321.77847222222</v>
      </c>
      <c r="AI156" s="3" t="n">
        <v>46321.78055555555</v>
      </c>
      <c r="AJ156" s="2" t="inlineStr"/>
    </row>
    <row r="157">
      <c r="A157" s="2" t="n">
        <v>156</v>
      </c>
      <c r="B157" s="2" t="inlineStr">
        <is>
          <t>141C</t>
        </is>
      </c>
      <c r="C157" s="3" t="n">
        <v>45964.44097222222</v>
      </c>
      <c r="D157" s="2" t="inlineStr">
        <is>
          <t>Original</t>
        </is>
      </c>
      <c r="E157" s="2" t="inlineStr">
        <is>
          <t>CH</t>
        </is>
      </c>
      <c r="F15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57" s="2" t="inlineStr">
        <is>
          <t>Art. 120.º-A (aditamento)</t>
        </is>
      </c>
      <c r="H157" s="2" t="n"/>
      <c r="I157" s="2" t="n"/>
      <c r="J157" s="2" t="n"/>
      <c r="K157" s="2" t="n"/>
      <c r="L157" s="2" t="inlineStr">
        <is>
          <t>Artigo 120.º-A (Criação da Especialidade de Medicina Paliativa)</t>
        </is>
      </c>
      <c r="M157" s="4" t="n"/>
      <c r="N157" s="4" t="n"/>
      <c r="O157" s="2" t="n"/>
      <c r="P157" s="2" t="n"/>
      <c r="Q157" s="2" t="n"/>
      <c r="R157" s="2" t="n"/>
      <c r="S157" s="2" t="inlineStr">
        <is>
          <t>Rejeitado(a) em Comissão</t>
        </is>
      </c>
      <c r="T157" s="2" t="inlineStr">
        <is>
          <t>Rejeitada</t>
        </is>
      </c>
      <c r="U157" s="2" t="inlineStr">
        <is>
          <t>Favor: CH, PAN; Contra: PSD, IL, PCP; Abstenção: PS, L, CDS-PP, BE</t>
        </is>
      </c>
      <c r="V157" s="3" t="n">
        <v>45985</v>
      </c>
      <c r="W157" s="2" t="inlineStr">
        <is>
          <t>AR: https://www.parlamento.pt/OrcamentoEstado/Paginas/DetalhePropostaAlteracao.aspx?BID=23334 PDF: https://app.parlamento.pt/webutils/docs/doc.pdf?path=6148523063484d364c793942556b356c6443397a6158526c63793959566b6c4a544556484c3039464c7a49774d6a59794d4449314d5441774f53395151533832596d59325a44686b595330334f574d344c5451344e4751744f546b32597930324d4459354e6d4d77595755784d3255756347526d&amp;Fich=6bf6d8da-79c8-484d-996c-60696c0ae13e.pdf&amp;Inline=true</t>
        </is>
      </c>
      <c r="X157" s="2" t="inlineStr">
        <is>
          <t>Saúde</t>
        </is>
      </c>
      <c r="Y157" s="2" t="inlineStr">
        <is>
          <t>Articulado</t>
        </is>
      </c>
      <c r="Z157" s="2" t="inlineStr">
        <is>
          <t>Aditamento (Artigo PPL)</t>
        </is>
      </c>
      <c r="AA157" s="2" t="inlineStr">
        <is>
          <t>Rejeitado(a) em Comissão</t>
        </is>
      </c>
      <c r="AB157" s="2" t="inlineStr"/>
      <c r="AC157" s="2" t="inlineStr"/>
      <c r="AD157" s="2" t="inlineStr">
        <is>
          <t>1</t>
        </is>
      </c>
      <c r="AE157" s="2" t="inlineStr">
        <is>
          <t>23334</t>
        </is>
      </c>
      <c r="AF157" s="2" t="inlineStr">
        <is>
          <t>https://www.parlamento.pt/OrcamentoEstado/Paginas/DetalhePropostaAlteracao.aspx?BID=23334</t>
        </is>
      </c>
      <c r="AG157" s="2" t="inlineStr">
        <is>
          <t>https://app.parlamento.pt/webutils/docs/doc.pdf?path=6148523063484d364c793942556b356c6443397a6158526c63793959566b6c4a544556484c3039464c7a49774d6a59794d4449314d5441774f53395151533832596d59325a44686b595330334f574d344c5451344e4751744f546b32597930324d4459354e6d4d77595755784d3255756347526d&amp;Fich=6bf6d8da-79c8-484d-996c-60696c0ae13e.pdf&amp;Inline=true</t>
        </is>
      </c>
      <c r="AH157" s="3" t="n">
        <v>46321.77847222222</v>
      </c>
      <c r="AI157" s="3" t="n">
        <v>46321.78055555555</v>
      </c>
      <c r="AJ157" s="2" t="inlineStr"/>
    </row>
    <row r="158">
      <c r="A158" s="2" t="n">
        <v>157</v>
      </c>
      <c r="B158" s="2" t="inlineStr">
        <is>
          <t>142C</t>
        </is>
      </c>
      <c r="C158" s="3" t="n">
        <v>45964.44097222222</v>
      </c>
      <c r="D158" s="2" t="inlineStr">
        <is>
          <t>Original</t>
        </is>
      </c>
      <c r="E158" s="2" t="inlineStr">
        <is>
          <t>CH</t>
        </is>
      </c>
      <c r="F15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58" s="2" t="inlineStr">
        <is>
          <t>Art. 46.º-A (aditamento)</t>
        </is>
      </c>
      <c r="H158" s="2" t="n"/>
      <c r="I158" s="2" t="n"/>
      <c r="J158" s="2" t="n"/>
      <c r="K158" s="2" t="n"/>
      <c r="L158" s="2" t="inlineStr">
        <is>
          <t>Artigo 46.º-A (Alargamento da rede de Centros de Alojamento de Emergência Social)</t>
        </is>
      </c>
      <c r="M158" s="4" t="n"/>
      <c r="N158" s="4" t="n"/>
      <c r="O158" s="2" t="n"/>
      <c r="P158" s="2" t="n"/>
      <c r="Q158" s="2" t="n"/>
      <c r="R158" s="2" t="n"/>
      <c r="S158" s="2" t="inlineStr">
        <is>
          <t>Rejeitado(a) em Comissão</t>
        </is>
      </c>
      <c r="T158" s="2" t="inlineStr">
        <is>
          <t>Rejeitada</t>
        </is>
      </c>
      <c r="U158" s="2" t="inlineStr">
        <is>
          <t>Favor: CH, IL, BE, PAN; Contra: PSD, CDS-PP; Abstenção: PS, L, PCP</t>
        </is>
      </c>
      <c r="V158" s="3" t="n">
        <v>45981</v>
      </c>
      <c r="W158" s="2" t="inlineStr">
        <is>
          <t>AR: https://www.parlamento.pt/OrcamentoEstado/Paginas/DetalhePropostaAlteracao.aspx?BID=23335 PDF: https://app.parlamento.pt/webutils/docs/doc.pdf?path=6148523063484d364c793942556b356c6443397a6158526c63793959566b6c4a544556484c3039464c7a49774d6a59794d4449314d5441774f5339515153383159324a694f5442685953316c4f5463784c5451314e5455744f4459334e43316a4d325a684e6a55344e7a4e6d4d5755756347526d&amp;Fich=5cbb90aa-e971-4555-8674-c3fa65873f1e.pdf&amp;Inline=true</t>
        </is>
      </c>
      <c r="X158" s="2" t="inlineStr">
        <is>
          <t>Trabalho, Segurança Social e Inclusão</t>
        </is>
      </c>
      <c r="Y158" s="2" t="inlineStr">
        <is>
          <t>Articulado</t>
        </is>
      </c>
      <c r="Z158" s="2" t="inlineStr">
        <is>
          <t>Aditamento (Artigo PPL)</t>
        </is>
      </c>
      <c r="AA158" s="2" t="inlineStr">
        <is>
          <t>Rejeitado(a) em Comissão</t>
        </is>
      </c>
      <c r="AB158" s="2" t="inlineStr"/>
      <c r="AC158" s="2" t="inlineStr"/>
      <c r="AD158" s="2" t="inlineStr">
        <is>
          <t>1</t>
        </is>
      </c>
      <c r="AE158" s="2" t="inlineStr">
        <is>
          <t>23335</t>
        </is>
      </c>
      <c r="AF158" s="2" t="inlineStr">
        <is>
          <t>https://www.parlamento.pt/OrcamentoEstado/Paginas/DetalhePropostaAlteracao.aspx?BID=23335</t>
        </is>
      </c>
      <c r="AG158" s="2" t="inlineStr">
        <is>
          <t>https://app.parlamento.pt/webutils/docs/doc.pdf?path=6148523063484d364c793942556b356c6443397a6158526c63793959566b6c4a544556484c3039464c7a49774d6a59794d4449314d5441774f5339515153383159324a694f5442685953316c4f5463784c5451314e5455744f4459334e43316a4d325a684e6a55344e7a4e6d4d5755756347526d&amp;Fich=5cbb90aa-e971-4555-8674-c3fa65873f1e.pdf&amp;Inline=true</t>
        </is>
      </c>
      <c r="AH158" s="3" t="n">
        <v>46321.77847222222</v>
      </c>
      <c r="AI158" s="3" t="n">
        <v>46321.78055555555</v>
      </c>
      <c r="AJ158" s="2" t="inlineStr"/>
    </row>
    <row r="159">
      <c r="A159" s="2" t="n">
        <v>158</v>
      </c>
      <c r="B159" s="2" t="inlineStr">
        <is>
          <t>143C</t>
        </is>
      </c>
      <c r="C159" s="3" t="n">
        <v>45964.44166666667</v>
      </c>
      <c r="D159" s="2" t="inlineStr">
        <is>
          <t>Original</t>
        </is>
      </c>
      <c r="E159" s="2" t="inlineStr">
        <is>
          <t>CH</t>
        </is>
      </c>
      <c r="F15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59" s="2" t="inlineStr">
        <is>
          <t>Art. 121.º-A (aditamento)</t>
        </is>
      </c>
      <c r="H159" s="2" t="n"/>
      <c r="I159" s="2" t="n"/>
      <c r="J159" s="2" t="n"/>
      <c r="K159" s="2" t="n"/>
      <c r="L159" s="2" t="inlineStr">
        <is>
          <t>Artigo 121.º-A (Cheque saúde mental)</t>
        </is>
      </c>
      <c r="M159" s="4" t="n"/>
      <c r="N159" s="4" t="n"/>
      <c r="O159" s="2" t="n"/>
      <c r="P159" s="2" t="n"/>
      <c r="Q159" s="2" t="n"/>
      <c r="R159" s="2" t="n"/>
      <c r="S159" s="2" t="inlineStr">
        <is>
          <t>Rejeitado(a) em Comissão</t>
        </is>
      </c>
      <c r="T159" s="2" t="inlineStr">
        <is>
          <t>Rejeitada</t>
        </is>
      </c>
      <c r="U159" s="2" t="inlineStr">
        <is>
          <t>Favor: CH, IL, PAN; Contra: PSD, PS, L, PCP, CDS-PP, BE</t>
        </is>
      </c>
      <c r="V159" s="3" t="n">
        <v>45985</v>
      </c>
      <c r="W159" s="2" t="inlineStr">
        <is>
          <t>AR: https://www.parlamento.pt/OrcamentoEstado/Paginas/DetalhePropostaAlteracao.aspx?BID=23336 PDF: https://app.parlamento.pt/webutils/docs/doc.pdf?path=6148523063484d364c793942556b356c6443397a6158526c63793959566b6c4a544556484c3039464c7a49774d6a59794d4449314d5441774f5339515153387a5a54637a4f574e6b4f4330314d7a51334c5452685a5459744f4749785a6930354e6a6469596a4e6a5a6d51334d6a45756347526d&amp;Fich=3e739cd8-5347-4ae6-8b1f-967bb3cfd721.pdf&amp;Inline=true</t>
        </is>
      </c>
      <c r="X159" s="2" t="inlineStr">
        <is>
          <t>Orçamento, Finanças e Administração Pública; Saúde</t>
        </is>
      </c>
      <c r="Y159" s="2" t="inlineStr">
        <is>
          <t>Articulado</t>
        </is>
      </c>
      <c r="Z159" s="2" t="inlineStr">
        <is>
          <t>Aditamento (Artigo PPL)</t>
        </is>
      </c>
      <c r="AA159" s="2" t="inlineStr">
        <is>
          <t>Rejeitado(a) em Comissão</t>
        </is>
      </c>
      <c r="AB159" s="2" t="inlineStr"/>
      <c r="AC159" s="2" t="inlineStr"/>
      <c r="AD159" s="2" t="inlineStr">
        <is>
          <t>1</t>
        </is>
      </c>
      <c r="AE159" s="2" t="inlineStr">
        <is>
          <t>23336</t>
        </is>
      </c>
      <c r="AF159" s="2" t="inlineStr">
        <is>
          <t>https://www.parlamento.pt/OrcamentoEstado/Paginas/DetalhePropostaAlteracao.aspx?BID=23336</t>
        </is>
      </c>
      <c r="AG159" s="2" t="inlineStr">
        <is>
          <t>https://app.parlamento.pt/webutils/docs/doc.pdf?path=6148523063484d364c793942556b356c6443397a6158526c63793959566b6c4a544556484c3039464c7a49774d6a59794d4449314d5441774f5339515153387a5a54637a4f574e6b4f4330314d7a51334c5452685a5459744f4749785a6930354e6a6469596a4e6a5a6d51334d6a45756347526d&amp;Fich=3e739cd8-5347-4ae6-8b1f-967bb3cfd721.pdf&amp;Inline=true</t>
        </is>
      </c>
      <c r="AH159" s="3" t="n">
        <v>46321.77847222222</v>
      </c>
      <c r="AI159" s="3" t="n">
        <v>46321.78055555555</v>
      </c>
      <c r="AJ159" s="2" t="inlineStr"/>
    </row>
    <row r="160">
      <c r="A160" s="2" t="n">
        <v>159</v>
      </c>
      <c r="B160" s="2" t="inlineStr">
        <is>
          <t>144C</t>
        </is>
      </c>
      <c r="C160" s="3" t="n">
        <v>45964.44236111111</v>
      </c>
      <c r="D160" s="2" t="inlineStr">
        <is>
          <t>Original</t>
        </is>
      </c>
      <c r="E160" s="2" t="inlineStr">
        <is>
          <t>CH</t>
        </is>
      </c>
      <c r="F16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60" s="2" t="inlineStr">
        <is>
          <t>Art. 46.º-A (aditamento)</t>
        </is>
      </c>
      <c r="H160" s="2" t="n"/>
      <c r="I160" s="2" t="n"/>
      <c r="J160" s="2" t="n"/>
      <c r="K160" s="2" t="n"/>
      <c r="L160" s="2" t="inlineStr">
        <is>
          <t>Artigo 46.º-A (Parque informático para séniores)</t>
        </is>
      </c>
      <c r="M160" s="4" t="n"/>
      <c r="N160" s="4" t="n"/>
      <c r="O160" s="2" t="n"/>
      <c r="P160" s="2" t="n"/>
      <c r="Q160" s="2" t="n"/>
      <c r="R160" s="2" t="n"/>
      <c r="S160" s="2" t="inlineStr">
        <is>
          <t>Rejeitado(a) em Comissão</t>
        </is>
      </c>
      <c r="T160" s="2" t="inlineStr">
        <is>
          <t>Rejeitada</t>
        </is>
      </c>
      <c r="U160" s="2" t="inlineStr">
        <is>
          <t>Favor: CH, BE, PAN; Contra: PSD, CDS-PP; Abstenção: PS, IL, L, PCP</t>
        </is>
      </c>
      <c r="V160" s="3" t="n">
        <v>45981</v>
      </c>
      <c r="W160" s="2" t="inlineStr">
        <is>
          <t>AR: https://www.parlamento.pt/OrcamentoEstado/Paginas/DetalhePropostaAlteracao.aspx?BID=23337 PDF: https://app.parlamento.pt/webutils/docs/doc.pdf?path=6148523063484d364c793942556b356c6443397a6158526c63793959566b6c4a544556484c3039464c7a49774d6a59794d4449314d5441774f533951515338795a47566d4e54426d5a4330315a575a6c4c5451314f4467744f5452684d7930774e446468595451785a4441775a5759756347526d&amp;Fich=2def50fd-5efe-4588-94a3-047aa41d00ef.pdf&amp;Inline=true</t>
        </is>
      </c>
      <c r="X160" s="2" t="inlineStr">
        <is>
          <t>Trabalho, Segurança Social e Inclusão</t>
        </is>
      </c>
      <c r="Y160" s="2" t="inlineStr">
        <is>
          <t>Articulado</t>
        </is>
      </c>
      <c r="Z160" s="2" t="inlineStr">
        <is>
          <t>Aditamento (Artigo PPL)</t>
        </is>
      </c>
      <c r="AA160" s="2" t="inlineStr">
        <is>
          <t>Rejeitado(a) em Comissão</t>
        </is>
      </c>
      <c r="AB160" s="2" t="inlineStr"/>
      <c r="AC160" s="2" t="inlineStr"/>
      <c r="AD160" s="2" t="inlineStr">
        <is>
          <t>1</t>
        </is>
      </c>
      <c r="AE160" s="2" t="inlineStr">
        <is>
          <t>23337</t>
        </is>
      </c>
      <c r="AF160" s="2" t="inlineStr">
        <is>
          <t>https://www.parlamento.pt/OrcamentoEstado/Paginas/DetalhePropostaAlteracao.aspx?BID=23337</t>
        </is>
      </c>
      <c r="AG160" s="2" t="inlineStr">
        <is>
          <t>https://app.parlamento.pt/webutils/docs/doc.pdf?path=6148523063484d364c793942556b356c6443397a6158526c63793959566b6c4a544556484c3039464c7a49774d6a59794d4449314d5441774f533951515338795a47566d4e54426d5a4330315a575a6c4c5451314f4467744f5452684d7930774e446468595451785a4441775a5759756347526d&amp;Fich=2def50fd-5efe-4588-94a3-047aa41d00ef.pdf&amp;Inline=true</t>
        </is>
      </c>
      <c r="AH160" s="3" t="n">
        <v>46321.77847222222</v>
      </c>
      <c r="AI160" s="3" t="n">
        <v>46321.78055555555</v>
      </c>
      <c r="AJ160" s="2" t="inlineStr"/>
    </row>
    <row r="161">
      <c r="A161" s="2" t="n">
        <v>160</v>
      </c>
      <c r="B161" s="2" t="inlineStr">
        <is>
          <t>145C</t>
        </is>
      </c>
      <c r="C161" s="3" t="n">
        <v>45964.44305555556</v>
      </c>
      <c r="D161" s="2" t="inlineStr">
        <is>
          <t>Original</t>
        </is>
      </c>
      <c r="E161" s="2" t="inlineStr">
        <is>
          <t>CH</t>
        </is>
      </c>
      <c r="F16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61" s="2" t="inlineStr">
        <is>
          <t>Art. 121.º-A (aditamento)</t>
        </is>
      </c>
      <c r="H161" s="2" t="n"/>
      <c r="I161" s="2" t="n"/>
      <c r="J161" s="2" t="n"/>
      <c r="K161" s="2" t="n"/>
      <c r="L161" s="2" t="inlineStr">
        <is>
          <t>Artigo 121.º-A (Criação de um Serviço de Atendimento Permanente (SAP) no Concelho de Ourém)</t>
        </is>
      </c>
      <c r="M161" s="4" t="n"/>
      <c r="N161" s="4" t="n"/>
      <c r="O161" s="2" t="n"/>
      <c r="P161" s="2" t="n"/>
      <c r="Q161" s="2" t="n"/>
      <c r="R161" s="2" t="n"/>
      <c r="S161" s="2" t="inlineStr">
        <is>
          <t>Rejeitado(a) em Comissão</t>
        </is>
      </c>
      <c r="T161" s="2" t="inlineStr">
        <is>
          <t>Rejeitada</t>
        </is>
      </c>
      <c r="U161" s="2" t="inlineStr">
        <is>
          <t>Favor: CH, BE, PAN; Contra: PSD, CDS-PP; Abstenção: PS, IL, L, PCP</t>
        </is>
      </c>
      <c r="V161" s="3" t="n">
        <v>45985</v>
      </c>
      <c r="W161" s="2" t="inlineStr">
        <is>
          <t>AR: https://www.parlamento.pt/OrcamentoEstado/Paginas/DetalhePropostaAlteracao.aspx?BID=23338 PDF: https://app.parlamento.pt/webutils/docs/doc.pdf?path=6148523063484d364c793942556b356c6443397a6158526c63793959566b6c4a544556484c3039464c7a49774d6a59794d4449314d5441774f533951515338335a44557a5a4745774f43307a4e446b354c5451784f4751744f5756684e5330354e5749325a574a684e575a6a4f446b756347526d&amp;Fich=7d53da08-3499-418d-9ea5-95b6eba5fc89.pdf&amp;Inline=true</t>
        </is>
      </c>
      <c r="X161" s="2" t="inlineStr">
        <is>
          <t>Saúde</t>
        </is>
      </c>
      <c r="Y161" s="2" t="inlineStr">
        <is>
          <t>Articulado</t>
        </is>
      </c>
      <c r="Z161" s="2" t="inlineStr">
        <is>
          <t>Aditamento (Artigo PPL)</t>
        </is>
      </c>
      <c r="AA161" s="2" t="inlineStr">
        <is>
          <t>Rejeitado(a) em Comissão</t>
        </is>
      </c>
      <c r="AB161" s="2" t="inlineStr"/>
      <c r="AC161" s="2" t="inlineStr"/>
      <c r="AD161" s="2" t="inlineStr">
        <is>
          <t>1</t>
        </is>
      </c>
      <c r="AE161" s="2" t="inlineStr">
        <is>
          <t>23338</t>
        </is>
      </c>
      <c r="AF161" s="2" t="inlineStr">
        <is>
          <t>https://www.parlamento.pt/OrcamentoEstado/Paginas/DetalhePropostaAlteracao.aspx?BID=23338</t>
        </is>
      </c>
      <c r="AG161" s="2" t="inlineStr">
        <is>
          <t>https://app.parlamento.pt/webutils/docs/doc.pdf?path=6148523063484d364c793942556b356c6443397a6158526c63793959566b6c4a544556484c3039464c7a49774d6a59794d4449314d5441774f533951515338335a44557a5a4745774f43307a4e446b354c5451784f4751744f5756684e5330354e5749325a574a684e575a6a4f446b756347526d&amp;Fich=7d53da08-3499-418d-9ea5-95b6eba5fc89.pdf&amp;Inline=true</t>
        </is>
      </c>
      <c r="AH161" s="3" t="n">
        <v>46321.77847222222</v>
      </c>
      <c r="AI161" s="3" t="n">
        <v>46321.78055555555</v>
      </c>
      <c r="AJ161" s="2" t="inlineStr"/>
    </row>
    <row r="162">
      <c r="A162" s="2" t="n">
        <v>161</v>
      </c>
      <c r="B162" s="2" t="inlineStr">
        <is>
          <t>146C</t>
        </is>
      </c>
      <c r="C162" s="3" t="n">
        <v>45964.44305555556</v>
      </c>
      <c r="D162" s="2" t="inlineStr">
        <is>
          <t>Original</t>
        </is>
      </c>
      <c r="E162" s="2" t="inlineStr">
        <is>
          <t>CH</t>
        </is>
      </c>
      <c r="F16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62" s="2" t="inlineStr">
        <is>
          <t>Art. 46.º-A (aditamento)</t>
        </is>
      </c>
      <c r="H162" s="2" t="n"/>
      <c r="I162" s="2" t="n"/>
      <c r="J162" s="2" t="n"/>
      <c r="K162" s="2" t="n"/>
      <c r="L162" s="2" t="inlineStr">
        <is>
          <t>Artigo 46.º-A (Permite a Advogados, Solicitadores e Agentes de Execução a escolha do seu regime contributivo)</t>
        </is>
      </c>
      <c r="M162" s="4" t="n"/>
      <c r="N162" s="4" t="n"/>
      <c r="O162" s="2" t="n"/>
      <c r="P162" s="2" t="n"/>
      <c r="Q162" s="2" t="n"/>
      <c r="R162" s="2" t="n"/>
      <c r="S162" s="2" t="inlineStr">
        <is>
          <t>Rejeitado(a) em Comissão</t>
        </is>
      </c>
      <c r="T162" s="2" t="inlineStr">
        <is>
          <t>Rejeitada</t>
        </is>
      </c>
      <c r="U162" s="2" t="inlineStr">
        <is>
          <t>Favor: CH, IL, BE, PAN; Contra: PSD, CDS-PP; Abstenção: PS, L, PCP</t>
        </is>
      </c>
      <c r="V162" s="3" t="n">
        <v>45981</v>
      </c>
      <c r="W162" s="2" t="inlineStr">
        <is>
          <t>AR: https://www.parlamento.pt/OrcamentoEstado/Paginas/DetalhePropostaAlteracao.aspx?BID=23339 PDF: https://app.parlamento.pt/webutils/docs/doc.pdf?path=6148523063484d364c793942556b356c6443397a6158526c63793959566b6c4a544556484c3039464c7a49774d6a59794d4449314d5441774f5339515153396b4e574a694d5759334e7930304d324d314c545131596a4974596a49785a6930324d5464684d7a497959546c6c5a6a4d756347526d&amp;Fich=d5bb1f77-43c5-45b2-b21f-617a322a9ef3.pdf&amp;Inline=true</t>
        </is>
      </c>
      <c r="X162" s="2" t="inlineStr">
        <is>
          <t>Assuntos Constitucionais, Direitos, Liberdades e Garantias</t>
        </is>
      </c>
      <c r="Y162" s="2" t="inlineStr">
        <is>
          <t>Articulado</t>
        </is>
      </c>
      <c r="Z162" s="2" t="inlineStr">
        <is>
          <t>Aditamento (Artigo PPL)</t>
        </is>
      </c>
      <c r="AA162" s="2" t="inlineStr">
        <is>
          <t>Rejeitado(a) em Comissão</t>
        </is>
      </c>
      <c r="AB162" s="2" t="inlineStr"/>
      <c r="AC162" s="2" t="inlineStr"/>
      <c r="AD162" s="2" t="inlineStr">
        <is>
          <t>1</t>
        </is>
      </c>
      <c r="AE162" s="2" t="inlineStr">
        <is>
          <t>23339</t>
        </is>
      </c>
      <c r="AF162" s="2" t="inlineStr">
        <is>
          <t>https://www.parlamento.pt/OrcamentoEstado/Paginas/DetalhePropostaAlteracao.aspx?BID=23339</t>
        </is>
      </c>
      <c r="AG162" s="2" t="inlineStr">
        <is>
          <t>https://app.parlamento.pt/webutils/docs/doc.pdf?path=6148523063484d364c793942556b356c6443397a6158526c63793959566b6c4a544556484c3039464c7a49774d6a59794d4449314d5441774f5339515153396b4e574a694d5759334e7930304d324d314c545131596a4974596a49785a6930324d5464684d7a497959546c6c5a6a4d756347526d&amp;Fich=d5bb1f77-43c5-45b2-b21f-617a322a9ef3.pdf&amp;Inline=true</t>
        </is>
      </c>
      <c r="AH162" s="3" t="n">
        <v>46321.77847222222</v>
      </c>
      <c r="AI162" s="3" t="n">
        <v>46321.78055555555</v>
      </c>
      <c r="AJ162" s="2" t="inlineStr"/>
    </row>
    <row r="163">
      <c r="A163" s="2" t="n">
        <v>162</v>
      </c>
      <c r="B163" s="2" t="inlineStr">
        <is>
          <t>147C</t>
        </is>
      </c>
      <c r="C163" s="3" t="n">
        <v>45964.44375</v>
      </c>
      <c r="D163" s="2" t="inlineStr">
        <is>
          <t>Original</t>
        </is>
      </c>
      <c r="E163" s="2" t="inlineStr">
        <is>
          <t>CH</t>
        </is>
      </c>
      <c r="F16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63" s="2" t="inlineStr">
        <is>
          <t>Art. 46.º-A (aditamento)</t>
        </is>
      </c>
      <c r="H163" s="2" t="n"/>
      <c r="I163" s="2" t="n"/>
      <c r="J163" s="2" t="n"/>
      <c r="K163" s="2" t="n"/>
      <c r="L163" s="2" t="inlineStr">
        <is>
          <t>Artigo 46.º-A (Apoio destinado a avós e cuidadores por impossibilidade de acesso aos serviços de creche)</t>
        </is>
      </c>
      <c r="M163" s="4" t="n"/>
      <c r="N163" s="4" t="n"/>
      <c r="O163" s="2" t="n"/>
      <c r="P163" s="2" t="n"/>
      <c r="Q163" s="2" t="n"/>
      <c r="R163" s="2" t="n"/>
      <c r="S163" s="2" t="inlineStr">
        <is>
          <t>Rejeitado(a) em Comissão</t>
        </is>
      </c>
      <c r="T163" s="2" t="inlineStr">
        <is>
          <t>Rejeitada</t>
        </is>
      </c>
      <c r="U163" s="2" t="inlineStr">
        <is>
          <t>Favor: CH, IL, PAN; Contra: PSD, PS, PCP, CDS-PP, BE; Abstenção: L</t>
        </is>
      </c>
      <c r="V163" s="3" t="n">
        <v>45981</v>
      </c>
      <c r="W163" s="2" t="inlineStr">
        <is>
          <t>AR: https://www.parlamento.pt/OrcamentoEstado/Paginas/DetalhePropostaAlteracao.aspx?BID=23340 PDF: https://app.parlamento.pt/webutils/docs/doc.pdf?path=6148523063484d364c793942556b356c6443397a6158526c63793959566b6c4a544556484c3039464c7a49774d6a59794d4449314d5441774f5339515153396a4e444e6a596a4a6c4e5330784d574d334c545134596a4574596a6b334d6930344e6a426d596d49304f54417a4e4749756347526d&amp;Fich=c43cb2e5-11c7-48b1-b972-860fbb49034b.pdf&amp;Inline=true</t>
        </is>
      </c>
      <c r="X163" s="2" t="inlineStr">
        <is>
          <t>Trabalho, Segurança Social e Inclusão</t>
        </is>
      </c>
      <c r="Y163" s="2" t="inlineStr">
        <is>
          <t>Articulado</t>
        </is>
      </c>
      <c r="Z163" s="2" t="inlineStr">
        <is>
          <t>Aditamento (Artigo PPL)</t>
        </is>
      </c>
      <c r="AA163" s="2" t="inlineStr">
        <is>
          <t>Rejeitado(a) em Comissão</t>
        </is>
      </c>
      <c r="AB163" s="2" t="inlineStr"/>
      <c r="AC163" s="2" t="inlineStr"/>
      <c r="AD163" s="2" t="inlineStr">
        <is>
          <t>1</t>
        </is>
      </c>
      <c r="AE163" s="2" t="inlineStr">
        <is>
          <t>23340</t>
        </is>
      </c>
      <c r="AF163" s="2" t="inlineStr">
        <is>
          <t>https://www.parlamento.pt/OrcamentoEstado/Paginas/DetalhePropostaAlteracao.aspx?BID=23340</t>
        </is>
      </c>
      <c r="AG163" s="2" t="inlineStr">
        <is>
          <t>https://app.parlamento.pt/webutils/docs/doc.pdf?path=6148523063484d364c793942556b356c6443397a6158526c63793959566b6c4a544556484c3039464c7a49774d6a59794d4449314d5441774f5339515153396a4e444e6a596a4a6c4e5330784d574d334c545134596a4574596a6b334d6930344e6a426d596d49304f54417a4e4749756347526d&amp;Fich=c43cb2e5-11c7-48b1-b972-860fbb49034b.pdf&amp;Inline=true</t>
        </is>
      </c>
      <c r="AH163" s="3" t="n">
        <v>46321.77847222222</v>
      </c>
      <c r="AI163" s="3" t="n">
        <v>46321.78055555555</v>
      </c>
      <c r="AJ163" s="2" t="inlineStr"/>
    </row>
    <row r="164">
      <c r="A164" s="2" t="n">
        <v>163</v>
      </c>
      <c r="B164" s="2" t="inlineStr">
        <is>
          <t>148C</t>
        </is>
      </c>
      <c r="C164" s="3" t="n">
        <v>45964.44444444445</v>
      </c>
      <c r="D164" s="2" t="inlineStr">
        <is>
          <t>Original</t>
        </is>
      </c>
      <c r="E164" s="2" t="inlineStr">
        <is>
          <t>CH</t>
        </is>
      </c>
      <c r="F16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64" s="2" t="inlineStr">
        <is>
          <t>Art. 121.º-A (aditamento)</t>
        </is>
      </c>
      <c r="H164" s="2" t="n"/>
      <c r="I164" s="2" t="n"/>
      <c r="J164" s="2" t="n"/>
      <c r="K164" s="2" t="n"/>
      <c r="L164" s="2" t="inlineStr">
        <is>
          <t>Artigo 121.º-A (Construção do novo Centro de Saúde do Feijó)</t>
        </is>
      </c>
      <c r="M164" s="4" t="n"/>
      <c r="N164" s="4" t="n"/>
      <c r="O164" s="2" t="n"/>
      <c r="P164" s="2" t="n"/>
      <c r="Q164" s="2" t="n"/>
      <c r="R164" s="2" t="n"/>
      <c r="S164" s="2" t="inlineStr">
        <is>
          <t>Rejeitado(a) em Comissão</t>
        </is>
      </c>
      <c r="T164" s="2" t="inlineStr">
        <is>
          <t>Rejeitada</t>
        </is>
      </c>
      <c r="U164" s="2" t="inlineStr">
        <is>
          <t>Favor: CH, IL, L, BE, PAN; Contra: PSD, CDS-PP; Abstenção: PS, PCP</t>
        </is>
      </c>
      <c r="V164" s="3" t="n">
        <v>45985</v>
      </c>
      <c r="W164" s="2" t="inlineStr">
        <is>
          <t>AR: https://www.parlamento.pt/OrcamentoEstado/Paginas/DetalhePropostaAlteracao.aspx?BID=23341 PDF: https://app.parlamento.pt/webutils/docs/doc.pdf?path=6148523063484d364c793942556b356c6443397a6158526c63793959566b6c4a544556484c3039464c7a49774d6a59794d4449314d5441774f5339515153387a4d474d314e7a49305953307a4f574d344c54517959574d74596a4533595331685a6a6c6c4e6a56694f4745774f5751756347526d&amp;Fich=30c5724a-39c8-42ac-b17a-af9e65b8a09d.pdf&amp;Inline=true</t>
        </is>
      </c>
      <c r="X164" s="2" t="inlineStr">
        <is>
          <t>Saúde</t>
        </is>
      </c>
      <c r="Y164" s="2" t="inlineStr">
        <is>
          <t>Articulado</t>
        </is>
      </c>
      <c r="Z164" s="2" t="inlineStr">
        <is>
          <t>Aditamento (Artigo PPL)</t>
        </is>
      </c>
      <c r="AA164" s="2" t="inlineStr">
        <is>
          <t>Rejeitado(a) em Comissão</t>
        </is>
      </c>
      <c r="AB164" s="2" t="inlineStr"/>
      <c r="AC164" s="2" t="inlineStr"/>
      <c r="AD164" s="2" t="inlineStr">
        <is>
          <t>1</t>
        </is>
      </c>
      <c r="AE164" s="2" t="inlineStr">
        <is>
          <t>23341</t>
        </is>
      </c>
      <c r="AF164" s="2" t="inlineStr">
        <is>
          <t>https://www.parlamento.pt/OrcamentoEstado/Paginas/DetalhePropostaAlteracao.aspx?BID=23341</t>
        </is>
      </c>
      <c r="AG164" s="2" t="inlineStr">
        <is>
          <t>https://app.parlamento.pt/webutils/docs/doc.pdf?path=6148523063484d364c793942556b356c6443397a6158526c63793959566b6c4a544556484c3039464c7a49774d6a59794d4449314d5441774f5339515153387a4d474d314e7a49305953307a4f574d344c54517959574d74596a4533595331685a6a6c6c4e6a56694f4745774f5751756347526d&amp;Fich=30c5724a-39c8-42ac-b17a-af9e65b8a09d.pdf&amp;Inline=true</t>
        </is>
      </c>
      <c r="AH164" s="3" t="n">
        <v>46321.77847222222</v>
      </c>
      <c r="AI164" s="3" t="n">
        <v>46321.78055555555</v>
      </c>
      <c r="AJ164" s="2" t="inlineStr"/>
    </row>
    <row r="165">
      <c r="A165" s="2" t="n">
        <v>164</v>
      </c>
      <c r="B165" s="2" t="inlineStr">
        <is>
          <t>149C</t>
        </is>
      </c>
      <c r="C165" s="3" t="n">
        <v>45964.44513888889</v>
      </c>
      <c r="D165" s="2" t="inlineStr">
        <is>
          <t>Original</t>
        </is>
      </c>
      <c r="E165" s="2" t="inlineStr">
        <is>
          <t>CH</t>
        </is>
      </c>
      <c r="F16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65" s="2" t="inlineStr">
        <is>
          <t>Art. 46.º-A (aditamento)</t>
        </is>
      </c>
      <c r="H165" s="2" t="n"/>
      <c r="I165" s="2" t="n"/>
      <c r="J165" s="2" t="n"/>
      <c r="K165" s="2" t="n"/>
      <c r="L165" s="2" t="inlineStr">
        <is>
          <t>Artigo 46.º-A (Alteração do Decreto-Lei n.º 28/2004, de 4 de fevereiro)</t>
        </is>
      </c>
      <c r="M165" s="4" t="n"/>
      <c r="N165" s="4" t="n"/>
      <c r="O165" s="2" t="n"/>
      <c r="P165" s="2" t="n"/>
      <c r="Q165" s="2" t="n"/>
      <c r="R165" s="2" t="n"/>
      <c r="S165" s="2" t="inlineStr">
        <is>
          <t>Rejeitado(a) em Comissão</t>
        </is>
      </c>
      <c r="T165" s="2" t="inlineStr">
        <is>
          <t>Rejeitada</t>
        </is>
      </c>
      <c r="U165" s="2" t="inlineStr">
        <is>
          <t>Favor: CH, IL, BE, PAN; Contra: PSD, CDS-PP; Abstenção: PS, L, PCP</t>
        </is>
      </c>
      <c r="V165" s="3" t="n">
        <v>45981</v>
      </c>
      <c r="W165" s="2" t="inlineStr">
        <is>
          <t>AR: https://www.parlamento.pt/OrcamentoEstado/Paginas/DetalhePropostaAlteracao.aspx?BID=23342 PDF: https://app.parlamento.pt/webutils/docs/doc.pdf?path=6148523063484d364c793942556b356c6443397a6158526c63793959566b6c4a544556484c3039464c7a49774d6a59794d4449314d5441774f533951515338334e6d59785a44426d5a53307a596d59344c5451334f575974596a6b3059533034595467774f4463344e6a4e6a4e6a55756347526d&amp;Fich=76f1d0fe-3bf8-479f-b94a-8a8087863c65.pdf&amp;Inline=true</t>
        </is>
      </c>
      <c r="X165" s="2" t="inlineStr">
        <is>
          <t>Trabalho, Segurança Social e Inclusão</t>
        </is>
      </c>
      <c r="Y165" s="2" t="inlineStr">
        <is>
          <t>Articulado</t>
        </is>
      </c>
      <c r="Z165" s="2" t="inlineStr">
        <is>
          <t>Aditamento (Artigo PPL)</t>
        </is>
      </c>
      <c r="AA165" s="2" t="inlineStr">
        <is>
          <t>Rejeitado(a) em Comissão</t>
        </is>
      </c>
      <c r="AB165" s="2" t="inlineStr"/>
      <c r="AC165" s="2" t="inlineStr"/>
      <c r="AD165" s="2" t="inlineStr">
        <is>
          <t>1</t>
        </is>
      </c>
      <c r="AE165" s="2" t="inlineStr">
        <is>
          <t>23342</t>
        </is>
      </c>
      <c r="AF165" s="2" t="inlineStr">
        <is>
          <t>https://www.parlamento.pt/OrcamentoEstado/Paginas/DetalhePropostaAlteracao.aspx?BID=23342</t>
        </is>
      </c>
      <c r="AG165" s="2" t="inlineStr">
        <is>
          <t>https://app.parlamento.pt/webutils/docs/doc.pdf?path=6148523063484d364c793942556b356c6443397a6158526c63793959566b6c4a544556484c3039464c7a49774d6a59794d4449314d5441774f533951515338334e6d59785a44426d5a53307a596d59344c5451334f575974596a6b3059533034595467774f4463344e6a4e6a4e6a55756347526d&amp;Fich=76f1d0fe-3bf8-479f-b94a-8a8087863c65.pdf&amp;Inline=true</t>
        </is>
      </c>
      <c r="AH165" s="3" t="n">
        <v>46321.77847222222</v>
      </c>
      <c r="AI165" s="3" t="n">
        <v>46321.78055555555</v>
      </c>
      <c r="AJ165" s="2" t="inlineStr"/>
    </row>
    <row r="166">
      <c r="A166" s="2" t="n">
        <v>165</v>
      </c>
      <c r="B166" s="2" t="inlineStr">
        <is>
          <t>150C</t>
        </is>
      </c>
      <c r="C166" s="3" t="n">
        <v>45964.44513888889</v>
      </c>
      <c r="D166" s="2" t="inlineStr">
        <is>
          <t>Original</t>
        </is>
      </c>
      <c r="E166" s="2" t="inlineStr">
        <is>
          <t>CH</t>
        </is>
      </c>
      <c r="F16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66" s="2" t="inlineStr">
        <is>
          <t>Art. 121.º-A (aditamento)</t>
        </is>
      </c>
      <c r="H166" s="2" t="n"/>
      <c r="I166" s="2" t="n"/>
      <c r="J166" s="2" t="n"/>
      <c r="K166" s="2" t="n"/>
      <c r="L166" s="2" t="inlineStr">
        <is>
          <t>Artigo 121.º-A (Construção do novo Hospital de Fafe)</t>
        </is>
      </c>
      <c r="M166" s="4" t="n"/>
      <c r="N166" s="4" t="n"/>
      <c r="O166" s="2" t="n"/>
      <c r="P166" s="2" t="n"/>
      <c r="Q166" s="2" t="n"/>
      <c r="R166" s="2" t="n"/>
      <c r="S166" s="2" t="inlineStr">
        <is>
          <t>Rejeitado(a) em Comissão</t>
        </is>
      </c>
      <c r="T166" s="2" t="inlineStr">
        <is>
          <t>Rejeitada</t>
        </is>
      </c>
      <c r="U166" s="2" t="inlineStr">
        <is>
          <t>Favor: CH, IL, BE, PAN; Contra: PSD, CDS-PP; Abstenção: PS, L, PCP</t>
        </is>
      </c>
      <c r="V166" s="3" t="n">
        <v>45985</v>
      </c>
      <c r="W166" s="2" t="inlineStr">
        <is>
          <t>AR: https://www.parlamento.pt/OrcamentoEstado/Paginas/DetalhePropostaAlteracao.aspx?BID=23343 PDF: https://app.parlamento.pt/webutils/docs/doc.pdf?path=6148523063484d364c793942556b356c6443397a6158526c63793959566b6c4a544556484c3039464c7a49774d6a59794d4449314d5441774f5339515153387a5a6a52685a6a4d324e6930315a6a557a4c54526c59575574595751334d5330354e4749345957466a5a6a466b5a574d756347526d&amp;Fich=3f4af366-5f53-4eae-ad71-94b8aacf1dec.pdf&amp;Inline=true</t>
        </is>
      </c>
      <c r="X166" s="2" t="inlineStr">
        <is>
          <t>Saúde</t>
        </is>
      </c>
      <c r="Y166" s="2" t="inlineStr">
        <is>
          <t>Articulado</t>
        </is>
      </c>
      <c r="Z166" s="2" t="inlineStr">
        <is>
          <t>Aditamento (Artigo PPL)</t>
        </is>
      </c>
      <c r="AA166" s="2" t="inlineStr">
        <is>
          <t>Rejeitado(a) em Comissão</t>
        </is>
      </c>
      <c r="AB166" s="2" t="inlineStr"/>
      <c r="AC166" s="2" t="inlineStr"/>
      <c r="AD166" s="2" t="inlineStr">
        <is>
          <t>1</t>
        </is>
      </c>
      <c r="AE166" s="2" t="inlineStr">
        <is>
          <t>23343</t>
        </is>
      </c>
      <c r="AF166" s="2" t="inlineStr">
        <is>
          <t>https://www.parlamento.pt/OrcamentoEstado/Paginas/DetalhePropostaAlteracao.aspx?BID=23343</t>
        </is>
      </c>
      <c r="AG166" s="2" t="inlineStr">
        <is>
          <t>https://app.parlamento.pt/webutils/docs/doc.pdf?path=6148523063484d364c793942556b356c6443397a6158526c63793959566b6c4a544556484c3039464c7a49774d6a59794d4449314d5441774f5339515153387a5a6a52685a6a4d324e6930315a6a557a4c54526c59575574595751334d5330354e4749345957466a5a6a466b5a574d756347526d&amp;Fich=3f4af366-5f53-4eae-ad71-94b8aacf1dec.pdf&amp;Inline=true</t>
        </is>
      </c>
      <c r="AH166" s="3" t="n">
        <v>46321.77847222222</v>
      </c>
      <c r="AI166" s="3" t="n">
        <v>46321.78055555555</v>
      </c>
      <c r="AJ166" s="2" t="inlineStr"/>
    </row>
    <row r="167">
      <c r="A167" s="2" t="n">
        <v>166</v>
      </c>
      <c r="B167" s="2" t="inlineStr">
        <is>
          <t>151C</t>
        </is>
      </c>
      <c r="C167" s="3" t="n">
        <v>45964.44583333333</v>
      </c>
      <c r="D167" s="2" t="inlineStr">
        <is>
          <t>Original</t>
        </is>
      </c>
      <c r="E167" s="2" t="inlineStr">
        <is>
          <t>CH</t>
        </is>
      </c>
      <c r="F16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67" s="2" t="inlineStr">
        <is>
          <t>Art. 46.º-A (aditamento)</t>
        </is>
      </c>
      <c r="H167" s="2" t="n"/>
      <c r="I167" s="2" t="n"/>
      <c r="J167" s="2" t="n"/>
      <c r="K167" s="2" t="n"/>
      <c r="L167" s="2" t="inlineStr">
        <is>
          <t>Artigo 46.º-A (Programa Nacional para auxílio de retorno de pessoas estrangeiras em situação de sem-abrigo à sua pátria)</t>
        </is>
      </c>
      <c r="M167" s="4" t="n"/>
      <c r="N167" s="4" t="n"/>
      <c r="O167" s="2" t="n"/>
      <c r="P167" s="2" t="n"/>
      <c r="Q167" s="2" t="n"/>
      <c r="R167" s="2" t="n"/>
      <c r="S167" s="2" t="inlineStr">
        <is>
          <t>Rejeitado(a) em Comissão</t>
        </is>
      </c>
      <c r="T167" s="2" t="inlineStr">
        <is>
          <t>Rejeitada</t>
        </is>
      </c>
      <c r="U167" s="2" t="inlineStr">
        <is>
          <t>Favor: CH, IL; Contra: PSD, PS, L, PCP, BE, PAN; Abstenção: CDS-PP</t>
        </is>
      </c>
      <c r="V167" s="3" t="n">
        <v>45981</v>
      </c>
      <c r="W167" s="2" t="inlineStr">
        <is>
          <t>AR: https://www.parlamento.pt/OrcamentoEstado/Paginas/DetalhePropostaAlteracao.aspx?BID=23344 PDF: https://app.parlamento.pt/webutils/docs/doc.pdf?path=6148523063484d364c793942556b356c6443397a6158526c63793959566b6c4a544556484c3039464c7a49774d6a59794d4449314d5441774f533951515338774e324d334f544d344e693031595445304c5452684f5749744f5467774e6930344e7a4d7a4d324a6b4f475577595463756347526d&amp;Fich=07c79386-5a14-4a9b-9806-87333bd8e0a7.pdf&amp;Inline=true</t>
        </is>
      </c>
      <c r="X167" s="2" t="inlineStr">
        <is>
          <t>Assuntos Constitucionais, Direitos, Liberdades e Garantias</t>
        </is>
      </c>
      <c r="Y167" s="2" t="inlineStr">
        <is>
          <t>Articulado</t>
        </is>
      </c>
      <c r="Z167" s="2" t="inlineStr">
        <is>
          <t>Aditamento (Artigo PPL)</t>
        </is>
      </c>
      <c r="AA167" s="2" t="inlineStr">
        <is>
          <t>Rejeitado(a) em Comissão</t>
        </is>
      </c>
      <c r="AB167" s="2" t="inlineStr"/>
      <c r="AC167" s="2" t="inlineStr"/>
      <c r="AD167" s="2" t="inlineStr">
        <is>
          <t>1</t>
        </is>
      </c>
      <c r="AE167" s="2" t="inlineStr">
        <is>
          <t>23344</t>
        </is>
      </c>
      <c r="AF167" s="2" t="inlineStr">
        <is>
          <t>https://www.parlamento.pt/OrcamentoEstado/Paginas/DetalhePropostaAlteracao.aspx?BID=23344</t>
        </is>
      </c>
      <c r="AG167" s="2" t="inlineStr">
        <is>
          <t>https://app.parlamento.pt/webutils/docs/doc.pdf?path=6148523063484d364c793942556b356c6443397a6158526c63793959566b6c4a544556484c3039464c7a49774d6a59794d4449314d5441774f533951515338774e324d334f544d344e693031595445304c5452684f5749744f5467774e6930344e7a4d7a4d324a6b4f475577595463756347526d&amp;Fich=07c79386-5a14-4a9b-9806-87333bd8e0a7.pdf&amp;Inline=true</t>
        </is>
      </c>
      <c r="AH167" s="3" t="n">
        <v>46321.77847222222</v>
      </c>
      <c r="AI167" s="3" t="n">
        <v>46321.78055555555</v>
      </c>
      <c r="AJ167" s="2" t="inlineStr"/>
    </row>
    <row r="168">
      <c r="A168" s="2" t="n">
        <v>167</v>
      </c>
      <c r="B168" s="2" t="inlineStr">
        <is>
          <t>152C</t>
        </is>
      </c>
      <c r="C168" s="3" t="n">
        <v>45964.44583333333</v>
      </c>
      <c r="D168" s="2" t="inlineStr">
        <is>
          <t>Original</t>
        </is>
      </c>
      <c r="E168" s="2" t="inlineStr">
        <is>
          <t>CH</t>
        </is>
      </c>
      <c r="F16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68" s="2" t="inlineStr">
        <is>
          <t>Art. 121.º-A (aditamento)</t>
        </is>
      </c>
      <c r="H168" s="2" t="n"/>
      <c r="I168" s="2" t="n"/>
      <c r="J168" s="2" t="n"/>
      <c r="K168" s="2" t="n"/>
      <c r="L168" s="2" t="inlineStr">
        <is>
          <t>Artigo 121.º-A (Criação de um Serviço de Urgência Básica (SUB) no Concelho de Grândola)</t>
        </is>
      </c>
      <c r="M168" s="4" t="n"/>
      <c r="N168" s="4" t="n"/>
      <c r="O168" s="2" t="n"/>
      <c r="P168" s="2" t="n"/>
      <c r="Q168" s="2" t="n"/>
      <c r="R168" s="2" t="n"/>
      <c r="S168" s="2" t="inlineStr">
        <is>
          <t>Rejeitado(a) em Comissão</t>
        </is>
      </c>
      <c r="T168" s="2" t="inlineStr">
        <is>
          <t>Rejeitada</t>
        </is>
      </c>
      <c r="U168" s="2" t="inlineStr">
        <is>
          <t>Favor: CH, BE, PAN; Contra: PSD, CDS-PP; Abstenção: PS, IL, L, PCP</t>
        </is>
      </c>
      <c r="V168" s="3" t="n">
        <v>45985</v>
      </c>
      <c r="W168" s="2" t="inlineStr">
        <is>
          <t>AR: https://www.parlamento.pt/OrcamentoEstado/Paginas/DetalhePropostaAlteracao.aspx?BID=23345 PDF: https://app.parlamento.pt/webutils/docs/doc.pdf?path=6148523063484d364c793942556b356c6443397a6158526c63793959566b6c4a544556484c3039464c7a49774d6a59794d4449314d5441774f533951515338304d444979595755794f4330794d6a417a4c5451784d5755744f5456684f433169595759344f474d305a6d4a6a4d5749756347526d&amp;Fich=4022ae28-2203-411e-95a8-baf88c4fbc1b.pdf&amp;Inline=true</t>
        </is>
      </c>
      <c r="X168" s="2" t="inlineStr">
        <is>
          <t>Saúde</t>
        </is>
      </c>
      <c r="Y168" s="2" t="inlineStr">
        <is>
          <t>Articulado</t>
        </is>
      </c>
      <c r="Z168" s="2" t="inlineStr">
        <is>
          <t>Aditamento (Artigo PPL)</t>
        </is>
      </c>
      <c r="AA168" s="2" t="inlineStr">
        <is>
          <t>Rejeitado(a) em Comissão</t>
        </is>
      </c>
      <c r="AB168" s="2" t="inlineStr"/>
      <c r="AC168" s="2" t="inlineStr"/>
      <c r="AD168" s="2" t="inlineStr">
        <is>
          <t>1</t>
        </is>
      </c>
      <c r="AE168" s="2" t="inlineStr">
        <is>
          <t>23345</t>
        </is>
      </c>
      <c r="AF168" s="2" t="inlineStr">
        <is>
          <t>https://www.parlamento.pt/OrcamentoEstado/Paginas/DetalhePropostaAlteracao.aspx?BID=23345</t>
        </is>
      </c>
      <c r="AG168" s="2" t="inlineStr">
        <is>
          <t>https://app.parlamento.pt/webutils/docs/doc.pdf?path=6148523063484d364c793942556b356c6443397a6158526c63793959566b6c4a544556484c3039464c7a49774d6a59794d4449314d5441774f533951515338304d444979595755794f4330794d6a417a4c5451784d5755744f5456684f433169595759344f474d305a6d4a6a4d5749756347526d&amp;Fich=4022ae28-2203-411e-95a8-baf88c4fbc1b.pdf&amp;Inline=true</t>
        </is>
      </c>
      <c r="AH168" s="3" t="n">
        <v>46321.77847222222</v>
      </c>
      <c r="AI168" s="3" t="n">
        <v>46321.78055555555</v>
      </c>
      <c r="AJ168" s="2" t="inlineStr"/>
    </row>
    <row r="169">
      <c r="A169" s="2" t="n">
        <v>168</v>
      </c>
      <c r="B169" s="2" t="inlineStr">
        <is>
          <t>153C</t>
        </is>
      </c>
      <c r="C169" s="3" t="n">
        <v>45964.44652777778</v>
      </c>
      <c r="D169" s="2" t="inlineStr">
        <is>
          <t>Original</t>
        </is>
      </c>
      <c r="E169" s="2" t="inlineStr">
        <is>
          <t>CH</t>
        </is>
      </c>
      <c r="F16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69" s="2" t="inlineStr">
        <is>
          <t>Art. 46.º-A (aditamento)</t>
        </is>
      </c>
      <c r="H169" s="2" t="n"/>
      <c r="I169" s="2" t="n"/>
      <c r="J169" s="2" t="n"/>
      <c r="K169" s="2" t="n"/>
      <c r="L169" s="2" t="inlineStr">
        <is>
          <t>Artigo 46.º-A (Efetiva gratuidade das creches para todas as crianças inscritas nesta valência)</t>
        </is>
      </c>
      <c r="M169" s="4" t="n"/>
      <c r="N169" s="4" t="n"/>
      <c r="O169" s="2" t="n"/>
      <c r="P169" s="2" t="n"/>
      <c r="Q169" s="2" t="n"/>
      <c r="R169" s="2" t="n"/>
      <c r="S169" s="2" t="inlineStr">
        <is>
          <t>Rejeitado(a) em Comissão</t>
        </is>
      </c>
      <c r="T169" s="2" t="inlineStr">
        <is>
          <t>Rejeitada</t>
        </is>
      </c>
      <c r="U169" s="2" t="inlineStr">
        <is>
          <t>Favor: CH, BE, PAN; Contra: PSD, IL, CDS-PP; Abstenção: PS, L, PCP</t>
        </is>
      </c>
      <c r="V169" s="3" t="n">
        <v>45981</v>
      </c>
      <c r="W169" s="2" t="inlineStr">
        <is>
          <t>AR: https://www.parlamento.pt/OrcamentoEstado/Paginas/DetalhePropostaAlteracao.aspx?BID=23346 PDF: https://app.parlamento.pt/webutils/docs/doc.pdf?path=6148523063484d364c793942556b356c6443397a6158526c63793959566b6c4a544556484c3039464c7a49774d6a59794d4449314d5441774f533951515338795a44466a59546c6b59533033596a59774c54526d4e5455744f474d79595330794e6a5a6c5a6d49334e57526c596d55756347526d&amp;Fich=2d1ca9da-7b60-4f55-8c2a-266efb75debe.pdf&amp;Inline=true</t>
        </is>
      </c>
      <c r="X169" s="2" t="inlineStr">
        <is>
          <t>Trabalho, Segurança Social e Inclusão</t>
        </is>
      </c>
      <c r="Y169" s="2" t="inlineStr">
        <is>
          <t>Articulado</t>
        </is>
      </c>
      <c r="Z169" s="2" t="inlineStr">
        <is>
          <t>Aditamento (Artigo PPL)</t>
        </is>
      </c>
      <c r="AA169" s="2" t="inlineStr">
        <is>
          <t>Rejeitado(a) em Comissão</t>
        </is>
      </c>
      <c r="AB169" s="2" t="inlineStr"/>
      <c r="AC169" s="2" t="inlineStr"/>
      <c r="AD169" s="2" t="inlineStr">
        <is>
          <t>1</t>
        </is>
      </c>
      <c r="AE169" s="2" t="inlineStr">
        <is>
          <t>23346</t>
        </is>
      </c>
      <c r="AF169" s="2" t="inlineStr">
        <is>
          <t>https://www.parlamento.pt/OrcamentoEstado/Paginas/DetalhePropostaAlteracao.aspx?BID=23346</t>
        </is>
      </c>
      <c r="AG169" s="2" t="inlineStr">
        <is>
          <t>https://app.parlamento.pt/webutils/docs/doc.pdf?path=6148523063484d364c793942556b356c6443397a6158526c63793959566b6c4a544556484c3039464c7a49774d6a59794d4449314d5441774f533951515338795a44466a59546c6b59533033596a59774c54526d4e5455744f474d79595330794e6a5a6c5a6d49334e57526c596d55756347526d&amp;Fich=2d1ca9da-7b60-4f55-8c2a-266efb75debe.pdf&amp;Inline=true</t>
        </is>
      </c>
      <c r="AH169" s="3" t="n">
        <v>46321.77847222222</v>
      </c>
      <c r="AI169" s="3" t="n">
        <v>46321.78055555555</v>
      </c>
      <c r="AJ169" s="2" t="inlineStr"/>
    </row>
    <row r="170">
      <c r="A170" s="2" t="n">
        <v>169</v>
      </c>
      <c r="B170" s="2" t="inlineStr">
        <is>
          <t>154C</t>
        </is>
      </c>
      <c r="C170" s="3" t="n">
        <v>45964.44652777778</v>
      </c>
      <c r="D170" s="2" t="inlineStr">
        <is>
          <t>Original</t>
        </is>
      </c>
      <c r="E170" s="2" t="inlineStr">
        <is>
          <t>CH</t>
        </is>
      </c>
      <c r="F17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70" s="2" t="inlineStr">
        <is>
          <t>Art. 123.º-A (aditamento)</t>
        </is>
      </c>
      <c r="H170" s="2" t="n"/>
      <c r="I170" s="2" t="n"/>
      <c r="J170" s="2" t="n"/>
      <c r="K170" s="2" t="n"/>
      <c r="L170" s="2" t="inlineStr">
        <is>
          <t>Artigo 123.º-A (Alteração à Lei n.º 46/2020, de 20 de agosto)</t>
        </is>
      </c>
      <c r="M170" s="4" t="n"/>
      <c r="N170" s="4" t="n"/>
      <c r="O170" s="2" t="n"/>
      <c r="P170" s="2" t="n"/>
      <c r="Q170" s="2" t="n"/>
      <c r="R170" s="2" t="n"/>
      <c r="S170" s="2" t="inlineStr">
        <is>
          <t>Rejeitado(a) em Comissão</t>
        </is>
      </c>
      <c r="T170" s="2" t="inlineStr">
        <is>
          <t>Rejeitada</t>
        </is>
      </c>
      <c r="U170" s="2" t="inlineStr">
        <is>
          <t>Favor: CH, IL, BE, PAN; Contra: PSD, CDS-PP; Abstenção: PS, L, PCP</t>
        </is>
      </c>
      <c r="V170" s="3" t="n">
        <v>45985</v>
      </c>
      <c r="W170" s="2" t="inlineStr">
        <is>
          <t>AR: https://www.parlamento.pt/OrcamentoEstado/Paginas/DetalhePropostaAlteracao.aspx?BID=23347 PDF: https://app.parlamento.pt/webutils/docs/doc.pdf?path=6148523063484d364c793942556b356c6443397a6158526c63793959566b6c4a544556484c3039464c7a49774d6a59794d4449314d5441774f533951515339694d44566b4d5464694d69316d4d47517a4c5451314e7a4d74596a557a4e69316c4f54686a595467304d5451334e7a63756347526d&amp;Fich=b05d17b2-f0d3-4573-b536-e98ca8414777.pdf&amp;Inline=true</t>
        </is>
      </c>
      <c r="X170" s="2" t="inlineStr">
        <is>
          <t>Defesa Nacional</t>
        </is>
      </c>
      <c r="Y170" s="2" t="inlineStr">
        <is>
          <t>Articulado</t>
        </is>
      </c>
      <c r="Z170" s="2" t="inlineStr">
        <is>
          <t>Aditamento (Artigo PPL)</t>
        </is>
      </c>
      <c r="AA170" s="2" t="inlineStr">
        <is>
          <t>Rejeitado(a) em Comissão</t>
        </is>
      </c>
      <c r="AB170" s="2" t="inlineStr"/>
      <c r="AC170" s="2" t="inlineStr"/>
      <c r="AD170" s="2" t="inlineStr">
        <is>
          <t>1</t>
        </is>
      </c>
      <c r="AE170" s="2" t="inlineStr">
        <is>
          <t>23347</t>
        </is>
      </c>
      <c r="AF170" s="2" t="inlineStr">
        <is>
          <t>https://www.parlamento.pt/OrcamentoEstado/Paginas/DetalhePropostaAlteracao.aspx?BID=23347</t>
        </is>
      </c>
      <c r="AG170" s="2" t="inlineStr">
        <is>
          <t>https://app.parlamento.pt/webutils/docs/doc.pdf?path=6148523063484d364c793942556b356c6443397a6158526c63793959566b6c4a544556484c3039464c7a49774d6a59794d4449314d5441774f533951515339694d44566b4d5464694d69316d4d47517a4c5451314e7a4d74596a557a4e69316c4f54686a595467304d5451334e7a63756347526d&amp;Fich=b05d17b2-f0d3-4573-b536-e98ca8414777.pdf&amp;Inline=true</t>
        </is>
      </c>
      <c r="AH170" s="3" t="n">
        <v>46321.77847222222</v>
      </c>
      <c r="AI170" s="3" t="n">
        <v>46321.78055555555</v>
      </c>
      <c r="AJ170" s="2" t="inlineStr"/>
    </row>
    <row r="171">
      <c r="A171" s="2" t="n">
        <v>170</v>
      </c>
      <c r="B171" s="2" t="inlineStr">
        <is>
          <t>155C</t>
        </is>
      </c>
      <c r="C171" s="3" t="n">
        <v>45964.44722222222</v>
      </c>
      <c r="D171" s="2" t="inlineStr">
        <is>
          <t>Original</t>
        </is>
      </c>
      <c r="E171" s="2" t="inlineStr">
        <is>
          <t>CH</t>
        </is>
      </c>
      <c r="F17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71" s="2" t="inlineStr">
        <is>
          <t>Art. 46.º-A (aditamento)</t>
        </is>
      </c>
      <c r="H171" s="2" t="n"/>
      <c r="I171" s="2" t="n"/>
      <c r="J171" s="2" t="n"/>
      <c r="K171" s="2" t="n"/>
      <c r="L171" s="2" t="inlineStr">
        <is>
          <t>Artigo 46.º-A (Alargamento da Rede Nacional de Lares Residenciais com quotas para pessoas com deficiência)</t>
        </is>
      </c>
      <c r="M171" s="4" t="n"/>
      <c r="N171" s="4" t="n"/>
      <c r="O171" s="2" t="n"/>
      <c r="P171" s="2" t="n"/>
      <c r="Q171" s="2" t="n"/>
      <c r="R171" s="2" t="n"/>
      <c r="S171" s="2" t="inlineStr">
        <is>
          <t>Rejeitado(a) em Comissão</t>
        </is>
      </c>
      <c r="T171" s="2" t="inlineStr">
        <is>
          <t>Rejeitada</t>
        </is>
      </c>
      <c r="U171" s="2" t="inlineStr">
        <is>
          <t>Favor: CH, IL, PAN; Contra: PSD, PCP, CDS-PP, BE; Abstenção: PS, L</t>
        </is>
      </c>
      <c r="V171" s="3" t="n">
        <v>45981</v>
      </c>
      <c r="W171" s="2" t="inlineStr">
        <is>
          <t>AR: https://www.parlamento.pt/OrcamentoEstado/Paginas/DetalhePropostaAlteracao.aspx?BID=23348 PDF: https://app.parlamento.pt/webutils/docs/doc.pdf?path=6148523063484d364c793942556b356c6443397a6158526c63793959566b6c4a544556484c3039464c7a49774d6a59794d4449314d5441774f533951515338334d5752695a44466c596930344e544d334c5451304e5463744f4749354d4331694d6a5a6a596a59324e6d597a595455756347526d&amp;Fich=71dbd1eb-8537-4457-8b90-b26cb666f3a5.pdf&amp;Inline=true</t>
        </is>
      </c>
      <c r="X171" s="2" t="inlineStr">
        <is>
          <t>Trabalho, Segurança Social e Inclusão</t>
        </is>
      </c>
      <c r="Y171" s="2" t="inlineStr">
        <is>
          <t>Articulado</t>
        </is>
      </c>
      <c r="Z171" s="2" t="inlineStr">
        <is>
          <t>Aditamento (Artigo PPL)</t>
        </is>
      </c>
      <c r="AA171" s="2" t="inlineStr">
        <is>
          <t>Rejeitado(a) em Comissão</t>
        </is>
      </c>
      <c r="AB171" s="2" t="inlineStr"/>
      <c r="AC171" s="2" t="inlineStr"/>
      <c r="AD171" s="2" t="inlineStr">
        <is>
          <t>1</t>
        </is>
      </c>
      <c r="AE171" s="2" t="inlineStr">
        <is>
          <t>23348</t>
        </is>
      </c>
      <c r="AF171" s="2" t="inlineStr">
        <is>
          <t>https://www.parlamento.pt/OrcamentoEstado/Paginas/DetalhePropostaAlteracao.aspx?BID=23348</t>
        </is>
      </c>
      <c r="AG171" s="2" t="inlineStr">
        <is>
          <t>https://app.parlamento.pt/webutils/docs/doc.pdf?path=6148523063484d364c793942556b356c6443397a6158526c63793959566b6c4a544556484c3039464c7a49774d6a59794d4449314d5441774f533951515338334d5752695a44466c596930344e544d334c5451304e5463744f4749354d4331694d6a5a6a596a59324e6d597a595455756347526d&amp;Fich=71dbd1eb-8537-4457-8b90-b26cb666f3a5.pdf&amp;Inline=true</t>
        </is>
      </c>
      <c r="AH171" s="3" t="n">
        <v>46321.77847222222</v>
      </c>
      <c r="AI171" s="3" t="n">
        <v>46321.78055555555</v>
      </c>
      <c r="AJ171" s="2" t="inlineStr"/>
    </row>
    <row r="172">
      <c r="A172" s="2" t="n">
        <v>171</v>
      </c>
      <c r="B172" s="2" t="inlineStr">
        <is>
          <t>156C</t>
        </is>
      </c>
      <c r="C172" s="3" t="n">
        <v>45964.44791666666</v>
      </c>
      <c r="D172" s="2" t="inlineStr">
        <is>
          <t>Original</t>
        </is>
      </c>
      <c r="E172" s="2" t="inlineStr">
        <is>
          <t>CH</t>
        </is>
      </c>
      <c r="F17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72" s="2" t="inlineStr">
        <is>
          <t>Art. 123.º-A (aditamento)</t>
        </is>
      </c>
      <c r="H172" s="2" t="n"/>
      <c r="I172" s="2" t="n"/>
      <c r="J172" s="2" t="n"/>
      <c r="K172" s="2" t="n"/>
      <c r="L172" s="2" t="inlineStr">
        <is>
          <t>Artigo 123.º-A (Finalização da A13 entre Vila Nova Barquinha e Almeirim, incluindo a construção da nova Ponte da Chamusca, com adequada ligação à Resitejo e ao Parque Industrial do Relvão)</t>
        </is>
      </c>
      <c r="M172" s="4" t="n"/>
      <c r="N172" s="4" t="n"/>
      <c r="O172" s="2" t="n"/>
      <c r="P172" s="2" t="n"/>
      <c r="Q172" s="2" t="n"/>
      <c r="R172" s="2" t="n"/>
      <c r="S172" s="2" t="inlineStr">
        <is>
          <t>Rejeitado(a) em Comissão</t>
        </is>
      </c>
      <c r="T172" s="2" t="inlineStr">
        <is>
          <t>Rejeitada</t>
        </is>
      </c>
      <c r="U172" s="2" t="inlineStr">
        <is>
          <t>Favor: CH, BE; Contra: PSD, CDS-PP; Abstenção: PS, IL, L, PCP, PAN</t>
        </is>
      </c>
      <c r="V172" s="3" t="n">
        <v>45985</v>
      </c>
      <c r="W172" s="2" t="inlineStr">
        <is>
          <t>AR: https://www.parlamento.pt/OrcamentoEstado/Paginas/DetalhePropostaAlteracao.aspx?BID=23349 PDF: https://app.parlamento.pt/webutils/docs/doc.pdf?path=6148523063484d364c793942556b356c6443397a6158526c63793959566b6c4a544556484c3039464c7a49774d6a59794d4449314d5441774f5339515153396d4e6a566b4d7a63335a6931685a6a4e684c5451344e6a59744f544d314e7930314d6d5a6a4d6d55324f544a6d4e444d756347526d&amp;Fich=f65d377f-af3a-4866-9357-52fc2e692f43.pdf&amp;Inline=true</t>
        </is>
      </c>
      <c r="X172" s="2" t="inlineStr">
        <is>
          <t>Infraestruturas, Mobilidade e Habitação</t>
        </is>
      </c>
      <c r="Y172" s="2" t="inlineStr">
        <is>
          <t>Articulado</t>
        </is>
      </c>
      <c r="Z172" s="2" t="inlineStr">
        <is>
          <t>Aditamento (Artigo PPL)</t>
        </is>
      </c>
      <c r="AA172" s="2" t="inlineStr">
        <is>
          <t>Rejeitado(a) em Comissão</t>
        </is>
      </c>
      <c r="AB172" s="2" t="inlineStr"/>
      <c r="AC172" s="2" t="inlineStr"/>
      <c r="AD172" s="2" t="inlineStr">
        <is>
          <t>1</t>
        </is>
      </c>
      <c r="AE172" s="2" t="inlineStr">
        <is>
          <t>23349</t>
        </is>
      </c>
      <c r="AF172" s="2" t="inlineStr">
        <is>
          <t>https://www.parlamento.pt/OrcamentoEstado/Paginas/DetalhePropostaAlteracao.aspx?BID=23349</t>
        </is>
      </c>
      <c r="AG172" s="2" t="inlineStr">
        <is>
          <t>https://app.parlamento.pt/webutils/docs/doc.pdf?path=6148523063484d364c793942556b356c6443397a6158526c63793959566b6c4a544556484c3039464c7a49774d6a59794d4449314d5441774f5339515153396d4e6a566b4d7a63335a6931685a6a4e684c5451344e6a59744f544d314e7930314d6d5a6a4d6d55324f544a6d4e444d756347526d&amp;Fich=f65d377f-af3a-4866-9357-52fc2e692f43.pdf&amp;Inline=true</t>
        </is>
      </c>
      <c r="AH172" s="3" t="n">
        <v>46321.77847222222</v>
      </c>
      <c r="AI172" s="3" t="n">
        <v>46321.78055555555</v>
      </c>
      <c r="AJ172" s="2" t="inlineStr"/>
    </row>
    <row r="173">
      <c r="A173" s="2" t="n">
        <v>172</v>
      </c>
      <c r="B173" s="2" t="inlineStr">
        <is>
          <t>157C</t>
        </is>
      </c>
      <c r="C173" s="3" t="n">
        <v>45964.44861111111</v>
      </c>
      <c r="D173" s="2" t="inlineStr">
        <is>
          <t>Original</t>
        </is>
      </c>
      <c r="E173" s="2" t="inlineStr">
        <is>
          <t>CH</t>
        </is>
      </c>
      <c r="F17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73" s="2" t="inlineStr">
        <is>
          <t>Art. 46.º-A (aditamento)</t>
        </is>
      </c>
      <c r="H173" s="2" t="n"/>
      <c r="I173" s="2" t="n"/>
      <c r="J173" s="2" t="n"/>
      <c r="K173" s="2" t="n"/>
      <c r="L173" s="2" t="inlineStr">
        <is>
          <t>Artigo 46.º-A (Critério de priorização no acesso às creches)</t>
        </is>
      </c>
      <c r="M173" s="4" t="n"/>
      <c r="N173" s="4" t="n"/>
      <c r="O173" s="2" t="n"/>
      <c r="P173" s="2" t="n"/>
      <c r="Q173" s="2" t="n"/>
      <c r="R173" s="2" t="n"/>
      <c r="S173" s="2" t="inlineStr">
        <is>
          <t>Rejeitado(a) em Plenário</t>
        </is>
      </c>
      <c r="T173" s="2" t="inlineStr">
        <is>
          <t>Rejeitada</t>
        </is>
      </c>
      <c r="U173" s="2" t="inlineStr">
        <is>
          <t>Favor: CH; Contra: PSD, PS, IL, L, PCP, CDS-PP, BE, PAN, JPP</t>
        </is>
      </c>
      <c r="V173" s="3" t="n">
        <v>45982</v>
      </c>
      <c r="W173" s="2" t="inlineStr">
        <is>
          <t>Avocada a Plenário. AR: https://www.parlamento.pt/OrcamentoEstado/Paginas/DetalhePropostaAlteracao.aspx?BID=23350 PDF: https://app.parlamento.pt/webutils/docs/doc.pdf?path=6148523063484d364c793942556b356c6443397a6158526c63793959566b6c4a544556484c3039464c7a49774d6a59794d4449314d5441774f533951515338354e7a63315a6d55335979316b4d6a426d4c54526b5957517459545577596930314d6d45344d6a45774f54526d5a4455756347526d&amp;Fich=9775fe7c-d20f-4dad-a50b-52a821094fd5.pdf&amp;Inline=true</t>
        </is>
      </c>
      <c r="X173" s="2" t="inlineStr">
        <is>
          <t>Trabalho, Segurança Social e Inclusão</t>
        </is>
      </c>
      <c r="Y173" s="2" t="inlineStr">
        <is>
          <t>Articulado</t>
        </is>
      </c>
      <c r="Z173" s="2" t="inlineStr">
        <is>
          <t>Aditamento (Artigo PPL)</t>
        </is>
      </c>
      <c r="AA173" s="2" t="inlineStr">
        <is>
          <t>Rejeitado(a) em Plenário</t>
        </is>
      </c>
      <c r="AB173" s="2" t="inlineStr">
        <is>
          <t>S</t>
        </is>
      </c>
      <c r="AC173" s="2" t="inlineStr"/>
      <c r="AD173" s="2" t="inlineStr">
        <is>
          <t>2</t>
        </is>
      </c>
      <c r="AE173" s="2" t="inlineStr">
        <is>
          <t>23350</t>
        </is>
      </c>
      <c r="AF173" s="2" t="inlineStr">
        <is>
          <t>https://www.parlamento.pt/OrcamentoEstado/Paginas/DetalhePropostaAlteracao.aspx?BID=23350</t>
        </is>
      </c>
      <c r="AG173" s="2" t="inlineStr">
        <is>
          <t>https://app.parlamento.pt/webutils/docs/doc.pdf?path=6148523063484d364c793942556b356c6443397a6158526c63793959566b6c4a544556484c3039464c7a49774d6a59794d4449314d5441774f533951515338354e7a63315a6d55335979316b4d6a426d4c54526b5957517459545577596930314d6d45344d6a45774f54526d5a4455756347526d&amp;Fich=9775fe7c-d20f-4dad-a50b-52a821094fd5.pdf&amp;Inline=true</t>
        </is>
      </c>
      <c r="AH173" s="3" t="n">
        <v>46321.77847222222</v>
      </c>
      <c r="AI173" s="3" t="n">
        <v>46321.78055555555</v>
      </c>
      <c r="AJ173" s="2" t="inlineStr"/>
    </row>
    <row r="174">
      <c r="A174" s="2" t="n">
        <v>173</v>
      </c>
      <c r="B174" s="2" t="inlineStr">
        <is>
          <t>158C</t>
        </is>
      </c>
      <c r="C174" s="3" t="n">
        <v>45964.45</v>
      </c>
      <c r="D174" s="2" t="inlineStr">
        <is>
          <t>Original</t>
        </is>
      </c>
      <c r="E174" s="2" t="inlineStr">
        <is>
          <t>CH</t>
        </is>
      </c>
      <c r="F17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74" s="2" t="inlineStr">
        <is>
          <t>Art. 126.º-A (aditamento)</t>
        </is>
      </c>
      <c r="H174" s="2" t="n"/>
      <c r="I174" s="2" t="n"/>
      <c r="J174" s="2" t="n"/>
      <c r="K174" s="2" t="n"/>
      <c r="L174" s="2" t="inlineStr">
        <is>
          <t>Artigo 126.º-A (Criação de Comunidades de Resíduos Zero)</t>
        </is>
      </c>
      <c r="M174" s="4" t="n"/>
      <c r="N174" s="4" t="n"/>
      <c r="O174" s="2" t="n"/>
      <c r="P174" s="2" t="n"/>
      <c r="Q174" s="2" t="n"/>
      <c r="R174" s="2" t="n"/>
      <c r="S174" s="2" t="inlineStr">
        <is>
          <t>Rejeitado(a) em Comissão</t>
        </is>
      </c>
      <c r="T174" s="2" t="inlineStr">
        <is>
          <t>Rejeitada</t>
        </is>
      </c>
      <c r="U174" s="2" t="inlineStr">
        <is>
          <t>Favor: CH, BE, PAN; Contra: PSD, IL, PCP, CDS-PP; Abstenção: PS, L</t>
        </is>
      </c>
      <c r="V174" s="3" t="n">
        <v>45985</v>
      </c>
      <c r="W174" s="2" t="inlineStr">
        <is>
          <t>AR: https://www.parlamento.pt/OrcamentoEstado/Paginas/DetalhePropostaAlteracao.aspx?BID=23351 PDF: https://app.parlamento.pt/webutils/docs/doc.pdf?path=6148523063484d364c793942556b356c6443397a6158526c63793959566b6c4a544556484c3039464c7a49774d6a59794d4449314d5441774f533951515338785a446c685a6d4a6a4e53316c4d6a6b784c5451314d4749744f4759334d7930784e5463344f54566d4e6d4e694d7a45756347526d&amp;Fich=1d9afbc5-e291-450b-8f73-157895f6cb31.pdf&amp;Inline=true</t>
        </is>
      </c>
      <c r="X174" s="2" t="inlineStr">
        <is>
          <t>Ambiente e Energia</t>
        </is>
      </c>
      <c r="Y174" s="2" t="inlineStr">
        <is>
          <t>Articulado</t>
        </is>
      </c>
      <c r="Z174" s="2" t="inlineStr">
        <is>
          <t>Aditamento (Artigo PPL)</t>
        </is>
      </c>
      <c r="AA174" s="2" t="inlineStr">
        <is>
          <t>Rejeitado(a) em Comissão</t>
        </is>
      </c>
      <c r="AB174" s="2" t="inlineStr"/>
      <c r="AC174" s="2" t="inlineStr"/>
      <c r="AD174" s="2" t="inlineStr">
        <is>
          <t>1</t>
        </is>
      </c>
      <c r="AE174" s="2" t="inlineStr">
        <is>
          <t>23351</t>
        </is>
      </c>
      <c r="AF174" s="2" t="inlineStr">
        <is>
          <t>https://www.parlamento.pt/OrcamentoEstado/Paginas/DetalhePropostaAlteracao.aspx?BID=23351</t>
        </is>
      </c>
      <c r="AG174" s="2" t="inlineStr">
        <is>
          <t>https://app.parlamento.pt/webutils/docs/doc.pdf?path=6148523063484d364c793942556b356c6443397a6158526c63793959566b6c4a544556484c3039464c7a49774d6a59794d4449314d5441774f533951515338785a446c685a6d4a6a4e53316c4d6a6b784c5451314d4749744f4759334d7930784e5463344f54566d4e6d4e694d7a45756347526d&amp;Fich=1d9afbc5-e291-450b-8f73-157895f6cb31.pdf&amp;Inline=true</t>
        </is>
      </c>
      <c r="AH174" s="3" t="n">
        <v>46321.77847222222</v>
      </c>
      <c r="AI174" s="3" t="n">
        <v>46321.78055555555</v>
      </c>
      <c r="AJ174" s="2" t="inlineStr"/>
    </row>
    <row r="175">
      <c r="A175" s="2" t="n">
        <v>174</v>
      </c>
      <c r="B175" s="2" t="inlineStr">
        <is>
          <t>159C</t>
        </is>
      </c>
      <c r="C175" s="3" t="n">
        <v>45964.45</v>
      </c>
      <c r="D175" s="2" t="inlineStr">
        <is>
          <t>Retirada</t>
        </is>
      </c>
      <c r="E175" s="2" t="inlineStr">
        <is>
          <t>CH</t>
        </is>
      </c>
      <c r="F17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75" s="2" t="inlineStr">
        <is>
          <t>Articulado</t>
        </is>
      </c>
      <c r="H175" s="2" t="n"/>
      <c r="I175" s="2" t="n"/>
      <c r="J175" s="2" t="n"/>
      <c r="K175" s="2" t="n"/>
      <c r="L175" s="2" t="inlineStr">
        <is>
          <t>Artigo 46.º A Critério de priorização no acesso às creches</t>
        </is>
      </c>
      <c r="M175" s="4" t="n"/>
      <c r="N175" s="4" t="n"/>
      <c r="O175" s="2" t="n"/>
      <c r="P175" s="2" t="n"/>
      <c r="Q175" s="2" t="n"/>
      <c r="R175" s="2" t="n"/>
      <c r="S175" s="2" t="inlineStr">
        <is>
          <t>Retirado(a)</t>
        </is>
      </c>
      <c r="T175" s="2" t="inlineStr">
        <is>
          <t>Retirada</t>
        </is>
      </c>
      <c r="U175" s="2" t="inlineStr"/>
      <c r="V175" s="3" t="n"/>
      <c r="W175" s="2" t="inlineStr">
        <is>
          <t>AR: https://www.parlamento.pt/OrcamentoEstado/Paginas/DetalhePropostaAlteracao.aspx?BID=23352 PDF: https://app.parlamento.pt/webutils/docs/doc.pdf?path=6148523063484d364c793942556b356c6443397a6158526c63793959566b6c4a544556484c3039464c7a49774d6a59794d4449314d5441774f533951515338794f54646b5954686c59693034595441324c54526a5a6a4174596a6b335969316b5a5459344d6a6b354d54686c5a5441756347526d&amp;Fich=297da8eb-8a06-4cf0-b97b-de6829918ee0.pdf&amp;Inline=true</t>
        </is>
      </c>
      <c r="X175" s="2" t="inlineStr">
        <is>
          <t>Trabalho, Segurança Social e Inclusão</t>
        </is>
      </c>
      <c r="Y175" s="2" t="inlineStr">
        <is>
          <t>Articulado</t>
        </is>
      </c>
      <c r="Z175" s="2" t="inlineStr">
        <is>
          <t>Por Definir</t>
        </is>
      </c>
      <c r="AA175" s="2" t="inlineStr">
        <is>
          <t>Retirado(a)</t>
        </is>
      </c>
      <c r="AB175" s="2" t="inlineStr"/>
      <c r="AC175" s="2" t="inlineStr"/>
      <c r="AD175" s="2" t="inlineStr">
        <is>
          <t>0</t>
        </is>
      </c>
      <c r="AE175" s="2" t="inlineStr">
        <is>
          <t>23352</t>
        </is>
      </c>
      <c r="AF175" s="2" t="inlineStr">
        <is>
          <t>https://www.parlamento.pt/OrcamentoEstado/Paginas/DetalhePropostaAlteracao.aspx?BID=23352</t>
        </is>
      </c>
      <c r="AG175" s="2" t="inlineStr">
        <is>
          <t>https://app.parlamento.pt/webutils/docs/doc.pdf?path=6148523063484d364c793942556b356c6443397a6158526c63793959566b6c4a544556484c3039464c7a49774d6a59794d4449314d5441774f533951515338794f54646b5954686c59693034595441324c54526a5a6a4174596a6b335969316b5a5459344d6a6b354d54686c5a5441756347526d&amp;Fich=297da8eb-8a06-4cf0-b97b-de6829918ee0.pdf&amp;Inline=true</t>
        </is>
      </c>
      <c r="AH175" s="3" t="n">
        <v>46321.77847222222</v>
      </c>
      <c r="AI175" s="3" t="n">
        <v>46321.78055555555</v>
      </c>
      <c r="AJ175" s="2" t="inlineStr"/>
    </row>
    <row r="176">
      <c r="A176" s="2" t="n">
        <v>175</v>
      </c>
      <c r="B176" s="2" t="inlineStr">
        <is>
          <t>160C</t>
        </is>
      </c>
      <c r="C176" s="3" t="n">
        <v>45964.45138888889</v>
      </c>
      <c r="D176" s="2" t="inlineStr">
        <is>
          <t>Original</t>
        </is>
      </c>
      <c r="E176" s="2" t="inlineStr">
        <is>
          <t>CH</t>
        </is>
      </c>
      <c r="F17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76" s="2" t="inlineStr">
        <is>
          <t>Art. 126.º-A (aditamento)</t>
        </is>
      </c>
      <c r="H176" s="2" t="n"/>
      <c r="I176" s="2" t="n"/>
      <c r="J176" s="2" t="n"/>
      <c r="K176" s="2" t="n"/>
      <c r="L176" s="2" t="inlineStr">
        <is>
          <t>Artigo 126.º-A (Programa Nacional de Desenvolvimento da Energia Geotérmica)</t>
        </is>
      </c>
      <c r="M176" s="4" t="n"/>
      <c r="N176" s="4" t="n"/>
      <c r="O176" s="2" t="n"/>
      <c r="P176" s="2" t="n"/>
      <c r="Q176" s="2" t="n"/>
      <c r="R176" s="2" t="n"/>
      <c r="S176" s="2" t="inlineStr">
        <is>
          <t>Rejeitado(a) em Comissão</t>
        </is>
      </c>
      <c r="T176" s="2" t="inlineStr">
        <is>
          <t>Rejeitada</t>
        </is>
      </c>
      <c r="U176" s="2" t="inlineStr">
        <is>
          <t>Favor: CH, BE, PAN; Contra: PSD, CDS-PP; Abstenção: PS, IL, L, PCP</t>
        </is>
      </c>
      <c r="V176" s="3" t="n">
        <v>45985</v>
      </c>
      <c r="W176" s="2" t="inlineStr">
        <is>
          <t>AR: https://www.parlamento.pt/OrcamentoEstado/Paginas/DetalhePropostaAlteracao.aspx?BID=23353 PDF: https://app.parlamento.pt/webutils/docs/doc.pdf?path=6148523063484d364c793942556b356c6443397a6158526c63793959566b6c4a544556484c3039464c7a49774d6a59794d4449314d5441774f533951515339694e4759335a5445354d43316a4d6a646c4c545132596a59744f44646b4e69316c4f4759304f444534597a5a6b595467756347526d&amp;Fich=b4f7e190-c27e-46b6-87d6-e8f4818c6da8.pdf&amp;Inline=true</t>
        </is>
      </c>
      <c r="X176" s="2" t="inlineStr">
        <is>
          <t>Ambiente e Energia</t>
        </is>
      </c>
      <c r="Y176" s="2" t="inlineStr">
        <is>
          <t>Articulado</t>
        </is>
      </c>
      <c r="Z176" s="2" t="inlineStr">
        <is>
          <t>Aditamento (Artigo PPL)</t>
        </is>
      </c>
      <c r="AA176" s="2" t="inlineStr">
        <is>
          <t>Rejeitado(a) em Comissão</t>
        </is>
      </c>
      <c r="AB176" s="2" t="inlineStr"/>
      <c r="AC176" s="2" t="inlineStr"/>
      <c r="AD176" s="2" t="inlineStr">
        <is>
          <t>1</t>
        </is>
      </c>
      <c r="AE176" s="2" t="inlineStr">
        <is>
          <t>23353</t>
        </is>
      </c>
      <c r="AF176" s="2" t="inlineStr">
        <is>
          <t>https://www.parlamento.pt/OrcamentoEstado/Paginas/DetalhePropostaAlteracao.aspx?BID=23353</t>
        </is>
      </c>
      <c r="AG176" s="2" t="inlineStr">
        <is>
          <t>https://app.parlamento.pt/webutils/docs/doc.pdf?path=6148523063484d364c793942556b356c6443397a6158526c63793959566b6c4a544556484c3039464c7a49774d6a59794d4449314d5441774f533951515339694e4759335a5445354d43316a4d6a646c4c545132596a59744f44646b4e69316c4f4759304f444534597a5a6b595467756347526d&amp;Fich=b4f7e190-c27e-46b6-87d6-e8f4818c6da8.pdf&amp;Inline=true</t>
        </is>
      </c>
      <c r="AH176" s="3" t="n">
        <v>46321.77847222222</v>
      </c>
      <c r="AI176" s="3" t="n">
        <v>46321.78055555555</v>
      </c>
      <c r="AJ176" s="2" t="inlineStr"/>
    </row>
    <row r="177">
      <c r="A177" s="2" t="n">
        <v>176</v>
      </c>
      <c r="B177" s="2" t="inlineStr">
        <is>
          <t>161C</t>
        </is>
      </c>
      <c r="C177" s="3" t="n">
        <v>45964.45208333333</v>
      </c>
      <c r="D177" s="2" t="inlineStr">
        <is>
          <t>Original</t>
        </is>
      </c>
      <c r="E177" s="2" t="inlineStr">
        <is>
          <t>CH</t>
        </is>
      </c>
      <c r="F17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77" s="2" t="inlineStr">
        <is>
          <t>Art. 46.º-A (aditamento)</t>
        </is>
      </c>
      <c r="H177" s="2" t="n"/>
      <c r="I177" s="2" t="n"/>
      <c r="J177" s="2" t="n"/>
      <c r="K177" s="2" t="n"/>
      <c r="L177" s="2" t="inlineStr">
        <is>
          <t>Artigo 46.º-A (Reconhecimento de profissão de desgaste rápido aos profissionais motoristas de veículos pesados de mercadorias e de passageiros e maquinistas)</t>
        </is>
      </c>
      <c r="M177" s="4" t="n"/>
      <c r="N177" s="4" t="n"/>
      <c r="O177" s="2" t="n"/>
      <c r="P177" s="2" t="n"/>
      <c r="Q177" s="2" t="n"/>
      <c r="R177" s="2" t="n"/>
      <c r="S177" s="2" t="inlineStr">
        <is>
          <t>Rejeitado(a) em Plenário</t>
        </is>
      </c>
      <c r="T177" s="2" t="inlineStr">
        <is>
          <t>Rejeitada</t>
        </is>
      </c>
      <c r="U177" s="2" t="inlineStr">
        <is>
          <t>Favor: CH, BE, PAN, JPP; Contra: PSD, IL, CDS-PP; Abstenção: PS, L, PCP</t>
        </is>
      </c>
      <c r="V177" s="3" t="n">
        <v>45982</v>
      </c>
      <c r="W177" s="2" t="inlineStr">
        <is>
          <t>Avocada a Plenário. AR: https://www.parlamento.pt/OrcamentoEstado/Paginas/DetalhePropostaAlteracao.aspx?BID=23354 PDF: https://app.parlamento.pt/webutils/docs/doc.pdf?path=6148523063484d364c793942556b356c6443397a6158526c63793959566b6c4a544556484c3039464c7a49774d6a59794d4449314d5441774f533951515338774e474d314d7a49794e43316d4e444d344c54526c5954497459546b784e6931684e6d59305a6d51325a5455324f444d756347526d&amp;Fich=04c53224-f438-4ea2-a916-a6f4fd6e5683.pdf&amp;Inline=true</t>
        </is>
      </c>
      <c r="X177" s="2" t="inlineStr">
        <is>
          <t>Trabalho, Segurança Social e Inclusão</t>
        </is>
      </c>
      <c r="Y177" s="2" t="inlineStr">
        <is>
          <t>Articulado</t>
        </is>
      </c>
      <c r="Z177" s="2" t="inlineStr">
        <is>
          <t>Aditamento (Artigo PPL)</t>
        </is>
      </c>
      <c r="AA177" s="2" t="inlineStr">
        <is>
          <t>Rejeitado(a) em Plenário</t>
        </is>
      </c>
      <c r="AB177" s="2" t="inlineStr">
        <is>
          <t>S</t>
        </is>
      </c>
      <c r="AC177" s="2" t="inlineStr"/>
      <c r="AD177" s="2" t="inlineStr">
        <is>
          <t>2</t>
        </is>
      </c>
      <c r="AE177" s="2" t="inlineStr">
        <is>
          <t>23354</t>
        </is>
      </c>
      <c r="AF177" s="2" t="inlineStr">
        <is>
          <t>https://www.parlamento.pt/OrcamentoEstado/Paginas/DetalhePropostaAlteracao.aspx?BID=23354</t>
        </is>
      </c>
      <c r="AG177" s="2" t="inlineStr">
        <is>
          <t>https://app.parlamento.pt/webutils/docs/doc.pdf?path=6148523063484d364c793942556b356c6443397a6158526c63793959566b6c4a544556484c3039464c7a49774d6a59794d4449314d5441774f533951515338774e474d314d7a49794e43316d4e444d344c54526c5954497459546b784e6931684e6d59305a6d51325a5455324f444d756347526d&amp;Fich=04c53224-f438-4ea2-a916-a6f4fd6e5683.pdf&amp;Inline=true</t>
        </is>
      </c>
      <c r="AH177" s="3" t="n">
        <v>46321.77847222222</v>
      </c>
      <c r="AI177" s="3" t="n">
        <v>46321.78055555555</v>
      </c>
      <c r="AJ177" s="2" t="inlineStr"/>
    </row>
    <row r="178">
      <c r="A178" s="2" t="n">
        <v>177</v>
      </c>
      <c r="B178" s="2" t="inlineStr">
        <is>
          <t>162C</t>
        </is>
      </c>
      <c r="C178" s="3" t="n">
        <v>45964.45277777778</v>
      </c>
      <c r="D178" s="2" t="inlineStr">
        <is>
          <t>Original</t>
        </is>
      </c>
      <c r="E178" s="2" t="inlineStr">
        <is>
          <t>CH</t>
        </is>
      </c>
      <c r="F17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78" s="2" t="inlineStr">
        <is>
          <t>Art. 126.º-A (aditamento)</t>
        </is>
      </c>
      <c r="H178" s="2" t="n"/>
      <c r="I178" s="2" t="n"/>
      <c r="J178" s="2" t="n"/>
      <c r="K178" s="2" t="n"/>
      <c r="L178" s="2" t="inlineStr">
        <is>
          <t>Artigo 126.º-A (Valorização e reciclagem de veículos elétricos e baterias em fim de vida)</t>
        </is>
      </c>
      <c r="M178" s="4" t="n"/>
      <c r="N178" s="4" t="n"/>
      <c r="O178" s="2" t="n"/>
      <c r="P178" s="2" t="n"/>
      <c r="Q178" s="2" t="n"/>
      <c r="R178" s="2" t="n"/>
      <c r="S178" s="2" t="inlineStr">
        <is>
          <t>Rejeitado(a) em Comissão</t>
        </is>
      </c>
      <c r="T178" s="2" t="inlineStr">
        <is>
          <t>Rejeitada</t>
        </is>
      </c>
      <c r="U178" s="2" t="inlineStr">
        <is>
          <t>Favor: CH, BE, PAN; Contra: PSD, IL, CDS-PP; Abstenção: PS, L, PCP</t>
        </is>
      </c>
      <c r="V178" s="3" t="n">
        <v>45985</v>
      </c>
      <c r="W178" s="2" t="inlineStr">
        <is>
          <t>AR: https://www.parlamento.pt/OrcamentoEstado/Paginas/DetalhePropostaAlteracao.aspx?BID=23355 PDF: https://app.parlamento.pt/webutils/docs/doc.pdf?path=6148523063484d364c793942556b356c6443397a6158526c63793959566b6c4a544556484c3039464c7a49774d6a59794d4449314d5441774f533951515338354d6a4134596a67305979316b4d3245334c545269596d49744f4445335979307a4d474d774f4455355a5442684e5455756347526d&amp;Fich=9208b84c-d3a7-4bbb-817c-30c0859e0a55.pdf&amp;Inline=true</t>
        </is>
      </c>
      <c r="X178" s="2" t="inlineStr">
        <is>
          <t>Ambiente e Energia</t>
        </is>
      </c>
      <c r="Y178" s="2" t="inlineStr">
        <is>
          <t>Articulado</t>
        </is>
      </c>
      <c r="Z178" s="2" t="inlineStr">
        <is>
          <t>Aditamento (Artigo PPL)</t>
        </is>
      </c>
      <c r="AA178" s="2" t="inlineStr">
        <is>
          <t>Rejeitado(a) em Comissão</t>
        </is>
      </c>
      <c r="AB178" s="2" t="inlineStr"/>
      <c r="AC178" s="2" t="inlineStr"/>
      <c r="AD178" s="2" t="inlineStr">
        <is>
          <t>1</t>
        </is>
      </c>
      <c r="AE178" s="2" t="inlineStr">
        <is>
          <t>23355</t>
        </is>
      </c>
      <c r="AF178" s="2" t="inlineStr">
        <is>
          <t>https://www.parlamento.pt/OrcamentoEstado/Paginas/DetalhePropostaAlteracao.aspx?BID=23355</t>
        </is>
      </c>
      <c r="AG178" s="2" t="inlineStr">
        <is>
          <t>https://app.parlamento.pt/webutils/docs/doc.pdf?path=6148523063484d364c793942556b356c6443397a6158526c63793959566b6c4a544556484c3039464c7a49774d6a59794d4449314d5441774f533951515338354d6a4134596a67305979316b4d3245334c545269596d49744f4445335979307a4d474d774f4455355a5442684e5455756347526d&amp;Fich=9208b84c-d3a7-4bbb-817c-30c0859e0a55.pdf&amp;Inline=true</t>
        </is>
      </c>
      <c r="AH178" s="3" t="n">
        <v>46321.77847222222</v>
      </c>
      <c r="AI178" s="3" t="n">
        <v>46321.78055555555</v>
      </c>
      <c r="AJ178" s="2" t="inlineStr"/>
    </row>
    <row r="179">
      <c r="A179" s="2" t="n">
        <v>178</v>
      </c>
      <c r="B179" s="2" t="inlineStr">
        <is>
          <t>163C</t>
        </is>
      </c>
      <c r="C179" s="3" t="n">
        <v>45964.45347222222</v>
      </c>
      <c r="D179" s="2" t="inlineStr">
        <is>
          <t>Original</t>
        </is>
      </c>
      <c r="E179" s="2" t="inlineStr">
        <is>
          <t>PCP</t>
        </is>
      </c>
      <c r="F179" s="2" t="inlineStr">
        <is>
          <t>Alfredo Maia; Paula Santos; Paulo Raimundo</t>
        </is>
      </c>
      <c r="G179" s="2" t="inlineStr">
        <is>
          <t>Art. 136.º-A (aditamento)</t>
        </is>
      </c>
      <c r="H179" s="2" t="n"/>
      <c r="I179" s="2" t="n"/>
      <c r="J179" s="2" t="n"/>
      <c r="K179" s="2" t="n"/>
      <c r="L179" s="2" t="inlineStr">
        <is>
          <t>Artigo 136.º-A (Alterações à Lei n.º 10/2014, de 6 de março, ao Decreto-Lei n.º 96/2014, de 25 de junho e do Decreto-Lei n.º 77/2024 de 23 de outubro)</t>
        </is>
      </c>
      <c r="M179" s="4" t="n"/>
      <c r="N179" s="4" t="n"/>
      <c r="O179" s="2" t="n"/>
      <c r="P179" s="2" t="n"/>
      <c r="Q179" s="2" t="n"/>
      <c r="R179" s="2" t="n"/>
      <c r="S179" s="2" t="inlineStr">
        <is>
          <t>Rejeitado(a) em Comissão</t>
        </is>
      </c>
      <c r="T179" s="2" t="inlineStr">
        <is>
          <t>Rejeitada</t>
        </is>
      </c>
      <c r="U179" s="2" t="inlineStr">
        <is>
          <t>Favor: L, PCP, BE; Contra: PSD, CH, IL, CDS-PP, PAN; Abstenção: PS</t>
        </is>
      </c>
      <c r="V179" s="3" t="n">
        <v>45987</v>
      </c>
      <c r="W179" s="2" t="inlineStr">
        <is>
          <t>AR: https://www.parlamento.pt/OrcamentoEstado/Paginas/DetalhePropostaAlteracao.aspx?BID=23356 PDF: https://app.parlamento.pt/webutils/docs/doc.pdf?path=6148523063484d364c793942556b356c6443397a6158526c63793959566b6c4a544556484c3039464c7a49774d6a59794d4449314d5441774f533951515338314d5445344e6a41345953316b595441324c5451344d446774596a466c4e7931684f5749305a6a4a6b596a4d324e4751756347526d&amp;Fich=5118608a-da06-4808-b1e7-a9b4f2db364d.pdf&amp;Inline=true</t>
        </is>
      </c>
      <c r="X179" s="2" t="inlineStr">
        <is>
          <t>Reforma do Estado e Poder Local</t>
        </is>
      </c>
      <c r="Y179" s="2" t="inlineStr">
        <is>
          <t>Articulado</t>
        </is>
      </c>
      <c r="Z179" s="2" t="inlineStr">
        <is>
          <t>Aditamento (Artigo PPL)</t>
        </is>
      </c>
      <c r="AA179" s="2" t="inlineStr">
        <is>
          <t>Rejeitado(a) em Comissão</t>
        </is>
      </c>
      <c r="AB179" s="2" t="inlineStr"/>
      <c r="AC179" s="2" t="inlineStr"/>
      <c r="AD179" s="2" t="inlineStr">
        <is>
          <t>1</t>
        </is>
      </c>
      <c r="AE179" s="2" t="inlineStr">
        <is>
          <t>23356</t>
        </is>
      </c>
      <c r="AF179" s="2" t="inlineStr">
        <is>
          <t>https://www.parlamento.pt/OrcamentoEstado/Paginas/DetalhePropostaAlteracao.aspx?BID=23356</t>
        </is>
      </c>
      <c r="AG179" s="2" t="inlineStr">
        <is>
          <t>https://app.parlamento.pt/webutils/docs/doc.pdf?path=6148523063484d364c793942556b356c6443397a6158526c63793959566b6c4a544556484c3039464c7a49774d6a59794d4449314d5441774f533951515338314d5445344e6a41345953316b595441324c5451344d446774596a466c4e7931684f5749305a6a4a6b596a4d324e4751756347526d&amp;Fich=5118608a-da06-4808-b1e7-a9b4f2db364d.pdf&amp;Inline=true</t>
        </is>
      </c>
      <c r="AH179" s="3" t="n">
        <v>46321.77847222222</v>
      </c>
      <c r="AI179" s="3" t="n">
        <v>46321.78055555555</v>
      </c>
      <c r="AJ179" s="2" t="inlineStr"/>
    </row>
    <row r="180">
      <c r="A180" s="2" t="n">
        <v>179</v>
      </c>
      <c r="B180" s="2" t="inlineStr">
        <is>
          <t>164C</t>
        </is>
      </c>
      <c r="C180" s="3" t="n">
        <v>45964.45416666667</v>
      </c>
      <c r="D180" s="2" t="inlineStr">
        <is>
          <t>Original</t>
        </is>
      </c>
      <c r="E180" s="2" t="inlineStr">
        <is>
          <t>CH</t>
        </is>
      </c>
      <c r="F18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80" s="2" t="inlineStr">
        <is>
          <t>Art. 128.º-A (aditamento)</t>
        </is>
      </c>
      <c r="H180" s="2" t="n"/>
      <c r="I180" s="2" t="n"/>
      <c r="J180" s="2" t="n"/>
      <c r="K180" s="2" t="n"/>
      <c r="L180" s="2" t="inlineStr">
        <is>
          <t>Artigo 128.º-A (Investimento nacional na agricultura biológica)</t>
        </is>
      </c>
      <c r="M180" s="4" t="n"/>
      <c r="N180" s="4" t="n"/>
      <c r="O180" s="2" t="n"/>
      <c r="P180" s="2" t="n"/>
      <c r="Q180" s="2" t="n"/>
      <c r="R180" s="2" t="n"/>
      <c r="S180" s="2" t="inlineStr">
        <is>
          <t>Rejeitado(a) em Comissão</t>
        </is>
      </c>
      <c r="T180" s="2" t="inlineStr">
        <is>
          <t>Rejeitada</t>
        </is>
      </c>
      <c r="U180" s="2" t="inlineStr">
        <is>
          <t>Favor: CH, BE, PAN; Contra: PSD, IL, PCP, CDS-PP; Abstenção: PS, L</t>
        </is>
      </c>
      <c r="V180" s="3" t="n">
        <v>45985</v>
      </c>
      <c r="W180" s="2" t="inlineStr">
        <is>
          <t>AR: https://www.parlamento.pt/OrcamentoEstado/Paginas/DetalhePropostaAlteracao.aspx?BID=23357 PDF: https://app.parlamento.pt/webutils/docs/doc.pdf?path=6148523063484d364c793942556b356c6443397a6158526c63793959566b6c4a544556484c3039464c7a49774d6a59794d4449314d5441774f533951515338324f574d774d7a4d355953316d597a426b4c5451774d5449744f4442694d7931684e6a646a4f575a6859575934596a51756347526d&amp;Fich=69c0339a-fc0d-4012-80b3-a67c9faaf8b4.pdf&amp;Inline=true</t>
        </is>
      </c>
      <c r="X180" s="2" t="inlineStr">
        <is>
          <t>Agricultura e Pescas</t>
        </is>
      </c>
      <c r="Y180" s="2" t="inlineStr">
        <is>
          <t>Articulado</t>
        </is>
      </c>
      <c r="Z180" s="2" t="inlineStr">
        <is>
          <t>Aditamento (Artigo PPL)</t>
        </is>
      </c>
      <c r="AA180" s="2" t="inlineStr">
        <is>
          <t>Rejeitado(a) em Comissão</t>
        </is>
      </c>
      <c r="AB180" s="2" t="inlineStr"/>
      <c r="AC180" s="2" t="inlineStr"/>
      <c r="AD180" s="2" t="inlineStr">
        <is>
          <t>1</t>
        </is>
      </c>
      <c r="AE180" s="2" t="inlineStr">
        <is>
          <t>23357</t>
        </is>
      </c>
      <c r="AF180" s="2" t="inlineStr">
        <is>
          <t>https://www.parlamento.pt/OrcamentoEstado/Paginas/DetalhePropostaAlteracao.aspx?BID=23357</t>
        </is>
      </c>
      <c r="AG180" s="2" t="inlineStr">
        <is>
          <t>https://app.parlamento.pt/webutils/docs/doc.pdf?path=6148523063484d364c793942556b356c6443397a6158526c63793959566b6c4a544556484c3039464c7a49774d6a59794d4449314d5441774f533951515338324f574d774d7a4d355953316d597a426b4c5451774d5449744f4442694d7931684e6a646a4f575a6859575934596a51756347526d&amp;Fich=69c0339a-fc0d-4012-80b3-a67c9faaf8b4.pdf&amp;Inline=true</t>
        </is>
      </c>
      <c r="AH180" s="3" t="n">
        <v>46321.77847222222</v>
      </c>
      <c r="AI180" s="3" t="n">
        <v>46321.78055555555</v>
      </c>
      <c r="AJ180" s="2" t="inlineStr"/>
    </row>
    <row r="181">
      <c r="A181" s="2" t="n">
        <v>180</v>
      </c>
      <c r="B181" s="2" t="inlineStr">
        <is>
          <t>165C</t>
        </is>
      </c>
      <c r="C181" s="3" t="n">
        <v>45964.45486111111</v>
      </c>
      <c r="D181" s="2" t="inlineStr">
        <is>
          <t>Original</t>
        </is>
      </c>
      <c r="E181" s="2" t="inlineStr">
        <is>
          <t>PCP</t>
        </is>
      </c>
      <c r="F181" s="2" t="inlineStr">
        <is>
          <t>Alfredo Maia; Paula Santos; Paulo Raimundo</t>
        </is>
      </c>
      <c r="G181" s="2" t="inlineStr">
        <is>
          <t>Art. 107.º-A (aditamento)</t>
        </is>
      </c>
      <c r="H181" s="2" t="n"/>
      <c r="I181" s="2" t="n"/>
      <c r="J181" s="2" t="n"/>
      <c r="K181" s="2" t="n"/>
      <c r="L181" s="2" t="inlineStr">
        <is>
          <t>Artigo 107.º-A (Equilíbrio Orçamental)</t>
        </is>
      </c>
      <c r="M181" s="4" t="n"/>
      <c r="N181" s="4" t="n"/>
      <c r="O181" s="2" t="n"/>
      <c r="P181" s="2" t="n"/>
      <c r="Q181" s="2" t="n"/>
      <c r="R181" s="2" t="n"/>
      <c r="S181" s="2" t="inlineStr">
        <is>
          <t>Rejeitado(a) em Comissão</t>
        </is>
      </c>
      <c r="T181" s="2" t="inlineStr">
        <is>
          <t>Rejeitada</t>
        </is>
      </c>
      <c r="U181" s="2" t="inlineStr">
        <is>
          <t>Favor: PCP, BE; Contra: PSD, CH, PS, IL, CDS-PP, PAN; Abstenção: L</t>
        </is>
      </c>
      <c r="V181" s="3" t="n">
        <v>45982</v>
      </c>
      <c r="W181" s="2" t="inlineStr">
        <is>
          <t>AR: https://www.parlamento.pt/OrcamentoEstado/Paginas/DetalhePropostaAlteracao.aspx?BID=23358 PDF: https://app.parlamento.pt/webutils/docs/doc.pdf?path=6148523063484d364c793942556b356c6443397a6158526c63793959566b6c4a544556484c3039464c7a49774d6a59794d4449314d5441774f5339515153396b4d324d784e5745304d793030597a6b334c54526959546374596d4d324d79303559575533597a4e6c4e5442684e6a4d756347526d&amp;Fich=d3c15a43-4c97-4ba7-bc63-9ae7c3e50a63.pdf&amp;Inline=true</t>
        </is>
      </c>
      <c r="X181" s="2" t="inlineStr">
        <is>
          <t>Reforma do Estado e Poder Local</t>
        </is>
      </c>
      <c r="Y181" s="2" t="inlineStr">
        <is>
          <t>Articulado</t>
        </is>
      </c>
      <c r="Z181" s="2" t="inlineStr">
        <is>
          <t>Aditamento (Artigo PPL)</t>
        </is>
      </c>
      <c r="AA181" s="2" t="inlineStr">
        <is>
          <t>Rejeitado(a) em Comissão</t>
        </is>
      </c>
      <c r="AB181" s="2" t="inlineStr"/>
      <c r="AC181" s="2" t="inlineStr"/>
      <c r="AD181" s="2" t="inlineStr">
        <is>
          <t>1</t>
        </is>
      </c>
      <c r="AE181" s="2" t="inlineStr">
        <is>
          <t>23358</t>
        </is>
      </c>
      <c r="AF181" s="2" t="inlineStr">
        <is>
          <t>https://www.parlamento.pt/OrcamentoEstado/Paginas/DetalhePropostaAlteracao.aspx?BID=23358</t>
        </is>
      </c>
      <c r="AG181" s="2" t="inlineStr">
        <is>
          <t>https://app.parlamento.pt/webutils/docs/doc.pdf?path=6148523063484d364c793942556b356c6443397a6158526c63793959566b6c4a544556484c3039464c7a49774d6a59794d4449314d5441774f5339515153396b4d324d784e5745304d793030597a6b334c54526959546374596d4d324d79303559575533597a4e6c4e5442684e6a4d756347526d&amp;Fich=d3c15a43-4c97-4ba7-bc63-9ae7c3e50a63.pdf&amp;Inline=true</t>
        </is>
      </c>
      <c r="AH181" s="3" t="n">
        <v>46321.77847222222</v>
      </c>
      <c r="AI181" s="3" t="n">
        <v>46321.78055555555</v>
      </c>
      <c r="AJ181" s="2" t="inlineStr"/>
    </row>
    <row r="182">
      <c r="A182" s="2" t="n">
        <v>181</v>
      </c>
      <c r="B182" s="2" t="inlineStr">
        <is>
          <t>166C</t>
        </is>
      </c>
      <c r="C182" s="3" t="n">
        <v>45964.45555555556</v>
      </c>
      <c r="D182" s="2" t="inlineStr">
        <is>
          <t>Original</t>
        </is>
      </c>
      <c r="E182" s="2" t="inlineStr">
        <is>
          <t>CH</t>
        </is>
      </c>
      <c r="F18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82" s="2" t="inlineStr">
        <is>
          <t>Art. 128.º-A (aditamento)</t>
        </is>
      </c>
      <c r="H182" s="2" t="n"/>
      <c r="I182" s="2" t="n"/>
      <c r="J182" s="2" t="n"/>
      <c r="K182" s="2" t="n"/>
      <c r="L182" s="2" t="inlineStr">
        <is>
          <t>Artigo 128.º-A (Reforço de acções de formação e de meios operativos para a defesa animal)</t>
        </is>
      </c>
      <c r="M182" s="4" t="n"/>
      <c r="N182" s="4" t="n"/>
      <c r="O182" s="2" t="n"/>
      <c r="P182" s="2" t="n"/>
      <c r="Q182" s="2" t="n"/>
      <c r="R182" s="2" t="n"/>
      <c r="S182" s="2" t="inlineStr">
        <is>
          <t>Rejeitado(a) em Comissão</t>
        </is>
      </c>
      <c r="T182" s="2" t="inlineStr">
        <is>
          <t>Rejeitada</t>
        </is>
      </c>
      <c r="U182" s="2" t="inlineStr">
        <is>
          <t>Favor: CH, BE, PAN; Contra: PSD, CDS-PP; Abstenção: PS, IL, L, PCP</t>
        </is>
      </c>
      <c r="V182" s="3" t="n">
        <v>45985</v>
      </c>
      <c r="W182" s="2" t="inlineStr">
        <is>
          <t>AR: https://www.parlamento.pt/OrcamentoEstado/Paginas/DetalhePropostaAlteracao.aspx?BID=23359 PDF: https://app.parlamento.pt/webutils/docs/doc.pdf?path=6148523063484d364c793942556b356c6443397a6158526c63793959566b6c4a544556484c3039464c7a49774d6a59794d4449314d5441774f5339515153387959544534595745785a6931694f54557a4c5451794d7a4574595459324e4330784d6d49354d324e685a475a6b4d3245756347526d&amp;Fich=2a18aa1f-b953-4231-a664-12b93cadfd3a.pdf&amp;Inline=true</t>
        </is>
      </c>
      <c r="X182" s="2" t="inlineStr">
        <is>
          <t>Agricultura e Pescas</t>
        </is>
      </c>
      <c r="Y182" s="2" t="inlineStr">
        <is>
          <t>Articulado</t>
        </is>
      </c>
      <c r="Z182" s="2" t="inlineStr">
        <is>
          <t>Aditamento (Artigo PPL)</t>
        </is>
      </c>
      <c r="AA182" s="2" t="inlineStr">
        <is>
          <t>Rejeitado(a) em Comissão</t>
        </is>
      </c>
      <c r="AB182" s="2" t="inlineStr"/>
      <c r="AC182" s="2" t="inlineStr"/>
      <c r="AD182" s="2" t="inlineStr">
        <is>
          <t>1</t>
        </is>
      </c>
      <c r="AE182" s="2" t="inlineStr">
        <is>
          <t>23359</t>
        </is>
      </c>
      <c r="AF182" s="2" t="inlineStr">
        <is>
          <t>https://www.parlamento.pt/OrcamentoEstado/Paginas/DetalhePropostaAlteracao.aspx?BID=23359</t>
        </is>
      </c>
      <c r="AG182" s="2" t="inlineStr">
        <is>
          <t>https://app.parlamento.pt/webutils/docs/doc.pdf?path=6148523063484d364c793942556b356c6443397a6158526c63793959566b6c4a544556484c3039464c7a49774d6a59794d4449314d5441774f5339515153387959544534595745785a6931694f54557a4c5451794d7a4574595459324e4330784d6d49354d324e685a475a6b4d3245756347526d&amp;Fich=2a18aa1f-b953-4231-a664-12b93cadfd3a.pdf&amp;Inline=true</t>
        </is>
      </c>
      <c r="AH182" s="3" t="n">
        <v>46321.77847222222</v>
      </c>
      <c r="AI182" s="3" t="n">
        <v>46321.78055555555</v>
      </c>
      <c r="AJ182" s="2" t="inlineStr"/>
    </row>
    <row r="183">
      <c r="A183" s="2" t="n">
        <v>182</v>
      </c>
      <c r="B183" s="2" t="inlineStr">
        <is>
          <t>167C</t>
        </is>
      </c>
      <c r="C183" s="3" t="n">
        <v>45964.45625</v>
      </c>
      <c r="D183" s="2" t="inlineStr">
        <is>
          <t>Original</t>
        </is>
      </c>
      <c r="E183" s="2" t="inlineStr">
        <is>
          <t>PCP</t>
        </is>
      </c>
      <c r="F183" s="2" t="inlineStr">
        <is>
          <t>Alfredo Maia; Paula Santos; Paulo Raimundo</t>
        </is>
      </c>
      <c r="G183" s="2" t="inlineStr">
        <is>
          <t>Art. 109.º-A (aditamento)</t>
        </is>
      </c>
      <c r="H183" s="2" t="n"/>
      <c r="I183" s="2" t="n"/>
      <c r="J183" s="2" t="n"/>
      <c r="K183" s="2" t="n"/>
      <c r="L183" s="2" t="inlineStr">
        <is>
          <t>Artigo 109.º-A (Taxa de Gestão de Resíduos)</t>
        </is>
      </c>
      <c r="M183" s="4" t="n"/>
      <c r="N183" s="4" t="n"/>
      <c r="O183" s="2" t="n"/>
      <c r="P183" s="2" t="n"/>
      <c r="Q183" s="2" t="n"/>
      <c r="R183" s="2" t="n"/>
      <c r="S183" s="2" t="inlineStr">
        <is>
          <t>Rejeitado(a) em Comissão</t>
        </is>
      </c>
      <c r="T183" s="2" t="inlineStr">
        <is>
          <t>Rejeitada</t>
        </is>
      </c>
      <c r="U183" s="2" t="inlineStr">
        <is>
          <t>Favor: PCP, BE; Contra: PSD, CH, L, CDS-PP, PAN; Abstenção: PS, IL</t>
        </is>
      </c>
      <c r="V183" s="3" t="n">
        <v>45982</v>
      </c>
      <c r="W183" s="2" t="inlineStr">
        <is>
          <t>AR: https://www.parlamento.pt/OrcamentoEstado/Paginas/DetalhePropostaAlteracao.aspx?BID=23360 PDF: https://app.parlamento.pt/webutils/docs/doc.pdf?path=6148523063484d364c793942556b356c6443397a6158526c63793959566b6c4a544556484c3039464c7a49774d6a59794d4449314d5441774f533951515338324e47597a5a54566c596930344d7a49354c54517a4f446b74596d51334d6930785954526a597a4268596d4a69595455756347526d&amp;Fich=64f3e5eb-8329-4389-bd72-1a4cc0abbba5.pdf&amp;Inline=true</t>
        </is>
      </c>
      <c r="X183" s="2" t="inlineStr">
        <is>
          <t>Reforma do Estado e Poder Local</t>
        </is>
      </c>
      <c r="Y183" s="2" t="inlineStr">
        <is>
          <t>Articulado</t>
        </is>
      </c>
      <c r="Z183" s="2" t="inlineStr">
        <is>
          <t>Aditamento (Artigo PPL)</t>
        </is>
      </c>
      <c r="AA183" s="2" t="inlineStr">
        <is>
          <t>Rejeitado(a) em Comissão</t>
        </is>
      </c>
      <c r="AB183" s="2" t="inlineStr"/>
      <c r="AC183" s="2" t="inlineStr"/>
      <c r="AD183" s="2" t="inlineStr">
        <is>
          <t>1</t>
        </is>
      </c>
      <c r="AE183" s="2" t="inlineStr">
        <is>
          <t>23360</t>
        </is>
      </c>
      <c r="AF183" s="2" t="inlineStr">
        <is>
          <t>https://www.parlamento.pt/OrcamentoEstado/Paginas/DetalhePropostaAlteracao.aspx?BID=23360</t>
        </is>
      </c>
      <c r="AG183" s="2" t="inlineStr">
        <is>
          <t>https://app.parlamento.pt/webutils/docs/doc.pdf?path=6148523063484d364c793942556b356c6443397a6158526c63793959566b6c4a544556484c3039464c7a49774d6a59794d4449314d5441774f533951515338324e47597a5a54566c596930344d7a49354c54517a4f446b74596d51334d6930785954526a597a4268596d4a69595455756347526d&amp;Fich=64f3e5eb-8329-4389-bd72-1a4cc0abbba5.pdf&amp;Inline=true</t>
        </is>
      </c>
      <c r="AH183" s="3" t="n">
        <v>46321.77847222222</v>
      </c>
      <c r="AI183" s="3" t="n">
        <v>46321.78055555555</v>
      </c>
      <c r="AJ183" s="2" t="inlineStr"/>
    </row>
    <row r="184">
      <c r="A184" s="2" t="n">
        <v>183</v>
      </c>
      <c r="B184" s="2" t="inlineStr">
        <is>
          <t>168C</t>
        </is>
      </c>
      <c r="C184" s="3" t="n">
        <v>45964.45625</v>
      </c>
      <c r="D184" s="2" t="inlineStr">
        <is>
          <t>Original</t>
        </is>
      </c>
      <c r="E184" s="2" t="inlineStr">
        <is>
          <t>CH</t>
        </is>
      </c>
      <c r="F18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84" s="2" t="inlineStr">
        <is>
          <t>Art. 128.º-A (aditamento)</t>
        </is>
      </c>
      <c r="H184" s="2" t="n"/>
      <c r="I184" s="2" t="n"/>
      <c r="J184" s="2" t="n"/>
      <c r="K184" s="2" t="n"/>
      <c r="L184" s="2" t="inlineStr">
        <is>
          <t>Artigo 128.º-A (Proteção Agrícola do Baixo Vouga Lagunar)</t>
        </is>
      </c>
      <c r="M184" s="4" t="n"/>
      <c r="N184" s="4" t="n"/>
      <c r="O184" s="2" t="n"/>
      <c r="P184" s="2" t="n"/>
      <c r="Q184" s="2" t="n"/>
      <c r="R184" s="2" t="n"/>
      <c r="S184" s="2" t="inlineStr">
        <is>
          <t>Rejeitado(a) em Comissão</t>
        </is>
      </c>
      <c r="T184" s="2" t="inlineStr">
        <is>
          <t>Rejeitada</t>
        </is>
      </c>
      <c r="U184" s="2" t="inlineStr">
        <is>
          <t>Favor: CH, IL, BE, PAN; Contra: PSD, CDS-PP; Abstenção: PS, L, PCP</t>
        </is>
      </c>
      <c r="V184" s="3" t="n">
        <v>45985</v>
      </c>
      <c r="W184" s="2" t="inlineStr">
        <is>
          <t>AR: https://www.parlamento.pt/OrcamentoEstado/Paginas/DetalhePropostaAlteracao.aspx?BID=23361 PDF: https://app.parlamento.pt/webutils/docs/doc.pdf?path=6148523063484d364c793942556b356c6443397a6158526c63793959566b6c4a544556484c3039464c7a49774d6a59794d4449314d5441774f533951515338354d446379596a5a6c596930795a6d55794c5451305a6a49744f5459354e79316d4d47517759324d344d4468694e4451756347526d&amp;Fich=9072b6eb-2fe2-44f2-9697-f0d0cc808b44.pdf&amp;Inline=true</t>
        </is>
      </c>
      <c r="X184" s="2" t="inlineStr">
        <is>
          <t>Agricultura e Pescas</t>
        </is>
      </c>
      <c r="Y184" s="2" t="inlineStr">
        <is>
          <t>Articulado</t>
        </is>
      </c>
      <c r="Z184" s="2" t="inlineStr">
        <is>
          <t>Aditamento (Artigo PPL)</t>
        </is>
      </c>
      <c r="AA184" s="2" t="inlineStr">
        <is>
          <t>Rejeitado(a) em Comissão</t>
        </is>
      </c>
      <c r="AB184" s="2" t="inlineStr"/>
      <c r="AC184" s="2" t="inlineStr"/>
      <c r="AD184" s="2" t="inlineStr">
        <is>
          <t>1</t>
        </is>
      </c>
      <c r="AE184" s="2" t="inlineStr">
        <is>
          <t>23361</t>
        </is>
      </c>
      <c r="AF184" s="2" t="inlineStr">
        <is>
          <t>https://www.parlamento.pt/OrcamentoEstado/Paginas/DetalhePropostaAlteracao.aspx?BID=23361</t>
        </is>
      </c>
      <c r="AG184" s="2" t="inlineStr">
        <is>
          <t>https://app.parlamento.pt/webutils/docs/doc.pdf?path=6148523063484d364c793942556b356c6443397a6158526c63793959566b6c4a544556484c3039464c7a49774d6a59794d4449314d5441774f533951515338354d446379596a5a6c596930795a6d55794c5451305a6a49744f5459354e79316d4d47517759324d344d4468694e4451756347526d&amp;Fich=9072b6eb-2fe2-44f2-9697-f0d0cc808b44.pdf&amp;Inline=true</t>
        </is>
      </c>
      <c r="AH184" s="3" t="n">
        <v>46321.77847222222</v>
      </c>
      <c r="AI184" s="3" t="n">
        <v>46321.78055555555</v>
      </c>
      <c r="AJ184" s="2" t="inlineStr"/>
    </row>
    <row r="185">
      <c r="A185" s="2" t="n">
        <v>184</v>
      </c>
      <c r="B185" s="2" t="inlineStr">
        <is>
          <t>169C</t>
        </is>
      </c>
      <c r="C185" s="3" t="n">
        <v>45964.45694444444</v>
      </c>
      <c r="D185" s="2" t="inlineStr">
        <is>
          <t>Original</t>
        </is>
      </c>
      <c r="E185" s="2" t="inlineStr">
        <is>
          <t>PCP</t>
        </is>
      </c>
      <c r="F185" s="2" t="inlineStr">
        <is>
          <t>Alfredo Maia; Paula Santos; Paulo Raimundo</t>
        </is>
      </c>
      <c r="G185" s="2" t="inlineStr">
        <is>
          <t>Art. 109.º-B (aditamento)</t>
        </is>
      </c>
      <c r="H185" s="2" t="n"/>
      <c r="I185" s="2" t="n"/>
      <c r="J185" s="2" t="n"/>
      <c r="K185" s="2" t="n"/>
      <c r="L185" s="2" t="inlineStr">
        <is>
          <t>Artigo 109.º-B (Apoio ao Setor da Gestão de Resíduos)</t>
        </is>
      </c>
      <c r="M185" s="4" t="n"/>
      <c r="N185" s="4" t="n"/>
      <c r="O185" s="2" t="n"/>
      <c r="P185" s="2" t="n"/>
      <c r="Q185" s="2" t="n"/>
      <c r="R185" s="2" t="n"/>
      <c r="S185" s="2" t="inlineStr">
        <is>
          <t>Rejeitado(a) em Comissão</t>
        </is>
      </c>
      <c r="T185" s="2" t="inlineStr">
        <is>
          <t>Rejeitada</t>
        </is>
      </c>
      <c r="U185" s="2" t="inlineStr">
        <is>
          <t>Favor: L, PCP, BE; Contra: PSD, CH, IL, CDS-PP, PAN; Abstenção: PS</t>
        </is>
      </c>
      <c r="V185" s="3" t="n">
        <v>45982</v>
      </c>
      <c r="W185" s="2" t="inlineStr">
        <is>
          <t>AR: https://www.parlamento.pt/OrcamentoEstado/Paginas/DetalhePropostaAlteracao.aspx?BID=23362 PDF: https://app.parlamento.pt/webutils/docs/doc.pdf?path=6148523063484d364c793942556b356c6443397a6158526c63793959566b6c4a544556484c3039464c7a49774d6a59794d4449314d5441774f5339515153396b4d7a67304d444578597930785a5467354c54517a4d5745744f5446684d69316d596d526a4d6a6b334d54566d4d7a49756347526d&amp;Fich=d384011c-1e89-431a-91a2-fbdc29715f32.pdf&amp;Inline=true</t>
        </is>
      </c>
      <c r="X185" s="2" t="inlineStr">
        <is>
          <t>Reforma do Estado e Poder Local</t>
        </is>
      </c>
      <c r="Y185" s="2" t="inlineStr">
        <is>
          <t>Articulado</t>
        </is>
      </c>
      <c r="Z185" s="2" t="inlineStr">
        <is>
          <t>Aditamento (Artigo PPL)</t>
        </is>
      </c>
      <c r="AA185" s="2" t="inlineStr">
        <is>
          <t>Rejeitado(a) em Comissão</t>
        </is>
      </c>
      <c r="AB185" s="2" t="inlineStr"/>
      <c r="AC185" s="2" t="inlineStr"/>
      <c r="AD185" s="2" t="inlineStr">
        <is>
          <t>1</t>
        </is>
      </c>
      <c r="AE185" s="2" t="inlineStr">
        <is>
          <t>23362</t>
        </is>
      </c>
      <c r="AF185" s="2" t="inlineStr">
        <is>
          <t>https://www.parlamento.pt/OrcamentoEstado/Paginas/DetalhePropostaAlteracao.aspx?BID=23362</t>
        </is>
      </c>
      <c r="AG185" s="2" t="inlineStr">
        <is>
          <t>https://app.parlamento.pt/webutils/docs/doc.pdf?path=6148523063484d364c793942556b356c6443397a6158526c63793959566b6c4a544556484c3039464c7a49774d6a59794d4449314d5441774f5339515153396b4d7a67304d444578597930785a5467354c54517a4d5745744f5446684d69316d596d526a4d6a6b334d54566d4d7a49756347526d&amp;Fich=d384011c-1e89-431a-91a2-fbdc29715f32.pdf&amp;Inline=true</t>
        </is>
      </c>
      <c r="AH185" s="3" t="n">
        <v>46321.77847222222</v>
      </c>
      <c r="AI185" s="3" t="n">
        <v>46321.78055555555</v>
      </c>
      <c r="AJ185" s="2" t="inlineStr"/>
    </row>
    <row r="186">
      <c r="A186" s="2" t="n">
        <v>185</v>
      </c>
      <c r="B186" s="2" t="inlineStr">
        <is>
          <t>170C</t>
        </is>
      </c>
      <c r="C186" s="3" t="n">
        <v>45964.45833333334</v>
      </c>
      <c r="D186" s="2" t="inlineStr">
        <is>
          <t>Original</t>
        </is>
      </c>
      <c r="E186" s="2" t="inlineStr">
        <is>
          <t>PCP</t>
        </is>
      </c>
      <c r="F186" s="2" t="inlineStr">
        <is>
          <t>Alfredo Maia; Paula Santos; Paulo Raimundo</t>
        </is>
      </c>
      <c r="G186" s="2" t="inlineStr">
        <is>
          <t>Art. 73.º (aditamento)</t>
        </is>
      </c>
      <c r="H186" s="2" t="n"/>
      <c r="I186" s="2" t="n"/>
      <c r="J186" s="2" t="n"/>
      <c r="K186" s="2" t="n"/>
      <c r="L186" s="2" t="inlineStr">
        <is>
          <t>N.º 2, Artigo 73.º</t>
        </is>
      </c>
      <c r="M186" s="4" t="n"/>
      <c r="N186" s="4" t="n"/>
      <c r="O186" s="2" t="n"/>
      <c r="P186" s="2" t="n"/>
      <c r="Q186" s="2" t="n"/>
      <c r="R186" s="2" t="n"/>
      <c r="S186" s="2" t="inlineStr">
        <is>
          <t>Rejeitado(a) em Comissão</t>
        </is>
      </c>
      <c r="T186" s="2" t="inlineStr">
        <is>
          <t>Rejeitada</t>
        </is>
      </c>
      <c r="U186" s="2" t="inlineStr">
        <is>
          <t>Favor: IL, PCP, BE, PAN; Contra: PSD, L, CDS-PP; Abstenção: CH, PS</t>
        </is>
      </c>
      <c r="V186" s="3" t="n">
        <v>45982</v>
      </c>
      <c r="W186" s="2" t="inlineStr">
        <is>
          <t>AR: https://www.parlamento.pt/OrcamentoEstado/Paginas/DetalhePropostaAlteracao.aspx?BID=23363 PDF: https://app.parlamento.pt/webutils/docs/doc.pdf?path=6148523063484d364c793942556b356c6443397a6158526c63793959566b6c4a544556484c3039464c7a49774d6a59794d4449314d5441774f5339515153396b4d545179596a67345a4331684d474a6a4c54517759324d745957466d5a43307a4d57566959575a6b4e6a4e694d444d756347526d&amp;Fich=d142b88d-a0bc-40cc-aafd-31ebafd63b03.pdf&amp;Inline=true</t>
        </is>
      </c>
      <c r="X186" s="2" t="inlineStr">
        <is>
          <t>Reforma do Estado e Poder Local</t>
        </is>
      </c>
      <c r="Y186" s="2" t="inlineStr">
        <is>
          <t>Articulado</t>
        </is>
      </c>
      <c r="Z186" s="2" t="inlineStr">
        <is>
          <t>Aditamento (Números e Alíneas)</t>
        </is>
      </c>
      <c r="AA186" s="2" t="inlineStr">
        <is>
          <t>Rejeitado(a) em Comissão</t>
        </is>
      </c>
      <c r="AB186" s="2" t="inlineStr"/>
      <c r="AC186" s="2" t="inlineStr"/>
      <c r="AD186" s="2" t="inlineStr">
        <is>
          <t>1</t>
        </is>
      </c>
      <c r="AE186" s="2" t="inlineStr">
        <is>
          <t>23363</t>
        </is>
      </c>
      <c r="AF186" s="2" t="inlineStr">
        <is>
          <t>https://www.parlamento.pt/OrcamentoEstado/Paginas/DetalhePropostaAlteracao.aspx?BID=23363</t>
        </is>
      </c>
      <c r="AG186" s="2" t="inlineStr">
        <is>
          <t>https://app.parlamento.pt/webutils/docs/doc.pdf?path=6148523063484d364c793942556b356c6443397a6158526c63793959566b6c4a544556484c3039464c7a49774d6a59794d4449314d5441774f5339515153396b4d545179596a67345a4331684d474a6a4c54517759324d745957466d5a43307a4d57566959575a6b4e6a4e694d444d756347526d&amp;Fich=d142b88d-a0bc-40cc-aafd-31ebafd63b03.pdf&amp;Inline=true</t>
        </is>
      </c>
      <c r="AH186" s="3" t="n">
        <v>46321.77847222222</v>
      </c>
      <c r="AI186" s="3" t="n">
        <v>46321.78055555555</v>
      </c>
      <c r="AJ186" s="2" t="inlineStr"/>
    </row>
    <row r="187">
      <c r="A187" s="2" t="n">
        <v>186</v>
      </c>
      <c r="B187" s="2" t="inlineStr">
        <is>
          <t>171C</t>
        </is>
      </c>
      <c r="C187" s="3" t="n">
        <v>45964.45833333334</v>
      </c>
      <c r="D187" s="2" t="inlineStr">
        <is>
          <t>Original</t>
        </is>
      </c>
      <c r="E187" s="2" t="inlineStr">
        <is>
          <t>CH</t>
        </is>
      </c>
      <c r="F18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87" s="2" t="inlineStr">
        <is>
          <t>Art. 136.º-A (aditamento)</t>
        </is>
      </c>
      <c r="H187" s="2" t="n"/>
      <c r="I187" s="2" t="n"/>
      <c r="J187" s="2" t="n"/>
      <c r="K187" s="2" t="n"/>
      <c r="L187" s="2" t="inlineStr">
        <is>
          <t>Artigo 136.º-A (Campanha Nacional de Prevenção da Mutilação Genital Feminina)</t>
        </is>
      </c>
      <c r="M187" s="4" t="n"/>
      <c r="N187" s="4" t="n"/>
      <c r="O187" s="2" t="n"/>
      <c r="P187" s="2" t="n"/>
      <c r="Q187" s="2" t="n"/>
      <c r="R187" s="2" t="n"/>
      <c r="S187" s="2" t="inlineStr">
        <is>
          <t>Aprovado(a) em Comissão</t>
        </is>
      </c>
      <c r="T187" s="2" t="inlineStr">
        <is>
          <t>Aprovada</t>
        </is>
      </c>
      <c r="U187" s="2" t="inlineStr">
        <is>
          <t>Favor: PSD, CH, CDS-PP, BE, PAN; Contra: PS; Abstenção: IL, L, PCP</t>
        </is>
      </c>
      <c r="V187" s="3" t="n">
        <v>45987</v>
      </c>
      <c r="W187" s="2" t="inlineStr">
        <is>
          <t>AR: https://www.parlamento.pt/OrcamentoEstado/Paginas/DetalhePropostaAlteracao.aspx?BID=23364 PDF: https://app.parlamento.pt/webutils/docs/doc.pdf?path=6148523063484d364c793942556b356c6443397a6158526c63793959566b6c4a544556484c3039464c7a49774d6a59794d4449314d5441774f5339515153387a596d49304f4755795a4330305a6d51344c5451304d474d7459544d304d5330335a444e6b4d6a49314e6a63784e3251756347526d&amp;Fich=3bb48e2d-4fd8-440c-a341-7d3d2256717d.pdf&amp;Inline=true</t>
        </is>
      </c>
      <c r="X187" s="2" t="inlineStr">
        <is>
          <t>Assuntos Constitucionais, Direitos, Liberdades e Garantias</t>
        </is>
      </c>
      <c r="Y187" s="2" t="inlineStr">
        <is>
          <t>Articulado</t>
        </is>
      </c>
      <c r="Z187" s="2" t="inlineStr">
        <is>
          <t>Aditamento (Artigo PPL)</t>
        </is>
      </c>
      <c r="AA187" s="2" t="inlineStr">
        <is>
          <t>Aprovado(a) em Comissão</t>
        </is>
      </c>
      <c r="AB187" s="2" t="inlineStr"/>
      <c r="AC187" s="2" t="inlineStr"/>
      <c r="AD187" s="2" t="inlineStr">
        <is>
          <t>1</t>
        </is>
      </c>
      <c r="AE187" s="2" t="inlineStr">
        <is>
          <t>23364</t>
        </is>
      </c>
      <c r="AF187" s="2" t="inlineStr">
        <is>
          <t>https://www.parlamento.pt/OrcamentoEstado/Paginas/DetalhePropostaAlteracao.aspx?BID=23364</t>
        </is>
      </c>
      <c r="AG187" s="2" t="inlineStr">
        <is>
          <t>https://app.parlamento.pt/webutils/docs/doc.pdf?path=6148523063484d364c793942556b356c6443397a6158526c63793959566b6c4a544556484c3039464c7a49774d6a59794d4449314d5441774f5339515153387a596d49304f4755795a4330305a6d51344c5451304d474d7459544d304d5330335a444e6b4d6a49314e6a63784e3251756347526d&amp;Fich=3bb48e2d-4fd8-440c-a341-7d3d2256717d.pdf&amp;Inline=true</t>
        </is>
      </c>
      <c r="AH187" s="3" t="n">
        <v>46321.77847222222</v>
      </c>
      <c r="AI187" s="3" t="n">
        <v>46321.78055555555</v>
      </c>
      <c r="AJ187" s="2" t="inlineStr"/>
    </row>
    <row r="188">
      <c r="A188" s="2" t="n">
        <v>187</v>
      </c>
      <c r="B188" s="2" t="inlineStr">
        <is>
          <t>172C</t>
        </is>
      </c>
      <c r="C188" s="3" t="n">
        <v>45964.45833333334</v>
      </c>
      <c r="D188" s="2" t="inlineStr">
        <is>
          <t>Original</t>
        </is>
      </c>
      <c r="E188" s="2" t="inlineStr">
        <is>
          <t>PCP</t>
        </is>
      </c>
      <c r="F188" s="2" t="inlineStr">
        <is>
          <t>Alfredo Maia; Paula Santos; Paulo Raimundo</t>
        </is>
      </c>
      <c r="G188" s="2" t="inlineStr">
        <is>
          <t>Art. 93.º (substituição)</t>
        </is>
      </c>
      <c r="H188" s="2" t="n"/>
      <c r="I188" s="2" t="n"/>
      <c r="J188" s="2" t="n"/>
      <c r="K188" s="2" t="n"/>
      <c r="L188" s="2" t="inlineStr">
        <is>
          <t>Alínea a), b), c), d), N.º 1, N.º 3, N.º 5, Artigo 93.º</t>
        </is>
      </c>
      <c r="M188" s="4" t="n"/>
      <c r="N188" s="4" t="n"/>
      <c r="O188" s="2" t="n"/>
      <c r="P188" s="2" t="n"/>
      <c r="Q188" s="2" t="n"/>
      <c r="R188" s="2" t="n"/>
      <c r="S188" s="2" t="inlineStr">
        <is>
          <t>Rejeitado(a) em Plenário</t>
        </is>
      </c>
      <c r="T188" s="2" t="inlineStr">
        <is>
          <t>Rejeitada</t>
        </is>
      </c>
      <c r="U188" s="2" t="inlineStr">
        <is>
          <t>Favor: L, PCP, BE; Contra: PSD, IL, CDS-PP; Abstenção: CH, PS, PAN, JPP</t>
        </is>
      </c>
      <c r="V188" s="3" t="n">
        <v>45985</v>
      </c>
      <c r="W188" s="2" t="inlineStr">
        <is>
          <t>Avocada a Plenário. AR: https://www.parlamento.pt/OrcamentoEstado/Paginas/DetalhePropostaAlteracao.aspx?BID=23365 PDF: https://app.parlamento.pt/webutils/docs/doc.pdf?path=6148523063484d364c793942556b356c6443397a6158526c63793959566b6c4a544556484c3039464c7a49774d6a59794d4449314d5441774f533951515338304d6a466d5a446777595330774d7a4d7a4c5451324e6a49744f445134595331684e545669596a4d30597a686d4d4449756347526d&amp;Fich=421fd80a-0333-4662-848a-a55bb34c8f02.pdf&amp;Inline=true</t>
        </is>
      </c>
      <c r="X188" s="2" t="inlineStr">
        <is>
          <t>Reforma do Estado e Poder Local</t>
        </is>
      </c>
      <c r="Y188" s="2" t="inlineStr">
        <is>
          <t>Articulado</t>
        </is>
      </c>
      <c r="Z188" s="2" t="inlineStr">
        <is>
          <t>Substituição</t>
        </is>
      </c>
      <c r="AA188" s="2" t="inlineStr">
        <is>
          <t>Rejeitado(a) em Plenário</t>
        </is>
      </c>
      <c r="AB188" s="2" t="inlineStr">
        <is>
          <t>S</t>
        </is>
      </c>
      <c r="AC188" s="2" t="inlineStr"/>
      <c r="AD188" s="2" t="inlineStr">
        <is>
          <t>2</t>
        </is>
      </c>
      <c r="AE188" s="2" t="inlineStr">
        <is>
          <t>23365</t>
        </is>
      </c>
      <c r="AF188" s="2" t="inlineStr">
        <is>
          <t>https://www.parlamento.pt/OrcamentoEstado/Paginas/DetalhePropostaAlteracao.aspx?BID=23365</t>
        </is>
      </c>
      <c r="AG188" s="2" t="inlineStr">
        <is>
          <t>https://app.parlamento.pt/webutils/docs/doc.pdf?path=6148523063484d364c793942556b356c6443397a6158526c63793959566b6c4a544556484c3039464c7a49774d6a59794d4449314d5441774f533951515338304d6a466d5a446777595330774d7a4d7a4c5451324e6a49744f445134595331684e545669596a4d30597a686d4d4449756347526d&amp;Fich=421fd80a-0333-4662-848a-a55bb34c8f02.pdf&amp;Inline=true</t>
        </is>
      </c>
      <c r="AH188" s="3" t="n">
        <v>46321.77847222222</v>
      </c>
      <c r="AI188" s="3" t="n">
        <v>46321.78055555555</v>
      </c>
      <c r="AJ188" s="2" t="inlineStr"/>
    </row>
    <row r="189">
      <c r="A189" s="2" t="n">
        <v>188</v>
      </c>
      <c r="B189" s="2" t="inlineStr">
        <is>
          <t>173C</t>
        </is>
      </c>
      <c r="C189" s="3" t="n">
        <v>45964.45902777778</v>
      </c>
      <c r="D189" s="2" t="inlineStr">
        <is>
          <t>Original</t>
        </is>
      </c>
      <c r="E189" s="2" t="inlineStr">
        <is>
          <t>PCP</t>
        </is>
      </c>
      <c r="F189" s="2" t="inlineStr">
        <is>
          <t>Alfredo Maia; Paula Santos; Paulo Raimundo</t>
        </is>
      </c>
      <c r="G189" s="2" t="inlineStr">
        <is>
          <t>Art. 106.º (aditamento)</t>
        </is>
      </c>
      <c r="H189" s="2" t="n"/>
      <c r="I189" s="2" t="n"/>
      <c r="J189" s="2" t="n"/>
      <c r="K189" s="2" t="n"/>
      <c r="L189" s="2" t="inlineStr">
        <is>
          <t>N.º 3, N.º 4, N.º 5, Artigo 106.º</t>
        </is>
      </c>
      <c r="M189" s="4" t="n"/>
      <c r="N189" s="4" t="n"/>
      <c r="O189" s="2" t="n"/>
      <c r="P189" s="2" t="n"/>
      <c r="Q189" s="2" t="n"/>
      <c r="R189" s="2" t="n"/>
      <c r="S189" s="2" t="inlineStr">
        <is>
          <t>Rejeitado(a) em Plenário</t>
        </is>
      </c>
      <c r="T189" s="2" t="inlineStr">
        <is>
          <t>Rejeitada</t>
        </is>
      </c>
      <c r="U189" s="2" t="inlineStr">
        <is>
          <t>Favor: PS, L, PCP, BE, PAN, JPP; Contra: PSD, CH, IL, CDS-PP</t>
        </is>
      </c>
      <c r="V189" s="3" t="n">
        <v>45985</v>
      </c>
      <c r="W189" s="2" t="inlineStr">
        <is>
          <t>Avocada a Plenário. AR: https://www.parlamento.pt/OrcamentoEstado/Paginas/DetalhePropostaAlteracao.aspx?BID=23366 PDF: https://app.parlamento.pt/webutils/docs/doc.pdf?path=6148523063484d364c793942556b356c6443397a6158526c63793959566b6c4a544556484c3039464c7a49774d6a59794d4449314d5441774f5339515153396b596a4269597a566d4d79307a4e5441774c5451774d6a5574595463784e5330345a575a6b4f4745774e6a593459574d756347526d&amp;Fich=db0bc5f3-3500-4025-a715-8efd8a0668ac.pdf&amp;Inline=true</t>
        </is>
      </c>
      <c r="X189" s="2" t="inlineStr">
        <is>
          <t>Reforma do Estado e Poder Local</t>
        </is>
      </c>
      <c r="Y189" s="2" t="inlineStr">
        <is>
          <t>Articulado</t>
        </is>
      </c>
      <c r="Z189" s="2" t="inlineStr">
        <is>
          <t>Aditamento (Números e Alíneas)</t>
        </is>
      </c>
      <c r="AA189" s="2" t="inlineStr">
        <is>
          <t>Rejeitado(a) em Plenário</t>
        </is>
      </c>
      <c r="AB189" s="2" t="inlineStr">
        <is>
          <t>S</t>
        </is>
      </c>
      <c r="AC189" s="2" t="inlineStr"/>
      <c r="AD189" s="2" t="inlineStr">
        <is>
          <t>1</t>
        </is>
      </c>
      <c r="AE189" s="2" t="inlineStr">
        <is>
          <t>23366</t>
        </is>
      </c>
      <c r="AF189" s="2" t="inlineStr">
        <is>
          <t>https://www.parlamento.pt/OrcamentoEstado/Paginas/DetalhePropostaAlteracao.aspx?BID=23366</t>
        </is>
      </c>
      <c r="AG189" s="2" t="inlineStr">
        <is>
          <t>https://app.parlamento.pt/webutils/docs/doc.pdf?path=6148523063484d364c793942556b356c6443397a6158526c63793959566b6c4a544556484c3039464c7a49774d6a59794d4449314d5441774f5339515153396b596a4269597a566d4d79307a4e5441774c5451774d6a5574595463784e5330345a575a6b4f4745774e6a593459574d756347526d&amp;Fich=db0bc5f3-3500-4025-a715-8efd8a0668ac.pdf&amp;Inline=true</t>
        </is>
      </c>
      <c r="AH189" s="3" t="n">
        <v>46321.77847222222</v>
      </c>
      <c r="AI189" s="3" t="n">
        <v>46321.78055555555</v>
      </c>
      <c r="AJ189" s="2" t="inlineStr"/>
    </row>
    <row r="190">
      <c r="A190" s="2" t="n">
        <v>189</v>
      </c>
      <c r="B190" s="2" t="inlineStr">
        <is>
          <t>174C</t>
        </is>
      </c>
      <c r="C190" s="3" t="n">
        <v>45964.45902777778</v>
      </c>
      <c r="D190" s="2" t="inlineStr">
        <is>
          <t>Original</t>
        </is>
      </c>
      <c r="E190" s="2" t="inlineStr">
        <is>
          <t>CH</t>
        </is>
      </c>
      <c r="F19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90" s="2" t="inlineStr">
        <is>
          <t>Art. 136.º-A (aditamento)</t>
        </is>
      </c>
      <c r="H190" s="2" t="n"/>
      <c r="I190" s="2" t="n"/>
      <c r="J190" s="2" t="n"/>
      <c r="K190" s="2" t="n"/>
      <c r="L190" s="2" t="inlineStr">
        <is>
          <t>Artigo 136.º-A (Construção Barragem da Foupana)</t>
        </is>
      </c>
      <c r="M190" s="4" t="n"/>
      <c r="N190" s="4" t="n"/>
      <c r="O190" s="2" t="n"/>
      <c r="P190" s="2" t="n"/>
      <c r="Q190" s="2" t="n"/>
      <c r="R190" s="2" t="n"/>
      <c r="S190" s="2" t="inlineStr">
        <is>
          <t>Rejeitado(a) em Comissão</t>
        </is>
      </c>
      <c r="T190" s="2" t="inlineStr">
        <is>
          <t>Rejeitada</t>
        </is>
      </c>
      <c r="U190" s="2" t="inlineStr">
        <is>
          <t>Favor: CH, IL, PAN; Contra: PSD, CDS-PP, BE; Abstenção: PS, L, PCP</t>
        </is>
      </c>
      <c r="V190" s="3" t="n">
        <v>45987</v>
      </c>
      <c r="W190" s="2" t="inlineStr">
        <is>
          <t>AR: https://www.parlamento.pt/OrcamentoEstado/Paginas/DetalhePropostaAlteracao.aspx?BID=23367 PDF: https://app.parlamento.pt/webutils/docs/doc.pdf?path=6148523063484d364c793942556b356c6443397a6158526c63793959566b6c4a544556484c3039464c7a49774d6a59794d4449314d5441774f5339515153396a596d49304f4745324f4330325a474d794c5451304e4751744f574d345a43303259545a684f5449774f5467784e4751756347526d&amp;Fich=cbb48a68-6dc2-444d-9c8d-6a6a9209814d.pdf&amp;Inline=true</t>
        </is>
      </c>
      <c r="X190" s="2" t="inlineStr">
        <is>
          <t>Ambiente e Energia</t>
        </is>
      </c>
      <c r="Y190" s="2" t="inlineStr">
        <is>
          <t>Articulado</t>
        </is>
      </c>
      <c r="Z190" s="2" t="inlineStr">
        <is>
          <t>Aditamento (Artigo PPL)</t>
        </is>
      </c>
      <c r="AA190" s="2" t="inlineStr">
        <is>
          <t>Rejeitado(a) em Comissão</t>
        </is>
      </c>
      <c r="AB190" s="2" t="inlineStr"/>
      <c r="AC190" s="2" t="inlineStr"/>
      <c r="AD190" s="2" t="inlineStr">
        <is>
          <t>1</t>
        </is>
      </c>
      <c r="AE190" s="2" t="inlineStr">
        <is>
          <t>23367</t>
        </is>
      </c>
      <c r="AF190" s="2" t="inlineStr">
        <is>
          <t>https://www.parlamento.pt/OrcamentoEstado/Paginas/DetalhePropostaAlteracao.aspx?BID=23367</t>
        </is>
      </c>
      <c r="AG190" s="2" t="inlineStr">
        <is>
          <t>https://app.parlamento.pt/webutils/docs/doc.pdf?path=6148523063484d364c793942556b356c6443397a6158526c63793959566b6c4a544556484c3039464c7a49774d6a59794d4449314d5441774f5339515153396a596d49304f4745324f4330325a474d794c5451304e4751744f574d345a43303259545a684f5449774f5467784e4751756347526d&amp;Fich=cbb48a68-6dc2-444d-9c8d-6a6a9209814d.pdf&amp;Inline=true</t>
        </is>
      </c>
      <c r="AH190" s="3" t="n">
        <v>46321.77847222222</v>
      </c>
      <c r="AI190" s="3" t="n">
        <v>46321.78055555555</v>
      </c>
      <c r="AJ190" s="2" t="inlineStr"/>
    </row>
    <row r="191">
      <c r="A191" s="2" t="n">
        <v>190</v>
      </c>
      <c r="B191" s="2" t="inlineStr">
        <is>
          <t>175C</t>
        </is>
      </c>
      <c r="C191" s="3" t="n">
        <v>45964.46041666667</v>
      </c>
      <c r="D191" s="2" t="inlineStr">
        <is>
          <t>Original</t>
        </is>
      </c>
      <c r="E191" s="2" t="inlineStr">
        <is>
          <t>CH</t>
        </is>
      </c>
      <c r="F19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91" s="2" t="inlineStr">
        <is>
          <t>Art. 136.º-A (aditamento)</t>
        </is>
      </c>
      <c r="H191" s="2" t="n"/>
      <c r="I191" s="2" t="n"/>
      <c r="J191" s="2" t="n"/>
      <c r="K191" s="2" t="n"/>
      <c r="L191" s="2" t="inlineStr">
        <is>
          <t>Artigo 136.º-A (Atualização do valor de apoio financeiro dos contratos de associação)</t>
        </is>
      </c>
      <c r="M191" s="4" t="n"/>
      <c r="N191" s="4" t="n"/>
      <c r="O191" s="2" t="n"/>
      <c r="P191" s="2" t="n"/>
      <c r="Q191" s="2" t="n"/>
      <c r="R191" s="2" t="n"/>
      <c r="S191" s="2" t="inlineStr">
        <is>
          <t>Rejeitado(a) em Comissão</t>
        </is>
      </c>
      <c r="T191" s="2" t="inlineStr">
        <is>
          <t>Rejeitada</t>
        </is>
      </c>
      <c r="U191" s="2" t="inlineStr">
        <is>
          <t>Favor: CH, IL, PAN; Contra: PSD, PCP, CDS-PP; Abstenção: PS, L, BE</t>
        </is>
      </c>
      <c r="V191" s="3" t="n">
        <v>45987</v>
      </c>
      <c r="W191" s="2" t="inlineStr">
        <is>
          <t>AR: https://www.parlamento.pt/OrcamentoEstado/Paginas/DetalhePropostaAlteracao.aspx?BID=23368 PDF: https://app.parlamento.pt/webutils/docs/doc.pdf?path=6148523063484d364c793942556b356c6443397a6158526c63793959566b6c4a544556484c3039464c7a49774d6a59794d4449314d5441774f533951515338774f44497759544a6c5a53316a4f5463354c5451334e6d5974596d4a6c4e6930334e6d526d4d7a55304e5745314f546b756347526d&amp;Fich=0820a2ee-c979-476f-bbe6-76df3545a599.pdf&amp;Inline=true</t>
        </is>
      </c>
      <c r="X191" s="2" t="inlineStr">
        <is>
          <t>Educação e Ciência</t>
        </is>
      </c>
      <c r="Y191" s="2" t="inlineStr">
        <is>
          <t>Articulado</t>
        </is>
      </c>
      <c r="Z191" s="2" t="inlineStr">
        <is>
          <t>Aditamento (Artigo PPL)</t>
        </is>
      </c>
      <c r="AA191" s="2" t="inlineStr">
        <is>
          <t>Rejeitado(a) em Comissão</t>
        </is>
      </c>
      <c r="AB191" s="2" t="inlineStr"/>
      <c r="AC191" s="2" t="inlineStr"/>
      <c r="AD191" s="2" t="inlineStr">
        <is>
          <t>1</t>
        </is>
      </c>
      <c r="AE191" s="2" t="inlineStr">
        <is>
          <t>23368</t>
        </is>
      </c>
      <c r="AF191" s="2" t="inlineStr">
        <is>
          <t>https://www.parlamento.pt/OrcamentoEstado/Paginas/DetalhePropostaAlteracao.aspx?BID=23368</t>
        </is>
      </c>
      <c r="AG191" s="2" t="inlineStr">
        <is>
          <t>https://app.parlamento.pt/webutils/docs/doc.pdf?path=6148523063484d364c793942556b356c6443397a6158526c63793959566b6c4a544556484c3039464c7a49774d6a59794d4449314d5441774f533951515338774f44497759544a6c5a53316a4f5463354c5451334e6d5974596d4a6c4e6930334e6d526d4d7a55304e5745314f546b756347526d&amp;Fich=0820a2ee-c979-476f-bbe6-76df3545a599.pdf&amp;Inline=true</t>
        </is>
      </c>
      <c r="AH191" s="3" t="n">
        <v>46321.77847222222</v>
      </c>
      <c r="AI191" s="3" t="n">
        <v>46321.78055555555</v>
      </c>
      <c r="AJ191" s="2" t="inlineStr"/>
    </row>
    <row r="192">
      <c r="A192" s="2" t="n">
        <v>191</v>
      </c>
      <c r="B192" s="2" t="inlineStr">
        <is>
          <t>176C</t>
        </is>
      </c>
      <c r="C192" s="3" t="n">
        <v>45964.46111111111</v>
      </c>
      <c r="D192" s="2" t="inlineStr">
        <is>
          <t>Original</t>
        </is>
      </c>
      <c r="E192" s="2" t="inlineStr">
        <is>
          <t>CH</t>
        </is>
      </c>
      <c r="F19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92" s="2" t="inlineStr">
        <is>
          <t>Art. 136.º-A (aditamento)</t>
        </is>
      </c>
      <c r="H192" s="2" t="n"/>
      <c r="I192" s="2" t="n"/>
      <c r="J192" s="2" t="n"/>
      <c r="K192" s="2" t="n"/>
      <c r="L192" s="2" t="inlineStr">
        <is>
          <t>Artigo 136.º-A (Incentivo à Plantação de Florestas Energéticas em Terrenos Baldios)</t>
        </is>
      </c>
      <c r="M192" s="4" t="n"/>
      <c r="N192" s="4" t="n"/>
      <c r="O192" s="2" t="n"/>
      <c r="P192" s="2" t="n"/>
      <c r="Q192" s="2" t="n"/>
      <c r="R192" s="2" t="n"/>
      <c r="S192" s="2" t="inlineStr">
        <is>
          <t>Rejeitado(a) em Comissão</t>
        </is>
      </c>
      <c r="T192" s="2" t="inlineStr">
        <is>
          <t>Rejeitada</t>
        </is>
      </c>
      <c r="U192" s="2" t="inlineStr">
        <is>
          <t>Favor: CH; Contra: PSD, IL, L, PCP, CDS-PP, BE; Abstenção: PS, PAN</t>
        </is>
      </c>
      <c r="V192" s="3" t="n">
        <v>45987</v>
      </c>
      <c r="W192" s="2" t="inlineStr">
        <is>
          <t>AR: https://www.parlamento.pt/OrcamentoEstado/Paginas/DetalhePropostaAlteracao.aspx?BID=23369 PDF: https://app.parlamento.pt/webutils/docs/doc.pdf?path=6148523063484d364c793942556b356c6443397a6158526c63793959566b6c4a544556484c3039464c7a49774d6a59794d4449314d5441774f533951515338334e7a686d4d4759785a5331684e6a59354c545177595445744f44646a596930304e6d517a5a6a6c6a595745784d5755756347526d&amp;Fich=778f0f1e-a669-40a1-87cb-46d3f9caa11e.pdf&amp;Inline=true</t>
        </is>
      </c>
      <c r="X192" s="2" t="inlineStr">
        <is>
          <t>Agricultura e Pescas; Ambiente e Energia</t>
        </is>
      </c>
      <c r="Y192" s="2" t="inlineStr">
        <is>
          <t>Articulado</t>
        </is>
      </c>
      <c r="Z192" s="2" t="inlineStr">
        <is>
          <t>Aditamento (Artigo PPL)</t>
        </is>
      </c>
      <c r="AA192" s="2" t="inlineStr">
        <is>
          <t>Rejeitado(a) em Comissão</t>
        </is>
      </c>
      <c r="AB192" s="2" t="inlineStr"/>
      <c r="AC192" s="2" t="inlineStr"/>
      <c r="AD192" s="2" t="inlineStr">
        <is>
          <t>1</t>
        </is>
      </c>
      <c r="AE192" s="2" t="inlineStr">
        <is>
          <t>23369</t>
        </is>
      </c>
      <c r="AF192" s="2" t="inlineStr">
        <is>
          <t>https://www.parlamento.pt/OrcamentoEstado/Paginas/DetalhePropostaAlteracao.aspx?BID=23369</t>
        </is>
      </c>
      <c r="AG192" s="2" t="inlineStr">
        <is>
          <t>https://app.parlamento.pt/webutils/docs/doc.pdf?path=6148523063484d364c793942556b356c6443397a6158526c63793959566b6c4a544556484c3039464c7a49774d6a59794d4449314d5441774f533951515338334e7a686d4d4759785a5331684e6a59354c545177595445744f44646a596930304e6d517a5a6a6c6a595745784d5755756347526d&amp;Fich=778f0f1e-a669-40a1-87cb-46d3f9caa11e.pdf&amp;Inline=true</t>
        </is>
      </c>
      <c r="AH192" s="3" t="n">
        <v>46321.77847222222</v>
      </c>
      <c r="AI192" s="3" t="n">
        <v>46321.78055555555</v>
      </c>
      <c r="AJ192" s="2" t="inlineStr"/>
    </row>
    <row r="193">
      <c r="A193" s="2" t="n">
        <v>192</v>
      </c>
      <c r="B193" s="2" t="inlineStr">
        <is>
          <t>177C</t>
        </is>
      </c>
      <c r="C193" s="3" t="n">
        <v>45964.4625</v>
      </c>
      <c r="D193" s="2" t="inlineStr">
        <is>
          <t>Original</t>
        </is>
      </c>
      <c r="E193" s="2" t="inlineStr">
        <is>
          <t>CH</t>
        </is>
      </c>
      <c r="F19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93" s="2" t="inlineStr">
        <is>
          <t>Art. 136.º-A (aditamento)</t>
        </is>
      </c>
      <c r="H193" s="2" t="n"/>
      <c r="I193" s="2" t="n"/>
      <c r="J193" s="2" t="n"/>
      <c r="K193" s="2" t="n"/>
      <c r="L193" s="2" t="inlineStr">
        <is>
          <t>Artigo 136.º-A (Reforça o número de efetivos da Guarda Nacional Republicana e da Polícia de Segurança Pública no Distrito do Porto)</t>
        </is>
      </c>
      <c r="M193" s="4" t="n"/>
      <c r="N193" s="4" t="n"/>
      <c r="O193" s="2" t="n"/>
      <c r="P193" s="2" t="n"/>
      <c r="Q193" s="2" t="n"/>
      <c r="R193" s="2" t="n"/>
      <c r="S193" s="2" t="inlineStr">
        <is>
          <t>Rejeitado(a) em Comissão</t>
        </is>
      </c>
      <c r="T193" s="2" t="inlineStr">
        <is>
          <t>Rejeitada</t>
        </is>
      </c>
      <c r="U193" s="2" t="inlineStr">
        <is>
          <t>Favor: CH, PAN; Contra: PSD, CDS-PP; Abstenção: PS, IL, L, PCP, BE</t>
        </is>
      </c>
      <c r="V193" s="3" t="n">
        <v>45987</v>
      </c>
      <c r="W193" s="2" t="inlineStr">
        <is>
          <t>AR: https://www.parlamento.pt/OrcamentoEstado/Paginas/DetalhePropostaAlteracao.aspx?BID=23370 PDF: https://app.parlamento.pt/webutils/docs/doc.pdf?path=6148523063484d364c793942556b356c6443397a6158526c63793959566b6c4a544556484c3039464c7a49774d6a59794d4449314d5441774f533951515338305a6a45304f5455774e4331694d324e684c54526b5a6d55744f4445315a5330314d5751314f575930595749304e5759756347526d&amp;Fich=4f149504-b3ca-4dfe-815e-51d59f4ab45f.pdf&amp;Inline=true</t>
        </is>
      </c>
      <c r="X193" s="2" t="inlineStr">
        <is>
          <t>Assuntos Constitucionais, Direitos, Liberdades e Garantias</t>
        </is>
      </c>
      <c r="Y193" s="2" t="inlineStr">
        <is>
          <t>Articulado</t>
        </is>
      </c>
      <c r="Z193" s="2" t="inlineStr">
        <is>
          <t>Aditamento (Artigo PPL)</t>
        </is>
      </c>
      <c r="AA193" s="2" t="inlineStr">
        <is>
          <t>Rejeitado(a) em Comissão</t>
        </is>
      </c>
      <c r="AB193" s="2" t="inlineStr"/>
      <c r="AC193" s="2" t="inlineStr"/>
      <c r="AD193" s="2" t="inlineStr">
        <is>
          <t>1</t>
        </is>
      </c>
      <c r="AE193" s="2" t="inlineStr">
        <is>
          <t>23370</t>
        </is>
      </c>
      <c r="AF193" s="2" t="inlineStr">
        <is>
          <t>https://www.parlamento.pt/OrcamentoEstado/Paginas/DetalhePropostaAlteracao.aspx?BID=23370</t>
        </is>
      </c>
      <c r="AG193" s="2" t="inlineStr">
        <is>
          <t>https://app.parlamento.pt/webutils/docs/doc.pdf?path=6148523063484d364c793942556b356c6443397a6158526c63793959566b6c4a544556484c3039464c7a49774d6a59794d4449314d5441774f533951515338305a6a45304f5455774e4331694d324e684c54526b5a6d55744f4445315a5330314d5751314f575930595749304e5759756347526d&amp;Fich=4f149504-b3ca-4dfe-815e-51d59f4ab45f.pdf&amp;Inline=true</t>
        </is>
      </c>
      <c r="AH193" s="3" t="n">
        <v>46321.77847222222</v>
      </c>
      <c r="AI193" s="3" t="n">
        <v>46321.78055555555</v>
      </c>
      <c r="AJ193" s="2" t="inlineStr"/>
    </row>
    <row r="194">
      <c r="A194" s="2" t="n">
        <v>193</v>
      </c>
      <c r="B194" s="2" t="inlineStr">
        <is>
          <t>178C</t>
        </is>
      </c>
      <c r="C194" s="3" t="n">
        <v>45964.46388888889</v>
      </c>
      <c r="D194" s="2" t="inlineStr">
        <is>
          <t>Original</t>
        </is>
      </c>
      <c r="E194" s="2" t="inlineStr">
        <is>
          <t>CH</t>
        </is>
      </c>
      <c r="F19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94" s="2" t="inlineStr">
        <is>
          <t>Art. 136.º-A (aditamento)</t>
        </is>
      </c>
      <c r="H194" s="2" t="n"/>
      <c r="I194" s="2" t="n"/>
      <c r="J194" s="2" t="n"/>
      <c r="K194" s="2" t="n"/>
      <c r="L194" s="2" t="inlineStr">
        <is>
          <t>Artigo 136.º-A (Alteração ao Decreto-Lei n.º 167/2005 de 23 de setembro)</t>
        </is>
      </c>
      <c r="M194" s="4" t="n"/>
      <c r="N194" s="4" t="n"/>
      <c r="O194" s="2" t="n"/>
      <c r="P194" s="2" t="n"/>
      <c r="Q194" s="2" t="n"/>
      <c r="R194" s="2" t="n"/>
      <c r="S194" s="2" t="inlineStr">
        <is>
          <t>Rejeitado(a) em Comissão</t>
        </is>
      </c>
      <c r="T194" s="2" t="inlineStr">
        <is>
          <t>Rejeitada</t>
        </is>
      </c>
      <c r="U194" s="2" t="inlineStr">
        <is>
          <t>Favor: CH, BE, PAN; Contra: PSD, CDS-PP; Abstenção: PS, IL, L, PCP</t>
        </is>
      </c>
      <c r="V194" s="3" t="n">
        <v>45987</v>
      </c>
      <c r="W194" s="2" t="inlineStr">
        <is>
          <t>AR: https://www.parlamento.pt/OrcamentoEstado/Paginas/DetalhePropostaAlteracao.aspx?BID=23371 PDF: https://app.parlamento.pt/webutils/docs/doc.pdf?path=6148523063484d364c793942556b356c6443397a6158526c63793959566b6c4a544556484c3039464c7a49774d6a59794d4449314d5441774f533951515338345a444e6d4f446c6a4d43316d4d6a6b354c545177597a67744f574979596930344f5449305a5464684e44466c4e4755756347526d&amp;Fich=8d3f89c0-f299-40c8-9b2b-8924e7a41e4e.pdf&amp;Inline=true</t>
        </is>
      </c>
      <c r="X194" s="2" t="inlineStr">
        <is>
          <t>Defesa Nacional</t>
        </is>
      </c>
      <c r="Y194" s="2" t="inlineStr">
        <is>
          <t>Articulado</t>
        </is>
      </c>
      <c r="Z194" s="2" t="inlineStr">
        <is>
          <t>Aditamento (Artigo PPL)</t>
        </is>
      </c>
      <c r="AA194" s="2" t="inlineStr">
        <is>
          <t>Rejeitado(a) em Comissão</t>
        </is>
      </c>
      <c r="AB194" s="2" t="inlineStr"/>
      <c r="AC194" s="2" t="inlineStr"/>
      <c r="AD194" s="2" t="inlineStr">
        <is>
          <t>1</t>
        </is>
      </c>
      <c r="AE194" s="2" t="inlineStr">
        <is>
          <t>23371</t>
        </is>
      </c>
      <c r="AF194" s="2" t="inlineStr">
        <is>
          <t>https://www.parlamento.pt/OrcamentoEstado/Paginas/DetalhePropostaAlteracao.aspx?BID=23371</t>
        </is>
      </c>
      <c r="AG194" s="2" t="inlineStr">
        <is>
          <t>https://app.parlamento.pt/webutils/docs/doc.pdf?path=6148523063484d364c793942556b356c6443397a6158526c63793959566b6c4a544556484c3039464c7a49774d6a59794d4449314d5441774f533951515338345a444e6d4f446c6a4d43316d4d6a6b354c545177597a67744f574979596930344f5449305a5464684e44466c4e4755756347526d&amp;Fich=8d3f89c0-f299-40c8-9b2b-8924e7a41e4e.pdf&amp;Inline=true</t>
        </is>
      </c>
      <c r="AH194" s="3" t="n">
        <v>46321.77847222222</v>
      </c>
      <c r="AI194" s="3" t="n">
        <v>46321.78055555555</v>
      </c>
      <c r="AJ194" s="2" t="inlineStr"/>
    </row>
    <row r="195">
      <c r="A195" s="2" t="n">
        <v>194</v>
      </c>
      <c r="B195" s="2" t="inlineStr">
        <is>
          <t>179C</t>
        </is>
      </c>
      <c r="C195" s="3" t="n">
        <v>45964.46458333333</v>
      </c>
      <c r="D195" s="2" t="inlineStr">
        <is>
          <t>Original</t>
        </is>
      </c>
      <c r="E195" s="2" t="inlineStr">
        <is>
          <t>CH</t>
        </is>
      </c>
      <c r="F19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95" s="2" t="inlineStr">
        <is>
          <t>Art. 136.º-A (aditamento)</t>
        </is>
      </c>
      <c r="H195" s="2" t="n"/>
      <c r="I195" s="2" t="n"/>
      <c r="J195" s="2" t="n"/>
      <c r="K195" s="2" t="n"/>
      <c r="L195" s="2" t="inlineStr">
        <is>
          <t>Artigo 136.º-A (Melhoria das acessibilidades nas instalações dos edifícios das Instituições de Ensino Superior)</t>
        </is>
      </c>
      <c r="M195" s="4" t="n"/>
      <c r="N195" s="4" t="n"/>
      <c r="O195" s="2" t="n"/>
      <c r="P195" s="2" t="n"/>
      <c r="Q195" s="2" t="n"/>
      <c r="R195" s="2" t="n"/>
      <c r="S195" s="2" t="inlineStr">
        <is>
          <t>Rejeitado(a) em Comissão</t>
        </is>
      </c>
      <c r="T195" s="2" t="inlineStr">
        <is>
          <t>Rejeitada</t>
        </is>
      </c>
      <c r="U195" s="2" t="inlineStr">
        <is>
          <t>Favor: CH, IL, BE, PAN; Contra: PSD, CDS-PP; Abstenção: PS, L, PCP</t>
        </is>
      </c>
      <c r="V195" s="3" t="n">
        <v>45987</v>
      </c>
      <c r="W195" s="2" t="inlineStr">
        <is>
          <t>AR: https://www.parlamento.pt/OrcamentoEstado/Paginas/DetalhePropostaAlteracao.aspx?BID=23372 PDF: https://app.parlamento.pt/webutils/docs/doc.pdf?path=6148523063484d364c793942556b356c6443397a6158526c63793959566b6c4a544556484c3039464c7a49774d6a59794d4449314d5441774f533951515338325a4463795a5751304d6930304e5759784c5451354e474d74596a45354e4330314f5467324e5441354d6d526c4d474d756347526d&amp;Fich=6d72ed42-45f1-494c-b194-59865092de0c.pdf&amp;Inline=true</t>
        </is>
      </c>
      <c r="X195" s="2" t="inlineStr">
        <is>
          <t>Educação e Ciência</t>
        </is>
      </c>
      <c r="Y195" s="2" t="inlineStr">
        <is>
          <t>Articulado</t>
        </is>
      </c>
      <c r="Z195" s="2" t="inlineStr">
        <is>
          <t>Aditamento (Artigo PPL)</t>
        </is>
      </c>
      <c r="AA195" s="2" t="inlineStr">
        <is>
          <t>Rejeitado(a) em Comissão</t>
        </is>
      </c>
      <c r="AB195" s="2" t="inlineStr"/>
      <c r="AC195" s="2" t="inlineStr"/>
      <c r="AD195" s="2" t="inlineStr">
        <is>
          <t>1</t>
        </is>
      </c>
      <c r="AE195" s="2" t="inlineStr">
        <is>
          <t>23372</t>
        </is>
      </c>
      <c r="AF195" s="2" t="inlineStr">
        <is>
          <t>https://www.parlamento.pt/OrcamentoEstado/Paginas/DetalhePropostaAlteracao.aspx?BID=23372</t>
        </is>
      </c>
      <c r="AG195" s="2" t="inlineStr">
        <is>
          <t>https://app.parlamento.pt/webutils/docs/doc.pdf?path=6148523063484d364c793942556b356c6443397a6158526c63793959566b6c4a544556484c3039464c7a49774d6a59794d4449314d5441774f533951515338325a4463795a5751304d6930304e5759784c5451354e474d74596a45354e4330314f5467324e5441354d6d526c4d474d756347526d&amp;Fich=6d72ed42-45f1-494c-b194-59865092de0c.pdf&amp;Inline=true</t>
        </is>
      </c>
      <c r="AH195" s="3" t="n">
        <v>46321.77847222222</v>
      </c>
      <c r="AI195" s="3" t="n">
        <v>46321.78055555555</v>
      </c>
      <c r="AJ195" s="2" t="inlineStr"/>
    </row>
    <row r="196">
      <c r="A196" s="2" t="n">
        <v>195</v>
      </c>
      <c r="B196" s="2" t="inlineStr">
        <is>
          <t>180C</t>
        </is>
      </c>
      <c r="C196" s="3" t="n">
        <v>45964.48125</v>
      </c>
      <c r="D196" s="2" t="inlineStr">
        <is>
          <t>Original</t>
        </is>
      </c>
      <c r="E196" s="2" t="inlineStr">
        <is>
          <t>CH</t>
        </is>
      </c>
      <c r="F19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96" s="2" t="inlineStr">
        <is>
          <t>Art. 136.º-A (aditamento)</t>
        </is>
      </c>
      <c r="H196" s="2" t="n"/>
      <c r="I196" s="2" t="n"/>
      <c r="J196" s="2" t="n"/>
      <c r="K196" s="2" t="n"/>
      <c r="L196" s="2" t="inlineStr">
        <is>
          <t>Artigo 136.º-A (Alteração dos Estatutos da Rádio e Televisão de Portugal, S.A)</t>
        </is>
      </c>
      <c r="M196" s="4" t="n"/>
      <c r="N196" s="4" t="n"/>
      <c r="O196" s="2" t="n"/>
      <c r="P196" s="2" t="n"/>
      <c r="Q196" s="2" t="n"/>
      <c r="R196" s="2" t="n"/>
      <c r="S196" s="2" t="inlineStr">
        <is>
          <t>Rejeitado(a) em Comissão</t>
        </is>
      </c>
      <c r="T196" s="2" t="inlineStr">
        <is>
          <t>Rejeitada</t>
        </is>
      </c>
      <c r="U196" s="2" t="inlineStr">
        <is>
          <t>Favor: CH, IL; Contra: PSD, L, CDS-PP, BE, PAN; Abstenção: PS, PCP</t>
        </is>
      </c>
      <c r="V196" s="3" t="n">
        <v>45987</v>
      </c>
      <c r="W196" s="2" t="inlineStr">
        <is>
          <t>AR: https://www.parlamento.pt/OrcamentoEstado/Paginas/DetalhePropostaAlteracao.aspx?BID=23373 PDF: https://app.parlamento.pt/webutils/docs/doc.pdf?path=6148523063484d364c793942556b356c6443397a6158526c63793959566b6c4a544556484c3039464c7a49774d6a59794d4449314d5441774f533951515338355a544d7a593249314f43307a4e7a46694c5451304d6a6374595467784e53316d4d545534597a646a596d4a6c4f5467756347526d&amp;Fich=9e33cb58-371b-4427-a815-f158c7cbbe98.pdf&amp;Inline=true</t>
        </is>
      </c>
      <c r="X196" s="2" t="inlineStr">
        <is>
          <t>Cultura, Comunicação, Juventude e Desporto</t>
        </is>
      </c>
      <c r="Y196" s="2" t="inlineStr">
        <is>
          <t>Articulado</t>
        </is>
      </c>
      <c r="Z196" s="2" t="inlineStr">
        <is>
          <t>Aditamento (Artigo PPL)</t>
        </is>
      </c>
      <c r="AA196" s="2" t="inlineStr">
        <is>
          <t>Rejeitado(a) em Comissão</t>
        </is>
      </c>
      <c r="AB196" s="2" t="inlineStr"/>
      <c r="AC196" s="2" t="inlineStr"/>
      <c r="AD196" s="2" t="inlineStr">
        <is>
          <t>1</t>
        </is>
      </c>
      <c r="AE196" s="2" t="inlineStr">
        <is>
          <t>23373</t>
        </is>
      </c>
      <c r="AF196" s="2" t="inlineStr">
        <is>
          <t>https://www.parlamento.pt/OrcamentoEstado/Paginas/DetalhePropostaAlteracao.aspx?BID=23373</t>
        </is>
      </c>
      <c r="AG196" s="2" t="inlineStr">
        <is>
          <t>https://app.parlamento.pt/webutils/docs/doc.pdf?path=6148523063484d364c793942556b356c6443397a6158526c63793959566b6c4a544556484c3039464c7a49774d6a59794d4449314d5441774f533951515338355a544d7a593249314f43307a4e7a46694c5451304d6a6374595467784e53316d4d545534597a646a596d4a6c4f5467756347526d&amp;Fich=9e33cb58-371b-4427-a815-f158c7cbbe98.pdf&amp;Inline=true</t>
        </is>
      </c>
      <c r="AH196" s="3" t="n">
        <v>46321.77847222222</v>
      </c>
      <c r="AI196" s="3" t="n">
        <v>46321.78055555555</v>
      </c>
      <c r="AJ196" s="2" t="inlineStr"/>
    </row>
    <row r="197">
      <c r="A197" s="2" t="n">
        <v>196</v>
      </c>
      <c r="B197" s="2" t="inlineStr">
        <is>
          <t>181C</t>
        </is>
      </c>
      <c r="C197" s="3" t="n">
        <v>45964.48263888889</v>
      </c>
      <c r="D197" s="2" t="inlineStr">
        <is>
          <t>Original</t>
        </is>
      </c>
      <c r="E197" s="2" t="inlineStr">
        <is>
          <t>CH</t>
        </is>
      </c>
      <c r="F19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97" s="2" t="inlineStr">
        <is>
          <t>Art. 136.º-A (aditamento)</t>
        </is>
      </c>
      <c r="H197" s="2" t="n"/>
      <c r="I197" s="2" t="n"/>
      <c r="J197" s="2" t="n"/>
      <c r="K197" s="2" t="n"/>
      <c r="L197" s="2" t="inlineStr">
        <is>
          <t>Artigo 136.º-A (Alteração ao Decreto-Lei n.º 115/2018, de 21 de dezembro)</t>
        </is>
      </c>
      <c r="M197" s="4" t="n"/>
      <c r="N197" s="4" t="n"/>
      <c r="O197" s="2" t="n"/>
      <c r="P197" s="2" t="n"/>
      <c r="Q197" s="2" t="n"/>
      <c r="R197" s="2" t="n"/>
      <c r="S197" s="2" t="inlineStr">
        <is>
          <t>Rejeitado(a) em Comissão</t>
        </is>
      </c>
      <c r="T197" s="2" t="inlineStr">
        <is>
          <t>Rejeitada</t>
        </is>
      </c>
      <c r="U197" s="2" t="inlineStr">
        <is>
          <t>Favor: CH, BE, PAN; Contra: PSD, CDS-PP; Abstenção: PS, IL, L, PCP</t>
        </is>
      </c>
      <c r="V197" s="3" t="n">
        <v>45987</v>
      </c>
      <c r="W197" s="2" t="inlineStr">
        <is>
          <t>AR: https://www.parlamento.pt/OrcamentoEstado/Paginas/DetalhePropostaAlteracao.aspx?BID=23374 PDF: https://app.parlamento.pt/webutils/docs/doc.pdf?path=6148523063484d364c793942556b356c6443397a6158526c63793959566b6c4a544556484c3039464c7a49774d6a59794d4449314d5441774f533951515339684f575a6b4e474d324e4330784e3259784c545269597a55745954417a4d53316c4d4751344e6d5a69596d59794d4441756347526d&amp;Fich=a9fd4c64-17f1-4bc5-a031-e0d86fbbf200.pdf&amp;Inline=true</t>
        </is>
      </c>
      <c r="X197" s="2" t="inlineStr">
        <is>
          <t>Assuntos Constitucionais, Direitos, Liberdades e Garantias</t>
        </is>
      </c>
      <c r="Y197" s="2" t="inlineStr">
        <is>
          <t>Articulado</t>
        </is>
      </c>
      <c r="Z197" s="2" t="inlineStr">
        <is>
          <t>Aditamento (Artigo PPL)</t>
        </is>
      </c>
      <c r="AA197" s="2" t="inlineStr">
        <is>
          <t>Rejeitado(a) em Comissão</t>
        </is>
      </c>
      <c r="AB197" s="2" t="inlineStr"/>
      <c r="AC197" s="2" t="inlineStr"/>
      <c r="AD197" s="2" t="inlineStr">
        <is>
          <t>1</t>
        </is>
      </c>
      <c r="AE197" s="2" t="inlineStr">
        <is>
          <t>23374</t>
        </is>
      </c>
      <c r="AF197" s="2" t="inlineStr">
        <is>
          <t>https://www.parlamento.pt/OrcamentoEstado/Paginas/DetalhePropostaAlteracao.aspx?BID=23374</t>
        </is>
      </c>
      <c r="AG197" s="2" t="inlineStr">
        <is>
          <t>https://app.parlamento.pt/webutils/docs/doc.pdf?path=6148523063484d364c793942556b356c6443397a6158526c63793959566b6c4a544556484c3039464c7a49774d6a59794d4449314d5441774f533951515339684f575a6b4e474d324e4330784e3259784c545269597a55745954417a4d53316c4d4751344e6d5a69596d59794d4441756347526d&amp;Fich=a9fd4c64-17f1-4bc5-a031-e0d86fbbf200.pdf&amp;Inline=true</t>
        </is>
      </c>
      <c r="AH197" s="3" t="n">
        <v>46321.77847222222</v>
      </c>
      <c r="AI197" s="3" t="n">
        <v>46321.78055555555</v>
      </c>
      <c r="AJ197" s="2" t="inlineStr"/>
    </row>
    <row r="198">
      <c r="A198" s="2" t="n">
        <v>197</v>
      </c>
      <c r="B198" s="2" t="inlineStr">
        <is>
          <t>182C</t>
        </is>
      </c>
      <c r="C198" s="3" t="n">
        <v>45964.48333333333</v>
      </c>
      <c r="D198" s="2" t="inlineStr">
        <is>
          <t>Original</t>
        </is>
      </c>
      <c r="E198" s="2" t="inlineStr">
        <is>
          <t>CH</t>
        </is>
      </c>
      <c r="F19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98" s="2" t="inlineStr">
        <is>
          <t>Art. 136.º-A (aditamento)</t>
        </is>
      </c>
      <c r="H198" s="2" t="n"/>
      <c r="I198" s="2" t="n"/>
      <c r="J198" s="2" t="n"/>
      <c r="K198" s="2" t="n"/>
      <c r="L198" s="2" t="inlineStr">
        <is>
          <t>Artigo 136.º-A (Reabilitação da sede do comando distrital da PSP Santarém)</t>
        </is>
      </c>
      <c r="M198" s="4" t="n"/>
      <c r="N198" s="4" t="n"/>
      <c r="O198" s="2" t="n"/>
      <c r="P198" s="2" t="n"/>
      <c r="Q198" s="2" t="n"/>
      <c r="R198" s="2" t="n"/>
      <c r="S198" s="2" t="inlineStr">
        <is>
          <t>Rejeitado(a) em Comissão</t>
        </is>
      </c>
      <c r="T198" s="2" t="inlineStr">
        <is>
          <t>Rejeitada</t>
        </is>
      </c>
      <c r="U198" s="2" t="inlineStr">
        <is>
          <t>Favor: CH, BE, PAN; Contra: PSD, CDS-PP; Abstenção: PS, IL, L, PCP</t>
        </is>
      </c>
      <c r="V198" s="3" t="n">
        <v>45987</v>
      </c>
      <c r="W198" s="2" t="inlineStr">
        <is>
          <t>AR: https://www.parlamento.pt/OrcamentoEstado/Paginas/DetalhePropostaAlteracao.aspx?BID=23375 PDF: https://app.parlamento.pt/webutils/docs/doc.pdf?path=6148523063484d364c793942556b356c6443397a6158526c63793959566b6c4a544556484c3039464c7a49774d6a59794d4449314d5441774f53395151533969597a686b5a4456684d5331685a546b354c5451775a545574596a49785a53316a4d7a52684d5467774e5467334d5751756347526d&amp;Fich=bc8dd5a1-ae99-40e5-b21e-c34a1805871d.pdf&amp;Inline=true</t>
        </is>
      </c>
      <c r="X198" s="2" t="inlineStr">
        <is>
          <t>Assuntos Constitucionais, Direitos, Liberdades e Garantias</t>
        </is>
      </c>
      <c r="Y198" s="2" t="inlineStr">
        <is>
          <t>Articulado</t>
        </is>
      </c>
      <c r="Z198" s="2" t="inlineStr">
        <is>
          <t>Aditamento (Artigo PPL)</t>
        </is>
      </c>
      <c r="AA198" s="2" t="inlineStr">
        <is>
          <t>Rejeitado(a) em Comissão</t>
        </is>
      </c>
      <c r="AB198" s="2" t="inlineStr"/>
      <c r="AC198" s="2" t="inlineStr"/>
      <c r="AD198" s="2" t="inlineStr">
        <is>
          <t>1</t>
        </is>
      </c>
      <c r="AE198" s="2" t="inlineStr">
        <is>
          <t>23375</t>
        </is>
      </c>
      <c r="AF198" s="2" t="inlineStr">
        <is>
          <t>https://www.parlamento.pt/OrcamentoEstado/Paginas/DetalhePropostaAlteracao.aspx?BID=23375</t>
        </is>
      </c>
      <c r="AG198" s="2" t="inlineStr">
        <is>
          <t>https://app.parlamento.pt/webutils/docs/doc.pdf?path=6148523063484d364c793942556b356c6443397a6158526c63793959566b6c4a544556484c3039464c7a49774d6a59794d4449314d5441774f53395151533969597a686b5a4456684d5331685a546b354c5451775a545574596a49785a53316a4d7a52684d5467774e5467334d5751756347526d&amp;Fich=bc8dd5a1-ae99-40e5-b21e-c34a1805871d.pdf&amp;Inline=true</t>
        </is>
      </c>
      <c r="AH198" s="3" t="n">
        <v>46321.77847222222</v>
      </c>
      <c r="AI198" s="3" t="n">
        <v>46321.78055555555</v>
      </c>
      <c r="AJ198" s="2" t="inlineStr"/>
    </row>
    <row r="199">
      <c r="A199" s="2" t="n">
        <v>198</v>
      </c>
      <c r="B199" s="2" t="inlineStr">
        <is>
          <t>183C</t>
        </is>
      </c>
      <c r="C199" s="3" t="n">
        <v>45964.48402777778</v>
      </c>
      <c r="D199" s="2" t="inlineStr">
        <is>
          <t>Original</t>
        </is>
      </c>
      <c r="E199" s="2" t="inlineStr">
        <is>
          <t>CH</t>
        </is>
      </c>
      <c r="F19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199" s="2" t="inlineStr">
        <is>
          <t>Art. 136.º-A (aditamento)</t>
        </is>
      </c>
      <c r="H199" s="2" t="n"/>
      <c r="I199" s="2" t="n"/>
      <c r="J199" s="2" t="n"/>
      <c r="K199" s="2" t="n"/>
      <c r="L199" s="2" t="inlineStr">
        <is>
          <t>Artigo 136.º-A (Reforço da formação dos Magistrados do Ministério Público em relação ao crime de abuso sexual de menores)</t>
        </is>
      </c>
      <c r="M199" s="4" t="n"/>
      <c r="N199" s="4" t="n"/>
      <c r="O199" s="2" t="n"/>
      <c r="P199" s="2" t="n"/>
      <c r="Q199" s="2" t="n"/>
      <c r="R199" s="2" t="n"/>
      <c r="S199" s="2" t="inlineStr">
        <is>
          <t>Rejeitado(a) em Comissão</t>
        </is>
      </c>
      <c r="T199" s="2" t="inlineStr">
        <is>
          <t>Rejeitada</t>
        </is>
      </c>
      <c r="U199" s="2" t="inlineStr">
        <is>
          <t>Favor: CH, IL, BE, PAN; Contra: PSD, CDS-PP; Abstenção: PS, L, PCP</t>
        </is>
      </c>
      <c r="V199" s="3" t="n">
        <v>45987</v>
      </c>
      <c r="W199" s="2" t="inlineStr">
        <is>
          <t>AR: https://www.parlamento.pt/OrcamentoEstado/Paginas/DetalhePropostaAlteracao.aspx?BID=23376 PDF: https://app.parlamento.pt/webutils/docs/doc.pdf?path=6148523063484d364c793942556b356c6443397a6158526c63793959566b6c4a544556484c3039464c7a49774d6a59794d4449314d5441774f53395151533878596a41315a44566d4e5331684e444d7a4c54517a597a6774596d49314d4330344e4745355a4456684e6d49344d5755756347526d&amp;Fich=1b05d5f5-a433-43c8-bb50-84a9d5a6b81e.pdf&amp;Inline=true</t>
        </is>
      </c>
      <c r="X199" s="2" t="inlineStr">
        <is>
          <t>Assuntos Constitucionais, Direitos, Liberdades e Garantias</t>
        </is>
      </c>
      <c r="Y199" s="2" t="inlineStr">
        <is>
          <t>Articulado</t>
        </is>
      </c>
      <c r="Z199" s="2" t="inlineStr">
        <is>
          <t>Aditamento (Artigo PPL)</t>
        </is>
      </c>
      <c r="AA199" s="2" t="inlineStr">
        <is>
          <t>Rejeitado(a) em Comissão</t>
        </is>
      </c>
      <c r="AB199" s="2" t="inlineStr"/>
      <c r="AC199" s="2" t="inlineStr"/>
      <c r="AD199" s="2" t="inlineStr">
        <is>
          <t>1</t>
        </is>
      </c>
      <c r="AE199" s="2" t="inlineStr">
        <is>
          <t>23376</t>
        </is>
      </c>
      <c r="AF199" s="2" t="inlineStr">
        <is>
          <t>https://www.parlamento.pt/OrcamentoEstado/Paginas/DetalhePropostaAlteracao.aspx?BID=23376</t>
        </is>
      </c>
      <c r="AG199" s="2" t="inlineStr">
        <is>
          <t>https://app.parlamento.pt/webutils/docs/doc.pdf?path=6148523063484d364c793942556b356c6443397a6158526c63793959566b6c4a544556484c3039464c7a49774d6a59794d4449314d5441774f53395151533878596a41315a44566d4e5331684e444d7a4c54517a597a6774596d49314d4330344e4745355a4456684e6d49344d5755756347526d&amp;Fich=1b05d5f5-a433-43c8-bb50-84a9d5a6b81e.pdf&amp;Inline=true</t>
        </is>
      </c>
      <c r="AH199" s="3" t="n">
        <v>46321.77847222222</v>
      </c>
      <c r="AI199" s="3" t="n">
        <v>46321.78055555555</v>
      </c>
      <c r="AJ199" s="2" t="inlineStr"/>
    </row>
    <row r="200">
      <c r="A200" s="2" t="n">
        <v>199</v>
      </c>
      <c r="B200" s="2" t="inlineStr">
        <is>
          <t>184C</t>
        </is>
      </c>
      <c r="C200" s="3" t="n">
        <v>45964.48541666667</v>
      </c>
      <c r="D200" s="2" t="inlineStr">
        <is>
          <t>Original</t>
        </is>
      </c>
      <c r="E200" s="2" t="inlineStr">
        <is>
          <t>CH</t>
        </is>
      </c>
      <c r="F20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00" s="2" t="inlineStr">
        <is>
          <t>Art. 136.º-A (aditamento)</t>
        </is>
      </c>
      <c r="H200" s="2" t="n"/>
      <c r="I200" s="2" t="n"/>
      <c r="J200" s="2" t="n"/>
      <c r="K200" s="2" t="n"/>
      <c r="L200" s="2" t="inlineStr">
        <is>
          <t>Artigo 136.º-A (Reforço do policiamento comunitário)</t>
        </is>
      </c>
      <c r="M200" s="4" t="n"/>
      <c r="N200" s="4" t="n"/>
      <c r="O200" s="2" t="n"/>
      <c r="P200" s="2" t="n"/>
      <c r="Q200" s="2" t="n"/>
      <c r="R200" s="2" t="n"/>
      <c r="S200" s="2" t="inlineStr">
        <is>
          <t>Rejeitado(a) em Comissão</t>
        </is>
      </c>
      <c r="T200" s="2" t="inlineStr">
        <is>
          <t>Rejeitada</t>
        </is>
      </c>
      <c r="U200" s="2" t="inlineStr">
        <is>
          <t>Favor: CH; Contra: PSD, PCP, CDS-PP, PAN; Abstenção: PS, IL, L, BE</t>
        </is>
      </c>
      <c r="V200" s="3" t="n">
        <v>45987</v>
      </c>
      <c r="W200" s="2" t="inlineStr">
        <is>
          <t>AR: https://www.parlamento.pt/OrcamentoEstado/Paginas/DetalhePropostaAlteracao.aspx?BID=23377 PDF: https://app.parlamento.pt/webutils/docs/doc.pdf?path=6148523063484d364c793942556b356c6443397a6158526c63793959566b6c4a544556484c3039464c7a49774d6a59794d4449314d5441774f53395151533835593249774e574e6d4e5330325a5459794c5451314e5445744f474a6d4e4330344d44466c4d6d45785a6a51774d4451756347526d&amp;Fich=9cb05cf5-6e62-4551-8bf4-801e2a1f4004.pdf&amp;Inline=true</t>
        </is>
      </c>
      <c r="X200" s="2" t="inlineStr">
        <is>
          <t>Assuntos Constitucionais, Direitos, Liberdades e Garantias</t>
        </is>
      </c>
      <c r="Y200" s="2" t="inlineStr">
        <is>
          <t>Articulado</t>
        </is>
      </c>
      <c r="Z200" s="2" t="inlineStr">
        <is>
          <t>Aditamento (Artigo PPL)</t>
        </is>
      </c>
      <c r="AA200" s="2" t="inlineStr">
        <is>
          <t>Rejeitado(a) em Comissão</t>
        </is>
      </c>
      <c r="AB200" s="2" t="inlineStr"/>
      <c r="AC200" s="2" t="inlineStr"/>
      <c r="AD200" s="2" t="inlineStr">
        <is>
          <t>1</t>
        </is>
      </c>
      <c r="AE200" s="2" t="inlineStr">
        <is>
          <t>23377</t>
        </is>
      </c>
      <c r="AF200" s="2" t="inlineStr">
        <is>
          <t>https://www.parlamento.pt/OrcamentoEstado/Paginas/DetalhePropostaAlteracao.aspx?BID=23377</t>
        </is>
      </c>
      <c r="AG200" s="2" t="inlineStr">
        <is>
          <t>https://app.parlamento.pt/webutils/docs/doc.pdf?path=6148523063484d364c793942556b356c6443397a6158526c63793959566b6c4a544556484c3039464c7a49774d6a59794d4449314d5441774f53395151533835593249774e574e6d4e5330325a5459794c5451314e5445744f474a6d4e4330344d44466c4d6d45785a6a51774d4451756347526d&amp;Fich=9cb05cf5-6e62-4551-8bf4-801e2a1f4004.pdf&amp;Inline=true</t>
        </is>
      </c>
      <c r="AH200" s="3" t="n">
        <v>46321.77847222222</v>
      </c>
      <c r="AI200" s="3" t="n">
        <v>46321.78055555555</v>
      </c>
      <c r="AJ200" s="2" t="inlineStr"/>
    </row>
    <row r="201">
      <c r="A201" s="2" t="n">
        <v>200</v>
      </c>
      <c r="B201" s="2" t="inlineStr">
        <is>
          <t>185C</t>
        </is>
      </c>
      <c r="C201" s="3" t="n">
        <v>45964.48611111111</v>
      </c>
      <c r="D201" s="2" t="inlineStr">
        <is>
          <t>Original</t>
        </is>
      </c>
      <c r="E201" s="2" t="inlineStr">
        <is>
          <t>CH</t>
        </is>
      </c>
      <c r="F20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01" s="2" t="inlineStr">
        <is>
          <t>Art. 136.º-A (aditamento)</t>
        </is>
      </c>
      <c r="H201" s="2" t="n"/>
      <c r="I201" s="2" t="n"/>
      <c r="J201" s="2" t="n"/>
      <c r="K201" s="2" t="n"/>
      <c r="L201" s="2" t="inlineStr">
        <is>
          <t>Artigo 136.º-A (Reforço da formação e de meios para o combate ao tráfico de seres humanos)</t>
        </is>
      </c>
      <c r="M201" s="4" t="n"/>
      <c r="N201" s="4" t="n"/>
      <c r="O201" s="2" t="n"/>
      <c r="P201" s="2" t="n"/>
      <c r="Q201" s="2" t="n"/>
      <c r="R201" s="2" t="n"/>
      <c r="S201" s="2" t="inlineStr">
        <is>
          <t>Rejeitado(a) em Comissão</t>
        </is>
      </c>
      <c r="T201" s="2" t="inlineStr">
        <is>
          <t>Rejeitada</t>
        </is>
      </c>
      <c r="U201" s="2" t="inlineStr">
        <is>
          <t>Favor: CH, IL, BE, PAN; Contra: PSD, CDS-PP; Abstenção: PS, L, PCP</t>
        </is>
      </c>
      <c r="V201" s="3" t="n">
        <v>45987</v>
      </c>
      <c r="W201" s="2" t="inlineStr">
        <is>
          <t>AR: https://www.parlamento.pt/OrcamentoEstado/Paginas/DetalhePropostaAlteracao.aspx?BID=23378 PDF: https://app.parlamento.pt/webutils/docs/doc.pdf?path=6148523063484d364c793942556b356c6443397a6158526c63793959566b6c4a544556484c3039464c7a49774d6a59794d4449314d5441774f533951515338775a6a52684e6a4d355a6930344d5459314c54526959574d74596d59304d793034595749354f4759354d546c694e5745756347526d&amp;Fich=0f4a639f-8165-4bac-bf43-8ab98f919b5a.pdf&amp;Inline=true</t>
        </is>
      </c>
      <c r="X201" s="2" t="inlineStr">
        <is>
          <t>Assuntos Constitucionais, Direitos, Liberdades e Garantias</t>
        </is>
      </c>
      <c r="Y201" s="2" t="inlineStr">
        <is>
          <t>Articulado</t>
        </is>
      </c>
      <c r="Z201" s="2" t="inlineStr">
        <is>
          <t>Aditamento (Artigo PPL)</t>
        </is>
      </c>
      <c r="AA201" s="2" t="inlineStr">
        <is>
          <t>Rejeitado(a) em Comissão</t>
        </is>
      </c>
      <c r="AB201" s="2" t="inlineStr"/>
      <c r="AC201" s="2" t="inlineStr"/>
      <c r="AD201" s="2" t="inlineStr">
        <is>
          <t>1</t>
        </is>
      </c>
      <c r="AE201" s="2" t="inlineStr">
        <is>
          <t>23378</t>
        </is>
      </c>
      <c r="AF201" s="2" t="inlineStr">
        <is>
          <t>https://www.parlamento.pt/OrcamentoEstado/Paginas/DetalhePropostaAlteracao.aspx?BID=23378</t>
        </is>
      </c>
      <c r="AG201" s="2" t="inlineStr">
        <is>
          <t>https://app.parlamento.pt/webutils/docs/doc.pdf?path=6148523063484d364c793942556b356c6443397a6158526c63793959566b6c4a544556484c3039464c7a49774d6a59794d4449314d5441774f533951515338775a6a52684e6a4d355a6930344d5459314c54526959574d74596d59304d793034595749354f4759354d546c694e5745756347526d&amp;Fich=0f4a639f-8165-4bac-bf43-8ab98f919b5a.pdf&amp;Inline=true</t>
        </is>
      </c>
      <c r="AH201" s="3" t="n">
        <v>46321.77847222222</v>
      </c>
      <c r="AI201" s="3" t="n">
        <v>46321.78055555555</v>
      </c>
      <c r="AJ201" s="2" t="inlineStr"/>
    </row>
    <row r="202">
      <c r="A202" s="2" t="n">
        <v>201</v>
      </c>
      <c r="B202" s="2" t="inlineStr">
        <is>
          <t>186C</t>
        </is>
      </c>
      <c r="C202" s="3" t="n">
        <v>45964.48680555556</v>
      </c>
      <c r="D202" s="2" t="inlineStr">
        <is>
          <t>Original</t>
        </is>
      </c>
      <c r="E202" s="2" t="inlineStr">
        <is>
          <t>CH</t>
        </is>
      </c>
      <c r="F20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02" s="2" t="inlineStr">
        <is>
          <t>Art. 136.º-A (aditamento)</t>
        </is>
      </c>
      <c r="H202" s="2" t="n"/>
      <c r="I202" s="2" t="n"/>
      <c r="J202" s="2" t="n"/>
      <c r="K202" s="2" t="n"/>
      <c r="L202" s="2" t="inlineStr">
        <is>
          <t>Artigo 136.º-A (Alteração ao Decreto-Lei n.º 76/2018, 11 de outubro, que aprova o Regulamento de Incentivos à Prestação de Serviço Militar nos Diferentes Regimes de Contrato e no Regime de Voluntariado)</t>
        </is>
      </c>
      <c r="M202" s="4" t="n"/>
      <c r="N202" s="4" t="n"/>
      <c r="O202" s="2" t="n"/>
      <c r="P202" s="2" t="n"/>
      <c r="Q202" s="2" t="n"/>
      <c r="R202" s="2" t="n"/>
      <c r="S202" s="2" t="inlineStr">
        <is>
          <t>Rejeitado(a) em Comissão</t>
        </is>
      </c>
      <c r="T202" s="2" t="inlineStr">
        <is>
          <t>Rejeitada</t>
        </is>
      </c>
      <c r="U202" s="2" t="inlineStr">
        <is>
          <t>Favor: CH, IL, PAN; Contra: PSD, CDS-PP, BE; Abstenção: PS, L, PCP</t>
        </is>
      </c>
      <c r="V202" s="3" t="n">
        <v>45987</v>
      </c>
      <c r="W202" s="2" t="inlineStr">
        <is>
          <t>AR: https://www.parlamento.pt/OrcamentoEstado/Paginas/DetalhePropostaAlteracao.aspx?BID=23379 PDF: https://app.parlamento.pt/webutils/docs/doc.pdf?path=6148523063484d364c793942556b356c6443397a6158526c63793959566b6c4a544556484c3039464c7a49774d6a59794d4449314d5441774f533951515338354e6d5a6c596a63785a4331694e5449304c5451794d324574596a6b794d43316b4f4752684f5441305a545532596d55756347526d&amp;Fich=96feb71d-b524-423a-b920-d8da904e56be.pdf&amp;Inline=true</t>
        </is>
      </c>
      <c r="X202" s="2" t="inlineStr">
        <is>
          <t>Assuntos Constitucionais, Direitos, Liberdades e Garantias</t>
        </is>
      </c>
      <c r="Y202" s="2" t="inlineStr">
        <is>
          <t>Articulado</t>
        </is>
      </c>
      <c r="Z202" s="2" t="inlineStr">
        <is>
          <t>Aditamento (Artigo PPL)</t>
        </is>
      </c>
      <c r="AA202" s="2" t="inlineStr">
        <is>
          <t>Rejeitado(a) em Comissão</t>
        </is>
      </c>
      <c r="AB202" s="2" t="inlineStr"/>
      <c r="AC202" s="2" t="inlineStr"/>
      <c r="AD202" s="2" t="inlineStr">
        <is>
          <t>1</t>
        </is>
      </c>
      <c r="AE202" s="2" t="inlineStr">
        <is>
          <t>23379</t>
        </is>
      </c>
      <c r="AF202" s="2" t="inlineStr">
        <is>
          <t>https://www.parlamento.pt/OrcamentoEstado/Paginas/DetalhePropostaAlteracao.aspx?BID=23379</t>
        </is>
      </c>
      <c r="AG202" s="2" t="inlineStr">
        <is>
          <t>https://app.parlamento.pt/webutils/docs/doc.pdf?path=6148523063484d364c793942556b356c6443397a6158526c63793959566b6c4a544556484c3039464c7a49774d6a59794d4449314d5441774f533951515338354e6d5a6c596a63785a4331694e5449304c5451794d324574596a6b794d43316b4f4752684f5441305a545532596d55756347526d&amp;Fich=96feb71d-b524-423a-b920-d8da904e56be.pdf&amp;Inline=true</t>
        </is>
      </c>
      <c r="AH202" s="3" t="n">
        <v>46321.77847222222</v>
      </c>
      <c r="AI202" s="3" t="n">
        <v>46321.78055555555</v>
      </c>
      <c r="AJ202" s="2" t="inlineStr"/>
    </row>
    <row r="203">
      <c r="A203" s="2" t="n">
        <v>202</v>
      </c>
      <c r="B203" s="2" t="inlineStr">
        <is>
          <t>187C</t>
        </is>
      </c>
      <c r="C203" s="3" t="n">
        <v>45964.48819444444</v>
      </c>
      <c r="D203" s="2" t="inlineStr">
        <is>
          <t>Original</t>
        </is>
      </c>
      <c r="E203" s="2" t="inlineStr">
        <is>
          <t>CH</t>
        </is>
      </c>
      <c r="F20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03" s="2" t="inlineStr">
        <is>
          <t>Art. 136.º-A (aditamento)</t>
        </is>
      </c>
      <c r="H203" s="2" t="n"/>
      <c r="I203" s="2" t="n"/>
      <c r="J203" s="2" t="n"/>
      <c r="K203" s="2" t="n"/>
      <c r="L203" s="2" t="inlineStr">
        <is>
          <t>Artigo 136.º-A (Requalificação do Tribunal de Fafe)</t>
        </is>
      </c>
      <c r="M203" s="4" t="n"/>
      <c r="N203" s="4" t="n"/>
      <c r="O203" s="2" t="n"/>
      <c r="P203" s="2" t="n"/>
      <c r="Q203" s="2" t="n"/>
      <c r="R203" s="2" t="n"/>
      <c r="S203" s="2" t="inlineStr">
        <is>
          <t>Rejeitado(a) em Comissão</t>
        </is>
      </c>
      <c r="T203" s="2" t="inlineStr">
        <is>
          <t>Rejeitada</t>
        </is>
      </c>
      <c r="U203" s="2" t="inlineStr">
        <is>
          <t>Favor: CH, IL, BE, PAN; Contra: PSD, CDS-PP; Abstenção: PS, L, PCP</t>
        </is>
      </c>
      <c r="V203" s="3" t="n">
        <v>45987</v>
      </c>
      <c r="W203" s="2" t="inlineStr">
        <is>
          <t>AR: https://www.parlamento.pt/OrcamentoEstado/Paginas/DetalhePropostaAlteracao.aspx?BID=23380 PDF: https://app.parlamento.pt/webutils/docs/doc.pdf?path=6148523063484d364c793942556b356c6443397a6158526c63793959566b6c4a544556484c3039464c7a49774d6a59794d4449314d5441774f533951515338784e4455774d6a51334e4330314e6a49324c545177596a6374596a45304e69303059325a684f5752694e546b30596d4d756347526d&amp;Fich=14502474-5626-40b7-b146-4cfa9db594bc.pdf&amp;Inline=true</t>
        </is>
      </c>
      <c r="X203" s="2" t="inlineStr">
        <is>
          <t>Assuntos Constitucionais, Direitos, Liberdades e Garantias</t>
        </is>
      </c>
      <c r="Y203" s="2" t="inlineStr">
        <is>
          <t>Articulado</t>
        </is>
      </c>
      <c r="Z203" s="2" t="inlineStr">
        <is>
          <t>Aditamento (Artigo PPL)</t>
        </is>
      </c>
      <c r="AA203" s="2" t="inlineStr">
        <is>
          <t>Rejeitado(a) em Comissão</t>
        </is>
      </c>
      <c r="AB203" s="2" t="inlineStr"/>
      <c r="AC203" s="2" t="inlineStr"/>
      <c r="AD203" s="2" t="inlineStr">
        <is>
          <t>1</t>
        </is>
      </c>
      <c r="AE203" s="2" t="inlineStr">
        <is>
          <t>23380</t>
        </is>
      </c>
      <c r="AF203" s="2" t="inlineStr">
        <is>
          <t>https://www.parlamento.pt/OrcamentoEstado/Paginas/DetalhePropostaAlteracao.aspx?BID=23380</t>
        </is>
      </c>
      <c r="AG203" s="2" t="inlineStr">
        <is>
          <t>https://app.parlamento.pt/webutils/docs/doc.pdf?path=6148523063484d364c793942556b356c6443397a6158526c63793959566b6c4a544556484c3039464c7a49774d6a59794d4449314d5441774f533951515338784e4455774d6a51334e4330314e6a49324c545177596a6374596a45304e69303059325a684f5752694e546b30596d4d756347526d&amp;Fich=14502474-5626-40b7-b146-4cfa9db594bc.pdf&amp;Inline=true</t>
        </is>
      </c>
      <c r="AH203" s="3" t="n">
        <v>46321.77847222222</v>
      </c>
      <c r="AI203" s="3" t="n">
        <v>46321.78055555555</v>
      </c>
      <c r="AJ203" s="2" t="inlineStr"/>
    </row>
    <row r="204">
      <c r="A204" s="2" t="n">
        <v>203</v>
      </c>
      <c r="B204" s="2" t="inlineStr">
        <is>
          <t>188C</t>
        </is>
      </c>
      <c r="C204" s="3" t="n">
        <v>45964.48888888889</v>
      </c>
      <c r="D204" s="2" t="inlineStr">
        <is>
          <t>Original</t>
        </is>
      </c>
      <c r="E204" s="2" t="inlineStr">
        <is>
          <t>CH</t>
        </is>
      </c>
      <c r="F20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04" s="2" t="inlineStr">
        <is>
          <t>Art. 136.º-A (aditamento)</t>
        </is>
      </c>
      <c r="H204" s="2" t="n"/>
      <c r="I204" s="2" t="n"/>
      <c r="J204" s="2" t="n"/>
      <c r="K204" s="2" t="n"/>
      <c r="L204" s="2" t="inlineStr">
        <is>
          <t>Artigo 136.º-A (Revisão das Carreiras e Tabelas Salariais nas Forças Armadas)</t>
        </is>
      </c>
      <c r="M204" s="4" t="n"/>
      <c r="N204" s="4" t="n"/>
      <c r="O204" s="2" t="n"/>
      <c r="P204" s="2" t="n"/>
      <c r="Q204" s="2" t="n"/>
      <c r="R204" s="2" t="n"/>
      <c r="S204" s="2" t="inlineStr">
        <is>
          <t>Rejeitado(a) em Comissão</t>
        </is>
      </c>
      <c r="T204" s="2" t="inlineStr">
        <is>
          <t>Rejeitada</t>
        </is>
      </c>
      <c r="U204" s="2" t="inlineStr">
        <is>
          <t>Favor: CH, IL, BE, PAN; Contra: PSD, CDS-PP; Abstenção: PS, L, PCP</t>
        </is>
      </c>
      <c r="V204" s="3" t="n">
        <v>45987</v>
      </c>
      <c r="W204" s="2" t="inlineStr">
        <is>
          <t>AR: https://www.parlamento.pt/OrcamentoEstado/Paginas/DetalhePropostaAlteracao.aspx?BID=23381 PDF: https://app.parlamento.pt/webutils/docs/doc.pdf?path=6148523063484d364c793942556b356c6443397a6158526c63793959566b6c4a544556484c3039464c7a49774d6a59794d4449314d5441774f5339515153396d596a466d4d444d794d433168596d566a4c5451304d44517459544d784d5330304d4749784e574d324f57566d4e5463756347526d&amp;Fich=fb1f0320-abec-4404-a311-40b15c69ef57.pdf&amp;Inline=true</t>
        </is>
      </c>
      <c r="X204" s="2" t="inlineStr">
        <is>
          <t>Assuntos Constitucionais, Direitos, Liberdades e Garantias; Defesa Nacional</t>
        </is>
      </c>
      <c r="Y204" s="2" t="inlineStr">
        <is>
          <t>Articulado</t>
        </is>
      </c>
      <c r="Z204" s="2" t="inlineStr">
        <is>
          <t>Aditamento (Artigo PPL)</t>
        </is>
      </c>
      <c r="AA204" s="2" t="inlineStr">
        <is>
          <t>Rejeitado(a) em Comissão</t>
        </is>
      </c>
      <c r="AB204" s="2" t="inlineStr"/>
      <c r="AC204" s="2" t="inlineStr"/>
      <c r="AD204" s="2" t="inlineStr">
        <is>
          <t>1</t>
        </is>
      </c>
      <c r="AE204" s="2" t="inlineStr">
        <is>
          <t>23381</t>
        </is>
      </c>
      <c r="AF204" s="2" t="inlineStr">
        <is>
          <t>https://www.parlamento.pt/OrcamentoEstado/Paginas/DetalhePropostaAlteracao.aspx?BID=23381</t>
        </is>
      </c>
      <c r="AG204" s="2" t="inlineStr">
        <is>
          <t>https://app.parlamento.pt/webutils/docs/doc.pdf?path=6148523063484d364c793942556b356c6443397a6158526c63793959566b6c4a544556484c3039464c7a49774d6a59794d4449314d5441774f5339515153396d596a466d4d444d794d433168596d566a4c5451304d44517459544d784d5330304d4749784e574d324f57566d4e5463756347526d&amp;Fich=fb1f0320-abec-4404-a311-40b15c69ef57.pdf&amp;Inline=true</t>
        </is>
      </c>
      <c r="AH204" s="3" t="n">
        <v>46321.77847222222</v>
      </c>
      <c r="AI204" s="3" t="n">
        <v>46321.78055555555</v>
      </c>
      <c r="AJ204" s="2" t="inlineStr"/>
    </row>
    <row r="205">
      <c r="A205" s="2" t="n">
        <v>204</v>
      </c>
      <c r="B205" s="2" t="inlineStr">
        <is>
          <t>189C</t>
        </is>
      </c>
      <c r="C205" s="3" t="n">
        <v>45964.48958333334</v>
      </c>
      <c r="D205" s="2" t="inlineStr">
        <is>
          <t>Original</t>
        </is>
      </c>
      <c r="E205" s="2" t="inlineStr">
        <is>
          <t>CH</t>
        </is>
      </c>
      <c r="F20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05" s="2" t="inlineStr">
        <is>
          <t>Art. 136.º-A (aditamento)</t>
        </is>
      </c>
      <c r="H205" s="2" t="n"/>
      <c r="I205" s="2" t="n"/>
      <c r="J205" s="2" t="n"/>
      <c r="K205" s="2" t="n"/>
      <c r="L205" s="2" t="inlineStr">
        <is>
          <t>Artigo 136.º-A (Expansão do regadio da Cova da Beira)</t>
        </is>
      </c>
      <c r="M205" s="4" t="n"/>
      <c r="N205" s="4" t="n"/>
      <c r="O205" s="2" t="n"/>
      <c r="P205" s="2" t="n"/>
      <c r="Q205" s="2" t="n"/>
      <c r="R205" s="2" t="n"/>
      <c r="S205" s="2" t="inlineStr">
        <is>
          <t>Aprovado(a) em Comissão</t>
        </is>
      </c>
      <c r="T205" s="2" t="inlineStr">
        <is>
          <t>Aprovada</t>
        </is>
      </c>
      <c r="U205" s="2" t="inlineStr">
        <is>
          <t>Favor: CH, PS, IL; Contra: PSD, L, CDS-PP, BE, PAN; Abstenção: PCP</t>
        </is>
      </c>
      <c r="V205" s="3" t="n">
        <v>45987</v>
      </c>
      <c r="W205" s="2" t="inlineStr">
        <is>
          <t>AR: https://www.parlamento.pt/OrcamentoEstado/Paginas/DetalhePropostaAlteracao.aspx?BID=23382 PDF: https://app.parlamento.pt/webutils/docs/doc.pdf?path=6148523063484d364c793942556b356c6443397a6158526c63793959566b6c4a544556484c3039464c7a49774d6a59794d4449314d5441774f533951515338324d575268596d55344d79316c4f54517a4c5451794d57557459544d355a4331694f444932597a63315a4755304f444d756347526d&amp;Fich=61dabe83-e943-421e-a39d-b826c75de483.pdf&amp;Inline=true</t>
        </is>
      </c>
      <c r="X205" s="2" t="inlineStr">
        <is>
          <t>Agricultura e Pescas; Ambiente e Energia</t>
        </is>
      </c>
      <c r="Y205" s="2" t="inlineStr">
        <is>
          <t>Articulado</t>
        </is>
      </c>
      <c r="Z205" s="2" t="inlineStr">
        <is>
          <t>Aditamento (Artigo PPL)</t>
        </is>
      </c>
      <c r="AA205" s="2" t="inlineStr">
        <is>
          <t>Aprovado(a) em Comissão</t>
        </is>
      </c>
      <c r="AB205" s="2" t="inlineStr"/>
      <c r="AC205" s="2" t="inlineStr"/>
      <c r="AD205" s="2" t="inlineStr">
        <is>
          <t>1</t>
        </is>
      </c>
      <c r="AE205" s="2" t="inlineStr">
        <is>
          <t>23382</t>
        </is>
      </c>
      <c r="AF205" s="2" t="inlineStr">
        <is>
          <t>https://www.parlamento.pt/OrcamentoEstado/Paginas/DetalhePropostaAlteracao.aspx?BID=23382</t>
        </is>
      </c>
      <c r="AG205" s="2" t="inlineStr">
        <is>
          <t>https://app.parlamento.pt/webutils/docs/doc.pdf?path=6148523063484d364c793942556b356c6443397a6158526c63793959566b6c4a544556484c3039464c7a49774d6a59794d4449314d5441774f533951515338324d575268596d55344d79316c4f54517a4c5451794d57557459544d355a4331694f444932597a63315a4755304f444d756347526d&amp;Fich=61dabe83-e943-421e-a39d-b826c75de483.pdf&amp;Inline=true</t>
        </is>
      </c>
      <c r="AH205" s="3" t="n">
        <v>46321.77847222222</v>
      </c>
      <c r="AI205" s="3" t="n">
        <v>46321.78055555555</v>
      </c>
      <c r="AJ205" s="2" t="inlineStr"/>
    </row>
    <row r="206">
      <c r="A206" s="2" t="n">
        <v>205</v>
      </c>
      <c r="B206" s="2" t="inlineStr">
        <is>
          <t>190C</t>
        </is>
      </c>
      <c r="C206" s="3" t="n">
        <v>45964.49027777778</v>
      </c>
      <c r="D206" s="2" t="inlineStr">
        <is>
          <t>Original</t>
        </is>
      </c>
      <c r="E206" s="2" t="inlineStr">
        <is>
          <t>CH</t>
        </is>
      </c>
      <c r="F20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06" s="2" t="inlineStr">
        <is>
          <t>Art. 136.º-A (aditamento)</t>
        </is>
      </c>
      <c r="H206" s="2" t="n"/>
      <c r="I206" s="2" t="n"/>
      <c r="J206" s="2" t="n"/>
      <c r="K206" s="2" t="n"/>
      <c r="L206" s="2" t="inlineStr">
        <is>
          <t>Artigo 136.º-A (Sistema Nacional de Depósito, Recolha e Reembolso de Resíduos Elétricos e Eletrónicos)</t>
        </is>
      </c>
      <c r="M206" s="4" t="n"/>
      <c r="N206" s="4" t="n"/>
      <c r="O206" s="2" t="n"/>
      <c r="P206" s="2" t="n"/>
      <c r="Q206" s="2" t="n"/>
      <c r="R206" s="2" t="n"/>
      <c r="S206" s="2" t="inlineStr">
        <is>
          <t>Rejeitado(a) em Comissão</t>
        </is>
      </c>
      <c r="T206" s="2" t="inlineStr">
        <is>
          <t>Rejeitada</t>
        </is>
      </c>
      <c r="U206" s="2" t="inlineStr">
        <is>
          <t>Favor: CH, IL, BE, PAN; Contra: PSD, CDS-PP; Abstenção: PS, L, PCP</t>
        </is>
      </c>
      <c r="V206" s="3" t="n">
        <v>45987</v>
      </c>
      <c r="W206" s="2" t="inlineStr">
        <is>
          <t>AR: https://www.parlamento.pt/OrcamentoEstado/Paginas/DetalhePropostaAlteracao.aspx?BID=23383 PDF: https://app.parlamento.pt/webutils/docs/doc.pdf?path=6148523063484d364c793942556b356c6443397a6158526c63793959566b6c4a544556484c3039464c7a49774d6a59794d4449314d5441774f5339515153396a4e6d45354e44466a4e7930775a6a59774c54526a4e5467744f475a684e6931695957466c5a6a45354e6a4269596a59756347526d&amp;Fich=c6a941c7-0f60-4c58-8fa6-baaef1960bb6.pdf&amp;Inline=true</t>
        </is>
      </c>
      <c r="X206" s="2" t="inlineStr">
        <is>
          <t>Ambiente e Energia</t>
        </is>
      </c>
      <c r="Y206" s="2" t="inlineStr">
        <is>
          <t>Articulado</t>
        </is>
      </c>
      <c r="Z206" s="2" t="inlineStr">
        <is>
          <t>Aditamento (Artigo PPL)</t>
        </is>
      </c>
      <c r="AA206" s="2" t="inlineStr">
        <is>
          <t>Rejeitado(a) em Comissão</t>
        </is>
      </c>
      <c r="AB206" s="2" t="inlineStr"/>
      <c r="AC206" s="2" t="inlineStr"/>
      <c r="AD206" s="2" t="inlineStr">
        <is>
          <t>1</t>
        </is>
      </c>
      <c r="AE206" s="2" t="inlineStr">
        <is>
          <t>23383</t>
        </is>
      </c>
      <c r="AF206" s="2" t="inlineStr">
        <is>
          <t>https://www.parlamento.pt/OrcamentoEstado/Paginas/DetalhePropostaAlteracao.aspx?BID=23383</t>
        </is>
      </c>
      <c r="AG206" s="2" t="inlineStr">
        <is>
          <t>https://app.parlamento.pt/webutils/docs/doc.pdf?path=6148523063484d364c793942556b356c6443397a6158526c63793959566b6c4a544556484c3039464c7a49774d6a59794d4449314d5441774f5339515153396a4e6d45354e44466a4e7930775a6a59774c54526a4e5467744f475a684e6931695957466c5a6a45354e6a4269596a59756347526d&amp;Fich=c6a941c7-0f60-4c58-8fa6-baaef1960bb6.pdf&amp;Inline=true</t>
        </is>
      </c>
      <c r="AH206" s="3" t="n">
        <v>46321.77847222222</v>
      </c>
      <c r="AI206" s="3" t="n">
        <v>46321.78055555555</v>
      </c>
      <c r="AJ206" s="2" t="inlineStr"/>
    </row>
    <row r="207">
      <c r="A207" s="2" t="n">
        <v>206</v>
      </c>
      <c r="B207" s="2" t="inlineStr">
        <is>
          <t>191C</t>
        </is>
      </c>
      <c r="C207" s="3" t="n">
        <v>45964.49097222222</v>
      </c>
      <c r="D207" s="2" t="inlineStr">
        <is>
          <t>Original</t>
        </is>
      </c>
      <c r="E207" s="2" t="inlineStr">
        <is>
          <t>CH</t>
        </is>
      </c>
      <c r="F20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07" s="2" t="inlineStr">
        <is>
          <t>Art. 136.º-A (aditamento)</t>
        </is>
      </c>
      <c r="H207" s="2" t="n"/>
      <c r="I207" s="2" t="n"/>
      <c r="J207" s="2" t="n"/>
      <c r="K207" s="2" t="n"/>
      <c r="L207" s="2" t="inlineStr">
        <is>
          <t>Artigo 136.º-A (Criação de um Estabelecimento Militar de Ensino na Área Metropolitana do Porto)</t>
        </is>
      </c>
      <c r="M207" s="4" t="n"/>
      <c r="N207" s="4" t="n"/>
      <c r="O207" s="2" t="n"/>
      <c r="P207" s="2" t="n"/>
      <c r="Q207" s="2" t="n"/>
      <c r="R207" s="2" t="n"/>
      <c r="S207" s="2" t="inlineStr">
        <is>
          <t>Rejeitado(a) em Comissão</t>
        </is>
      </c>
      <c r="T207" s="2" t="inlineStr">
        <is>
          <t>Rejeitada</t>
        </is>
      </c>
      <c r="U207" s="2" t="inlineStr">
        <is>
          <t>Favor: CH; Contra: PSD, PS, IL, L, PCP, CDS-PP, BE; Abstenção: PAN</t>
        </is>
      </c>
      <c r="V207" s="3" t="n">
        <v>45987</v>
      </c>
      <c r="W207" s="2" t="inlineStr">
        <is>
          <t>AR: https://www.parlamento.pt/OrcamentoEstado/Paginas/DetalhePropostaAlteracao.aspx?BID=23384 PDF: https://app.parlamento.pt/webutils/docs/doc.pdf?path=6148523063484d364c793942556b356c6443397a6158526c63793959566b6c4a544556484c3039464c7a49774d6a59794d4449314d5441774f533951515339694e7a67304f474d344e6930354d6a67304c54526c596d51744f5745354f5330304e3255315a6a686c4d5755304f4455756347526d&amp;Fich=b7848c86-9284-4ebd-9a99-47e5f8e1e485.pdf&amp;Inline=true</t>
        </is>
      </c>
      <c r="X207" s="2" t="inlineStr">
        <is>
          <t>Defesa Nacional</t>
        </is>
      </c>
      <c r="Y207" s="2" t="inlineStr">
        <is>
          <t>Articulado</t>
        </is>
      </c>
      <c r="Z207" s="2" t="inlineStr">
        <is>
          <t>Aditamento (Artigo PPL)</t>
        </is>
      </c>
      <c r="AA207" s="2" t="inlineStr">
        <is>
          <t>Rejeitado(a) em Comissão</t>
        </is>
      </c>
      <c r="AB207" s="2" t="inlineStr"/>
      <c r="AC207" s="2" t="inlineStr"/>
      <c r="AD207" s="2" t="inlineStr">
        <is>
          <t>1</t>
        </is>
      </c>
      <c r="AE207" s="2" t="inlineStr">
        <is>
          <t>23384</t>
        </is>
      </c>
      <c r="AF207" s="2" t="inlineStr">
        <is>
          <t>https://www.parlamento.pt/OrcamentoEstado/Paginas/DetalhePropostaAlteracao.aspx?BID=23384</t>
        </is>
      </c>
      <c r="AG207" s="2" t="inlineStr">
        <is>
          <t>https://app.parlamento.pt/webutils/docs/doc.pdf?path=6148523063484d364c793942556b356c6443397a6158526c63793959566b6c4a544556484c3039464c7a49774d6a59794d4449314d5441774f533951515339694e7a67304f474d344e6930354d6a67304c54526c596d51744f5745354f5330304e3255315a6a686c4d5755304f4455756347526d&amp;Fich=b7848c86-9284-4ebd-9a99-47e5f8e1e485.pdf&amp;Inline=true</t>
        </is>
      </c>
      <c r="AH207" s="3" t="n">
        <v>46321.77847222222</v>
      </c>
      <c r="AI207" s="3" t="n">
        <v>46321.78055555555</v>
      </c>
      <c r="AJ207" s="2" t="inlineStr"/>
    </row>
    <row r="208">
      <c r="A208" s="2" t="n">
        <v>207</v>
      </c>
      <c r="B208" s="2" t="inlineStr">
        <is>
          <t>192C</t>
        </is>
      </c>
      <c r="C208" s="3" t="n">
        <v>45964.49236111111</v>
      </c>
      <c r="D208" s="2" t="inlineStr">
        <is>
          <t>Original</t>
        </is>
      </c>
      <c r="E208" s="2" t="inlineStr">
        <is>
          <t>CH</t>
        </is>
      </c>
      <c r="F20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08" s="2" t="inlineStr">
        <is>
          <t>Art. 136.º-A (aditamento)</t>
        </is>
      </c>
      <c r="H208" s="2" t="n"/>
      <c r="I208" s="2" t="n"/>
      <c r="J208" s="2" t="n"/>
      <c r="K208" s="2" t="n"/>
      <c r="L208" s="2" t="inlineStr">
        <is>
          <t>Artigo 136.º-A (Medidas de apoio para mitigar os condicionalismos financeiros que afetam os estudantes portugueses no âmbito da mobilidade internacional)</t>
        </is>
      </c>
      <c r="M208" s="4" t="n"/>
      <c r="N208" s="4" t="n"/>
      <c r="O208" s="2" t="n"/>
      <c r="P208" s="2" t="n"/>
      <c r="Q208" s="2" t="n"/>
      <c r="R208" s="2" t="n"/>
      <c r="S208" s="2" t="inlineStr">
        <is>
          <t>Rejeitado(a) em Comissão</t>
        </is>
      </c>
      <c r="T208" s="2" t="inlineStr">
        <is>
          <t>Rejeitada</t>
        </is>
      </c>
      <c r="U208" s="2" t="inlineStr">
        <is>
          <t>Favor: CH, IL, BE, PAN; Contra: PSD, CDS-PP; Abstenção: PS, L, PCP</t>
        </is>
      </c>
      <c r="V208" s="3" t="n">
        <v>45987</v>
      </c>
      <c r="W208" s="2" t="inlineStr">
        <is>
          <t>AR: https://www.parlamento.pt/OrcamentoEstado/Paginas/DetalhePropostaAlteracao.aspx?BID=23385 PDF: https://app.parlamento.pt/webutils/docs/doc.pdf?path=6148523063484d364c793942556b356c6443397a6158526c63793959566b6c4a544556484c3039464c7a49774d6a59794d4449314d5441774f5339515153396c4d6a49335957466d4d6930774d324a6c4c54526b595463744f574d7a597930315a44646d59324535597a4269597a51756347526d&amp;Fich=e227aaf2-03be-4da7-9c3c-5d7fca9c0bc4.pdf&amp;Inline=true</t>
        </is>
      </c>
      <c r="X208" s="2" t="inlineStr">
        <is>
          <t>Educação e Ciência</t>
        </is>
      </c>
      <c r="Y208" s="2" t="inlineStr">
        <is>
          <t>Articulado</t>
        </is>
      </c>
      <c r="Z208" s="2" t="inlineStr">
        <is>
          <t>Aditamento (Artigo PPL)</t>
        </is>
      </c>
      <c r="AA208" s="2" t="inlineStr">
        <is>
          <t>Rejeitado(a) em Comissão</t>
        </is>
      </c>
      <c r="AB208" s="2" t="inlineStr"/>
      <c r="AC208" s="2" t="inlineStr"/>
      <c r="AD208" s="2" t="inlineStr">
        <is>
          <t>1</t>
        </is>
      </c>
      <c r="AE208" s="2" t="inlineStr">
        <is>
          <t>23385</t>
        </is>
      </c>
      <c r="AF208" s="2" t="inlineStr">
        <is>
          <t>https://www.parlamento.pt/OrcamentoEstado/Paginas/DetalhePropostaAlteracao.aspx?BID=23385</t>
        </is>
      </c>
      <c r="AG208" s="2" t="inlineStr">
        <is>
          <t>https://app.parlamento.pt/webutils/docs/doc.pdf?path=6148523063484d364c793942556b356c6443397a6158526c63793959566b6c4a544556484c3039464c7a49774d6a59794d4449314d5441774f5339515153396c4d6a49335957466d4d6930774d324a6c4c54526b595463744f574d7a597930315a44646d59324535597a4269597a51756347526d&amp;Fich=e227aaf2-03be-4da7-9c3c-5d7fca9c0bc4.pdf&amp;Inline=true</t>
        </is>
      </c>
      <c r="AH208" s="3" t="n">
        <v>46321.77847222222</v>
      </c>
      <c r="AI208" s="3" t="n">
        <v>46321.78055555555</v>
      </c>
      <c r="AJ208" s="2" t="inlineStr"/>
    </row>
    <row r="209">
      <c r="A209" s="2" t="n">
        <v>208</v>
      </c>
      <c r="B209" s="2" t="inlineStr">
        <is>
          <t>193C</t>
        </is>
      </c>
      <c r="C209" s="3" t="n">
        <v>45964.49375</v>
      </c>
      <c r="D209" s="2" t="inlineStr">
        <is>
          <t>Original</t>
        </is>
      </c>
      <c r="E209" s="2" t="inlineStr">
        <is>
          <t>CH</t>
        </is>
      </c>
      <c r="F20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09" s="2" t="inlineStr">
        <is>
          <t>Art. 136.º-A (aditamento)</t>
        </is>
      </c>
      <c r="H209" s="2" t="n"/>
      <c r="I209" s="2" t="n"/>
      <c r="J209" s="2" t="n"/>
      <c r="K209" s="2" t="n"/>
      <c r="L209" s="2" t="inlineStr">
        <is>
          <t>Artigo 136.º-A (Conforto Térmico e Qualidade do Ar em Edifícios Escolares)</t>
        </is>
      </c>
      <c r="M209" s="4" t="n"/>
      <c r="N209" s="4" t="n"/>
      <c r="O209" s="2" t="n"/>
      <c r="P209" s="2" t="n"/>
      <c r="Q209" s="2" t="n"/>
      <c r="R209" s="2" t="n"/>
      <c r="S209" s="2" t="inlineStr">
        <is>
          <t>Rejeitado(a) em Comissão</t>
        </is>
      </c>
      <c r="T209" s="2" t="inlineStr">
        <is>
          <t>Rejeitada</t>
        </is>
      </c>
      <c r="U209" s="2" t="inlineStr">
        <is>
          <t>Favor: CH, BE, PAN; Contra: PSD, IL, CDS-PP; Abstenção: PS, L, PCP</t>
        </is>
      </c>
      <c r="V209" s="3" t="n">
        <v>45987</v>
      </c>
      <c r="W209" s="2" t="inlineStr">
        <is>
          <t>AR: https://www.parlamento.pt/OrcamentoEstado/Paginas/DetalhePropostaAlteracao.aspx?BID=23386 PDF: https://app.parlamento.pt/webutils/docs/doc.pdf?path=6148523063484d364c793942556b356c6443397a6158526c63793959566b6c4a544556484c3039464c7a49774d6a59794d4449314d5441774f53395151533834595464694e6d55334e5330335a575a6a4c5451795a6a5174596a55305a53316b4e47597a4d474d304e574a694e544d756347526d&amp;Fich=8a7b6e75-7efc-42f4-b54e-d4f30c45bb53.pdf&amp;Inline=true</t>
        </is>
      </c>
      <c r="X209" s="2" t="inlineStr">
        <is>
          <t>Educação e Ciência</t>
        </is>
      </c>
      <c r="Y209" s="2" t="inlineStr">
        <is>
          <t>Articulado</t>
        </is>
      </c>
      <c r="Z209" s="2" t="inlineStr">
        <is>
          <t>Aditamento (Artigo PPL)</t>
        </is>
      </c>
      <c r="AA209" s="2" t="inlineStr">
        <is>
          <t>Rejeitado(a) em Comissão</t>
        </is>
      </c>
      <c r="AB209" s="2" t="inlineStr"/>
      <c r="AC209" s="2" t="inlineStr"/>
      <c r="AD209" s="2" t="inlineStr">
        <is>
          <t>1</t>
        </is>
      </c>
      <c r="AE209" s="2" t="inlineStr">
        <is>
          <t>23386</t>
        </is>
      </c>
      <c r="AF209" s="2" t="inlineStr">
        <is>
          <t>https://www.parlamento.pt/OrcamentoEstado/Paginas/DetalhePropostaAlteracao.aspx?BID=23386</t>
        </is>
      </c>
      <c r="AG209" s="2" t="inlineStr">
        <is>
          <t>https://app.parlamento.pt/webutils/docs/doc.pdf?path=6148523063484d364c793942556b356c6443397a6158526c63793959566b6c4a544556484c3039464c7a49774d6a59794d4449314d5441774f53395151533834595464694e6d55334e5330335a575a6a4c5451795a6a5174596a55305a53316b4e47597a4d474d304e574a694e544d756347526d&amp;Fich=8a7b6e75-7efc-42f4-b54e-d4f30c45bb53.pdf&amp;Inline=true</t>
        </is>
      </c>
      <c r="AH209" s="3" t="n">
        <v>46321.77847222222</v>
      </c>
      <c r="AI209" s="3" t="n">
        <v>46321.78055555555</v>
      </c>
      <c r="AJ209" s="2" t="inlineStr"/>
    </row>
    <row r="210">
      <c r="A210" s="2" t="n">
        <v>209</v>
      </c>
      <c r="B210" s="2" t="inlineStr">
        <is>
          <t>194C</t>
        </is>
      </c>
      <c r="C210" s="3" t="n">
        <v>45964.49444444444</v>
      </c>
      <c r="D210" s="2" t="inlineStr">
        <is>
          <t>Original</t>
        </is>
      </c>
      <c r="E210" s="2" t="inlineStr">
        <is>
          <t>CH</t>
        </is>
      </c>
      <c r="F21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10" s="2" t="inlineStr">
        <is>
          <t>Art. 136.º-A (aditamento)</t>
        </is>
      </c>
      <c r="H210" s="2" t="n"/>
      <c r="I210" s="2" t="n"/>
      <c r="J210" s="2" t="n"/>
      <c r="K210" s="2" t="n"/>
      <c r="L210" s="2" t="inlineStr">
        <is>
          <t>Artigo 136.º-A (Criação do Programa «Escola Sem Ideologia»)</t>
        </is>
      </c>
      <c r="M210" s="4" t="n"/>
      <c r="N210" s="4" t="n"/>
      <c r="O210" s="2" t="n"/>
      <c r="P210" s="2" t="n"/>
      <c r="Q210" s="2" t="n"/>
      <c r="R210" s="2" t="n"/>
      <c r="S210" s="2" t="inlineStr">
        <is>
          <t>Rejeitado(a) em Comissão</t>
        </is>
      </c>
      <c r="T210" s="2" t="inlineStr">
        <is>
          <t>Rejeitada</t>
        </is>
      </c>
      <c r="U210" s="2" t="inlineStr">
        <is>
          <t>Favor: CH; Contra: PSD, PS, L, PCP, CDS-PP, BE, PAN; Abstenção: IL</t>
        </is>
      </c>
      <c r="V210" s="3" t="n">
        <v>45987</v>
      </c>
      <c r="W210" s="2" t="inlineStr">
        <is>
          <t>AR: https://www.parlamento.pt/OrcamentoEstado/Paginas/DetalhePropostaAlteracao.aspx?BID=23387 PDF: https://app.parlamento.pt/webutils/docs/doc.pdf?path=6148523063484d364c793942556b356c6443397a6158526c63793959566b6c4a544556484c3039464c7a49774d6a59794d4449314d5441774f5339515153396b5a574579595751794d4331684f444d774c5452684d6a63745957597a4d79307a597a557859575977595446684e6d59756347526d&amp;Fich=dea2ad20-a830-4a27-af33-3c51af0a1a6f.pdf&amp;Inline=true</t>
        </is>
      </c>
      <c r="X210" s="2" t="inlineStr">
        <is>
          <t>Educação e Ciência</t>
        </is>
      </c>
      <c r="Y210" s="2" t="inlineStr">
        <is>
          <t>Articulado</t>
        </is>
      </c>
      <c r="Z210" s="2" t="inlineStr">
        <is>
          <t>Aditamento (Artigo PPL)</t>
        </is>
      </c>
      <c r="AA210" s="2" t="inlineStr">
        <is>
          <t>Rejeitado(a) em Comissão</t>
        </is>
      </c>
      <c r="AB210" s="2" t="inlineStr"/>
      <c r="AC210" s="2" t="inlineStr"/>
      <c r="AD210" s="2" t="inlineStr">
        <is>
          <t>1</t>
        </is>
      </c>
      <c r="AE210" s="2" t="inlineStr">
        <is>
          <t>23387</t>
        </is>
      </c>
      <c r="AF210" s="2" t="inlineStr">
        <is>
          <t>https://www.parlamento.pt/OrcamentoEstado/Paginas/DetalhePropostaAlteracao.aspx?BID=23387</t>
        </is>
      </c>
      <c r="AG210" s="2" t="inlineStr">
        <is>
          <t>https://app.parlamento.pt/webutils/docs/doc.pdf?path=6148523063484d364c793942556b356c6443397a6158526c63793959566b6c4a544556484c3039464c7a49774d6a59794d4449314d5441774f5339515153396b5a574579595751794d4331684f444d774c5452684d6a63745957597a4d79307a597a557859575977595446684e6d59756347526d&amp;Fich=dea2ad20-a830-4a27-af33-3c51af0a1a6f.pdf&amp;Inline=true</t>
        </is>
      </c>
      <c r="AH210" s="3" t="n">
        <v>46321.77847222222</v>
      </c>
      <c r="AI210" s="3" t="n">
        <v>46321.78055555555</v>
      </c>
      <c r="AJ210" s="2" t="inlineStr"/>
    </row>
    <row r="211">
      <c r="A211" s="2" t="n">
        <v>210</v>
      </c>
      <c r="B211" s="2" t="inlineStr">
        <is>
          <t>195C</t>
        </is>
      </c>
      <c r="C211" s="3" t="n">
        <v>45964.49513888889</v>
      </c>
      <c r="D211" s="2" t="inlineStr">
        <is>
          <t>Original</t>
        </is>
      </c>
      <c r="E211" s="2" t="inlineStr">
        <is>
          <t>CH</t>
        </is>
      </c>
      <c r="F21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11" s="2" t="inlineStr">
        <is>
          <t>Art. 136.º-A (aditamento)</t>
        </is>
      </c>
      <c r="H211" s="2" t="n"/>
      <c r="I211" s="2" t="n"/>
      <c r="J211" s="2" t="n"/>
      <c r="K211" s="2" t="n"/>
      <c r="L211" s="2" t="inlineStr">
        <is>
          <t>Artigo 136.º-A (Programa de co-living para jovens universitários e idosos)</t>
        </is>
      </c>
      <c r="M211" s="4" t="n"/>
      <c r="N211" s="4" t="n"/>
      <c r="O211" s="2" t="n"/>
      <c r="P211" s="2" t="n"/>
      <c r="Q211" s="2" t="n"/>
      <c r="R211" s="2" t="n"/>
      <c r="S211" s="2" t="inlineStr">
        <is>
          <t>Rejeitado(a) em Comissão</t>
        </is>
      </c>
      <c r="T211" s="2" t="inlineStr">
        <is>
          <t>Rejeitada</t>
        </is>
      </c>
      <c r="U211" s="2" t="inlineStr">
        <is>
          <t>Favor: CH, PAN; Contra: PSD, PCP, CDS-PP; Abstenção: PS, IL, L, BE</t>
        </is>
      </c>
      <c r="V211" s="3" t="n">
        <v>45987</v>
      </c>
      <c r="W211" s="2" t="inlineStr">
        <is>
          <t>AR: https://www.parlamento.pt/OrcamentoEstado/Paginas/DetalhePropostaAlteracao.aspx?BID=23388 PDF: https://app.parlamento.pt/webutils/docs/doc.pdf?path=6148523063484d364c793942556b356c6443397a6158526c63793959566b6c4a544556484c3039464c7a49774d6a59794d4449314d5441774f533951515338355a4464685a5463324e79316c4e444e6c4c54526b4d7a55744f5456684d79316d59574d345a5759354e6a51784d5755756347526d&amp;Fich=9d7ae767-e43e-4d35-95a3-fac8ef96411e.pdf&amp;Inline=true</t>
        </is>
      </c>
      <c r="X211" s="2" t="inlineStr">
        <is>
          <t>Infraestruturas, Mobilidade e Habitação</t>
        </is>
      </c>
      <c r="Y211" s="2" t="inlineStr">
        <is>
          <t>Articulado</t>
        </is>
      </c>
      <c r="Z211" s="2" t="inlineStr">
        <is>
          <t>Aditamento (Artigo PPL)</t>
        </is>
      </c>
      <c r="AA211" s="2" t="inlineStr">
        <is>
          <t>Rejeitado(a) em Comissão</t>
        </is>
      </c>
      <c r="AB211" s="2" t="inlineStr"/>
      <c r="AC211" s="2" t="inlineStr"/>
      <c r="AD211" s="2" t="inlineStr">
        <is>
          <t>1</t>
        </is>
      </c>
      <c r="AE211" s="2" t="inlineStr">
        <is>
          <t>23388</t>
        </is>
      </c>
      <c r="AF211" s="2" t="inlineStr">
        <is>
          <t>https://www.parlamento.pt/OrcamentoEstado/Paginas/DetalhePropostaAlteracao.aspx?BID=23388</t>
        </is>
      </c>
      <c r="AG211" s="2" t="inlineStr">
        <is>
          <t>https://app.parlamento.pt/webutils/docs/doc.pdf?path=6148523063484d364c793942556b356c6443397a6158526c63793959566b6c4a544556484c3039464c7a49774d6a59794d4449314d5441774f533951515338355a4464685a5463324e79316c4e444e6c4c54526b4d7a55744f5456684d79316d59574d345a5759354e6a51784d5755756347526d&amp;Fich=9d7ae767-e43e-4d35-95a3-fac8ef96411e.pdf&amp;Inline=true</t>
        </is>
      </c>
      <c r="AH211" s="3" t="n">
        <v>46321.77847222222</v>
      </c>
      <c r="AI211" s="3" t="n">
        <v>46321.78055555555</v>
      </c>
      <c r="AJ211" s="2" t="inlineStr"/>
    </row>
    <row r="212">
      <c r="A212" s="2" t="n">
        <v>211</v>
      </c>
      <c r="B212" s="2" t="inlineStr">
        <is>
          <t>196C</t>
        </is>
      </c>
      <c r="C212" s="3" t="n">
        <v>45964.49583333333</v>
      </c>
      <c r="D212" s="2" t="inlineStr">
        <is>
          <t>Original</t>
        </is>
      </c>
      <c r="E212" s="2" t="inlineStr">
        <is>
          <t>CH</t>
        </is>
      </c>
      <c r="F21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12" s="2" t="inlineStr">
        <is>
          <t>Art. 136.º-A (aditamento)</t>
        </is>
      </c>
      <c r="H212" s="2" t="n"/>
      <c r="I212" s="2" t="n"/>
      <c r="J212" s="2" t="n"/>
      <c r="K212" s="2" t="n"/>
      <c r="L212" s="2" t="inlineStr">
        <is>
          <t>Artigo 136.º-A (Requalificação do Itinerário Complementar IC8, entre Pombal e Vila Velha de Ródão)</t>
        </is>
      </c>
      <c r="M212" s="4" t="n"/>
      <c r="N212" s="4" t="n"/>
      <c r="O212" s="2" t="n"/>
      <c r="P212" s="2" t="n"/>
      <c r="Q212" s="2" t="n"/>
      <c r="R212" s="2" t="n"/>
      <c r="S212" s="2" t="inlineStr">
        <is>
          <t>Rejeitado(a) em Comissão</t>
        </is>
      </c>
      <c r="T212" s="2" t="inlineStr">
        <is>
          <t>Rejeitada</t>
        </is>
      </c>
      <c r="U212" s="2" t="inlineStr">
        <is>
          <t>Favor: CH, BE; Contra: PSD, CDS-PP; Abstenção: PS, IL, L, PCP, PAN</t>
        </is>
      </c>
      <c r="V212" s="3" t="n">
        <v>45987</v>
      </c>
      <c r="W212" s="2" t="inlineStr">
        <is>
          <t>AR: https://www.parlamento.pt/OrcamentoEstado/Paginas/DetalhePropostaAlteracao.aspx?BID=23389 PDF: https://app.parlamento.pt/webutils/docs/doc.pdf?path=6148523063484d364c793942556b356c6443397a6158526c63793959566b6c4a544556484c3039464c7a49774d6a59794d4449314d5441774f5339515153396c4e57517a5a44426b4d69316b5a6a5a6a4c5451784f544974595455314e793032595449354d6a4d794f5755305a6d49756347526d&amp;Fich=e5d3d0d2-df6c-4192-a557-6a292329e4fb.pdf&amp;Inline=true</t>
        </is>
      </c>
      <c r="X212" s="2" t="inlineStr">
        <is>
          <t>Infraestruturas, Mobilidade e Habitação</t>
        </is>
      </c>
      <c r="Y212" s="2" t="inlineStr">
        <is>
          <t>Articulado</t>
        </is>
      </c>
      <c r="Z212" s="2" t="inlineStr">
        <is>
          <t>Aditamento (Artigo PPL)</t>
        </is>
      </c>
      <c r="AA212" s="2" t="inlineStr">
        <is>
          <t>Rejeitado(a) em Comissão</t>
        </is>
      </c>
      <c r="AB212" s="2" t="inlineStr"/>
      <c r="AC212" s="2" t="inlineStr"/>
      <c r="AD212" s="2" t="inlineStr">
        <is>
          <t>1</t>
        </is>
      </c>
      <c r="AE212" s="2" t="inlineStr">
        <is>
          <t>23389</t>
        </is>
      </c>
      <c r="AF212" s="2" t="inlineStr">
        <is>
          <t>https://www.parlamento.pt/OrcamentoEstado/Paginas/DetalhePropostaAlteracao.aspx?BID=23389</t>
        </is>
      </c>
      <c r="AG212" s="2" t="inlineStr">
        <is>
          <t>https://app.parlamento.pt/webutils/docs/doc.pdf?path=6148523063484d364c793942556b356c6443397a6158526c63793959566b6c4a544556484c3039464c7a49774d6a59794d4449314d5441774f5339515153396c4e57517a5a44426b4d69316b5a6a5a6a4c5451784f544974595455314e793032595449354d6a4d794f5755305a6d49756347526d&amp;Fich=e5d3d0d2-df6c-4192-a557-6a292329e4fb.pdf&amp;Inline=true</t>
        </is>
      </c>
      <c r="AH212" s="3" t="n">
        <v>46321.77847222222</v>
      </c>
      <c r="AI212" s="3" t="n">
        <v>46321.78055555555</v>
      </c>
      <c r="AJ212" s="2" t="inlineStr"/>
    </row>
    <row r="213">
      <c r="A213" s="2" t="n">
        <v>212</v>
      </c>
      <c r="B213" s="2" t="inlineStr">
        <is>
          <t>197C</t>
        </is>
      </c>
      <c r="C213" s="3" t="n">
        <v>45964.49722222222</v>
      </c>
      <c r="D213" s="2" t="inlineStr">
        <is>
          <t>Original</t>
        </is>
      </c>
      <c r="E213" s="2" t="inlineStr">
        <is>
          <t>CH</t>
        </is>
      </c>
      <c r="F21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13" s="2" t="inlineStr">
        <is>
          <t>Art. 136.º-A (aditamento)</t>
        </is>
      </c>
      <c r="H213" s="2" t="n"/>
      <c r="I213" s="2" t="n"/>
      <c r="J213" s="2" t="n"/>
      <c r="K213" s="2" t="n"/>
      <c r="L213" s="2" t="inlineStr">
        <is>
          <t>Artigo 136.º-A (Circulação e permanência de veículos automóveis com matrícula estrangeira)</t>
        </is>
      </c>
      <c r="M213" s="4" t="n"/>
      <c r="N213" s="4" t="n"/>
      <c r="O213" s="2" t="n"/>
      <c r="P213" s="2" t="n"/>
      <c r="Q213" s="2" t="n"/>
      <c r="R213" s="2" t="n"/>
      <c r="S213" s="2" t="inlineStr">
        <is>
          <t>Rejeitado(a) em Comissão</t>
        </is>
      </c>
      <c r="T213" s="2" t="inlineStr">
        <is>
          <t>Rejeitada</t>
        </is>
      </c>
      <c r="U213" s="2" t="inlineStr">
        <is>
          <t>Favor: CH, IL; Contra: PSD, L, PCP, CDS-PP, BE; Abstenção: PS, PAN</t>
        </is>
      </c>
      <c r="V213" s="3" t="n">
        <v>45987</v>
      </c>
      <c r="W213" s="2" t="inlineStr">
        <is>
          <t>AR: https://www.parlamento.pt/OrcamentoEstado/Paginas/DetalhePropostaAlteracao.aspx?BID=23390 PDF: https://app.parlamento.pt/webutils/docs/doc.pdf?path=6148523063484d364c793942556b356c6443397a6158526c63793959566b6c4a544556484c3039464c7a49774d6a59794d4449314d5441774f533951515339685a6a6b334d4445774e6930354f4451314c5451305a6d5974595751355a4330315a6d566a4f4452685a47526b4d6a4d756347526d&amp;Fich=af970106-9845-44ff-ad9d-5fec84addd23.pdf&amp;Inline=true</t>
        </is>
      </c>
      <c r="X213" s="2" t="inlineStr">
        <is>
          <t>Negócios Estrangeiros e Comunidades Portuguesas</t>
        </is>
      </c>
      <c r="Y213" s="2" t="inlineStr">
        <is>
          <t>Articulado</t>
        </is>
      </c>
      <c r="Z213" s="2" t="inlineStr">
        <is>
          <t>Aditamento (Artigo PPL)</t>
        </is>
      </c>
      <c r="AA213" s="2" t="inlineStr">
        <is>
          <t>Rejeitado(a) em Comissão</t>
        </is>
      </c>
      <c r="AB213" s="2" t="inlineStr"/>
      <c r="AC213" s="2" t="inlineStr"/>
      <c r="AD213" s="2" t="inlineStr">
        <is>
          <t>1</t>
        </is>
      </c>
      <c r="AE213" s="2" t="inlineStr">
        <is>
          <t>23390</t>
        </is>
      </c>
      <c r="AF213" s="2" t="inlineStr">
        <is>
          <t>https://www.parlamento.pt/OrcamentoEstado/Paginas/DetalhePropostaAlteracao.aspx?BID=23390</t>
        </is>
      </c>
      <c r="AG213" s="2" t="inlineStr">
        <is>
          <t>https://app.parlamento.pt/webutils/docs/doc.pdf?path=6148523063484d364c793942556b356c6443397a6158526c63793959566b6c4a544556484c3039464c7a49774d6a59794d4449314d5441774f533951515339685a6a6b334d4445774e6930354f4451314c5451305a6d5974595751355a4330315a6d566a4f4452685a47526b4d6a4d756347526d&amp;Fich=af970106-9845-44ff-ad9d-5fec84addd23.pdf&amp;Inline=true</t>
        </is>
      </c>
      <c r="AH213" s="3" t="n">
        <v>46321.77847222222</v>
      </c>
      <c r="AI213" s="3" t="n">
        <v>46321.78055555555</v>
      </c>
      <c r="AJ213" s="2" t="inlineStr"/>
    </row>
    <row r="214">
      <c r="A214" s="2" t="n">
        <v>213</v>
      </c>
      <c r="B214" s="2" t="inlineStr">
        <is>
          <t>198C</t>
        </is>
      </c>
      <c r="C214" s="3" t="n">
        <v>45964.52916666667</v>
      </c>
      <c r="D214" s="2" t="inlineStr">
        <is>
          <t>Original</t>
        </is>
      </c>
      <c r="E214" s="2" t="inlineStr">
        <is>
          <t>L</t>
        </is>
      </c>
      <c r="F214" s="2" t="inlineStr">
        <is>
          <t>Filipa Pinto; Isabel Mendes Lopes; Jorge Pinto; Patrícia Gonçalves; Paulo Muacho; Rui Tavares</t>
        </is>
      </c>
      <c r="G214" s="2" t="inlineStr">
        <is>
          <t>Art. 138.º (aditamento)</t>
        </is>
      </c>
      <c r="H214" s="2" t="n"/>
      <c r="I214" s="2" t="n"/>
      <c r="J214" s="2" t="n"/>
      <c r="K214" s="2" t="n"/>
      <c r="L214" s="2" t="inlineStr">
        <is>
          <t>Alínea c), Artigo 138.º</t>
        </is>
      </c>
      <c r="M214" s="4" t="n"/>
      <c r="N214" s="4" t="n"/>
      <c r="O214" s="2" t="n"/>
      <c r="P214" s="2" t="n"/>
      <c r="Q214" s="2" t="n"/>
      <c r="R214" s="2" t="n"/>
      <c r="S214" s="2" t="inlineStr">
        <is>
          <t>Rejeitado(a) em Comissão</t>
        </is>
      </c>
      <c r="T214" s="2" t="inlineStr">
        <is>
          <t>Rejeitada</t>
        </is>
      </c>
      <c r="U214" s="2" t="inlineStr">
        <is>
          <t>Favor: IL, L, PCP, BE, PAN; Contra: PSD, CH, CDS-PP; Abstenção: PS</t>
        </is>
      </c>
      <c r="V214" s="3" t="n">
        <v>45987</v>
      </c>
      <c r="W214" s="2" t="inlineStr">
        <is>
          <t>AR: https://www.parlamento.pt/OrcamentoEstado/Paginas/DetalhePropostaAlteracao.aspx?BID=23391 PDF: https://app.parlamento.pt/webutils/docs/doc.pdf?path=6148523063484d364c793942556b356c6443397a6158526c63793959566b6c4a544556484c3039464c7a49774d6a59794d4449314d5441774f533951515338315a575a694e44557759533035596a63344c5451314d6a45744f475a685a5330344e6a6b334e7a426a4e7a637a4e7a67756347526d&amp;Fich=5efb450a-9b78-4521-8fae-869770c77378.pdf&amp;Inline=true</t>
        </is>
      </c>
      <c r="X214" s="2" t="inlineStr">
        <is>
          <t>Orçamento, Finanças e Administração Pública</t>
        </is>
      </c>
      <c r="Y214" s="2" t="inlineStr">
        <is>
          <t>Articulado</t>
        </is>
      </c>
      <c r="Z214" s="2" t="inlineStr">
        <is>
          <t>Aditamento (Números e Alíneas)</t>
        </is>
      </c>
      <c r="AA214" s="2" t="inlineStr">
        <is>
          <t>Rejeitado(a) em Comissão</t>
        </is>
      </c>
      <c r="AB214" s="2" t="inlineStr"/>
      <c r="AC214" s="2" t="inlineStr"/>
      <c r="AD214" s="2" t="inlineStr">
        <is>
          <t>1</t>
        </is>
      </c>
      <c r="AE214" s="2" t="inlineStr">
        <is>
          <t>23391</t>
        </is>
      </c>
      <c r="AF214" s="2" t="inlineStr">
        <is>
          <t>https://www.parlamento.pt/OrcamentoEstado/Paginas/DetalhePropostaAlteracao.aspx?BID=23391</t>
        </is>
      </c>
      <c r="AG214" s="2" t="inlineStr">
        <is>
          <t>https://app.parlamento.pt/webutils/docs/doc.pdf?path=6148523063484d364c793942556b356c6443397a6158526c63793959566b6c4a544556484c3039464c7a49774d6a59794d4449314d5441774f533951515338315a575a694e44557759533035596a63344c5451314d6a45744f475a685a5330344e6a6b334e7a426a4e7a637a4e7a67756347526d&amp;Fich=5efb450a-9b78-4521-8fae-869770c77378.pdf&amp;Inline=true</t>
        </is>
      </c>
      <c r="AH214" s="3" t="n">
        <v>46321.77847222222</v>
      </c>
      <c r="AI214" s="3" t="n">
        <v>46321.78055555555</v>
      </c>
      <c r="AJ214" s="2" t="inlineStr"/>
    </row>
    <row r="215">
      <c r="A215" s="2" t="n">
        <v>214</v>
      </c>
      <c r="B215" s="2" t="inlineStr">
        <is>
          <t>199C</t>
        </is>
      </c>
      <c r="C215" s="3" t="n">
        <v>45964.52916666667</v>
      </c>
      <c r="D215" s="2" t="inlineStr">
        <is>
          <t>Original</t>
        </is>
      </c>
      <c r="E215" s="2" t="inlineStr">
        <is>
          <t>CH</t>
        </is>
      </c>
      <c r="F21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15" s="2" t="inlineStr">
        <is>
          <t>Art. 136.º-A (aditamento)</t>
        </is>
      </c>
      <c r="H215" s="2" t="n"/>
      <c r="I215" s="2" t="n"/>
      <c r="J215" s="2" t="n"/>
      <c r="K215" s="2" t="n"/>
      <c r="L215" s="2" t="inlineStr">
        <is>
          <t>Artigo 136.º-A (Reforça as valências da plataforma "Consulado Virtual")</t>
        </is>
      </c>
      <c r="M215" s="4" t="n"/>
      <c r="N215" s="4" t="n"/>
      <c r="O215" s="2" t="n"/>
      <c r="P215" s="2" t="n"/>
      <c r="Q215" s="2" t="n"/>
      <c r="R215" s="2" t="n"/>
      <c r="S215" s="2" t="inlineStr">
        <is>
          <t>Rejeitado(a) em Comissão</t>
        </is>
      </c>
      <c r="T215" s="2" t="inlineStr">
        <is>
          <t>Rejeitada</t>
        </is>
      </c>
      <c r="U215" s="2" t="inlineStr">
        <is>
          <t>Favor: CH, IL, BE, PAN; Contra: PSD, CDS-PP; Abstenção: PS, L, PCP</t>
        </is>
      </c>
      <c r="V215" s="3" t="n">
        <v>45987</v>
      </c>
      <c r="W215" s="2" t="inlineStr">
        <is>
          <t>AR: https://www.parlamento.pt/OrcamentoEstado/Paginas/DetalhePropostaAlteracao.aspx?BID=23392 PDF: https://app.parlamento.pt/webutils/docs/doc.pdf?path=6148523063484d364c793942556b356c6443397a6158526c63793959566b6c4a544556484c3039464c7a49774d6a59794d4449314d5441774f533951515338315a5459324d6a6b784e6930784f445a6d4c54526a4d4441744f474d355953316a595467335a574d334e445a6b4e7a63756347526d&amp;Fich=5e662916-186f-4c00-8c9a-ca87ec746d77.pdf&amp;Inline=true</t>
        </is>
      </c>
      <c r="X215" s="2" t="inlineStr">
        <is>
          <t>Negócios Estrangeiros e Comunidades Portuguesas</t>
        </is>
      </c>
      <c r="Y215" s="2" t="inlineStr">
        <is>
          <t>Articulado</t>
        </is>
      </c>
      <c r="Z215" s="2" t="inlineStr">
        <is>
          <t>Aditamento (Artigo PPL)</t>
        </is>
      </c>
      <c r="AA215" s="2" t="inlineStr">
        <is>
          <t>Rejeitado(a) em Comissão</t>
        </is>
      </c>
      <c r="AB215" s="2" t="inlineStr"/>
      <c r="AC215" s="2" t="inlineStr"/>
      <c r="AD215" s="2" t="inlineStr">
        <is>
          <t>1</t>
        </is>
      </c>
      <c r="AE215" s="2" t="inlineStr">
        <is>
          <t>23392</t>
        </is>
      </c>
      <c r="AF215" s="2" t="inlineStr">
        <is>
          <t>https://www.parlamento.pt/OrcamentoEstado/Paginas/DetalhePropostaAlteracao.aspx?BID=23392</t>
        </is>
      </c>
      <c r="AG215" s="2" t="inlineStr">
        <is>
          <t>https://app.parlamento.pt/webutils/docs/doc.pdf?path=6148523063484d364c793942556b356c6443397a6158526c63793959566b6c4a544556484c3039464c7a49774d6a59794d4449314d5441774f533951515338315a5459324d6a6b784e6930784f445a6d4c54526a4d4441744f474d355953316a595467335a574d334e445a6b4e7a63756347526d&amp;Fich=5e662916-186f-4c00-8c9a-ca87ec746d77.pdf&amp;Inline=true</t>
        </is>
      </c>
      <c r="AH215" s="3" t="n">
        <v>46321.77847222222</v>
      </c>
      <c r="AI215" s="3" t="n">
        <v>46321.78055555555</v>
      </c>
      <c r="AJ215" s="2" t="inlineStr"/>
    </row>
    <row r="216">
      <c r="A216" s="2" t="n">
        <v>215</v>
      </c>
      <c r="B216" s="2" t="inlineStr">
        <is>
          <t>200C</t>
        </is>
      </c>
      <c r="C216" s="3" t="n">
        <v>45964.53194444445</v>
      </c>
      <c r="D216" s="2" t="inlineStr">
        <is>
          <t>Original</t>
        </is>
      </c>
      <c r="E216" s="2" t="inlineStr">
        <is>
          <t>CH</t>
        </is>
      </c>
      <c r="F21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16" s="2" t="inlineStr">
        <is>
          <t>Art. 136.º-A (aditamento)</t>
        </is>
      </c>
      <c r="H216" s="2" t="n"/>
      <c r="I216" s="2" t="n"/>
      <c r="J216" s="2" t="n"/>
      <c r="K216" s="2" t="n"/>
      <c r="L216" s="2" t="inlineStr">
        <is>
          <t>Artigo 136.º-A (Digitalização e disponibilização do espólio da biblioteca e arquivo do Instituto Diplomático)</t>
        </is>
      </c>
      <c r="M216" s="4" t="n"/>
      <c r="N216" s="4" t="n"/>
      <c r="O216" s="2" t="n"/>
      <c r="P216" s="2" t="n"/>
      <c r="Q216" s="2" t="n"/>
      <c r="R216" s="2" t="n"/>
      <c r="S216" s="2" t="inlineStr">
        <is>
          <t>Rejeitado(a) em Comissão</t>
        </is>
      </c>
      <c r="T216" s="2" t="inlineStr">
        <is>
          <t>Rejeitada</t>
        </is>
      </c>
      <c r="U216" s="2" t="inlineStr">
        <is>
          <t>Favor: CH, IL, BE, PAN; Contra: PSD, CDS-PP; Abstenção: PS, L, PCP</t>
        </is>
      </c>
      <c r="V216" s="3" t="n">
        <v>45987</v>
      </c>
      <c r="W216" s="2" t="inlineStr">
        <is>
          <t>AR: https://www.parlamento.pt/OrcamentoEstado/Paginas/DetalhePropostaAlteracao.aspx?BID=23393 PDF: https://app.parlamento.pt/webutils/docs/doc.pdf?path=6148523063484d364c793942556b356c6443397a6158526c63793959566b6c4a544556484c3039464c7a49774d6a59794d4449314d5441774f533951515338305a5749784d54426c4d43307a4d7a45314c54526c4e475574596a4e684e4330784e57566c4e446c6a4e5467354f5455756347526d&amp;Fich=4eb110e0-3315-4e4e-b3a4-15ee49c58995.pdf&amp;Inline=true</t>
        </is>
      </c>
      <c r="X216" s="2" t="inlineStr">
        <is>
          <t>Negócios Estrangeiros e Comunidades Portuguesas</t>
        </is>
      </c>
      <c r="Y216" s="2" t="inlineStr">
        <is>
          <t>Articulado</t>
        </is>
      </c>
      <c r="Z216" s="2" t="inlineStr">
        <is>
          <t>Aditamento (Artigo PPL)</t>
        </is>
      </c>
      <c r="AA216" s="2" t="inlineStr">
        <is>
          <t>Rejeitado(a) em Comissão</t>
        </is>
      </c>
      <c r="AB216" s="2" t="inlineStr"/>
      <c r="AC216" s="2" t="inlineStr"/>
      <c r="AD216" s="2" t="inlineStr">
        <is>
          <t>1</t>
        </is>
      </c>
      <c r="AE216" s="2" t="inlineStr">
        <is>
          <t>23393</t>
        </is>
      </c>
      <c r="AF216" s="2" t="inlineStr">
        <is>
          <t>https://www.parlamento.pt/OrcamentoEstado/Paginas/DetalhePropostaAlteracao.aspx?BID=23393</t>
        </is>
      </c>
      <c r="AG216" s="2" t="inlineStr">
        <is>
          <t>https://app.parlamento.pt/webutils/docs/doc.pdf?path=6148523063484d364c793942556b356c6443397a6158526c63793959566b6c4a544556484c3039464c7a49774d6a59794d4449314d5441774f533951515338305a5749784d54426c4d43307a4d7a45314c54526c4e475574596a4e684e4330784e57566c4e446c6a4e5467354f5455756347526d&amp;Fich=4eb110e0-3315-4e4e-b3a4-15ee49c58995.pdf&amp;Inline=true</t>
        </is>
      </c>
      <c r="AH216" s="3" t="n">
        <v>46321.77847222222</v>
      </c>
      <c r="AI216" s="3" t="n">
        <v>46321.78055555555</v>
      </c>
      <c r="AJ216" s="2" t="inlineStr"/>
    </row>
    <row r="217">
      <c r="A217" s="2" t="n">
        <v>216</v>
      </c>
      <c r="B217" s="2" t="inlineStr">
        <is>
          <t>201C</t>
        </is>
      </c>
      <c r="C217" s="3" t="n">
        <v>45964.53541666667</v>
      </c>
      <c r="D217" s="2" t="inlineStr">
        <is>
          <t>Original</t>
        </is>
      </c>
      <c r="E217" s="2" t="inlineStr">
        <is>
          <t>Vários</t>
        </is>
      </c>
      <c r="F217" s="2" t="inlineStr">
        <is>
          <t>Alberto Fonseca; Francisco Pimentel; Hugo Carneiro; Hugo Soares; João Pinho de Almeida; Paulo Núncio</t>
        </is>
      </c>
      <c r="G217" s="2" t="inlineStr">
        <is>
          <t>Art. 84.º (substituição)</t>
        </is>
      </c>
      <c r="H217" s="2" t="n"/>
      <c r="I217" s="2" t="n"/>
      <c r="J217" s="2" t="n"/>
      <c r="K217" s="2" t="n"/>
      <c r="L217" s="2" t="inlineStr">
        <is>
          <t>N.º 11, Artigo 84.º</t>
        </is>
      </c>
      <c r="M217" s="4" t="n"/>
      <c r="N217" s="4" t="n"/>
      <c r="O217" s="2" t="n"/>
      <c r="P217" s="2" t="n"/>
      <c r="Q217" s="2" t="n"/>
      <c r="R217" s="2" t="n"/>
      <c r="S217" s="2" t="inlineStr">
        <is>
          <t>Aprovado(a) em Comissão</t>
        </is>
      </c>
      <c r="T217" s="2" t="inlineStr">
        <is>
          <t>Aprovada</t>
        </is>
      </c>
      <c r="U217" s="2" t="inlineStr">
        <is>
          <t>Favor: PSD, IL, L, CDS-PP, PAN; Abstenção: CH, PS, PCP, BE</t>
        </is>
      </c>
      <c r="V217" s="3" t="n">
        <v>45982</v>
      </c>
      <c r="W217" s="2" t="inlineStr">
        <is>
          <t>AR: https://www.parlamento.pt/OrcamentoEstado/Paginas/DetalhePropostaAlteracao.aspx?BID=23394 PDF: https://app.parlamento.pt/webutils/docs/doc.pdf?path=6148523063484d364c793942556b356c6443397a6158526c63793959566b6c4a544556484c3039464c7a49774d6a59794d4449314d5441774f53395151533832597a63304d4759355a69307a4d574e684c54517a4e6a67744f44426a4d533077596a51345a545669593249334f4745756347526d&amp;Fich=6c740f9f-31ca-4368-80c1-0b48e5bcb78a.pdf&amp;Inline=true</t>
        </is>
      </c>
      <c r="X217" s="2" t="inlineStr">
        <is>
          <t>Orçamento, Finanças e Administração Pública; Reforma do Estado e Poder Local</t>
        </is>
      </c>
      <c r="Y217" s="2" t="inlineStr">
        <is>
          <t>Articulado</t>
        </is>
      </c>
      <c r="Z217" s="2" t="inlineStr">
        <is>
          <t>Substituição</t>
        </is>
      </c>
      <c r="AA217" s="2" t="inlineStr">
        <is>
          <t>Aprovado(a) em Comissão</t>
        </is>
      </c>
      <c r="AB217" s="2" t="inlineStr"/>
      <c r="AC217" s="2" t="inlineStr"/>
      <c r="AD217" s="2" t="inlineStr">
        <is>
          <t>1</t>
        </is>
      </c>
      <c r="AE217" s="2" t="inlineStr">
        <is>
          <t>23394</t>
        </is>
      </c>
      <c r="AF217" s="2" t="inlineStr">
        <is>
          <t>https://www.parlamento.pt/OrcamentoEstado/Paginas/DetalhePropostaAlteracao.aspx?BID=23394</t>
        </is>
      </c>
      <c r="AG217" s="2" t="inlineStr">
        <is>
          <t>https://app.parlamento.pt/webutils/docs/doc.pdf?path=6148523063484d364c793942556b356c6443397a6158526c63793959566b6c4a544556484c3039464c7a49774d6a59794d4449314d5441774f53395151533832597a63304d4759355a69307a4d574e684c54517a4e6a67744f44426a4d533077596a51345a545669593249334f4745756347526d&amp;Fich=6c740f9f-31ca-4368-80c1-0b48e5bcb78a.pdf&amp;Inline=true</t>
        </is>
      </c>
      <c r="AH217" s="3" t="n">
        <v>46321.77847222222</v>
      </c>
      <c r="AI217" s="3" t="n">
        <v>46321.78055555555</v>
      </c>
      <c r="AJ217" s="2" t="inlineStr"/>
    </row>
    <row r="218">
      <c r="A218" s="2" t="n">
        <v>217</v>
      </c>
      <c r="B218" s="2" t="inlineStr">
        <is>
          <t>202C</t>
        </is>
      </c>
      <c r="C218" s="3" t="n">
        <v>45964.53819444445</v>
      </c>
      <c r="D218" s="2" t="inlineStr">
        <is>
          <t>Original</t>
        </is>
      </c>
      <c r="E218" s="2" t="inlineStr">
        <is>
          <t>CH</t>
        </is>
      </c>
      <c r="F21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18" s="2" t="inlineStr">
        <is>
          <t>Art. 136.º-A (aditamento)</t>
        </is>
      </c>
      <c r="H218" s="2" t="n"/>
      <c r="I218" s="2" t="n"/>
      <c r="J218" s="2" t="n"/>
      <c r="K218" s="2" t="n"/>
      <c r="L218" s="2" t="inlineStr">
        <is>
          <t>Artigo 136.º-A (Garante o ensino da língua portuguesa em Malaca, Malásia)</t>
        </is>
      </c>
      <c r="M218" s="4" t="n"/>
      <c r="N218" s="4" t="n"/>
      <c r="O218" s="2" t="n"/>
      <c r="P218" s="2" t="n"/>
      <c r="Q218" s="2" t="n"/>
      <c r="R218" s="2" t="n"/>
      <c r="S218" s="2" t="inlineStr">
        <is>
          <t>Rejeitado(a) em Comissão</t>
        </is>
      </c>
      <c r="T218" s="2" t="inlineStr">
        <is>
          <t>Rejeitada</t>
        </is>
      </c>
      <c r="U218" s="2" t="inlineStr">
        <is>
          <t>Favor: CH, IL, PAN; Contra: PSD; Abstenção: PS, L, PCP, CDS-PP, BE</t>
        </is>
      </c>
      <c r="V218" s="3" t="n">
        <v>45987</v>
      </c>
      <c r="W218" s="2" t="inlineStr">
        <is>
          <t>AR: https://www.parlamento.pt/OrcamentoEstado/Paginas/DetalhePropostaAlteracao.aspx?BID=23395 PDF: https://app.parlamento.pt/webutils/docs/doc.pdf?path=6148523063484d364c793942556b356c6443397a6158526c63793959566b6c4a544556484c3039464c7a49774d6a59794d4449314d5441774f53395151533830597a46685a57457a4d433032595451784c5451794e6d51744f54457a4f5330784d546c6a4d5451344d3245324f4455756347526d&amp;Fich=4c1aea30-6a41-426d-9139-119c1483a685.pdf&amp;Inline=true</t>
        </is>
      </c>
      <c r="X218" s="2" t="inlineStr">
        <is>
          <t>Negócios Estrangeiros e Comunidades Portuguesas</t>
        </is>
      </c>
      <c r="Y218" s="2" t="inlineStr">
        <is>
          <t>Articulado</t>
        </is>
      </c>
      <c r="Z218" s="2" t="inlineStr">
        <is>
          <t>Aditamento (Artigo PPL)</t>
        </is>
      </c>
      <c r="AA218" s="2" t="inlineStr">
        <is>
          <t>Rejeitado(a) em Comissão</t>
        </is>
      </c>
      <c r="AB218" s="2" t="inlineStr"/>
      <c r="AC218" s="2" t="inlineStr"/>
      <c r="AD218" s="2" t="inlineStr">
        <is>
          <t>1</t>
        </is>
      </c>
      <c r="AE218" s="2" t="inlineStr">
        <is>
          <t>23395</t>
        </is>
      </c>
      <c r="AF218" s="2" t="inlineStr">
        <is>
          <t>https://www.parlamento.pt/OrcamentoEstado/Paginas/DetalhePropostaAlteracao.aspx?BID=23395</t>
        </is>
      </c>
      <c r="AG218" s="2" t="inlineStr">
        <is>
          <t>https://app.parlamento.pt/webutils/docs/doc.pdf?path=6148523063484d364c793942556b356c6443397a6158526c63793959566b6c4a544556484c3039464c7a49774d6a59794d4449314d5441774f53395151533830597a46685a57457a4d433032595451784c5451794e6d51744f54457a4f5330784d546c6a4d5451344d3245324f4455756347526d&amp;Fich=4c1aea30-6a41-426d-9139-119c1483a685.pdf&amp;Inline=true</t>
        </is>
      </c>
      <c r="AH218" s="3" t="n">
        <v>46321.77847222222</v>
      </c>
      <c r="AI218" s="3" t="n">
        <v>46321.78055555555</v>
      </c>
      <c r="AJ218" s="2" t="inlineStr"/>
    </row>
    <row r="219">
      <c r="A219" s="2" t="n">
        <v>218</v>
      </c>
      <c r="B219" s="2" t="inlineStr">
        <is>
          <t>203C</t>
        </is>
      </c>
      <c r="C219" s="3" t="n">
        <v>45964.53958333333</v>
      </c>
      <c r="D219" s="2" t="inlineStr">
        <is>
          <t>Original</t>
        </is>
      </c>
      <c r="E219" s="2" t="inlineStr">
        <is>
          <t>CH</t>
        </is>
      </c>
      <c r="F21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19" s="2" t="inlineStr">
        <is>
          <t>Art. 136.º-A (aditamento)</t>
        </is>
      </c>
      <c r="H219" s="2" t="n"/>
      <c r="I219" s="2" t="n"/>
      <c r="J219" s="2" t="n"/>
      <c r="K219" s="2" t="n"/>
      <c r="L219" s="2" t="inlineStr">
        <is>
          <t>Artigo 136.º-A (Início da construção da nova Escola Portuguesa de São Paulo)</t>
        </is>
      </c>
      <c r="M219" s="4" t="n"/>
      <c r="N219" s="4" t="n"/>
      <c r="O219" s="2" t="n"/>
      <c r="P219" s="2" t="n"/>
      <c r="Q219" s="2" t="n"/>
      <c r="R219" s="2" t="n"/>
      <c r="S219" s="2" t="inlineStr">
        <is>
          <t>Rejeitado(a) em Comissão</t>
        </is>
      </c>
      <c r="T219" s="2" t="inlineStr">
        <is>
          <t>Rejeitada</t>
        </is>
      </c>
      <c r="U219" s="2" t="inlineStr">
        <is>
          <t>Favor: CH, IL, PAN; Contra: PSD, CDS-PP; Abstenção: PS, L, PCP, BE</t>
        </is>
      </c>
      <c r="V219" s="3" t="n">
        <v>45987</v>
      </c>
      <c r="W219" s="2" t="inlineStr">
        <is>
          <t>AR: https://www.parlamento.pt/OrcamentoEstado/Paginas/DetalhePropostaAlteracao.aspx?BID=23396 PDF: https://app.parlamento.pt/webutils/docs/doc.pdf?path=6148523063484d364c793942556b356c6443397a6158526c63793959566b6c4a544556484c3039464c7a49774d6a59794d4449314d5441774f53395151533878595463774e6a5130595330354d4449334c54517859545974595441344d4330334e546b795a6d526c4f444a6b596a63756347526d&amp;Fich=1a70644a-9027-41a6-a080-7592fde82db7.pdf&amp;Inline=true</t>
        </is>
      </c>
      <c r="X219" s="2" t="inlineStr">
        <is>
          <t>Negócios Estrangeiros e Comunidades Portuguesas</t>
        </is>
      </c>
      <c r="Y219" s="2" t="inlineStr">
        <is>
          <t>Articulado</t>
        </is>
      </c>
      <c r="Z219" s="2" t="inlineStr">
        <is>
          <t>Aditamento (Artigo PPL)</t>
        </is>
      </c>
      <c r="AA219" s="2" t="inlineStr">
        <is>
          <t>Rejeitado(a) em Comissão</t>
        </is>
      </c>
      <c r="AB219" s="2" t="inlineStr"/>
      <c r="AC219" s="2" t="inlineStr"/>
      <c r="AD219" s="2" t="inlineStr">
        <is>
          <t>1</t>
        </is>
      </c>
      <c r="AE219" s="2" t="inlineStr">
        <is>
          <t>23396</t>
        </is>
      </c>
      <c r="AF219" s="2" t="inlineStr">
        <is>
          <t>https://www.parlamento.pt/OrcamentoEstado/Paginas/DetalhePropostaAlteracao.aspx?BID=23396</t>
        </is>
      </c>
      <c r="AG219" s="2" t="inlineStr">
        <is>
          <t>https://app.parlamento.pt/webutils/docs/doc.pdf?path=6148523063484d364c793942556b356c6443397a6158526c63793959566b6c4a544556484c3039464c7a49774d6a59794d4449314d5441774f53395151533878595463774e6a5130595330354d4449334c54517859545974595441344d4330334e546b795a6d526c4f444a6b596a63756347526d&amp;Fich=1a70644a-9027-41a6-a080-7592fde82db7.pdf&amp;Inline=true</t>
        </is>
      </c>
      <c r="AH219" s="3" t="n">
        <v>46321.77847222222</v>
      </c>
      <c r="AI219" s="3" t="n">
        <v>46321.78055555555</v>
      </c>
      <c r="AJ219" s="2" t="inlineStr"/>
    </row>
    <row r="220">
      <c r="A220" s="2" t="n">
        <v>219</v>
      </c>
      <c r="B220" s="2" t="inlineStr">
        <is>
          <t>204C</t>
        </is>
      </c>
      <c r="C220" s="3" t="n">
        <v>45964.54097222222</v>
      </c>
      <c r="D220" s="2" t="inlineStr">
        <is>
          <t>Original</t>
        </is>
      </c>
      <c r="E220" s="2" t="inlineStr">
        <is>
          <t>CH</t>
        </is>
      </c>
      <c r="F22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20" s="2" t="inlineStr">
        <is>
          <t>Art. 136.º-A (aditamento)</t>
        </is>
      </c>
      <c r="H220" s="2" t="n"/>
      <c r="I220" s="2" t="n"/>
      <c r="J220" s="2" t="n"/>
      <c r="K220" s="2" t="n"/>
      <c r="L220" s="2" t="inlineStr">
        <is>
          <t>Artigo 136.º-A (Lança, através do Camões, I.P., um programa online de ensino gratuito de língua portuguesa destinado a lusodescendentes residentes no estrangeiro)</t>
        </is>
      </c>
      <c r="M220" s="4" t="n"/>
      <c r="N220" s="4" t="n"/>
      <c r="O220" s="2" t="n"/>
      <c r="P220" s="2" t="n"/>
      <c r="Q220" s="2" t="n"/>
      <c r="R220" s="2" t="n"/>
      <c r="S220" s="2" t="inlineStr">
        <is>
          <t>Rejeitado(a) em Comissão</t>
        </is>
      </c>
      <c r="T220" s="2" t="inlineStr">
        <is>
          <t>Rejeitada</t>
        </is>
      </c>
      <c r="U220" s="2" t="inlineStr">
        <is>
          <t>Favor: CH, BE, PAN; Contra: PSD, PCP; Abstenção: PS, IL, L, CDS-PP</t>
        </is>
      </c>
      <c r="V220" s="3" t="n">
        <v>45987</v>
      </c>
      <c r="W220" s="2" t="inlineStr">
        <is>
          <t>AR: https://www.parlamento.pt/OrcamentoEstado/Paginas/DetalhePropostaAlteracao.aspx?BID=23397 PDF: https://app.parlamento.pt/webutils/docs/doc.pdf?path=6148523063484d364c793942556b356c6443397a6158526c63793959566b6c4a544556484c3039464c7a49774d6a59794d4449314d5441774f533951515339694d446b774e4449354d53316c59324d334c5451314d5755744f5751344e5331684d4451334e4455344d3245344e7a59756347526d&amp;Fich=b0904291-ecc7-451e-9d85-a0474583a876.pdf&amp;Inline=true</t>
        </is>
      </c>
      <c r="X220" s="2" t="inlineStr">
        <is>
          <t>Negócios Estrangeiros e Comunidades Portuguesas</t>
        </is>
      </c>
      <c r="Y220" s="2" t="inlineStr">
        <is>
          <t>Articulado</t>
        </is>
      </c>
      <c r="Z220" s="2" t="inlineStr">
        <is>
          <t>Aditamento (Artigo PPL)</t>
        </is>
      </c>
      <c r="AA220" s="2" t="inlineStr">
        <is>
          <t>Rejeitado(a) em Comissão</t>
        </is>
      </c>
      <c r="AB220" s="2" t="inlineStr"/>
      <c r="AC220" s="2" t="inlineStr"/>
      <c r="AD220" s="2" t="inlineStr">
        <is>
          <t>1</t>
        </is>
      </c>
      <c r="AE220" s="2" t="inlineStr">
        <is>
          <t>23397</t>
        </is>
      </c>
      <c r="AF220" s="2" t="inlineStr">
        <is>
          <t>https://www.parlamento.pt/OrcamentoEstado/Paginas/DetalhePropostaAlteracao.aspx?BID=23397</t>
        </is>
      </c>
      <c r="AG220" s="2" t="inlineStr">
        <is>
          <t>https://app.parlamento.pt/webutils/docs/doc.pdf?path=6148523063484d364c793942556b356c6443397a6158526c63793959566b6c4a544556484c3039464c7a49774d6a59794d4449314d5441774f533951515339694d446b774e4449354d53316c59324d334c5451314d5755744f5751344e5331684d4451334e4455344d3245344e7a59756347526d&amp;Fich=b0904291-ecc7-451e-9d85-a0474583a876.pdf&amp;Inline=true</t>
        </is>
      </c>
      <c r="AH220" s="3" t="n">
        <v>46321.77847222222</v>
      </c>
      <c r="AI220" s="3" t="n">
        <v>46321.78055555555</v>
      </c>
      <c r="AJ220" s="2" t="inlineStr"/>
    </row>
    <row r="221">
      <c r="A221" s="2" t="n">
        <v>220</v>
      </c>
      <c r="B221" s="2" t="inlineStr">
        <is>
          <t>205C</t>
        </is>
      </c>
      <c r="C221" s="3" t="n">
        <v>45964.54166666666</v>
      </c>
      <c r="D221" s="2" t="inlineStr">
        <is>
          <t>Original</t>
        </is>
      </c>
      <c r="E221" s="2" t="inlineStr">
        <is>
          <t>Vários</t>
        </is>
      </c>
      <c r="F221" s="2" t="inlineStr">
        <is>
          <t>Alberto Fonseca; Francisco Pimentel; Hugo Carneiro; Hugo Soares; João Pinho de Almeida; Paulo Núncio</t>
        </is>
      </c>
      <c r="G221" s="2" t="inlineStr">
        <is>
          <t>Art. 133.º (substituição)</t>
        </is>
      </c>
      <c r="H221" s="2" t="n"/>
      <c r="I221" s="2" t="n"/>
      <c r="J221" s="2" t="n"/>
      <c r="K221" s="2" t="n"/>
      <c r="L221" s="2" t="inlineStr">
        <is>
          <t>Alínea c), Alínea d), N.º 6, Artigo 133.º</t>
        </is>
      </c>
      <c r="M221" s="4" t="n"/>
      <c r="N221" s="4" t="n"/>
      <c r="O221" s="2" t="n"/>
      <c r="P221" s="2" t="n"/>
      <c r="Q221" s="2" t="n"/>
      <c r="R221" s="2" t="n"/>
      <c r="S221" s="2" t="inlineStr">
        <is>
          <t>Aprovado(a) em Comissão</t>
        </is>
      </c>
      <c r="T221" s="2" t="inlineStr">
        <is>
          <t>Aprovada</t>
        </is>
      </c>
      <c r="U221" s="2" t="inlineStr">
        <is>
          <t>Favor: PSD, IL, CDS-PP, PAN; Contra: CH; Abstenção: PS, L, PCP, BE</t>
        </is>
      </c>
      <c r="V221" s="3" t="n">
        <v>45985</v>
      </c>
      <c r="W221" s="2" t="inlineStr">
        <is>
          <t>AR: https://www.parlamento.pt/OrcamentoEstado/Paginas/DetalhePropostaAlteracao.aspx?BID=23398 PDF: https://app.parlamento.pt/webutils/docs/doc.pdf?path=6148523063484d364c793942556b356c6443397a6158526c63793959566b6c4a544556484c3039464c7a49774d6a59794d4449314d5441774f533951515338314d5455314f5445795a53316b4e7a41304c5451324e7a6b744f57566a4f43316a4d57526c4f446333596d4e685a6a49756347526d&amp;Fich=5155912e-d704-4679-9ec8-c1de877bcaf2.pdf&amp;Inline=true</t>
        </is>
      </c>
      <c r="X221" s="2" t="inlineStr">
        <is>
          <t>Negócios Estrangeiros e Comunidades Portuguesas; Orçamento, Finanças e Administração Pública</t>
        </is>
      </c>
      <c r="Y221" s="2" t="inlineStr">
        <is>
          <t>Articulado</t>
        </is>
      </c>
      <c r="Z221" s="2" t="inlineStr">
        <is>
          <t>Substituição</t>
        </is>
      </c>
      <c r="AA221" s="2" t="inlineStr">
        <is>
          <t>Aprovado(a) em Comissão</t>
        </is>
      </c>
      <c r="AB221" s="2" t="inlineStr"/>
      <c r="AC221" s="2" t="inlineStr"/>
      <c r="AD221" s="2" t="inlineStr">
        <is>
          <t>1</t>
        </is>
      </c>
      <c r="AE221" s="2" t="inlineStr">
        <is>
          <t>23398</t>
        </is>
      </c>
      <c r="AF221" s="2" t="inlineStr">
        <is>
          <t>https://www.parlamento.pt/OrcamentoEstado/Paginas/DetalhePropostaAlteracao.aspx?BID=23398</t>
        </is>
      </c>
      <c r="AG221" s="2" t="inlineStr">
        <is>
          <t>https://app.parlamento.pt/webutils/docs/doc.pdf?path=6148523063484d364c793942556b356c6443397a6158526c63793959566b6c4a544556484c3039464c7a49774d6a59794d4449314d5441774f533951515338314d5455314f5445795a53316b4e7a41304c5451324e7a6b744f57566a4f43316a4d57526c4f446333596d4e685a6a49756347526d&amp;Fich=5155912e-d704-4679-9ec8-c1de877bcaf2.pdf&amp;Inline=true</t>
        </is>
      </c>
      <c r="AH221" s="3" t="n">
        <v>46321.77847222222</v>
      </c>
      <c r="AI221" s="3" t="n">
        <v>46321.78055555555</v>
      </c>
      <c r="AJ221" s="2" t="inlineStr"/>
    </row>
    <row r="222">
      <c r="A222" s="2" t="n">
        <v>221</v>
      </c>
      <c r="B222" s="2" t="inlineStr">
        <is>
          <t>206C</t>
        </is>
      </c>
      <c r="C222" s="3" t="n">
        <v>45964.54236111111</v>
      </c>
      <c r="D222" s="2" t="inlineStr">
        <is>
          <t>Original</t>
        </is>
      </c>
      <c r="E222" s="2" t="inlineStr">
        <is>
          <t>CH</t>
        </is>
      </c>
      <c r="F22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22" s="2" t="inlineStr">
        <is>
          <t>Art. 136.º-A (aditamento)</t>
        </is>
      </c>
      <c r="H222" s="2" t="n"/>
      <c r="I222" s="2" t="n"/>
      <c r="J222" s="2" t="n"/>
      <c r="K222" s="2" t="n"/>
      <c r="L222" s="2" t="inlineStr">
        <is>
          <t>Artigo 136.º-A (Criação da Rede de Balcões de Atendimento nas cidades com maior concentração de emigração portuguesa)</t>
        </is>
      </c>
      <c r="M222" s="4" t="n"/>
      <c r="N222" s="4" t="n"/>
      <c r="O222" s="2" t="n"/>
      <c r="P222" s="2" t="n"/>
      <c r="Q222" s="2" t="n"/>
      <c r="R222" s="2" t="n"/>
      <c r="S222" s="2" t="inlineStr">
        <is>
          <t>Rejeitado(a) em Comissão</t>
        </is>
      </c>
      <c r="T222" s="2" t="inlineStr">
        <is>
          <t>Rejeitada</t>
        </is>
      </c>
      <c r="U222" s="2" t="inlineStr">
        <is>
          <t>Favor: CH, IL, BE, PAN; Contra: PSD, PS, CDS-PP; Abstenção: L, PCP</t>
        </is>
      </c>
      <c r="V222" s="3" t="n">
        <v>45987</v>
      </c>
      <c r="W222" s="2" t="inlineStr">
        <is>
          <t>AR: https://www.parlamento.pt/OrcamentoEstado/Paginas/DetalhePropostaAlteracao.aspx?BID=23399 PDF: https://app.parlamento.pt/webutils/docs/doc.pdf?path=6148523063484d364c793942556b356c6443397a6158526c63793959566b6c4a544556484c3039464c7a49774d6a59794d4449314d5441774f533951515339685a4463345a475179597930354d4751354c54526b4d47517459544d314e7930784e44597a4f4442685a6d4534595449756347526d&amp;Fich=ad78dd2c-90d9-4d0d-a357-146380afa8a2.pdf&amp;Inline=true</t>
        </is>
      </c>
      <c r="X222" s="2" t="inlineStr">
        <is>
          <t>Negócios Estrangeiros e Comunidades Portuguesas</t>
        </is>
      </c>
      <c r="Y222" s="2" t="inlineStr">
        <is>
          <t>Articulado</t>
        </is>
      </c>
      <c r="Z222" s="2" t="inlineStr">
        <is>
          <t>Aditamento (Artigo PPL)</t>
        </is>
      </c>
      <c r="AA222" s="2" t="inlineStr">
        <is>
          <t>Rejeitado(a) em Comissão</t>
        </is>
      </c>
      <c r="AB222" s="2" t="inlineStr"/>
      <c r="AC222" s="2" t="inlineStr"/>
      <c r="AD222" s="2" t="inlineStr">
        <is>
          <t>1</t>
        </is>
      </c>
      <c r="AE222" s="2" t="inlineStr">
        <is>
          <t>23399</t>
        </is>
      </c>
      <c r="AF222" s="2" t="inlineStr">
        <is>
          <t>https://www.parlamento.pt/OrcamentoEstado/Paginas/DetalhePropostaAlteracao.aspx?BID=23399</t>
        </is>
      </c>
      <c r="AG222" s="2" t="inlineStr">
        <is>
          <t>https://app.parlamento.pt/webutils/docs/doc.pdf?path=6148523063484d364c793942556b356c6443397a6158526c63793959566b6c4a544556484c3039464c7a49774d6a59794d4449314d5441774f533951515339685a4463345a475179597930354d4751354c54526b4d47517459544d314e7930784e44597a4f4442685a6d4534595449756347526d&amp;Fich=ad78dd2c-90d9-4d0d-a357-146380afa8a2.pdf&amp;Inline=true</t>
        </is>
      </c>
      <c r="AH222" s="3" t="n">
        <v>46321.77847222222</v>
      </c>
      <c r="AI222" s="3" t="n">
        <v>46321.78055555555</v>
      </c>
      <c r="AJ222" s="2" t="inlineStr"/>
    </row>
    <row r="223">
      <c r="A223" s="2" t="n">
        <v>222</v>
      </c>
      <c r="B223" s="2" t="inlineStr">
        <is>
          <t>207C</t>
        </is>
      </c>
      <c r="C223" s="3" t="n">
        <v>45964.54444444444</v>
      </c>
      <c r="D223" s="2" t="inlineStr">
        <is>
          <t>Original</t>
        </is>
      </c>
      <c r="E223" s="2" t="inlineStr">
        <is>
          <t>CH</t>
        </is>
      </c>
      <c r="F22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23" s="2" t="inlineStr">
        <is>
          <t>Art. 136.º-A (aditamento)</t>
        </is>
      </c>
      <c r="H223" s="2" t="n"/>
      <c r="I223" s="2" t="n"/>
      <c r="J223" s="2" t="n"/>
      <c r="K223" s="2" t="n"/>
      <c r="L223" s="2" t="inlineStr">
        <is>
          <t>Artigo 136.º-A (Proibição de cumulação de pensões e cessação de subvenções vitalícias a ex-titulares de cargos políticos)</t>
        </is>
      </c>
      <c r="M223" s="4" t="n"/>
      <c r="N223" s="4" t="n"/>
      <c r="O223" s="2" t="n"/>
      <c r="P223" s="2" t="n"/>
      <c r="Q223" s="2" t="n"/>
      <c r="R223" s="2" t="n"/>
      <c r="S223" s="2" t="inlineStr">
        <is>
          <t>Rejeitado(a) em Comissão</t>
        </is>
      </c>
      <c r="T223" s="2" t="inlineStr">
        <is>
          <t>Rejeitada</t>
        </is>
      </c>
      <c r="U223" s="2" t="inlineStr">
        <is>
          <t>Favor: CH, BE; Contra: PSD, PS, IL, L, PCP, CDS-PP, PAN</t>
        </is>
      </c>
      <c r="V223" s="3" t="n">
        <v>45987</v>
      </c>
      <c r="W223" s="2" t="inlineStr">
        <is>
          <t>AR: https://www.parlamento.pt/OrcamentoEstado/Paginas/DetalhePropostaAlteracao.aspx?BID=23400 PDF: https://app.parlamento.pt/webutils/docs/doc.pdf?path=6148523063484d364c793942556b356c6443397a6158526c63793959566b6c4a544556484c3039464c7a49774d6a59794d4449314d5441774f5339515153387a4e5749355a5445324d43316d4e4445314c5452684e6a4d744f446c694d5330794e6a68694e474e694d6a426a5a546b756347526d&amp;Fich=35b9e160-f415-4a63-89b1-268b4cb20ce9.pdf&amp;Inline=true</t>
        </is>
      </c>
      <c r="X223" s="2" t="inlineStr">
        <is>
          <t>Orçamento, Finanças e Administração Pública; Trabalho, Segurança Social e Inclusão</t>
        </is>
      </c>
      <c r="Y223" s="2" t="inlineStr">
        <is>
          <t>Articulado</t>
        </is>
      </c>
      <c r="Z223" s="2" t="inlineStr">
        <is>
          <t>Aditamento (Artigo PPL)</t>
        </is>
      </c>
      <c r="AA223" s="2" t="inlineStr">
        <is>
          <t>Rejeitado(a) em Comissão</t>
        </is>
      </c>
      <c r="AB223" s="2" t="inlineStr"/>
      <c r="AC223" s="2" t="inlineStr"/>
      <c r="AD223" s="2" t="inlineStr">
        <is>
          <t>1</t>
        </is>
      </c>
      <c r="AE223" s="2" t="inlineStr">
        <is>
          <t>23400</t>
        </is>
      </c>
      <c r="AF223" s="2" t="inlineStr">
        <is>
          <t>https://www.parlamento.pt/OrcamentoEstado/Paginas/DetalhePropostaAlteracao.aspx?BID=23400</t>
        </is>
      </c>
      <c r="AG223" s="2" t="inlineStr">
        <is>
          <t>https://app.parlamento.pt/webutils/docs/doc.pdf?path=6148523063484d364c793942556b356c6443397a6158526c63793959566b6c4a544556484c3039464c7a49774d6a59794d4449314d5441774f5339515153387a4e5749355a5445324d43316d4e4445314c5452684e6a4d744f446c694d5330794e6a68694e474e694d6a426a5a546b756347526d&amp;Fich=35b9e160-f415-4a63-89b1-268b4cb20ce9.pdf&amp;Inline=true</t>
        </is>
      </c>
      <c r="AH223" s="3" t="n">
        <v>46321.77847222222</v>
      </c>
      <c r="AI223" s="3" t="n">
        <v>46321.78055555555</v>
      </c>
      <c r="AJ223" s="2" t="inlineStr"/>
    </row>
    <row r="224">
      <c r="A224" s="2" t="n">
        <v>223</v>
      </c>
      <c r="B224" s="2" t="inlineStr">
        <is>
          <t>208C</t>
        </is>
      </c>
      <c r="C224" s="3" t="n">
        <v>45964.54513888889</v>
      </c>
      <c r="D224" s="2" t="inlineStr">
        <is>
          <t>Original</t>
        </is>
      </c>
      <c r="E224" s="2" t="inlineStr">
        <is>
          <t>CH</t>
        </is>
      </c>
      <c r="F22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24" s="2" t="inlineStr">
        <is>
          <t>Art. 136.º-A (aditamento)</t>
        </is>
      </c>
      <c r="H224" s="2" t="n"/>
      <c r="I224" s="2" t="n"/>
      <c r="J224" s="2" t="n"/>
      <c r="K224" s="2" t="n"/>
      <c r="L224" s="2" t="inlineStr">
        <is>
          <t>Artigo 136.º-A (Recuperação de créditos para os lesados do BES e do Banif)</t>
        </is>
      </c>
      <c r="M224" s="4" t="n"/>
      <c r="N224" s="4" t="n"/>
      <c r="O224" s="2" t="n"/>
      <c r="P224" s="2" t="n"/>
      <c r="Q224" s="2" t="n"/>
      <c r="R224" s="2" t="n"/>
      <c r="S224" s="2" t="inlineStr">
        <is>
          <t>Rejeitado(a) em Comissão</t>
        </is>
      </c>
      <c r="T224" s="2" t="inlineStr">
        <is>
          <t>Rejeitada</t>
        </is>
      </c>
      <c r="U224" s="2" t="inlineStr">
        <is>
          <t>Favor: CH, PAN; Contra: PSD, PCP, CDS-PP; Abstenção: PS, IL, L, BE</t>
        </is>
      </c>
      <c r="V224" s="3" t="n">
        <v>45987</v>
      </c>
      <c r="W224" s="2" t="inlineStr">
        <is>
          <t>AR: https://www.parlamento.pt/OrcamentoEstado/Paginas/DetalhePropostaAlteracao.aspx?BID=23401 PDF: https://app.parlamento.pt/webutils/docs/doc.pdf?path=6148523063484d364c793942556b356c6443397a6158526c63793959566b6c4a544556484c3039464c7a49774d6a59794d4449314d5441774f533951515338315a446334596d5178597930304d574e6b4c5451325a44457459574a6a4d43316c4e5755334d47466d5a5449314e4463756347526d&amp;Fich=5d78bd1c-41cd-46d1-abc0-e5e70afe2547.pdf&amp;Inline=true</t>
        </is>
      </c>
      <c r="X224" s="2" t="inlineStr">
        <is>
          <t>Orçamento, Finanças e Administração Pública</t>
        </is>
      </c>
      <c r="Y224" s="2" t="inlineStr">
        <is>
          <t>Articulado</t>
        </is>
      </c>
      <c r="Z224" s="2" t="inlineStr">
        <is>
          <t>Aditamento (Artigo PPL)</t>
        </is>
      </c>
      <c r="AA224" s="2" t="inlineStr">
        <is>
          <t>Rejeitado(a) em Comissão</t>
        </is>
      </c>
      <c r="AB224" s="2" t="inlineStr"/>
      <c r="AC224" s="2" t="inlineStr"/>
      <c r="AD224" s="2" t="inlineStr">
        <is>
          <t>1</t>
        </is>
      </c>
      <c r="AE224" s="2" t="inlineStr">
        <is>
          <t>23401</t>
        </is>
      </c>
      <c r="AF224" s="2" t="inlineStr">
        <is>
          <t>https://www.parlamento.pt/OrcamentoEstado/Paginas/DetalhePropostaAlteracao.aspx?BID=23401</t>
        </is>
      </c>
      <c r="AG224" s="2" t="inlineStr">
        <is>
          <t>https://app.parlamento.pt/webutils/docs/doc.pdf?path=6148523063484d364c793942556b356c6443397a6158526c63793959566b6c4a544556484c3039464c7a49774d6a59794d4449314d5441774f533951515338315a446334596d5178597930304d574e6b4c5451325a44457459574a6a4d43316c4e5755334d47466d5a5449314e4463756347526d&amp;Fich=5d78bd1c-41cd-46d1-abc0-e5e70afe2547.pdf&amp;Inline=true</t>
        </is>
      </c>
      <c r="AH224" s="3" t="n">
        <v>46321.77847222222</v>
      </c>
      <c r="AI224" s="3" t="n">
        <v>46321.78055555555</v>
      </c>
      <c r="AJ224" s="2" t="inlineStr"/>
    </row>
    <row r="225">
      <c r="A225" s="2" t="n">
        <v>224</v>
      </c>
      <c r="B225" s="2" t="inlineStr">
        <is>
          <t>209C</t>
        </is>
      </c>
      <c r="C225" s="3" t="n">
        <v>45964.54722222222</v>
      </c>
      <c r="D225" s="2" t="inlineStr">
        <is>
          <t>Original</t>
        </is>
      </c>
      <c r="E225" s="2" t="inlineStr">
        <is>
          <t>IL</t>
        </is>
      </c>
      <c r="F225" s="2" t="inlineStr">
        <is>
          <t>Angélique Da Teresa; Carlos Guimarães Pinto; Joana Cordeiro; Jorge Miguel Teixeira; Mariana Leitão; Mário Amorim Lopes; Miguel Rangel; Rodrigo Saraiva; Rui Rocha</t>
        </is>
      </c>
      <c r="G225" s="2" t="inlineStr">
        <is>
          <t>Art. 138.º (aditamento)</t>
        </is>
      </c>
      <c r="H225" s="2" t="n"/>
      <c r="I225" s="2" t="n"/>
      <c r="J225" s="2" t="n"/>
      <c r="K225" s="2" t="n"/>
      <c r="L225" s="2" t="inlineStr">
        <is>
          <t>Alínea c), Artigo 138.º</t>
        </is>
      </c>
      <c r="M225" s="4" t="n"/>
      <c r="N225" s="4" t="n"/>
      <c r="O225" s="2" t="n"/>
      <c r="P225" s="2" t="n"/>
      <c r="Q225" s="2" t="n"/>
      <c r="R225" s="2" t="n"/>
      <c r="S225" s="2" t="inlineStr">
        <is>
          <t>Rejeitado(a) em Comissão</t>
        </is>
      </c>
      <c r="T225" s="2" t="inlineStr">
        <is>
          <t>Rejeitada</t>
        </is>
      </c>
      <c r="U225" s="2" t="inlineStr">
        <is>
          <t>Favor: CH, IL, PCP; Contra: PSD, L, CDS-PP, BE, PAN; Abstenção: PS</t>
        </is>
      </c>
      <c r="V225" s="3" t="n">
        <v>45987</v>
      </c>
      <c r="W225" s="2" t="inlineStr">
        <is>
          <t>AR: https://www.parlamento.pt/OrcamentoEstado/Paginas/DetalhePropostaAlteracao.aspx?BID=23402 PDF: https://app.parlamento.pt/webutils/docs/doc.pdf?path=6148523063484d364c793942556b356c6443397a6158526c63793959566b6c4a544556484c3039464c7a49774d6a59794d4449314d5441774f533951515338344f5756684d7a6c6c59693078597a557a4c54526b4e6a55744f4441314e53316d4f5751775a4451784e3259325a4467756347526d&amp;Fich=89ea39eb-1c53-4d65-8055-f9d0d417f6d8.pdf&amp;Inline=true</t>
        </is>
      </c>
      <c r="X225" s="2" t="inlineStr">
        <is>
          <t>Infraestruturas, Mobilidade e Habitação; Orçamento, Finanças e Administração Pública</t>
        </is>
      </c>
      <c r="Y225" s="2" t="inlineStr">
        <is>
          <t>Articulado</t>
        </is>
      </c>
      <c r="Z225" s="2" t="inlineStr">
        <is>
          <t>Aditamento (Números e Alíneas)</t>
        </is>
      </c>
      <c r="AA225" s="2" t="inlineStr">
        <is>
          <t>Rejeitado(a) em Comissão</t>
        </is>
      </c>
      <c r="AB225" s="2" t="inlineStr"/>
      <c r="AC225" s="2" t="inlineStr"/>
      <c r="AD225" s="2" t="inlineStr">
        <is>
          <t>1</t>
        </is>
      </c>
      <c r="AE225" s="2" t="inlineStr">
        <is>
          <t>23402</t>
        </is>
      </c>
      <c r="AF225" s="2" t="inlineStr">
        <is>
          <t>https://www.parlamento.pt/OrcamentoEstado/Paginas/DetalhePropostaAlteracao.aspx?BID=23402</t>
        </is>
      </c>
      <c r="AG225" s="2" t="inlineStr">
        <is>
          <t>https://app.parlamento.pt/webutils/docs/doc.pdf?path=6148523063484d364c793942556b356c6443397a6158526c63793959566b6c4a544556484c3039464c7a49774d6a59794d4449314d5441774f533951515338344f5756684d7a6c6c59693078597a557a4c54526b4e6a55744f4441314e53316d4f5751775a4451784e3259325a4467756347526d&amp;Fich=89ea39eb-1c53-4d65-8055-f9d0d417f6d8.pdf&amp;Inline=true</t>
        </is>
      </c>
      <c r="AH225" s="3" t="n">
        <v>46321.77847222222</v>
      </c>
      <c r="AI225" s="3" t="n">
        <v>46321.78055555555</v>
      </c>
      <c r="AJ225" s="2" t="inlineStr"/>
    </row>
    <row r="226">
      <c r="A226" s="2" t="n">
        <v>225</v>
      </c>
      <c r="B226" s="2" t="inlineStr">
        <is>
          <t>210C</t>
        </is>
      </c>
      <c r="C226" s="3" t="n">
        <v>45964.54791666667</v>
      </c>
      <c r="D226" s="2" t="inlineStr">
        <is>
          <t>Original</t>
        </is>
      </c>
      <c r="E226" s="2" t="inlineStr">
        <is>
          <t>CH</t>
        </is>
      </c>
      <c r="F22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26" s="2" t="inlineStr">
        <is>
          <t>Art. 136.º-A (aditamento)</t>
        </is>
      </c>
      <c r="H226" s="2" t="n"/>
      <c r="I226" s="2" t="n"/>
      <c r="J226" s="2" t="n"/>
      <c r="K226" s="2" t="n"/>
      <c r="L226" s="2" t="inlineStr">
        <is>
          <t>Artigo 136.º-A (Redução das taxas relativas ao uso e porte de arma por titular de carta de caçador)</t>
        </is>
      </c>
      <c r="M226" s="4" t="n"/>
      <c r="N226" s="4" t="n"/>
      <c r="O226" s="2" t="n"/>
      <c r="P226" s="2" t="n"/>
      <c r="Q226" s="2" t="n"/>
      <c r="R226" s="2" t="n"/>
      <c r="S226" s="2" t="inlineStr">
        <is>
          <t>Rejeitado(a) em Comissão</t>
        </is>
      </c>
      <c r="T226" s="2" t="inlineStr">
        <is>
          <t>Rejeitada</t>
        </is>
      </c>
      <c r="U226" s="2" t="inlineStr">
        <is>
          <t>Favor: CH, IL; Contra: PSD, L, PCP, CDS-PP, BE, PAN; Abstenção: PS</t>
        </is>
      </c>
      <c r="V226" s="3" t="n">
        <v>45987</v>
      </c>
      <c r="W226" s="2" t="inlineStr">
        <is>
          <t>AR: https://www.parlamento.pt/OrcamentoEstado/Paginas/DetalhePropostaAlteracao.aspx?BID=23403 PDF: https://app.parlamento.pt/webutils/docs/doc.pdf?path=6148523063484d364c793942556b356c6443397a6158526c63793959566b6c4a544556484c3039464c7a49774d6a59794d4449314d5441774f5339515153396a597a67335a6a51775a53316c5a4752684c545177596d4d745957466a597930774e7a59334d5745334e3252685a6d49756347526d&amp;Fich=cc87f40e-edda-40bc-aacc-07671a77dafb.pdf&amp;Inline=true</t>
        </is>
      </c>
      <c r="X226" s="2" t="inlineStr">
        <is>
          <t>Agricultura e Pescas; Assuntos Constitucionais, Direitos, Liberdades e Garantias</t>
        </is>
      </c>
      <c r="Y226" s="2" t="inlineStr">
        <is>
          <t>Articulado</t>
        </is>
      </c>
      <c r="Z226" s="2" t="inlineStr">
        <is>
          <t>Aditamento (Artigo PPL)</t>
        </is>
      </c>
      <c r="AA226" s="2" t="inlineStr">
        <is>
          <t>Rejeitado(a) em Comissão</t>
        </is>
      </c>
      <c r="AB226" s="2" t="inlineStr"/>
      <c r="AC226" s="2" t="inlineStr"/>
      <c r="AD226" s="2" t="inlineStr">
        <is>
          <t>1</t>
        </is>
      </c>
      <c r="AE226" s="2" t="inlineStr">
        <is>
          <t>23403</t>
        </is>
      </c>
      <c r="AF226" s="2" t="inlineStr">
        <is>
          <t>https://www.parlamento.pt/OrcamentoEstado/Paginas/DetalhePropostaAlteracao.aspx?BID=23403</t>
        </is>
      </c>
      <c r="AG226" s="2" t="inlineStr">
        <is>
          <t>https://app.parlamento.pt/webutils/docs/doc.pdf?path=6148523063484d364c793942556b356c6443397a6158526c63793959566b6c4a544556484c3039464c7a49774d6a59794d4449314d5441774f5339515153396a597a67335a6a51775a53316c5a4752684c545177596d4d745957466a597930774e7a59334d5745334e3252685a6d49756347526d&amp;Fich=cc87f40e-edda-40bc-aacc-07671a77dafb.pdf&amp;Inline=true</t>
        </is>
      </c>
      <c r="AH226" s="3" t="n">
        <v>46321.77847222222</v>
      </c>
      <c r="AI226" s="3" t="n">
        <v>46321.78055555555</v>
      </c>
      <c r="AJ226" s="2" t="inlineStr"/>
    </row>
    <row r="227">
      <c r="A227" s="2" t="n">
        <v>226</v>
      </c>
      <c r="B227" s="2" t="inlineStr">
        <is>
          <t>211C</t>
        </is>
      </c>
      <c r="C227" s="3" t="n">
        <v>45964.55</v>
      </c>
      <c r="D227" s="2" t="inlineStr">
        <is>
          <t>Original</t>
        </is>
      </c>
      <c r="E227" s="2" t="inlineStr">
        <is>
          <t>CH</t>
        </is>
      </c>
      <c r="F22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27" s="2" t="inlineStr">
        <is>
          <t>Art. 136.º-A (aditamento)</t>
        </is>
      </c>
      <c r="H227" s="2" t="n"/>
      <c r="I227" s="2" t="n"/>
      <c r="J227" s="2" t="n"/>
      <c r="K227" s="2" t="n"/>
      <c r="L227" s="2" t="inlineStr">
        <is>
          <t>Artigo 136.º-A (Reforço da dotação orçamental do Tribunal Constitucional, Entidade das Contas e Partidos Políticos e Entidade para a Transparência)</t>
        </is>
      </c>
      <c r="M227" s="4" t="n"/>
      <c r="N227" s="4" t="n"/>
      <c r="O227" s="2" t="n"/>
      <c r="P227" s="2" t="n"/>
      <c r="Q227" s="2" t="n"/>
      <c r="R227" s="2" t="n"/>
      <c r="S227" s="2" t="inlineStr">
        <is>
          <t>Aprovado(a) em Plenário</t>
        </is>
      </c>
      <c r="T227" s="2" t="inlineStr">
        <is>
          <t>Aprovada</t>
        </is>
      </c>
      <c r="U227" s="2" t="inlineStr">
        <is>
          <t>Favor: CH, PS, BE, PAN, JPP; Contra: PSD, CDS-PP; Abstenção: IL, L, PCP</t>
        </is>
      </c>
      <c r="V227" s="3" t="n">
        <v>45988</v>
      </c>
      <c r="W227" s="2" t="inlineStr">
        <is>
          <t>Avocada a Plenário. AR: https://www.parlamento.pt/OrcamentoEstado/Paginas/DetalhePropostaAlteracao.aspx?BID=23404 PDF: https://app.parlamento.pt/webutils/docs/doc.pdf?path=6148523063484d364c793942556b356c6443397a6158526c63793959566b6c4a544556484c3039464c7a49774d6a59794d4449314d5441774f5339515153396d5a6a6b7a597a4d334e69316d596a6c6a4c54526c4d3259744f54686b597931694d7a466b4e7a426a4d5749314e6d45756347526d&amp;Fich=ff93c376-fb9c-4e3f-98dc-b31d70c1b56a.pdf&amp;Inline=true</t>
        </is>
      </c>
      <c r="X227" s="2" t="inlineStr">
        <is>
          <t>Orçamento, Finanças e Administração Pública; Reforma do Estado e Poder Local</t>
        </is>
      </c>
      <c r="Y227" s="2" t="inlineStr">
        <is>
          <t>Articulado</t>
        </is>
      </c>
      <c r="Z227" s="2" t="inlineStr">
        <is>
          <t>Aditamento (Artigo PPL)</t>
        </is>
      </c>
      <c r="AA227" s="2" t="inlineStr">
        <is>
          <t>Aprovado(a) em Plenário</t>
        </is>
      </c>
      <c r="AB227" s="2" t="inlineStr">
        <is>
          <t>S</t>
        </is>
      </c>
      <c r="AC227" s="2" t="inlineStr"/>
      <c r="AD227" s="2" t="inlineStr">
        <is>
          <t>2</t>
        </is>
      </c>
      <c r="AE227" s="2" t="inlineStr">
        <is>
          <t>23404</t>
        </is>
      </c>
      <c r="AF227" s="2" t="inlineStr">
        <is>
          <t>https://www.parlamento.pt/OrcamentoEstado/Paginas/DetalhePropostaAlteracao.aspx?BID=23404</t>
        </is>
      </c>
      <c r="AG227" s="2" t="inlineStr">
        <is>
          <t>https://app.parlamento.pt/webutils/docs/doc.pdf?path=6148523063484d364c793942556b356c6443397a6158526c63793959566b6c4a544556484c3039464c7a49774d6a59794d4449314d5441774f5339515153396d5a6a6b7a597a4d334e69316d596a6c6a4c54526c4d3259744f54686b597931694d7a466b4e7a426a4d5749314e6d45756347526d&amp;Fich=ff93c376-fb9c-4e3f-98dc-b31d70c1b56a.pdf&amp;Inline=true</t>
        </is>
      </c>
      <c r="AH227" s="3" t="n">
        <v>46321.77847222222</v>
      </c>
      <c r="AI227" s="3" t="n">
        <v>46321.78055555555</v>
      </c>
      <c r="AJ227" s="2" t="inlineStr"/>
    </row>
    <row r="228">
      <c r="A228" s="2" t="n">
        <v>227</v>
      </c>
      <c r="B228" s="2" t="inlineStr">
        <is>
          <t>212C</t>
        </is>
      </c>
      <c r="C228" s="3" t="n">
        <v>45964.56388888889</v>
      </c>
      <c r="D228" s="2" t="inlineStr">
        <is>
          <t>Original</t>
        </is>
      </c>
      <c r="E228" s="2" t="inlineStr">
        <is>
          <t>L</t>
        </is>
      </c>
      <c r="F228" s="2" t="inlineStr">
        <is>
          <t>Filipa Pinto; Isabel Mendes Lopes; Jorge Pinto; Patrícia Gonçalves; Paulo Muacho; Rui Tavares</t>
        </is>
      </c>
      <c r="G228" s="2" t="inlineStr">
        <is>
          <t>Art. 60.º (aditamento)</t>
        </is>
      </c>
      <c r="H228" s="2" t="n"/>
      <c r="I228" s="2" t="n"/>
      <c r="J228" s="2" t="n"/>
      <c r="K228" s="2" t="n"/>
      <c r="L228" s="2" t="inlineStr">
        <is>
          <t>Alínea f), N.º 1, Artigo 9.º do Código do IRS</t>
        </is>
      </c>
      <c r="M228" s="4" t="n"/>
      <c r="N228" s="4" t="n"/>
      <c r="O228" s="2" t="n"/>
      <c r="P228" s="2" t="n"/>
      <c r="Q228" s="2" t="n"/>
      <c r="R228" s="2" t="n"/>
      <c r="S228" s="2" t="inlineStr">
        <is>
          <t>Rejeitado(a) em Comissão</t>
        </is>
      </c>
      <c r="T228" s="2" t="inlineStr">
        <is>
          <t>Rejeitada</t>
        </is>
      </c>
      <c r="U228" s="2" t="inlineStr">
        <is>
          <t>Favor: L, BE, PAN; Contra: PSD, IL, CDS-PP; Abstenção: CH, PS, PCP</t>
        </is>
      </c>
      <c r="V228" s="3" t="n">
        <v>45981</v>
      </c>
      <c r="W228" s="2" t="inlineStr">
        <is>
          <t>AR: https://www.parlamento.pt/OrcamentoEstado/Paginas/DetalhePropostaAlteracao.aspx?BID=23405 PDF: https://app.parlamento.pt/webutils/docs/doc.pdf?path=6148523063484d364c793942556b356c6443397a6158526c63793959566b6c4a544556484c3039464c7a49774d6a59794d4449314d5441774f533951515338794e6a4268596d517a4d43316c5954466b4c545130596d4d744f446331596931684d546b354e3251344d7a4d795a446b756347526d&amp;Fich=260abd30-ea1d-44bc-875b-a1997d8332d9.pdf&amp;Inline=true</t>
        </is>
      </c>
      <c r="X228" s="2" t="inlineStr">
        <is>
          <t>Orçamento, Finanças e Administração Pública</t>
        </is>
      </c>
      <c r="Y228" s="2" t="inlineStr">
        <is>
          <t>Articulado</t>
        </is>
      </c>
      <c r="Z228" s="2" t="inlineStr">
        <is>
          <t>Aditamento (Artigo Outros Diplomas)</t>
        </is>
      </c>
      <c r="AA228" s="2" t="inlineStr">
        <is>
          <t>Rejeitado(a) em Comissão</t>
        </is>
      </c>
      <c r="AB228" s="2" t="inlineStr"/>
      <c r="AC228" s="2" t="inlineStr"/>
      <c r="AD228" s="2" t="inlineStr">
        <is>
          <t>1</t>
        </is>
      </c>
      <c r="AE228" s="2" t="inlineStr">
        <is>
          <t>23405</t>
        </is>
      </c>
      <c r="AF228" s="2" t="inlineStr">
        <is>
          <t>https://www.parlamento.pt/OrcamentoEstado/Paginas/DetalhePropostaAlteracao.aspx?BID=23405</t>
        </is>
      </c>
      <c r="AG228" s="2" t="inlineStr">
        <is>
          <t>https://app.parlamento.pt/webutils/docs/doc.pdf?path=6148523063484d364c793942556b356c6443397a6158526c63793959566b6c4a544556484c3039464c7a49774d6a59794d4449314d5441774f533951515338794e6a4268596d517a4d43316c5954466b4c545130596d4d744f446331596931684d546b354e3251344d7a4d795a446b756347526d&amp;Fich=260abd30-ea1d-44bc-875b-a1997d8332d9.pdf&amp;Inline=true</t>
        </is>
      </c>
      <c r="AH228" s="3" t="n">
        <v>46321.77847222222</v>
      </c>
      <c r="AI228" s="3" t="n">
        <v>46321.78055555555</v>
      </c>
      <c r="AJ228" s="2" t="inlineStr"/>
    </row>
    <row r="229">
      <c r="A229" s="2" t="n">
        <v>228</v>
      </c>
      <c r="B229" s="2" t="inlineStr">
        <is>
          <t>213C</t>
        </is>
      </c>
      <c r="C229" s="3" t="n">
        <v>45964.57291666666</v>
      </c>
      <c r="D229" s="2" t="inlineStr">
        <is>
          <t>Original</t>
        </is>
      </c>
      <c r="E229" s="2" t="inlineStr">
        <is>
          <t>L</t>
        </is>
      </c>
      <c r="F229" s="2" t="inlineStr">
        <is>
          <t>Filipa Pinto; Isabel Mendes Lopes; Jorge Pinto; Patrícia Gonçalves; Paulo Muacho; Rui Tavares</t>
        </is>
      </c>
      <c r="G229" s="2" t="inlineStr">
        <is>
          <t>Art. 136.º-A (aditamento)</t>
        </is>
      </c>
      <c r="H229" s="2" t="n"/>
      <c r="I229" s="2" t="n"/>
      <c r="J229" s="2" t="n"/>
      <c r="K229" s="2" t="n"/>
      <c r="L229" s="2" t="inlineStr">
        <is>
          <t>Artigo 136.º-A (Banca ética e solidária)</t>
        </is>
      </c>
      <c r="M229" s="4" t="n"/>
      <c r="N229" s="4" t="n"/>
      <c r="O229" s="2" t="n"/>
      <c r="P229" s="2" t="n"/>
      <c r="Q229" s="2" t="n"/>
      <c r="R229" s="2" t="n"/>
      <c r="S229" s="2" t="inlineStr">
        <is>
          <t>Rejeitado(a) em Comissão</t>
        </is>
      </c>
      <c r="T229" s="2" t="inlineStr">
        <is>
          <t>Rejeitada</t>
        </is>
      </c>
      <c r="U229" s="2" t="inlineStr">
        <is>
          <t>Favor: CH, L, PAN; Contra: PSD, IL, CDS-PP; Abstenção: PS, PCP, BE</t>
        </is>
      </c>
      <c r="V229" s="3" t="n">
        <v>45987</v>
      </c>
      <c r="W229" s="2" t="inlineStr">
        <is>
          <t>AR: https://www.parlamento.pt/OrcamentoEstado/Paginas/DetalhePropostaAlteracao.aspx?BID=23406 PDF: https://app.parlamento.pt/webutils/docs/doc.pdf?path=6148523063484d364c793942556b356c6443397a6158526c63793959566b6c4a544556484c3039464c7a49774d6a59794d4449314d5441774f533951515338354e5456694e3251354d43316a595745324c545179595441744f474d785a6930304d6a46684e4459324f5445315a4459756347526d&amp;Fich=955b7d90-caa6-42a0-8c1f-421a466915d6.pdf&amp;Inline=true</t>
        </is>
      </c>
      <c r="X229" s="2" t="inlineStr">
        <is>
          <t>Orçamento, Finanças e Administração Pública</t>
        </is>
      </c>
      <c r="Y229" s="2" t="inlineStr">
        <is>
          <t>Articulado</t>
        </is>
      </c>
      <c r="Z229" s="2" t="inlineStr">
        <is>
          <t>Aditamento (Artigo PPL)</t>
        </is>
      </c>
      <c r="AA229" s="2" t="inlineStr">
        <is>
          <t>Rejeitado(a) em Comissão</t>
        </is>
      </c>
      <c r="AB229" s="2" t="inlineStr"/>
      <c r="AC229" s="2" t="inlineStr"/>
      <c r="AD229" s="2" t="inlineStr">
        <is>
          <t>1</t>
        </is>
      </c>
      <c r="AE229" s="2" t="inlineStr">
        <is>
          <t>23406</t>
        </is>
      </c>
      <c r="AF229" s="2" t="inlineStr">
        <is>
          <t>https://www.parlamento.pt/OrcamentoEstado/Paginas/DetalhePropostaAlteracao.aspx?BID=23406</t>
        </is>
      </c>
      <c r="AG229" s="2" t="inlineStr">
        <is>
          <t>https://app.parlamento.pt/webutils/docs/doc.pdf?path=6148523063484d364c793942556b356c6443397a6158526c63793959566b6c4a544556484c3039464c7a49774d6a59794d4449314d5441774f533951515338354e5456694e3251354d43316a595745324c545179595441744f474d785a6930304d6a46684e4459324f5445315a4459756347526d&amp;Fich=955b7d90-caa6-42a0-8c1f-421a466915d6.pdf&amp;Inline=true</t>
        </is>
      </c>
      <c r="AH229" s="3" t="n">
        <v>46321.77847222222</v>
      </c>
      <c r="AI229" s="3" t="n">
        <v>46321.78055555555</v>
      </c>
      <c r="AJ229" s="2" t="inlineStr"/>
    </row>
    <row r="230">
      <c r="A230" s="2" t="n">
        <v>229</v>
      </c>
      <c r="B230" s="2" t="inlineStr">
        <is>
          <t>214C</t>
        </is>
      </c>
      <c r="C230" s="3" t="n">
        <v>45964.57569444444</v>
      </c>
      <c r="D230" s="2" t="inlineStr">
        <is>
          <t>Original</t>
        </is>
      </c>
      <c r="E230" s="2" t="inlineStr">
        <is>
          <t>PCP</t>
        </is>
      </c>
      <c r="F230" s="2" t="inlineStr">
        <is>
          <t>Alfredo Maia; Paula Santos; Paulo Raimundo</t>
        </is>
      </c>
      <c r="G230" s="2" t="inlineStr">
        <is>
          <t>Art. 30.º-A (aditamento)</t>
        </is>
      </c>
      <c r="H230" s="2" t="n"/>
      <c r="I230" s="2" t="n"/>
      <c r="J230" s="2" t="n"/>
      <c r="K230" s="2" t="n"/>
      <c r="L230" s="2" t="inlineStr">
        <is>
          <t>Artigo 30.º-A (Reversão da privatização e desenvolvimento da TAP, S.A.)</t>
        </is>
      </c>
      <c r="M230" s="4" t="n"/>
      <c r="N230" s="4" t="n"/>
      <c r="O230" s="2" t="n"/>
      <c r="P230" s="2" t="n"/>
      <c r="Q230" s="2" t="n"/>
      <c r="R230" s="2" t="n"/>
      <c r="S230" s="2" t="inlineStr">
        <is>
          <t>Rejeitado(a) em Comissão</t>
        </is>
      </c>
      <c r="T230" s="2" t="inlineStr">
        <is>
          <t>Rejeitada</t>
        </is>
      </c>
      <c r="U230" s="2" t="inlineStr">
        <is>
          <t>Favor: L, PCP, BE, PAN; Contra: PSD, CH, PS, IL, CDS-PP</t>
        </is>
      </c>
      <c r="V230" s="3" t="n">
        <v>45981</v>
      </c>
      <c r="W230" s="2" t="inlineStr">
        <is>
          <t>AR: https://www.parlamento.pt/OrcamentoEstado/Paginas/DetalhePropostaAlteracao.aspx?BID=23407 PDF: https://app.parlamento.pt/webutils/docs/doc.pdf?path=6148523063484d364c793942556b356c6443397a6158526c63793959566b6c4a544556484c3039464c7a49774d6a59794d4449314d5441774f533951515338344d44686d4d574d774e693168593259344c5452694f5449744f5451334d6930344e6a497a5a444d314e4759784e4467756347526d&amp;Fich=808f1c06-acf8-4b92-9472-8623d354f148.pdf&amp;Inline=true</t>
        </is>
      </c>
      <c r="X230" s="2" t="inlineStr">
        <is>
          <t>Infraestruturas, Mobilidade e Habitação</t>
        </is>
      </c>
      <c r="Y230" s="2" t="inlineStr">
        <is>
          <t>Articulado</t>
        </is>
      </c>
      <c r="Z230" s="2" t="inlineStr">
        <is>
          <t>Aditamento (Artigo PPL)</t>
        </is>
      </c>
      <c r="AA230" s="2" t="inlineStr">
        <is>
          <t>Rejeitado(a) em Comissão</t>
        </is>
      </c>
      <c r="AB230" s="2" t="inlineStr"/>
      <c r="AC230" s="2" t="inlineStr"/>
      <c r="AD230" s="2" t="inlineStr">
        <is>
          <t>1</t>
        </is>
      </c>
      <c r="AE230" s="2" t="inlineStr">
        <is>
          <t>23407</t>
        </is>
      </c>
      <c r="AF230" s="2" t="inlineStr">
        <is>
          <t>https://www.parlamento.pt/OrcamentoEstado/Paginas/DetalhePropostaAlteracao.aspx?BID=23407</t>
        </is>
      </c>
      <c r="AG230" s="2" t="inlineStr">
        <is>
          <t>https://app.parlamento.pt/webutils/docs/doc.pdf?path=6148523063484d364c793942556b356c6443397a6158526c63793959566b6c4a544556484c3039464c7a49774d6a59794d4449314d5441774f533951515338344d44686d4d574d774e693168593259344c5452694f5449744f5451334d6930344e6a497a5a444d314e4759784e4467756347526d&amp;Fich=808f1c06-acf8-4b92-9472-8623d354f148.pdf&amp;Inline=true</t>
        </is>
      </c>
      <c r="AH230" s="3" t="n">
        <v>46321.77847222222</v>
      </c>
      <c r="AI230" s="3" t="n">
        <v>46321.78055555555</v>
      </c>
      <c r="AJ230" s="2" t="inlineStr"/>
    </row>
    <row r="231">
      <c r="A231" s="2" t="n">
        <v>230</v>
      </c>
      <c r="B231" s="2" t="inlineStr">
        <is>
          <t>215C</t>
        </is>
      </c>
      <c r="C231" s="3" t="n">
        <v>45964.57638888889</v>
      </c>
      <c r="D231" s="2" t="inlineStr">
        <is>
          <t>Original</t>
        </is>
      </c>
      <c r="E231" s="2" t="inlineStr">
        <is>
          <t>PCP</t>
        </is>
      </c>
      <c r="F231" s="2" t="inlineStr">
        <is>
          <t>Alfredo Maia; Paula Santos; Paulo Raimundo</t>
        </is>
      </c>
      <c r="G231" s="2" t="inlineStr">
        <is>
          <t>Art. 62.º-A (aditamento)</t>
        </is>
      </c>
      <c r="H231" s="2" t="n"/>
      <c r="I231" s="2" t="n"/>
      <c r="J231" s="2" t="n"/>
      <c r="K231" s="2" t="n"/>
      <c r="L231" s="2" t="inlineStr">
        <is>
          <t>Artigo 62.º-A (Imposto sobre o Património Mobiliário)</t>
        </is>
      </c>
      <c r="M231" s="4" t="n"/>
      <c r="N231" s="4" t="n"/>
      <c r="O231" s="2" t="n"/>
      <c r="P231" s="2" t="n"/>
      <c r="Q231" s="2" t="n"/>
      <c r="R231" s="2" t="n"/>
      <c r="S231" s="2" t="inlineStr">
        <is>
          <t>Rejeitado(a) em Comissão</t>
        </is>
      </c>
      <c r="T231" s="2" t="inlineStr">
        <is>
          <t>Rejeitada</t>
        </is>
      </c>
      <c r="U231" s="2" t="inlineStr">
        <is>
          <t>Favor: L, PCP, BE, PAN; Contra: PSD, CH, IL, CDS-PP; Abstenção: PS</t>
        </is>
      </c>
      <c r="V231" s="3" t="n">
        <v>45981</v>
      </c>
      <c r="W231" s="2" t="inlineStr">
        <is>
          <t>AR: https://www.parlamento.pt/OrcamentoEstado/Paginas/DetalhePropostaAlteracao.aspx?BID=23408 PDF: https://app.parlamento.pt/webutils/docs/doc.pdf?path=6148523063484d364c793942556b356c6443397a6158526c63793959566b6c4a544556484c3039464c7a49774d6a59794d4449314d5441774f533951515338305a444e6a4e574d355a5330784d475a6b4c5451344d6a5974596a67774d7930314d6a4a684d444a6c4e324a694d4459756347526d&amp;Fich=4d3c5c9e-10fd-4826-b803-522a02e7bb06.pdf&amp;Inline=true</t>
        </is>
      </c>
      <c r="X231" s="2" t="inlineStr">
        <is>
          <t>Orçamento, Finanças e Administração Pública</t>
        </is>
      </c>
      <c r="Y231" s="2" t="inlineStr">
        <is>
          <t>Articulado</t>
        </is>
      </c>
      <c r="Z231" s="2" t="inlineStr">
        <is>
          <t>Aditamento (Artigo PPL)</t>
        </is>
      </c>
      <c r="AA231" s="2" t="inlineStr">
        <is>
          <t>Rejeitado(a) em Comissão</t>
        </is>
      </c>
      <c r="AB231" s="2" t="inlineStr"/>
      <c r="AC231" s="2" t="inlineStr"/>
      <c r="AD231" s="2" t="inlineStr">
        <is>
          <t>1</t>
        </is>
      </c>
      <c r="AE231" s="2" t="inlineStr">
        <is>
          <t>23408</t>
        </is>
      </c>
      <c r="AF231" s="2" t="inlineStr">
        <is>
          <t>https://www.parlamento.pt/OrcamentoEstado/Paginas/DetalhePropostaAlteracao.aspx?BID=23408</t>
        </is>
      </c>
      <c r="AG231" s="2" t="inlineStr">
        <is>
          <t>https://app.parlamento.pt/webutils/docs/doc.pdf?path=6148523063484d364c793942556b356c6443397a6158526c63793959566b6c4a544556484c3039464c7a49774d6a59794d4449314d5441774f533951515338305a444e6a4e574d355a5330784d475a6b4c5451344d6a5974596a67774d7930314d6a4a684d444a6c4e324a694d4459756347526d&amp;Fich=4d3c5c9e-10fd-4826-b803-522a02e7bb06.pdf&amp;Inline=true</t>
        </is>
      </c>
      <c r="AH231" s="3" t="n">
        <v>46321.77847222222</v>
      </c>
      <c r="AI231" s="3" t="n">
        <v>46321.78055555555</v>
      </c>
      <c r="AJ231" s="2" t="inlineStr"/>
    </row>
    <row r="232">
      <c r="A232" s="2" t="n">
        <v>231</v>
      </c>
      <c r="B232" s="2" t="inlineStr">
        <is>
          <t>216C</t>
        </is>
      </c>
      <c r="C232" s="3" t="n">
        <v>45964.57777777778</v>
      </c>
      <c r="D232" s="2" t="inlineStr">
        <is>
          <t>Original</t>
        </is>
      </c>
      <c r="E232" s="2" t="inlineStr">
        <is>
          <t>PCP</t>
        </is>
      </c>
      <c r="F232" s="2" t="inlineStr">
        <is>
          <t>Alfredo Maia; Paula Santos; Paulo Raimundo</t>
        </is>
      </c>
      <c r="G232" s="2" t="inlineStr">
        <is>
          <t>Art. 63.º-A (aditamento)</t>
        </is>
      </c>
      <c r="H232" s="2" t="n"/>
      <c r="I232" s="2" t="n"/>
      <c r="J232" s="2" t="n"/>
      <c r="K232" s="2" t="n"/>
      <c r="L232" s="2" t="inlineStr">
        <is>
          <t>Artigo 63.º-A (Alteração ao Código do Imposto sobre o Valor Acrescentado)</t>
        </is>
      </c>
      <c r="M232" s="4" t="n"/>
      <c r="N232" s="4" t="n"/>
      <c r="O232" s="2" t="n"/>
      <c r="P232" s="2" t="n"/>
      <c r="Q232" s="2" t="n"/>
      <c r="R232" s="2" t="n"/>
      <c r="S232" s="2" t="inlineStr">
        <is>
          <t>Rejeitado(a) em Comissão</t>
        </is>
      </c>
      <c r="T232" s="2" t="inlineStr">
        <is>
          <t>Rejeitada</t>
        </is>
      </c>
      <c r="U232" s="2" t="inlineStr">
        <is>
          <t>Favor: IL, PCP, BE, PAN; Contra: PSD, PS, CDS-PP; Abstenção: CH, L</t>
        </is>
      </c>
      <c r="V232" s="3" t="n">
        <v>45982</v>
      </c>
      <c r="W232" s="2" t="inlineStr">
        <is>
          <t>AR: https://www.parlamento.pt/OrcamentoEstado/Paginas/DetalhePropostaAlteracao.aspx?BID=23409 PDF: https://app.parlamento.pt/webutils/docs/doc.pdf?path=6148523063484d364c793942556b356c6443397a6158526c63793959566b6c4a544556484c3039464c7a49774d6a59794d4449314d5441774f533951515338304e6d5a6b595759354e43316c4f5455794c54526b4e4751744f5445344f4330774d6a686d5a6d49305a6d566c4d6d49756347526d&amp;Fich=46fdaf94-e952-4d4d-9188-028ffb4fee2b.pdf&amp;Inline=true</t>
        </is>
      </c>
      <c r="X232" s="2" t="inlineStr">
        <is>
          <t>Orçamento, Finanças e Administração Pública</t>
        </is>
      </c>
      <c r="Y232" s="2" t="inlineStr">
        <is>
          <t>Articulado</t>
        </is>
      </c>
      <c r="Z232" s="2" t="inlineStr">
        <is>
          <t>Aditamento (Artigo PPL)</t>
        </is>
      </c>
      <c r="AA232" s="2" t="inlineStr">
        <is>
          <t>Rejeitado(a) em Comissão</t>
        </is>
      </c>
      <c r="AB232" s="2" t="inlineStr"/>
      <c r="AC232" s="2" t="inlineStr"/>
      <c r="AD232" s="2" t="inlineStr">
        <is>
          <t>1</t>
        </is>
      </c>
      <c r="AE232" s="2" t="inlineStr">
        <is>
          <t>23409</t>
        </is>
      </c>
      <c r="AF232" s="2" t="inlineStr">
        <is>
          <t>https://www.parlamento.pt/OrcamentoEstado/Paginas/DetalhePropostaAlteracao.aspx?BID=23409</t>
        </is>
      </c>
      <c r="AG232" s="2" t="inlineStr">
        <is>
          <t>https://app.parlamento.pt/webutils/docs/doc.pdf?path=6148523063484d364c793942556b356c6443397a6158526c63793959566b6c4a544556484c3039464c7a49774d6a59794d4449314d5441774f533951515338304e6d5a6b595759354e43316c4f5455794c54526b4e4751744f5445344f4330774d6a686d5a6d49305a6d566c4d6d49756347526d&amp;Fich=46fdaf94-e952-4d4d-9188-028ffb4fee2b.pdf&amp;Inline=true</t>
        </is>
      </c>
      <c r="AH232" s="3" t="n">
        <v>46321.77847222222</v>
      </c>
      <c r="AI232" s="3" t="n">
        <v>46321.78055555555</v>
      </c>
      <c r="AJ232" s="2" t="inlineStr"/>
    </row>
    <row r="233">
      <c r="A233" s="2" t="n">
        <v>232</v>
      </c>
      <c r="B233" s="2" t="inlineStr">
        <is>
          <t>217C</t>
        </is>
      </c>
      <c r="C233" s="3" t="n">
        <v>45964.57916666667</v>
      </c>
      <c r="D233" s="2" t="inlineStr">
        <is>
          <t>Original</t>
        </is>
      </c>
      <c r="E233" s="2" t="inlineStr">
        <is>
          <t>PCP</t>
        </is>
      </c>
      <c r="F233" s="2" t="inlineStr">
        <is>
          <t>Alfredo Maia; Paula Santos; Paulo Raimundo</t>
        </is>
      </c>
      <c r="G233" s="2" t="inlineStr">
        <is>
          <t>Art. 72.º-A (aditamento)</t>
        </is>
      </c>
      <c r="H233" s="2" t="n"/>
      <c r="I233" s="2" t="n"/>
      <c r="J233" s="2" t="n"/>
      <c r="K233" s="2" t="n"/>
      <c r="L233" s="2" t="inlineStr">
        <is>
          <t>Artigo 72.º-A (Regime excecional no âmbito do imposto sobre o rendimento das pessoas coletivas)</t>
        </is>
      </c>
      <c r="M233" s="4" t="n"/>
      <c r="N233" s="4" t="n"/>
      <c r="O233" s="2" t="n"/>
      <c r="P233" s="2" t="n"/>
      <c r="Q233" s="2" t="n"/>
      <c r="R233" s="2" t="n"/>
      <c r="S233" s="2" t="inlineStr">
        <is>
          <t>Rejeitado(a) em Comissão</t>
        </is>
      </c>
      <c r="T233" s="2" t="inlineStr">
        <is>
          <t>Rejeitada</t>
        </is>
      </c>
      <c r="U233" s="2" t="inlineStr">
        <is>
          <t>Favor: CH, IL, L, PCP, PAN; Contra: PSD, CDS-PP; Abstenção: PS, BE</t>
        </is>
      </c>
      <c r="V233" s="3" t="n">
        <v>45982</v>
      </c>
      <c r="W233" s="2" t="inlineStr">
        <is>
          <t>AR: https://www.parlamento.pt/OrcamentoEstado/Paginas/DetalhePropostaAlteracao.aspx?BID=23410 PDF: https://app.parlamento.pt/webutils/docs/doc.pdf?path=6148523063484d364c793942556b356c6443397a6158526c63793959566b6c4a544556484c3039464c7a49774d6a59794d4449314d5441774f5339515153396b4d4463334e6d4e6d4d53316b5a6a6b314c5451355a4463745957526d4d53307a4e3259344e545a694f44426b4e4449756347526d&amp;Fich=d0776cf1-df95-49d7-adf1-37f856b80d42.pdf&amp;Inline=true</t>
        </is>
      </c>
      <c r="X233" s="2" t="inlineStr">
        <is>
          <t>Orçamento, Finanças e Administração Pública</t>
        </is>
      </c>
      <c r="Y233" s="2" t="inlineStr">
        <is>
          <t>Articulado</t>
        </is>
      </c>
      <c r="Z233" s="2" t="inlineStr">
        <is>
          <t>Aditamento (Artigo PPL)</t>
        </is>
      </c>
      <c r="AA233" s="2" t="inlineStr">
        <is>
          <t>Rejeitado(a) em Comissão</t>
        </is>
      </c>
      <c r="AB233" s="2" t="inlineStr"/>
      <c r="AC233" s="2" t="inlineStr"/>
      <c r="AD233" s="2" t="inlineStr">
        <is>
          <t>1</t>
        </is>
      </c>
      <c r="AE233" s="2" t="inlineStr">
        <is>
          <t>23410</t>
        </is>
      </c>
      <c r="AF233" s="2" t="inlineStr">
        <is>
          <t>https://www.parlamento.pt/OrcamentoEstado/Paginas/DetalhePropostaAlteracao.aspx?BID=23410</t>
        </is>
      </c>
      <c r="AG233" s="2" t="inlineStr">
        <is>
          <t>https://app.parlamento.pt/webutils/docs/doc.pdf?path=6148523063484d364c793942556b356c6443397a6158526c63793959566b6c4a544556484c3039464c7a49774d6a59794d4449314d5441774f5339515153396b4d4463334e6d4e6d4d53316b5a6a6b314c5451355a4463745957526d4d53307a4e3259344e545a694f44426b4e4449756347526d&amp;Fich=d0776cf1-df95-49d7-adf1-37f856b80d42.pdf&amp;Inline=true</t>
        </is>
      </c>
      <c r="AH233" s="3" t="n">
        <v>46321.77847222222</v>
      </c>
      <c r="AI233" s="3" t="n">
        <v>46321.78055555555</v>
      </c>
      <c r="AJ233" s="2" t="inlineStr"/>
    </row>
    <row r="234">
      <c r="A234" s="2" t="n">
        <v>233</v>
      </c>
      <c r="B234" s="2" t="inlineStr">
        <is>
          <t>218C</t>
        </is>
      </c>
      <c r="C234" s="3" t="n">
        <v>45964.57986111111</v>
      </c>
      <c r="D234" s="2" t="inlineStr">
        <is>
          <t>Original</t>
        </is>
      </c>
      <c r="E234" s="2" t="inlineStr">
        <is>
          <t>PCP</t>
        </is>
      </c>
      <c r="F234" s="2" t="inlineStr">
        <is>
          <t>Alfredo Maia; Paula Santos; Paulo Raimundo</t>
        </is>
      </c>
      <c r="G234" s="2" t="inlineStr">
        <is>
          <t>Art. 73.º-A (aditamento)</t>
        </is>
      </c>
      <c r="H234" s="2" t="n"/>
      <c r="I234" s="2" t="n"/>
      <c r="J234" s="2" t="n"/>
      <c r="K234" s="2" t="n"/>
      <c r="L234" s="2" t="inlineStr">
        <is>
          <t>Artigo 73.º-A (Taxa especial sobre transações financeiras para paraísos fiscais)</t>
        </is>
      </c>
      <c r="M234" s="4" t="n"/>
      <c r="N234" s="4" t="n"/>
      <c r="O234" s="2" t="n"/>
      <c r="P234" s="2" t="n"/>
      <c r="Q234" s="2" t="n"/>
      <c r="R234" s="2" t="n"/>
      <c r="S234" s="2" t="inlineStr">
        <is>
          <t>Rejeitado(a) em Comissão</t>
        </is>
      </c>
      <c r="T234" s="2" t="inlineStr">
        <is>
          <t>Rejeitada</t>
        </is>
      </c>
      <c r="U234" s="2" t="inlineStr">
        <is>
          <t>Favor: L, PCP, BE, PAN; Contra: PSD, CH, IL, CDS-PP; Abstenção: PS</t>
        </is>
      </c>
      <c r="V234" s="3" t="n">
        <v>45982</v>
      </c>
      <c r="W234" s="2" t="inlineStr">
        <is>
          <t>AR: https://www.parlamento.pt/OrcamentoEstado/Paginas/DetalhePropostaAlteracao.aspx?BID=23411 PDF: https://app.parlamento.pt/webutils/docs/doc.pdf?path=6148523063484d364c793942556b356c6443397a6158526c63793959566b6c4a544556484c3039464c7a49774d6a59794d4449314d5441774f5339515153396a4d47566d4d7a59304d7930314d44497a4c54526d4f4445744f57466b4e4330354d7a63785a546b314d6a63354e7a45756347526d&amp;Fich=c0ef3643-5023-4f81-9ad4-9371e9527971.pdf&amp;Inline=true</t>
        </is>
      </c>
      <c r="X234" s="2" t="inlineStr">
        <is>
          <t>Orçamento, Finanças e Administração Pública</t>
        </is>
      </c>
      <c r="Y234" s="2" t="inlineStr">
        <is>
          <t>Articulado</t>
        </is>
      </c>
      <c r="Z234" s="2" t="inlineStr">
        <is>
          <t>Aditamento (Artigo PPL)</t>
        </is>
      </c>
      <c r="AA234" s="2" t="inlineStr">
        <is>
          <t>Rejeitado(a) em Comissão</t>
        </is>
      </c>
      <c r="AB234" s="2" t="inlineStr"/>
      <c r="AC234" s="2" t="inlineStr"/>
      <c r="AD234" s="2" t="inlineStr">
        <is>
          <t>1</t>
        </is>
      </c>
      <c r="AE234" s="2" t="inlineStr">
        <is>
          <t>23411</t>
        </is>
      </c>
      <c r="AF234" s="2" t="inlineStr">
        <is>
          <t>https://www.parlamento.pt/OrcamentoEstado/Paginas/DetalhePropostaAlteracao.aspx?BID=23411</t>
        </is>
      </c>
      <c r="AG234" s="2" t="inlineStr">
        <is>
          <t>https://app.parlamento.pt/webutils/docs/doc.pdf?path=6148523063484d364c793942556b356c6443397a6158526c63793959566b6c4a544556484c3039464c7a49774d6a59794d4449314d5441774f5339515153396a4d47566d4d7a59304d7930314d44497a4c54526d4f4445744f57466b4e4330354d7a63785a546b314d6a63354e7a45756347526d&amp;Fich=c0ef3643-5023-4f81-9ad4-9371e9527971.pdf&amp;Inline=true</t>
        </is>
      </c>
      <c r="AH234" s="3" t="n">
        <v>46321.77847222222</v>
      </c>
      <c r="AI234" s="3" t="n">
        <v>46321.78055555555</v>
      </c>
      <c r="AJ234" s="2" t="inlineStr"/>
    </row>
    <row r="235">
      <c r="A235" s="2" t="n">
        <v>234</v>
      </c>
      <c r="B235" s="2" t="inlineStr">
        <is>
          <t>219C</t>
        </is>
      </c>
      <c r="C235" s="3" t="n">
        <v>45964.58055555556</v>
      </c>
      <c r="D235" s="2" t="inlineStr">
        <is>
          <t>Original</t>
        </is>
      </c>
      <c r="E235" s="2" t="inlineStr">
        <is>
          <t>PCP</t>
        </is>
      </c>
      <c r="F235" s="2" t="inlineStr">
        <is>
          <t>Alfredo Maia; Paula Santos; Paulo Raimundo</t>
        </is>
      </c>
      <c r="G235" s="2" t="inlineStr">
        <is>
          <t>Art. 128.º-A (aditamento)</t>
        </is>
      </c>
      <c r="H235" s="2" t="n"/>
      <c r="I235" s="2" t="n"/>
      <c r="J235" s="2" t="n"/>
      <c r="K235" s="2" t="n"/>
      <c r="L235" s="2" t="inlineStr">
        <is>
          <t>Artigo 128.º-A (Redução de encargos, não renovação e reversão de parcerias público-privadas)</t>
        </is>
      </c>
      <c r="M235" s="4" t="n"/>
      <c r="N235" s="4" t="n"/>
      <c r="O235" s="2" t="n"/>
      <c r="P235" s="2" t="n"/>
      <c r="Q235" s="2" t="n"/>
      <c r="R235" s="2" t="n"/>
      <c r="S235" s="2" t="inlineStr">
        <is>
          <t>Rejeitado(a) em Comissão</t>
        </is>
      </c>
      <c r="T235" s="2" t="inlineStr">
        <is>
          <t>Rejeitada</t>
        </is>
      </c>
      <c r="U235" s="2" t="inlineStr">
        <is>
          <t>Favor: L, PCP, BE, PAN; Contra: PSD, CH, PS, IL, CDS-PP</t>
        </is>
      </c>
      <c r="V235" s="3" t="n">
        <v>45985</v>
      </c>
      <c r="W235" s="2" t="inlineStr">
        <is>
          <t>AR: https://www.parlamento.pt/OrcamentoEstado/Paginas/DetalhePropostaAlteracao.aspx?BID=23412 PDF: https://app.parlamento.pt/webutils/docs/doc.pdf?path=6148523063484d364c793942556b356c6443397a6158526c63793959566b6c4a544556484c3039464c7a49774d6a59794d4449314d5441774f5339515153396a4e7a63794e7a41305a6930334d3249784c54526d4d545974596d49355a5331685a4446684d6a51334d6a6b775a6d49756347526d&amp;Fich=c772704f-73b1-4f16-bb9e-ad1a247290fb.pdf&amp;Inline=true</t>
        </is>
      </c>
      <c r="X235" s="2" t="inlineStr">
        <is>
          <t>Comissão de Economia e Coesão Territorial</t>
        </is>
      </c>
      <c r="Y235" s="2" t="inlineStr">
        <is>
          <t>Articulado</t>
        </is>
      </c>
      <c r="Z235" s="2" t="inlineStr">
        <is>
          <t>Aditamento (Artigo PPL)</t>
        </is>
      </c>
      <c r="AA235" s="2" t="inlineStr">
        <is>
          <t>Rejeitado(a) em Comissão</t>
        </is>
      </c>
      <c r="AB235" s="2" t="inlineStr"/>
      <c r="AC235" s="2" t="inlineStr"/>
      <c r="AD235" s="2" t="inlineStr">
        <is>
          <t>1</t>
        </is>
      </c>
      <c r="AE235" s="2" t="inlineStr">
        <is>
          <t>23412</t>
        </is>
      </c>
      <c r="AF235" s="2" t="inlineStr">
        <is>
          <t>https://www.parlamento.pt/OrcamentoEstado/Paginas/DetalhePropostaAlteracao.aspx?BID=23412</t>
        </is>
      </c>
      <c r="AG235" s="2" t="inlineStr">
        <is>
          <t>https://app.parlamento.pt/webutils/docs/doc.pdf?path=6148523063484d364c793942556b356c6443397a6158526c63793959566b6c4a544556484c3039464c7a49774d6a59794d4449314d5441774f5339515153396a4e7a63794e7a41305a6930334d3249784c54526d4d545974596d49355a5331685a4446684d6a51334d6a6b775a6d49756347526d&amp;Fich=c772704f-73b1-4f16-bb9e-ad1a247290fb.pdf&amp;Inline=true</t>
        </is>
      </c>
      <c r="AH235" s="3" t="n">
        <v>46321.77847222222</v>
      </c>
      <c r="AI235" s="3" t="n">
        <v>46321.78055555555</v>
      </c>
      <c r="AJ235" s="2" t="inlineStr"/>
    </row>
    <row r="236">
      <c r="A236" s="2" t="n">
        <v>235</v>
      </c>
      <c r="B236" s="2" t="inlineStr">
        <is>
          <t>220C</t>
        </is>
      </c>
      <c r="C236" s="3" t="n">
        <v>45964.58125</v>
      </c>
      <c r="D236" s="2" t="inlineStr">
        <is>
          <t>Original</t>
        </is>
      </c>
      <c r="E236" s="2" t="inlineStr">
        <is>
          <t>PCP</t>
        </is>
      </c>
      <c r="F236" s="2" t="inlineStr">
        <is>
          <t>Alfredo Maia; Paula Santos; Paulo Raimundo</t>
        </is>
      </c>
      <c r="G236" s="2" t="inlineStr">
        <is>
          <t>Art. 60.º (substituição)</t>
        </is>
      </c>
      <c r="H236" s="2" t="n"/>
      <c r="I236" s="2" t="n"/>
      <c r="J236" s="2" t="n"/>
      <c r="K236" s="2" t="n"/>
      <c r="L236" s="2" t="inlineStr">
        <is>
          <t>Tabela, N.º 1, Artigo 68.º do Código do IRS, constante da PPL; Artigo 68.º-A do Código do IRS</t>
        </is>
      </c>
      <c r="M236" s="4" t="n"/>
      <c r="N236" s="4" t="n"/>
      <c r="O236" s="2" t="n"/>
      <c r="P236" s="2" t="n"/>
      <c r="Q236" s="2" t="n"/>
      <c r="R236" s="2" t="n"/>
      <c r="S236" s="2" t="inlineStr">
        <is>
          <t>Rejeitado(a) em Comissão</t>
        </is>
      </c>
      <c r="T236" s="2" t="inlineStr">
        <is>
          <t>Rejeitada</t>
        </is>
      </c>
      <c r="U236" s="2" t="inlineStr">
        <is>
          <t>Favor: IL, PCP, BE, PAN; Contra: PSD, CH, PS, L, CDS-PP</t>
        </is>
      </c>
      <c r="V236" s="3" t="n">
        <v>45981</v>
      </c>
      <c r="W236" s="2" t="inlineStr">
        <is>
          <t>AR: https://www.parlamento.pt/OrcamentoEstado/Paginas/DetalhePropostaAlteracao.aspx?BID=23413 PDF: https://app.parlamento.pt/webutils/docs/doc.pdf?path=6148523063484d364c793942556b356c6443397a6158526c63793959566b6c4a544556484c3039464c7a49774d6a59794d4449314d5441774f533951515338774d54553159546b7a4e5331694f5751354c5451775a445574596a67784d4330784f444668595442694d7a4130595759756347526d&amp;Fich=0155a935-b9d9-40d5-b810-181aa0b304af.pdf&amp;Inline=true</t>
        </is>
      </c>
      <c r="X236" s="2" t="inlineStr">
        <is>
          <t>Orçamento, Finanças e Administração Pública</t>
        </is>
      </c>
      <c r="Y236" s="2" t="inlineStr">
        <is>
          <t>Articulado</t>
        </is>
      </c>
      <c r="Z236" s="2" t="inlineStr">
        <is>
          <t>Substituição</t>
        </is>
      </c>
      <c r="AA236" s="2" t="inlineStr">
        <is>
          <t>Rejeitado(a) em Comissão</t>
        </is>
      </c>
      <c r="AB236" s="2" t="inlineStr"/>
      <c r="AC236" s="2" t="inlineStr"/>
      <c r="AD236" s="2" t="inlineStr">
        <is>
          <t>2</t>
        </is>
      </c>
      <c r="AE236" s="2" t="inlineStr">
        <is>
          <t>23413</t>
        </is>
      </c>
      <c r="AF236" s="2" t="inlineStr">
        <is>
          <t>https://www.parlamento.pt/OrcamentoEstado/Paginas/DetalhePropostaAlteracao.aspx?BID=23413</t>
        </is>
      </c>
      <c r="AG236" s="2" t="inlineStr">
        <is>
          <t>https://app.parlamento.pt/webutils/docs/doc.pdf?path=6148523063484d364c793942556b356c6443397a6158526c63793959566b6c4a544556484c3039464c7a49774d6a59794d4449314d5441774f533951515338774d54553159546b7a4e5331694f5751354c5451775a445574596a67784d4330784f444668595442694d7a4130595759756347526d&amp;Fich=0155a935-b9d9-40d5-b810-181aa0b304af.pdf&amp;Inline=true</t>
        </is>
      </c>
      <c r="AH236" s="3" t="n">
        <v>46321.77847222222</v>
      </c>
      <c r="AI236" s="3" t="n">
        <v>46321.78055555555</v>
      </c>
      <c r="AJ236" s="2" t="inlineStr"/>
    </row>
    <row r="237">
      <c r="A237" s="2" t="n">
        <v>236</v>
      </c>
      <c r="B237" s="2" t="inlineStr">
        <is>
          <t>221C</t>
        </is>
      </c>
      <c r="C237" s="3" t="n">
        <v>45964.58472222222</v>
      </c>
      <c r="D237" s="2" t="inlineStr">
        <is>
          <t>Original</t>
        </is>
      </c>
      <c r="E237" s="2" t="inlineStr">
        <is>
          <t>PCP</t>
        </is>
      </c>
      <c r="F237" s="2" t="inlineStr">
        <is>
          <t>Alfredo Maia; Paula Santos; Paulo Raimundo</t>
        </is>
      </c>
      <c r="G237" s="2" t="inlineStr">
        <is>
          <t>Art. 60.º (substituição)</t>
        </is>
      </c>
      <c r="H237" s="2" t="n"/>
      <c r="I237" s="2" t="n"/>
      <c r="J237" s="2" t="n"/>
      <c r="K237" s="2" t="n"/>
      <c r="L237" s="2" t="inlineStr">
        <is>
          <t>Alínea a), N.º 1, Artigo 25.º do Código do IRS</t>
        </is>
      </c>
      <c r="M237" s="4" t="n"/>
      <c r="N237" s="4" t="n"/>
      <c r="O237" s="2" t="n"/>
      <c r="P237" s="2" t="n"/>
      <c r="Q237" s="2" t="n"/>
      <c r="R237" s="2" t="n"/>
      <c r="S237" s="2" t="inlineStr">
        <is>
          <t>Rejeitado(a) em Comissão</t>
        </is>
      </c>
      <c r="T237" s="2" t="inlineStr">
        <is>
          <t>Rejeitada</t>
        </is>
      </c>
      <c r="U237" s="2" t="inlineStr">
        <is>
          <t>Favor: IL, L, PCP, BE, PAN; Contra: PSD, CDS-PP; Abstenção: CH, PS</t>
        </is>
      </c>
      <c r="V237" s="3" t="n">
        <v>45981</v>
      </c>
      <c r="W237" s="2" t="inlineStr">
        <is>
          <t>AR: https://www.parlamento.pt/OrcamentoEstado/Paginas/DetalhePropostaAlteracao.aspx?BID=23414 PDF: https://app.parlamento.pt/webutils/docs/doc.pdf?path=6148523063484d364c793942556b356c6443397a6158526c63793959566b6c4a544556484c3039464c7a49774d6a59794d4449314d5441774f533951515338325932526d4d474d304d53316b4d5455314c54526d596a5974595745774d53316c4d4467774e7a466d596a466c4f5751756347526d&amp;Fich=6cdf0c41-d155-4fb6-aa01-e08071fb1e9d.pdf&amp;Inline=true</t>
        </is>
      </c>
      <c r="X237" s="2" t="inlineStr">
        <is>
          <t>Orçamento, Finanças e Administração Pública</t>
        </is>
      </c>
      <c r="Y237" s="2" t="inlineStr">
        <is>
          <t>Articulado</t>
        </is>
      </c>
      <c r="Z237" s="2" t="inlineStr">
        <is>
          <t>Substituição</t>
        </is>
      </c>
      <c r="AA237" s="2" t="inlineStr">
        <is>
          <t>Rejeitado(a) em Comissão</t>
        </is>
      </c>
      <c r="AB237" s="2" t="inlineStr"/>
      <c r="AC237" s="2" t="inlineStr"/>
      <c r="AD237" s="2" t="inlineStr">
        <is>
          <t>1</t>
        </is>
      </c>
      <c r="AE237" s="2" t="inlineStr">
        <is>
          <t>23414</t>
        </is>
      </c>
      <c r="AF237" s="2" t="inlineStr">
        <is>
          <t>https://www.parlamento.pt/OrcamentoEstado/Paginas/DetalhePropostaAlteracao.aspx?BID=23414</t>
        </is>
      </c>
      <c r="AG237" s="2" t="inlineStr">
        <is>
          <t>https://app.parlamento.pt/webutils/docs/doc.pdf?path=6148523063484d364c793942556b356c6443397a6158526c63793959566b6c4a544556484c3039464c7a49774d6a59794d4449314d5441774f533951515338325932526d4d474d304d53316b4d5455314c54526d596a5974595745774d53316c4d4467774e7a466d596a466c4f5751756347526d&amp;Fich=6cdf0c41-d155-4fb6-aa01-e08071fb1e9d.pdf&amp;Inline=true</t>
        </is>
      </c>
      <c r="AH237" s="3" t="n">
        <v>46321.77847222222</v>
      </c>
      <c r="AI237" s="3" t="n">
        <v>46321.78055555555</v>
      </c>
      <c r="AJ237" s="2" t="inlineStr"/>
    </row>
    <row r="238">
      <c r="A238" s="2" t="n">
        <v>237</v>
      </c>
      <c r="B238" s="2" t="inlineStr">
        <is>
          <t>222C</t>
        </is>
      </c>
      <c r="C238" s="3" t="n">
        <v>45964.58541666667</v>
      </c>
      <c r="D238" s="2" t="inlineStr">
        <is>
          <t>Original</t>
        </is>
      </c>
      <c r="E238" s="2" t="inlineStr">
        <is>
          <t>PCP</t>
        </is>
      </c>
      <c r="F238" s="2" t="inlineStr">
        <is>
          <t>Alfredo Maia; Paula Santos; Paulo Raimundo</t>
        </is>
      </c>
      <c r="G238" s="2" t="inlineStr">
        <is>
          <t>Art. 60.º (aditamento)</t>
        </is>
      </c>
      <c r="H238" s="2" t="n"/>
      <c r="I238" s="2" t="n"/>
      <c r="J238" s="2" t="n"/>
      <c r="K238" s="2" t="n"/>
      <c r="L238" s="2" t="inlineStr">
        <is>
          <t>N.º 11, Artigo 22.º do Código do IRS</t>
        </is>
      </c>
      <c r="M238" s="4" t="n"/>
      <c r="N238" s="4" t="n"/>
      <c r="O238" s="2" t="n"/>
      <c r="P238" s="2" t="n"/>
      <c r="Q238" s="2" t="n"/>
      <c r="R238" s="2" t="n"/>
      <c r="S238" s="2" t="inlineStr">
        <is>
          <t>Rejeitado(a) em Comissão</t>
        </is>
      </c>
      <c r="T238" s="2" t="inlineStr">
        <is>
          <t>Rejeitada</t>
        </is>
      </c>
      <c r="U238" s="2" t="inlineStr">
        <is>
          <t>Favor: L, PCP, BE, PAN; Contra: PSD, CH, IL, CDS-PP; Abstenção: PS</t>
        </is>
      </c>
      <c r="V238" s="3" t="n">
        <v>45981</v>
      </c>
      <c r="W238" s="2" t="inlineStr">
        <is>
          <t>AR: https://www.parlamento.pt/OrcamentoEstado/Paginas/DetalhePropostaAlteracao.aspx?BID=23415 PDF: https://app.parlamento.pt/webutils/docs/doc.pdf?path=6148523063484d364c793942556b356c6443397a6158526c63793959566b6c4a544556484c3039464c7a49774d6a59794d4449314d5441774f533951515338304f474a6b4e5749325a4330345957466c4c5451344e544d74595759304d5330324f4752694d4463795a6d49344d3259756347526d&amp;Fich=48bd5b6d-8aae-4853-af41-68db072fb83f.pdf&amp;Inline=true</t>
        </is>
      </c>
      <c r="X238" s="2" t="inlineStr">
        <is>
          <t>Negócios Estrangeiros e Comunidades Portuguesas</t>
        </is>
      </c>
      <c r="Y238" s="2" t="inlineStr">
        <is>
          <t>Articulado</t>
        </is>
      </c>
      <c r="Z238" s="2" t="inlineStr">
        <is>
          <t>Aditamento (Números e Alíneas)</t>
        </is>
      </c>
      <c r="AA238" s="2" t="inlineStr">
        <is>
          <t>Rejeitado(a) em Comissão</t>
        </is>
      </c>
      <c r="AB238" s="2" t="inlineStr"/>
      <c r="AC238" s="2" t="inlineStr"/>
      <c r="AD238" s="2" t="inlineStr">
        <is>
          <t>1</t>
        </is>
      </c>
      <c r="AE238" s="2" t="inlineStr">
        <is>
          <t>23415</t>
        </is>
      </c>
      <c r="AF238" s="2" t="inlineStr">
        <is>
          <t>https://www.parlamento.pt/OrcamentoEstado/Paginas/DetalhePropostaAlteracao.aspx?BID=23415</t>
        </is>
      </c>
      <c r="AG238" s="2" t="inlineStr">
        <is>
          <t>https://app.parlamento.pt/webutils/docs/doc.pdf?path=6148523063484d364c793942556b356c6443397a6158526c63793959566b6c4a544556484c3039464c7a49774d6a59794d4449314d5441774f533951515338304f474a6b4e5749325a4330345957466c4c5451344e544d74595759304d5330324f4752694d4463795a6d49344d3259756347526d&amp;Fich=48bd5b6d-8aae-4853-af41-68db072fb83f.pdf&amp;Inline=true</t>
        </is>
      </c>
      <c r="AH238" s="3" t="n">
        <v>46321.77847222222</v>
      </c>
      <c r="AI238" s="3" t="n">
        <v>46321.78055555555</v>
      </c>
      <c r="AJ238" s="2" t="inlineStr"/>
    </row>
    <row r="239">
      <c r="A239" s="2" t="n">
        <v>238</v>
      </c>
      <c r="B239" s="2" t="inlineStr">
        <is>
          <t>223C</t>
        </is>
      </c>
      <c r="C239" s="3" t="n">
        <v>45964.58611111111</v>
      </c>
      <c r="D239" s="2" t="inlineStr">
        <is>
          <t>Original</t>
        </is>
      </c>
      <c r="E239" s="2" t="inlineStr">
        <is>
          <t>PCP</t>
        </is>
      </c>
      <c r="F239" s="2" t="inlineStr">
        <is>
          <t>Alfredo Maia; Paula Santos; Paulo Raimundo</t>
        </is>
      </c>
      <c r="G239" s="2" t="inlineStr">
        <is>
          <t>Art. 61.º (aditamento)</t>
        </is>
      </c>
      <c r="H239" s="2" t="n"/>
      <c r="I239" s="2" t="n"/>
      <c r="J239" s="2" t="n"/>
      <c r="K239" s="2" t="n"/>
      <c r="L239" s="2" t="inlineStr">
        <is>
          <t>Novo N.º 7, Artigo 88.º do Código do IRC, constante do Artigo 61.º da PPL</t>
        </is>
      </c>
      <c r="M239" s="4" t="n"/>
      <c r="N239" s="4" t="n"/>
      <c r="O239" s="2" t="n"/>
      <c r="P239" s="2" t="n"/>
      <c r="Q239" s="2" t="n"/>
      <c r="R239" s="2" t="n"/>
      <c r="S239" s="2" t="inlineStr">
        <is>
          <t>Rejeitado(a) em Comissão</t>
        </is>
      </c>
      <c r="T239" s="2" t="inlineStr">
        <is>
          <t>Rejeitada</t>
        </is>
      </c>
      <c r="U239" s="2" t="inlineStr">
        <is>
          <t>Favor: IL, L, PCP, PAN; Contra: PSD, CDS-PP; Abstenção: CH, PS, BE</t>
        </is>
      </c>
      <c r="V239" s="3" t="n">
        <v>45981</v>
      </c>
      <c r="W239" s="2" t="inlineStr">
        <is>
          <t>AR: https://www.parlamento.pt/OrcamentoEstado/Paginas/DetalhePropostaAlteracao.aspx?BID=23416 PDF: https://app.parlamento.pt/webutils/docs/doc.pdf?path=6148523063484d364c793942556b356c6443397a6158526c63793959566b6c4a544556484c3039464c7a49774d6a59794d4449314d5441774f5339515153396b5a6a426b4e6d51305969307a5a54646a4c54526859544d744f5455334d4330774d324d7759574d795957466d4d5467756347526d&amp;Fich=df0d6d4b-3e7c-4aa3-9570-03c0ac2aaf18.pdf&amp;Inline=true</t>
        </is>
      </c>
      <c r="X239" s="2" t="inlineStr">
        <is>
          <t>Orçamento, Finanças e Administração Pública</t>
        </is>
      </c>
      <c r="Y239" s="2" t="inlineStr">
        <is>
          <t>Articulado</t>
        </is>
      </c>
      <c r="Z239" s="2" t="inlineStr">
        <is>
          <t>Aditamento (Números e Alíneas)</t>
        </is>
      </c>
      <c r="AA239" s="2" t="inlineStr">
        <is>
          <t>Rejeitado(a) em Comissão</t>
        </is>
      </c>
      <c r="AB239" s="2" t="inlineStr"/>
      <c r="AC239" s="2" t="inlineStr"/>
      <c r="AD239" s="2" t="inlineStr">
        <is>
          <t>1</t>
        </is>
      </c>
      <c r="AE239" s="2" t="inlineStr">
        <is>
          <t>23416</t>
        </is>
      </c>
      <c r="AF239" s="2" t="inlineStr">
        <is>
          <t>https://www.parlamento.pt/OrcamentoEstado/Paginas/DetalhePropostaAlteracao.aspx?BID=23416</t>
        </is>
      </c>
      <c r="AG239" s="2" t="inlineStr">
        <is>
          <t>https://app.parlamento.pt/webutils/docs/doc.pdf?path=6148523063484d364c793942556b356c6443397a6158526c63793959566b6c4a544556484c3039464c7a49774d6a59794d4449314d5441774f5339515153396b5a6a426b4e6d51305969307a5a54646a4c54526859544d744f5455334d4330774d324d7759574d795957466d4d5467756347526d&amp;Fich=df0d6d4b-3e7c-4aa3-9570-03c0ac2aaf18.pdf&amp;Inline=true</t>
        </is>
      </c>
      <c r="AH239" s="3" t="n">
        <v>46321.77847222222</v>
      </c>
      <c r="AI239" s="3" t="n">
        <v>46321.78055555555</v>
      </c>
      <c r="AJ239" s="2" t="inlineStr"/>
    </row>
    <row r="240">
      <c r="A240" s="2" t="n">
        <v>239</v>
      </c>
      <c r="B240" s="2" t="inlineStr">
        <is>
          <t>224C</t>
        </is>
      </c>
      <c r="C240" s="3" t="n">
        <v>45964.5875</v>
      </c>
      <c r="D240" s="2" t="inlineStr">
        <is>
          <t>Original</t>
        </is>
      </c>
      <c r="E240" s="2" t="inlineStr">
        <is>
          <t>PCP</t>
        </is>
      </c>
      <c r="F240" s="2" t="inlineStr">
        <is>
          <t>Alfredo Maia; Paula Santos; Paulo Raimundo</t>
        </is>
      </c>
      <c r="G240" s="2" t="inlineStr">
        <is>
          <t>Art. 61.º (substituição)</t>
        </is>
      </c>
      <c r="H240" s="2" t="n"/>
      <c r="I240" s="2" t="n"/>
      <c r="J240" s="2" t="n"/>
      <c r="K240" s="2" t="n"/>
      <c r="L240" s="2" t="inlineStr">
        <is>
          <t>N.º 2, N.º 3, N.º 4, N.º 5, N.º 6, N.º 7, N.º 8, N.º 9, N.º 12, N.º 13, N.º 14, N.º 15, N.º 16, N.º 17, N.º 18, N.º 19, Artigo 14.º; N.º 1, N.º 14, Artigo 66.º do Código do IRC</t>
        </is>
      </c>
      <c r="M240" s="4" t="n"/>
      <c r="N240" s="4" t="n"/>
      <c r="O240" s="2" t="n"/>
      <c r="P240" s="2" t="n"/>
      <c r="Q240" s="2" t="n"/>
      <c r="R240" s="2" t="n"/>
      <c r="S240" s="2" t="inlineStr">
        <is>
          <t>Rejeitado(a) em Comissão</t>
        </is>
      </c>
      <c r="T240" s="2" t="inlineStr">
        <is>
          <t>Rejeitada</t>
        </is>
      </c>
      <c r="U240" s="2" t="inlineStr">
        <is>
          <t>Favor: L, PCP, BE, PAN; Contra: PSD, CH, PS, IL, CDS-PP</t>
        </is>
      </c>
      <c r="V240" s="3" t="n">
        <v>45981</v>
      </c>
      <c r="W240" s="2" t="inlineStr">
        <is>
          <t>AR: https://www.parlamento.pt/OrcamentoEstado/Paginas/DetalhePropostaAlteracao.aspx?BID=23417 PDF: https://app.parlamento.pt/webutils/docs/doc.pdf?path=6148523063484d364c793942556b356c6443397a6158526c63793959566b6c4a544556484c3039464c7a49774d6a59794d4449314d5441774f533951515339694e6a63774d32566a4f5330774d446c6b4c545133596d45744f574d314f43316a4d474d324d57526a59544e6a4d7a41756347526d&amp;Fich=b6703ec9-009d-47ba-9c58-c0c61dca3c30.pdf&amp;Inline=true</t>
        </is>
      </c>
      <c r="X240" s="2" t="inlineStr">
        <is>
          <t>Orçamento, Finanças e Administração Pública</t>
        </is>
      </c>
      <c r="Y240" s="2" t="inlineStr">
        <is>
          <t>Articulado</t>
        </is>
      </c>
      <c r="Z240" s="2" t="inlineStr">
        <is>
          <t>Substituição</t>
        </is>
      </c>
      <c r="AA240" s="2" t="inlineStr">
        <is>
          <t>Rejeitado(a) em Comissão</t>
        </is>
      </c>
      <c r="AB240" s="2" t="inlineStr"/>
      <c r="AC240" s="2" t="inlineStr"/>
      <c r="AD240" s="2" t="inlineStr">
        <is>
          <t>2</t>
        </is>
      </c>
      <c r="AE240" s="2" t="inlineStr">
        <is>
          <t>23417</t>
        </is>
      </c>
      <c r="AF240" s="2" t="inlineStr">
        <is>
          <t>https://www.parlamento.pt/OrcamentoEstado/Paginas/DetalhePropostaAlteracao.aspx?BID=23417</t>
        </is>
      </c>
      <c r="AG240" s="2" t="inlineStr">
        <is>
          <t>https://app.parlamento.pt/webutils/docs/doc.pdf?path=6148523063484d364c793942556b356c6443397a6158526c63793959566b6c4a544556484c3039464c7a49774d6a59794d4449314d5441774f533951515339694e6a63774d32566a4f5330774d446c6b4c545133596d45744f574d314f43316a4d474d324d57526a59544e6a4d7a41756347526d&amp;Fich=b6703ec9-009d-47ba-9c58-c0c61dca3c30.pdf&amp;Inline=true</t>
        </is>
      </c>
      <c r="AH240" s="3" t="n">
        <v>46321.77847222222</v>
      </c>
      <c r="AI240" s="3" t="n">
        <v>46321.78055555555</v>
      </c>
      <c r="AJ240" s="2" t="inlineStr"/>
    </row>
    <row r="241">
      <c r="A241" s="2" t="n">
        <v>240</v>
      </c>
      <c r="B241" s="2" t="inlineStr">
        <is>
          <t>225C-1</t>
        </is>
      </c>
      <c r="C241" s="3" t="n">
        <v>45964.58819444444</v>
      </c>
      <c r="D241" s="2" t="inlineStr">
        <is>
          <t>Original</t>
        </is>
      </c>
      <c r="E241" s="2" t="inlineStr">
        <is>
          <t>PCP</t>
        </is>
      </c>
      <c r="F241" s="2" t="inlineStr">
        <is>
          <t>Alfredo Maia; Paula Santos; Paulo Raimundo</t>
        </is>
      </c>
      <c r="G241" s="2" t="inlineStr">
        <is>
          <t>Art. 61.º (substituição)</t>
        </is>
      </c>
      <c r="H241" s="2" t="n"/>
      <c r="I241" s="2" t="n"/>
      <c r="J241" s="2" t="n"/>
      <c r="K241" s="2" t="n"/>
      <c r="L241" s="2" t="inlineStr">
        <is>
          <t>N.º 1, N.º 2, N.º 5, N.º 8, Artigo 87.º, Tabela, N.º 1, Artigo 87.º-A, Alínea b), N.º 2, Artigo 87.º-A do Código do IRC</t>
        </is>
      </c>
      <c r="M241" s="4" t="n"/>
      <c r="N241" s="4" t="n"/>
      <c r="O241" s="2" t="n"/>
      <c r="P241" s="2" t="n"/>
      <c r="Q241" s="2" t="n"/>
      <c r="R241" s="2" t="n"/>
      <c r="S241" s="2" t="inlineStr">
        <is>
          <t>Rejeitado(a) em Comissão</t>
        </is>
      </c>
      <c r="T241" s="2" t="inlineStr">
        <is>
          <t>Rejeitada</t>
        </is>
      </c>
      <c r="U241" s="2" t="inlineStr">
        <is>
          <t>Favor: L, PCP, BE, PAN; Contra: PSD, CH, PS, IL, CDS-PP</t>
        </is>
      </c>
      <c r="V241" s="3" t="n">
        <v>45981</v>
      </c>
      <c r="W241" s="2" t="inlineStr">
        <is>
          <t>AR: https://www.parlamento.pt/OrcamentoEstado/Paginas/DetalhePropostaAlteracao.aspx?BID=23418 PDF: https://app.parlamento.pt/webutils/docs/doc.pdf?path=6148523063484d364c793942556b356c6443397a6158526c63793959566b6c4a544556484c3039464c7a49774d6a59794d4449314d5441774f5339515153396d5a5745314d324669597930794f546c6d4c5451794d446b74595467305a4330344f546b7a5a4755344d7a5a6b4e4441756347526d&amp;Fich=fea53abc-299f-4209-a84d-8993de836d40.pdf&amp;Inline=true</t>
        </is>
      </c>
      <c r="X241" s="2" t="inlineStr">
        <is>
          <t>Orçamento, Finanças e Administração Pública</t>
        </is>
      </c>
      <c r="Y241" s="2" t="inlineStr">
        <is>
          <t>Articulado</t>
        </is>
      </c>
      <c r="Z241" s="2" t="inlineStr">
        <is>
          <t>Substituição</t>
        </is>
      </c>
      <c r="AA241" s="2" t="inlineStr">
        <is>
          <t>Rejeitado(a) em Comissão</t>
        </is>
      </c>
      <c r="AB241" s="2" t="inlineStr"/>
      <c r="AC241" s="2" t="inlineStr">
        <is>
          <t>1</t>
        </is>
      </c>
      <c r="AD241" s="2" t="inlineStr">
        <is>
          <t>1</t>
        </is>
      </c>
      <c r="AE241" s="2" t="inlineStr">
        <is>
          <t>23418</t>
        </is>
      </c>
      <c r="AF241" s="2" t="inlineStr">
        <is>
          <t>https://www.parlamento.pt/OrcamentoEstado/Paginas/DetalhePropostaAlteracao.aspx?BID=23418</t>
        </is>
      </c>
      <c r="AG241" s="2" t="inlineStr">
        <is>
          <t>https://app.parlamento.pt/webutils/docs/doc.pdf?path=6148523063484d364c793942556b356c6443397a6158526c63793959566b6c4a544556484c3039464c7a49774d6a59794d4449314d5441774f5339515153396d5a5745314d324669597930794f546c6d4c5451794d446b74595467305a4330344f546b7a5a4755344d7a5a6b4e4441756347526d&amp;Fich=fea53abc-299f-4209-a84d-8993de836d40.pdf&amp;Inline=true</t>
        </is>
      </c>
      <c r="AH241" s="3" t="n">
        <v>46321.77847222222</v>
      </c>
      <c r="AI241" s="3" t="n">
        <v>46321.78055555555</v>
      </c>
      <c r="AJ241" s="2" t="inlineStr"/>
    </row>
    <row r="242">
      <c r="A242" s="2" t="n">
        <v>241</v>
      </c>
      <c r="B242" s="2" t="inlineStr">
        <is>
          <t>225C-2</t>
        </is>
      </c>
      <c r="C242" s="3" t="n">
        <v>45964.58819444444</v>
      </c>
      <c r="D242" s="2" t="inlineStr">
        <is>
          <t>Original</t>
        </is>
      </c>
      <c r="E242" s="2" t="inlineStr">
        <is>
          <t>PCP</t>
        </is>
      </c>
      <c r="F242" s="2" t="inlineStr">
        <is>
          <t>Alfredo Maia; Paula Santos; Paulo Raimundo</t>
        </is>
      </c>
      <c r="G242" s="2" t="inlineStr">
        <is>
          <t>Art. 61.º (aditamento)</t>
        </is>
      </c>
      <c r="H242" s="2" t="n"/>
      <c r="I242" s="2" t="n"/>
      <c r="J242" s="2" t="n"/>
      <c r="K242" s="2" t="n"/>
      <c r="L242" s="2" t="inlineStr">
        <is>
          <t>Alínea c), N.º 2, Artigo 87.º do Código do IRC</t>
        </is>
      </c>
      <c r="M242" s="4" t="n"/>
      <c r="N242" s="4" t="n"/>
      <c r="O242" s="2" t="n"/>
      <c r="P242" s="2" t="n"/>
      <c r="Q242" s="2" t="n"/>
      <c r="R242" s="2" t="n"/>
      <c r="S242" s="2" t="inlineStr">
        <is>
          <t>Rejeitado(a) em Comissão</t>
        </is>
      </c>
      <c r="T242" s="2" t="inlineStr">
        <is>
          <t>Rejeitada</t>
        </is>
      </c>
      <c r="U242" s="2" t="inlineStr">
        <is>
          <t>Favor: IL, L, PCP, BE, PAN; Contra: PSD, CH, PS, CDS-PP</t>
        </is>
      </c>
      <c r="V242" s="3" t="n">
        <v>45981</v>
      </c>
      <c r="W242" s="2" t="inlineStr">
        <is>
          <t>AR: https://www.parlamento.pt/OrcamentoEstado/Paginas/DetalhePropostaAlteracao.aspx?BID=23605 PDF: https://app.parlamento.pt/webutils/docs/doc.pdf?path=6148523063484d364c793942556b356c6443397a6158526c63793959566b6c4a544556484c3039464c7a49774d6a59794d4449314d5441774f533951515338784d444178597a55305a433034593251304c5451355a5755744f5455355a5330344f47497959324d344d44646c4e546b756347526d&amp;Fich=1001c54d-8cd4-49ee-959e-88b2cc807e59.pdf&amp;Inline=true</t>
        </is>
      </c>
      <c r="X242" s="2" t="inlineStr">
        <is>
          <t>Orçamento, Finanças e Administração Pública</t>
        </is>
      </c>
      <c r="Y242" s="2" t="inlineStr">
        <is>
          <t>Articulado</t>
        </is>
      </c>
      <c r="Z242" s="2" t="inlineStr">
        <is>
          <t>Aditamento (Números e Alíneas)</t>
        </is>
      </c>
      <c r="AA242" s="2" t="inlineStr">
        <is>
          <t>Rejeitado(a) em Comissão</t>
        </is>
      </c>
      <c r="AB242" s="2" t="inlineStr"/>
      <c r="AC242" s="2" t="inlineStr">
        <is>
          <t>2</t>
        </is>
      </c>
      <c r="AD242" s="2" t="inlineStr">
        <is>
          <t>1</t>
        </is>
      </c>
      <c r="AE242" s="2" t="inlineStr">
        <is>
          <t>23605</t>
        </is>
      </c>
      <c r="AF242" s="2" t="inlineStr">
        <is>
          <t>https://www.parlamento.pt/OrcamentoEstado/Paginas/DetalhePropostaAlteracao.aspx?BID=23605</t>
        </is>
      </c>
      <c r="AG242" s="2" t="inlineStr">
        <is>
          <t>https://app.parlamento.pt/webutils/docs/doc.pdf?path=6148523063484d364c793942556b356c6443397a6158526c63793959566b6c4a544556484c3039464c7a49774d6a59794d4449314d5441774f533951515338784d444178597a55305a433034593251304c5451355a5755744f5455355a5330344f47497959324d344d44646c4e546b756347526d&amp;Fich=1001c54d-8cd4-49ee-959e-88b2cc807e59.pdf&amp;Inline=true</t>
        </is>
      </c>
      <c r="AH242" s="3" t="n">
        <v>46321.77847222222</v>
      </c>
      <c r="AI242" s="3" t="n">
        <v>46321.78055555555</v>
      </c>
      <c r="AJ242" s="2" t="inlineStr"/>
    </row>
    <row r="243">
      <c r="A243" s="2" t="n">
        <v>242</v>
      </c>
      <c r="B243" s="2" t="inlineStr">
        <is>
          <t>226C</t>
        </is>
      </c>
      <c r="C243" s="3" t="n">
        <v>45964.58888888889</v>
      </c>
      <c r="D243" s="2" t="inlineStr">
        <is>
          <t>Original</t>
        </is>
      </c>
      <c r="E243" s="2" t="inlineStr">
        <is>
          <t>PCP</t>
        </is>
      </c>
      <c r="F243" s="2" t="inlineStr">
        <is>
          <t>Alfredo Maia; Paula Santos; Paulo Raimundo</t>
        </is>
      </c>
      <c r="G243" s="2" t="inlineStr">
        <is>
          <t>Art. 62.º (substituição)</t>
        </is>
      </c>
      <c r="H243" s="2" t="n"/>
      <c r="I243" s="2" t="n"/>
      <c r="J243" s="2" t="n"/>
      <c r="K243" s="2" t="n"/>
      <c r="L243" s="2" t="inlineStr">
        <is>
          <t>Art. 19.º-B, constante da PPL; N.ºs 3, 6, 10, Art. 22.º, Subalínea i), Alínea a) a d), N.ºs 1, 2, Art. 22.º-A, N.º 1 a 4, 6 7, Art. 23.º, N.ºs 1 a 4, 6, 7, Art. 24.º, Artigos 27.º, 30.º, 31, 32.º-A, 32.º-B, 32-C, 32.º-D, 33, 36 e 36-A do EBF</t>
        </is>
      </c>
      <c r="M243" s="4" t="n"/>
      <c r="N243" s="4" t="n"/>
      <c r="O243" s="2" t="n"/>
      <c r="P243" s="2" t="n"/>
      <c r="Q243" s="2" t="n"/>
      <c r="R243" s="2" t="n"/>
      <c r="S243" s="2" t="inlineStr">
        <is>
          <t>Rejeitado(a) em Comissão</t>
        </is>
      </c>
      <c r="T243" s="2" t="inlineStr">
        <is>
          <t>Rejeitada</t>
        </is>
      </c>
      <c r="U243" s="2" t="inlineStr">
        <is>
          <t>Favor: PCP, BE; Contra: PSD, CH, IL, CDS-PP, PAN; Abstenção: PS, L</t>
        </is>
      </c>
      <c r="V243" s="3" t="n">
        <v>45981</v>
      </c>
      <c r="W243" s="2" t="inlineStr">
        <is>
          <t>AR: https://www.parlamento.pt/OrcamentoEstado/Paginas/DetalhePropostaAlteracao.aspx?BID=23419 PDF: https://app.parlamento.pt/webutils/docs/doc.pdf?path=6148523063484d364c793942556b356c6443397a6158526c63793959566b6c4a544556484c3039464c7a49774d6a59794d4449314d5441774f53395151533833596d4d775a5759784d4330774e7a45304c54517a4e7a5574596a51304e43316c4d4455324e474e6a4d4749344f5463756347526d&amp;Fich=7bc0ef10-0714-4375-b444-e0564cc0b897.pdf&amp;Inline=true</t>
        </is>
      </c>
      <c r="X243" s="2" t="inlineStr">
        <is>
          <t>Orçamento, Finanças e Administração Pública</t>
        </is>
      </c>
      <c r="Y243" s="2" t="inlineStr">
        <is>
          <t>Articulado</t>
        </is>
      </c>
      <c r="Z243" s="2" t="inlineStr">
        <is>
          <t>Substituição</t>
        </is>
      </c>
      <c r="AA243" s="2" t="inlineStr">
        <is>
          <t>Rejeitado(a) em Comissão</t>
        </is>
      </c>
      <c r="AB243" s="2" t="inlineStr"/>
      <c r="AC243" s="2" t="inlineStr"/>
      <c r="AD243" s="2" t="inlineStr">
        <is>
          <t>2</t>
        </is>
      </c>
      <c r="AE243" s="2" t="inlineStr">
        <is>
          <t>23419</t>
        </is>
      </c>
      <c r="AF243" s="2" t="inlineStr">
        <is>
          <t>https://www.parlamento.pt/OrcamentoEstado/Paginas/DetalhePropostaAlteracao.aspx?BID=23419</t>
        </is>
      </c>
      <c r="AG243" s="2" t="inlineStr">
        <is>
          <t>https://app.parlamento.pt/webutils/docs/doc.pdf?path=6148523063484d364c793942556b356c6443397a6158526c63793959566b6c4a544556484c3039464c7a49774d6a59794d4449314d5441774f53395151533833596d4d775a5759784d4330774e7a45304c54517a4e7a5574596a51304e43316c4d4455324e474e6a4d4749344f5463756347526d&amp;Fich=7bc0ef10-0714-4375-b444-e0564cc0b897.pdf&amp;Inline=true</t>
        </is>
      </c>
      <c r="AH243" s="3" t="n">
        <v>46321.77847222222</v>
      </c>
      <c r="AI243" s="3" t="n">
        <v>46321.78055555555</v>
      </c>
      <c r="AJ243" s="2" t="inlineStr"/>
    </row>
    <row r="244">
      <c r="A244" s="2" t="n">
        <v>243</v>
      </c>
      <c r="B244" s="2" t="inlineStr">
        <is>
          <t>227C</t>
        </is>
      </c>
      <c r="C244" s="3" t="n">
        <v>45964.58958333333</v>
      </c>
      <c r="D244" s="2" t="inlineStr">
        <is>
          <t>Original</t>
        </is>
      </c>
      <c r="E244" s="2" t="inlineStr">
        <is>
          <t>IL</t>
        </is>
      </c>
      <c r="F244" s="2" t="inlineStr">
        <is>
          <t>Angélique Da Teresa; Carlos Guimarães Pinto; Joana Cordeiro; Jorge Miguel Teixeira; Mariana Leitão; Mário Amorim Lopes; Miguel Rangel; Rodrigo Saraiva; Rui Rocha</t>
        </is>
      </c>
      <c r="G244" s="2" t="inlineStr">
        <is>
          <t>Art. 138.º (aditamento)</t>
        </is>
      </c>
      <c r="H244" s="2" t="n"/>
      <c r="I244" s="2" t="n"/>
      <c r="J244" s="2" t="n"/>
      <c r="K244" s="2" t="n"/>
      <c r="L244" s="2" t="inlineStr">
        <is>
          <t>Alínea c), Artigo 138.º</t>
        </is>
      </c>
      <c r="M244" s="4" t="n"/>
      <c r="N244" s="4" t="n"/>
      <c r="O244" s="2" t="n"/>
      <c r="P244" s="2" t="n"/>
      <c r="Q244" s="2" t="n"/>
      <c r="R244" s="2" t="n"/>
      <c r="S244" s="2" t="inlineStr">
        <is>
          <t>Rejeitado(a) em Comissão</t>
        </is>
      </c>
      <c r="T244" s="2" t="inlineStr">
        <is>
          <t>Rejeitada</t>
        </is>
      </c>
      <c r="U244" s="2" t="inlineStr">
        <is>
          <t>Favor: CH, IL; Contra: PSD, L, PCP, CDS-PP, BE, PAN; Abstenção: PS</t>
        </is>
      </c>
      <c r="V244" s="3" t="n">
        <v>45987</v>
      </c>
      <c r="W244" s="2" t="inlineStr">
        <is>
          <t>AR: https://www.parlamento.pt/OrcamentoEstado/Paginas/DetalhePropostaAlteracao.aspx?BID=23420 PDF: https://app.parlamento.pt/webutils/docs/doc.pdf?path=6148523063484d364c793942556b356c6443397a6158526c63793959566b6c4a544556484c3039464c7a49774d6a59794d4449314d5441774f533951515338314d7a46695a6a5a6a4d5330355a5759774c54517a4e4755744f574534597930795a6a566a5a545a6a4e6d566d4e7a41756347526d&amp;Fich=531bf6c1-9ef0-434e-9a8c-2f5ce6c6ef70.pdf&amp;Inline=true</t>
        </is>
      </c>
      <c r="X244" s="2" t="inlineStr">
        <is>
          <t>Cultura, Comunicação, Juventude e Desporto; Infraestruturas, Mobilidade e Habitação; Orçamento, Finanças e Administração Pública</t>
        </is>
      </c>
      <c r="Y244" s="2" t="inlineStr">
        <is>
          <t>Articulado</t>
        </is>
      </c>
      <c r="Z244" s="2" t="inlineStr">
        <is>
          <t>Aditamento (Números e Alíneas)</t>
        </is>
      </c>
      <c r="AA244" s="2" t="inlineStr">
        <is>
          <t>Rejeitado(a) em Comissão</t>
        </is>
      </c>
      <c r="AB244" s="2" t="inlineStr"/>
      <c r="AC244" s="2" t="inlineStr"/>
      <c r="AD244" s="2" t="inlineStr">
        <is>
          <t>1</t>
        </is>
      </c>
      <c r="AE244" s="2" t="inlineStr">
        <is>
          <t>23420</t>
        </is>
      </c>
      <c r="AF244" s="2" t="inlineStr">
        <is>
          <t>https://www.parlamento.pt/OrcamentoEstado/Paginas/DetalhePropostaAlteracao.aspx?BID=23420</t>
        </is>
      </c>
      <c r="AG244" s="2" t="inlineStr">
        <is>
          <t>https://app.parlamento.pt/webutils/docs/doc.pdf?path=6148523063484d364c793942556b356c6443397a6158526c63793959566b6c4a544556484c3039464c7a49774d6a59794d4449314d5441774f533951515338314d7a46695a6a5a6a4d5330355a5759774c54517a4e4755744f574534597930795a6a566a5a545a6a4e6d566d4e7a41756347526d&amp;Fich=531bf6c1-9ef0-434e-9a8c-2f5ce6c6ef70.pdf&amp;Inline=true</t>
        </is>
      </c>
      <c r="AH244" s="3" t="n">
        <v>46321.77847222222</v>
      </c>
      <c r="AI244" s="3" t="n">
        <v>46321.78055555555</v>
      </c>
      <c r="AJ244" s="2" t="inlineStr"/>
    </row>
    <row r="245">
      <c r="A245" s="2" t="n">
        <v>244</v>
      </c>
      <c r="B245" s="2" t="inlineStr">
        <is>
          <t>228C-1</t>
        </is>
      </c>
      <c r="C245" s="3" t="n">
        <v>45964.58958333333</v>
      </c>
      <c r="D245" s="2" t="inlineStr">
        <is>
          <t>Original</t>
        </is>
      </c>
      <c r="E245" s="2" t="inlineStr">
        <is>
          <t>PCP</t>
        </is>
      </c>
      <c r="F245" s="2" t="inlineStr">
        <is>
          <t>Alfredo Maia; Paula Santos; Paulo Raimundo</t>
        </is>
      </c>
      <c r="G245" s="2" t="inlineStr">
        <is>
          <t>Art. 63.º (substituição)</t>
        </is>
      </c>
      <c r="H245" s="2" t="n"/>
      <c r="I245" s="2" t="n"/>
      <c r="J245" s="2" t="n"/>
      <c r="K245" s="2" t="n"/>
      <c r="L245" s="2" t="inlineStr">
        <is>
          <t>Verba 1.2, Verba 1.7, Verba 2.12, Verba 2.16, Verba 2.33, Verba 2.38, Lista I anexa ao Código do IVA</t>
        </is>
      </c>
      <c r="M245" s="4" t="n"/>
      <c r="N245" s="4" t="n"/>
      <c r="O245" s="2" t="n"/>
      <c r="P245" s="2" t="n"/>
      <c r="Q245" s="2" t="n"/>
      <c r="R245" s="2" t="n"/>
      <c r="S245" s="2" t="inlineStr">
        <is>
          <t>Rejeitado(a) em Comissão</t>
        </is>
      </c>
      <c r="T245" s="2" t="inlineStr">
        <is>
          <t>Rejeitada</t>
        </is>
      </c>
      <c r="U245" s="2" t="inlineStr">
        <is>
          <t>Favor: CH, IL, PCP, BE; Contra: PSD, CDS-PP, PAN; Abstenção: PS, L</t>
        </is>
      </c>
      <c r="V245" s="3" t="n">
        <v>45982</v>
      </c>
      <c r="W245" s="2" t="inlineStr">
        <is>
          <t>AR: https://www.parlamento.pt/OrcamentoEstado/Paginas/DetalhePropostaAlteracao.aspx?BID=23421 PDF: https://app.parlamento.pt/webutils/docs/doc.pdf?path=6148523063484d364c793942556b356c6443397a6158526c63793959566b6c4a544556484c3039464c7a49774d6a59794d4449314d5441774f533951515338774e6a45354f444a6b4d53307859544e6c4c5451774f5745744f5449774e6930314e6a466a59544978597a6b304f4755756347526d&amp;Fich=061982d1-1a3e-409a-9206-561ca21c948e.pdf&amp;Inline=true</t>
        </is>
      </c>
      <c r="X245" s="2" t="inlineStr">
        <is>
          <t>Orçamento, Finanças e Administração Pública</t>
        </is>
      </c>
      <c r="Y245" s="2" t="inlineStr">
        <is>
          <t>Articulado</t>
        </is>
      </c>
      <c r="Z245" s="2" t="inlineStr">
        <is>
          <t>Substituição</t>
        </is>
      </c>
      <c r="AA245" s="2" t="inlineStr">
        <is>
          <t>Rejeitado(a) em Comissão</t>
        </is>
      </c>
      <c r="AB245" s="2" t="inlineStr"/>
      <c r="AC245" s="2" t="inlineStr">
        <is>
          <t>1</t>
        </is>
      </c>
      <c r="AD245" s="2" t="inlineStr">
        <is>
          <t>4</t>
        </is>
      </c>
      <c r="AE245" s="2" t="inlineStr">
        <is>
          <t>23421</t>
        </is>
      </c>
      <c r="AF245" s="2" t="inlineStr">
        <is>
          <t>https://www.parlamento.pt/OrcamentoEstado/Paginas/DetalhePropostaAlteracao.aspx?BID=23421</t>
        </is>
      </c>
      <c r="AG245" s="2" t="inlineStr">
        <is>
          <t>https://app.parlamento.pt/webutils/docs/doc.pdf?path=6148523063484d364c793942556b356c6443397a6158526c63793959566b6c4a544556484c3039464c7a49774d6a59794d4449314d5441774f533951515338774e6a45354f444a6b4d53307859544e6c4c5451774f5745744f5449774e6930314e6a466a59544978597a6b304f4755756347526d&amp;Fich=061982d1-1a3e-409a-9206-561ca21c948e.pdf&amp;Inline=true</t>
        </is>
      </c>
      <c r="AH245" s="3" t="n">
        <v>46321.77847222222</v>
      </c>
      <c r="AI245" s="3" t="n">
        <v>46321.78055555555</v>
      </c>
      <c r="AJ245" s="2" t="inlineStr"/>
    </row>
    <row r="246">
      <c r="A246" s="2" t="n">
        <v>245</v>
      </c>
      <c r="B246" s="2" t="inlineStr">
        <is>
          <t>228C-2</t>
        </is>
      </c>
      <c r="C246" s="3" t="n">
        <v>45964.58958333333</v>
      </c>
      <c r="D246" s="2" t="inlineStr">
        <is>
          <t>Original</t>
        </is>
      </c>
      <c r="E246" s="2" t="inlineStr">
        <is>
          <t>PCP</t>
        </is>
      </c>
      <c r="F246" s="2" t="inlineStr">
        <is>
          <t>Alfredo Maia; Paula Santos; Paulo Raimundo</t>
        </is>
      </c>
      <c r="G246" s="2" t="inlineStr">
        <is>
          <t>Art. 63.º (aditamento)</t>
        </is>
      </c>
      <c r="H246" s="2" t="n"/>
      <c r="I246" s="2" t="n"/>
      <c r="J246" s="2" t="n"/>
      <c r="K246" s="2" t="n"/>
      <c r="L246" s="2" t="inlineStr">
        <is>
          <t>Verba 1.1.7, Verba 1.5.3, Verba 1.15, Verba 1.16, Verba 2.42, Verba 2.43, Verba 2.44, Nova Verba 1.14, Lista I anexa ao Código do IVA</t>
        </is>
      </c>
      <c r="M246" s="4" t="n"/>
      <c r="N246" s="4" t="n"/>
      <c r="O246" s="2" t="n"/>
      <c r="P246" s="2" t="n"/>
      <c r="Q246" s="2" t="n"/>
      <c r="R246" s="2" t="n"/>
      <c r="S246" s="2" t="inlineStr">
        <is>
          <t>Rejeitado(a) em Comissão</t>
        </is>
      </c>
      <c r="T246" s="2" t="inlineStr">
        <is>
          <t>Rejeitada</t>
        </is>
      </c>
      <c r="U246" s="2" t="inlineStr">
        <is>
          <t>Favor: CH, L, PCP, BE, PAN; Contra: PSD, CDS-PP; Abstenção: PS, IL</t>
        </is>
      </c>
      <c r="V246" s="3" t="n">
        <v>45982</v>
      </c>
      <c r="W246" s="2" t="inlineStr">
        <is>
          <t>AR: https://www.parlamento.pt/OrcamentoEstado/Paginas/DetalhePropostaAlteracao.aspx?BID=24470 PDF: https://app.parlamento.pt/webutils/docs/doc.pdf?path=6148523063484d364c793942556b356c6443397a6158526c63793959566b6c4a544556484c3039464c7a49774d6a59794d4449314d5441774f533951515339684e6a6b7a4e54517a5979316b5954566b4c54526c4d6a4d7459544e684d43316b4d32466d4e7a45324e475533596a45756347526d&amp;Fich=a693543c-da5d-4e23-a3a0-d3af7164e7b1.pdf&amp;Inline=true</t>
        </is>
      </c>
      <c r="X246" s="2" t="inlineStr">
        <is>
          <t>Orçamento, Finanças e Administração Pública</t>
        </is>
      </c>
      <c r="Y246" s="2" t="inlineStr">
        <is>
          <t>Articulado</t>
        </is>
      </c>
      <c r="Z246" s="2" t="inlineStr">
        <is>
          <t>Aditamento (Números e Alíneas)</t>
        </is>
      </c>
      <c r="AA246" s="2" t="inlineStr">
        <is>
          <t>Rejeitado(a) em Comissão</t>
        </is>
      </c>
      <c r="AB246" s="2" t="inlineStr"/>
      <c r="AC246" s="2" t="inlineStr">
        <is>
          <t>2</t>
        </is>
      </c>
      <c r="AD246" s="2" t="inlineStr">
        <is>
          <t>5</t>
        </is>
      </c>
      <c r="AE246" s="2" t="inlineStr">
        <is>
          <t>24470</t>
        </is>
      </c>
      <c r="AF246" s="2" t="inlineStr">
        <is>
          <t>https://www.parlamento.pt/OrcamentoEstado/Paginas/DetalhePropostaAlteracao.aspx?BID=24470</t>
        </is>
      </c>
      <c r="AG246" s="2" t="inlineStr">
        <is>
          <t>https://app.parlamento.pt/webutils/docs/doc.pdf?path=6148523063484d364c793942556b356c6443397a6158526c63793959566b6c4a544556484c3039464c7a49774d6a59794d4449314d5441774f533951515339684e6a6b7a4e54517a5979316b5954566b4c54526c4d6a4d7459544e684d43316b4d32466d4e7a45324e475533596a45756347526d&amp;Fich=a693543c-da5d-4e23-a3a0-d3af7164e7b1.pdf&amp;Inline=true</t>
        </is>
      </c>
      <c r="AH246" s="3" t="n">
        <v>46321.77847222222</v>
      </c>
      <c r="AI246" s="3" t="n">
        <v>46321.78055555555</v>
      </c>
      <c r="AJ246" s="2" t="inlineStr"/>
    </row>
    <row r="247">
      <c r="A247" s="2" t="n">
        <v>246</v>
      </c>
      <c r="B247" s="2" t="inlineStr">
        <is>
          <t>228C-3</t>
        </is>
      </c>
      <c r="C247" s="3" t="n">
        <v>45964.58958333333</v>
      </c>
      <c r="D247" s="2" t="inlineStr">
        <is>
          <t>Original</t>
        </is>
      </c>
      <c r="E247" s="2" t="inlineStr">
        <is>
          <t>PCP</t>
        </is>
      </c>
      <c r="F247" s="2" t="inlineStr">
        <is>
          <t>Alfredo Maia; Paula Santos; Paulo Raimundo</t>
        </is>
      </c>
      <c r="G247" s="2" t="inlineStr">
        <is>
          <t>Art. 63.º (aditamento)</t>
        </is>
      </c>
      <c r="H247" s="2" t="n"/>
      <c r="I247" s="2" t="n"/>
      <c r="J247" s="2" t="n"/>
      <c r="K247" s="2" t="n"/>
      <c r="L247" s="2" t="inlineStr">
        <is>
          <t>N.º 2, N.º 3, Artigo 63.º</t>
        </is>
      </c>
      <c r="M247" s="4" t="n"/>
      <c r="N247" s="4" t="n"/>
      <c r="O247" s="2" t="n"/>
      <c r="P247" s="2" t="n"/>
      <c r="Q247" s="2" t="n"/>
      <c r="R247" s="2" t="n"/>
      <c r="S247" s="2" t="inlineStr">
        <is>
          <t>Rejeitado(a) em Comissão</t>
        </is>
      </c>
      <c r="T247" s="2" t="inlineStr">
        <is>
          <t>Rejeitada</t>
        </is>
      </c>
      <c r="U247" s="2" t="inlineStr">
        <is>
          <t>Favor: CH, L, PCP, BE; Contra: PSD, IL, CDS-PP; Abstenção: PS, PAN</t>
        </is>
      </c>
      <c r="V247" s="3" t="n">
        <v>45982</v>
      </c>
      <c r="W247" s="2" t="inlineStr">
        <is>
          <t>AR: https://www.parlamento.pt/OrcamentoEstado/Paginas/DetalhePropostaAlteracao.aspx?BID=24471 PDF: https://app.parlamento.pt/webutils/docs/doc.pdf?path=6148523063484d364c793942556b356c6443397a6158526c63793959566b6c4a544556484c3039464c7a49774d6a59794d4449314d5441774f5339515153396959324d32597a68685a6930774e5459794c545133597a6374595749334d53307a4e6a45774d6d5268593259335a5455756347526d&amp;Fich=bcc6c8af-0562-47c7-ab71-36102dacf7e5.pdf&amp;Inline=true</t>
        </is>
      </c>
      <c r="X247" s="2" t="inlineStr">
        <is>
          <t>Orçamento, Finanças e Administração Pública</t>
        </is>
      </c>
      <c r="Y247" s="2" t="inlineStr">
        <is>
          <t>Articulado</t>
        </is>
      </c>
      <c r="Z247" s="2" t="inlineStr">
        <is>
          <t>Aditamento (Números e Alíneas)</t>
        </is>
      </c>
      <c r="AA247" s="2" t="inlineStr">
        <is>
          <t>Rejeitado(a) em Comissão</t>
        </is>
      </c>
      <c r="AB247" s="2" t="inlineStr"/>
      <c r="AC247" s="2" t="inlineStr">
        <is>
          <t>3</t>
        </is>
      </c>
      <c r="AD247" s="2" t="inlineStr">
        <is>
          <t>2</t>
        </is>
      </c>
      <c r="AE247" s="2" t="inlineStr">
        <is>
          <t>24471</t>
        </is>
      </c>
      <c r="AF247" s="2" t="inlineStr">
        <is>
          <t>https://www.parlamento.pt/OrcamentoEstado/Paginas/DetalhePropostaAlteracao.aspx?BID=24471</t>
        </is>
      </c>
      <c r="AG247" s="2" t="inlineStr">
        <is>
          <t>https://app.parlamento.pt/webutils/docs/doc.pdf?path=6148523063484d364c793942556b356c6443397a6158526c63793959566b6c4a544556484c3039464c7a49774d6a59794d4449314d5441774f5339515153396959324d32597a68685a6930774e5459794c545133597a6374595749334d53307a4e6a45774d6d5268593259335a5455756347526d&amp;Fich=bcc6c8af-0562-47c7-ab71-36102dacf7e5.pdf&amp;Inline=true</t>
        </is>
      </c>
      <c r="AH247" s="3" t="n">
        <v>46321.77847222222</v>
      </c>
      <c r="AI247" s="3" t="n">
        <v>46321.78055555555</v>
      </c>
      <c r="AJ247" s="2" t="inlineStr"/>
    </row>
    <row r="248">
      <c r="A248" s="2" t="n">
        <v>247</v>
      </c>
      <c r="B248" s="2" t="inlineStr">
        <is>
          <t>229C-1</t>
        </is>
      </c>
      <c r="C248" s="3" t="n">
        <v>45964.59027777778</v>
      </c>
      <c r="D248" s="2" t="inlineStr">
        <is>
          <t>Original</t>
        </is>
      </c>
      <c r="E248" s="2" t="inlineStr">
        <is>
          <t>PCP</t>
        </is>
      </c>
      <c r="F248" s="2" t="inlineStr">
        <is>
          <t>Alfredo Maia; Paula Santos; Paulo Raimundo</t>
        </is>
      </c>
      <c r="G248" s="2" t="inlineStr">
        <is>
          <t>Art. 60.º (substituição)</t>
        </is>
      </c>
      <c r="H248" s="2" t="n"/>
      <c r="I248" s="2" t="n"/>
      <c r="J248" s="2" t="n"/>
      <c r="K248" s="2" t="n"/>
      <c r="L248" s="2" t="inlineStr">
        <is>
          <t>N.º 17, N.º 18, N.º 19, N.º 20, N.º 21, Artigo 10.ª do Código do IRS</t>
        </is>
      </c>
      <c r="M248" s="4" t="n"/>
      <c r="N248" s="4" t="n"/>
      <c r="O248" s="2" t="n"/>
      <c r="P248" s="2" t="n"/>
      <c r="Q248" s="2" t="n"/>
      <c r="R248" s="2" t="n"/>
      <c r="S248" s="2" t="inlineStr">
        <is>
          <t>Rejeitado(a) em Comissão</t>
        </is>
      </c>
      <c r="T248" s="2" t="inlineStr">
        <is>
          <t>Rejeitada</t>
        </is>
      </c>
      <c r="U248" s="2" t="inlineStr">
        <is>
          <t>Favor: L, PCP, BE, PAN; Contra: PSD, CH, PS, IL, CDS-PP</t>
        </is>
      </c>
      <c r="V248" s="3" t="n">
        <v>45981</v>
      </c>
      <c r="W248" s="2" t="inlineStr">
        <is>
          <t>AR: https://www.parlamento.pt/OrcamentoEstado/Paginas/DetalhePropostaAlteracao.aspx?BID=23422 PDF: https://app.parlamento.pt/webutils/docs/doc.pdf?path=6148523063484d364c793942556b356c6443397a6158526c63793959566b6c4a544556484c3039464c7a49774d6a59794d4449314d5441774f533951515338314d44686a4e474e685a5330335a6a49784c54526b59324574596a52684d6931694f475131596d49324d6a49784d4451756347526d&amp;Fich=508c4cae-7f21-4dca-b4a2-b8d5bb622104.pdf&amp;Inline=true</t>
        </is>
      </c>
      <c r="X248" s="2" t="inlineStr">
        <is>
          <t>Orçamento, Finanças e Administração Pública</t>
        </is>
      </c>
      <c r="Y248" s="2" t="inlineStr">
        <is>
          <t>Articulado</t>
        </is>
      </c>
      <c r="Z248" s="2" t="inlineStr">
        <is>
          <t>Substituição</t>
        </is>
      </c>
      <c r="AA248" s="2" t="inlineStr">
        <is>
          <t>Rejeitado(a) em Comissão</t>
        </is>
      </c>
      <c r="AB248" s="2" t="inlineStr"/>
      <c r="AC248" s="2" t="inlineStr">
        <is>
          <t>1</t>
        </is>
      </c>
      <c r="AD248" s="2" t="inlineStr">
        <is>
          <t>1</t>
        </is>
      </c>
      <c r="AE248" s="2" t="inlineStr">
        <is>
          <t>23422</t>
        </is>
      </c>
      <c r="AF248" s="2" t="inlineStr">
        <is>
          <t>https://www.parlamento.pt/OrcamentoEstado/Paginas/DetalhePropostaAlteracao.aspx?BID=23422</t>
        </is>
      </c>
      <c r="AG248" s="2" t="inlineStr">
        <is>
          <t>https://app.parlamento.pt/webutils/docs/doc.pdf?path=6148523063484d364c793942556b356c6443397a6158526c63793959566b6c4a544556484c3039464c7a49774d6a59794d4449314d5441774f533951515338314d44686a4e474e685a5330335a6a49784c54526b59324574596a52684d6931694f475131596d49324d6a49784d4451756347526d&amp;Fich=508c4cae-7f21-4dca-b4a2-b8d5bb622104.pdf&amp;Inline=true</t>
        </is>
      </c>
      <c r="AH248" s="3" t="n">
        <v>46321.77847222222</v>
      </c>
      <c r="AI248" s="3" t="n">
        <v>46321.78055555555</v>
      </c>
      <c r="AJ248" s="2" t="inlineStr"/>
    </row>
    <row r="249">
      <c r="A249" s="2" t="n">
        <v>248</v>
      </c>
      <c r="B249" s="2" t="inlineStr">
        <is>
          <t>229C-2</t>
        </is>
      </c>
      <c r="C249" s="3" t="n">
        <v>45964.59027777778</v>
      </c>
      <c r="D249" s="2" t="inlineStr">
        <is>
          <t>Original</t>
        </is>
      </c>
      <c r="E249" s="2" t="inlineStr">
        <is>
          <t>PCP</t>
        </is>
      </c>
      <c r="F249" s="2" t="inlineStr">
        <is>
          <t>Alfredo Maia; Paula Santos; Paulo Raimundo</t>
        </is>
      </c>
      <c r="G249" s="2" t="inlineStr">
        <is>
          <t>Art. 61.º (aditamento)</t>
        </is>
      </c>
      <c r="H249" s="2" t="n"/>
      <c r="I249" s="2" t="n"/>
      <c r="J249" s="2" t="n"/>
      <c r="K249" s="2" t="n"/>
      <c r="L249" s="2" t="inlineStr">
        <is>
          <t>N.º 20, Artigo 46.º do Código do IRC</t>
        </is>
      </c>
      <c r="M249" s="4" t="n"/>
      <c r="N249" s="4" t="n"/>
      <c r="O249" s="2" t="n"/>
      <c r="P249" s="2" t="n"/>
      <c r="Q249" s="2" t="n"/>
      <c r="R249" s="2" t="n"/>
      <c r="S249" s="2" t="inlineStr">
        <is>
          <t>Rejeitado(a) em Comissão</t>
        </is>
      </c>
      <c r="T249" s="2" t="inlineStr">
        <is>
          <t>Rejeitada</t>
        </is>
      </c>
      <c r="U249" s="2" t="inlineStr">
        <is>
          <t>Favor: L, PCP, BE, PAN; Contra: PSD, CH, PS, IL, CDS-PP</t>
        </is>
      </c>
      <c r="V249" s="3" t="n">
        <v>45981</v>
      </c>
      <c r="W249" s="2" t="inlineStr">
        <is>
          <t>AR: https://www.parlamento.pt/OrcamentoEstado/Paginas/DetalhePropostaAlteracao.aspx?BID=23598 PDF: https://app.parlamento.pt/webutils/docs/doc.pdf?path=6148523063484d364c793942556b356c6443397a6158526c63793959566b6c4a544556484c3039464c7a49774d6a59794d4449314d5441774f5339515153396a5a6a55324f47497a4e43303559324a6d4c5451304f4441744f47517a5a693030596a59314d44686c4d6d59774d6a45756347526d&amp;Fich=cf568b34-9cbf-4480-8d3f-4b6508e2f021.pdf&amp;Inline=true</t>
        </is>
      </c>
      <c r="X249" s="2" t="inlineStr">
        <is>
          <t>Orçamento, Finanças e Administração Pública</t>
        </is>
      </c>
      <c r="Y249" s="2" t="inlineStr">
        <is>
          <t>Articulado</t>
        </is>
      </c>
      <c r="Z249" s="2" t="inlineStr">
        <is>
          <t>Aditamento (Números e Alíneas)</t>
        </is>
      </c>
      <c r="AA249" s="2" t="inlineStr">
        <is>
          <t>Rejeitado(a) em Comissão</t>
        </is>
      </c>
      <c r="AB249" s="2" t="inlineStr"/>
      <c r="AC249" s="2" t="inlineStr">
        <is>
          <t>2</t>
        </is>
      </c>
      <c r="AD249" s="2" t="inlineStr">
        <is>
          <t>1</t>
        </is>
      </c>
      <c r="AE249" s="2" t="inlineStr">
        <is>
          <t>23598</t>
        </is>
      </c>
      <c r="AF249" s="2" t="inlineStr">
        <is>
          <t>https://www.parlamento.pt/OrcamentoEstado/Paginas/DetalhePropostaAlteracao.aspx?BID=23598</t>
        </is>
      </c>
      <c r="AG249" s="2" t="inlineStr">
        <is>
          <t>https://app.parlamento.pt/webutils/docs/doc.pdf?path=6148523063484d364c793942556b356c6443397a6158526c63793959566b6c4a544556484c3039464c7a49774d6a59794d4449314d5441774f5339515153396a5a6a55324f47497a4e43303559324a6d4c5451304f4441744f47517a5a693030596a59314d44686c4d6d59774d6a45756347526d&amp;Fich=cf568b34-9cbf-4480-8d3f-4b6508e2f021.pdf&amp;Inline=true</t>
        </is>
      </c>
      <c r="AH249" s="3" t="n">
        <v>46321.77847222222</v>
      </c>
      <c r="AI249" s="3" t="n">
        <v>46321.78055555555</v>
      </c>
      <c r="AJ249" s="2" t="inlineStr"/>
    </row>
    <row r="250">
      <c r="A250" s="2" t="n">
        <v>249</v>
      </c>
      <c r="B250" s="2" t="inlineStr">
        <is>
          <t>229C-3</t>
        </is>
      </c>
      <c r="C250" s="3" t="n">
        <v>45964.59027777778</v>
      </c>
      <c r="D250" s="2" t="inlineStr">
        <is>
          <t>Original</t>
        </is>
      </c>
      <c r="E250" s="2" t="inlineStr">
        <is>
          <t>PCP</t>
        </is>
      </c>
      <c r="F250" s="2" t="inlineStr">
        <is>
          <t>Alfredo Maia; Paula Santos; Paulo Raimundo</t>
        </is>
      </c>
      <c r="G250" s="2" t="inlineStr">
        <is>
          <t>Art. 63.º-A (aditamento)</t>
        </is>
      </c>
      <c r="H250" s="2" t="n"/>
      <c r="I250" s="2" t="n"/>
      <c r="J250" s="2" t="n"/>
      <c r="K250" s="2" t="n"/>
      <c r="L250" s="2" t="inlineStr">
        <is>
          <t>Artigo 63.º-A (Alteração ao Código do Imposto sobre o Valor Acrescentado)</t>
        </is>
      </c>
      <c r="M250" s="4" t="n"/>
      <c r="N250" s="4" t="n"/>
      <c r="O250" s="2" t="n"/>
      <c r="P250" s="2" t="n"/>
      <c r="Q250" s="2" t="n"/>
      <c r="R250" s="2" t="n"/>
      <c r="S250" s="2" t="inlineStr">
        <is>
          <t>Rejeitado(a) em Comissão</t>
        </is>
      </c>
      <c r="T250" s="2" t="inlineStr">
        <is>
          <t>Rejeitada</t>
        </is>
      </c>
      <c r="U250" s="2" t="inlineStr">
        <is>
          <t>Favor: CH, L, PCP, BE, PAN; Contra: PSD, PS, IL, CDS-PP</t>
        </is>
      </c>
      <c r="V250" s="3" t="n">
        <v>45982</v>
      </c>
      <c r="W250" s="2" t="inlineStr">
        <is>
          <t>AR: https://www.parlamento.pt/OrcamentoEstado/Paginas/DetalhePropostaAlteracao.aspx?BID=23600 PDF: https://app.parlamento.pt/webutils/docs/doc.pdf?path=6148523063484d364c793942556b356c6443397a6158526c63793959566b6c4a544556484c3039464c7a49774d6a59794d4449314d5441774f5339515153396c4d6a566d4d7a4e695a53316a4f5445354c54513259325974596a49334e7930324e474e6a5a544d324f44526c5a4755756347526d&amp;Fich=e25f33be-c919-46cf-b277-64cce3684ede.pdf&amp;Inline=true</t>
        </is>
      </c>
      <c r="X250" s="2" t="inlineStr">
        <is>
          <t>Orçamento, Finanças e Administração Pública</t>
        </is>
      </c>
      <c r="Y250" s="2" t="inlineStr">
        <is>
          <t>Articulado</t>
        </is>
      </c>
      <c r="Z250" s="2" t="inlineStr">
        <is>
          <t>Aditamento (Artigo PPL)</t>
        </is>
      </c>
      <c r="AA250" s="2" t="inlineStr">
        <is>
          <t>Rejeitado(a) em Comissão</t>
        </is>
      </c>
      <c r="AB250" s="2" t="inlineStr"/>
      <c r="AC250" s="2" t="inlineStr">
        <is>
          <t>3</t>
        </is>
      </c>
      <c r="AD250" s="2" t="inlineStr">
        <is>
          <t>1</t>
        </is>
      </c>
      <c r="AE250" s="2" t="inlineStr">
        <is>
          <t>23600</t>
        </is>
      </c>
      <c r="AF250" s="2" t="inlineStr">
        <is>
          <t>https://www.parlamento.pt/OrcamentoEstado/Paginas/DetalhePropostaAlteracao.aspx?BID=23600</t>
        </is>
      </c>
      <c r="AG250" s="2" t="inlineStr">
        <is>
          <t>https://app.parlamento.pt/webutils/docs/doc.pdf?path=6148523063484d364c793942556b356c6443397a6158526c63793959566b6c4a544556484c3039464c7a49774d6a59794d4449314d5441774f5339515153396c4d6a566d4d7a4e695a53316a4f5445354c54513259325974596a49334e7930324e474e6a5a544d324f44526c5a4755756347526d&amp;Fich=e25f33be-c919-46cf-b277-64cce3684ede.pdf&amp;Inline=true</t>
        </is>
      </c>
      <c r="AH250" s="3" t="n">
        <v>46321.77847222222</v>
      </c>
      <c r="AI250" s="3" t="n">
        <v>46321.78055555555</v>
      </c>
      <c r="AJ250" s="2" t="inlineStr"/>
    </row>
    <row r="251">
      <c r="A251" s="2" t="n">
        <v>250</v>
      </c>
      <c r="B251" s="2" t="inlineStr">
        <is>
          <t>229C-4</t>
        </is>
      </c>
      <c r="C251" s="3" t="n">
        <v>45964.59027777778</v>
      </c>
      <c r="D251" s="2" t="inlineStr">
        <is>
          <t>Original</t>
        </is>
      </c>
      <c r="E251" s="2" t="inlineStr">
        <is>
          <t>PCP</t>
        </is>
      </c>
      <c r="F251" s="2" t="inlineStr">
        <is>
          <t>Alfredo Maia; Paula Santos; Paulo Raimundo</t>
        </is>
      </c>
      <c r="G251" s="2" t="inlineStr">
        <is>
          <t>Art. 136.º-A (aditamento)</t>
        </is>
      </c>
      <c r="H251" s="2" t="n"/>
      <c r="I251" s="2" t="n"/>
      <c r="J251" s="2" t="n"/>
      <c r="K251" s="2" t="n"/>
      <c r="L251" s="2" t="inlineStr">
        <is>
          <t>Artigo 136.º-A (Alteração ao Decreto-Lei n.º 48/95, de 15 de março)</t>
        </is>
      </c>
      <c r="M251" s="4" t="n"/>
      <c r="N251" s="4" t="n"/>
      <c r="O251" s="2" t="n"/>
      <c r="P251" s="2" t="n"/>
      <c r="Q251" s="2" t="n"/>
      <c r="R251" s="2" t="n"/>
      <c r="S251" s="2" t="inlineStr">
        <is>
          <t>Rejeitado(a) em Comissão</t>
        </is>
      </c>
      <c r="T251" s="2" t="inlineStr">
        <is>
          <t>Rejeitada</t>
        </is>
      </c>
      <c r="U251" s="2" t="inlineStr">
        <is>
          <t>Favor: PCP, BE, PAN; Contra: PSD, CH, PS, IL, L, CDS-PP</t>
        </is>
      </c>
      <c r="V251" s="3" t="n">
        <v>45987</v>
      </c>
      <c r="W251" s="2" t="inlineStr">
        <is>
          <t>AR: https://www.parlamento.pt/OrcamentoEstado/Paginas/DetalhePropostaAlteracao.aspx?BID=23601 PDF: https://app.parlamento.pt/webutils/docs/doc.pdf?path=6148523063484d364c793942556b356c6443397a6158526c63793959566b6c4a544556484c3039464c7a49774d6a59794d4449314d5441774f5339515153396a4d6a45774f575930595331695a4745334c54513159544d74595463305a53316c5a4442694d474d774e546b354e3255756347526d&amp;Fich=c2109f4a-bda7-45a3-a74e-ed0b0c05997e.pdf&amp;Inline=true</t>
        </is>
      </c>
      <c r="X251" s="2" t="inlineStr">
        <is>
          <t>Orçamento, Finanças e Administração Pública</t>
        </is>
      </c>
      <c r="Y251" s="2" t="inlineStr">
        <is>
          <t>Articulado</t>
        </is>
      </c>
      <c r="Z251" s="2" t="inlineStr">
        <is>
          <t>Aditamento (Artigo PPL)</t>
        </is>
      </c>
      <c r="AA251" s="2" t="inlineStr">
        <is>
          <t>Rejeitado(a) em Comissão</t>
        </is>
      </c>
      <c r="AB251" s="2" t="inlineStr"/>
      <c r="AC251" s="2" t="inlineStr">
        <is>
          <t>4</t>
        </is>
      </c>
      <c r="AD251" s="2" t="inlineStr">
        <is>
          <t>1</t>
        </is>
      </c>
      <c r="AE251" s="2" t="inlineStr">
        <is>
          <t>23601</t>
        </is>
      </c>
      <c r="AF251" s="2" t="inlineStr">
        <is>
          <t>https://www.parlamento.pt/OrcamentoEstado/Paginas/DetalhePropostaAlteracao.aspx?BID=23601</t>
        </is>
      </c>
      <c r="AG251" s="2" t="inlineStr">
        <is>
          <t>https://app.parlamento.pt/webutils/docs/doc.pdf?path=6148523063484d364c793942556b356c6443397a6158526c63793959566b6c4a544556484c3039464c7a49774d6a59794d4449314d5441774f5339515153396a4d6a45774f575930595331695a4745334c54513159544d74595463305a53316c5a4442694d474d774e546b354e3255756347526d&amp;Fich=c2109f4a-bda7-45a3-a74e-ed0b0c05997e.pdf&amp;Inline=true</t>
        </is>
      </c>
      <c r="AH251" s="3" t="n">
        <v>46321.77847222222</v>
      </c>
      <c r="AI251" s="3" t="n">
        <v>46321.78055555555</v>
      </c>
      <c r="AJ251" s="2" t="inlineStr"/>
    </row>
    <row r="252">
      <c r="A252" s="2" t="n">
        <v>251</v>
      </c>
      <c r="B252" s="2" t="inlineStr">
        <is>
          <t>230C</t>
        </is>
      </c>
      <c r="C252" s="3" t="n">
        <v>45964.59305555555</v>
      </c>
      <c r="D252" s="2" t="inlineStr">
        <is>
          <t>Original</t>
        </is>
      </c>
      <c r="E252" s="2" t="inlineStr">
        <is>
          <t>IL</t>
        </is>
      </c>
      <c r="F252" s="2" t="inlineStr">
        <is>
          <t>Angélique Da Teresa; Carlos Guimarães Pinto; Joana Cordeiro; Jorge Miguel Teixeira; Mariana Leitão; Mário Amorim Lopes; Miguel Rangel; Rodrigo Saraiva; Rui Rocha</t>
        </is>
      </c>
      <c r="G252" s="2" t="inlineStr">
        <is>
          <t>Art. 138.º (aditamento)</t>
        </is>
      </c>
      <c r="H252" s="2" t="n"/>
      <c r="I252" s="2" t="n"/>
      <c r="J252" s="2" t="n"/>
      <c r="K252" s="2" t="n"/>
      <c r="L252" s="2" t="inlineStr">
        <is>
          <t>Alínea c), Artigo 138.º</t>
        </is>
      </c>
      <c r="M252" s="4" t="n"/>
      <c r="N252" s="4" t="n"/>
      <c r="O252" s="2" t="n"/>
      <c r="P252" s="2" t="n"/>
      <c r="Q252" s="2" t="n"/>
      <c r="R252" s="2" t="n"/>
      <c r="S252" s="2" t="inlineStr">
        <is>
          <t>Rejeitado(a) em Plenário</t>
        </is>
      </c>
      <c r="T252" s="2" t="inlineStr">
        <is>
          <t>Rejeitada</t>
        </is>
      </c>
      <c r="U252" s="2" t="inlineStr">
        <is>
          <t>Favor: CH, IL, L, BE, JPP; Contra: PSD; Abstenção: PS, PCP, CDS-PP, PAN</t>
        </is>
      </c>
      <c r="V252" s="3" t="n">
        <v>45988</v>
      </c>
      <c r="W252" s="2" t="inlineStr">
        <is>
          <t>Avocada a Plenário. AR: https://www.parlamento.pt/OrcamentoEstado/Paginas/DetalhePropostaAlteracao.aspx?BID=23423 PDF: https://app.parlamento.pt/webutils/docs/doc.pdf?path=6148523063484d364c793942556b356c6443397a6158526c63793959566b6c4a544556484c3039464c7a49774d6a59794d4449314d5441774f5339515153396a4f4745324e5445345a43316d4e474e6d4c54526d595755744f4759774d4330784e5463315a6a55354d545a6a4d7a51756347526d&amp;Fich=c8a6518d-f4cf-4fae-8f00-1575f5916c34.pdf&amp;Inline=true</t>
        </is>
      </c>
      <c r="X252" s="2" t="inlineStr">
        <is>
          <t>Infraestruturas, Mobilidade e Habitação; Orçamento, Finanças e Administração Pública</t>
        </is>
      </c>
      <c r="Y252" s="2" t="inlineStr">
        <is>
          <t>Articulado</t>
        </is>
      </c>
      <c r="Z252" s="2" t="inlineStr">
        <is>
          <t>Aditamento (Números e Alíneas)</t>
        </is>
      </c>
      <c r="AA252" s="2" t="inlineStr">
        <is>
          <t>Rejeitado(a) em Plenário</t>
        </is>
      </c>
      <c r="AB252" s="2" t="inlineStr">
        <is>
          <t>S</t>
        </is>
      </c>
      <c r="AC252" s="2" t="inlineStr"/>
      <c r="AD252" s="2" t="inlineStr">
        <is>
          <t>2</t>
        </is>
      </c>
      <c r="AE252" s="2" t="inlineStr">
        <is>
          <t>23423</t>
        </is>
      </c>
      <c r="AF252" s="2" t="inlineStr">
        <is>
          <t>https://www.parlamento.pt/OrcamentoEstado/Paginas/DetalhePropostaAlteracao.aspx?BID=23423</t>
        </is>
      </c>
      <c r="AG252" s="2" t="inlineStr">
        <is>
          <t>https://app.parlamento.pt/webutils/docs/doc.pdf?path=6148523063484d364c793942556b356c6443397a6158526c63793959566b6c4a544556484c3039464c7a49774d6a59794d4449314d5441774f5339515153396a4f4745324e5445345a43316d4e474e6d4c54526d595755744f4759774d4330784e5463315a6a55354d545a6a4d7a51756347526d&amp;Fich=c8a6518d-f4cf-4fae-8f00-1575f5916c34.pdf&amp;Inline=true</t>
        </is>
      </c>
      <c r="AH252" s="3" t="n">
        <v>46321.77847222222</v>
      </c>
      <c r="AI252" s="3" t="n">
        <v>46321.78055555555</v>
      </c>
      <c r="AJ252" s="2" t="inlineStr"/>
    </row>
    <row r="253">
      <c r="A253" s="2" t="n">
        <v>252</v>
      </c>
      <c r="B253" s="2" t="inlineStr">
        <is>
          <t>231C-1</t>
        </is>
      </c>
      <c r="C253" s="3" t="n">
        <v>45964.59652777778</v>
      </c>
      <c r="D253" s="2" t="inlineStr">
        <is>
          <t>Original</t>
        </is>
      </c>
      <c r="E253" s="2" t="inlineStr">
        <is>
          <t>IL</t>
        </is>
      </c>
      <c r="F253" s="2" t="inlineStr">
        <is>
          <t>Angélique Da Teresa; Carlos Guimarães Pinto; Joana Cordeiro; Jorge Miguel Teixeira; Mariana Leitão; Mário Amorim Lopes; Miguel Rangel; Rodrigo Saraiva; Rui Rocha</t>
        </is>
      </c>
      <c r="G253" s="2" t="inlineStr">
        <is>
          <t>Art. 60.º (substituição)</t>
        </is>
      </c>
      <c r="H253" s="2" t="n"/>
      <c r="I253" s="2" t="n"/>
      <c r="J253" s="2" t="n"/>
      <c r="K253" s="2" t="n"/>
      <c r="L253" s="2" t="inlineStr">
        <is>
          <t>Alínea a), Alínea b), Alínea c), Alínea d), N.º 1, N.º 4, Alínea a), Alínea b), N.º 5, Artigo 78.º-E do Código do IRS</t>
        </is>
      </c>
      <c r="M253" s="4" t="n"/>
      <c r="N253" s="4" t="n"/>
      <c r="O253" s="2" t="n"/>
      <c r="P253" s="2" t="n"/>
      <c r="Q253" s="2" t="n"/>
      <c r="R253" s="2" t="n"/>
      <c r="S253" s="2" t="inlineStr">
        <is>
          <t>Rejeitado(a) em Comissão</t>
        </is>
      </c>
      <c r="T253" s="2" t="inlineStr">
        <is>
          <t>Rejeitada</t>
        </is>
      </c>
      <c r="U253" s="2" t="inlineStr">
        <is>
          <t>Favor: CH, IL, L, BE, PAN; Contra: PSD, CDS-PP; Abstenção: PS, PCP</t>
        </is>
      </c>
      <c r="V253" s="3" t="n">
        <v>45981</v>
      </c>
      <c r="W253" s="2" t="inlineStr">
        <is>
          <t>AR: https://www.parlamento.pt/OrcamentoEstado/Paginas/DetalhePropostaAlteracao.aspx?BID=23424 PDF: https://app.parlamento.pt/webutils/docs/doc.pdf?path=6148523063484d364c793942556b356c6443397a6158526c63793959566b6c4a544556484c3039464c7a49774d6a59794d4449314d5441774f533951515338345a446b795954686d4e43316c4d47457a4c5451345a474d744f545a6a5a69316d5a4451784e574979596a4e685a5445756347526d&amp;Fich=8d92a8f4-e0a3-48dc-96cf-fd415b2b3ae1.pdf&amp;Inline=true</t>
        </is>
      </c>
      <c r="X253" s="2" t="inlineStr">
        <is>
          <t>Infraestruturas, Mobilidade e Habitação; Orçamento, Finanças e Administração Pública</t>
        </is>
      </c>
      <c r="Y253" s="2" t="inlineStr">
        <is>
          <t>Articulado</t>
        </is>
      </c>
      <c r="Z253" s="2" t="inlineStr">
        <is>
          <t>Substituição</t>
        </is>
      </c>
      <c r="AA253" s="2" t="inlineStr">
        <is>
          <t>Rejeitado(a) em Comissão</t>
        </is>
      </c>
      <c r="AB253" s="2" t="inlineStr"/>
      <c r="AC253" s="2" t="inlineStr">
        <is>
          <t>1</t>
        </is>
      </c>
      <c r="AD253" s="2" t="inlineStr">
        <is>
          <t>3</t>
        </is>
      </c>
      <c r="AE253" s="2" t="inlineStr">
        <is>
          <t>23424</t>
        </is>
      </c>
      <c r="AF253" s="2" t="inlineStr">
        <is>
          <t>https://www.parlamento.pt/OrcamentoEstado/Paginas/DetalhePropostaAlteracao.aspx?BID=23424</t>
        </is>
      </c>
      <c r="AG253" s="2" t="inlineStr">
        <is>
          <t>https://app.parlamento.pt/webutils/docs/doc.pdf?path=6148523063484d364c793942556b356c6443397a6158526c63793959566b6c4a544556484c3039464c7a49774d6a59794d4449314d5441774f533951515338345a446b795954686d4e43316c4d47457a4c5451345a474d744f545a6a5a69316d5a4451784e574979596a4e685a5445756347526d&amp;Fich=8d92a8f4-e0a3-48dc-96cf-fd415b2b3ae1.pdf&amp;Inline=true</t>
        </is>
      </c>
      <c r="AH253" s="3" t="n">
        <v>46321.77847222222</v>
      </c>
      <c r="AI253" s="3" t="n">
        <v>46321.78055555555</v>
      </c>
      <c r="AJ253" s="2" t="inlineStr"/>
    </row>
    <row r="254">
      <c r="A254" s="2" t="n">
        <v>253</v>
      </c>
      <c r="B254" s="2" t="inlineStr">
        <is>
          <t>231C-2</t>
        </is>
      </c>
      <c r="C254" s="3" t="n">
        <v>45964.59652777778</v>
      </c>
      <c r="D254" s="2" t="inlineStr">
        <is>
          <t>Retirada</t>
        </is>
      </c>
      <c r="E254" s="2" t="inlineStr">
        <is>
          <t>IL</t>
        </is>
      </c>
      <c r="F254" s="2" t="inlineStr">
        <is>
          <t>Angélique Da Teresa; Carlos Guimarães Pinto; Joana Cordeiro; Jorge Miguel Teixeira; Mariana Leitão; Mário Amorim Lopes; Miguel Rangel; Rodrigo Saraiva; Rui Rocha</t>
        </is>
      </c>
      <c r="G254" s="2" t="inlineStr">
        <is>
          <t>Art. 138.º (aditamento)</t>
        </is>
      </c>
      <c r="H254" s="2" t="n"/>
      <c r="I254" s="2" t="n"/>
      <c r="J254" s="2" t="n"/>
      <c r="K254" s="2" t="n"/>
      <c r="L254" s="2" t="inlineStr">
        <is>
          <t>Alínea c), Artigo 138.º</t>
        </is>
      </c>
      <c r="M254" s="4" t="n"/>
      <c r="N254" s="4" t="n"/>
      <c r="O254" s="2" t="n"/>
      <c r="P254" s="2" t="n"/>
      <c r="Q254" s="2" t="n"/>
      <c r="R254" s="2" t="n"/>
      <c r="S254" s="2" t="inlineStr">
        <is>
          <t>Retirado(a)</t>
        </is>
      </c>
      <c r="T254" s="2" t="inlineStr">
        <is>
          <t>Retirada</t>
        </is>
      </c>
      <c r="U254" s="2" t="inlineStr"/>
      <c r="V254" s="3" t="n"/>
      <c r="W254" s="2" t="inlineStr">
        <is>
          <t>AR: https://www.parlamento.pt/OrcamentoEstado/Paginas/DetalhePropostaAlteracao.aspx?BID=23606 PDF: https://app.parlamento.pt/webutils/docs/doc.pdf?path=6148523063484d364c793942556b356c6443397a6158526c63793959566b6c4a544556484c3039464c7a49774d6a59794d4449314d5441774f533951515338775a44457a4f444a6d4f5330344d324a684c5451324f4459744f4451354d6930354f4451334e54426a596d526b4e5441756347526d&amp;Fich=0d1382f9-83ba-4686-8492-984750cbdd50.pdf&amp;Inline=true</t>
        </is>
      </c>
      <c r="X254" s="2" t="inlineStr">
        <is>
          <t>Infraestruturas, Mobilidade e Habitação; Orçamento, Finanças e Administração Pública</t>
        </is>
      </c>
      <c r="Y254" s="2" t="inlineStr">
        <is>
          <t>Articulado</t>
        </is>
      </c>
      <c r="Z254" s="2" t="inlineStr">
        <is>
          <t>Aditamento (Números e Alíneas)</t>
        </is>
      </c>
      <c r="AA254" s="2" t="inlineStr">
        <is>
          <t>Retirado(a)</t>
        </is>
      </c>
      <c r="AB254" s="2" t="inlineStr"/>
      <c r="AC254" s="2" t="inlineStr">
        <is>
          <t>2</t>
        </is>
      </c>
      <c r="AD254" s="2" t="inlineStr">
        <is>
          <t>0</t>
        </is>
      </c>
      <c r="AE254" s="2" t="inlineStr">
        <is>
          <t>23606</t>
        </is>
      </c>
      <c r="AF254" s="2" t="inlineStr">
        <is>
          <t>https://www.parlamento.pt/OrcamentoEstado/Paginas/DetalhePropostaAlteracao.aspx?BID=23606</t>
        </is>
      </c>
      <c r="AG254" s="2" t="inlineStr">
        <is>
          <t>https://app.parlamento.pt/webutils/docs/doc.pdf?path=6148523063484d364c793942556b356c6443397a6158526c63793959566b6c4a544556484c3039464c7a49774d6a59794d4449314d5441774f533951515338775a44457a4f444a6d4f5330344d324a684c5451324f4459744f4451354d6930354f4451334e54426a596d526b4e5441756347526d&amp;Fich=0d1382f9-83ba-4686-8492-984750cbdd50.pdf&amp;Inline=true</t>
        </is>
      </c>
      <c r="AH254" s="3" t="n">
        <v>46321.77847222222</v>
      </c>
      <c r="AI254" s="3" t="n">
        <v>46321.78055555555</v>
      </c>
      <c r="AJ254" s="2" t="inlineStr"/>
    </row>
    <row r="255">
      <c r="A255" s="2" t="n">
        <v>254</v>
      </c>
      <c r="B255" s="2" t="inlineStr">
        <is>
          <t>232C-1</t>
        </is>
      </c>
      <c r="C255" s="3" t="n">
        <v>45964.60347222222</v>
      </c>
      <c r="D255" s="2" t="inlineStr">
        <is>
          <t>Original</t>
        </is>
      </c>
      <c r="E255" s="2" t="inlineStr">
        <is>
          <t>IL</t>
        </is>
      </c>
      <c r="F255" s="2" t="inlineStr">
        <is>
          <t>Angélique Da Teresa; Carlos Guimarães Pinto; Joana Cordeiro; Jorge Miguel Teixeira; Mariana Leitão; Mário Amorim Lopes; Miguel Rangel; Rodrigo Saraiva; Rui Rocha</t>
        </is>
      </c>
      <c r="G255" s="2" t="inlineStr">
        <is>
          <t>Art. 134.º-A (aditamento)</t>
        </is>
      </c>
      <c r="H255" s="2" t="n"/>
      <c r="I255" s="2" t="n"/>
      <c r="J255" s="2" t="n"/>
      <c r="K255" s="2" t="n"/>
      <c r="L255" s="2" t="inlineStr">
        <is>
          <t>Artigo 134.º-A (Alteração à Lei de Bases da Habitação)</t>
        </is>
      </c>
      <c r="M255" s="4" t="n"/>
      <c r="N255" s="4" t="n"/>
      <c r="O255" s="2" t="n"/>
      <c r="P255" s="2" t="n"/>
      <c r="Q255" s="2" t="n"/>
      <c r="R255" s="2" t="n"/>
      <c r="S255" s="2" t="inlineStr">
        <is>
          <t>Rejeitado(a) em Comissão</t>
        </is>
      </c>
      <c r="T255" s="2" t="inlineStr">
        <is>
          <t>Rejeitada</t>
        </is>
      </c>
      <c r="U255" s="2" t="inlineStr">
        <is>
          <t>Favor: IL; Contra: PSD, CH, PS, L, PCP, CDS-PP, BE, PAN</t>
        </is>
      </c>
      <c r="V255" s="3" t="n">
        <v>45985</v>
      </c>
      <c r="W255" s="2" t="inlineStr">
        <is>
          <t>AR: https://www.parlamento.pt/OrcamentoEstado/Paginas/DetalhePropostaAlteracao.aspx?BID=23425 PDF: https://app.parlamento.pt/webutils/docs/doc.pdf?path=6148523063484d364c793942556b356c6443397a6158526c63793959566b6c4a544556484c3039464c7a49774d6a59794d4449314d5441774f533951515338334f57566a4f5463344e433077596d49784c5451325a4463744f44686c5a693031596a68684d474e6b5a6d52694d3251756347526d&amp;Fich=79ec9784-0bb1-46d7-88ef-5b8a0cdfdb3d.pdf&amp;Inline=true</t>
        </is>
      </c>
      <c r="X255" s="2" t="inlineStr">
        <is>
          <t>Infraestruturas, Mobilidade e Habitação; Reforma do Estado e Poder Local</t>
        </is>
      </c>
      <c r="Y255" s="2" t="inlineStr">
        <is>
          <t>Articulado</t>
        </is>
      </c>
      <c r="Z255" s="2" t="inlineStr">
        <is>
          <t>Aditamento (Artigo PPL)</t>
        </is>
      </c>
      <c r="AA255" s="2" t="inlineStr">
        <is>
          <t>Rejeitado(a) em Comissão</t>
        </is>
      </c>
      <c r="AB255" s="2" t="inlineStr"/>
      <c r="AC255" s="2" t="inlineStr">
        <is>
          <t>1</t>
        </is>
      </c>
      <c r="AD255" s="2" t="inlineStr">
        <is>
          <t>1</t>
        </is>
      </c>
      <c r="AE255" s="2" t="inlineStr">
        <is>
          <t>23425</t>
        </is>
      </c>
      <c r="AF255" s="2" t="inlineStr">
        <is>
          <t>https://www.parlamento.pt/OrcamentoEstado/Paginas/DetalhePropostaAlteracao.aspx?BID=23425</t>
        </is>
      </c>
      <c r="AG255" s="2" t="inlineStr">
        <is>
          <t>https://app.parlamento.pt/webutils/docs/doc.pdf?path=6148523063484d364c793942556b356c6443397a6158526c63793959566b6c4a544556484c3039464c7a49774d6a59794d4449314d5441774f533951515338334f57566a4f5463344e433077596d49784c5451325a4463744f44686c5a693031596a68684d474e6b5a6d52694d3251756347526d&amp;Fich=79ec9784-0bb1-46d7-88ef-5b8a0cdfdb3d.pdf&amp;Inline=true</t>
        </is>
      </c>
      <c r="AH255" s="3" t="n">
        <v>46321.77847222222</v>
      </c>
      <c r="AI255" s="3" t="n">
        <v>46321.78055555555</v>
      </c>
      <c r="AJ255" s="2" t="inlineStr"/>
    </row>
    <row r="256">
      <c r="A256" s="2" t="n">
        <v>255</v>
      </c>
      <c r="B256" s="2" t="inlineStr">
        <is>
          <t>232C-2</t>
        </is>
      </c>
      <c r="C256" s="3" t="n">
        <v>45964.60347222222</v>
      </c>
      <c r="D256" s="2" t="inlineStr">
        <is>
          <t>Original</t>
        </is>
      </c>
      <c r="E256" s="2" t="inlineStr">
        <is>
          <t>IL</t>
        </is>
      </c>
      <c r="F256" s="2" t="inlineStr">
        <is>
          <t>Angélique Da Teresa; Carlos Guimarães Pinto; Joana Cordeiro; Jorge Miguel Teixeira; Mariana Leitão; Mário Amorim Lopes; Miguel Rangel; Rodrigo Saraiva; Rui Rocha</t>
        </is>
      </c>
      <c r="G256" s="2" t="inlineStr">
        <is>
          <t>Art. 138.º (aditamento)</t>
        </is>
      </c>
      <c r="H256" s="2" t="n"/>
      <c r="I256" s="2" t="n"/>
      <c r="J256" s="2" t="n"/>
      <c r="K256" s="2" t="n"/>
      <c r="L256" s="2" t="inlineStr">
        <is>
          <t>Alínea c), Artigo 138.º</t>
        </is>
      </c>
      <c r="M256" s="4" t="n"/>
      <c r="N256" s="4" t="n"/>
      <c r="O256" s="2" t="n"/>
      <c r="P256" s="2" t="n"/>
      <c r="Q256" s="2" t="n"/>
      <c r="R256" s="2" t="n"/>
      <c r="S256" s="2" t="inlineStr">
        <is>
          <t>Rejeitado(a) em Comissão</t>
        </is>
      </c>
      <c r="T256" s="2" t="inlineStr">
        <is>
          <t>Rejeitada</t>
        </is>
      </c>
      <c r="U256" s="2" t="inlineStr">
        <is>
          <t>Favor: IL; Contra: PSD, CH, PS, L, PCP, CDS-PP, BE, PAN</t>
        </is>
      </c>
      <c r="V256" s="3" t="n">
        <v>45987</v>
      </c>
      <c r="W256" s="2" t="inlineStr">
        <is>
          <t>AR: https://www.parlamento.pt/OrcamentoEstado/Paginas/DetalhePropostaAlteracao.aspx?BID=23593 PDF: https://app.parlamento.pt/webutils/docs/doc.pdf?path=6148523063484d364c793942556b356c6443397a6158526c63793959566b6c4a544556484c3039464c7a49774d6a59794d4449314d5441774f533951515338304d474e6c4f54466b5a43316b4f4749354c54526b4f5467744f544d30595330314e544133596d4d34595759334f4467756347526d&amp;Fich=40ce91dd-d8b9-4d98-934a-5507bc8af788.pdf&amp;Inline=true</t>
        </is>
      </c>
      <c r="X256" s="2" t="inlineStr">
        <is>
          <t>Infraestruturas, Mobilidade e Habitação; Reforma do Estado e Poder Local</t>
        </is>
      </c>
      <c r="Y256" s="2" t="inlineStr">
        <is>
          <t>Articulado</t>
        </is>
      </c>
      <c r="Z256" s="2" t="inlineStr">
        <is>
          <t>Aditamento (Números e Alíneas)</t>
        </is>
      </c>
      <c r="AA256" s="2" t="inlineStr">
        <is>
          <t>Rejeitado(a) em Comissão</t>
        </is>
      </c>
      <c r="AB256" s="2" t="inlineStr"/>
      <c r="AC256" s="2" t="inlineStr">
        <is>
          <t>2</t>
        </is>
      </c>
      <c r="AD256" s="2" t="inlineStr">
        <is>
          <t>1</t>
        </is>
      </c>
      <c r="AE256" s="2" t="inlineStr">
        <is>
          <t>23593</t>
        </is>
      </c>
      <c r="AF256" s="2" t="inlineStr">
        <is>
          <t>https://www.parlamento.pt/OrcamentoEstado/Paginas/DetalhePropostaAlteracao.aspx?BID=23593</t>
        </is>
      </c>
      <c r="AG256" s="2" t="inlineStr">
        <is>
          <t>https://app.parlamento.pt/webutils/docs/doc.pdf?path=6148523063484d364c793942556b356c6443397a6158526c63793959566b6c4a544556484c3039464c7a49774d6a59794d4449314d5441774f533951515338304d474e6c4f54466b5a43316b4f4749354c54526b4f5467744f544d30595330314e544133596d4d34595759334f4467756347526d&amp;Fich=40ce91dd-d8b9-4d98-934a-5507bc8af788.pdf&amp;Inline=true</t>
        </is>
      </c>
      <c r="AH256" s="3" t="n">
        <v>46321.77847222222</v>
      </c>
      <c r="AI256" s="3" t="n">
        <v>46321.78055555555</v>
      </c>
      <c r="AJ256" s="2" t="inlineStr"/>
    </row>
    <row r="257">
      <c r="A257" s="2" t="n">
        <v>256</v>
      </c>
      <c r="B257" s="2" t="inlineStr">
        <is>
          <t>233C-1</t>
        </is>
      </c>
      <c r="C257" s="3" t="n">
        <v>45964.60763888889</v>
      </c>
      <c r="D257" s="2" t="inlineStr">
        <is>
          <t>Original</t>
        </is>
      </c>
      <c r="E257" s="2" t="inlineStr">
        <is>
          <t>IL</t>
        </is>
      </c>
      <c r="F257" s="2" t="inlineStr">
        <is>
          <t>Angélique Da Teresa; Carlos Guimarães Pinto; Joana Cordeiro; Jorge Miguel Teixeira; Mariana Leitão; Mário Amorim Lopes; Miguel Rangel; Rodrigo Saraiva; Rui Rocha</t>
        </is>
      </c>
      <c r="G257" s="2" t="inlineStr">
        <is>
          <t>Art. 136.º-A (aditamento)</t>
        </is>
      </c>
      <c r="H257" s="2" t="n"/>
      <c r="I257" s="2" t="n"/>
      <c r="J257" s="2" t="n"/>
      <c r="K257" s="2" t="n"/>
      <c r="L257" s="2" t="inlineStr">
        <is>
          <t>Artigo 136.º-A (Disposições sobre o descongelamento das rendas)</t>
        </is>
      </c>
      <c r="M257" s="4" t="n"/>
      <c r="N257" s="4" t="n"/>
      <c r="O257" s="2" t="n"/>
      <c r="P257" s="2" t="n"/>
      <c r="Q257" s="2" t="n"/>
      <c r="R257" s="2" t="n"/>
      <c r="S257" s="2" t="inlineStr">
        <is>
          <t>Rejeitado(a) em Comissão</t>
        </is>
      </c>
      <c r="T257" s="2" t="inlineStr">
        <is>
          <t>Rejeitada</t>
        </is>
      </c>
      <c r="U257" s="2" t="inlineStr">
        <is>
          <t>Favor: IL; Contra: PSD, PS, L, PCP, CDS-PP, BE, PAN; Abstenção: CH</t>
        </is>
      </c>
      <c r="V257" s="3" t="n">
        <v>45987</v>
      </c>
      <c r="W257" s="2" t="inlineStr">
        <is>
          <t>AR: https://www.parlamento.pt/OrcamentoEstado/Paginas/DetalhePropostaAlteracao.aspx?BID=23426 PDF: https://app.parlamento.pt/webutils/docs/doc.pdf?path=6148523063484d364c793942556b356c6443397a6158526c63793959566b6c4a544556484c3039464c7a49774d6a59794d4449314d5441774f533951515338304f4455314f4441775a53316c595463314c5451354d6a5974595455344d53307a596d4d314d54593059324e69596d49756347526d&amp;Fich=4855800e-ea75-4926-a581-3bc5164ccbbb.pdf&amp;Inline=true</t>
        </is>
      </c>
      <c r="X257" s="2" t="inlineStr">
        <is>
          <t>Infraestruturas, Mobilidade e Habitação; Orçamento, Finanças e Administração Pública</t>
        </is>
      </c>
      <c r="Y257" s="2" t="inlineStr">
        <is>
          <t>Articulado</t>
        </is>
      </c>
      <c r="Z257" s="2" t="inlineStr">
        <is>
          <t>Aditamento (Artigo PPL)</t>
        </is>
      </c>
      <c r="AA257" s="2" t="inlineStr">
        <is>
          <t>Rejeitado(a) em Comissão</t>
        </is>
      </c>
      <c r="AB257" s="2" t="inlineStr"/>
      <c r="AC257" s="2" t="inlineStr">
        <is>
          <t>1</t>
        </is>
      </c>
      <c r="AD257" s="2" t="inlineStr">
        <is>
          <t>1</t>
        </is>
      </c>
      <c r="AE257" s="2" t="inlineStr">
        <is>
          <t>23426</t>
        </is>
      </c>
      <c r="AF257" s="2" t="inlineStr">
        <is>
          <t>https://www.parlamento.pt/OrcamentoEstado/Paginas/DetalhePropostaAlteracao.aspx?BID=23426</t>
        </is>
      </c>
      <c r="AG257" s="2" t="inlineStr">
        <is>
          <t>https://app.parlamento.pt/webutils/docs/doc.pdf?path=6148523063484d364c793942556b356c6443397a6158526c63793959566b6c4a544556484c3039464c7a49774d6a59794d4449314d5441774f533951515338304f4455314f4441775a53316c595463314c5451354d6a5974595455344d53307a596d4d314d54593059324e69596d49756347526d&amp;Fich=4855800e-ea75-4926-a581-3bc5164ccbbb.pdf&amp;Inline=true</t>
        </is>
      </c>
      <c r="AH257" s="3" t="n">
        <v>46321.77847222222</v>
      </c>
      <c r="AI257" s="3" t="n">
        <v>46321.78055555555</v>
      </c>
      <c r="AJ257" s="2" t="inlineStr"/>
    </row>
    <row r="258">
      <c r="A258" s="2" t="n">
        <v>257</v>
      </c>
      <c r="B258" s="2" t="inlineStr">
        <is>
          <t>233C-2</t>
        </is>
      </c>
      <c r="C258" s="3" t="n">
        <v>45964.60763888889</v>
      </c>
      <c r="D258" s="2" t="inlineStr">
        <is>
          <t>Original</t>
        </is>
      </c>
      <c r="E258" s="2" t="inlineStr">
        <is>
          <t>IL</t>
        </is>
      </c>
      <c r="F258" s="2" t="inlineStr">
        <is>
          <t>Angélique Da Teresa; Carlos Guimarães Pinto; Joana Cordeiro; Jorge Miguel Teixeira; Mariana Leitão; Mário Amorim Lopes; Miguel Rangel; Rodrigo Saraiva; Rui Rocha</t>
        </is>
      </c>
      <c r="G258" s="2" t="inlineStr">
        <is>
          <t>Art. 138.º (aditamento)</t>
        </is>
      </c>
      <c r="H258" s="2" t="n"/>
      <c r="I258" s="2" t="n"/>
      <c r="J258" s="2" t="n"/>
      <c r="K258" s="2" t="n"/>
      <c r="L258" s="2" t="inlineStr">
        <is>
          <t>Alínea c), Artigo 138.º</t>
        </is>
      </c>
      <c r="M258" s="4" t="n"/>
      <c r="N258" s="4" t="n"/>
      <c r="O258" s="2" t="n"/>
      <c r="P258" s="2" t="n"/>
      <c r="Q258" s="2" t="n"/>
      <c r="R258" s="2" t="n"/>
      <c r="S258" s="2" t="inlineStr">
        <is>
          <t>Rejeitado(a) em Comissão</t>
        </is>
      </c>
      <c r="T258" s="2" t="inlineStr">
        <is>
          <t>Rejeitada</t>
        </is>
      </c>
      <c r="U258" s="2" t="inlineStr">
        <is>
          <t>Favor: IL; Contra: PSD, PS, L, PCP, CDS-PP, BE, PAN; Abstenção: CH</t>
        </is>
      </c>
      <c r="V258" s="3" t="n">
        <v>45987</v>
      </c>
      <c r="W258" s="2" t="inlineStr">
        <is>
          <t>AR: https://www.parlamento.pt/OrcamentoEstado/Paginas/DetalhePropostaAlteracao.aspx?BID=23597 PDF: https://app.parlamento.pt/webutils/docs/doc.pdf?path=6148523063484d364c793942556b356c6443397a6158526c63793959566b6c4a544556484c3039464c7a49774d6a59794d4449314d5441774f533951515338314f546b305a6d466c595330334d4459334c54517a4f544174596a4a6c5a69316d4f57566b5a446b324e32566b597a49756347526d&amp;Fich=5994faea-7067-4390-b2ef-f9edd967edc2.pdf&amp;Inline=true</t>
        </is>
      </c>
      <c r="X258" s="2" t="inlineStr">
        <is>
          <t>Infraestruturas, Mobilidade e Habitação; Orçamento, Finanças e Administração Pública</t>
        </is>
      </c>
      <c r="Y258" s="2" t="inlineStr">
        <is>
          <t>Articulado</t>
        </is>
      </c>
      <c r="Z258" s="2" t="inlineStr">
        <is>
          <t>Aditamento (Números e Alíneas)</t>
        </is>
      </c>
      <c r="AA258" s="2" t="inlineStr">
        <is>
          <t>Rejeitado(a) em Comissão</t>
        </is>
      </c>
      <c r="AB258" s="2" t="inlineStr"/>
      <c r="AC258" s="2" t="inlineStr">
        <is>
          <t>2</t>
        </is>
      </c>
      <c r="AD258" s="2" t="inlineStr">
        <is>
          <t>1</t>
        </is>
      </c>
      <c r="AE258" s="2" t="inlineStr">
        <is>
          <t>23597</t>
        </is>
      </c>
      <c r="AF258" s="2" t="inlineStr">
        <is>
          <t>https://www.parlamento.pt/OrcamentoEstado/Paginas/DetalhePropostaAlteracao.aspx?BID=23597</t>
        </is>
      </c>
      <c r="AG258" s="2" t="inlineStr">
        <is>
          <t>https://app.parlamento.pt/webutils/docs/doc.pdf?path=6148523063484d364c793942556b356c6443397a6158526c63793959566b6c4a544556484c3039464c7a49774d6a59794d4449314d5441774f533951515338314f546b305a6d466c595330334d4459334c54517a4f544174596a4a6c5a69316d4f57566b5a446b324e32566b597a49756347526d&amp;Fich=5994faea-7067-4390-b2ef-f9edd967edc2.pdf&amp;Inline=true</t>
        </is>
      </c>
      <c r="AH258" s="3" t="n">
        <v>46321.77847222222</v>
      </c>
      <c r="AI258" s="3" t="n">
        <v>46321.78055555555</v>
      </c>
      <c r="AJ258" s="2" t="inlineStr"/>
    </row>
    <row r="259">
      <c r="A259" s="2" t="n">
        <v>258</v>
      </c>
      <c r="B259" s="2" t="inlineStr">
        <is>
          <t>234C-1</t>
        </is>
      </c>
      <c r="C259" s="3" t="n">
        <v>45964.61180555556</v>
      </c>
      <c r="D259" s="2" t="inlineStr">
        <is>
          <t>Original</t>
        </is>
      </c>
      <c r="E259" s="2" t="inlineStr">
        <is>
          <t>IL</t>
        </is>
      </c>
      <c r="F259" s="2" t="inlineStr">
        <is>
          <t>Angélique Da Teresa; Carlos Guimarães Pinto; Joana Cordeiro; Jorge Miguel Teixeira; Mariana Leitão; Mário Amorim Lopes; Miguel Rangel; Rodrigo Saraiva; Rui Rocha</t>
        </is>
      </c>
      <c r="G259" s="2" t="inlineStr">
        <is>
          <t>Art. 85.º-A (aditamento)</t>
        </is>
      </c>
      <c r="H259" s="2" t="n"/>
      <c r="I259" s="2" t="n"/>
      <c r="J259" s="2" t="n"/>
      <c r="K259" s="2" t="n"/>
      <c r="L259" s="2" t="inlineStr">
        <is>
          <t>Artigo 85.º-A (Alteração ao Regime de Financeiro das Autarquias Locais e Entidades Intermunicipais)</t>
        </is>
      </c>
      <c r="M259" s="4" t="n"/>
      <c r="N259" s="4" t="n"/>
      <c r="O259" s="2" t="n"/>
      <c r="P259" s="2" t="n"/>
      <c r="Q259" s="2" t="n"/>
      <c r="R259" s="2" t="n"/>
      <c r="S259" s="2" t="inlineStr">
        <is>
          <t>Rejeitado(a) em Plenário</t>
        </is>
      </c>
      <c r="T259" s="2" t="inlineStr">
        <is>
          <t>Rejeitada</t>
        </is>
      </c>
      <c r="U259" s="2" t="inlineStr">
        <is>
          <t>Favor: CH, IL, PAN; Contra: PSD, PS, L, PCP, CDS-PP, BE; Abstenção: JPP</t>
        </is>
      </c>
      <c r="V259" s="3" t="n">
        <v>45985</v>
      </c>
      <c r="W259" s="2" t="inlineStr">
        <is>
          <t>Avocada a Plenário. AR: https://www.parlamento.pt/OrcamentoEstado/Paginas/DetalhePropostaAlteracao.aspx?BID=23427 PDF: https://app.parlamento.pt/webutils/docs/doc.pdf?path=6148523063484d364c793942556b356c6443397a6158526c63793959566b6c4a544556484c3039464c7a49774d6a59794d4449314d5441774f533951515339694d5445774d44557a596930344e5751794c5451314e6d4d7459574d324d5330314e7a67324e6a59324e47517759546b756347526d&amp;Fich=b110053b-85d2-456c-ac61-57866664d0a9.pdf&amp;Inline=true</t>
        </is>
      </c>
      <c r="X259" s="2" t="inlineStr">
        <is>
          <t>Infraestruturas, Mobilidade e Habitação; Orçamento, Finanças e Administração Pública; Reforma do Estado e Poder Local</t>
        </is>
      </c>
      <c r="Y259" s="2" t="inlineStr">
        <is>
          <t>Articulado</t>
        </is>
      </c>
      <c r="Z259" s="2" t="inlineStr">
        <is>
          <t>Aditamento (Artigo PPL)</t>
        </is>
      </c>
      <c r="AA259" s="2" t="inlineStr">
        <is>
          <t>Rejeitado(a) em Plenário</t>
        </is>
      </c>
      <c r="AB259" s="2" t="inlineStr">
        <is>
          <t>S</t>
        </is>
      </c>
      <c r="AC259" s="2" t="inlineStr">
        <is>
          <t>1</t>
        </is>
      </c>
      <c r="AD259" s="2" t="inlineStr">
        <is>
          <t>1</t>
        </is>
      </c>
      <c r="AE259" s="2" t="inlineStr">
        <is>
          <t>23427</t>
        </is>
      </c>
      <c r="AF259" s="2" t="inlineStr">
        <is>
          <t>https://www.parlamento.pt/OrcamentoEstado/Paginas/DetalhePropostaAlteracao.aspx?BID=23427</t>
        </is>
      </c>
      <c r="AG259" s="2" t="inlineStr">
        <is>
          <t>https://app.parlamento.pt/webutils/docs/doc.pdf?path=6148523063484d364c793942556b356c6443397a6158526c63793959566b6c4a544556484c3039464c7a49774d6a59794d4449314d5441774f533951515339694d5445774d44557a596930344e5751794c5451314e6d4d7459574d324d5330314e7a67324e6a59324e47517759546b756347526d&amp;Fich=b110053b-85d2-456c-ac61-57866664d0a9.pdf&amp;Inline=true</t>
        </is>
      </c>
      <c r="AH259" s="3" t="n">
        <v>46321.77847222222</v>
      </c>
      <c r="AI259" s="3" t="n">
        <v>46321.78055555555</v>
      </c>
      <c r="AJ259" s="2" t="inlineStr"/>
    </row>
    <row r="260">
      <c r="A260" s="2" t="n">
        <v>259</v>
      </c>
      <c r="B260" s="2" t="inlineStr">
        <is>
          <t>234C-2</t>
        </is>
      </c>
      <c r="C260" s="3" t="n">
        <v>45964.61180555556</v>
      </c>
      <c r="D260" s="2" t="inlineStr">
        <is>
          <t>Original</t>
        </is>
      </c>
      <c r="E260" s="2" t="inlineStr">
        <is>
          <t>IL</t>
        </is>
      </c>
      <c r="F260" s="2" t="inlineStr">
        <is>
          <t>Angélique Da Teresa; Carlos Guimarães Pinto; Joana Cordeiro; Jorge Miguel Teixeira; Mariana Leitão; Mário Amorim Lopes; Miguel Rangel; Rodrigo Saraiva; Rui Rocha</t>
        </is>
      </c>
      <c r="G260" s="2" t="inlineStr">
        <is>
          <t>Art. 85.º-B (aditamento)</t>
        </is>
      </c>
      <c r="H260" s="2" t="n"/>
      <c r="I260" s="2" t="n"/>
      <c r="J260" s="2" t="n"/>
      <c r="K260" s="2" t="n"/>
      <c r="L260" s="2" t="inlineStr">
        <is>
          <t>Artigo 85.º-B (Aditamento ao Regime de Financeiro das Autarquias Locais e Entidades Intermunicipais)</t>
        </is>
      </c>
      <c r="M260" s="4" t="n"/>
      <c r="N260" s="4" t="n"/>
      <c r="O260" s="2" t="n"/>
      <c r="P260" s="2" t="n"/>
      <c r="Q260" s="2" t="n"/>
      <c r="R260" s="2" t="n"/>
      <c r="S260" s="2" t="inlineStr">
        <is>
          <t>Rejeitado(a) em Plenário</t>
        </is>
      </c>
      <c r="T260" s="2" t="inlineStr">
        <is>
          <t>Rejeitada</t>
        </is>
      </c>
      <c r="U260" s="2" t="inlineStr">
        <is>
          <t>Favor: CH, IL, PAN; Contra: PSD, PS, L, PCP, CDS-PP, BE; Abstenção: JPP</t>
        </is>
      </c>
      <c r="V260" s="3" t="n">
        <v>45985</v>
      </c>
      <c r="W260" s="2" t="inlineStr">
        <is>
          <t>Avocada a Plenário. AR: https://www.parlamento.pt/OrcamentoEstado/Paginas/DetalhePropostaAlteracao.aspx?BID=23591 PDF: https://app.parlamento.pt/webutils/docs/doc.pdf?path=6148523063484d364c793942556b356c6443397a6158526c63793959566b6c4a544556484c3039464c7a49774d6a59794d4449314d5441774f533951515338334e6a5535596a51324e5330785a5467304c5451784f475174595451304f5331694d44566b5a5467355a6a4a684f4751756347526d&amp;Fich=7659b465-1e84-418d-a449-b05de89f2a8d.pdf&amp;Inline=true</t>
        </is>
      </c>
      <c r="X260" s="2" t="inlineStr">
        <is>
          <t>Infraestruturas, Mobilidade e Habitação; Orçamento, Finanças e Administração Pública; Reforma do Estado e Poder Local</t>
        </is>
      </c>
      <c r="Y260" s="2" t="inlineStr">
        <is>
          <t>Articulado</t>
        </is>
      </c>
      <c r="Z260" s="2" t="inlineStr">
        <is>
          <t>Aditamento (Artigo PPL)</t>
        </is>
      </c>
      <c r="AA260" s="2" t="inlineStr">
        <is>
          <t>Rejeitado(a) em Plenário</t>
        </is>
      </c>
      <c r="AB260" s="2" t="inlineStr">
        <is>
          <t>S</t>
        </is>
      </c>
      <c r="AC260" s="2" t="inlineStr">
        <is>
          <t>2</t>
        </is>
      </c>
      <c r="AD260" s="2" t="inlineStr">
        <is>
          <t>1</t>
        </is>
      </c>
      <c r="AE260" s="2" t="inlineStr">
        <is>
          <t>23591</t>
        </is>
      </c>
      <c r="AF260" s="2" t="inlineStr">
        <is>
          <t>https://www.parlamento.pt/OrcamentoEstado/Paginas/DetalhePropostaAlteracao.aspx?BID=23591</t>
        </is>
      </c>
      <c r="AG260" s="2" t="inlineStr">
        <is>
          <t>https://app.parlamento.pt/webutils/docs/doc.pdf?path=6148523063484d364c793942556b356c6443397a6158526c63793959566b6c4a544556484c3039464c7a49774d6a59794d4449314d5441774f533951515338334e6a5535596a51324e5330785a5467304c5451784f475174595451304f5331694d44566b5a5467355a6a4a684f4751756347526d&amp;Fich=7659b465-1e84-418d-a449-b05de89f2a8d.pdf&amp;Inline=true</t>
        </is>
      </c>
      <c r="AH260" s="3" t="n">
        <v>46321.77847222222</v>
      </c>
      <c r="AI260" s="3" t="n">
        <v>46321.78055555555</v>
      </c>
      <c r="AJ260" s="2" t="inlineStr"/>
    </row>
    <row r="261">
      <c r="A261" s="2" t="n">
        <v>260</v>
      </c>
      <c r="B261" s="2" t="inlineStr">
        <is>
          <t>235C</t>
        </is>
      </c>
      <c r="C261" s="3" t="n">
        <v>45964.61944444444</v>
      </c>
      <c r="D261" s="2" t="inlineStr">
        <is>
          <t>Original</t>
        </is>
      </c>
      <c r="E261" s="2" t="inlineStr">
        <is>
          <t>IL</t>
        </is>
      </c>
      <c r="F261" s="2" t="inlineStr">
        <is>
          <t>Angélique Da Teresa; Carlos Guimarães Pinto; Joana Cordeiro; Jorge Miguel Teixeira; Mariana Leitão; Mário Amorim Lopes; Miguel Rangel; Rodrigo Saraiva; Rui Rocha</t>
        </is>
      </c>
      <c r="G261" s="2" t="inlineStr">
        <is>
          <t>Art. 113.º-A (aditamento)</t>
        </is>
      </c>
      <c r="H261" s="2" t="n"/>
      <c r="I261" s="2" t="n"/>
      <c r="J261" s="2" t="n"/>
      <c r="K261" s="2" t="n"/>
      <c r="L261" s="2" t="inlineStr">
        <is>
          <t>Artigo 113.º-A (Alteração ao Decreto-Lei n.º 70/2010, de 16 de junho)</t>
        </is>
      </c>
      <c r="M261" s="4" t="n"/>
      <c r="N261" s="4" t="n"/>
      <c r="O261" s="2" t="n"/>
      <c r="P261" s="2" t="n"/>
      <c r="Q261" s="2" t="n"/>
      <c r="R261" s="2" t="n"/>
      <c r="S261" s="2" t="inlineStr">
        <is>
          <t>Rejeitado(a) em Comissão</t>
        </is>
      </c>
      <c r="T261" s="2" t="inlineStr">
        <is>
          <t>Rejeitada</t>
        </is>
      </c>
      <c r="U261" s="2" t="inlineStr">
        <is>
          <t>Favor: CH, IL, L, PCP, BE, PAN; Contra: PSD, CDS-PP; Abstenção: PS</t>
        </is>
      </c>
      <c r="V261" s="3" t="n">
        <v>45985</v>
      </c>
      <c r="W261" s="2" t="inlineStr">
        <is>
          <t>AR: https://www.parlamento.pt/OrcamentoEstado/Paginas/DetalhePropostaAlteracao.aspx?BID=23428 PDF: https://app.parlamento.pt/webutils/docs/doc.pdf?path=6148523063484d364c793942556b356c6443397a6158526c63793959566b6c4a544556484c3039464c7a49774d6a59794d4449314d5441774f53395151533968597a55324e6d49324e7930334f5445354c54526d5a575174596a637859693035596d5932596d55794e4445314e4751756347526d&amp;Fich=ac566b67-7919-4fed-b71b-9bf6be24154d.pdf&amp;Inline=true</t>
        </is>
      </c>
      <c r="X261" s="2" t="inlineStr">
        <is>
          <t>Educação e Ciência; Orçamento, Finanças e Administração Pública</t>
        </is>
      </c>
      <c r="Y261" s="2" t="inlineStr">
        <is>
          <t>Articulado</t>
        </is>
      </c>
      <c r="Z261" s="2" t="inlineStr">
        <is>
          <t>Aditamento (Artigo PPL)</t>
        </is>
      </c>
      <c r="AA261" s="2" t="inlineStr">
        <is>
          <t>Rejeitado(a) em Comissão</t>
        </is>
      </c>
      <c r="AB261" s="2" t="inlineStr"/>
      <c r="AC261" s="2" t="inlineStr"/>
      <c r="AD261" s="2" t="inlineStr">
        <is>
          <t>1</t>
        </is>
      </c>
      <c r="AE261" s="2" t="inlineStr">
        <is>
          <t>23428</t>
        </is>
      </c>
      <c r="AF261" s="2" t="inlineStr">
        <is>
          <t>https://www.parlamento.pt/OrcamentoEstado/Paginas/DetalhePropostaAlteracao.aspx?BID=23428</t>
        </is>
      </c>
      <c r="AG261" s="2" t="inlineStr">
        <is>
          <t>https://app.parlamento.pt/webutils/docs/doc.pdf?path=6148523063484d364c793942556b356c6443397a6158526c63793959566b6c4a544556484c3039464c7a49774d6a59794d4449314d5441774f53395151533968597a55324e6d49324e7930334f5445354c54526d5a575174596a637859693035596d5932596d55794e4445314e4751756347526d&amp;Fich=ac566b67-7919-4fed-b71b-9bf6be24154d.pdf&amp;Inline=true</t>
        </is>
      </c>
      <c r="AH261" s="3" t="n">
        <v>46321.77847222222</v>
      </c>
      <c r="AI261" s="3" t="n">
        <v>46321.78055555555</v>
      </c>
      <c r="AJ261" s="2" t="inlineStr"/>
    </row>
    <row r="262">
      <c r="A262" s="2" t="n">
        <v>261</v>
      </c>
      <c r="B262" s="2" t="inlineStr">
        <is>
          <t>236C</t>
        </is>
      </c>
      <c r="C262" s="3" t="n">
        <v>45964.62777777778</v>
      </c>
      <c r="D262" s="2" t="inlineStr">
        <is>
          <t>Original</t>
        </is>
      </c>
      <c r="E262" s="2" t="inlineStr">
        <is>
          <t>CH</t>
        </is>
      </c>
      <c r="F26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62" s="2" t="inlineStr">
        <is>
          <t>Art. 136.º-A (aditamento)</t>
        </is>
      </c>
      <c r="H262" s="2" t="n"/>
      <c r="I262" s="2" t="n"/>
      <c r="J262" s="2" t="n"/>
      <c r="K262" s="2" t="n"/>
      <c r="L262" s="2" t="inlineStr">
        <is>
          <t>Artigo 136.º-A (Reforço da formação e campanhas para o combate ao abuso sexual de menores)</t>
        </is>
      </c>
      <c r="M262" s="4" t="n"/>
      <c r="N262" s="4" t="n"/>
      <c r="O262" s="2" t="n"/>
      <c r="P262" s="2" t="n"/>
      <c r="Q262" s="2" t="n"/>
      <c r="R262" s="2" t="n"/>
      <c r="S262" s="2" t="inlineStr">
        <is>
          <t>Aprovado(a) em Comissão</t>
        </is>
      </c>
      <c r="T262" s="2" t="inlineStr">
        <is>
          <t>Aprovada</t>
        </is>
      </c>
      <c r="U262" s="2" t="inlineStr">
        <is>
          <t>Favor: PSD, CH, IL, CDS-PP, BE, PAN; Abstenção: PS, L, PCP</t>
        </is>
      </c>
      <c r="V262" s="3" t="n">
        <v>45987</v>
      </c>
      <c r="W262" s="2" t="inlineStr">
        <is>
          <t>AR: https://www.parlamento.pt/OrcamentoEstado/Paginas/DetalhePropostaAlteracao.aspx?BID=23429 PDF: https://app.parlamento.pt/webutils/docs/doc.pdf?path=6148523063484d364c793942556b356c6443397a6158526c63793959566b6c4a544556484c3039464c7a49774d6a59794d4449314d5441774f5339515153396c4d446b34596a566d4e53316c5a4759334c54517759544974596a59304e7930784d54637a59544530596a55314e7a4d756347526d&amp;Fich=e098b5f5-edf7-40a2-b647-1173a14b5573.pdf&amp;Inline=true</t>
        </is>
      </c>
      <c r="X262" s="2" t="inlineStr">
        <is>
          <t>Assuntos Constitucionais, Direitos, Liberdades e Garantias</t>
        </is>
      </c>
      <c r="Y262" s="2" t="inlineStr">
        <is>
          <t>Articulado</t>
        </is>
      </c>
      <c r="Z262" s="2" t="inlineStr">
        <is>
          <t>Aditamento (Artigo PPL)</t>
        </is>
      </c>
      <c r="AA262" s="2" t="inlineStr">
        <is>
          <t>Aprovado(a) em Comissão</t>
        </is>
      </c>
      <c r="AB262" s="2" t="inlineStr"/>
      <c r="AC262" s="2" t="inlineStr"/>
      <c r="AD262" s="2" t="inlineStr">
        <is>
          <t>1</t>
        </is>
      </c>
      <c r="AE262" s="2" t="inlineStr">
        <is>
          <t>23429</t>
        </is>
      </c>
      <c r="AF262" s="2" t="inlineStr">
        <is>
          <t>https://www.parlamento.pt/OrcamentoEstado/Paginas/DetalhePropostaAlteracao.aspx?BID=23429</t>
        </is>
      </c>
      <c r="AG262" s="2" t="inlineStr">
        <is>
          <t>https://app.parlamento.pt/webutils/docs/doc.pdf?path=6148523063484d364c793942556b356c6443397a6158526c63793959566b6c4a544556484c3039464c7a49774d6a59794d4449314d5441774f5339515153396c4d446b34596a566d4e53316c5a4759334c54517759544974596a59304e7930784d54637a59544530596a55314e7a4d756347526d&amp;Fich=e098b5f5-edf7-40a2-b647-1173a14b5573.pdf&amp;Inline=true</t>
        </is>
      </c>
      <c r="AH262" s="3" t="n">
        <v>46321.77847222222</v>
      </c>
      <c r="AI262" s="3" t="n">
        <v>46321.78055555555</v>
      </c>
      <c r="AJ262" s="2" t="inlineStr"/>
    </row>
    <row r="263">
      <c r="A263" s="2" t="n">
        <v>262</v>
      </c>
      <c r="B263" s="2" t="inlineStr">
        <is>
          <t>237C-1</t>
        </is>
      </c>
      <c r="C263" s="3" t="n">
        <v>45964.62847222222</v>
      </c>
      <c r="D263" s="2" t="inlineStr">
        <is>
          <t>Original</t>
        </is>
      </c>
      <c r="E263" s="2" t="inlineStr">
        <is>
          <t>IL</t>
        </is>
      </c>
      <c r="F263" s="2" t="inlineStr">
        <is>
          <t>Angélique Da Teresa; Carlos Guimarães Pinto; Joana Cordeiro; Jorge Miguel Teixeira; Mariana Leitão; Mário Amorim Lopes; Miguel Rangel; Rodrigo Saraiva; Rui Rocha</t>
        </is>
      </c>
      <c r="G263" s="2" t="inlineStr">
        <is>
          <t>Art. 60.º (substituição)</t>
        </is>
      </c>
      <c r="H263" s="2" t="n"/>
      <c r="I263" s="2" t="n"/>
      <c r="J263" s="2" t="n"/>
      <c r="K263" s="2" t="n"/>
      <c r="L263" s="2" t="inlineStr">
        <is>
          <t>N.º 1, Artigo 1.º, Alínea c), N.º 1, N.º 3, N.º 5, Artigo 3.º, N.º 13, Artigo 72.º do Código do IRS</t>
        </is>
      </c>
      <c r="M263" s="4" t="n"/>
      <c r="N263" s="4" t="n"/>
      <c r="O263" s="2" t="n"/>
      <c r="P263" s="2" t="n"/>
      <c r="Q263" s="2" t="n"/>
      <c r="R263" s="2" t="n"/>
      <c r="S263" s="2" t="inlineStr">
        <is>
          <t>Rejeitado(a) em Comissão</t>
        </is>
      </c>
      <c r="T263" s="2" t="inlineStr">
        <is>
          <t>Rejeitada</t>
        </is>
      </c>
      <c r="U263" s="2" t="inlineStr">
        <is>
          <t>Favor: IL, PAN; Contra: PSD, PS, L, PCP, CDS-PP, BE; Abstenção: CH</t>
        </is>
      </c>
      <c r="V263" s="3" t="n">
        <v>45981</v>
      </c>
      <c r="W263" s="2" t="inlineStr">
        <is>
          <t>AR: https://www.parlamento.pt/OrcamentoEstado/Paginas/DetalhePropostaAlteracao.aspx?BID=23430 PDF: https://app.parlamento.pt/webutils/docs/doc.pdf?path=6148523063484d364c793942556b356c6443397a6158526c63793959566b6c4a544556484c3039464c7a49774d6a59794d4449314d5441774f533951515338304e3249784d7a646c5a4331694e4751354c54526d5a444d74596a4d334f533078597a466d4e7a466b596a67784f574d756347526d&amp;Fich=47b137ed-b4d9-4fd3-b379-1c1f71db819c.pdf&amp;Inline=true</t>
        </is>
      </c>
      <c r="X263" s="2" t="inlineStr">
        <is>
          <t>Cultura, Comunicação, Juventude e Desporto; Orçamento, Finanças e Administração Pública</t>
        </is>
      </c>
      <c r="Y263" s="2" t="inlineStr">
        <is>
          <t>Articulado</t>
        </is>
      </c>
      <c r="Z263" s="2" t="inlineStr">
        <is>
          <t>Substituição</t>
        </is>
      </c>
      <c r="AA263" s="2" t="inlineStr">
        <is>
          <t>Rejeitado(a) em Comissão</t>
        </is>
      </c>
      <c r="AB263" s="2" t="inlineStr"/>
      <c r="AC263" s="2" t="inlineStr">
        <is>
          <t>1</t>
        </is>
      </c>
      <c r="AD263" s="2" t="inlineStr">
        <is>
          <t>3</t>
        </is>
      </c>
      <c r="AE263" s="2" t="inlineStr">
        <is>
          <t>23430</t>
        </is>
      </c>
      <c r="AF263" s="2" t="inlineStr">
        <is>
          <t>https://www.parlamento.pt/OrcamentoEstado/Paginas/DetalhePropostaAlteracao.aspx?BID=23430</t>
        </is>
      </c>
      <c r="AG263" s="2" t="inlineStr">
        <is>
          <t>https://app.parlamento.pt/webutils/docs/doc.pdf?path=6148523063484d364c793942556b356c6443397a6158526c63793959566b6c4a544556484c3039464c7a49774d6a59794d4449314d5441774f533951515338304e3249784d7a646c5a4331694e4751354c54526d5a444d74596a4d334f533078597a466d4e7a466b596a67784f574d756347526d&amp;Fich=47b137ed-b4d9-4fd3-b379-1c1f71db819c.pdf&amp;Inline=true</t>
        </is>
      </c>
      <c r="AH263" s="3" t="n">
        <v>46321.77847222222</v>
      </c>
      <c r="AI263" s="3" t="n">
        <v>46321.78055555555</v>
      </c>
      <c r="AJ263" s="2" t="inlineStr"/>
    </row>
    <row r="264">
      <c r="A264" s="2" t="n">
        <v>263</v>
      </c>
      <c r="B264" s="2" t="inlineStr">
        <is>
          <t>237C-2</t>
        </is>
      </c>
      <c r="C264" s="3" t="n">
        <v>45964.62847222222</v>
      </c>
      <c r="D264" s="2" t="inlineStr">
        <is>
          <t>Original</t>
        </is>
      </c>
      <c r="E264" s="2" t="inlineStr">
        <is>
          <t>IL</t>
        </is>
      </c>
      <c r="F264" s="2" t="inlineStr">
        <is>
          <t>Angélique Da Teresa; Carlos Guimarães Pinto; Joana Cordeiro; Jorge Miguel Teixeira; Mariana Leitão; Mário Amorim Lopes; Miguel Rangel; Rodrigo Saraiva; Rui Rocha</t>
        </is>
      </c>
      <c r="G264" s="2" t="inlineStr">
        <is>
          <t>Art. 60.º (aditamento)</t>
        </is>
      </c>
      <c r="H264" s="2" t="n"/>
      <c r="I264" s="2" t="n"/>
      <c r="J264" s="2" t="n"/>
      <c r="K264" s="2" t="n"/>
      <c r="L264" s="2" t="inlineStr">
        <is>
          <t>Nova Alínea c), N.º 2, Artigo 3.º, N.º 6, N.º 7, Artigo 8.º, Alínea g), N.º 1, Artigo 72.º do Código do IRS</t>
        </is>
      </c>
      <c r="M264" s="4" t="n"/>
      <c r="N264" s="4" t="n"/>
      <c r="O264" s="2" t="n"/>
      <c r="P264" s="2" t="n"/>
      <c r="Q264" s="2" t="n"/>
      <c r="R264" s="2" t="n"/>
      <c r="S264" s="2" t="inlineStr">
        <is>
          <t>Rejeitado(a) em Comissão</t>
        </is>
      </c>
      <c r="T264" s="2" t="inlineStr">
        <is>
          <t>Rejeitada</t>
        </is>
      </c>
      <c r="U264" s="2" t="inlineStr">
        <is>
          <t>Favor: IL; Contra: PSD, PS, L, PCP, CDS-PP, BE; Abstenção: CH, PAN</t>
        </is>
      </c>
      <c r="V264" s="3" t="n">
        <v>45981</v>
      </c>
      <c r="W264" s="2" t="inlineStr">
        <is>
          <t>AR: https://www.parlamento.pt/OrcamentoEstado/Paginas/DetalhePropostaAlteracao.aspx?BID=23603 PDF: https://app.parlamento.pt/webutils/docs/doc.pdf?path=6148523063484d364c793942556b356c6443397a6158526c63793959566b6c4a544556484c3039464c7a49774d6a59794d4449314d5441774f533951515338304e444e6c4e4755354f533078593251774c5451344e7a5174596d59314d43316b4f5467324f54526d4d6d4e694e5745756347526d&amp;Fich=443e4e99-1cd0-4874-bf50-d98694f2cb5a.pdf&amp;Inline=true</t>
        </is>
      </c>
      <c r="X264" s="2" t="inlineStr">
        <is>
          <t>Cultura, Comunicação, Juventude e Desporto; Orçamento, Finanças e Administração Pública</t>
        </is>
      </c>
      <c r="Y264" s="2" t="inlineStr">
        <is>
          <t>Articulado</t>
        </is>
      </c>
      <c r="Z264" s="2" t="inlineStr">
        <is>
          <t>Aditamento (Números e Alíneas)</t>
        </is>
      </c>
      <c r="AA264" s="2" t="inlineStr">
        <is>
          <t>Rejeitado(a) em Comissão</t>
        </is>
      </c>
      <c r="AB264" s="2" t="inlineStr"/>
      <c r="AC264" s="2" t="inlineStr">
        <is>
          <t>2</t>
        </is>
      </c>
      <c r="AD264" s="2" t="inlineStr">
        <is>
          <t>3</t>
        </is>
      </c>
      <c r="AE264" s="2" t="inlineStr">
        <is>
          <t>23603</t>
        </is>
      </c>
      <c r="AF264" s="2" t="inlineStr">
        <is>
          <t>https://www.parlamento.pt/OrcamentoEstado/Paginas/DetalhePropostaAlteracao.aspx?BID=23603</t>
        </is>
      </c>
      <c r="AG264" s="2" t="inlineStr">
        <is>
          <t>https://app.parlamento.pt/webutils/docs/doc.pdf?path=6148523063484d364c793942556b356c6443397a6158526c63793959566b6c4a544556484c3039464c7a49774d6a59794d4449314d5441774f533951515338304e444e6c4e4755354f533078593251774c5451344e7a5174596d59314d43316b4f5467324f54526d4d6d4e694e5745756347526d&amp;Fich=443e4e99-1cd0-4874-bf50-d98694f2cb5a.pdf&amp;Inline=true</t>
        </is>
      </c>
      <c r="AH264" s="3" t="n">
        <v>46321.77847222222</v>
      </c>
      <c r="AI264" s="3" t="n">
        <v>46321.78055555555</v>
      </c>
      <c r="AJ264" s="2" t="inlineStr"/>
    </row>
    <row r="265">
      <c r="A265" s="2" t="n">
        <v>264</v>
      </c>
      <c r="B265" s="2" t="inlineStr">
        <is>
          <t>237C-3</t>
        </is>
      </c>
      <c r="C265" s="3" t="n">
        <v>45964.62847222222</v>
      </c>
      <c r="D265" s="2" t="inlineStr">
        <is>
          <t>Retirada</t>
        </is>
      </c>
      <c r="E265" s="2" t="inlineStr">
        <is>
          <t>IL</t>
        </is>
      </c>
      <c r="F265" s="2" t="inlineStr">
        <is>
          <t>Angélique Da Teresa; Carlos Guimarães Pinto; Joana Cordeiro; Jorge Miguel Teixeira; Mariana Leitão; Mário Amorim Lopes; Miguel Rangel; Rodrigo Saraiva; Rui Rocha</t>
        </is>
      </c>
      <c r="G265" s="2" t="inlineStr">
        <is>
          <t>Art. 138.º (aditamento)</t>
        </is>
      </c>
      <c r="H265" s="2" t="n"/>
      <c r="I265" s="2" t="n"/>
      <c r="J265" s="2" t="n"/>
      <c r="K265" s="2" t="n"/>
      <c r="L265" s="2" t="inlineStr">
        <is>
          <t>Alínea c), Alínea d), Artigo 138.º</t>
        </is>
      </c>
      <c r="M265" s="4" t="n"/>
      <c r="N265" s="4" t="n"/>
      <c r="O265" s="2" t="n"/>
      <c r="P265" s="2" t="n"/>
      <c r="Q265" s="2" t="n"/>
      <c r="R265" s="2" t="n"/>
      <c r="S265" s="2" t="inlineStr">
        <is>
          <t>Retirado(a)</t>
        </is>
      </c>
      <c r="T265" s="2" t="inlineStr">
        <is>
          <t>Retirada</t>
        </is>
      </c>
      <c r="U265" s="2" t="inlineStr"/>
      <c r="V265" s="3" t="n"/>
      <c r="W265" s="2" t="inlineStr">
        <is>
          <t>AR: https://www.parlamento.pt/OrcamentoEstado/Paginas/DetalhePropostaAlteracao.aspx?BID=23604 PDF: https://app.parlamento.pt/webutils/docs/doc.pdf?path=6148523063484d364c793942556b356c6443397a6158526c63793959566b6c4a544556484c3039464c7a49774d6a59794d4449314d5441774f533951515338304d324a694d7a67325969316d4e324d774c5451355a6a4d744f54637a5a4330774d6d597a4d5463314e4445774d7a49756347526d&amp;Fich=43bb386b-f7c0-49f3-973d-02f317541032.pdf&amp;Inline=true</t>
        </is>
      </c>
      <c r="X265" s="2" t="inlineStr">
        <is>
          <t>Cultura, Comunicação, Juventude e Desporto; Orçamento, Finanças e Administração Pública</t>
        </is>
      </c>
      <c r="Y265" s="2" t="inlineStr">
        <is>
          <t>Articulado</t>
        </is>
      </c>
      <c r="Z265" s="2" t="inlineStr">
        <is>
          <t>Aditamento (Números e Alíneas)</t>
        </is>
      </c>
      <c r="AA265" s="2" t="inlineStr">
        <is>
          <t>Retirado(a)</t>
        </is>
      </c>
      <c r="AB265" s="2" t="inlineStr"/>
      <c r="AC265" s="2" t="inlineStr">
        <is>
          <t>3</t>
        </is>
      </c>
      <c r="AD265" s="2" t="inlineStr">
        <is>
          <t>0</t>
        </is>
      </c>
      <c r="AE265" s="2" t="inlineStr">
        <is>
          <t>23604</t>
        </is>
      </c>
      <c r="AF265" s="2" t="inlineStr">
        <is>
          <t>https://www.parlamento.pt/OrcamentoEstado/Paginas/DetalhePropostaAlteracao.aspx?BID=23604</t>
        </is>
      </c>
      <c r="AG265" s="2" t="inlineStr">
        <is>
          <t>https://app.parlamento.pt/webutils/docs/doc.pdf?path=6148523063484d364c793942556b356c6443397a6158526c63793959566b6c4a544556484c3039464c7a49774d6a59794d4449314d5441774f533951515338304d324a694d7a67325969316d4e324d774c5451355a6a4d744f54637a5a4330774d6d597a4d5463314e4445774d7a49756347526d&amp;Fich=43bb386b-f7c0-49f3-973d-02f317541032.pdf&amp;Inline=true</t>
        </is>
      </c>
      <c r="AH265" s="3" t="n">
        <v>46321.77847222222</v>
      </c>
      <c r="AI265" s="3" t="n">
        <v>46321.78055555555</v>
      </c>
      <c r="AJ265" s="2" t="inlineStr"/>
    </row>
    <row r="266">
      <c r="A266" s="2" t="n">
        <v>265</v>
      </c>
      <c r="B266" s="2" t="inlineStr">
        <is>
          <t>237C-4</t>
        </is>
      </c>
      <c r="C266" s="3" t="n">
        <v>45964.62847222222</v>
      </c>
      <c r="D266" s="2" t="inlineStr">
        <is>
          <t>Original</t>
        </is>
      </c>
      <c r="E266" s="2" t="inlineStr">
        <is>
          <t>IL</t>
        </is>
      </c>
      <c r="F266" s="2" t="inlineStr">
        <is>
          <t>Angélique Da Teresa; Carlos Guimarães Pinto; Joana Cordeiro; Jorge Miguel Teixeira; Mariana Leitão; Mário Amorim Lopes; Miguel Rangel; Rodrigo Saraiva; Rui Rocha</t>
        </is>
      </c>
      <c r="G266" s="2" t="inlineStr">
        <is>
          <t>Art. 62.º (substituição)</t>
        </is>
      </c>
      <c r="H266" s="2" t="n"/>
      <c r="I266" s="2" t="n"/>
      <c r="J266" s="2" t="n"/>
      <c r="K266" s="2" t="n"/>
      <c r="L266" s="2" t="inlineStr">
        <is>
          <t>N.º 1, N.º 3, Artigo 58.º do EBF</t>
        </is>
      </c>
      <c r="M266" s="4" t="n"/>
      <c r="N266" s="4" t="n"/>
      <c r="O266" s="2" t="n"/>
      <c r="P266" s="2" t="n"/>
      <c r="Q266" s="2" t="n"/>
      <c r="R266" s="2" t="n"/>
      <c r="S266" s="2" t="inlineStr">
        <is>
          <t>Rejeitado(a) em Comissão</t>
        </is>
      </c>
      <c r="T266" s="2" t="inlineStr">
        <is>
          <t>Rejeitada</t>
        </is>
      </c>
      <c r="U266" s="2" t="inlineStr">
        <is>
          <t>Favor: IL, PCP, PAN; Contra: PSD, PS, L, CDS-PP, BE; Abstenção: CH</t>
        </is>
      </c>
      <c r="V266" s="3" t="n">
        <v>45981</v>
      </c>
      <c r="W266" s="2" t="inlineStr">
        <is>
          <t>AR: https://www.parlamento.pt/OrcamentoEstado/Paginas/DetalhePropostaAlteracao.aspx?BID=24114 PDF: https://app.parlamento.pt/webutils/docs/doc.pdf?path=6148523063484d364c793942556b356c6443397a6158526c63793959566b6c4a544556484c3039464c7a49774d6a59794d4449314d5441774f5339515153396d4e4459774e6d4d784d6930334e6a526d4c54526d596d55744f4464694d69316a4e6a6333593251314f575a6a4e4445756347526d&amp;Fich=f4606c12-764f-4fbe-87b2-c677cd59fc41.pdf&amp;Inline=true</t>
        </is>
      </c>
      <c r="X266" s="2" t="inlineStr">
        <is>
          <t>Cultura, Comunicação, Juventude e Desporto; Orçamento, Finanças e Administração Pública</t>
        </is>
      </c>
      <c r="Y266" s="2" t="inlineStr">
        <is>
          <t>Articulado</t>
        </is>
      </c>
      <c r="Z266" s="2" t="inlineStr">
        <is>
          <t>Substituição</t>
        </is>
      </c>
      <c r="AA266" s="2" t="inlineStr">
        <is>
          <t>Rejeitado(a) em Comissão</t>
        </is>
      </c>
      <c r="AB266" s="2" t="inlineStr"/>
      <c r="AC266" s="2" t="inlineStr">
        <is>
          <t>4</t>
        </is>
      </c>
      <c r="AD266" s="2" t="inlineStr">
        <is>
          <t>1</t>
        </is>
      </c>
      <c r="AE266" s="2" t="inlineStr">
        <is>
          <t>24114</t>
        </is>
      </c>
      <c r="AF266" s="2" t="inlineStr">
        <is>
          <t>https://www.parlamento.pt/OrcamentoEstado/Paginas/DetalhePropostaAlteracao.aspx?BID=24114</t>
        </is>
      </c>
      <c r="AG266" s="2" t="inlineStr">
        <is>
          <t>https://app.parlamento.pt/webutils/docs/doc.pdf?path=6148523063484d364c793942556b356c6443397a6158526c63793959566b6c4a544556484c3039464c7a49774d6a59794d4449314d5441774f5339515153396d4e4459774e6d4d784d6930334e6a526d4c54526d596d55744f4464694d69316a4e6a6333593251314f575a6a4e4445756347526d&amp;Fich=f4606c12-764f-4fbe-87b2-c677cd59fc41.pdf&amp;Inline=true</t>
        </is>
      </c>
      <c r="AH266" s="3" t="n">
        <v>46321.77847222222</v>
      </c>
      <c r="AI266" s="3" t="n">
        <v>46321.78055555555</v>
      </c>
      <c r="AJ266" s="2" t="inlineStr"/>
    </row>
    <row r="267">
      <c r="A267" s="2" t="n">
        <v>266</v>
      </c>
      <c r="B267" s="2" t="inlineStr">
        <is>
          <t>238C</t>
        </is>
      </c>
      <c r="C267" s="3" t="n">
        <v>45964.62916666667</v>
      </c>
      <c r="D267" s="2" t="inlineStr">
        <is>
          <t>Original</t>
        </is>
      </c>
      <c r="E267" s="2" t="inlineStr">
        <is>
          <t>CH</t>
        </is>
      </c>
      <c r="F26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67" s="2" t="inlineStr">
        <is>
          <t>Art. 136.º-A (aditamento)</t>
        </is>
      </c>
      <c r="H267" s="2" t="n"/>
      <c r="I267" s="2" t="n"/>
      <c r="J267" s="2" t="n"/>
      <c r="K267" s="2" t="n"/>
      <c r="L267" s="2" t="inlineStr">
        <is>
          <t>Artigo 136.º-A (Comparticipação dos medicamentos, materiais e dispositivos médicos utilizados no tratamento da Epidermólise Bolhosa)</t>
        </is>
      </c>
      <c r="M267" s="4" t="n"/>
      <c r="N267" s="4" t="n"/>
      <c r="O267" s="2" t="n"/>
      <c r="P267" s="2" t="n"/>
      <c r="Q267" s="2" t="n"/>
      <c r="R267" s="2" t="n"/>
      <c r="S267" s="2" t="inlineStr">
        <is>
          <t>Rejeitado(a) em Comissão</t>
        </is>
      </c>
      <c r="T267" s="2" t="inlineStr">
        <is>
          <t>Rejeitada</t>
        </is>
      </c>
      <c r="U267" s="2" t="inlineStr">
        <is>
          <t>Favor: CH, BE, PAN; Contra: PSD, CDS-PP; Abstenção: PS, IL, L, PCP</t>
        </is>
      </c>
      <c r="V267" s="3" t="n">
        <v>45987</v>
      </c>
      <c r="W267" s="2" t="inlineStr">
        <is>
          <t>AR: https://www.parlamento.pt/OrcamentoEstado/Paginas/DetalhePropostaAlteracao.aspx?BID=23431 PDF: https://app.parlamento.pt/webutils/docs/doc.pdf?path=6148523063484d364c793942556b356c6443397a6158526c63793959566b6c4a544556484c3039464c7a49774d6a59794d4449314d5441774f5339515153396c59324a685a6d4d7a4d6930304d6a4d774c5451794d7a41744f5759784f4330314d544d794e5451355a5759344f4759756347526d&amp;Fich=ecbafc32-4230-4230-9f18-5132549ef88f.pdf&amp;Inline=true</t>
        </is>
      </c>
      <c r="X267" s="2" t="inlineStr">
        <is>
          <t>Saúde; Trabalho, Segurança Social e Inclusão</t>
        </is>
      </c>
      <c r="Y267" s="2" t="inlineStr">
        <is>
          <t>Articulado</t>
        </is>
      </c>
      <c r="Z267" s="2" t="inlineStr">
        <is>
          <t>Aditamento (Artigo PPL)</t>
        </is>
      </c>
      <c r="AA267" s="2" t="inlineStr">
        <is>
          <t>Rejeitado(a) em Comissão</t>
        </is>
      </c>
      <c r="AB267" s="2" t="inlineStr"/>
      <c r="AC267" s="2" t="inlineStr"/>
      <c r="AD267" s="2" t="inlineStr">
        <is>
          <t>1</t>
        </is>
      </c>
      <c r="AE267" s="2" t="inlineStr">
        <is>
          <t>23431</t>
        </is>
      </c>
      <c r="AF267" s="2" t="inlineStr">
        <is>
          <t>https://www.parlamento.pt/OrcamentoEstado/Paginas/DetalhePropostaAlteracao.aspx?BID=23431</t>
        </is>
      </c>
      <c r="AG267" s="2" t="inlineStr">
        <is>
          <t>https://app.parlamento.pt/webutils/docs/doc.pdf?path=6148523063484d364c793942556b356c6443397a6158526c63793959566b6c4a544556484c3039464c7a49774d6a59794d4449314d5441774f5339515153396c59324a685a6d4d7a4d6930304d6a4d774c5451794d7a41744f5759784f4330314d544d794e5451355a5759344f4759756347526d&amp;Fich=ecbafc32-4230-4230-9f18-5132549ef88f.pdf&amp;Inline=true</t>
        </is>
      </c>
      <c r="AH267" s="3" t="n">
        <v>46321.77847222222</v>
      </c>
      <c r="AI267" s="3" t="n">
        <v>46321.78055555555</v>
      </c>
      <c r="AJ267" s="2" t="inlineStr"/>
    </row>
    <row r="268">
      <c r="A268" s="2" t="n">
        <v>267</v>
      </c>
      <c r="B268" s="2" t="inlineStr">
        <is>
          <t>239C</t>
        </is>
      </c>
      <c r="C268" s="3" t="n">
        <v>45964.63055555556</v>
      </c>
      <c r="D268" s="2" t="inlineStr">
        <is>
          <t>Original</t>
        </is>
      </c>
      <c r="E268" s="2" t="inlineStr">
        <is>
          <t>CH</t>
        </is>
      </c>
      <c r="F26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68" s="2" t="inlineStr">
        <is>
          <t>Art. 136.º-A (aditamento)</t>
        </is>
      </c>
      <c r="H268" s="2" t="n"/>
      <c r="I268" s="2" t="n"/>
      <c r="J268" s="2" t="n"/>
      <c r="K268" s="2" t="n"/>
      <c r="L268" s="2" t="inlineStr">
        <is>
          <t>Artigo 136.º-A (Construção da Variante a Santa Eulália)</t>
        </is>
      </c>
      <c r="M268" s="4" t="n"/>
      <c r="N268" s="4" t="n"/>
      <c r="O268" s="2" t="n"/>
      <c r="P268" s="2" t="n"/>
      <c r="Q268" s="2" t="n"/>
      <c r="R268" s="2" t="n"/>
      <c r="S268" s="2" t="inlineStr">
        <is>
          <t>Rejeitado(a) em Comissão</t>
        </is>
      </c>
      <c r="T268" s="2" t="inlineStr">
        <is>
          <t>Rejeitada</t>
        </is>
      </c>
      <c r="U268" s="2" t="inlineStr">
        <is>
          <t>Favor: CH, BE; Contra: PSD, CDS-PP; Abstenção: PS, IL, L, PCP, PAN</t>
        </is>
      </c>
      <c r="V268" s="3" t="n">
        <v>45987</v>
      </c>
      <c r="W268" s="2" t="inlineStr">
        <is>
          <t>AR: https://www.parlamento.pt/OrcamentoEstado/Paginas/DetalhePropostaAlteracao.aspx?BID=23432 PDF: https://app.parlamento.pt/webutils/docs/doc.pdf?path=6148523063484d364c793942556b356c6443397a6158526c63793959566b6c4a544556484c3039464c7a49774d6a59794d4449314d5441774f533951515338774e6d5a6a4e4459345a69307a4d47466d4c54517a5a6d51744f4456695979316c4d32566d596d4d325954466b596a6b756347526d&amp;Fich=06fc468f-30af-43fd-85bc-e3efbc6a1db9.pdf&amp;Inline=true</t>
        </is>
      </c>
      <c r="X268" s="2" t="inlineStr">
        <is>
          <t>Infraestruturas, Mobilidade e Habitação; Reforma do Estado e Poder Local</t>
        </is>
      </c>
      <c r="Y268" s="2" t="inlineStr">
        <is>
          <t>Articulado</t>
        </is>
      </c>
      <c r="Z268" s="2" t="inlineStr">
        <is>
          <t>Aditamento (Artigo PPL)</t>
        </is>
      </c>
      <c r="AA268" s="2" t="inlineStr">
        <is>
          <t>Rejeitado(a) em Comissão</t>
        </is>
      </c>
      <c r="AB268" s="2" t="inlineStr"/>
      <c r="AC268" s="2" t="inlineStr"/>
      <c r="AD268" s="2" t="inlineStr">
        <is>
          <t>1</t>
        </is>
      </c>
      <c r="AE268" s="2" t="inlineStr">
        <is>
          <t>23432</t>
        </is>
      </c>
      <c r="AF268" s="2" t="inlineStr">
        <is>
          <t>https://www.parlamento.pt/OrcamentoEstado/Paginas/DetalhePropostaAlteracao.aspx?BID=23432</t>
        </is>
      </c>
      <c r="AG268" s="2" t="inlineStr">
        <is>
          <t>https://app.parlamento.pt/webutils/docs/doc.pdf?path=6148523063484d364c793942556b356c6443397a6158526c63793959566b6c4a544556484c3039464c7a49774d6a59794d4449314d5441774f533951515338774e6d5a6a4e4459345a69307a4d47466d4c54517a5a6d51744f4456695979316c4d32566d596d4d325954466b596a6b756347526d&amp;Fich=06fc468f-30af-43fd-85bc-e3efbc6a1db9.pdf&amp;Inline=true</t>
        </is>
      </c>
      <c r="AH268" s="3" t="n">
        <v>46321.77847222222</v>
      </c>
      <c r="AI268" s="3" t="n">
        <v>46321.78055555555</v>
      </c>
      <c r="AJ268" s="2" t="inlineStr"/>
    </row>
    <row r="269">
      <c r="A269" s="2" t="n">
        <v>268</v>
      </c>
      <c r="B269" s="2" t="inlineStr">
        <is>
          <t>240C</t>
        </is>
      </c>
      <c r="C269" s="3" t="n">
        <v>45964.63194444445</v>
      </c>
      <c r="D269" s="2" t="inlineStr">
        <is>
          <t>Original</t>
        </is>
      </c>
      <c r="E269" s="2" t="inlineStr">
        <is>
          <t>CH</t>
        </is>
      </c>
      <c r="F26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69" s="2" t="inlineStr">
        <is>
          <t>Art. 136.º-A (aditamento)</t>
        </is>
      </c>
      <c r="H269" s="2" t="n"/>
      <c r="I269" s="2" t="n"/>
      <c r="J269" s="2" t="n"/>
      <c r="K269" s="2" t="n"/>
      <c r="L269" s="2" t="inlineStr">
        <is>
          <t>Artigo 136.º-A (Construção de nova Ponte para substituição da Ponte D. Amélia entre o Cartaxo e Salvaterra de Magos)</t>
        </is>
      </c>
      <c r="M269" s="4" t="n"/>
      <c r="N269" s="4" t="n"/>
      <c r="O269" s="2" t="n"/>
      <c r="P269" s="2" t="n"/>
      <c r="Q269" s="2" t="n"/>
      <c r="R269" s="2" t="n"/>
      <c r="S269" s="2" t="inlineStr">
        <is>
          <t>Rejeitado(a) em Comissão</t>
        </is>
      </c>
      <c r="T269" s="2" t="inlineStr">
        <is>
          <t>Rejeitada</t>
        </is>
      </c>
      <c r="U269" s="2" t="inlineStr">
        <is>
          <t>Favor: CH, BE; Contra: PSD, IL, CDS-PP; Abstenção: PS, L, PCP, PAN</t>
        </is>
      </c>
      <c r="V269" s="3" t="n">
        <v>45987</v>
      </c>
      <c r="W269" s="2" t="inlineStr">
        <is>
          <t>AR: https://www.parlamento.pt/OrcamentoEstado/Paginas/DetalhePropostaAlteracao.aspx?BID=23433 PDF: https://app.parlamento.pt/webutils/docs/doc.pdf?path=6148523063484d364c793942556b356c6443397a6158526c63793959566b6c4a544556484c3039464c7a49774d6a59794d4449314d5441774f5339515153396d4f4442694e544a6a4e53316b4d54426a4c5451305a546b74596a49324f4330794e544d7a4f474d794e5755774e3255756347526d&amp;Fich=f80b52c5-d10c-44e9-b268-25338c25e07e.pdf&amp;Inline=true</t>
        </is>
      </c>
      <c r="X269" s="2" t="inlineStr">
        <is>
          <t>Infraestruturas, Mobilidade e Habitação; Reforma do Estado e Poder Local</t>
        </is>
      </c>
      <c r="Y269" s="2" t="inlineStr">
        <is>
          <t>Articulado</t>
        </is>
      </c>
      <c r="Z269" s="2" t="inlineStr">
        <is>
          <t>Aditamento (Artigo PPL)</t>
        </is>
      </c>
      <c r="AA269" s="2" t="inlineStr">
        <is>
          <t>Rejeitado(a) em Comissão</t>
        </is>
      </c>
      <c r="AB269" s="2" t="inlineStr"/>
      <c r="AC269" s="2" t="inlineStr"/>
      <c r="AD269" s="2" t="inlineStr">
        <is>
          <t>1</t>
        </is>
      </c>
      <c r="AE269" s="2" t="inlineStr">
        <is>
          <t>23433</t>
        </is>
      </c>
      <c r="AF269" s="2" t="inlineStr">
        <is>
          <t>https://www.parlamento.pt/OrcamentoEstado/Paginas/DetalhePropostaAlteracao.aspx?BID=23433</t>
        </is>
      </c>
      <c r="AG269" s="2" t="inlineStr">
        <is>
          <t>https://app.parlamento.pt/webutils/docs/doc.pdf?path=6148523063484d364c793942556b356c6443397a6158526c63793959566b6c4a544556484c3039464c7a49774d6a59794d4449314d5441774f5339515153396d4f4442694e544a6a4e53316b4d54426a4c5451305a546b74596a49324f4330794e544d7a4f474d794e5755774e3255756347526d&amp;Fich=f80b52c5-d10c-44e9-b268-25338c25e07e.pdf&amp;Inline=true</t>
        </is>
      </c>
      <c r="AH269" s="3" t="n">
        <v>46321.77847222222</v>
      </c>
      <c r="AI269" s="3" t="n">
        <v>46321.78055555555</v>
      </c>
      <c r="AJ269" s="2" t="inlineStr"/>
    </row>
    <row r="270">
      <c r="A270" s="2" t="n">
        <v>269</v>
      </c>
      <c r="B270" s="2" t="inlineStr">
        <is>
          <t>241C</t>
        </is>
      </c>
      <c r="C270" s="3" t="n">
        <v>45964.63263888889</v>
      </c>
      <c r="D270" s="2" t="inlineStr">
        <is>
          <t>Original</t>
        </is>
      </c>
      <c r="E270" s="2" t="inlineStr">
        <is>
          <t>CH</t>
        </is>
      </c>
      <c r="F27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70" s="2" t="inlineStr">
        <is>
          <t>Art. 136.º-A (aditamento)</t>
        </is>
      </c>
      <c r="H270" s="2" t="n"/>
      <c r="I270" s="2" t="n"/>
      <c r="J270" s="2" t="n"/>
      <c r="K270" s="2" t="n"/>
      <c r="L270" s="2" t="inlineStr">
        <is>
          <t>Artigo 136.º-A (Construção de regadio para aproveitamento de água para agricultura na localidade de Outil-Cantanhede)</t>
        </is>
      </c>
      <c r="M270" s="4" t="n"/>
      <c r="N270" s="4" t="n"/>
      <c r="O270" s="2" t="n"/>
      <c r="P270" s="2" t="n"/>
      <c r="Q270" s="2" t="n"/>
      <c r="R270" s="2" t="n"/>
      <c r="S270" s="2" t="inlineStr">
        <is>
          <t>Rejeitado(a) em Comissão</t>
        </is>
      </c>
      <c r="T270" s="2" t="inlineStr">
        <is>
          <t>Rejeitada</t>
        </is>
      </c>
      <c r="U270" s="2" t="inlineStr">
        <is>
          <t>Favor: CH, IL; Contra: PSD, L, CDS-PP, BE; Abstenção: PS, PCP, PAN</t>
        </is>
      </c>
      <c r="V270" s="3" t="n">
        <v>45987</v>
      </c>
      <c r="W270" s="2" t="inlineStr">
        <is>
          <t>AR: https://www.parlamento.pt/OrcamentoEstado/Paginas/DetalhePropostaAlteracao.aspx?BID=23434 PDF: https://app.parlamento.pt/webutils/docs/doc.pdf?path=6148523063484d364c793942556b356c6443397a6158526c63793959566b6c4a544556484c3039464c7a49774d6a59794d4449314d5441774f533951515338774f446335595449354f4330324e32466a4c54526d4e6a59744f574d785a4330334f4442695a546b324d446b314d5745756347526d&amp;Fich=0879a298-67ac-4f66-9c1d-780be960951a.pdf&amp;Inline=true</t>
        </is>
      </c>
      <c r="X270" s="2" t="inlineStr">
        <is>
          <t>Agricultura e Pescas; Reforma do Estado e Poder Local</t>
        </is>
      </c>
      <c r="Y270" s="2" t="inlineStr">
        <is>
          <t>Articulado</t>
        </is>
      </c>
      <c r="Z270" s="2" t="inlineStr">
        <is>
          <t>Aditamento (Artigo PPL)</t>
        </is>
      </c>
      <c r="AA270" s="2" t="inlineStr">
        <is>
          <t>Rejeitado(a) em Comissão</t>
        </is>
      </c>
      <c r="AB270" s="2" t="inlineStr"/>
      <c r="AC270" s="2" t="inlineStr"/>
      <c r="AD270" s="2" t="inlineStr">
        <is>
          <t>1</t>
        </is>
      </c>
      <c r="AE270" s="2" t="inlineStr">
        <is>
          <t>23434</t>
        </is>
      </c>
      <c r="AF270" s="2" t="inlineStr">
        <is>
          <t>https://www.parlamento.pt/OrcamentoEstado/Paginas/DetalhePropostaAlteracao.aspx?BID=23434</t>
        </is>
      </c>
      <c r="AG270" s="2" t="inlineStr">
        <is>
          <t>https://app.parlamento.pt/webutils/docs/doc.pdf?path=6148523063484d364c793942556b356c6443397a6158526c63793959566b6c4a544556484c3039464c7a49774d6a59794d4449314d5441774f533951515338774f446335595449354f4330324e32466a4c54526d4e6a59744f574d785a4330334f4442695a546b324d446b314d5745756347526d&amp;Fich=0879a298-67ac-4f66-9c1d-780be960951a.pdf&amp;Inline=true</t>
        </is>
      </c>
      <c r="AH270" s="3" t="n">
        <v>46321.77847222222</v>
      </c>
      <c r="AI270" s="3" t="n">
        <v>46321.78055555555</v>
      </c>
      <c r="AJ270" s="2" t="inlineStr"/>
    </row>
    <row r="271">
      <c r="A271" s="2" t="n">
        <v>270</v>
      </c>
      <c r="B271" s="2" t="inlineStr">
        <is>
          <t>242C</t>
        </is>
      </c>
      <c r="C271" s="3" t="n">
        <v>45964.63333333333</v>
      </c>
      <c r="D271" s="2" t="inlineStr">
        <is>
          <t>Original</t>
        </is>
      </c>
      <c r="E271" s="2" t="inlineStr">
        <is>
          <t>CH</t>
        </is>
      </c>
      <c r="F27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71" s="2" t="inlineStr">
        <is>
          <t>Art. 136.º-A (aditamento)</t>
        </is>
      </c>
      <c r="H271" s="2" t="n"/>
      <c r="I271" s="2" t="n"/>
      <c r="J271" s="2" t="n"/>
      <c r="K271" s="2" t="n"/>
      <c r="L271" s="2" t="inlineStr">
        <is>
          <t>Artigo 136.º-A (Criação da plataforma intermodal do aeroporto de Beja)</t>
        </is>
      </c>
      <c r="M271" s="4" t="n"/>
      <c r="N271" s="4" t="n"/>
      <c r="O271" s="2" t="n"/>
      <c r="P271" s="2" t="n"/>
      <c r="Q271" s="2" t="n"/>
      <c r="R271" s="2" t="n"/>
      <c r="S271" s="2" t="inlineStr">
        <is>
          <t>Rejeitado(a) em Comissão</t>
        </is>
      </c>
      <c r="T271" s="2" t="inlineStr">
        <is>
          <t>Rejeitada</t>
        </is>
      </c>
      <c r="U271" s="2" t="inlineStr">
        <is>
          <t>Favor: CH, BE, PAN; Contra: PSD, CDS-PP; Abstenção: PS, IL, L, PCP</t>
        </is>
      </c>
      <c r="V271" s="3" t="n">
        <v>45987</v>
      </c>
      <c r="W271" s="2" t="inlineStr">
        <is>
          <t>AR: https://www.parlamento.pt/OrcamentoEstado/Paginas/DetalhePropostaAlteracao.aspx?BID=23435 PDF: https://app.parlamento.pt/webutils/docs/doc.pdf?path=6148523063484d364c793942556b356c6443397a6158526c63793959566b6c4a544556484c3039464c7a49774d6a59794d4449314d5441774f53395151533832596a526a4e5745785a6930774e546c694c5451795a6a6374596d59794e793035596d49775a5749794e444d33596a63756347526d&amp;Fich=6b4c5a1f-059b-42f7-bf27-9bb0eb2437b7.pdf&amp;Inline=true</t>
        </is>
      </c>
      <c r="X271" s="2" t="inlineStr">
        <is>
          <t>Infraestruturas, Mobilidade e Habitação</t>
        </is>
      </c>
      <c r="Y271" s="2" t="inlineStr">
        <is>
          <t>Articulado</t>
        </is>
      </c>
      <c r="Z271" s="2" t="inlineStr">
        <is>
          <t>Aditamento (Artigo PPL)</t>
        </is>
      </c>
      <c r="AA271" s="2" t="inlineStr">
        <is>
          <t>Rejeitado(a) em Comissão</t>
        </is>
      </c>
      <c r="AB271" s="2" t="inlineStr"/>
      <c r="AC271" s="2" t="inlineStr"/>
      <c r="AD271" s="2" t="inlineStr">
        <is>
          <t>1</t>
        </is>
      </c>
      <c r="AE271" s="2" t="inlineStr">
        <is>
          <t>23435</t>
        </is>
      </c>
      <c r="AF271" s="2" t="inlineStr">
        <is>
          <t>https://www.parlamento.pt/OrcamentoEstado/Paginas/DetalhePropostaAlteracao.aspx?BID=23435</t>
        </is>
      </c>
      <c r="AG271" s="2" t="inlineStr">
        <is>
          <t>https://app.parlamento.pt/webutils/docs/doc.pdf?path=6148523063484d364c793942556b356c6443397a6158526c63793959566b6c4a544556484c3039464c7a49774d6a59794d4449314d5441774f53395151533832596a526a4e5745785a6930774e546c694c5451795a6a6374596d59794e793035596d49775a5749794e444d33596a63756347526d&amp;Fich=6b4c5a1f-059b-42f7-bf27-9bb0eb2437b7.pdf&amp;Inline=true</t>
        </is>
      </c>
      <c r="AH271" s="3" t="n">
        <v>46321.77847222222</v>
      </c>
      <c r="AI271" s="3" t="n">
        <v>46321.78055555555</v>
      </c>
      <c r="AJ271" s="2" t="inlineStr"/>
    </row>
    <row r="272">
      <c r="A272" s="2" t="n">
        <v>271</v>
      </c>
      <c r="B272" s="2" t="inlineStr">
        <is>
          <t>243C</t>
        </is>
      </c>
      <c r="C272" s="3" t="n">
        <v>45964.63472222222</v>
      </c>
      <c r="D272" s="2" t="inlineStr">
        <is>
          <t>Original</t>
        </is>
      </c>
      <c r="E272" s="2" t="inlineStr">
        <is>
          <t>CH</t>
        </is>
      </c>
      <c r="F27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72" s="2" t="inlineStr">
        <is>
          <t>Art. 136.º-A (aditamento)</t>
        </is>
      </c>
      <c r="H272" s="2" t="n"/>
      <c r="I272" s="2" t="n"/>
      <c r="J272" s="2" t="n"/>
      <c r="K272" s="2" t="n"/>
      <c r="L272" s="2" t="inlineStr">
        <is>
          <t>Artigo 136.º-A (Criação de Centro de Investigação, Desenvolvimento e Formação em Agricultura de Ponta)</t>
        </is>
      </c>
      <c r="M272" s="4" t="n"/>
      <c r="N272" s="4" t="n"/>
      <c r="O272" s="2" t="n"/>
      <c r="P272" s="2" t="n"/>
      <c r="Q272" s="2" t="n"/>
      <c r="R272" s="2" t="n"/>
      <c r="S272" s="2" t="inlineStr">
        <is>
          <t>Rejeitado(a) em Comissão</t>
        </is>
      </c>
      <c r="T272" s="2" t="inlineStr">
        <is>
          <t>Rejeitada</t>
        </is>
      </c>
      <c r="U272" s="2" t="inlineStr">
        <is>
          <t>Favor: CH, BE, PAN; Contra: PSD, IL, PCP, CDS-PP; Abstenção: PS, L</t>
        </is>
      </c>
      <c r="V272" s="3" t="n">
        <v>45987</v>
      </c>
      <c r="W272" s="2" t="inlineStr">
        <is>
          <t>AR: https://www.parlamento.pt/OrcamentoEstado/Paginas/DetalhePropostaAlteracao.aspx?BID=23437 PDF: https://app.parlamento.pt/webutils/docs/doc.pdf?path=6148523063484d364c793942556b356c6443397a6158526c63793959566b6c4a544556484c3039464c7a49774d6a59794d4449314d5441774f533951515338304e6a4977596a51304f53316a4e575a694c5451784e5751744f574a685a5331694f5751774e6a466d5a444d794f5749756347526d&amp;Fich=4620b449-c5fb-415d-9bae-b9d061fd329b.pdf&amp;Inline=true</t>
        </is>
      </c>
      <c r="X272" s="2" t="inlineStr">
        <is>
          <t>Agricultura e Pescas; Educação e Ciência</t>
        </is>
      </c>
      <c r="Y272" s="2" t="inlineStr">
        <is>
          <t>Articulado</t>
        </is>
      </c>
      <c r="Z272" s="2" t="inlineStr">
        <is>
          <t>Aditamento (Artigo PPL)</t>
        </is>
      </c>
      <c r="AA272" s="2" t="inlineStr">
        <is>
          <t>Rejeitado(a) em Comissão</t>
        </is>
      </c>
      <c r="AB272" s="2" t="inlineStr"/>
      <c r="AC272" s="2" t="inlineStr"/>
      <c r="AD272" s="2" t="inlineStr">
        <is>
          <t>1</t>
        </is>
      </c>
      <c r="AE272" s="2" t="inlineStr">
        <is>
          <t>23437</t>
        </is>
      </c>
      <c r="AF272" s="2" t="inlineStr">
        <is>
          <t>https://www.parlamento.pt/OrcamentoEstado/Paginas/DetalhePropostaAlteracao.aspx?BID=23437</t>
        </is>
      </c>
      <c r="AG272" s="2" t="inlineStr">
        <is>
          <t>https://app.parlamento.pt/webutils/docs/doc.pdf?path=6148523063484d364c793942556b356c6443397a6158526c63793959566b6c4a544556484c3039464c7a49774d6a59794d4449314d5441774f533951515338304e6a4977596a51304f53316a4e575a694c5451784e5751744f574a685a5331694f5751774e6a466d5a444d794f5749756347526d&amp;Fich=4620b449-c5fb-415d-9bae-b9d061fd329b.pdf&amp;Inline=true</t>
        </is>
      </c>
      <c r="AH272" s="3" t="n">
        <v>46321.77847222222</v>
      </c>
      <c r="AI272" s="3" t="n">
        <v>46321.78055555555</v>
      </c>
      <c r="AJ272" s="2" t="inlineStr"/>
    </row>
    <row r="273">
      <c r="A273" s="2" t="n">
        <v>272</v>
      </c>
      <c r="B273" s="2" t="inlineStr">
        <is>
          <t>244C-1</t>
        </is>
      </c>
      <c r="C273" s="3" t="n">
        <v>45964.63541666666</v>
      </c>
      <c r="D273" s="2" t="inlineStr">
        <is>
          <t>Original</t>
        </is>
      </c>
      <c r="E273" s="2" t="inlineStr">
        <is>
          <t>IL</t>
        </is>
      </c>
      <c r="F273" s="2" t="inlineStr">
        <is>
          <t>Angélique Da Teresa; Carlos Guimarães Pinto; Joana Cordeiro; Jorge Miguel Teixeira; Mariana Leitão; Mário Amorim Lopes; Miguel Rangel; Rodrigo Saraiva; Rui Rocha</t>
        </is>
      </c>
      <c r="G273" s="2" t="inlineStr">
        <is>
          <t>Art. 60.º (aditamento)</t>
        </is>
      </c>
      <c r="H273" s="2" t="n"/>
      <c r="I273" s="2" t="n"/>
      <c r="J273" s="2" t="n"/>
      <c r="K273" s="2" t="n"/>
      <c r="L273" s="2" t="inlineStr">
        <is>
          <t>Alínea a), alínea b), N.º 5, Artigo 12.º do Código do IRS</t>
        </is>
      </c>
      <c r="M273" s="4" t="n"/>
      <c r="N273" s="4" t="n"/>
      <c r="O273" s="2" t="n"/>
      <c r="P273" s="2" t="n"/>
      <c r="Q273" s="2" t="n"/>
      <c r="R273" s="2" t="n"/>
      <c r="S273" s="2" t="inlineStr">
        <is>
          <t>Rejeitado(a) em Comissão</t>
        </is>
      </c>
      <c r="T273" s="2" t="inlineStr">
        <is>
          <t>Rejeitada</t>
        </is>
      </c>
      <c r="U273" s="2" t="inlineStr">
        <is>
          <t>Favor: CH, IL, PCP, BE, PAN; Contra: PSD, CDS-PP; Abstenção: PS, L</t>
        </is>
      </c>
      <c r="V273" s="3" t="n">
        <v>45981</v>
      </c>
      <c r="W273" s="2" t="inlineStr">
        <is>
          <t>AR: https://www.parlamento.pt/OrcamentoEstado/Paginas/DetalhePropostaAlteracao.aspx?BID=23438 PDF: https://app.parlamento.pt/webutils/docs/doc.pdf?path=6148523063484d364c793942556b356c6443397a6158526c63793959566b6c4a544556484c3039464c7a49774d6a59794d4449314d5441774f533951515338305a445a695a474d335969316d4e544e6c4c5452695a5449744f4455794d7930314e444a6c4e5749354d6a4d354d7a41756347526d&amp;Fich=4d6bdc7b-f53e-4be2-8523-542e5b923930.pdf&amp;Inline=true</t>
        </is>
      </c>
      <c r="X273" s="2" t="inlineStr">
        <is>
          <t>Cultura, Comunicação, Juventude e Desporto; Orçamento, Finanças e Administração Pública</t>
        </is>
      </c>
      <c r="Y273" s="2" t="inlineStr">
        <is>
          <t>Articulado</t>
        </is>
      </c>
      <c r="Z273" s="2" t="inlineStr">
        <is>
          <t>Aditamento (Números e Alíneas)</t>
        </is>
      </c>
      <c r="AA273" s="2" t="inlineStr">
        <is>
          <t>Rejeitado(a) em Comissão</t>
        </is>
      </c>
      <c r="AB273" s="2" t="inlineStr"/>
      <c r="AC273" s="2" t="inlineStr">
        <is>
          <t>1</t>
        </is>
      </c>
      <c r="AD273" s="2" t="inlineStr">
        <is>
          <t>2</t>
        </is>
      </c>
      <c r="AE273" s="2" t="inlineStr">
        <is>
          <t>23438</t>
        </is>
      </c>
      <c r="AF273" s="2" t="inlineStr">
        <is>
          <t>https://www.parlamento.pt/OrcamentoEstado/Paginas/DetalhePropostaAlteracao.aspx?BID=23438</t>
        </is>
      </c>
      <c r="AG273" s="2" t="inlineStr">
        <is>
          <t>https://app.parlamento.pt/webutils/docs/doc.pdf?path=6148523063484d364c793942556b356c6443397a6158526c63793959566b6c4a544556484c3039464c7a49774d6a59794d4449314d5441774f533951515338305a445a695a474d335969316d4e544e6c4c5452695a5449744f4455794d7930314e444a6c4e5749354d6a4d354d7a41756347526d&amp;Fich=4d6bdc7b-f53e-4be2-8523-542e5b923930.pdf&amp;Inline=true</t>
        </is>
      </c>
      <c r="AH273" s="3" t="n">
        <v>46321.77847222222</v>
      </c>
      <c r="AI273" s="3" t="n">
        <v>46321.78055555555</v>
      </c>
      <c r="AJ273" s="2" t="inlineStr"/>
    </row>
    <row r="274">
      <c r="A274" s="2" t="n">
        <v>273</v>
      </c>
      <c r="B274" s="2" t="inlineStr">
        <is>
          <t>244C-2</t>
        </is>
      </c>
      <c r="C274" s="3" t="n">
        <v>45964.63541666666</v>
      </c>
      <c r="D274" s="2" t="inlineStr">
        <is>
          <t>Original</t>
        </is>
      </c>
      <c r="E274" s="2" t="inlineStr">
        <is>
          <t>IL</t>
        </is>
      </c>
      <c r="F274" s="2" t="inlineStr">
        <is>
          <t>Angélique Da Teresa; Carlos Guimarães Pinto; Joana Cordeiro; Jorge Miguel Teixeira; Mariana Leitão; Mário Amorim Lopes; Miguel Rangel; Rodrigo Saraiva; Rui Rocha</t>
        </is>
      </c>
      <c r="G274" s="2" t="inlineStr">
        <is>
          <t>Art. 113.º-A (aditamento)</t>
        </is>
      </c>
      <c r="H274" s="2" t="n"/>
      <c r="I274" s="2" t="n"/>
      <c r="J274" s="2" t="n"/>
      <c r="K274" s="2" t="n"/>
      <c r="L274" s="2" t="inlineStr">
        <is>
          <t>Artigo 113.º-A (Alteração ao Decreto-Lei n.º 272/2009)</t>
        </is>
      </c>
      <c r="M274" s="4" t="n"/>
      <c r="N274" s="4" t="n"/>
      <c r="O274" s="2" t="n"/>
      <c r="P274" s="2" t="n"/>
      <c r="Q274" s="2" t="n"/>
      <c r="R274" s="2" t="n"/>
      <c r="S274" s="2" t="inlineStr">
        <is>
          <t>Rejeitado(a) em Comissão</t>
        </is>
      </c>
      <c r="T274" s="2" t="inlineStr">
        <is>
          <t>Rejeitada</t>
        </is>
      </c>
      <c r="U274" s="2" t="inlineStr">
        <is>
          <t>Favor: CH, IL, L, PCP, BE, PAN; Contra: PSD, CDS-PP; Abstenção: PS</t>
        </is>
      </c>
      <c r="V274" s="3" t="n">
        <v>45985</v>
      </c>
      <c r="W274" s="2" t="inlineStr">
        <is>
          <t>AR: https://www.parlamento.pt/OrcamentoEstado/Paginas/DetalhePropostaAlteracao.aspx?BID=23602 PDF: https://app.parlamento.pt/webutils/docs/doc.pdf?path=6148523063484d364c793942556b356c6443397a6158526c63793959566b6c4a544556484c3039464c7a49774d6a59794d4449314d5441774f53395151533830595752684f54646a4d5330795a5745334c54526d4e5459744f574535595330304e7a64694d3245324d6d4d314e6a4d756347526d&amp;Fich=4ada97c1-2ea7-4f56-9a9a-477b3a62c563.pdf&amp;Inline=true</t>
        </is>
      </c>
      <c r="X274" s="2" t="inlineStr">
        <is>
          <t>Cultura, Comunicação, Juventude e Desporto; Orçamento, Finanças e Administração Pública</t>
        </is>
      </c>
      <c r="Y274" s="2" t="inlineStr">
        <is>
          <t>Articulado</t>
        </is>
      </c>
      <c r="Z274" s="2" t="inlineStr">
        <is>
          <t>Aditamento (Artigo PPL)</t>
        </is>
      </c>
      <c r="AA274" s="2" t="inlineStr">
        <is>
          <t>Rejeitado(a) em Comissão</t>
        </is>
      </c>
      <c r="AB274" s="2" t="inlineStr"/>
      <c r="AC274" s="2" t="inlineStr">
        <is>
          <t>2</t>
        </is>
      </c>
      <c r="AD274" s="2" t="inlineStr">
        <is>
          <t>1</t>
        </is>
      </c>
      <c r="AE274" s="2" t="inlineStr">
        <is>
          <t>23602</t>
        </is>
      </c>
      <c r="AF274" s="2" t="inlineStr">
        <is>
          <t>https://www.parlamento.pt/OrcamentoEstado/Paginas/DetalhePropostaAlteracao.aspx?BID=23602</t>
        </is>
      </c>
      <c r="AG274" s="2" t="inlineStr">
        <is>
          <t>https://app.parlamento.pt/webutils/docs/doc.pdf?path=6148523063484d364c793942556b356c6443397a6158526c63793959566b6c4a544556484c3039464c7a49774d6a59794d4449314d5441774f53395151533830595752684f54646a4d5330795a5745334c54526d4e5459744f574535595330304e7a64694d3245324d6d4d314e6a4d756347526d&amp;Fich=4ada97c1-2ea7-4f56-9a9a-477b3a62c563.pdf&amp;Inline=true</t>
        </is>
      </c>
      <c r="AH274" s="3" t="n">
        <v>46321.77847222222</v>
      </c>
      <c r="AI274" s="3" t="n">
        <v>46321.78055555555</v>
      </c>
      <c r="AJ274" s="2" t="inlineStr"/>
    </row>
    <row r="275">
      <c r="A275" s="2" t="n">
        <v>274</v>
      </c>
      <c r="B275" s="2" t="inlineStr">
        <is>
          <t>245C</t>
        </is>
      </c>
      <c r="C275" s="3" t="n">
        <v>45964.63611111111</v>
      </c>
      <c r="D275" s="2" t="inlineStr">
        <is>
          <t>Original</t>
        </is>
      </c>
      <c r="E275" s="2" t="inlineStr">
        <is>
          <t>CH</t>
        </is>
      </c>
      <c r="F27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75" s="2" t="inlineStr">
        <is>
          <t>Art. 136.º-A (aditamento)</t>
        </is>
      </c>
      <c r="H275" s="2" t="n"/>
      <c r="I275" s="2" t="n"/>
      <c r="J275" s="2" t="n"/>
      <c r="K275" s="2" t="n"/>
      <c r="L275" s="2" t="inlineStr">
        <is>
          <t>Artigo 136.º-A (Transição do pessoal guarda-florestal para a categoria de guardas da GNR)</t>
        </is>
      </c>
      <c r="M275" s="4" t="n"/>
      <c r="N275" s="4" t="n"/>
      <c r="O275" s="2" t="n"/>
      <c r="P275" s="2" t="n"/>
      <c r="Q275" s="2" t="n"/>
      <c r="R275" s="2" t="n"/>
      <c r="S275" s="2" t="inlineStr">
        <is>
          <t>Rejeitado(a) em Comissão</t>
        </is>
      </c>
      <c r="T275" s="2" t="inlineStr">
        <is>
          <t>Rejeitada</t>
        </is>
      </c>
      <c r="U275" s="2" t="inlineStr">
        <is>
          <t>Favor: CH, BE, PAN; Contra: PSD, CDS-PP; Abstenção: PS, IL, L, PCP</t>
        </is>
      </c>
      <c r="V275" s="3" t="n">
        <v>45987</v>
      </c>
      <c r="W275" s="2" t="inlineStr">
        <is>
          <t>AR: https://www.parlamento.pt/OrcamentoEstado/Paginas/DetalhePropostaAlteracao.aspx?BID=23439 PDF: https://app.parlamento.pt/webutils/docs/doc.pdf?path=6148523063484d364c793942556b356c6443397a6158526c63793959566b6c4a544556484c3039464c7a49774d6a59794d4449314d5441774f5339515153396c4e544533593259305a53316c4e575a684c5452694d446b744f44426d5969307a593255304d4759774d5449345a4745756347526d&amp;Fich=e517cf4e-e5fa-4b09-80fb-3ce40f0128da.pdf&amp;Inline=true</t>
        </is>
      </c>
      <c r="X275" s="2" t="inlineStr">
        <is>
          <t>Assuntos Constitucionais, Direitos, Liberdades e Garantias; Orçamento, Finanças e Administração Pública</t>
        </is>
      </c>
      <c r="Y275" s="2" t="inlineStr">
        <is>
          <t>Articulado</t>
        </is>
      </c>
      <c r="Z275" s="2" t="inlineStr">
        <is>
          <t>Aditamento (Artigo PPL)</t>
        </is>
      </c>
      <c r="AA275" s="2" t="inlineStr">
        <is>
          <t>Rejeitado(a) em Comissão</t>
        </is>
      </c>
      <c r="AB275" s="2" t="inlineStr"/>
      <c r="AC275" s="2" t="inlineStr"/>
      <c r="AD275" s="2" t="inlineStr">
        <is>
          <t>1</t>
        </is>
      </c>
      <c r="AE275" s="2" t="inlineStr">
        <is>
          <t>23439</t>
        </is>
      </c>
      <c r="AF275" s="2" t="inlineStr">
        <is>
          <t>https://www.parlamento.pt/OrcamentoEstado/Paginas/DetalhePropostaAlteracao.aspx?BID=23439</t>
        </is>
      </c>
      <c r="AG275" s="2" t="inlineStr">
        <is>
          <t>https://app.parlamento.pt/webutils/docs/doc.pdf?path=6148523063484d364c793942556b356c6443397a6158526c63793959566b6c4a544556484c3039464c7a49774d6a59794d4449314d5441774f5339515153396c4e544533593259305a53316c4e575a684c5452694d446b744f44426d5969307a593255304d4759774d5449345a4745756347526d&amp;Fich=e517cf4e-e5fa-4b09-80fb-3ce40f0128da.pdf&amp;Inline=true</t>
        </is>
      </c>
      <c r="AH275" s="3" t="n">
        <v>46321.77847222222</v>
      </c>
      <c r="AI275" s="3" t="n">
        <v>46321.78055555555</v>
      </c>
      <c r="AJ275" s="2" t="inlineStr"/>
    </row>
    <row r="276">
      <c r="A276" s="2" t="n">
        <v>275</v>
      </c>
      <c r="B276" s="2" t="inlineStr">
        <is>
          <t>246C</t>
        </is>
      </c>
      <c r="C276" s="3" t="n">
        <v>45964.63680555556</v>
      </c>
      <c r="D276" s="2" t="inlineStr">
        <is>
          <t>Original</t>
        </is>
      </c>
      <c r="E276" s="2" t="inlineStr">
        <is>
          <t>CH</t>
        </is>
      </c>
      <c r="F27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76" s="2" t="inlineStr">
        <is>
          <t>Art. 136.º-A (aditamento)</t>
        </is>
      </c>
      <c r="H276" s="2" t="n"/>
      <c r="I276" s="2" t="n"/>
      <c r="J276" s="2" t="n"/>
      <c r="K276" s="2" t="n"/>
      <c r="L276" s="2" t="inlineStr">
        <is>
          <t>Artigo 136.º-A (Estudo Técnico-Económico para a Autonomia Energética Nacional através da Energia Nuclear)</t>
        </is>
      </c>
      <c r="M276" s="4" t="n"/>
      <c r="N276" s="4" t="n"/>
      <c r="O276" s="2" t="n"/>
      <c r="P276" s="2" t="n"/>
      <c r="Q276" s="2" t="n"/>
      <c r="R276" s="2" t="n"/>
      <c r="S276" s="2" t="inlineStr">
        <is>
          <t>Rejeitado(a) em Comissão</t>
        </is>
      </c>
      <c r="T276" s="2" t="inlineStr">
        <is>
          <t>Rejeitada</t>
        </is>
      </c>
      <c r="U276" s="2" t="inlineStr">
        <is>
          <t>Favor: CH, IL; Contra: PSD, PS, L, PCP, BE, PAN; Abstenção: CDS-PP</t>
        </is>
      </c>
      <c r="V276" s="3" t="n">
        <v>45987</v>
      </c>
      <c r="W276" s="2" t="inlineStr">
        <is>
          <t>AR: https://www.parlamento.pt/OrcamentoEstado/Paginas/DetalhePropostaAlteracao.aspx?BID=23440 PDF: https://app.parlamento.pt/webutils/docs/doc.pdf?path=6148523063484d364c793942556b356c6443397a6158526c63793959566b6c4a544556484c3039464c7a49774d6a59794d4449314d5441774f5339515153396b5a6d4e694e4467354d5330784d7a49774c5451355a6d4974596d45354e5330344f57566b597a4a6c59324d7a5a5455756347526d&amp;Fich=dfcb4891-1320-49fb-ba95-89edc2ecc3e5.pdf&amp;Inline=true</t>
        </is>
      </c>
      <c r="X276" s="2" t="inlineStr">
        <is>
          <t>Ambiente e Energia</t>
        </is>
      </c>
      <c r="Y276" s="2" t="inlineStr">
        <is>
          <t>Articulado</t>
        </is>
      </c>
      <c r="Z276" s="2" t="inlineStr">
        <is>
          <t>Aditamento (Artigo PPL)</t>
        </is>
      </c>
      <c r="AA276" s="2" t="inlineStr">
        <is>
          <t>Rejeitado(a) em Comissão</t>
        </is>
      </c>
      <c r="AB276" s="2" t="inlineStr"/>
      <c r="AC276" s="2" t="inlineStr"/>
      <c r="AD276" s="2" t="inlineStr">
        <is>
          <t>1</t>
        </is>
      </c>
      <c r="AE276" s="2" t="inlineStr">
        <is>
          <t>23440</t>
        </is>
      </c>
      <c r="AF276" s="2" t="inlineStr">
        <is>
          <t>https://www.parlamento.pt/OrcamentoEstado/Paginas/DetalhePropostaAlteracao.aspx?BID=23440</t>
        </is>
      </c>
      <c r="AG276" s="2" t="inlineStr">
        <is>
          <t>https://app.parlamento.pt/webutils/docs/doc.pdf?path=6148523063484d364c793942556b356c6443397a6158526c63793959566b6c4a544556484c3039464c7a49774d6a59794d4449314d5441774f5339515153396b5a6d4e694e4467354d5330784d7a49774c5451355a6d4974596d45354e5330344f57566b597a4a6c59324d7a5a5455756347526d&amp;Fich=dfcb4891-1320-49fb-ba95-89edc2ecc3e5.pdf&amp;Inline=true</t>
        </is>
      </c>
      <c r="AH276" s="3" t="n">
        <v>46321.77847222222</v>
      </c>
      <c r="AI276" s="3" t="n">
        <v>46321.78055555555</v>
      </c>
      <c r="AJ276" s="2" t="inlineStr"/>
    </row>
    <row r="277">
      <c r="A277" s="2" t="n">
        <v>276</v>
      </c>
      <c r="B277" s="2" t="inlineStr">
        <is>
          <t>247C</t>
        </is>
      </c>
      <c r="C277" s="3" t="n">
        <v>45964.63888888889</v>
      </c>
      <c r="D277" s="2" t="inlineStr">
        <is>
          <t>Original</t>
        </is>
      </c>
      <c r="E277" s="2" t="inlineStr">
        <is>
          <t>CH</t>
        </is>
      </c>
      <c r="F27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77" s="2" t="inlineStr">
        <is>
          <t>Art. 136.º-A (aditamento)</t>
        </is>
      </c>
      <c r="H277" s="2" t="n"/>
      <c r="I277" s="2" t="n"/>
      <c r="J277" s="2" t="n"/>
      <c r="K277" s="2" t="n"/>
      <c r="L277" s="2" t="inlineStr">
        <is>
          <t>Artigo 136.º-A (Otimizar e implementar medidas de combate à economia paralela)</t>
        </is>
      </c>
      <c r="M277" s="4" t="n"/>
      <c r="N277" s="4" t="n"/>
      <c r="O277" s="2" t="n"/>
      <c r="P277" s="2" t="n"/>
      <c r="Q277" s="2" t="n"/>
      <c r="R277" s="2" t="n"/>
      <c r="S277" s="2" t="inlineStr">
        <is>
          <t>Rejeitado(a) em Comissão</t>
        </is>
      </c>
      <c r="T277" s="2" t="inlineStr">
        <is>
          <t>Rejeitada</t>
        </is>
      </c>
      <c r="U277" s="2" t="inlineStr">
        <is>
          <t>Favor: CH, IL, PAN; Contra: PSD, CDS-PP; Abstenção: PS, L, PCP, BE</t>
        </is>
      </c>
      <c r="V277" s="3" t="n">
        <v>45987</v>
      </c>
      <c r="W277" s="2" t="inlineStr">
        <is>
          <t>AR: https://www.parlamento.pt/OrcamentoEstado/Paginas/DetalhePropostaAlteracao.aspx?BID=23441 PDF: https://app.parlamento.pt/webutils/docs/doc.pdf?path=6148523063484d364c793942556b356c6443397a6158526c63793959566b6c4a544556484c3039464c7a49774d6a59794d4449314d5441774f533951515338794e7a646a4d546b784e5330314f47497a4c54526a4d6d45744f5759315a4330315a474d354e474d7a4f57597a596a6b756347526d&amp;Fich=277c1915-58b3-4c2a-9f5d-5dc94c39f3b9.pdf&amp;Inline=true</t>
        </is>
      </c>
      <c r="X277" s="2" t="inlineStr">
        <is>
          <t>Comissão de Economia e Coesão Territorial; Orçamento, Finanças e Administração Pública</t>
        </is>
      </c>
      <c r="Y277" s="2" t="inlineStr">
        <is>
          <t>Articulado</t>
        </is>
      </c>
      <c r="Z277" s="2" t="inlineStr">
        <is>
          <t>Aditamento (Artigo PPL)</t>
        </is>
      </c>
      <c r="AA277" s="2" t="inlineStr">
        <is>
          <t>Rejeitado(a) em Comissão</t>
        </is>
      </c>
      <c r="AB277" s="2" t="inlineStr"/>
      <c r="AC277" s="2" t="inlineStr"/>
      <c r="AD277" s="2" t="inlineStr">
        <is>
          <t>1</t>
        </is>
      </c>
      <c r="AE277" s="2" t="inlineStr">
        <is>
          <t>23441</t>
        </is>
      </c>
      <c r="AF277" s="2" t="inlineStr">
        <is>
          <t>https://www.parlamento.pt/OrcamentoEstado/Paginas/DetalhePropostaAlteracao.aspx?BID=23441</t>
        </is>
      </c>
      <c r="AG277" s="2" t="inlineStr">
        <is>
          <t>https://app.parlamento.pt/webutils/docs/doc.pdf?path=6148523063484d364c793942556b356c6443397a6158526c63793959566b6c4a544556484c3039464c7a49774d6a59794d4449314d5441774f533951515338794e7a646a4d546b784e5330314f47497a4c54526a4d6d45744f5759315a4330315a474d354e474d7a4f57597a596a6b756347526d&amp;Fich=277c1915-58b3-4c2a-9f5d-5dc94c39f3b9.pdf&amp;Inline=true</t>
        </is>
      </c>
      <c r="AH277" s="3" t="n">
        <v>46321.77847222222</v>
      </c>
      <c r="AI277" s="3" t="n">
        <v>46321.78055555555</v>
      </c>
      <c r="AJ277" s="2" t="inlineStr"/>
    </row>
    <row r="278">
      <c r="A278" s="2" t="n">
        <v>277</v>
      </c>
      <c r="B278" s="2" t="inlineStr">
        <is>
          <t>248C</t>
        </is>
      </c>
      <c r="C278" s="3" t="n">
        <v>45964.64722222222</v>
      </c>
      <c r="D278" s="2" t="inlineStr">
        <is>
          <t>Original</t>
        </is>
      </c>
      <c r="E278" s="2" t="inlineStr">
        <is>
          <t>CH</t>
        </is>
      </c>
      <c r="F27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78" s="2" t="inlineStr">
        <is>
          <t>Art. 136.º-A (aditamento)</t>
        </is>
      </c>
      <c r="H278" s="2" t="n"/>
      <c r="I278" s="2" t="n"/>
      <c r="J278" s="2" t="n"/>
      <c r="K278" s="2" t="n"/>
      <c r="L278" s="2" t="inlineStr">
        <is>
          <t>Artigo 136.º-A (Oportunidades de exercício de atividade profissional subordinada em Portugal)</t>
        </is>
      </c>
      <c r="M278" s="4" t="n"/>
      <c r="N278" s="4" t="n"/>
      <c r="O278" s="2" t="n"/>
      <c r="P278" s="2" t="n"/>
      <c r="Q278" s="2" t="n"/>
      <c r="R278" s="2" t="n"/>
      <c r="S278" s="2" t="inlineStr">
        <is>
          <t>Rejeitado(a) em Comissão</t>
        </is>
      </c>
      <c r="T278" s="2" t="inlineStr">
        <is>
          <t>Rejeitada</t>
        </is>
      </c>
      <c r="U278" s="2" t="inlineStr">
        <is>
          <t>Favor: CH; Contra: PSD, PS, IL, L, PCP, CDS-PP, BE, PAN</t>
        </is>
      </c>
      <c r="V278" s="3" t="n">
        <v>45987</v>
      </c>
      <c r="W278" s="2" t="inlineStr">
        <is>
          <t>AR: https://www.parlamento.pt/OrcamentoEstado/Paginas/DetalhePropostaAlteracao.aspx?BID=23442 PDF: https://app.parlamento.pt/webutils/docs/doc.pdf?path=6148523063484d364c793942556b356c6443397a6158526c63793959566b6c4a544556484c3039464c7a49774d6a59794d4449314d5441774f533951515338304d6a59324d7a45355979307a4e4451794c5451354f5749744f546b354e4330794f5755324f5449784d4745784d6d55756347526d&amp;Fich=4266319c-3442-499b-9994-29e69210a12e.pdf&amp;Inline=true</t>
        </is>
      </c>
      <c r="X278" s="2" t="inlineStr">
        <is>
          <t>Assuntos Constitucionais, Direitos, Liberdades e Garantias</t>
        </is>
      </c>
      <c r="Y278" s="2" t="inlineStr">
        <is>
          <t>Articulado</t>
        </is>
      </c>
      <c r="Z278" s="2" t="inlineStr">
        <is>
          <t>Aditamento (Artigo PPL)</t>
        </is>
      </c>
      <c r="AA278" s="2" t="inlineStr">
        <is>
          <t>Rejeitado(a) em Comissão</t>
        </is>
      </c>
      <c r="AB278" s="2" t="inlineStr"/>
      <c r="AC278" s="2" t="inlineStr"/>
      <c r="AD278" s="2" t="inlineStr">
        <is>
          <t>1</t>
        </is>
      </c>
      <c r="AE278" s="2" t="inlineStr">
        <is>
          <t>23442</t>
        </is>
      </c>
      <c r="AF278" s="2" t="inlineStr">
        <is>
          <t>https://www.parlamento.pt/OrcamentoEstado/Paginas/DetalhePropostaAlteracao.aspx?BID=23442</t>
        </is>
      </c>
      <c r="AG278" s="2" t="inlineStr">
        <is>
          <t>https://app.parlamento.pt/webutils/docs/doc.pdf?path=6148523063484d364c793942556b356c6443397a6158526c63793959566b6c4a544556484c3039464c7a49774d6a59794d4449314d5441774f533951515338304d6a59324d7a45355979307a4e4451794c5451354f5749744f546b354e4330794f5755324f5449784d4745784d6d55756347526d&amp;Fich=4266319c-3442-499b-9994-29e69210a12e.pdf&amp;Inline=true</t>
        </is>
      </c>
      <c r="AH278" s="3" t="n">
        <v>46321.77847222222</v>
      </c>
      <c r="AI278" s="3" t="n">
        <v>46321.78055555555</v>
      </c>
      <c r="AJ278" s="2" t="inlineStr"/>
    </row>
    <row r="279">
      <c r="A279" s="2" t="n">
        <v>278</v>
      </c>
      <c r="B279" s="2" t="inlineStr">
        <is>
          <t>249C</t>
        </is>
      </c>
      <c r="C279" s="3" t="n">
        <v>45964.65555555555</v>
      </c>
      <c r="D279" s="2" t="inlineStr">
        <is>
          <t>Original</t>
        </is>
      </c>
      <c r="E279" s="2" t="inlineStr">
        <is>
          <t>CH</t>
        </is>
      </c>
      <c r="F27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79" s="2" t="inlineStr">
        <is>
          <t>Art. 136.º-A (aditamento)</t>
        </is>
      </c>
      <c r="H279" s="2" t="n"/>
      <c r="I279" s="2" t="n"/>
      <c r="J279" s="2" t="n"/>
      <c r="K279" s="2" t="n"/>
      <c r="L279" s="2" t="inlineStr">
        <is>
          <t>Artigo 136.º-A (Reforço número de psicólogos nas forças de segurança)</t>
        </is>
      </c>
      <c r="M279" s="4" t="n"/>
      <c r="N279" s="4" t="n"/>
      <c r="O279" s="2" t="n"/>
      <c r="P279" s="2" t="n"/>
      <c r="Q279" s="2" t="n"/>
      <c r="R279" s="2" t="n"/>
      <c r="S279" s="2" t="inlineStr">
        <is>
          <t>Rejeitado(a) em Comissão</t>
        </is>
      </c>
      <c r="T279" s="2" t="inlineStr">
        <is>
          <t>Rejeitada</t>
        </is>
      </c>
      <c r="U279" s="2" t="inlineStr">
        <is>
          <t>Favor: CH, IL, BE, PAN; Contra: PSD, CDS-PP; Abstenção: PS, L, PCP</t>
        </is>
      </c>
      <c r="V279" s="3" t="n">
        <v>45987</v>
      </c>
      <c r="W279" s="2" t="inlineStr">
        <is>
          <t>AR: https://www.parlamento.pt/OrcamentoEstado/Paginas/DetalhePropostaAlteracao.aspx?BID=23443 PDF: https://app.parlamento.pt/webutils/docs/doc.pdf?path=6148523063484d364c793942556b356c6443397a6158526c63793959566b6c4a544556484c3039464c7a49774d6a59794d4449314d5441774f5339515153396a4e3259344f544e694d4330315a5449774c54526c4d3259745954566a4d7930784e7a51785a6a41794e7a59784f5441756347526d&amp;Fich=c7f893b0-5e20-4e3f-a5c3-1741f0276190.pdf&amp;Inline=true</t>
        </is>
      </c>
      <c r="X279" s="2" t="inlineStr">
        <is>
          <t>Assuntos Constitucionais, Direitos, Liberdades e Garantias; Saúde</t>
        </is>
      </c>
      <c r="Y279" s="2" t="inlineStr">
        <is>
          <t>Articulado</t>
        </is>
      </c>
      <c r="Z279" s="2" t="inlineStr">
        <is>
          <t>Aditamento (Artigo PPL)</t>
        </is>
      </c>
      <c r="AA279" s="2" t="inlineStr">
        <is>
          <t>Rejeitado(a) em Comissão</t>
        </is>
      </c>
      <c r="AB279" s="2" t="inlineStr"/>
      <c r="AC279" s="2" t="inlineStr"/>
      <c r="AD279" s="2" t="inlineStr">
        <is>
          <t>1</t>
        </is>
      </c>
      <c r="AE279" s="2" t="inlineStr">
        <is>
          <t>23443</t>
        </is>
      </c>
      <c r="AF279" s="2" t="inlineStr">
        <is>
          <t>https://www.parlamento.pt/OrcamentoEstado/Paginas/DetalhePropostaAlteracao.aspx?BID=23443</t>
        </is>
      </c>
      <c r="AG279" s="2" t="inlineStr">
        <is>
          <t>https://app.parlamento.pt/webutils/docs/doc.pdf?path=6148523063484d364c793942556b356c6443397a6158526c63793959566b6c4a544556484c3039464c7a49774d6a59794d4449314d5441774f5339515153396a4e3259344f544e694d4330315a5449774c54526c4d3259745954566a4d7930784e7a51785a6a41794e7a59784f5441756347526d&amp;Fich=c7f893b0-5e20-4e3f-a5c3-1741f0276190.pdf&amp;Inline=true</t>
        </is>
      </c>
      <c r="AH279" s="3" t="n">
        <v>46321.77847222222</v>
      </c>
      <c r="AI279" s="3" t="n">
        <v>46321.78055555555</v>
      </c>
      <c r="AJ279" s="2" t="inlineStr"/>
    </row>
    <row r="280">
      <c r="A280" s="2" t="n">
        <v>279</v>
      </c>
      <c r="B280" s="2" t="inlineStr">
        <is>
          <t>250C</t>
        </is>
      </c>
      <c r="C280" s="3" t="n">
        <v>45964.65763888889</v>
      </c>
      <c r="D280" s="2" t="inlineStr">
        <is>
          <t>Original</t>
        </is>
      </c>
      <c r="E280" s="2" t="inlineStr">
        <is>
          <t>CH</t>
        </is>
      </c>
      <c r="F28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80" s="2" t="inlineStr">
        <is>
          <t>Art. 136.º-A (aditamento)</t>
        </is>
      </c>
      <c r="H280" s="2" t="n"/>
      <c r="I280" s="2" t="n"/>
      <c r="J280" s="2" t="n"/>
      <c r="K280" s="2" t="n"/>
      <c r="L280" s="2" t="inlineStr">
        <is>
          <t>Artigo 136.º-A (Requalificação da Ponte Velha do Vouga)</t>
        </is>
      </c>
      <c r="M280" s="4" t="n"/>
      <c r="N280" s="4" t="n"/>
      <c r="O280" s="2" t="n"/>
      <c r="P280" s="2" t="n"/>
      <c r="Q280" s="2" t="n"/>
      <c r="R280" s="2" t="n"/>
      <c r="S280" s="2" t="inlineStr">
        <is>
          <t>Rejeitado(a) em Comissão</t>
        </is>
      </c>
      <c r="T280" s="2" t="inlineStr">
        <is>
          <t>Rejeitada</t>
        </is>
      </c>
      <c r="U280" s="2" t="inlineStr">
        <is>
          <t>Favor: CH; Contra: PSD, CDS-PP; Abstenção: PS, IL, L, PCP, BE, PAN</t>
        </is>
      </c>
      <c r="V280" s="3" t="n">
        <v>45987</v>
      </c>
      <c r="W280" s="2" t="inlineStr">
        <is>
          <t>AR: https://www.parlamento.pt/OrcamentoEstado/Paginas/DetalhePropostaAlteracao.aspx?BID=23445 PDF: https://app.parlamento.pt/webutils/docs/doc.pdf?path=6148523063484d364c793942556b356c6443397a6158526c63793959566b6c4a544556484c3039464c7a49774d6a59794d4449314d5441774f5339515153396d59575a6b4e5745794d43316b595467354c5451774f5449744f44526b4d53307a4e6d566c4d6d49324d54466a4f474d756347526d&amp;Fich=fafd5a20-da89-4092-84d1-36ee2b611c8c.pdf&amp;Inline=true</t>
        </is>
      </c>
      <c r="X280" s="2" t="inlineStr">
        <is>
          <t>Infraestruturas, Mobilidade e Habitação; Reforma do Estado e Poder Local</t>
        </is>
      </c>
      <c r="Y280" s="2" t="inlineStr">
        <is>
          <t>Articulado</t>
        </is>
      </c>
      <c r="Z280" s="2" t="inlineStr">
        <is>
          <t>Aditamento (Artigo PPL)</t>
        </is>
      </c>
      <c r="AA280" s="2" t="inlineStr">
        <is>
          <t>Rejeitado(a) em Comissão</t>
        </is>
      </c>
      <c r="AB280" s="2" t="inlineStr"/>
      <c r="AC280" s="2" t="inlineStr"/>
      <c r="AD280" s="2" t="inlineStr">
        <is>
          <t>1</t>
        </is>
      </c>
      <c r="AE280" s="2" t="inlineStr">
        <is>
          <t>23445</t>
        </is>
      </c>
      <c r="AF280" s="2" t="inlineStr">
        <is>
          <t>https://www.parlamento.pt/OrcamentoEstado/Paginas/DetalhePropostaAlteracao.aspx?BID=23445</t>
        </is>
      </c>
      <c r="AG280" s="2" t="inlineStr">
        <is>
          <t>https://app.parlamento.pt/webutils/docs/doc.pdf?path=6148523063484d364c793942556b356c6443397a6158526c63793959566b6c4a544556484c3039464c7a49774d6a59794d4449314d5441774f5339515153396d59575a6b4e5745794d43316b595467354c5451774f5449744f44526b4d53307a4e6d566c4d6d49324d54466a4f474d756347526d&amp;Fich=fafd5a20-da89-4092-84d1-36ee2b611c8c.pdf&amp;Inline=true</t>
        </is>
      </c>
      <c r="AH280" s="3" t="n">
        <v>46321.77847222222</v>
      </c>
      <c r="AI280" s="3" t="n">
        <v>46321.78055555555</v>
      </c>
      <c r="AJ280" s="2" t="inlineStr"/>
    </row>
    <row r="281">
      <c r="A281" s="2" t="n">
        <v>280</v>
      </c>
      <c r="B281" s="2" t="inlineStr">
        <is>
          <t>251C</t>
        </is>
      </c>
      <c r="C281" s="3" t="n">
        <v>45964.65833333333</v>
      </c>
      <c r="D281" s="2" t="inlineStr">
        <is>
          <t>Original</t>
        </is>
      </c>
      <c r="E281" s="2" t="inlineStr">
        <is>
          <t>CH</t>
        </is>
      </c>
      <c r="F28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81" s="2" t="inlineStr">
        <is>
          <t>Art. 136.º-A (aditamento)</t>
        </is>
      </c>
      <c r="H281" s="2" t="n"/>
      <c r="I281" s="2" t="n"/>
      <c r="J281" s="2" t="n"/>
      <c r="K281" s="2" t="n"/>
      <c r="L281" s="2" t="inlineStr">
        <is>
          <t>Artigo 136.º-A (Requalificação das Lotas e Portos de Pesca do Algarve)</t>
        </is>
      </c>
      <c r="M281" s="4" t="n"/>
      <c r="N281" s="4" t="n"/>
      <c r="O281" s="2" t="n"/>
      <c r="P281" s="2" t="n"/>
      <c r="Q281" s="2" t="n"/>
      <c r="R281" s="2" t="n"/>
      <c r="S281" s="2" t="inlineStr">
        <is>
          <t>Rejeitado(a) em Comissão</t>
        </is>
      </c>
      <c r="T281" s="2" t="inlineStr">
        <is>
          <t>Rejeitada</t>
        </is>
      </c>
      <c r="U281" s="2" t="inlineStr">
        <is>
          <t>Favor: CH, IL, BE; Contra: PSD, CDS-PP, PAN; Abstenção: PS, L, PCP</t>
        </is>
      </c>
      <c r="V281" s="3" t="n">
        <v>45987</v>
      </c>
      <c r="W281" s="2" t="inlineStr">
        <is>
          <t>AR: https://www.parlamento.pt/OrcamentoEstado/Paginas/DetalhePropostaAlteracao.aspx?BID=23446 PDF: https://app.parlamento.pt/webutils/docs/doc.pdf?path=6148523063484d364c793942556b356c6443397a6158526c63793959566b6c4a544556484c3039464c7a49774d6a59794d4449314d5441774f533951515338324d7a45325a5445774d7930335932566c4c54526a4d444174596d526a4d7930314d4751345a5456694e47566c4f5451756347526d&amp;Fich=6316e103-7cee-4c00-bdc3-50d8e5b4ee94.pdf&amp;Inline=true</t>
        </is>
      </c>
      <c r="X281" s="2" t="inlineStr">
        <is>
          <t>Agricultura e Pescas</t>
        </is>
      </c>
      <c r="Y281" s="2" t="inlineStr">
        <is>
          <t>Articulado</t>
        </is>
      </c>
      <c r="Z281" s="2" t="inlineStr">
        <is>
          <t>Aditamento (Artigo PPL)</t>
        </is>
      </c>
      <c r="AA281" s="2" t="inlineStr">
        <is>
          <t>Rejeitado(a) em Comissão</t>
        </is>
      </c>
      <c r="AB281" s="2" t="inlineStr"/>
      <c r="AC281" s="2" t="inlineStr"/>
      <c r="AD281" s="2" t="inlineStr">
        <is>
          <t>1</t>
        </is>
      </c>
      <c r="AE281" s="2" t="inlineStr">
        <is>
          <t>23446</t>
        </is>
      </c>
      <c r="AF281" s="2" t="inlineStr">
        <is>
          <t>https://www.parlamento.pt/OrcamentoEstado/Paginas/DetalhePropostaAlteracao.aspx?BID=23446</t>
        </is>
      </c>
      <c r="AG281" s="2" t="inlineStr">
        <is>
          <t>https://app.parlamento.pt/webutils/docs/doc.pdf?path=6148523063484d364c793942556b356c6443397a6158526c63793959566b6c4a544556484c3039464c7a49774d6a59794d4449314d5441774f533951515338324d7a45325a5445774d7930335932566c4c54526a4d444174596d526a4d7930314d4751345a5456694e47566c4f5451756347526d&amp;Fich=6316e103-7cee-4c00-bdc3-50d8e5b4ee94.pdf&amp;Inline=true</t>
        </is>
      </c>
      <c r="AH281" s="3" t="n">
        <v>46321.77847222222</v>
      </c>
      <c r="AI281" s="3" t="n">
        <v>46321.78055555555</v>
      </c>
      <c r="AJ281" s="2" t="inlineStr"/>
    </row>
    <row r="282">
      <c r="A282" s="2" t="n">
        <v>281</v>
      </c>
      <c r="B282" s="2" t="inlineStr">
        <is>
          <t>252C</t>
        </is>
      </c>
      <c r="C282" s="3" t="n">
        <v>45964.65972222222</v>
      </c>
      <c r="D282" s="2" t="inlineStr">
        <is>
          <t>Original</t>
        </is>
      </c>
      <c r="E282" s="2" t="inlineStr">
        <is>
          <t>CH</t>
        </is>
      </c>
      <c r="F28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82" s="2" t="inlineStr">
        <is>
          <t>Art. 136.º-A (aditamento)</t>
        </is>
      </c>
      <c r="H282" s="2" t="n"/>
      <c r="I282" s="2" t="n"/>
      <c r="J282" s="2" t="n"/>
      <c r="K282" s="2" t="n"/>
      <c r="L282" s="2" t="inlineStr">
        <is>
          <t>Artigo 136.º-A (Requalificação do IC2)</t>
        </is>
      </c>
      <c r="M282" s="4" t="n"/>
      <c r="N282" s="4" t="n"/>
      <c r="O282" s="2" t="n"/>
      <c r="P282" s="2" t="n"/>
      <c r="Q282" s="2" t="n"/>
      <c r="R282" s="2" t="n"/>
      <c r="S282" s="2" t="inlineStr">
        <is>
          <t>Rejeitado(a) em Comissão</t>
        </is>
      </c>
      <c r="T282" s="2" t="inlineStr">
        <is>
          <t>Rejeitada</t>
        </is>
      </c>
      <c r="U282" s="2" t="inlineStr">
        <is>
          <t>Favor: CH, IL, BE; Contra: PSD, CDS-PP; Abstenção: PS, L, PCP, PAN</t>
        </is>
      </c>
      <c r="V282" s="3" t="n">
        <v>45987</v>
      </c>
      <c r="W282" s="2" t="inlineStr">
        <is>
          <t>AR: https://www.parlamento.pt/OrcamentoEstado/Paginas/DetalhePropostaAlteracao.aspx?BID=23447 PDF: https://app.parlamento.pt/webutils/docs/doc.pdf?path=6148523063484d364c793942556b356c6443397a6158526c63793959566b6c4a544556484c3039464c7a49774d6a59794d4449314d5441774f533951515339684d3259774d57497a595331695a6a4e6c4c54517a597a41744f4446694e6930354f475a6a4d44426959546469593259756347526d&amp;Fich=a3f01b3a-bf3e-43c0-81b6-98fc00ba7bcf.pdf&amp;Inline=true</t>
        </is>
      </c>
      <c r="X282" s="2" t="inlineStr">
        <is>
          <t>Infraestruturas, Mobilidade e Habitação</t>
        </is>
      </c>
      <c r="Y282" s="2" t="inlineStr">
        <is>
          <t>Articulado</t>
        </is>
      </c>
      <c r="Z282" s="2" t="inlineStr">
        <is>
          <t>Aditamento (Artigo PPL)</t>
        </is>
      </c>
      <c r="AA282" s="2" t="inlineStr">
        <is>
          <t>Rejeitado(a) em Comissão</t>
        </is>
      </c>
      <c r="AB282" s="2" t="inlineStr"/>
      <c r="AC282" s="2" t="inlineStr"/>
      <c r="AD282" s="2" t="inlineStr">
        <is>
          <t>1</t>
        </is>
      </c>
      <c r="AE282" s="2" t="inlineStr">
        <is>
          <t>23447</t>
        </is>
      </c>
      <c r="AF282" s="2" t="inlineStr">
        <is>
          <t>https://www.parlamento.pt/OrcamentoEstado/Paginas/DetalhePropostaAlteracao.aspx?BID=23447</t>
        </is>
      </c>
      <c r="AG282" s="2" t="inlineStr">
        <is>
          <t>https://app.parlamento.pt/webutils/docs/doc.pdf?path=6148523063484d364c793942556b356c6443397a6158526c63793959566b6c4a544556484c3039464c7a49774d6a59794d4449314d5441774f533951515339684d3259774d57497a595331695a6a4e6c4c54517a597a41744f4446694e6930354f475a6a4d44426959546469593259756347526d&amp;Fich=a3f01b3a-bf3e-43c0-81b6-98fc00ba7bcf.pdf&amp;Inline=true</t>
        </is>
      </c>
      <c r="AH282" s="3" t="n">
        <v>46321.77847222222</v>
      </c>
      <c r="AI282" s="3" t="n">
        <v>46321.78055555555</v>
      </c>
      <c r="AJ282" s="2" t="inlineStr"/>
    </row>
    <row r="283">
      <c r="A283" s="2" t="n">
        <v>282</v>
      </c>
      <c r="B283" s="2" t="inlineStr">
        <is>
          <t>253C</t>
        </is>
      </c>
      <c r="C283" s="3" t="n">
        <v>45964.66041666667</v>
      </c>
      <c r="D283" s="2" t="inlineStr">
        <is>
          <t>Original</t>
        </is>
      </c>
      <c r="E283" s="2" t="inlineStr">
        <is>
          <t>CH</t>
        </is>
      </c>
      <c r="F28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83" s="2" t="inlineStr">
        <is>
          <t>Art. 136.º-A (aditamento)</t>
        </is>
      </c>
      <c r="H283" s="2" t="n"/>
      <c r="I283" s="2" t="n"/>
      <c r="J283" s="2" t="n"/>
      <c r="K283" s="2" t="n"/>
      <c r="L283" s="2" t="inlineStr">
        <is>
          <t>Artigo 136.º-A (Plano Nacional de Remigração)</t>
        </is>
      </c>
      <c r="M283" s="4" t="n"/>
      <c r="N283" s="4" t="n"/>
      <c r="O283" s="2" t="n"/>
      <c r="P283" s="2" t="n"/>
      <c r="Q283" s="2" t="n"/>
      <c r="R283" s="2" t="n"/>
      <c r="S283" s="2" t="inlineStr">
        <is>
          <t>Rejeitado(a) em Comissão</t>
        </is>
      </c>
      <c r="T283" s="2" t="inlineStr">
        <is>
          <t>Rejeitada</t>
        </is>
      </c>
      <c r="U283" s="2" t="inlineStr">
        <is>
          <t>Favor: CH; Contra: PSD, PS, IL, L, PCP, BE, PAN; Abstenção: CDS-PP</t>
        </is>
      </c>
      <c r="V283" s="3" t="n">
        <v>45987</v>
      </c>
      <c r="W283" s="2" t="inlineStr">
        <is>
          <t>AR: https://www.parlamento.pt/OrcamentoEstado/Paginas/DetalhePropostaAlteracao.aspx?BID=23448 PDF: https://app.parlamento.pt/webutils/docs/doc.pdf?path=6148523063484d364c793942556b356c6443397a6158526c63793959566b6c4a544556484c3039464c7a49774d6a59794d4449314d5441774f533951515339695a474d305a446c6b4f43316b4d546b354c54526c4d7a41744f4749304e7930774e7a4e6b4d7a6b34597a686d597a59756347526d&amp;Fich=bdc4d9d8-d199-4e30-8b47-073d398c8fc6.pdf&amp;Inline=true</t>
        </is>
      </c>
      <c r="X283" s="2" t="inlineStr">
        <is>
          <t>Assuntos Constitucionais, Direitos, Liberdades e Garantias</t>
        </is>
      </c>
      <c r="Y283" s="2" t="inlineStr">
        <is>
          <t>Articulado</t>
        </is>
      </c>
      <c r="Z283" s="2" t="inlineStr">
        <is>
          <t>Aditamento (Artigo PPL)</t>
        </is>
      </c>
      <c r="AA283" s="2" t="inlineStr">
        <is>
          <t>Rejeitado(a) em Comissão</t>
        </is>
      </c>
      <c r="AB283" s="2" t="inlineStr"/>
      <c r="AC283" s="2" t="inlineStr"/>
      <c r="AD283" s="2" t="inlineStr">
        <is>
          <t>1</t>
        </is>
      </c>
      <c r="AE283" s="2" t="inlineStr">
        <is>
          <t>23448</t>
        </is>
      </c>
      <c r="AF283" s="2" t="inlineStr">
        <is>
          <t>https://www.parlamento.pt/OrcamentoEstado/Paginas/DetalhePropostaAlteracao.aspx?BID=23448</t>
        </is>
      </c>
      <c r="AG283" s="2" t="inlineStr">
        <is>
          <t>https://app.parlamento.pt/webutils/docs/doc.pdf?path=6148523063484d364c793942556b356c6443397a6158526c63793959566b6c4a544556484c3039464c7a49774d6a59794d4449314d5441774f533951515339695a474d305a446c6b4f43316b4d546b354c54526c4d7a41744f4749304e7930774e7a4e6b4d7a6b34597a686d597a59756347526d&amp;Fich=bdc4d9d8-d199-4e30-8b47-073d398c8fc6.pdf&amp;Inline=true</t>
        </is>
      </c>
      <c r="AH283" s="3" t="n">
        <v>46321.77847222222</v>
      </c>
      <c r="AI283" s="3" t="n">
        <v>46321.78055555555</v>
      </c>
      <c r="AJ283" s="2" t="inlineStr"/>
    </row>
    <row r="284">
      <c r="A284" s="2" t="n">
        <v>283</v>
      </c>
      <c r="B284" s="2" t="inlineStr">
        <is>
          <t>254C-1</t>
        </is>
      </c>
      <c r="C284" s="3" t="n">
        <v>45964.66111111111</v>
      </c>
      <c r="D284" s="2" t="inlineStr">
        <is>
          <t>Original</t>
        </is>
      </c>
      <c r="E284" s="2" t="inlineStr">
        <is>
          <t>IL</t>
        </is>
      </c>
      <c r="F284" s="2" t="inlineStr">
        <is>
          <t>Angélique Da Teresa; Carlos Guimarães Pinto; Joana Cordeiro; Jorge Miguel Teixeira; Mariana Leitão; Mário Amorim Lopes; Miguel Rangel; Rodrigo Saraiva; Rui Rocha</t>
        </is>
      </c>
      <c r="G284" s="2" t="inlineStr">
        <is>
          <t>Art. 118.º-A (aditamento)</t>
        </is>
      </c>
      <c r="H284" s="2" t="n"/>
      <c r="I284" s="2" t="n"/>
      <c r="J284" s="2" t="n"/>
      <c r="K284" s="2" t="n"/>
      <c r="L284" s="2" t="inlineStr">
        <is>
          <t>Artigo 118.º-A (Alteração ao Estatuto do Ensino Particular e Cooperativo de nível não superior)</t>
        </is>
      </c>
      <c r="M284" s="4" t="n"/>
      <c r="N284" s="4" t="n"/>
      <c r="O284" s="2" t="n"/>
      <c r="P284" s="2" t="n"/>
      <c r="Q284" s="2" t="n"/>
      <c r="R284" s="2" t="n"/>
      <c r="S284" s="2" t="inlineStr">
        <is>
          <t>Rejeitado(a) em Comissão</t>
        </is>
      </c>
      <c r="T284" s="2" t="inlineStr">
        <is>
          <t>Rejeitada</t>
        </is>
      </c>
      <c r="U284" s="2" t="inlineStr">
        <is>
          <t>Favor: CH, IL, PAN; Contra: PSD, L, PCP, CDS-PP, BE; Abstenção: PS</t>
        </is>
      </c>
      <c r="V284" s="3" t="n">
        <v>45985</v>
      </c>
      <c r="W284" s="2" t="inlineStr">
        <is>
          <t>AR: https://www.parlamento.pt/OrcamentoEstado/Paginas/DetalhePropostaAlteracao.aspx?BID=23449 PDF: https://app.parlamento.pt/webutils/docs/doc.pdf?path=6148523063484d364c793942556b356c6443397a6158526c63793959566b6c4a544556484c3039464c7a49774d6a59794d4449314d5441774f5339515153396d4e6a5178596a4e6d4d53307a4d5463354c54526b4f545574595463314d7930324d6a51774e7a6b334d6a42684f444d756347526d&amp;Fich=f641b3f1-3179-4d95-a753-624079720a83.pdf&amp;Inline=true</t>
        </is>
      </c>
      <c r="X284" s="2" t="inlineStr">
        <is>
          <t>Educação e Ciência</t>
        </is>
      </c>
      <c r="Y284" s="2" t="inlineStr">
        <is>
          <t>Articulado</t>
        </is>
      </c>
      <c r="Z284" s="2" t="inlineStr">
        <is>
          <t>Aditamento (Artigo PPL)</t>
        </is>
      </c>
      <c r="AA284" s="2" t="inlineStr">
        <is>
          <t>Rejeitado(a) em Comissão</t>
        </is>
      </c>
      <c r="AB284" s="2" t="inlineStr"/>
      <c r="AC284" s="2" t="inlineStr">
        <is>
          <t>1</t>
        </is>
      </c>
      <c r="AD284" s="2" t="inlineStr">
        <is>
          <t>1</t>
        </is>
      </c>
      <c r="AE284" s="2" t="inlineStr">
        <is>
          <t>23449</t>
        </is>
      </c>
      <c r="AF284" s="2" t="inlineStr">
        <is>
          <t>https://www.parlamento.pt/OrcamentoEstado/Paginas/DetalhePropostaAlteracao.aspx?BID=23449</t>
        </is>
      </c>
      <c r="AG284" s="2" t="inlineStr">
        <is>
          <t>https://app.parlamento.pt/webutils/docs/doc.pdf?path=6148523063484d364c793942556b356c6443397a6158526c63793959566b6c4a544556484c3039464c7a49774d6a59794d4449314d5441774f5339515153396d4e6a5178596a4e6d4d53307a4d5463354c54526b4f545574595463314d7930324d6a51774e7a6b334d6a42684f444d756347526d&amp;Fich=f641b3f1-3179-4d95-a753-624079720a83.pdf&amp;Inline=true</t>
        </is>
      </c>
      <c r="AH284" s="3" t="n">
        <v>46321.77847222222</v>
      </c>
      <c r="AI284" s="3" t="n">
        <v>46321.78055555555</v>
      </c>
      <c r="AJ284" s="2" t="inlineStr"/>
    </row>
    <row r="285">
      <c r="A285" s="2" t="n">
        <v>284</v>
      </c>
      <c r="B285" s="2" t="inlineStr">
        <is>
          <t>254C-2</t>
        </is>
      </c>
      <c r="C285" s="3" t="n">
        <v>45964.66111111111</v>
      </c>
      <c r="D285" s="2" t="inlineStr">
        <is>
          <t>Original</t>
        </is>
      </c>
      <c r="E285" s="2" t="inlineStr">
        <is>
          <t>IL</t>
        </is>
      </c>
      <c r="F285" s="2" t="inlineStr">
        <is>
          <t>Angélique Da Teresa; Carlos Guimarães Pinto; Joana Cordeiro; Jorge Miguel Teixeira; Mariana Leitão; Mário Amorim Lopes; Miguel Rangel; Rodrigo Saraiva; Rui Rocha</t>
        </is>
      </c>
      <c r="G285" s="2" t="inlineStr">
        <is>
          <t>Art. 118.º-B (aditamento)</t>
        </is>
      </c>
      <c r="H285" s="2" t="n"/>
      <c r="I285" s="2" t="n"/>
      <c r="J285" s="2" t="n"/>
      <c r="K285" s="2" t="n"/>
      <c r="L285" s="2" t="inlineStr">
        <is>
          <t>Artigo 118.º-B (Alteração ao regime jurídico das escolas profissionais privadas e públicas, no âmbito do ensino superior)</t>
        </is>
      </c>
      <c r="M285" s="4" t="n"/>
      <c r="N285" s="4" t="n"/>
      <c r="O285" s="2" t="n"/>
      <c r="P285" s="2" t="n"/>
      <c r="Q285" s="2" t="n"/>
      <c r="R285" s="2" t="n"/>
      <c r="S285" s="2" t="inlineStr">
        <is>
          <t>Rejeitado(a) em Comissão</t>
        </is>
      </c>
      <c r="T285" s="2" t="inlineStr">
        <is>
          <t>Rejeitada</t>
        </is>
      </c>
      <c r="U285" s="2" t="inlineStr">
        <is>
          <t>Favor: CH, IL, PAN; Contra: PSD, CDS-PP, BE; Abstenção: PS, L, PCP</t>
        </is>
      </c>
      <c r="V285" s="3" t="n">
        <v>45985</v>
      </c>
      <c r="W285" s="2" t="inlineStr">
        <is>
          <t>AR: https://www.parlamento.pt/OrcamentoEstado/Paginas/DetalhePropostaAlteracao.aspx?BID=23735 PDF: https://app.parlamento.pt/webutils/docs/doc.pdf?path=6148523063484d364c793942556b356c6443397a6158526c63793959566b6c4a544556484c3039464c7a49774d6a59794d4449314d5441774f53395151533879596a6b784e546b314e5331684f5451304c5451794e4441744f445534596930794d546330596a526a4d6d59315a4745756347526d&amp;Fich=2b915955-a944-4240-858b-2174b4c2f5da.pdf&amp;Inline=true</t>
        </is>
      </c>
      <c r="X285" s="2" t="inlineStr">
        <is>
          <t>Educação e Ciência</t>
        </is>
      </c>
      <c r="Y285" s="2" t="inlineStr">
        <is>
          <t>Articulado</t>
        </is>
      </c>
      <c r="Z285" s="2" t="inlineStr">
        <is>
          <t>Aditamento (Artigo PPL)</t>
        </is>
      </c>
      <c r="AA285" s="2" t="inlineStr">
        <is>
          <t>Rejeitado(a) em Comissão</t>
        </is>
      </c>
      <c r="AB285" s="2" t="inlineStr"/>
      <c r="AC285" s="2" t="inlineStr">
        <is>
          <t>2</t>
        </is>
      </c>
      <c r="AD285" s="2" t="inlineStr">
        <is>
          <t>1</t>
        </is>
      </c>
      <c r="AE285" s="2" t="inlineStr">
        <is>
          <t>23735</t>
        </is>
      </c>
      <c r="AF285" s="2" t="inlineStr">
        <is>
          <t>https://www.parlamento.pt/OrcamentoEstado/Paginas/DetalhePropostaAlteracao.aspx?BID=23735</t>
        </is>
      </c>
      <c r="AG285" s="2" t="inlineStr">
        <is>
          <t>https://app.parlamento.pt/webutils/docs/doc.pdf?path=6148523063484d364c793942556b356c6443397a6158526c63793959566b6c4a544556484c3039464c7a49774d6a59794d4449314d5441774f53395151533879596a6b784e546b314e5331684f5451304c5451794e4441744f445534596930794d546330596a526a4d6d59315a4745756347526d&amp;Fich=2b915955-a944-4240-858b-2174b4c2f5da.pdf&amp;Inline=true</t>
        </is>
      </c>
      <c r="AH285" s="3" t="n">
        <v>46321.77847222222</v>
      </c>
      <c r="AI285" s="3" t="n">
        <v>46321.78055555555</v>
      </c>
      <c r="AJ285" s="2" t="inlineStr"/>
    </row>
    <row r="286">
      <c r="A286" s="2" t="n">
        <v>285</v>
      </c>
      <c r="B286" s="2" t="inlineStr">
        <is>
          <t>255C</t>
        </is>
      </c>
      <c r="C286" s="3" t="n">
        <v>45964.6625</v>
      </c>
      <c r="D286" s="2" t="inlineStr">
        <is>
          <t>Original</t>
        </is>
      </c>
      <c r="E286" s="2" t="inlineStr">
        <is>
          <t>CH</t>
        </is>
      </c>
      <c r="F28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86" s="2" t="inlineStr">
        <is>
          <t>Art. 136.º-A (aditamento)</t>
        </is>
      </c>
      <c r="H286" s="2" t="n"/>
      <c r="I286" s="2" t="n"/>
      <c r="J286" s="2" t="n"/>
      <c r="K286" s="2" t="n"/>
      <c r="L286" s="2" t="inlineStr">
        <is>
          <t>Artigo 136.º-A (Construção de um novo Estabelecimento Prisional em Coimbra)</t>
        </is>
      </c>
      <c r="M286" s="4" t="n"/>
      <c r="N286" s="4" t="n"/>
      <c r="O286" s="2" t="n"/>
      <c r="P286" s="2" t="n"/>
      <c r="Q286" s="2" t="n"/>
      <c r="R286" s="2" t="n"/>
      <c r="S286" s="2" t="inlineStr">
        <is>
          <t>Rejeitado(a) em Comissão</t>
        </is>
      </c>
      <c r="T286" s="2" t="inlineStr">
        <is>
          <t>Rejeitada</t>
        </is>
      </c>
      <c r="U286" s="2" t="inlineStr">
        <is>
          <t>Favor: CH, BE, PAN; Contra: PSD, CDS-PP; Abstenção: PS, IL, L, PCP</t>
        </is>
      </c>
      <c r="V286" s="3" t="n">
        <v>45987</v>
      </c>
      <c r="W286" s="2" t="inlineStr">
        <is>
          <t>AR: https://www.parlamento.pt/OrcamentoEstado/Paginas/DetalhePropostaAlteracao.aspx?BID=23450 PDF: https://app.parlamento.pt/webutils/docs/doc.pdf?path=6148523063484d364c793942556b356c6443397a6158526c63793959566b6c4a544556484c3039464c7a49774d6a59794d4449314d5441774f533951515339694d444d775a5441794d7930315a54646c4c54526c4d475974596d55315a533077595745784f444e6b4e544a694f4451756347526d&amp;Fich=b030e023-5e7e-4e0f-be5e-0aa183d52b84.pdf&amp;Inline=true</t>
        </is>
      </c>
      <c r="X286" s="2" t="inlineStr">
        <is>
          <t>Assuntos Constitucionais, Direitos, Liberdades e Garantias</t>
        </is>
      </c>
      <c r="Y286" s="2" t="inlineStr">
        <is>
          <t>Articulado</t>
        </is>
      </c>
      <c r="Z286" s="2" t="inlineStr">
        <is>
          <t>Aditamento (Artigo PPL)</t>
        </is>
      </c>
      <c r="AA286" s="2" t="inlineStr">
        <is>
          <t>Rejeitado(a) em Comissão</t>
        </is>
      </c>
      <c r="AB286" s="2" t="inlineStr"/>
      <c r="AC286" s="2" t="inlineStr"/>
      <c r="AD286" s="2" t="inlineStr">
        <is>
          <t>1</t>
        </is>
      </c>
      <c r="AE286" s="2" t="inlineStr">
        <is>
          <t>23450</t>
        </is>
      </c>
      <c r="AF286" s="2" t="inlineStr">
        <is>
          <t>https://www.parlamento.pt/OrcamentoEstado/Paginas/DetalhePropostaAlteracao.aspx?BID=23450</t>
        </is>
      </c>
      <c r="AG286" s="2" t="inlineStr">
        <is>
          <t>https://app.parlamento.pt/webutils/docs/doc.pdf?path=6148523063484d364c793942556b356c6443397a6158526c63793959566b6c4a544556484c3039464c7a49774d6a59794d4449314d5441774f533951515339694d444d775a5441794d7930315a54646c4c54526c4d475974596d55315a533077595745784f444e6b4e544a694f4451756347526d&amp;Fich=b030e023-5e7e-4e0f-be5e-0aa183d52b84.pdf&amp;Inline=true</t>
        </is>
      </c>
      <c r="AH286" s="3" t="n">
        <v>46321.77847222222</v>
      </c>
      <c r="AI286" s="3" t="n">
        <v>46321.78055555555</v>
      </c>
      <c r="AJ286" s="2" t="inlineStr"/>
    </row>
    <row r="287">
      <c r="A287" s="2" t="n">
        <v>286</v>
      </c>
      <c r="B287" s="2" t="inlineStr">
        <is>
          <t>256C-1</t>
        </is>
      </c>
      <c r="C287" s="3" t="n">
        <v>45964.66458333333</v>
      </c>
      <c r="D287" s="2" t="inlineStr">
        <is>
          <t>Original</t>
        </is>
      </c>
      <c r="E287" s="2" t="inlineStr">
        <is>
          <t>IL</t>
        </is>
      </c>
      <c r="F287" s="2" t="inlineStr">
        <is>
          <t>Angélique Da Teresa; Carlos Guimarães Pinto; Joana Cordeiro; Jorge Miguel Teixeira; Mariana Leitão; Mário Amorim Lopes; Miguel Rangel; Rodrigo Saraiva; Rui Rocha</t>
        </is>
      </c>
      <c r="G287" s="2" t="inlineStr">
        <is>
          <t>Art. 118.º-C (aditamento)</t>
        </is>
      </c>
      <c r="H287" s="2" t="n"/>
      <c r="I287" s="2" t="n"/>
      <c r="J287" s="2" t="n"/>
      <c r="K287" s="2" t="n"/>
      <c r="L287" s="2" t="inlineStr">
        <is>
          <t>Artigo 118.º-C (Atualização do valor do apoio financeiro nos contratos de associação)</t>
        </is>
      </c>
      <c r="M287" s="4" t="n"/>
      <c r="N287" s="4" t="n"/>
      <c r="O287" s="2" t="n"/>
      <c r="P287" s="2" t="n"/>
      <c r="Q287" s="2" t="n"/>
      <c r="R287" s="2" t="n"/>
      <c r="S287" s="2" t="inlineStr">
        <is>
          <t>Rejeitado(a) em Comissão</t>
        </is>
      </c>
      <c r="T287" s="2" t="inlineStr">
        <is>
          <t>Rejeitada</t>
        </is>
      </c>
      <c r="U287" s="2" t="inlineStr">
        <is>
          <t>Favor: IL, PAN; Contra: PSD, L, PCP; Abstenção: CH, PS, CDS-PP, BE</t>
        </is>
      </c>
      <c r="V287" s="3" t="n">
        <v>45985</v>
      </c>
      <c r="W287" s="2" t="inlineStr">
        <is>
          <t>AR: https://www.parlamento.pt/OrcamentoEstado/Paginas/DetalhePropostaAlteracao.aspx?BID=23451 PDF: https://app.parlamento.pt/webutils/docs/doc.pdf?path=6148523063484d364c793942556b356c6443397a6158526c63793959566b6c4a544556484c3039464c7a49774d6a59794d4449314d5441774f5339515153387a4e6d526d596d4a684e6930774e3259334c545269596d51744f4749324d7930784f444d34597a63324d54686b4e7a45756347526d&amp;Fich=36dfbba6-07f7-4bbd-8b63-1838c7618d71.pdf&amp;Inline=true</t>
        </is>
      </c>
      <c r="X287" s="2" t="inlineStr">
        <is>
          <t>Educação e Ciência</t>
        </is>
      </c>
      <c r="Y287" s="2" t="inlineStr">
        <is>
          <t>Articulado</t>
        </is>
      </c>
      <c r="Z287" s="2" t="inlineStr">
        <is>
          <t>Aditamento (Artigo PPL)</t>
        </is>
      </c>
      <c r="AA287" s="2" t="inlineStr">
        <is>
          <t>Rejeitado(a) em Comissão</t>
        </is>
      </c>
      <c r="AB287" s="2" t="inlineStr"/>
      <c r="AC287" s="2" t="inlineStr">
        <is>
          <t>1</t>
        </is>
      </c>
      <c r="AD287" s="2" t="inlineStr">
        <is>
          <t>1</t>
        </is>
      </c>
      <c r="AE287" s="2" t="inlineStr">
        <is>
          <t>23451</t>
        </is>
      </c>
      <c r="AF287" s="2" t="inlineStr">
        <is>
          <t>https://www.parlamento.pt/OrcamentoEstado/Paginas/DetalhePropostaAlteracao.aspx?BID=23451</t>
        </is>
      </c>
      <c r="AG287" s="2" t="inlineStr">
        <is>
          <t>https://app.parlamento.pt/webutils/docs/doc.pdf?path=6148523063484d364c793942556b356c6443397a6158526c63793959566b6c4a544556484c3039464c7a49774d6a59794d4449314d5441774f5339515153387a4e6d526d596d4a684e6930774e3259334c545269596d51744f4749324d7930784f444d34597a63324d54686b4e7a45756347526d&amp;Fich=36dfbba6-07f7-4bbd-8b63-1838c7618d71.pdf&amp;Inline=true</t>
        </is>
      </c>
      <c r="AH287" s="3" t="n">
        <v>46321.77847222222</v>
      </c>
      <c r="AI287" s="3" t="n">
        <v>46321.78055555555</v>
      </c>
      <c r="AJ287" s="2" t="inlineStr"/>
    </row>
    <row r="288">
      <c r="A288" s="2" t="n">
        <v>287</v>
      </c>
      <c r="B288" s="2" t="inlineStr">
        <is>
          <t>256C-2</t>
        </is>
      </c>
      <c r="C288" s="3" t="n">
        <v>45964.66458333333</v>
      </c>
      <c r="D288" s="2" t="inlineStr">
        <is>
          <t>Original</t>
        </is>
      </c>
      <c r="E288" s="2" t="inlineStr">
        <is>
          <t>IL</t>
        </is>
      </c>
      <c r="F288" s="2" t="inlineStr">
        <is>
          <t>Angélique Da Teresa; Carlos Guimarães Pinto; Joana Cordeiro; Jorge Miguel Teixeira; Mariana Leitão; Mário Amorim Lopes; Miguel Rangel; Rodrigo Saraiva; Rui Rocha</t>
        </is>
      </c>
      <c r="G288" s="2" t="inlineStr">
        <is>
          <t>Art. 118.º-D (aditamento)</t>
        </is>
      </c>
      <c r="H288" s="2" t="n"/>
      <c r="I288" s="2" t="n"/>
      <c r="J288" s="2" t="n"/>
      <c r="K288" s="2" t="n"/>
      <c r="L288" s="2" t="inlineStr">
        <is>
          <t>Artigo 118.º-D (Atualização do valor do apoio financeiro nos contratos de patrocínio)</t>
        </is>
      </c>
      <c r="M288" s="4" t="n"/>
      <c r="N288" s="4" t="n"/>
      <c r="O288" s="2" t="n"/>
      <c r="P288" s="2" t="n"/>
      <c r="Q288" s="2" t="n"/>
      <c r="R288" s="2" t="n"/>
      <c r="S288" s="2" t="inlineStr">
        <is>
          <t>Rejeitado(a) em Comissão</t>
        </is>
      </c>
      <c r="T288" s="2" t="inlineStr">
        <is>
          <t>Rejeitada</t>
        </is>
      </c>
      <c r="U288" s="2" t="inlineStr">
        <is>
          <t>Favor: IL, L, PAN; Contra: PSD; Abstenção: CH, PS, PCP, CDS-PP, BE</t>
        </is>
      </c>
      <c r="V288" s="3" t="n">
        <v>45985</v>
      </c>
      <c r="W288" s="2" t="inlineStr">
        <is>
          <t>AR: https://www.parlamento.pt/OrcamentoEstado/Paginas/DetalhePropostaAlteracao.aspx?BID=23738 PDF: https://app.parlamento.pt/webutils/docs/doc.pdf?path=6148523063484d364c793942556b356c6443397a6158526c63793959566b6c4a544556484c3039464c7a49774d6a59794d4449314d5441774f5339515153396b4e6a4d315a6a63344f4330795a575a6c4c545131596a41744f544d784e5331694f47526a597a49774d7a45774f4467756347526d&amp;Fich=d635f788-2efe-45b0-9315-b8dcc2031088.pdf&amp;Inline=true</t>
        </is>
      </c>
      <c r="X288" s="2" t="inlineStr">
        <is>
          <t>Educação e Ciência</t>
        </is>
      </c>
      <c r="Y288" s="2" t="inlineStr">
        <is>
          <t>Articulado</t>
        </is>
      </c>
      <c r="Z288" s="2" t="inlineStr">
        <is>
          <t>Aditamento (Artigo PPL)</t>
        </is>
      </c>
      <c r="AA288" s="2" t="inlineStr">
        <is>
          <t>Rejeitado(a) em Comissão</t>
        </is>
      </c>
      <c r="AB288" s="2" t="inlineStr"/>
      <c r="AC288" s="2" t="inlineStr">
        <is>
          <t>2</t>
        </is>
      </c>
      <c r="AD288" s="2" t="inlineStr">
        <is>
          <t>1</t>
        </is>
      </c>
      <c r="AE288" s="2" t="inlineStr">
        <is>
          <t>23738</t>
        </is>
      </c>
      <c r="AF288" s="2" t="inlineStr">
        <is>
          <t>https://www.parlamento.pt/OrcamentoEstado/Paginas/DetalhePropostaAlteracao.aspx?BID=23738</t>
        </is>
      </c>
      <c r="AG288" s="2" t="inlineStr">
        <is>
          <t>https://app.parlamento.pt/webutils/docs/doc.pdf?path=6148523063484d364c793942556b356c6443397a6158526c63793959566b6c4a544556484c3039464c7a49774d6a59794d4449314d5441774f5339515153396b4e6a4d315a6a63344f4330795a575a6c4c545131596a41744f544d784e5331694f47526a597a49774d7a45774f4467756347526d&amp;Fich=d635f788-2efe-45b0-9315-b8dcc2031088.pdf&amp;Inline=true</t>
        </is>
      </c>
      <c r="AH288" s="3" t="n">
        <v>46321.77847222222</v>
      </c>
      <c r="AI288" s="3" t="n">
        <v>46321.78055555555</v>
      </c>
      <c r="AJ288" s="2" t="inlineStr"/>
    </row>
    <row r="289">
      <c r="A289" s="2" t="n">
        <v>288</v>
      </c>
      <c r="B289" s="2" t="inlineStr">
        <is>
          <t>256C-3</t>
        </is>
      </c>
      <c r="C289" s="3" t="n">
        <v>45964.66458333333</v>
      </c>
      <c r="D289" s="2" t="inlineStr">
        <is>
          <t>Original</t>
        </is>
      </c>
      <c r="E289" s="2" t="inlineStr">
        <is>
          <t>IL</t>
        </is>
      </c>
      <c r="F289" s="2" t="inlineStr">
        <is>
          <t>Angélique Da Teresa; Carlos Guimarães Pinto; Joana Cordeiro; Jorge Miguel Teixeira; Mariana Leitão; Mário Amorim Lopes; Miguel Rangel; Rodrigo Saraiva; Rui Rocha</t>
        </is>
      </c>
      <c r="G289" s="2" t="inlineStr">
        <is>
          <t>Art. 118.º-E (aditamento)</t>
        </is>
      </c>
      <c r="H289" s="2" t="n"/>
      <c r="I289" s="2" t="n"/>
      <c r="J289" s="2" t="n"/>
      <c r="K289" s="2" t="n"/>
      <c r="L289" s="2" t="inlineStr">
        <is>
          <t>Artigo 118.º-E (Atualização do valor do apoio financeiro nos contratos de cooperação)</t>
        </is>
      </c>
      <c r="M289" s="4" t="n"/>
      <c r="N289" s="4" t="n"/>
      <c r="O289" s="2" t="n"/>
      <c r="P289" s="2" t="n"/>
      <c r="Q289" s="2" t="n"/>
      <c r="R289" s="2" t="n"/>
      <c r="S289" s="2" t="inlineStr">
        <is>
          <t>Rejeitado(a) em Comissão</t>
        </is>
      </c>
      <c r="T289" s="2" t="inlineStr">
        <is>
          <t>Rejeitada</t>
        </is>
      </c>
      <c r="U289" s="2" t="inlineStr">
        <is>
          <t>Favor: IL, L, PAN; Contra: PSD; Abstenção: CH, PS, PCP, CDS-PP, BE</t>
        </is>
      </c>
      <c r="V289" s="3" t="n">
        <v>45985</v>
      </c>
      <c r="W289" s="2" t="inlineStr">
        <is>
          <t>AR: https://www.parlamento.pt/OrcamentoEstado/Paginas/DetalhePropostaAlteracao.aspx?BID=23739 PDF: https://app.parlamento.pt/webutils/docs/doc.pdf?path=6148523063484d364c793942556b356c6443397a6158526c63793959566b6c4a544556484c3039464c7a49774d6a59794d4449314d5441774f533951515339694d545a6d4d5449335953316a5a5755324c5451304d7a5574596d566d4f5331694d6a6730596d5135597a6b304d7a4d756347526d&amp;Fich=b16f127a-cee6-4435-bef9-b284bd9c9433.pdf&amp;Inline=true</t>
        </is>
      </c>
      <c r="X289" s="2" t="inlineStr">
        <is>
          <t>Educação e Ciência</t>
        </is>
      </c>
      <c r="Y289" s="2" t="inlineStr">
        <is>
          <t>Articulado</t>
        </is>
      </c>
      <c r="Z289" s="2" t="inlineStr">
        <is>
          <t>Aditamento (Artigo PPL)</t>
        </is>
      </c>
      <c r="AA289" s="2" t="inlineStr">
        <is>
          <t>Rejeitado(a) em Comissão</t>
        </is>
      </c>
      <c r="AB289" s="2" t="inlineStr"/>
      <c r="AC289" s="2" t="inlineStr">
        <is>
          <t>3</t>
        </is>
      </c>
      <c r="AD289" s="2" t="inlineStr">
        <is>
          <t>1</t>
        </is>
      </c>
      <c r="AE289" s="2" t="inlineStr">
        <is>
          <t>23739</t>
        </is>
      </c>
      <c r="AF289" s="2" t="inlineStr">
        <is>
          <t>https://www.parlamento.pt/OrcamentoEstado/Paginas/DetalhePropostaAlteracao.aspx?BID=23739</t>
        </is>
      </c>
      <c r="AG289" s="2" t="inlineStr">
        <is>
          <t>https://app.parlamento.pt/webutils/docs/doc.pdf?path=6148523063484d364c793942556b356c6443397a6158526c63793959566b6c4a544556484c3039464c7a49774d6a59794d4449314d5441774f533951515339694d545a6d4d5449335953316a5a5755324c5451304d7a5574596d566d4f5331694d6a6730596d5135597a6b304d7a4d756347526d&amp;Fich=b16f127a-cee6-4435-bef9-b284bd9c9433.pdf&amp;Inline=true</t>
        </is>
      </c>
      <c r="AH289" s="3" t="n">
        <v>46321.77847222222</v>
      </c>
      <c r="AI289" s="3" t="n">
        <v>46321.78055555555</v>
      </c>
      <c r="AJ289" s="2" t="inlineStr"/>
    </row>
    <row r="290">
      <c r="A290" s="2" t="n">
        <v>289</v>
      </c>
      <c r="B290" s="2" t="inlineStr">
        <is>
          <t>256C-4</t>
        </is>
      </c>
      <c r="C290" s="3" t="n">
        <v>45964.66458333333</v>
      </c>
      <c r="D290" s="2" t="inlineStr">
        <is>
          <t>Original</t>
        </is>
      </c>
      <c r="E290" s="2" t="inlineStr">
        <is>
          <t>IL</t>
        </is>
      </c>
      <c r="F290" s="2" t="inlineStr">
        <is>
          <t>Angélique Da Teresa; Carlos Guimarães Pinto; Joana Cordeiro; Jorge Miguel Teixeira; Mariana Leitão; Mário Amorim Lopes; Miguel Rangel; Rodrigo Saraiva; Rui Rocha</t>
        </is>
      </c>
      <c r="G290" s="2" t="inlineStr">
        <is>
          <t>Art. 118.º-F (aditamento)</t>
        </is>
      </c>
      <c r="H290" s="2" t="n"/>
      <c r="I290" s="2" t="n"/>
      <c r="J290" s="2" t="n"/>
      <c r="K290" s="2" t="n"/>
      <c r="L290" s="2" t="inlineStr">
        <is>
          <t>Artigo 118.º-F (Atualização do valor do financiamento público dos cursos profissionais de nível secundário)</t>
        </is>
      </c>
      <c r="M290" s="4" t="n"/>
      <c r="N290" s="4" t="n"/>
      <c r="O290" s="2" t="n"/>
      <c r="P290" s="2" t="n"/>
      <c r="Q290" s="2" t="n"/>
      <c r="R290" s="2" t="n"/>
      <c r="S290" s="2" t="inlineStr">
        <is>
          <t>Rejeitado(a) em Comissão</t>
        </is>
      </c>
      <c r="T290" s="2" t="inlineStr">
        <is>
          <t>Rejeitada</t>
        </is>
      </c>
      <c r="U290" s="2" t="inlineStr">
        <is>
          <t>Favor: IL, PAN; Contra: PSD; Abstenção: CH, PS, L, PCP, CDS-PP, BE</t>
        </is>
      </c>
      <c r="V290" s="3" t="n">
        <v>45985</v>
      </c>
      <c r="W290" s="2" t="inlineStr">
        <is>
          <t>AR: https://www.parlamento.pt/OrcamentoEstado/Paginas/DetalhePropostaAlteracao.aspx?BID=23813 PDF: https://app.parlamento.pt/webutils/docs/doc.pdf?path=6148523063484d364c793942556b356c6443397a6158526c63793959566b6c4a544556484c3039464c7a49774d6a59794d4449314d5441774f5339515153396b4d7a59344d4759324e5330354d6a59354c5451314f474574596a49784f53316c5a57566c4d7a686a4d7a4d325a5449756347526d&amp;Fich=d3680f65-9269-458a-b219-eeee38c336e2.pdf&amp;Inline=true</t>
        </is>
      </c>
      <c r="X290" s="2" t="inlineStr">
        <is>
          <t>Educação e Ciência</t>
        </is>
      </c>
      <c r="Y290" s="2" t="inlineStr">
        <is>
          <t>Articulado</t>
        </is>
      </c>
      <c r="Z290" s="2" t="inlineStr">
        <is>
          <t>Aditamento (Artigo PPL)</t>
        </is>
      </c>
      <c r="AA290" s="2" t="inlineStr">
        <is>
          <t>Rejeitado(a) em Comissão</t>
        </is>
      </c>
      <c r="AB290" s="2" t="inlineStr"/>
      <c r="AC290" s="2" t="inlineStr">
        <is>
          <t>4</t>
        </is>
      </c>
      <c r="AD290" s="2" t="inlineStr">
        <is>
          <t>1</t>
        </is>
      </c>
      <c r="AE290" s="2" t="inlineStr">
        <is>
          <t>23813</t>
        </is>
      </c>
      <c r="AF290" s="2" t="inlineStr">
        <is>
          <t>https://www.parlamento.pt/OrcamentoEstado/Paginas/DetalhePropostaAlteracao.aspx?BID=23813</t>
        </is>
      </c>
      <c r="AG290" s="2" t="inlineStr">
        <is>
          <t>https://app.parlamento.pt/webutils/docs/doc.pdf?path=6148523063484d364c793942556b356c6443397a6158526c63793959566b6c4a544556484c3039464c7a49774d6a59794d4449314d5441774f5339515153396b4d7a59344d4759324e5330354d6a59354c5451314f474574596a49784f53316c5a57566c4d7a686a4d7a4d325a5449756347526d&amp;Fich=d3680f65-9269-458a-b219-eeee38c336e2.pdf&amp;Inline=true</t>
        </is>
      </c>
      <c r="AH290" s="3" t="n">
        <v>46321.77847222222</v>
      </c>
      <c r="AI290" s="3" t="n">
        <v>46321.78055555555</v>
      </c>
      <c r="AJ290" s="2" t="inlineStr"/>
    </row>
    <row r="291">
      <c r="A291" s="2" t="n">
        <v>290</v>
      </c>
      <c r="B291" s="2" t="inlineStr">
        <is>
          <t>257C</t>
        </is>
      </c>
      <c r="C291" s="3" t="n">
        <v>45964.66666666666</v>
      </c>
      <c r="D291" s="2" t="inlineStr">
        <is>
          <t>Original</t>
        </is>
      </c>
      <c r="E291" s="2" t="inlineStr">
        <is>
          <t>CH</t>
        </is>
      </c>
      <c r="F29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91" s="2" t="inlineStr">
        <is>
          <t>Art. 28.º-A (aditamento)</t>
        </is>
      </c>
      <c r="H291" s="2" t="n"/>
      <c r="I291" s="2" t="n"/>
      <c r="J291" s="2" t="n"/>
      <c r="K291" s="2" t="n"/>
      <c r="L291" s="2" t="inlineStr">
        <is>
          <t>Artigo 28.º-A (Abono para falhas e prémios de desempenho)</t>
        </is>
      </c>
      <c r="M291" s="4" t="n"/>
      <c r="N291" s="4" t="n"/>
      <c r="O291" s="2" t="n"/>
      <c r="P291" s="2" t="n"/>
      <c r="Q291" s="2" t="n"/>
      <c r="R291" s="2" t="n"/>
      <c r="S291" s="2" t="inlineStr">
        <is>
          <t>Rejeitado(a) em Comissão</t>
        </is>
      </c>
      <c r="T291" s="2" t="inlineStr">
        <is>
          <t>Rejeitada</t>
        </is>
      </c>
      <c r="U291" s="2" t="inlineStr">
        <is>
          <t>Favor: CH, IL, BE, PAN; Contra: PSD, CDS-PP; Abstenção: PS, L, PCP</t>
        </is>
      </c>
      <c r="V291" s="3" t="n">
        <v>45981</v>
      </c>
      <c r="W291" s="2" t="inlineStr">
        <is>
          <t>AR: https://www.parlamento.pt/OrcamentoEstado/Paginas/DetalhePropostaAlteracao.aspx?BID=23452 PDF: https://app.parlamento.pt/webutils/docs/doc.pdf?path=6148523063484d364c793942556b356c6443397a6158526c63793959566b6c4a544556484c3039464c7a49774d6a59794d4449314d5441774f5339515153396c5a6a41774d3251304e4330324d6d4e6d4c54526c4e7a5974596d55784d4330315a445979595463794d444d30593251756347526d&amp;Fich=ef003d44-62cf-4e76-be10-5d62a72034cd.pdf&amp;Inline=true</t>
        </is>
      </c>
      <c r="X291" s="2" t="inlineStr">
        <is>
          <t>Orçamento, Finanças e Administração Pública</t>
        </is>
      </c>
      <c r="Y291" s="2" t="inlineStr">
        <is>
          <t>Articulado</t>
        </is>
      </c>
      <c r="Z291" s="2" t="inlineStr">
        <is>
          <t>Aditamento (Artigo PPL)</t>
        </is>
      </c>
      <c r="AA291" s="2" t="inlineStr">
        <is>
          <t>Rejeitado(a) em Comissão</t>
        </is>
      </c>
      <c r="AB291" s="2" t="inlineStr"/>
      <c r="AC291" s="2" t="inlineStr"/>
      <c r="AD291" s="2" t="inlineStr">
        <is>
          <t>1</t>
        </is>
      </c>
      <c r="AE291" s="2" t="inlineStr">
        <is>
          <t>23452</t>
        </is>
      </c>
      <c r="AF291" s="2" t="inlineStr">
        <is>
          <t>https://www.parlamento.pt/OrcamentoEstado/Paginas/DetalhePropostaAlteracao.aspx?BID=23452</t>
        </is>
      </c>
      <c r="AG291" s="2" t="inlineStr">
        <is>
          <t>https://app.parlamento.pt/webutils/docs/doc.pdf?path=6148523063484d364c793942556b356c6443397a6158526c63793959566b6c4a544556484c3039464c7a49774d6a59794d4449314d5441774f5339515153396c5a6a41774d3251304e4330324d6d4e6d4c54526c4e7a5974596d55784d4330315a445979595463794d444d30593251756347526d&amp;Fich=ef003d44-62cf-4e76-be10-5d62a72034cd.pdf&amp;Inline=true</t>
        </is>
      </c>
      <c r="AH291" s="3" t="n">
        <v>46321.77847222222</v>
      </c>
      <c r="AI291" s="3" t="n">
        <v>46321.78055555555</v>
      </c>
      <c r="AJ291" s="2" t="inlineStr"/>
    </row>
    <row r="292">
      <c r="A292" s="2" t="n">
        <v>291</v>
      </c>
      <c r="B292" s="2" t="inlineStr">
        <is>
          <t>258C</t>
        </is>
      </c>
      <c r="C292" s="3" t="n">
        <v>45964.66736111111</v>
      </c>
      <c r="D292" s="2" t="inlineStr">
        <is>
          <t>Original</t>
        </is>
      </c>
      <c r="E292" s="2" t="inlineStr">
        <is>
          <t>IL</t>
        </is>
      </c>
      <c r="F292" s="2" t="inlineStr">
        <is>
          <t>Angélique Da Teresa; Carlos Guimarães Pinto; Joana Cordeiro; Jorge Miguel Teixeira; Mariana Leitão; Mário Amorim Lopes; Miguel Rangel; Rodrigo Saraiva; Rui Rocha</t>
        </is>
      </c>
      <c r="G292" s="2" t="inlineStr">
        <is>
          <t>Art. 118.º-G (aditamento)</t>
        </is>
      </c>
      <c r="H292" s="2" t="n"/>
      <c r="I292" s="2" t="n"/>
      <c r="J292" s="2" t="n"/>
      <c r="K292" s="2" t="n"/>
      <c r="L292" s="2" t="inlineStr">
        <is>
          <t>Artigo 118.º-G (Contratos Simples e de Desenvolvimento de Apoio à Família)</t>
        </is>
      </c>
      <c r="M292" s="4" t="n"/>
      <c r="N292" s="4" t="n"/>
      <c r="O292" s="2" t="n"/>
      <c r="P292" s="2" t="n"/>
      <c r="Q292" s="2" t="n"/>
      <c r="R292" s="2" t="n"/>
      <c r="S292" s="2" t="inlineStr">
        <is>
          <t>Rejeitado(a) em Comissão</t>
        </is>
      </c>
      <c r="T292" s="2" t="inlineStr">
        <is>
          <t>Rejeitada</t>
        </is>
      </c>
      <c r="U292" s="2" t="inlineStr">
        <is>
          <t>Favor: IL, PAN; Contra: PSD, L, PCP, BE; Abstenção: CH, PS, CDS-PP</t>
        </is>
      </c>
      <c r="V292" s="3" t="n">
        <v>45985</v>
      </c>
      <c r="W292" s="2" t="inlineStr">
        <is>
          <t>AR: https://www.parlamento.pt/OrcamentoEstado/Paginas/DetalhePropostaAlteracao.aspx?BID=23453 PDF: https://app.parlamento.pt/webutils/docs/doc.pdf?path=6148523063484d364c793942556b356c6443397a6158526c63793959566b6c4a544556484c3039464c7a49774d6a59794d4449314d5441774f5339515153396a4f4759774f54597a4e69316a4e7a6b314c5452694e546774596a566c4d4330344d54566b4d7a4d774d6a5134597a51756347526d&amp;Fich=c8f09636-c795-4b58-b5e0-815d330248c4.pdf&amp;Inline=true</t>
        </is>
      </c>
      <c r="X292" s="2" t="inlineStr">
        <is>
          <t>Educação e Ciência</t>
        </is>
      </c>
      <c r="Y292" s="2" t="inlineStr">
        <is>
          <t>Articulado</t>
        </is>
      </c>
      <c r="Z292" s="2" t="inlineStr">
        <is>
          <t>Aditamento (Artigo PPL)</t>
        </is>
      </c>
      <c r="AA292" s="2" t="inlineStr">
        <is>
          <t>Rejeitado(a) em Comissão</t>
        </is>
      </c>
      <c r="AB292" s="2" t="inlineStr"/>
      <c r="AC292" s="2" t="inlineStr"/>
      <c r="AD292" s="2" t="inlineStr">
        <is>
          <t>1</t>
        </is>
      </c>
      <c r="AE292" s="2" t="inlineStr">
        <is>
          <t>23453</t>
        </is>
      </c>
      <c r="AF292" s="2" t="inlineStr">
        <is>
          <t>https://www.parlamento.pt/OrcamentoEstado/Paginas/DetalhePropostaAlteracao.aspx?BID=23453</t>
        </is>
      </c>
      <c r="AG292" s="2" t="inlineStr">
        <is>
          <t>https://app.parlamento.pt/webutils/docs/doc.pdf?path=6148523063484d364c793942556b356c6443397a6158526c63793959566b6c4a544556484c3039464c7a49774d6a59794d4449314d5441774f5339515153396a4f4759774f54597a4e69316a4e7a6b314c5452694e546774596a566c4d4330344d54566b4d7a4d774d6a5134597a51756347526d&amp;Fich=c8f09636-c795-4b58-b5e0-815d330248c4.pdf&amp;Inline=true</t>
        </is>
      </c>
      <c r="AH292" s="3" t="n">
        <v>46321.77847222222</v>
      </c>
      <c r="AI292" s="3" t="n">
        <v>46321.78055555555</v>
      </c>
      <c r="AJ292" s="2" t="inlineStr"/>
    </row>
    <row r="293">
      <c r="A293" s="2" t="n">
        <v>292</v>
      </c>
      <c r="B293" s="2" t="inlineStr">
        <is>
          <t>259C</t>
        </is>
      </c>
      <c r="C293" s="3" t="n">
        <v>45964.66736111111</v>
      </c>
      <c r="D293" s="2" t="inlineStr">
        <is>
          <t>Original</t>
        </is>
      </c>
      <c r="E293" s="2" t="inlineStr">
        <is>
          <t>L</t>
        </is>
      </c>
      <c r="F293" s="2" t="inlineStr">
        <is>
          <t>Filipa Pinto; Isabel Mendes Lopes; Jorge Pinto; Patrícia Gonçalves; Paulo Muacho; Rui Tavares</t>
        </is>
      </c>
      <c r="G293" s="2" t="inlineStr">
        <is>
          <t>Art. 63.º-A (aditamento)</t>
        </is>
      </c>
      <c r="H293" s="2" t="n"/>
      <c r="I293" s="2" t="n"/>
      <c r="J293" s="2" t="n"/>
      <c r="K293" s="2" t="n"/>
      <c r="L293" s="2" t="inlineStr">
        <is>
          <t>Artigo 63.º-A (Alteração à lista II anexa ao Código do Imposto sobre o Valor Acrescentado)</t>
        </is>
      </c>
      <c r="M293" s="4" t="n"/>
      <c r="N293" s="4" t="n"/>
      <c r="O293" s="2" t="n"/>
      <c r="P293" s="2" t="n"/>
      <c r="Q293" s="2" t="n"/>
      <c r="R293" s="2" t="n"/>
      <c r="S293" s="2" t="inlineStr">
        <is>
          <t>Rejeitado(a) em Comissão</t>
        </is>
      </c>
      <c r="T293" s="2" t="inlineStr">
        <is>
          <t>Rejeitada</t>
        </is>
      </c>
      <c r="U293" s="2" t="inlineStr">
        <is>
          <t>Favor: CH, IL, L, PCP, BE; Contra: PSD, CDS-PP, PAN; Abstenção: PS</t>
        </is>
      </c>
      <c r="V293" s="3" t="n">
        <v>45982</v>
      </c>
      <c r="W293" s="2" t="inlineStr">
        <is>
          <t>AR: https://www.parlamento.pt/OrcamentoEstado/Paginas/DetalhePropostaAlteracao.aspx?BID=23454 PDF: https://app.parlamento.pt/webutils/docs/doc.pdf?path=6148523063484d364c793942556b356c6443397a6158526c63793959566b6c4a544556484c3039464c7a49774d6a59794d4449314d5441774f533951515339684f44566d596d4d304d6930345a6d55354c5452694f544574596a686b4e5330304e6a67354e6a5a694e5467784d324d756347526d&amp;Fich=a85fbc42-8fe9-4b91-b8d5-468966b5813c.pdf&amp;Inline=true</t>
        </is>
      </c>
      <c r="X293" s="2" t="inlineStr">
        <is>
          <t>Agricultura e Pescas; Orçamento, Finanças e Administração Pública</t>
        </is>
      </c>
      <c r="Y293" s="2" t="inlineStr">
        <is>
          <t>Articulado</t>
        </is>
      </c>
      <c r="Z293" s="2" t="inlineStr">
        <is>
          <t>Aditamento (Artigo PPL)</t>
        </is>
      </c>
      <c r="AA293" s="2" t="inlineStr">
        <is>
          <t>Rejeitado(a) em Comissão</t>
        </is>
      </c>
      <c r="AB293" s="2" t="inlineStr"/>
      <c r="AC293" s="2" t="inlineStr"/>
      <c r="AD293" s="2" t="inlineStr">
        <is>
          <t>1</t>
        </is>
      </c>
      <c r="AE293" s="2" t="inlineStr">
        <is>
          <t>23454</t>
        </is>
      </c>
      <c r="AF293" s="2" t="inlineStr">
        <is>
          <t>https://www.parlamento.pt/OrcamentoEstado/Paginas/DetalhePropostaAlteracao.aspx?BID=23454</t>
        </is>
      </c>
      <c r="AG293" s="2" t="inlineStr">
        <is>
          <t>https://app.parlamento.pt/webutils/docs/doc.pdf?path=6148523063484d364c793942556b356c6443397a6158526c63793959566b6c4a544556484c3039464c7a49774d6a59794d4449314d5441774f533951515339684f44566d596d4d304d6930345a6d55354c5452694f544574596a686b4e5330304e6a67354e6a5a694e5467784d324d756347526d&amp;Fich=a85fbc42-8fe9-4b91-b8d5-468966b5813c.pdf&amp;Inline=true</t>
        </is>
      </c>
      <c r="AH293" s="3" t="n">
        <v>46321.77847222222</v>
      </c>
      <c r="AI293" s="3" t="n">
        <v>46321.78055555555</v>
      </c>
      <c r="AJ293" s="2" t="inlineStr"/>
    </row>
    <row r="294">
      <c r="A294" s="2" t="n">
        <v>293</v>
      </c>
      <c r="B294" s="2" t="inlineStr">
        <is>
          <t>260C</t>
        </is>
      </c>
      <c r="C294" s="3" t="n">
        <v>45964.66875</v>
      </c>
      <c r="D294" s="2" t="inlineStr">
        <is>
          <t>Original</t>
        </is>
      </c>
      <c r="E294" s="2" t="inlineStr">
        <is>
          <t>CH</t>
        </is>
      </c>
      <c r="F29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94" s="2" t="inlineStr">
        <is>
          <t>Art. 136.º-A (aditamento)</t>
        </is>
      </c>
      <c r="H294" s="2" t="n"/>
      <c r="I294" s="2" t="n"/>
      <c r="J294" s="2" t="n"/>
      <c r="K294" s="2" t="n"/>
      <c r="L294" s="2" t="inlineStr">
        <is>
          <t>Artigo 136.º-A (Programa de Proteção de Dados nos Tribunais)</t>
        </is>
      </c>
      <c r="M294" s="4" t="n"/>
      <c r="N294" s="4" t="n"/>
      <c r="O294" s="2" t="n"/>
      <c r="P294" s="2" t="n"/>
      <c r="Q294" s="2" t="n"/>
      <c r="R294" s="2" t="n"/>
      <c r="S294" s="2" t="inlineStr">
        <is>
          <t>Rejeitado(a) em Comissão</t>
        </is>
      </c>
      <c r="T294" s="2" t="inlineStr">
        <is>
          <t>Rejeitada</t>
        </is>
      </c>
      <c r="U294" s="2" t="inlineStr">
        <is>
          <t>Favor: CH, BE, PAN; Contra: PSD, CDS-PP; Abstenção: PS, IL, L, PCP</t>
        </is>
      </c>
      <c r="V294" s="3" t="n">
        <v>45987</v>
      </c>
      <c r="W294" s="2" t="inlineStr">
        <is>
          <t>AR: https://www.parlamento.pt/OrcamentoEstado/Paginas/DetalhePropostaAlteracao.aspx?BID=23455 PDF: https://app.parlamento.pt/webutils/docs/doc.pdf?path=6148523063484d364c793942556b356c6443397a6158526c63793959566b6c4a544556484c3039464c7a49774d6a59794d4449314d5441774f533951515338334f444d324e6d566a596930315a6a59784c5451774e544174596d55794e5330324e44457a5a6d5134596a4d774f5449756347526d&amp;Fich=78366ecb-5f61-4050-be25-6413fd8b3092.pdf&amp;Inline=true</t>
        </is>
      </c>
      <c r="X294" s="2" t="inlineStr">
        <is>
          <t>Assuntos Constitucionais, Direitos, Liberdades e Garantias</t>
        </is>
      </c>
      <c r="Y294" s="2" t="inlineStr">
        <is>
          <t>Articulado</t>
        </is>
      </c>
      <c r="Z294" s="2" t="inlineStr">
        <is>
          <t>Aditamento (Artigo PPL)</t>
        </is>
      </c>
      <c r="AA294" s="2" t="inlineStr">
        <is>
          <t>Rejeitado(a) em Comissão</t>
        </is>
      </c>
      <c r="AB294" s="2" t="inlineStr"/>
      <c r="AC294" s="2" t="inlineStr"/>
      <c r="AD294" s="2" t="inlineStr">
        <is>
          <t>1</t>
        </is>
      </c>
      <c r="AE294" s="2" t="inlineStr">
        <is>
          <t>23455</t>
        </is>
      </c>
      <c r="AF294" s="2" t="inlineStr">
        <is>
          <t>https://www.parlamento.pt/OrcamentoEstado/Paginas/DetalhePropostaAlteracao.aspx?BID=23455</t>
        </is>
      </c>
      <c r="AG294" s="2" t="inlineStr">
        <is>
          <t>https://app.parlamento.pt/webutils/docs/doc.pdf?path=6148523063484d364c793942556b356c6443397a6158526c63793959566b6c4a544556484c3039464c7a49774d6a59794d4449314d5441774f533951515338334f444d324e6d566a596930315a6a59784c5451774e544174596d55794e5330324e44457a5a6d5134596a4d774f5449756347526d&amp;Fich=78366ecb-5f61-4050-be25-6413fd8b3092.pdf&amp;Inline=true</t>
        </is>
      </c>
      <c r="AH294" s="3" t="n">
        <v>46321.77847222222</v>
      </c>
      <c r="AI294" s="3" t="n">
        <v>46321.78055555555</v>
      </c>
      <c r="AJ294" s="2" t="inlineStr"/>
    </row>
    <row r="295">
      <c r="A295" s="2" t="n">
        <v>294</v>
      </c>
      <c r="B295" s="2" t="inlineStr">
        <is>
          <t>261C</t>
        </is>
      </c>
      <c r="C295" s="3" t="n">
        <v>45964.67013888889</v>
      </c>
      <c r="D295" s="2" t="inlineStr">
        <is>
          <t>Original</t>
        </is>
      </c>
      <c r="E295" s="2" t="inlineStr">
        <is>
          <t>CH</t>
        </is>
      </c>
      <c r="F29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95" s="2" t="inlineStr">
        <is>
          <t>Art. 8.º (aditamento)</t>
        </is>
      </c>
      <c r="H295" s="2" t="n"/>
      <c r="I295" s="2" t="n"/>
      <c r="J295" s="2" t="n"/>
      <c r="K295" s="2" t="n"/>
      <c r="L295" s="2" t="inlineStr">
        <is>
          <t>N.º 27, Artigo 8.º</t>
        </is>
      </c>
      <c r="M295" s="4" t="n"/>
      <c r="N295" s="4" t="n"/>
      <c r="O295" s="2" t="n"/>
      <c r="P295" s="2" t="n"/>
      <c r="Q295" s="2" t="n"/>
      <c r="R295" s="2" t="n"/>
      <c r="S295" s="2" t="inlineStr">
        <is>
          <t>Rejeitado(a) em Comissão</t>
        </is>
      </c>
      <c r="T295" s="2" t="inlineStr">
        <is>
          <t>Rejeitada</t>
        </is>
      </c>
      <c r="U295" s="2" t="inlineStr">
        <is>
          <t>Favor: CH, BE, PAN; Contra: PSD, CDS-PP; Abstenção: PS, IL, L, PCP</t>
        </is>
      </c>
      <c r="V295" s="3" t="n">
        <v>45981</v>
      </c>
      <c r="W295" s="2" t="inlineStr">
        <is>
          <t>AR: https://www.parlamento.pt/OrcamentoEstado/Paginas/DetalhePropostaAlteracao.aspx?BID=23456 PDF: https://app.parlamento.pt/webutils/docs/doc.pdf?path=6148523063484d364c793942556b356c6443397a6158526c63793959566b6c4a544556484c3039464c7a49774d6a59794d4449314d5441774f53395151533968597a4a6a59544a6d597930305a6d49794c5451324e4745744f446b774e533032597a49334e3251324e5463354d5467756347526d&amp;Fich=ac2ca2fc-4fb2-464a-8905-6c277d657918.pdf&amp;Inline=true</t>
        </is>
      </c>
      <c r="X295" s="2" t="inlineStr">
        <is>
          <t>Educação e Ciência</t>
        </is>
      </c>
      <c r="Y295" s="2" t="inlineStr">
        <is>
          <t>Articulado</t>
        </is>
      </c>
      <c r="Z295" s="2" t="inlineStr">
        <is>
          <t>Aditamento (Números e Alíneas)</t>
        </is>
      </c>
      <c r="AA295" s="2" t="inlineStr">
        <is>
          <t>Rejeitado(a) em Comissão</t>
        </is>
      </c>
      <c r="AB295" s="2" t="inlineStr"/>
      <c r="AC295" s="2" t="inlineStr"/>
      <c r="AD295" s="2" t="inlineStr">
        <is>
          <t>1</t>
        </is>
      </c>
      <c r="AE295" s="2" t="inlineStr">
        <is>
          <t>23456</t>
        </is>
      </c>
      <c r="AF295" s="2" t="inlineStr">
        <is>
          <t>https://www.parlamento.pt/OrcamentoEstado/Paginas/DetalhePropostaAlteracao.aspx?BID=23456</t>
        </is>
      </c>
      <c r="AG295" s="2" t="inlineStr">
        <is>
          <t>https://app.parlamento.pt/webutils/docs/doc.pdf?path=6148523063484d364c793942556b356c6443397a6158526c63793959566b6c4a544556484c3039464c7a49774d6a59794d4449314d5441774f53395151533968597a4a6a59544a6d597930305a6d49794c5451324e4745744f446b774e533032597a49334e3251324e5463354d5467756347526d&amp;Fich=ac2ca2fc-4fb2-464a-8905-6c277d657918.pdf&amp;Inline=true</t>
        </is>
      </c>
      <c r="AH295" s="3" t="n">
        <v>46321.77847222222</v>
      </c>
      <c r="AI295" s="3" t="n">
        <v>46321.78055555555</v>
      </c>
      <c r="AJ295" s="2" t="inlineStr"/>
    </row>
    <row r="296">
      <c r="A296" s="2" t="n">
        <v>295</v>
      </c>
      <c r="B296" s="2" t="inlineStr">
        <is>
          <t>262C</t>
        </is>
      </c>
      <c r="C296" s="3" t="n">
        <v>45964.67152777778</v>
      </c>
      <c r="D296" s="2" t="inlineStr">
        <is>
          <t>Original</t>
        </is>
      </c>
      <c r="E296" s="2" t="inlineStr">
        <is>
          <t>CH</t>
        </is>
      </c>
      <c r="F29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296" s="2" t="inlineStr">
        <is>
          <t>Art. 8.º (aditamento)</t>
        </is>
      </c>
      <c r="H296" s="2" t="n"/>
      <c r="I296" s="2" t="n"/>
      <c r="J296" s="2" t="n"/>
      <c r="K296" s="2" t="n"/>
      <c r="L296" s="2" t="inlineStr">
        <is>
          <t>N.º 27, Artigo 8.º</t>
        </is>
      </c>
      <c r="M296" s="4" t="n"/>
      <c r="N296" s="4" t="n"/>
      <c r="O296" s="2" t="n"/>
      <c r="P296" s="2" t="n"/>
      <c r="Q296" s="2" t="n"/>
      <c r="R296" s="2" t="n"/>
      <c r="S296" s="2" t="inlineStr">
        <is>
          <t>Rejeitado(a) em Comissão</t>
        </is>
      </c>
      <c r="T296" s="2" t="inlineStr">
        <is>
          <t>Rejeitada</t>
        </is>
      </c>
      <c r="U296" s="2" t="inlineStr">
        <is>
          <t>Favor: CH, BE, PAN; Contra: PSD, CDS-PP; Abstenção: PS, IL, L, PCP</t>
        </is>
      </c>
      <c r="V296" s="3" t="n">
        <v>45981</v>
      </c>
      <c r="W296" s="2" t="inlineStr">
        <is>
          <t>AR: https://www.parlamento.pt/OrcamentoEstado/Paginas/DetalhePropostaAlteracao.aspx?BID=23457 PDF: https://app.parlamento.pt/webutils/docs/doc.pdf?path=6148523063484d364c793942556b356c6443397a6158526c63793959566b6c4a544556484c3039464c7a49774d6a59794d4449314d5441774f533951515338794f5756684f474e6a595330344d6d4a6d4c54526c4f47517459575579596930304e6a4a6d4f546b79597a6b354e6a51756347526d&amp;Fich=29ea8cca-82bf-4e8d-ae2b-462f992c9964.pdf&amp;Inline=true</t>
        </is>
      </c>
      <c r="X296" s="2" t="inlineStr">
        <is>
          <t>Educação e Ciência</t>
        </is>
      </c>
      <c r="Y296" s="2" t="inlineStr">
        <is>
          <t>Articulado</t>
        </is>
      </c>
      <c r="Z296" s="2" t="inlineStr">
        <is>
          <t>Aditamento (Números e Alíneas)</t>
        </is>
      </c>
      <c r="AA296" s="2" t="inlineStr">
        <is>
          <t>Rejeitado(a) em Comissão</t>
        </is>
      </c>
      <c r="AB296" s="2" t="inlineStr"/>
      <c r="AC296" s="2" t="inlineStr"/>
      <c r="AD296" s="2" t="inlineStr">
        <is>
          <t>1</t>
        </is>
      </c>
      <c r="AE296" s="2" t="inlineStr">
        <is>
          <t>23457</t>
        </is>
      </c>
      <c r="AF296" s="2" t="inlineStr">
        <is>
          <t>https://www.parlamento.pt/OrcamentoEstado/Paginas/DetalhePropostaAlteracao.aspx?BID=23457</t>
        </is>
      </c>
      <c r="AG296" s="2" t="inlineStr">
        <is>
          <t>https://app.parlamento.pt/webutils/docs/doc.pdf?path=6148523063484d364c793942556b356c6443397a6158526c63793959566b6c4a544556484c3039464c7a49774d6a59794d4449314d5441774f533951515338794f5756684f474e6a595330344d6d4a6d4c54526c4f47517459575579596930304e6a4a6d4f546b79597a6b354e6a51756347526d&amp;Fich=29ea8cca-82bf-4e8d-ae2b-462f992c9964.pdf&amp;Inline=true</t>
        </is>
      </c>
      <c r="AH296" s="3" t="n">
        <v>46321.77847222222</v>
      </c>
      <c r="AI296" s="3" t="n">
        <v>46321.78055555555</v>
      </c>
      <c r="AJ296" s="2" t="inlineStr"/>
    </row>
    <row r="297">
      <c r="A297" s="2" t="n">
        <v>296</v>
      </c>
      <c r="B297" s="2" t="inlineStr">
        <is>
          <t>263C</t>
        </is>
      </c>
      <c r="C297" s="3" t="n">
        <v>45964.67152777778</v>
      </c>
      <c r="D297" s="2" t="inlineStr">
        <is>
          <t>Original</t>
        </is>
      </c>
      <c r="E297" s="2" t="inlineStr">
        <is>
          <t>L</t>
        </is>
      </c>
      <c r="F297" s="2" t="inlineStr">
        <is>
          <t>Filipa Pinto; Isabel Mendes Lopes; Jorge Pinto; Patrícia Gonçalves; Paulo Muacho; Rui Tavares</t>
        </is>
      </c>
      <c r="G297" s="2" t="inlineStr">
        <is>
          <t>Art. 137.º (aditamento)</t>
        </is>
      </c>
      <c r="H297" s="2" t="n"/>
      <c r="I297" s="2" t="n"/>
      <c r="J297" s="2" t="n"/>
      <c r="K297" s="2" t="n"/>
      <c r="L297" s="2" t="inlineStr">
        <is>
          <t>N.º 4, Artigo 137.º</t>
        </is>
      </c>
      <c r="M297" s="4" t="n"/>
      <c r="N297" s="4" t="n"/>
      <c r="O297" s="2" t="n"/>
      <c r="P297" s="2" t="n"/>
      <c r="Q297" s="2" t="n"/>
      <c r="R297" s="2" t="n"/>
      <c r="S297" s="2" t="inlineStr">
        <is>
          <t>Aprovado(a) por Unanimidade em Comissão</t>
        </is>
      </c>
      <c r="T297" s="2" t="inlineStr">
        <is>
          <t>Aprovada</t>
        </is>
      </c>
      <c r="U297" s="2" t="inlineStr">
        <is>
          <t>Favor: PSD, CH, PS, IL, L, PCP, CDS-PP, BE, PAN</t>
        </is>
      </c>
      <c r="V297" s="3" t="n">
        <v>45987</v>
      </c>
      <c r="W297" s="2" t="inlineStr">
        <is>
          <t>AR: https://www.parlamento.pt/OrcamentoEstado/Paginas/DetalhePropostaAlteracao.aspx?BID=23458 PDF: https://app.parlamento.pt/webutils/docs/doc.pdf?path=6148523063484d364c793942556b356c6443397a6158526c63793959566b6c4a544556484c3039464c7a49774d6a59794d4449314d5441774f533951515339694d6a4d325a574a6d4e53316d4d474d774c54526b59544d74596a52695953316d4f54673359574e684d7a5178597a55756347526d&amp;Fich=b236ebf5-f0c0-4da3-b4ba-f987aca341c5.pdf&amp;Inline=true</t>
        </is>
      </c>
      <c r="X297" s="2" t="inlineStr">
        <is>
          <t>Agricultura e Pescas; Orçamento, Finanças e Administração Pública</t>
        </is>
      </c>
      <c r="Y297" s="2" t="inlineStr">
        <is>
          <t>Articulado</t>
        </is>
      </c>
      <c r="Z297" s="2" t="inlineStr">
        <is>
          <t>Aditamento (Números e Alíneas)</t>
        </is>
      </c>
      <c r="AA297" s="2" t="inlineStr">
        <is>
          <t>Aprovado(a) por Unanimidade em Comissão</t>
        </is>
      </c>
      <c r="AB297" s="2" t="inlineStr"/>
      <c r="AC297" s="2" t="inlineStr"/>
      <c r="AD297" s="2" t="inlineStr">
        <is>
          <t>1</t>
        </is>
      </c>
      <c r="AE297" s="2" t="inlineStr">
        <is>
          <t>23458</t>
        </is>
      </c>
      <c r="AF297" s="2" t="inlineStr">
        <is>
          <t>https://www.parlamento.pt/OrcamentoEstado/Paginas/DetalhePropostaAlteracao.aspx?BID=23458</t>
        </is>
      </c>
      <c r="AG297" s="2" t="inlineStr">
        <is>
          <t>https://app.parlamento.pt/webutils/docs/doc.pdf?path=6148523063484d364c793942556b356c6443397a6158526c63793959566b6c4a544556484c3039464c7a49774d6a59794d4449314d5441774f533951515339694d6a4d325a574a6d4e53316d4d474d774c54526b59544d74596a52695953316d4f54673359574e684d7a5178597a55756347526d&amp;Fich=b236ebf5-f0c0-4da3-b4ba-f987aca341c5.pdf&amp;Inline=true</t>
        </is>
      </c>
      <c r="AH297" s="3" t="n">
        <v>46321.77847222222</v>
      </c>
      <c r="AI297" s="3" t="n">
        <v>46321.78055555555</v>
      </c>
      <c r="AJ297" s="2" t="inlineStr"/>
    </row>
    <row r="298">
      <c r="A298" s="2" t="n">
        <v>297</v>
      </c>
      <c r="B298" s="2" t="inlineStr">
        <is>
          <t>264C</t>
        </is>
      </c>
      <c r="C298" s="3" t="n">
        <v>45964.67638888889</v>
      </c>
      <c r="D298" s="2" t="inlineStr">
        <is>
          <t>Original</t>
        </is>
      </c>
      <c r="E298" s="2" t="inlineStr">
        <is>
          <t>L</t>
        </is>
      </c>
      <c r="F298" s="2" t="inlineStr">
        <is>
          <t>Filipa Pinto; Isabel Mendes Lopes; Jorge Pinto; Patrícia Gonçalves; Paulo Muacho; Rui Tavares</t>
        </is>
      </c>
      <c r="G298" s="2" t="inlineStr">
        <is>
          <t>Art. 7.º (substituição)</t>
        </is>
      </c>
      <c r="H298" s="2" t="n"/>
      <c r="I298" s="2" t="n"/>
      <c r="J298" s="2" t="n"/>
      <c r="K298" s="2" t="n"/>
      <c r="L298" s="2" t="inlineStr">
        <is>
          <t>Verba 24, Mapa de alterações e transferências orçamentais, Artigo 7.º</t>
        </is>
      </c>
      <c r="M298" s="4" t="n"/>
      <c r="N298" s="4" t="n"/>
      <c r="O298" s="2" t="n"/>
      <c r="P298" s="2" t="n"/>
      <c r="Q298" s="2" t="n"/>
      <c r="R298" s="2" t="n"/>
      <c r="S298" s="2" t="inlineStr">
        <is>
          <t>Rejeitado(a) em Comissão</t>
        </is>
      </c>
      <c r="T298" s="2" t="inlineStr">
        <is>
          <t>Rejeitada</t>
        </is>
      </c>
      <c r="U298" s="2" t="inlineStr">
        <is>
          <t>Favor: CH, IL, L, PCP, BE, PAN; Contra: PSD, CDS-PP; Abstenção: PS</t>
        </is>
      </c>
      <c r="V298" s="3" t="n">
        <v>45987</v>
      </c>
      <c r="W298" s="2" t="inlineStr">
        <is>
          <t>AR: https://www.parlamento.pt/OrcamentoEstado/Paginas/DetalhePropostaAlteracao.aspx?BID=23459 PDF: https://app.parlamento.pt/webutils/docs/doc.pdf?path=6148523063484d364c793942556b356c6443397a6158526c63793959566b6c4a544556484c3039464c7a49774d6a59794d4449314d5441774f533951515338784d7a45335a5752685953307a5a44466d4c54526d5a575974596a55344f5330784e44557a4e324d7a4d4459345a5467756347526d&amp;Fich=1317edaa-3d1f-4fef-b589-14537c3068e8.pdf&amp;Inline=true</t>
        </is>
      </c>
      <c r="X298" s="2" t="inlineStr">
        <is>
          <t>Agricultura e Pescas; Ambiente e Energia</t>
        </is>
      </c>
      <c r="Y298" s="2" t="inlineStr">
        <is>
          <t>Mapas</t>
        </is>
      </c>
      <c r="Z298" s="2" t="inlineStr">
        <is>
          <t>Substituição</t>
        </is>
      </c>
      <c r="AA298" s="2" t="inlineStr">
        <is>
          <t>Rejeitado(a) em Comissão</t>
        </is>
      </c>
      <c r="AB298" s="2" t="inlineStr"/>
      <c r="AC298" s="2" t="inlineStr"/>
      <c r="AD298" s="2" t="inlineStr">
        <is>
          <t>1</t>
        </is>
      </c>
      <c r="AE298" s="2" t="inlineStr">
        <is>
          <t>23459</t>
        </is>
      </c>
      <c r="AF298" s="2" t="inlineStr">
        <is>
          <t>https://www.parlamento.pt/OrcamentoEstado/Paginas/DetalhePropostaAlteracao.aspx?BID=23459</t>
        </is>
      </c>
      <c r="AG298" s="2" t="inlineStr">
        <is>
          <t>https://app.parlamento.pt/webutils/docs/doc.pdf?path=6148523063484d364c793942556b356c6443397a6158526c63793959566b6c4a544556484c3039464c7a49774d6a59794d4449314d5441774f533951515338784d7a45335a5752685953307a5a44466d4c54526d5a575974596a55344f5330784e44557a4e324d7a4d4459345a5467756347526d&amp;Fich=1317edaa-3d1f-4fef-b589-14537c3068e8.pdf&amp;Inline=true</t>
        </is>
      </c>
      <c r="AH298" s="3" t="n">
        <v>46321.77847222222</v>
      </c>
      <c r="AI298" s="3" t="n">
        <v>46321.78055555555</v>
      </c>
      <c r="AJ298" s="2" t="inlineStr"/>
    </row>
    <row r="299">
      <c r="A299" s="2" t="n">
        <v>298</v>
      </c>
      <c r="B299" s="2" t="inlineStr">
        <is>
          <t>265C</t>
        </is>
      </c>
      <c r="C299" s="3" t="n">
        <v>45964.67986111111</v>
      </c>
      <c r="D299" s="2" t="inlineStr">
        <is>
          <t>Original</t>
        </is>
      </c>
      <c r="E299" s="2" t="inlineStr">
        <is>
          <t>L</t>
        </is>
      </c>
      <c r="F299" s="2" t="inlineStr">
        <is>
          <t>Filipa Pinto; Isabel Mendes Lopes; Jorge Pinto; Patrícia Gonçalves; Paulo Muacho; Rui Tavares</t>
        </is>
      </c>
      <c r="G299" s="2" t="inlineStr">
        <is>
          <t>Art. 128.º-A (aditamento)</t>
        </is>
      </c>
      <c r="H299" s="2" t="n"/>
      <c r="I299" s="2" t="n"/>
      <c r="J299" s="2" t="n"/>
      <c r="K299" s="2" t="n"/>
      <c r="L299" s="2" t="inlineStr">
        <is>
          <t>Artigo 128.º-A (Cadeias agroalimentares curtas)</t>
        </is>
      </c>
      <c r="M299" s="4" t="n"/>
      <c r="N299" s="4" t="n"/>
      <c r="O299" s="2" t="n"/>
      <c r="P299" s="2" t="n"/>
      <c r="Q299" s="2" t="n"/>
      <c r="R299" s="2" t="n"/>
      <c r="S299" s="2" t="inlineStr">
        <is>
          <t>Rejeitado(a) em Comissão</t>
        </is>
      </c>
      <c r="T299" s="2" t="inlineStr">
        <is>
          <t>Rejeitada</t>
        </is>
      </c>
      <c r="U299" s="2" t="inlineStr">
        <is>
          <t>Favor: L, PCP, BE, PAN; Contra: PSD, IL, CDS-PP; Abstenção: CH, PS</t>
        </is>
      </c>
      <c r="V299" s="3" t="n">
        <v>45985</v>
      </c>
      <c r="W299" s="2" t="inlineStr">
        <is>
          <t>AR: https://www.parlamento.pt/OrcamentoEstado/Paginas/DetalhePropostaAlteracao.aspx?BID=23460 PDF: https://app.parlamento.pt/webutils/docs/doc.pdf?path=6148523063484d364c793942556b356c6443397a6158526c63793959566b6c4a544556484c3039464c7a49774d6a59794d4449314d5441774f5339515153396a4f5755775a6a45774e6931694e6a55784c5452684e544d744f54497a4f53316b4e47526b5a5459324d54526c4d7a55756347526d&amp;Fich=c9e0f106-b651-4a53-9239-d4dde6614e35.pdf&amp;Inline=true</t>
        </is>
      </c>
      <c r="X299" s="2" t="inlineStr">
        <is>
          <t>Agricultura e Pescas</t>
        </is>
      </c>
      <c r="Y299" s="2" t="inlineStr">
        <is>
          <t>Articulado</t>
        </is>
      </c>
      <c r="Z299" s="2" t="inlineStr">
        <is>
          <t>Aditamento (Artigo PPL)</t>
        </is>
      </c>
      <c r="AA299" s="2" t="inlineStr">
        <is>
          <t>Rejeitado(a) em Comissão</t>
        </is>
      </c>
      <c r="AB299" s="2" t="inlineStr"/>
      <c r="AC299" s="2" t="inlineStr"/>
      <c r="AD299" s="2" t="inlineStr">
        <is>
          <t>1</t>
        </is>
      </c>
      <c r="AE299" s="2" t="inlineStr">
        <is>
          <t>23460</t>
        </is>
      </c>
      <c r="AF299" s="2" t="inlineStr">
        <is>
          <t>https://www.parlamento.pt/OrcamentoEstado/Paginas/DetalhePropostaAlteracao.aspx?BID=23460</t>
        </is>
      </c>
      <c r="AG299" s="2" t="inlineStr">
        <is>
          <t>https://app.parlamento.pt/webutils/docs/doc.pdf?path=6148523063484d364c793942556b356c6443397a6158526c63793959566b6c4a544556484c3039464c7a49774d6a59794d4449314d5441774f5339515153396a4f5755775a6a45774e6931694e6a55784c5452684e544d744f54497a4f53316b4e47526b5a5459324d54526c4d7a55756347526d&amp;Fich=c9e0f106-b651-4a53-9239-d4dde6614e35.pdf&amp;Inline=true</t>
        </is>
      </c>
      <c r="AH299" s="3" t="n">
        <v>46321.77847222222</v>
      </c>
      <c r="AI299" s="3" t="n">
        <v>46321.78055555555</v>
      </c>
      <c r="AJ299" s="2" t="inlineStr"/>
    </row>
    <row r="300">
      <c r="A300" s="2" t="n">
        <v>299</v>
      </c>
      <c r="B300" s="2" t="inlineStr">
        <is>
          <t>266C</t>
        </is>
      </c>
      <c r="C300" s="3" t="n">
        <v>45964.68402777778</v>
      </c>
      <c r="D300" s="2" t="inlineStr">
        <is>
          <t>Original</t>
        </is>
      </c>
      <c r="E300" s="2" t="inlineStr">
        <is>
          <t>IL</t>
        </is>
      </c>
      <c r="F300" s="2" t="inlineStr">
        <is>
          <t>Angélique Da Teresa; Carlos Guimarães Pinto; Joana Cordeiro; Jorge Miguel Teixeira; Mariana Leitão; Mário Amorim Lopes; Miguel Rangel; Rodrigo Saraiva; Rui Rocha</t>
        </is>
      </c>
      <c r="G300" s="2" t="inlineStr">
        <is>
          <t>Art. 118.º-H (aditamento)</t>
        </is>
      </c>
      <c r="H300" s="2" t="n"/>
      <c r="I300" s="2" t="n"/>
      <c r="J300" s="2" t="n"/>
      <c r="K300" s="2" t="n"/>
      <c r="L300" s="2" t="inlineStr">
        <is>
          <t>Artigo 118.º-H (Alteração ao Estatuto do Ensino Particular e Cooperativo de nível não superior)</t>
        </is>
      </c>
      <c r="M300" s="4" t="n"/>
      <c r="N300" s="4" t="n"/>
      <c r="O300" s="2" t="n"/>
      <c r="P300" s="2" t="n"/>
      <c r="Q300" s="2" t="n"/>
      <c r="R300" s="2" t="n"/>
      <c r="S300" s="2" t="inlineStr">
        <is>
          <t>Rejeitado(a) em Comissão</t>
        </is>
      </c>
      <c r="T300" s="2" t="inlineStr">
        <is>
          <t>Rejeitada</t>
        </is>
      </c>
      <c r="U300" s="2" t="inlineStr">
        <is>
          <t>Favor: CH, IL, PAN; Contra: PSD, L, PCP, CDS-PP, BE; Abstenção: PS</t>
        </is>
      </c>
      <c r="V300" s="3" t="n">
        <v>45985</v>
      </c>
      <c r="W300" s="2" t="inlineStr">
        <is>
          <t>AR: https://www.parlamento.pt/OrcamentoEstado/Paginas/DetalhePropostaAlteracao.aspx?BID=23461 PDF: https://app.parlamento.pt/webutils/docs/doc.pdf?path=6148523063484d364c793942556b356c6443397a6158526c63793959566b6c4a544556484c3039464c7a49774d6a59794d4449314d5441774f533951515338304d5755784e3252685a69316a597a4a6b4c5451794e5467744f44526a4e7931684e32517a4e6a526d4d32466d4e7a49756347526d&amp;Fich=41e17daf-cc2d-4258-84c7-a7d364f3af72.pdf&amp;Inline=true</t>
        </is>
      </c>
      <c r="X300" s="2" t="inlineStr">
        <is>
          <t>Educação e Ciência</t>
        </is>
      </c>
      <c r="Y300" s="2" t="inlineStr">
        <is>
          <t>Articulado</t>
        </is>
      </c>
      <c r="Z300" s="2" t="inlineStr">
        <is>
          <t>Aditamento (Artigo PPL)</t>
        </is>
      </c>
      <c r="AA300" s="2" t="inlineStr">
        <is>
          <t>Rejeitado(a) em Comissão</t>
        </is>
      </c>
      <c r="AB300" s="2" t="inlineStr"/>
      <c r="AC300" s="2" t="inlineStr"/>
      <c r="AD300" s="2" t="inlineStr">
        <is>
          <t>1</t>
        </is>
      </c>
      <c r="AE300" s="2" t="inlineStr">
        <is>
          <t>23461</t>
        </is>
      </c>
      <c r="AF300" s="2" t="inlineStr">
        <is>
          <t>https://www.parlamento.pt/OrcamentoEstado/Paginas/DetalhePropostaAlteracao.aspx?BID=23461</t>
        </is>
      </c>
      <c r="AG300" s="2" t="inlineStr">
        <is>
          <t>https://app.parlamento.pt/webutils/docs/doc.pdf?path=6148523063484d364c793942556b356c6443397a6158526c63793959566b6c4a544556484c3039464c7a49774d6a59794d4449314d5441774f533951515338304d5755784e3252685a69316a597a4a6b4c5451794e5467744f44526a4e7931684e32517a4e6a526d4d32466d4e7a49756347526d&amp;Fich=41e17daf-cc2d-4258-84c7-a7d364f3af72.pdf&amp;Inline=true</t>
        </is>
      </c>
      <c r="AH300" s="3" t="n">
        <v>46321.77847222222</v>
      </c>
      <c r="AI300" s="3" t="n">
        <v>46321.78055555555</v>
      </c>
      <c r="AJ300" s="2" t="inlineStr"/>
    </row>
    <row r="301">
      <c r="A301" s="2" t="n">
        <v>300</v>
      </c>
      <c r="B301" s="2" t="inlineStr">
        <is>
          <t>267C</t>
        </is>
      </c>
      <c r="C301" s="3" t="n">
        <v>45964.68472222222</v>
      </c>
      <c r="D301" s="2" t="inlineStr">
        <is>
          <t>Original</t>
        </is>
      </c>
      <c r="E301" s="2" t="inlineStr">
        <is>
          <t>L</t>
        </is>
      </c>
      <c r="F301" s="2" t="inlineStr">
        <is>
          <t>Filipa Pinto; Isabel Mendes Lopes; Jorge Pinto; Patrícia Gonçalves; Paulo Muacho; Rui Tavares</t>
        </is>
      </c>
      <c r="G301" s="2" t="inlineStr">
        <is>
          <t>Art. 28.º-A (aditamento)</t>
        </is>
      </c>
      <c r="H301" s="2" t="n"/>
      <c r="I301" s="2" t="n"/>
      <c r="J301" s="2" t="n"/>
      <c r="K301" s="2" t="n"/>
      <c r="L301" s="2" t="inlineStr">
        <is>
          <t>Artigo 28.º-A (Recrutamento de inspetores das pescas pela Direção-Geral de Recursos Naturais, Segurança e Serviços Marítimos)</t>
        </is>
      </c>
      <c r="M301" s="4" t="n"/>
      <c r="N301" s="4" t="n"/>
      <c r="O301" s="2" t="n"/>
      <c r="P301" s="2" t="n"/>
      <c r="Q301" s="2" t="n"/>
      <c r="R301" s="2" t="n"/>
      <c r="S301" s="2" t="inlineStr">
        <is>
          <t>Rejeitado(a) em Comissão</t>
        </is>
      </c>
      <c r="T301" s="2" t="inlineStr">
        <is>
          <t>Rejeitada</t>
        </is>
      </c>
      <c r="U301" s="2" t="inlineStr">
        <is>
          <t>Favor: L, PCP, BE, PAN; Contra: PSD, CDS-PP; Abstenção: CH, PS, IL</t>
        </is>
      </c>
      <c r="V301" s="3" t="n">
        <v>45981</v>
      </c>
      <c r="W301" s="2" t="inlineStr">
        <is>
          <t>AR: https://www.parlamento.pt/OrcamentoEstado/Paginas/DetalhePropostaAlteracao.aspx?BID=23462 PDF: https://app.parlamento.pt/webutils/docs/doc.pdf?path=6148523063484d364c793942556b356c6443397a6158526c63793959566b6c4a544556484c3039464c7a49774d6a59794d4449314d5441774f5339515153387a597a59344f574a6a597930794d7a59314c54517a4d7a59744f5752695953316c4d7a51314d5449794d546732595467756347526d&amp;Fich=3c689bcc-2365-4336-9dba-e345122186a8.pdf&amp;Inline=true</t>
        </is>
      </c>
      <c r="X301" s="2" t="inlineStr">
        <is>
          <t>Agricultura e Pescas; Orçamento, Finanças e Administração Pública</t>
        </is>
      </c>
      <c r="Y301" s="2" t="inlineStr">
        <is>
          <t>Articulado</t>
        </is>
      </c>
      <c r="Z301" s="2" t="inlineStr">
        <is>
          <t>Aditamento (Artigo PPL)</t>
        </is>
      </c>
      <c r="AA301" s="2" t="inlineStr">
        <is>
          <t>Rejeitado(a) em Comissão</t>
        </is>
      </c>
      <c r="AB301" s="2" t="inlineStr"/>
      <c r="AC301" s="2" t="inlineStr"/>
      <c r="AD301" s="2" t="inlineStr">
        <is>
          <t>1</t>
        </is>
      </c>
      <c r="AE301" s="2" t="inlineStr">
        <is>
          <t>23462</t>
        </is>
      </c>
      <c r="AF301" s="2" t="inlineStr">
        <is>
          <t>https://www.parlamento.pt/OrcamentoEstado/Paginas/DetalhePropostaAlteracao.aspx?BID=23462</t>
        </is>
      </c>
      <c r="AG301" s="2" t="inlineStr">
        <is>
          <t>https://app.parlamento.pt/webutils/docs/doc.pdf?path=6148523063484d364c793942556b356c6443397a6158526c63793959566b6c4a544556484c3039464c7a49774d6a59794d4449314d5441774f5339515153387a597a59344f574a6a597930794d7a59314c54517a4d7a59744f5752695953316c4d7a51314d5449794d546732595467756347526d&amp;Fich=3c689bcc-2365-4336-9dba-e345122186a8.pdf&amp;Inline=true</t>
        </is>
      </c>
      <c r="AH301" s="3" t="n">
        <v>46321.77847222222</v>
      </c>
      <c r="AI301" s="3" t="n">
        <v>46321.78055555555</v>
      </c>
      <c r="AJ301" s="2" t="inlineStr"/>
    </row>
    <row r="302">
      <c r="A302" s="2" t="n">
        <v>301</v>
      </c>
      <c r="B302" s="2" t="inlineStr">
        <is>
          <t>268C</t>
        </is>
      </c>
      <c r="C302" s="3" t="n">
        <v>45964.68888888889</v>
      </c>
      <c r="D302" s="2" t="inlineStr">
        <is>
          <t>Original</t>
        </is>
      </c>
      <c r="E302" s="2" t="inlineStr">
        <is>
          <t>L</t>
        </is>
      </c>
      <c r="F302" s="2" t="inlineStr">
        <is>
          <t>Filipa Pinto; Isabel Mendes Lopes; Jorge Pinto; Patrícia Gonçalves; Paulo Muacho; Rui Tavares</t>
        </is>
      </c>
      <c r="G302" s="2" t="inlineStr">
        <is>
          <t>Art. 83.º-A (aditamento)</t>
        </is>
      </c>
      <c r="H302" s="2" t="n"/>
      <c r="I302" s="2" t="n"/>
      <c r="J302" s="2" t="n"/>
      <c r="K302" s="2" t="n"/>
      <c r="L302" s="2" t="inlineStr">
        <is>
          <t>Artigo 83.º-A (Alteração à Lei n.º 10-A/2022, de 28 de abril)</t>
        </is>
      </c>
      <c r="M302" s="4" t="n"/>
      <c r="N302" s="4" t="n"/>
      <c r="O302" s="2" t="n"/>
      <c r="P302" s="2" t="n"/>
      <c r="Q302" s="2" t="n"/>
      <c r="R302" s="2" t="n"/>
      <c r="S302" s="2" t="inlineStr">
        <is>
          <t>Rejeitado(a) em Comissão</t>
        </is>
      </c>
      <c r="T302" s="2" t="inlineStr">
        <is>
          <t>Rejeitada</t>
        </is>
      </c>
      <c r="U302" s="2" t="inlineStr">
        <is>
          <t>Favor: CH, IL, L, PCP, BE, PAN; Contra: PSD, CDS-PP; Abstenção: PS</t>
        </is>
      </c>
      <c r="V302" s="3" t="n">
        <v>45982</v>
      </c>
      <c r="W302" s="2" t="inlineStr">
        <is>
          <t>AR: https://www.parlamento.pt/OrcamentoEstado/Paginas/DetalhePropostaAlteracao.aspx?BID=23463 PDF: https://app.parlamento.pt/webutils/docs/doc.pdf?path=6148523063484d364c793942556b356c6443397a6158526c63793959566b6c4a544556484c3039464c7a49774d6a59794d4449314d5441774f533951515339694e44466c4f446b324d4330334e3259774c54526c596d5574596d4e6d4e4330314d7a5a6b597a4a6d4e6a6c6a4e7a55756347526d&amp;Fich=b41e8960-77f0-4ebe-bcf4-536dc2f69c75.pdf&amp;Inline=true</t>
        </is>
      </c>
      <c r="X302" s="2" t="inlineStr">
        <is>
          <t>Agricultura e Pescas; Orçamento, Finanças e Administração Pública</t>
        </is>
      </c>
      <c r="Y302" s="2" t="inlineStr">
        <is>
          <t>Articulado</t>
        </is>
      </c>
      <c r="Z302" s="2" t="inlineStr">
        <is>
          <t>Aditamento (Artigo PPL)</t>
        </is>
      </c>
      <c r="AA302" s="2" t="inlineStr">
        <is>
          <t>Rejeitado(a) em Comissão</t>
        </is>
      </c>
      <c r="AB302" s="2" t="inlineStr"/>
      <c r="AC302" s="2" t="inlineStr"/>
      <c r="AD302" s="2" t="inlineStr">
        <is>
          <t>1</t>
        </is>
      </c>
      <c r="AE302" s="2" t="inlineStr">
        <is>
          <t>23463</t>
        </is>
      </c>
      <c r="AF302" s="2" t="inlineStr">
        <is>
          <t>https://www.parlamento.pt/OrcamentoEstado/Paginas/DetalhePropostaAlteracao.aspx?BID=23463</t>
        </is>
      </c>
      <c r="AG302" s="2" t="inlineStr">
        <is>
          <t>https://app.parlamento.pt/webutils/docs/doc.pdf?path=6148523063484d364c793942556b356c6443397a6158526c63793959566b6c4a544556484c3039464c7a49774d6a59794d4449314d5441774f533951515339694e44466c4f446b324d4330334e3259774c54526c596d5574596d4e6d4e4330314d7a5a6b597a4a6d4e6a6c6a4e7a55756347526d&amp;Fich=b41e8960-77f0-4ebe-bcf4-536dc2f69c75.pdf&amp;Inline=true</t>
        </is>
      </c>
      <c r="AH302" s="3" t="n">
        <v>46321.77847222222</v>
      </c>
      <c r="AI302" s="3" t="n">
        <v>46321.78055555555</v>
      </c>
      <c r="AJ302" s="2" t="inlineStr"/>
    </row>
    <row r="303">
      <c r="A303" s="2" t="n">
        <v>302</v>
      </c>
      <c r="B303" s="2" t="inlineStr">
        <is>
          <t>269C</t>
        </is>
      </c>
      <c r="C303" s="3" t="n">
        <v>45964.69166666667</v>
      </c>
      <c r="D303" s="2" t="inlineStr">
        <is>
          <t>Original</t>
        </is>
      </c>
      <c r="E303" s="2" t="inlineStr">
        <is>
          <t>L</t>
        </is>
      </c>
      <c r="F303" s="2" t="inlineStr">
        <is>
          <t>Filipa Pinto; Isabel Mendes Lopes; Jorge Pinto; Patrícia Gonçalves; Paulo Muacho; Rui Tavares</t>
        </is>
      </c>
      <c r="G303" s="2" t="inlineStr">
        <is>
          <t>Art. 138.º (aditamento)</t>
        </is>
      </c>
      <c r="H303" s="2" t="n"/>
      <c r="I303" s="2" t="n"/>
      <c r="J303" s="2" t="n"/>
      <c r="K303" s="2" t="n"/>
      <c r="L303" s="2" t="inlineStr">
        <is>
          <t>Alínea c), Artigo 138.º</t>
        </is>
      </c>
      <c r="M303" s="4" t="n"/>
      <c r="N303" s="4" t="n"/>
      <c r="O303" s="2" t="n"/>
      <c r="P303" s="2" t="n"/>
      <c r="Q303" s="2" t="n"/>
      <c r="R303" s="2" t="n"/>
      <c r="S303" s="2" t="inlineStr">
        <is>
          <t>Rejeitado(a) em Comissão</t>
        </is>
      </c>
      <c r="T303" s="2" t="inlineStr">
        <is>
          <t>Rejeitada</t>
        </is>
      </c>
      <c r="U303" s="2" t="inlineStr">
        <is>
          <t>Favor: L, BE, PAN; Contra: PSD, CH, IL, CDS-PP; Abstenção: PS, PCP</t>
        </is>
      </c>
      <c r="V303" s="3" t="n">
        <v>45987</v>
      </c>
      <c r="W303" s="2" t="inlineStr">
        <is>
          <t>AR: https://www.parlamento.pt/OrcamentoEstado/Paginas/DetalhePropostaAlteracao.aspx?BID=23464 PDF: https://app.parlamento.pt/webutils/docs/doc.pdf?path=6148523063484d364c793942556b356c6443397a6158526c63793959566b6c4a544556484c3039464c7a49774d6a59794d4449314d5441774f533951515338304d446b304d7a55324e7930315a4751344c5451334d6d49744f4449775a6930304f444e6b4d5467794d7a4e694e5441756347526d&amp;Fich=40943567-5dd8-472b-820f-483d18233b50.pdf&amp;Inline=true</t>
        </is>
      </c>
      <c r="X303" s="2" t="inlineStr">
        <is>
          <t>Orçamento, Finanças e Administração Pública</t>
        </is>
      </c>
      <c r="Y303" s="2" t="inlineStr">
        <is>
          <t>Articulado</t>
        </is>
      </c>
      <c r="Z303" s="2" t="inlineStr">
        <is>
          <t>Aditamento (Números e Alíneas)</t>
        </is>
      </c>
      <c r="AA303" s="2" t="inlineStr">
        <is>
          <t>Rejeitado(a) em Comissão</t>
        </is>
      </c>
      <c r="AB303" s="2" t="inlineStr"/>
      <c r="AC303" s="2" t="inlineStr"/>
      <c r="AD303" s="2" t="inlineStr">
        <is>
          <t>1</t>
        </is>
      </c>
      <c r="AE303" s="2" t="inlineStr">
        <is>
          <t>23464</t>
        </is>
      </c>
      <c r="AF303" s="2" t="inlineStr">
        <is>
          <t>https://www.parlamento.pt/OrcamentoEstado/Paginas/DetalhePropostaAlteracao.aspx?BID=23464</t>
        </is>
      </c>
      <c r="AG303" s="2" t="inlineStr">
        <is>
          <t>https://app.parlamento.pt/webutils/docs/doc.pdf?path=6148523063484d364c793942556b356c6443397a6158526c63793959566b6c4a544556484c3039464c7a49774d6a59794d4449314d5441774f533951515338304d446b304d7a55324e7930315a4751344c5451334d6d49744f4449775a6930304f444e6b4d5467794d7a4e694e5441756347526d&amp;Fich=40943567-5dd8-472b-820f-483d18233b50.pdf&amp;Inline=true</t>
        </is>
      </c>
      <c r="AH303" s="3" t="n">
        <v>46321.77847222222</v>
      </c>
      <c r="AI303" s="3" t="n">
        <v>46321.78055555555</v>
      </c>
      <c r="AJ303" s="2" t="inlineStr"/>
    </row>
    <row r="304">
      <c r="A304" s="2" t="n">
        <v>303</v>
      </c>
      <c r="B304" s="2" t="inlineStr">
        <is>
          <t>270C</t>
        </is>
      </c>
      <c r="C304" s="3" t="n">
        <v>45964.69305555556</v>
      </c>
      <c r="D304" s="2" t="inlineStr">
        <is>
          <t>Original</t>
        </is>
      </c>
      <c r="E304" s="2" t="inlineStr">
        <is>
          <t>CH</t>
        </is>
      </c>
      <c r="F30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04" s="2" t="inlineStr">
        <is>
          <t>Art. 63.º-A (aditamento)</t>
        </is>
      </c>
      <c r="H304" s="2" t="n"/>
      <c r="I304" s="2" t="n"/>
      <c r="J304" s="2" t="n"/>
      <c r="K304" s="2" t="n"/>
      <c r="L304" s="2" t="inlineStr">
        <is>
          <t>Artigo 63.º-A (Alteração ao Código do Imposto sobre o Valor Acrescentado)</t>
        </is>
      </c>
      <c r="M304" s="4" t="n"/>
      <c r="N304" s="4" t="n"/>
      <c r="O304" s="2" t="n"/>
      <c r="P304" s="2" t="n"/>
      <c r="Q304" s="2" t="n"/>
      <c r="R304" s="2" t="n"/>
      <c r="S304" s="2" t="inlineStr">
        <is>
          <t>Rejeitado(a) em Comissão</t>
        </is>
      </c>
      <c r="T304" s="2" t="inlineStr">
        <is>
          <t>Rejeitada</t>
        </is>
      </c>
      <c r="U304" s="2" t="inlineStr">
        <is>
          <t>Favor: CH, IL, BE, PAN; Contra: PSD, CDS-PP; Abstenção: PS, L, PCP</t>
        </is>
      </c>
      <c r="V304" s="3" t="n">
        <v>45982</v>
      </c>
      <c r="W304" s="2" t="inlineStr">
        <is>
          <t>AR: https://www.parlamento.pt/OrcamentoEstado/Paginas/DetalhePropostaAlteracao.aspx?BID=23465 PDF: https://app.parlamento.pt/webutils/docs/doc.pdf?path=6148523063484d364c793942556b356c6443397a6158526c63793959566b6c4a544556484c3039464c7a49774d6a59794d4449314d5441774f533951515338794e6a4d325a44597959533033596a52694c5451304e7a67744f444d314e5330334d446730596d45304d6d4d35596d51756347526d&amp;Fich=2636d62a-7b4b-4478-8355-7084ba42c9bd.pdf&amp;Inline=true</t>
        </is>
      </c>
      <c r="X304" s="2" t="inlineStr">
        <is>
          <t>Orçamento, Finanças e Administração Pública</t>
        </is>
      </c>
      <c r="Y304" s="2" t="inlineStr">
        <is>
          <t>Articulado</t>
        </is>
      </c>
      <c r="Z304" s="2" t="inlineStr">
        <is>
          <t>Aditamento (Artigo PPL)</t>
        </is>
      </c>
      <c r="AA304" s="2" t="inlineStr">
        <is>
          <t>Rejeitado(a) em Comissão</t>
        </is>
      </c>
      <c r="AB304" s="2" t="inlineStr"/>
      <c r="AC304" s="2" t="inlineStr"/>
      <c r="AD304" s="2" t="inlineStr">
        <is>
          <t>1</t>
        </is>
      </c>
      <c r="AE304" s="2" t="inlineStr">
        <is>
          <t>23465</t>
        </is>
      </c>
      <c r="AF304" s="2" t="inlineStr">
        <is>
          <t>https://www.parlamento.pt/OrcamentoEstado/Paginas/DetalhePropostaAlteracao.aspx?BID=23465</t>
        </is>
      </c>
      <c r="AG304" s="2" t="inlineStr">
        <is>
          <t>https://app.parlamento.pt/webutils/docs/doc.pdf?path=6148523063484d364c793942556b356c6443397a6158526c63793959566b6c4a544556484c3039464c7a49774d6a59794d4449314d5441774f533951515338794e6a4d325a44597959533033596a52694c5451304e7a67744f444d314e5330334d446730596d45304d6d4d35596d51756347526d&amp;Fich=2636d62a-7b4b-4478-8355-7084ba42c9bd.pdf&amp;Inline=true</t>
        </is>
      </c>
      <c r="AH304" s="3" t="n">
        <v>46321.77847222222</v>
      </c>
      <c r="AI304" s="3" t="n">
        <v>46321.78055555555</v>
      </c>
      <c r="AJ304" s="2" t="inlineStr"/>
    </row>
    <row r="305">
      <c r="A305" s="2" t="n">
        <v>304</v>
      </c>
      <c r="B305" s="2" t="inlineStr">
        <is>
          <t>271C</t>
        </is>
      </c>
      <c r="C305" s="3" t="n">
        <v>45964.69444444445</v>
      </c>
      <c r="D305" s="2" t="inlineStr">
        <is>
          <t>Original</t>
        </is>
      </c>
      <c r="E305" s="2" t="inlineStr">
        <is>
          <t>CH</t>
        </is>
      </c>
      <c r="F30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05" s="2" t="inlineStr">
        <is>
          <t>Art. 74.º (substituição)</t>
        </is>
      </c>
      <c r="H305" s="2" t="n"/>
      <c r="I305" s="2" t="n"/>
      <c r="J305" s="2" t="n"/>
      <c r="K305" s="2" t="n"/>
      <c r="L305" s="2" t="inlineStr">
        <is>
          <t>Artigo 74.º</t>
        </is>
      </c>
      <c r="M305" s="4" t="n"/>
      <c r="N305" s="4" t="n"/>
      <c r="O305" s="2" t="n"/>
      <c r="P305" s="2" t="n"/>
      <c r="Q305" s="2" t="n"/>
      <c r="R305" s="2" t="n"/>
      <c r="S305" s="2" t="inlineStr">
        <is>
          <t>Rejeitado(a) em Comissão</t>
        </is>
      </c>
      <c r="T305" s="2" t="inlineStr">
        <is>
          <t>Rejeitada</t>
        </is>
      </c>
      <c r="U305" s="2" t="inlineStr">
        <is>
          <t>Favor: CH, BE, PAN; Contra: PSD, IL, CDS-PP; Abstenção: PS, L, PCP</t>
        </is>
      </c>
      <c r="V305" s="3" t="n">
        <v>45982</v>
      </c>
      <c r="W305" s="2" t="inlineStr">
        <is>
          <t>AR: https://www.parlamento.pt/OrcamentoEstado/Paginas/DetalhePropostaAlteracao.aspx?BID=23466 PDF: https://app.parlamento.pt/webutils/docs/doc.pdf?path=6148523063484d364c793942556b356c6443397a6158526c63793959566b6c4a544556484c3039464c7a49774d6a59794d4449314d5441774f53395151533878597a4178597a55314e69307a4e325a6a4c5451784e6d497459544133596930334e474d334d574e684d6d5268596d49756347526d&amp;Fich=1c01c556-37fc-416b-a07b-74c71ca2dabb.pdf&amp;Inline=true</t>
        </is>
      </c>
      <c r="X305" s="2" t="inlineStr">
        <is>
          <t>Orçamento, Finanças e Administração Pública</t>
        </is>
      </c>
      <c r="Y305" s="2" t="inlineStr">
        <is>
          <t>Articulado</t>
        </is>
      </c>
      <c r="Z305" s="2" t="inlineStr">
        <is>
          <t>Substituição</t>
        </is>
      </c>
      <c r="AA305" s="2" t="inlineStr">
        <is>
          <t>Rejeitado(a) em Comissão</t>
        </is>
      </c>
      <c r="AB305" s="2" t="inlineStr"/>
      <c r="AC305" s="2" t="inlineStr"/>
      <c r="AD305" s="2" t="inlineStr">
        <is>
          <t>1</t>
        </is>
      </c>
      <c r="AE305" s="2" t="inlineStr">
        <is>
          <t>23466</t>
        </is>
      </c>
      <c r="AF305" s="2" t="inlineStr">
        <is>
          <t>https://www.parlamento.pt/OrcamentoEstado/Paginas/DetalhePropostaAlteracao.aspx?BID=23466</t>
        </is>
      </c>
      <c r="AG305" s="2" t="inlineStr">
        <is>
          <t>https://app.parlamento.pt/webutils/docs/doc.pdf?path=6148523063484d364c793942556b356c6443397a6158526c63793959566b6c4a544556484c3039464c7a49774d6a59794d4449314d5441774f53395151533878597a4178597a55314e69307a4e325a6a4c5451784e6d497459544133596930334e474d334d574e684d6d5268596d49756347526d&amp;Fich=1c01c556-37fc-416b-a07b-74c71ca2dabb.pdf&amp;Inline=true</t>
        </is>
      </c>
      <c r="AH305" s="3" t="n">
        <v>46321.77847222222</v>
      </c>
      <c r="AI305" s="3" t="n">
        <v>46321.78055555555</v>
      </c>
      <c r="AJ305" s="2" t="inlineStr"/>
    </row>
    <row r="306">
      <c r="A306" s="2" t="n">
        <v>305</v>
      </c>
      <c r="B306" s="2" t="inlineStr">
        <is>
          <t>272C</t>
        </is>
      </c>
      <c r="C306" s="3" t="n">
        <v>45964.69930555556</v>
      </c>
      <c r="D306" s="2" t="inlineStr">
        <is>
          <t>Original</t>
        </is>
      </c>
      <c r="E306" s="2" t="inlineStr">
        <is>
          <t>CH</t>
        </is>
      </c>
      <c r="F30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06" s="2" t="inlineStr">
        <is>
          <t>Art. 60.º (substituição)</t>
        </is>
      </c>
      <c r="H306" s="2" t="n"/>
      <c r="I306" s="2" t="n"/>
      <c r="J306" s="2" t="n"/>
      <c r="K306" s="2" t="n"/>
      <c r="L306" s="2" t="inlineStr">
        <is>
          <t>N.º 8, Artigo 78.º do Código do IRS</t>
        </is>
      </c>
      <c r="M306" s="4" t="n"/>
      <c r="N306" s="4" t="n"/>
      <c r="O306" s="2" t="n"/>
      <c r="P306" s="2" t="n"/>
      <c r="Q306" s="2" t="n"/>
      <c r="R306" s="2" t="n"/>
      <c r="S306" s="2" t="inlineStr">
        <is>
          <t>Rejeitado(a) em Comissão</t>
        </is>
      </c>
      <c r="T306" s="2" t="inlineStr">
        <is>
          <t>Rejeitada</t>
        </is>
      </c>
      <c r="U306" s="2" t="inlineStr">
        <is>
          <t>Favor: CH, PAN; Contra: PSD, PCP, CDS-PP; Abstenção: PS, IL, L, BE</t>
        </is>
      </c>
      <c r="V306" s="3" t="n">
        <v>45981</v>
      </c>
      <c r="W306" s="2" t="inlineStr">
        <is>
          <t>AR: https://www.parlamento.pt/OrcamentoEstado/Paginas/DetalhePropostaAlteracao.aspx?BID=23467 PDF: https://app.parlamento.pt/webutils/docs/doc.pdf?path=6148523063484d364c793942556b356c6443397a6158526c63793959566b6c4a544556484c3039464c7a49774d6a59794d4449314d5441774f5339515153396d593249344e7a4e6a4f5330785a5445794c54517a4f4449744f5746694d6930304d5755324e545269597a59334e4745756347526d&amp;Fich=fcb873c9-1e12-4382-9ab2-41e654bc674a.pdf&amp;Inline=true</t>
        </is>
      </c>
      <c r="X306" s="2" t="inlineStr">
        <is>
          <t>Orçamento, Finanças e Administração Pública</t>
        </is>
      </c>
      <c r="Y306" s="2" t="inlineStr">
        <is>
          <t>Articulado</t>
        </is>
      </c>
      <c r="Z306" s="2" t="inlineStr">
        <is>
          <t>Substituição</t>
        </is>
      </c>
      <c r="AA306" s="2" t="inlineStr">
        <is>
          <t>Rejeitado(a) em Comissão</t>
        </is>
      </c>
      <c r="AB306" s="2" t="inlineStr"/>
      <c r="AC306" s="2" t="inlineStr"/>
      <c r="AD306" s="2" t="inlineStr">
        <is>
          <t>1</t>
        </is>
      </c>
      <c r="AE306" s="2" t="inlineStr">
        <is>
          <t>23467</t>
        </is>
      </c>
      <c r="AF306" s="2" t="inlineStr">
        <is>
          <t>https://www.parlamento.pt/OrcamentoEstado/Paginas/DetalhePropostaAlteracao.aspx?BID=23467</t>
        </is>
      </c>
      <c r="AG306" s="2" t="inlineStr">
        <is>
          <t>https://app.parlamento.pt/webutils/docs/doc.pdf?path=6148523063484d364c793942556b356c6443397a6158526c63793959566b6c4a544556484c3039464c7a49774d6a59794d4449314d5441774f5339515153396d593249344e7a4e6a4f5330785a5445794c54517a4f4449744f5746694d6930304d5755324e545269597a59334e4745756347526d&amp;Fich=fcb873c9-1e12-4382-9ab2-41e654bc674a.pdf&amp;Inline=true</t>
        </is>
      </c>
      <c r="AH306" s="3" t="n">
        <v>46321.77847222222</v>
      </c>
      <c r="AI306" s="3" t="n">
        <v>46321.78055555555</v>
      </c>
      <c r="AJ306" s="2" t="inlineStr"/>
    </row>
    <row r="307">
      <c r="A307" s="2" t="n">
        <v>306</v>
      </c>
      <c r="B307" s="2" t="inlineStr">
        <is>
          <t>273C</t>
        </is>
      </c>
      <c r="C307" s="3" t="n">
        <v>45964.70138888889</v>
      </c>
      <c r="D307" s="2" t="inlineStr">
        <is>
          <t>Original</t>
        </is>
      </c>
      <c r="E307" s="2" t="inlineStr">
        <is>
          <t>CH</t>
        </is>
      </c>
      <c r="F30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07" s="2" t="inlineStr">
        <is>
          <t>Art. 60.º (substituição)</t>
        </is>
      </c>
      <c r="H307" s="2" t="n"/>
      <c r="I307" s="2" t="n"/>
      <c r="J307" s="2" t="n"/>
      <c r="K307" s="2" t="n"/>
      <c r="L307" s="2" t="inlineStr">
        <is>
          <t>Alínea a), Alínea b), Alínea c), N.º 1, Artigo 101.º do Código do IRS</t>
        </is>
      </c>
      <c r="M307" s="4" t="n"/>
      <c r="N307" s="4" t="n"/>
      <c r="O307" s="2" t="n"/>
      <c r="P307" s="2" t="n"/>
      <c r="Q307" s="2" t="n"/>
      <c r="R307" s="2" t="n"/>
      <c r="S307" s="2" t="inlineStr">
        <is>
          <t>Rejeitado(a) em Comissão</t>
        </is>
      </c>
      <c r="T307" s="2" t="inlineStr">
        <is>
          <t>Rejeitada</t>
        </is>
      </c>
      <c r="U307" s="2" t="inlineStr">
        <is>
          <t>Favor: CH, IL, PAN; Contra: PSD, PCP, CDS-PP; Abstenção: PS, L, BE</t>
        </is>
      </c>
      <c r="V307" s="3" t="n">
        <v>45981</v>
      </c>
      <c r="W307" s="2" t="inlineStr">
        <is>
          <t>AR: https://www.parlamento.pt/OrcamentoEstado/Paginas/DetalhePropostaAlteracao.aspx?BID=23468 PDF: https://app.parlamento.pt/webutils/docs/doc.pdf?path=6148523063484d364c793942556b356c6443397a6158526c63793959566b6c4a544556484c3039464c7a49774d6a59794d4449314d5441774f5339515153387a4e546b314e5451774d6930355954497a4c5451304e544574596a457a4d43316a4f4755795a474d31596d45345a444d756347526d&amp;Fich=35955402-9a23-4451-b130-c8e2dc5ba8d3.pdf&amp;Inline=true</t>
        </is>
      </c>
      <c r="X307" s="2" t="inlineStr">
        <is>
          <t>Orçamento, Finanças e Administração Pública</t>
        </is>
      </c>
      <c r="Y307" s="2" t="inlineStr">
        <is>
          <t>Articulado</t>
        </is>
      </c>
      <c r="Z307" s="2" t="inlineStr">
        <is>
          <t>Substituição</t>
        </is>
      </c>
      <c r="AA307" s="2" t="inlineStr">
        <is>
          <t>Rejeitado(a) em Comissão</t>
        </is>
      </c>
      <c r="AB307" s="2" t="inlineStr"/>
      <c r="AC307" s="2" t="inlineStr"/>
      <c r="AD307" s="2" t="inlineStr">
        <is>
          <t>1</t>
        </is>
      </c>
      <c r="AE307" s="2" t="inlineStr">
        <is>
          <t>23468</t>
        </is>
      </c>
      <c r="AF307" s="2" t="inlineStr">
        <is>
          <t>https://www.parlamento.pt/OrcamentoEstado/Paginas/DetalhePropostaAlteracao.aspx?BID=23468</t>
        </is>
      </c>
      <c r="AG307" s="2" t="inlineStr">
        <is>
          <t>https://app.parlamento.pt/webutils/docs/doc.pdf?path=6148523063484d364c793942556b356c6443397a6158526c63793959566b6c4a544556484c3039464c7a49774d6a59794d4449314d5441774f5339515153387a4e546b314e5451774d6930355954497a4c5451304e544574596a457a4d43316a4f4755795a474d31596d45345a444d756347526d&amp;Fich=35955402-9a23-4451-b130-c8e2dc5ba8d3.pdf&amp;Inline=true</t>
        </is>
      </c>
      <c r="AH307" s="3" t="n">
        <v>46321.77847222222</v>
      </c>
      <c r="AI307" s="3" t="n">
        <v>46321.78055555555</v>
      </c>
      <c r="AJ307" s="2" t="inlineStr"/>
    </row>
    <row r="308">
      <c r="A308" s="2" t="n">
        <v>307</v>
      </c>
      <c r="B308" s="2" t="inlineStr">
        <is>
          <t>274C</t>
        </is>
      </c>
      <c r="C308" s="3" t="n">
        <v>45964.70277777778</v>
      </c>
      <c r="D308" s="2" t="inlineStr">
        <is>
          <t>Original</t>
        </is>
      </c>
      <c r="E308" s="2" t="inlineStr">
        <is>
          <t>CH</t>
        </is>
      </c>
      <c r="F30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08" s="2" t="inlineStr">
        <is>
          <t>Art. 60.º (substituição)</t>
        </is>
      </c>
      <c r="H308" s="2" t="n"/>
      <c r="I308" s="2" t="n"/>
      <c r="J308" s="2" t="n"/>
      <c r="K308" s="2" t="n"/>
      <c r="L308" s="2" t="inlineStr">
        <is>
          <t>Corpo, N.º 1, Artigo 78.º-C do Código do IRS</t>
        </is>
      </c>
      <c r="M308" s="4" t="n"/>
      <c r="N308" s="4" t="n"/>
      <c r="O308" s="2" t="n"/>
      <c r="P308" s="2" t="n"/>
      <c r="Q308" s="2" t="n"/>
      <c r="R308" s="2" t="n"/>
      <c r="S308" s="2" t="inlineStr">
        <is>
          <t>Rejeitado(a) em Comissão</t>
        </is>
      </c>
      <c r="T308" s="2" t="inlineStr">
        <is>
          <t>Rejeitada</t>
        </is>
      </c>
      <c r="U308" s="2" t="inlineStr">
        <is>
          <t>Favor: CH, IL, PAN; Contra: PSD, PCP, CDS-PP; Abstenção: PS, L, BE</t>
        </is>
      </c>
      <c r="V308" s="3" t="n">
        <v>45981</v>
      </c>
      <c r="W308" s="2" t="inlineStr">
        <is>
          <t>AR: https://www.parlamento.pt/OrcamentoEstado/Paginas/DetalhePropostaAlteracao.aspx?BID=23469 PDF: https://app.parlamento.pt/webutils/docs/doc.pdf?path=6148523063484d364c793942556b356c6443397a6158526c63793959566b6c4a544556484c3039464c7a49774d6a59794d4449314d5441774f5339515153396b5a4455774e6d4531597930315a5749314c5452695a6a6b74595449314e6930794f474a6b4d7a457a5954566c5a4745756347526d&amp;Fich=dd506a5c-5eb5-4bf9-a256-28bd313a5eda.pdf&amp;Inline=true</t>
        </is>
      </c>
      <c r="X308" s="2" t="inlineStr">
        <is>
          <t>Orçamento, Finanças e Administração Pública</t>
        </is>
      </c>
      <c r="Y308" s="2" t="inlineStr">
        <is>
          <t>Articulado</t>
        </is>
      </c>
      <c r="Z308" s="2" t="inlineStr">
        <is>
          <t>Substituição</t>
        </is>
      </c>
      <c r="AA308" s="2" t="inlineStr">
        <is>
          <t>Rejeitado(a) em Comissão</t>
        </is>
      </c>
      <c r="AB308" s="2" t="inlineStr"/>
      <c r="AC308" s="2" t="inlineStr"/>
      <c r="AD308" s="2" t="inlineStr">
        <is>
          <t>1</t>
        </is>
      </c>
      <c r="AE308" s="2" t="inlineStr">
        <is>
          <t>23469</t>
        </is>
      </c>
      <c r="AF308" s="2" t="inlineStr">
        <is>
          <t>https://www.parlamento.pt/OrcamentoEstado/Paginas/DetalhePropostaAlteracao.aspx?BID=23469</t>
        </is>
      </c>
      <c r="AG308" s="2" t="inlineStr">
        <is>
          <t>https://app.parlamento.pt/webutils/docs/doc.pdf?path=6148523063484d364c793942556b356c6443397a6158526c63793959566b6c4a544556484c3039464c7a49774d6a59794d4449314d5441774f5339515153396b5a4455774e6d4531597930315a5749314c5452695a6a6b74595449314e6930794f474a6b4d7a457a5954566c5a4745756347526d&amp;Fich=dd506a5c-5eb5-4bf9-a256-28bd313a5eda.pdf&amp;Inline=true</t>
        </is>
      </c>
      <c r="AH308" s="3" t="n">
        <v>46321.77847222222</v>
      </c>
      <c r="AI308" s="3" t="n">
        <v>46321.78055555555</v>
      </c>
      <c r="AJ308" s="2" t="inlineStr"/>
    </row>
    <row r="309">
      <c r="A309" s="2" t="n">
        <v>308</v>
      </c>
      <c r="B309" s="2" t="inlineStr">
        <is>
          <t>275C-1</t>
        </is>
      </c>
      <c r="C309" s="3" t="n">
        <v>45964.70625</v>
      </c>
      <c r="D309" s="2" t="inlineStr">
        <is>
          <t>Original</t>
        </is>
      </c>
      <c r="E309" s="2" t="inlineStr">
        <is>
          <t>CH</t>
        </is>
      </c>
      <c r="F30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09" s="2" t="inlineStr">
        <is>
          <t>Art. 60.º (substituição)</t>
        </is>
      </c>
      <c r="H309" s="2" t="n"/>
      <c r="I309" s="2" t="n"/>
      <c r="J309" s="2" t="n"/>
      <c r="K309" s="2" t="n"/>
      <c r="L309" s="2" t="inlineStr">
        <is>
          <t>Corpo, Alínea b), Alínea d), N.º1, Artigo 78.º-E do Código do IRS</t>
        </is>
      </c>
      <c r="M309" s="4" t="n"/>
      <c r="N309" s="4" t="n"/>
      <c r="O309" s="2" t="n"/>
      <c r="P309" s="2" t="n"/>
      <c r="Q309" s="2" t="n"/>
      <c r="R309" s="2" t="n"/>
      <c r="S309" s="2" t="inlineStr">
        <is>
          <t>Rejeitado(a) em Comissão</t>
        </is>
      </c>
      <c r="T309" s="2" t="inlineStr">
        <is>
          <t>Rejeitada</t>
        </is>
      </c>
      <c r="U309" s="2" t="inlineStr">
        <is>
          <t>Favor: CH, IL, BE, PAN; Contra: PSD, PCP, CDS-PP; Abstenção: PS, L</t>
        </is>
      </c>
      <c r="V309" s="3" t="n">
        <v>45981</v>
      </c>
      <c r="W309" s="2" t="inlineStr">
        <is>
          <t>AR: https://www.parlamento.pt/OrcamentoEstado/Paginas/DetalhePropostaAlteracao.aspx?BID=23470 PDF: https://app.parlamento.pt/webutils/docs/doc.pdf?path=6148523063484d364c793942556b356c6443397a6158526c63793959566b6c4a544556484c3039464c7a49774d6a59794d4449314d5441774f533951515339684d445531596d59354d4330314d6a646d4c5451354f4441744f5749784d79316b4e446b774e44526a4e6a41314f546b756347526d&amp;Fich=a055bf90-527f-4980-9b13-d49044c60599.pdf&amp;Inline=true</t>
        </is>
      </c>
      <c r="X309" s="2" t="inlineStr">
        <is>
          <t>Orçamento, Finanças e Administração Pública</t>
        </is>
      </c>
      <c r="Y309" s="2" t="inlineStr">
        <is>
          <t>Articulado</t>
        </is>
      </c>
      <c r="Z309" s="2" t="inlineStr">
        <is>
          <t>Substituição</t>
        </is>
      </c>
      <c r="AA309" s="2" t="inlineStr">
        <is>
          <t>Rejeitado(a) em Comissão</t>
        </is>
      </c>
      <c r="AB309" s="2" t="inlineStr"/>
      <c r="AC309" s="2" t="inlineStr">
        <is>
          <t>1</t>
        </is>
      </c>
      <c r="AD309" s="2" t="inlineStr">
        <is>
          <t>2</t>
        </is>
      </c>
      <c r="AE309" s="2" t="inlineStr">
        <is>
          <t>23470</t>
        </is>
      </c>
      <c r="AF309" s="2" t="inlineStr">
        <is>
          <t>https://www.parlamento.pt/OrcamentoEstado/Paginas/DetalhePropostaAlteracao.aspx?BID=23470</t>
        </is>
      </c>
      <c r="AG309" s="2" t="inlineStr">
        <is>
          <t>https://app.parlamento.pt/webutils/docs/doc.pdf?path=6148523063484d364c793942556b356c6443397a6158526c63793959566b6c4a544556484c3039464c7a49774d6a59794d4449314d5441774f533951515339684d445531596d59354d4330314d6a646d4c5451354f4441744f5749784d79316b4e446b774e44526a4e6a41314f546b756347526d&amp;Fich=a055bf90-527f-4980-9b13-d49044c60599.pdf&amp;Inline=true</t>
        </is>
      </c>
      <c r="AH309" s="3" t="n">
        <v>46321.77847222222</v>
      </c>
      <c r="AI309" s="3" t="n">
        <v>46321.78055555555</v>
      </c>
      <c r="AJ309" s="2" t="inlineStr"/>
    </row>
    <row r="310">
      <c r="A310" s="2" t="n">
        <v>309</v>
      </c>
      <c r="B310" s="2" t="inlineStr">
        <is>
          <t>275C-2</t>
        </is>
      </c>
      <c r="C310" s="3" t="n">
        <v>45964.70625</v>
      </c>
      <c r="D310" s="2" t="inlineStr">
        <is>
          <t>Original</t>
        </is>
      </c>
      <c r="E310" s="2" t="inlineStr">
        <is>
          <t>CH</t>
        </is>
      </c>
      <c r="F31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10" s="2" t="inlineStr">
        <is>
          <t>Art. 60.º (aditamento)</t>
        </is>
      </c>
      <c r="H310" s="2" t="n"/>
      <c r="I310" s="2" t="n"/>
      <c r="J310" s="2" t="n"/>
      <c r="K310" s="2" t="n"/>
      <c r="L310" s="2" t="inlineStr">
        <is>
          <t>Nova Alínea c), N.º 1, Artigo 78.º-E do código do IRS</t>
        </is>
      </c>
      <c r="M310" s="4" t="n"/>
      <c r="N310" s="4" t="n"/>
      <c r="O310" s="2" t="n"/>
      <c r="P310" s="2" t="n"/>
      <c r="Q310" s="2" t="n"/>
      <c r="R310" s="2" t="n"/>
      <c r="S310" s="2" t="inlineStr">
        <is>
          <t>Rejeitado(a) em Comissão</t>
        </is>
      </c>
      <c r="T310" s="2" t="inlineStr">
        <is>
          <t>Rejeitada</t>
        </is>
      </c>
      <c r="U310" s="2" t="inlineStr">
        <is>
          <t>Favor: CH, IL, BE, PAN; Contra: PSD, PCP, CDS-PP; Abstenção: PS, L</t>
        </is>
      </c>
      <c r="V310" s="3" t="n">
        <v>45981</v>
      </c>
      <c r="W310" s="2" t="inlineStr">
        <is>
          <t>AR: https://www.parlamento.pt/OrcamentoEstado/Paginas/DetalhePropostaAlteracao.aspx?BID=23819 PDF: https://app.parlamento.pt/webutils/docs/doc.pdf?path=6148523063484d364c793942556b356c6443397a6158526c63793959566b6c4a544556484c3039464c7a49774d6a59794d4449314d5441774f53395151533830596a4d314d6a426c59693030595745334c54517a596a6b744f475269597930314d6a51774d57466a4d7a67785a5749756347526d&amp;Fich=4b3520eb-4aa7-43b9-8dbc-52401ac381eb.pdf&amp;Inline=true</t>
        </is>
      </c>
      <c r="X310" s="2" t="inlineStr">
        <is>
          <t>Orçamento, Finanças e Administração Pública</t>
        </is>
      </c>
      <c r="Y310" s="2" t="inlineStr">
        <is>
          <t>Articulado</t>
        </is>
      </c>
      <c r="Z310" s="2" t="inlineStr">
        <is>
          <t>Aditamento (Números e Alíneas)</t>
        </is>
      </c>
      <c r="AA310" s="2" t="inlineStr">
        <is>
          <t>Rejeitado(a) em Comissão</t>
        </is>
      </c>
      <c r="AB310" s="2" t="inlineStr"/>
      <c r="AC310" s="2" t="inlineStr">
        <is>
          <t>2</t>
        </is>
      </c>
      <c r="AD310" s="2" t="inlineStr">
        <is>
          <t>1</t>
        </is>
      </c>
      <c r="AE310" s="2" t="inlineStr">
        <is>
          <t>23819</t>
        </is>
      </c>
      <c r="AF310" s="2" t="inlineStr">
        <is>
          <t>https://www.parlamento.pt/OrcamentoEstado/Paginas/DetalhePropostaAlteracao.aspx?BID=23819</t>
        </is>
      </c>
      <c r="AG310" s="2" t="inlineStr">
        <is>
          <t>https://app.parlamento.pt/webutils/docs/doc.pdf?path=6148523063484d364c793942556b356c6443397a6158526c63793959566b6c4a544556484c3039464c7a49774d6a59794d4449314d5441774f53395151533830596a4d314d6a426c59693030595745334c54517a596a6b744f475269597930314d6a51774d57466a4d7a67785a5749756347526d&amp;Fich=4b3520eb-4aa7-43b9-8dbc-52401ac381eb.pdf&amp;Inline=true</t>
        </is>
      </c>
      <c r="AH310" s="3" t="n">
        <v>46321.77847222222</v>
      </c>
      <c r="AI310" s="3" t="n">
        <v>46321.78055555555</v>
      </c>
      <c r="AJ310" s="2" t="inlineStr"/>
    </row>
    <row r="311">
      <c r="A311" s="2" t="n">
        <v>310</v>
      </c>
      <c r="B311" s="2" t="inlineStr">
        <is>
          <t>276C</t>
        </is>
      </c>
      <c r="C311" s="3" t="n">
        <v>45964.71041666667</v>
      </c>
      <c r="D311" s="2" t="inlineStr">
        <is>
          <t>Original</t>
        </is>
      </c>
      <c r="E311" s="2" t="inlineStr">
        <is>
          <t>CH</t>
        </is>
      </c>
      <c r="F31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11" s="2" t="inlineStr">
        <is>
          <t>Art. 60.º (substituição)</t>
        </is>
      </c>
      <c r="H311" s="2" t="n"/>
      <c r="I311" s="2" t="n"/>
      <c r="J311" s="2" t="n"/>
      <c r="K311" s="2" t="n"/>
      <c r="L311" s="2" t="inlineStr">
        <is>
          <t>N.º 1, Artigo 84.º do Código do IRS</t>
        </is>
      </c>
      <c r="M311" s="4" t="n"/>
      <c r="N311" s="4" t="n"/>
      <c r="O311" s="2" t="n"/>
      <c r="P311" s="2" t="n"/>
      <c r="Q311" s="2" t="n"/>
      <c r="R311" s="2" t="n"/>
      <c r="S311" s="2" t="inlineStr">
        <is>
          <t>Rejeitado(a) em Comissão</t>
        </is>
      </c>
      <c r="T311" s="2" t="inlineStr">
        <is>
          <t>Rejeitada</t>
        </is>
      </c>
      <c r="U311" s="2" t="inlineStr">
        <is>
          <t>Favor: CH, IL, BE, PAN; Contra: PSD, CDS-PP; Abstenção: PS, L, PCP</t>
        </is>
      </c>
      <c r="V311" s="3" t="n">
        <v>45981</v>
      </c>
      <c r="W311" s="2" t="inlineStr">
        <is>
          <t>AR: https://www.parlamento.pt/OrcamentoEstado/Paginas/DetalhePropostaAlteracao.aspx?BID=23471 PDF: https://app.parlamento.pt/webutils/docs/doc.pdf?path=6148523063484d364c793942556b356c6443397a6158526c63793959566b6c4a544556484c3039464c7a49774d6a59794d4449314d5441774f533951515338774d544932596a677a4e793031596d466c4c5451304e6a6b74596a6c6c4e533034596a4668596d51354d7a68684e4451756347526d&amp;Fich=0126b837-5bae-4469-b9e5-8b1abd938a44.pdf&amp;Inline=true</t>
        </is>
      </c>
      <c r="X311" s="2" t="inlineStr">
        <is>
          <t>Orçamento, Finanças e Administração Pública</t>
        </is>
      </c>
      <c r="Y311" s="2" t="inlineStr">
        <is>
          <t>Articulado</t>
        </is>
      </c>
      <c r="Z311" s="2" t="inlineStr">
        <is>
          <t>Substituição</t>
        </is>
      </c>
      <c r="AA311" s="2" t="inlineStr">
        <is>
          <t>Rejeitado(a) em Comissão</t>
        </is>
      </c>
      <c r="AB311" s="2" t="inlineStr"/>
      <c r="AC311" s="2" t="inlineStr"/>
      <c r="AD311" s="2" t="inlineStr">
        <is>
          <t>1</t>
        </is>
      </c>
      <c r="AE311" s="2" t="inlineStr">
        <is>
          <t>23471</t>
        </is>
      </c>
      <c r="AF311" s="2" t="inlineStr">
        <is>
          <t>https://www.parlamento.pt/OrcamentoEstado/Paginas/DetalhePropostaAlteracao.aspx?BID=23471</t>
        </is>
      </c>
      <c r="AG311" s="2" t="inlineStr">
        <is>
          <t>https://app.parlamento.pt/webutils/docs/doc.pdf?path=6148523063484d364c793942556b356c6443397a6158526c63793959566b6c4a544556484c3039464c7a49774d6a59794d4449314d5441774f533951515338774d544932596a677a4e793031596d466c4c5451304e6a6b74596a6c6c4e533034596a4668596d51354d7a68684e4451756347526d&amp;Fich=0126b837-5bae-4469-b9e5-8b1abd938a44.pdf&amp;Inline=true</t>
        </is>
      </c>
      <c r="AH311" s="3" t="n">
        <v>46321.77847222222</v>
      </c>
      <c r="AI311" s="3" t="n">
        <v>46321.78055555555</v>
      </c>
      <c r="AJ311" s="2" t="inlineStr"/>
    </row>
    <row r="312">
      <c r="A312" s="2" t="n">
        <v>311</v>
      </c>
      <c r="B312" s="2" t="inlineStr">
        <is>
          <t>277C</t>
        </is>
      </c>
      <c r="C312" s="3" t="n">
        <v>45964.71180555555</v>
      </c>
      <c r="D312" s="2" t="inlineStr">
        <is>
          <t>Original</t>
        </is>
      </c>
      <c r="E312" s="2" t="inlineStr">
        <is>
          <t>CH</t>
        </is>
      </c>
      <c r="F31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12" s="2" t="inlineStr">
        <is>
          <t>Art. 60.º (substituição)</t>
        </is>
      </c>
      <c r="H312" s="2" t="n"/>
      <c r="I312" s="2" t="n"/>
      <c r="J312" s="2" t="n"/>
      <c r="K312" s="2" t="n"/>
      <c r="L312" s="2" t="inlineStr">
        <is>
          <t>Corpo, N.º 1, Artigo 71.º do Código do IRS</t>
        </is>
      </c>
      <c r="M312" s="4" t="n"/>
      <c r="N312" s="4" t="n"/>
      <c r="O312" s="2" t="n"/>
      <c r="P312" s="2" t="n"/>
      <c r="Q312" s="2" t="n"/>
      <c r="R312" s="2" t="n"/>
      <c r="S312" s="2" t="inlineStr">
        <is>
          <t>Rejeitado(a) em Comissão</t>
        </is>
      </c>
      <c r="T312" s="2" t="inlineStr">
        <is>
          <t>Rejeitada</t>
        </is>
      </c>
      <c r="U312" s="2" t="inlineStr">
        <is>
          <t>Favor: CH, IL, PAN; Contra: PSD, L, PCP, CDS-PP, BE; Abstenção: PS</t>
        </is>
      </c>
      <c r="V312" s="3" t="n">
        <v>45981</v>
      </c>
      <c r="W312" s="2" t="inlineStr">
        <is>
          <t>AR: https://www.parlamento.pt/OrcamentoEstado/Paginas/DetalhePropostaAlteracao.aspx?BID=23472 PDF: https://app.parlamento.pt/webutils/docs/doc.pdf?path=6148523063484d364c793942556b356c6443397a6158526c63793959566b6c4a544556484c3039464c7a49774d6a59794d4449314d5441774f53395151533877593251785a4755334d533079596d51314c5451304e446374595463334d79307a4e47457a5a574934595449324e5755756347526d&amp;Fich=0cd1de71-2bd5-4447-a773-34a3eb8a265e.pdf&amp;Inline=true</t>
        </is>
      </c>
      <c r="X312" s="2" t="inlineStr">
        <is>
          <t>Orçamento, Finanças e Administração Pública</t>
        </is>
      </c>
      <c r="Y312" s="2" t="inlineStr">
        <is>
          <t>Articulado</t>
        </is>
      </c>
      <c r="Z312" s="2" t="inlineStr">
        <is>
          <t>Substituição</t>
        </is>
      </c>
      <c r="AA312" s="2" t="inlineStr">
        <is>
          <t>Rejeitado(a) em Comissão</t>
        </is>
      </c>
      <c r="AB312" s="2" t="inlineStr"/>
      <c r="AC312" s="2" t="inlineStr"/>
      <c r="AD312" s="2" t="inlineStr">
        <is>
          <t>1</t>
        </is>
      </c>
      <c r="AE312" s="2" t="inlineStr">
        <is>
          <t>23472</t>
        </is>
      </c>
      <c r="AF312" s="2" t="inlineStr">
        <is>
          <t>https://www.parlamento.pt/OrcamentoEstado/Paginas/DetalhePropostaAlteracao.aspx?BID=23472</t>
        </is>
      </c>
      <c r="AG312" s="2" t="inlineStr">
        <is>
          <t>https://app.parlamento.pt/webutils/docs/doc.pdf?path=6148523063484d364c793942556b356c6443397a6158526c63793959566b6c4a544556484c3039464c7a49774d6a59794d4449314d5441774f53395151533877593251785a4755334d533079596d51314c5451304e446374595463334d79307a4e47457a5a574934595449324e5755756347526d&amp;Fich=0cd1de71-2bd5-4447-a773-34a3eb8a265e.pdf&amp;Inline=true</t>
        </is>
      </c>
      <c r="AH312" s="3" t="n">
        <v>46321.77847222222</v>
      </c>
      <c r="AI312" s="3" t="n">
        <v>46321.78055555555</v>
      </c>
      <c r="AJ312" s="2" t="inlineStr"/>
    </row>
    <row r="313">
      <c r="A313" s="2" t="n">
        <v>312</v>
      </c>
      <c r="B313" s="2" t="inlineStr">
        <is>
          <t>278C</t>
        </is>
      </c>
      <c r="C313" s="3" t="n">
        <v>45964.7125</v>
      </c>
      <c r="D313" s="2" t="inlineStr">
        <is>
          <t>Original</t>
        </is>
      </c>
      <c r="E313" s="2" t="inlineStr">
        <is>
          <t>CH</t>
        </is>
      </c>
      <c r="F31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13" s="2" t="inlineStr">
        <is>
          <t>Art. 60.º (substituição)</t>
        </is>
      </c>
      <c r="H313" s="2" t="n"/>
      <c r="I313" s="2" t="n"/>
      <c r="J313" s="2" t="n"/>
      <c r="K313" s="2" t="n"/>
      <c r="L313" s="2" t="inlineStr">
        <is>
          <t>N.º 5, Artigo 72.º do Código do IRS</t>
        </is>
      </c>
      <c r="M313" s="4" t="n"/>
      <c r="N313" s="4" t="n"/>
      <c r="O313" s="2" t="n"/>
      <c r="P313" s="2" t="n"/>
      <c r="Q313" s="2" t="n"/>
      <c r="R313" s="2" t="n"/>
      <c r="S313" s="2" t="inlineStr">
        <is>
          <t>Rejeitado(a) em Comissão</t>
        </is>
      </c>
      <c r="T313" s="2" t="inlineStr">
        <is>
          <t>Rejeitada</t>
        </is>
      </c>
      <c r="U313" s="2" t="inlineStr">
        <is>
          <t>Favor: CH, PAN; Contra: PSD, L, PCP, CDS-PP, BE; Abstenção: PS, IL</t>
        </is>
      </c>
      <c r="V313" s="3" t="n">
        <v>45981</v>
      </c>
      <c r="W313" s="2" t="inlineStr">
        <is>
          <t>AR: https://www.parlamento.pt/OrcamentoEstado/Paginas/DetalhePropostaAlteracao.aspx?BID=23473 PDF: https://app.parlamento.pt/webutils/docs/doc.pdf?path=6148523063484d364c793942556b356c6443397a6158526c63793959566b6c4a544556484c3039464c7a49774d6a59794d4449314d5441774f5339515153387a4d4745785a6d526b5a53316b5a6d51324c5451344d3245744f4441794d4330784f54526a4e4441314d3251304d6d45756347526d&amp;Fich=30a1fdde-dfd6-483a-8020-194c4053d42a.pdf&amp;Inline=true</t>
        </is>
      </c>
      <c r="X313" s="2" t="inlineStr">
        <is>
          <t>Educação e Ciência; Orçamento, Finanças e Administração Pública</t>
        </is>
      </c>
      <c r="Y313" s="2" t="inlineStr">
        <is>
          <t>Articulado</t>
        </is>
      </c>
      <c r="Z313" s="2" t="inlineStr">
        <is>
          <t>Substituição</t>
        </is>
      </c>
      <c r="AA313" s="2" t="inlineStr">
        <is>
          <t>Rejeitado(a) em Comissão</t>
        </is>
      </c>
      <c r="AB313" s="2" t="inlineStr"/>
      <c r="AC313" s="2" t="inlineStr"/>
      <c r="AD313" s="2" t="inlineStr">
        <is>
          <t>1</t>
        </is>
      </c>
      <c r="AE313" s="2" t="inlineStr">
        <is>
          <t>23473</t>
        </is>
      </c>
      <c r="AF313" s="2" t="inlineStr">
        <is>
          <t>https://www.parlamento.pt/OrcamentoEstado/Paginas/DetalhePropostaAlteracao.aspx?BID=23473</t>
        </is>
      </c>
      <c r="AG313" s="2" t="inlineStr">
        <is>
          <t>https://app.parlamento.pt/webutils/docs/doc.pdf?path=6148523063484d364c793942556b356c6443397a6158526c63793959566b6c4a544556484c3039464c7a49774d6a59794d4449314d5441774f5339515153387a4d4745785a6d526b5a53316b5a6d51324c5451344d3245744f4441794d4330784f54526a4e4441314d3251304d6d45756347526d&amp;Fich=30a1fdde-dfd6-483a-8020-194c4053d42a.pdf&amp;Inline=true</t>
        </is>
      </c>
      <c r="AH313" s="3" t="n">
        <v>46321.77847222222</v>
      </c>
      <c r="AI313" s="3" t="n">
        <v>46321.78055555555</v>
      </c>
      <c r="AJ313" s="2" t="inlineStr"/>
    </row>
    <row r="314">
      <c r="A314" s="2" t="n">
        <v>313</v>
      </c>
      <c r="B314" s="2" t="inlineStr">
        <is>
          <t>279C</t>
        </is>
      </c>
      <c r="C314" s="3" t="n">
        <v>45964.71388888889</v>
      </c>
      <c r="D314" s="2" t="inlineStr">
        <is>
          <t>Original</t>
        </is>
      </c>
      <c r="E314" s="2" t="inlineStr">
        <is>
          <t>CH</t>
        </is>
      </c>
      <c r="F31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14" s="2" t="inlineStr">
        <is>
          <t>Art. 61.º (substituição)</t>
        </is>
      </c>
      <c r="H314" s="2" t="n"/>
      <c r="I314" s="2" t="n"/>
      <c r="J314" s="2" t="n"/>
      <c r="K314" s="2" t="n"/>
      <c r="L314" s="2" t="inlineStr">
        <is>
          <t>Tabela, N.º 1, Alínea a), Alínea b), N.º 2, Artigo 87.º-A do Código do IRC</t>
        </is>
      </c>
      <c r="M314" s="4" t="n"/>
      <c r="N314" s="4" t="n"/>
      <c r="O314" s="2" t="n"/>
      <c r="P314" s="2" t="n"/>
      <c r="Q314" s="2" t="n"/>
      <c r="R314" s="2" t="n"/>
      <c r="S314" s="2" t="inlineStr">
        <is>
          <t>Rejeitado(a) em Comissão</t>
        </is>
      </c>
      <c r="T314" s="2" t="inlineStr">
        <is>
          <t>Rejeitada</t>
        </is>
      </c>
      <c r="U314" s="2" t="inlineStr">
        <is>
          <t>Favor: CH, IL; Contra: PSD, PS, L, PCP, CDS-PP, BE, PAN</t>
        </is>
      </c>
      <c r="V314" s="3" t="n">
        <v>45981</v>
      </c>
      <c r="W314" s="2" t="inlineStr">
        <is>
          <t>AR: https://www.parlamento.pt/OrcamentoEstado/Paginas/DetalhePropostaAlteracao.aspx?BID=23474 PDF: https://app.parlamento.pt/webutils/docs/doc.pdf?path=6148523063484d364c793942556b356c6443397a6158526c63793959566b6c4a544556484c3039464c7a49774d6a59794d4449314d5441774f5339515153396a4e44566c4d3259304d4330774d5749334c5451784d7a677459544e695953316a4f5751304d4467794e544d344d6a67756347526d&amp;Fich=c45e3f40-01b7-4138-a3ba-c9d408253828.pdf&amp;Inline=true</t>
        </is>
      </c>
      <c r="X314" s="2" t="inlineStr">
        <is>
          <t>Orçamento, Finanças e Administração Pública</t>
        </is>
      </c>
      <c r="Y314" s="2" t="inlineStr">
        <is>
          <t>Articulado</t>
        </is>
      </c>
      <c r="Z314" s="2" t="inlineStr">
        <is>
          <t>Substituição</t>
        </is>
      </c>
      <c r="AA314" s="2" t="inlineStr">
        <is>
          <t>Rejeitado(a) em Comissão</t>
        </is>
      </c>
      <c r="AB314" s="2" t="inlineStr"/>
      <c r="AC314" s="2" t="inlineStr"/>
      <c r="AD314" s="2" t="inlineStr">
        <is>
          <t>1</t>
        </is>
      </c>
      <c r="AE314" s="2" t="inlineStr">
        <is>
          <t>23474</t>
        </is>
      </c>
      <c r="AF314" s="2" t="inlineStr">
        <is>
          <t>https://www.parlamento.pt/OrcamentoEstado/Paginas/DetalhePropostaAlteracao.aspx?BID=23474</t>
        </is>
      </c>
      <c r="AG314" s="2" t="inlineStr">
        <is>
          <t>https://app.parlamento.pt/webutils/docs/doc.pdf?path=6148523063484d364c793942556b356c6443397a6158526c63793959566b6c4a544556484c3039464c7a49774d6a59794d4449314d5441774f5339515153396a4e44566c4d3259304d4330774d5749334c5451784d7a677459544e695953316a4f5751304d4467794e544d344d6a67756347526d&amp;Fich=c45e3f40-01b7-4138-a3ba-c9d408253828.pdf&amp;Inline=true</t>
        </is>
      </c>
      <c r="AH314" s="3" t="n">
        <v>46321.77847222222</v>
      </c>
      <c r="AI314" s="3" t="n">
        <v>46321.78055555555</v>
      </c>
      <c r="AJ314" s="2" t="inlineStr"/>
    </row>
    <row r="315">
      <c r="A315" s="2" t="n">
        <v>314</v>
      </c>
      <c r="B315" s="2" t="inlineStr">
        <is>
          <t>280C-1</t>
        </is>
      </c>
      <c r="C315" s="3" t="n">
        <v>45964.71597222222</v>
      </c>
      <c r="D315" s="2" t="inlineStr">
        <is>
          <t>Original</t>
        </is>
      </c>
      <c r="E315" s="2" t="inlineStr">
        <is>
          <t>CH</t>
        </is>
      </c>
      <c r="F31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15" s="2" t="inlineStr">
        <is>
          <t>Art. 62.º (substituição)</t>
        </is>
      </c>
      <c r="H315" s="2" t="n"/>
      <c r="I315" s="2" t="n"/>
      <c r="J315" s="2" t="n"/>
      <c r="K315" s="2" t="n"/>
      <c r="L315" s="2" t="inlineStr">
        <is>
          <t>Alínea a), Alínea b), Alínea c), N.º 2, Artigo 21.º do EBF</t>
        </is>
      </c>
      <c r="M315" s="4" t="n"/>
      <c r="N315" s="4" t="n"/>
      <c r="O315" s="2" t="n"/>
      <c r="P315" s="2" t="n"/>
      <c r="Q315" s="2" t="n"/>
      <c r="R315" s="2" t="n"/>
      <c r="S315" s="2" t="inlineStr">
        <is>
          <t>Rejeitado(a) em Comissão</t>
        </is>
      </c>
      <c r="T315" s="2" t="inlineStr">
        <is>
          <t>Rejeitada</t>
        </is>
      </c>
      <c r="U315" s="2" t="inlineStr">
        <is>
          <t>Favor: CH, IL, PAN; Contra: PSD, L, PCP, CDS-PP, BE; Abstenção: PS</t>
        </is>
      </c>
      <c r="V315" s="3" t="n">
        <v>45981</v>
      </c>
      <c r="W315" s="2" t="inlineStr">
        <is>
          <t>AR: https://www.parlamento.pt/OrcamentoEstado/Paginas/DetalhePropostaAlteracao.aspx?BID=23475 PDF: https://app.parlamento.pt/webutils/docs/doc.pdf?path=6148523063484d364c793942556b356c6443397a6158526c63793959566b6c4a544556484c3039464c7a49774d6a59794d4449314d5441774f533951515338774e6a493459544e6c4d5330304e4441334c5452684e546374595751314d79303059575a6a4f47466c4d544a6a5a6a51756347526d&amp;Fich=0628a3e1-4407-4a57-ad53-4afc8ae12cf4.pdf&amp;Inline=true</t>
        </is>
      </c>
      <c r="X315" s="2" t="inlineStr">
        <is>
          <t>Orçamento, Finanças e Administração Pública</t>
        </is>
      </c>
      <c r="Y315" s="2" t="inlineStr">
        <is>
          <t>Articulado</t>
        </is>
      </c>
      <c r="Z315" s="2" t="inlineStr">
        <is>
          <t>Substituição</t>
        </is>
      </c>
      <c r="AA315" s="2" t="inlineStr">
        <is>
          <t>Rejeitado(a) em Comissão</t>
        </is>
      </c>
      <c r="AB315" s="2" t="inlineStr"/>
      <c r="AC315" s="2" t="inlineStr">
        <is>
          <t>1</t>
        </is>
      </c>
      <c r="AD315" s="2" t="inlineStr">
        <is>
          <t>1</t>
        </is>
      </c>
      <c r="AE315" s="2" t="inlineStr">
        <is>
          <t>23475</t>
        </is>
      </c>
      <c r="AF315" s="2" t="inlineStr">
        <is>
          <t>https://www.parlamento.pt/OrcamentoEstado/Paginas/DetalhePropostaAlteracao.aspx?BID=23475</t>
        </is>
      </c>
      <c r="AG315" s="2" t="inlineStr">
        <is>
          <t>https://app.parlamento.pt/webutils/docs/doc.pdf?path=6148523063484d364c793942556b356c6443397a6158526c63793959566b6c4a544556484c3039464c7a49774d6a59794d4449314d5441774f533951515338774e6a493459544e6c4d5330304e4441334c5452684e546374595751314d79303059575a6a4f47466c4d544a6a5a6a51756347526d&amp;Fich=0628a3e1-4407-4a57-ad53-4afc8ae12cf4.pdf&amp;Inline=true</t>
        </is>
      </c>
      <c r="AH315" s="3" t="n">
        <v>46321.77847222222</v>
      </c>
      <c r="AI315" s="3" t="n">
        <v>46321.78055555555</v>
      </c>
      <c r="AJ315" s="2" t="inlineStr"/>
    </row>
    <row r="316">
      <c r="A316" s="2" t="n">
        <v>315</v>
      </c>
      <c r="B316" s="2" t="inlineStr">
        <is>
          <t>280C-2</t>
        </is>
      </c>
      <c r="C316" s="3" t="n">
        <v>45964.71597222222</v>
      </c>
      <c r="D316" s="2" t="inlineStr">
        <is>
          <t>Original</t>
        </is>
      </c>
      <c r="E316" s="2" t="inlineStr">
        <is>
          <t>CH</t>
        </is>
      </c>
      <c r="F31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16" s="2" t="inlineStr">
        <is>
          <t>Art. 62.º (aditamento)</t>
        </is>
      </c>
      <c r="H316" s="2" t="n"/>
      <c r="I316" s="2" t="n"/>
      <c r="J316" s="2" t="n"/>
      <c r="K316" s="2" t="n"/>
      <c r="L316" s="2" t="inlineStr">
        <is>
          <t>N.º 12, Artigo 21.º do EBF</t>
        </is>
      </c>
      <c r="M316" s="4" t="n"/>
      <c r="N316" s="4" t="n"/>
      <c r="O316" s="2" t="n"/>
      <c r="P316" s="2" t="n"/>
      <c r="Q316" s="2" t="n"/>
      <c r="R316" s="2" t="n"/>
      <c r="S316" s="2" t="inlineStr">
        <is>
          <t>Rejeitado(a) em Comissão</t>
        </is>
      </c>
      <c r="T316" s="2" t="inlineStr">
        <is>
          <t>Rejeitada</t>
        </is>
      </c>
      <c r="U316" s="2" t="inlineStr">
        <is>
          <t>Favor: CH, IL, PAN; Contra: PSD, L, PCP, CDS-PP, BE; Abstenção: PS</t>
        </is>
      </c>
      <c r="V316" s="3" t="n">
        <v>45981</v>
      </c>
      <c r="W316" s="2" t="inlineStr">
        <is>
          <t>AR: https://www.parlamento.pt/OrcamentoEstado/Paginas/DetalhePropostaAlteracao.aspx?BID=23825 PDF: https://app.parlamento.pt/webutils/docs/doc.pdf?path=6148523063484d364c793942556b356c6443397a6158526c63793959566b6c4a544556484c3039464c7a49774d6a59794d4449314d5441774f533951515338784d544d334e7a63794f5330344f5467314c5451344e545174596a6c6c4d43316a4e6d4e6c5a5752684d7a67784f4467756347526d&amp;Fich=11377729-8985-4854-b9e0-c6ceeda38188.pdf&amp;Inline=true</t>
        </is>
      </c>
      <c r="X316" s="2" t="inlineStr">
        <is>
          <t>Orçamento, Finanças e Administração Pública</t>
        </is>
      </c>
      <c r="Y316" s="2" t="inlineStr">
        <is>
          <t>Articulado</t>
        </is>
      </c>
      <c r="Z316" s="2" t="inlineStr">
        <is>
          <t>Aditamento (Números e Alíneas)</t>
        </is>
      </c>
      <c r="AA316" s="2" t="inlineStr">
        <is>
          <t>Rejeitado(a) em Comissão</t>
        </is>
      </c>
      <c r="AB316" s="2" t="inlineStr"/>
      <c r="AC316" s="2" t="inlineStr">
        <is>
          <t>2</t>
        </is>
      </c>
      <c r="AD316" s="2" t="inlineStr">
        <is>
          <t>1</t>
        </is>
      </c>
      <c r="AE316" s="2" t="inlineStr">
        <is>
          <t>23825</t>
        </is>
      </c>
      <c r="AF316" s="2" t="inlineStr">
        <is>
          <t>https://www.parlamento.pt/OrcamentoEstado/Paginas/DetalhePropostaAlteracao.aspx?BID=23825</t>
        </is>
      </c>
      <c r="AG316" s="2" t="inlineStr">
        <is>
          <t>https://app.parlamento.pt/webutils/docs/doc.pdf?path=6148523063484d364c793942556b356c6443397a6158526c63793959566b6c4a544556484c3039464c7a49774d6a59794d4449314d5441774f533951515338784d544d334e7a63794f5330344f5467314c5451344e545174596a6c6c4d43316a4e6d4e6c5a5752684d7a67784f4467756347526d&amp;Fich=11377729-8985-4854-b9e0-c6ceeda38188.pdf&amp;Inline=true</t>
        </is>
      </c>
      <c r="AH316" s="3" t="n">
        <v>46321.77847222222</v>
      </c>
      <c r="AI316" s="3" t="n">
        <v>46321.78055555555</v>
      </c>
      <c r="AJ316" s="2" t="inlineStr"/>
    </row>
    <row r="317">
      <c r="A317" s="2" t="n">
        <v>316</v>
      </c>
      <c r="B317" s="2" t="inlineStr">
        <is>
          <t>281C</t>
        </is>
      </c>
      <c r="C317" s="3" t="n">
        <v>45964.71736111111</v>
      </c>
      <c r="D317" s="2" t="inlineStr">
        <is>
          <t>Original</t>
        </is>
      </c>
      <c r="E317" s="2" t="inlineStr">
        <is>
          <t>CH</t>
        </is>
      </c>
      <c r="F31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17" s="2" t="inlineStr">
        <is>
          <t>Art. 62.º (substituição)</t>
        </is>
      </c>
      <c r="H317" s="2" t="n"/>
      <c r="I317" s="2" t="n"/>
      <c r="J317" s="2" t="n"/>
      <c r="K317" s="2" t="n"/>
      <c r="L317" s="2" t="inlineStr">
        <is>
          <t>Artigo 64.º do EBF</t>
        </is>
      </c>
      <c r="M317" s="4" t="n"/>
      <c r="N317" s="4" t="n"/>
      <c r="O317" s="2" t="n"/>
      <c r="P317" s="2" t="n"/>
      <c r="Q317" s="2" t="n"/>
      <c r="R317" s="2" t="n"/>
      <c r="S317" s="2" t="inlineStr">
        <is>
          <t>Rejeitado(a) em Comissão</t>
        </is>
      </c>
      <c r="T317" s="2" t="inlineStr">
        <is>
          <t>Rejeitada</t>
        </is>
      </c>
      <c r="U317" s="2" t="inlineStr">
        <is>
          <t>Favor: CH, IL, PAN; Contra: PSD, PCP, CDS-PP; Abstenção: PS, L, BE</t>
        </is>
      </c>
      <c r="V317" s="3" t="n">
        <v>45981</v>
      </c>
      <c r="W317" s="2" t="inlineStr">
        <is>
          <t>AR: https://www.parlamento.pt/OrcamentoEstado/Paginas/DetalhePropostaAlteracao.aspx?BID=23476 PDF: https://app.parlamento.pt/webutils/docs/doc.pdf?path=6148523063484d364c793942556b356c6443397a6158526c63793959566b6c4a544556484c3039464c7a49774d6a59794d4449314d5441774f533951515338775932466d5a545a695a5330794f546b774c54526d59574d744f54497a597930314d32593359325a6a4e444e6c4e6d55756347526d&amp;Fich=0cafe6be-2990-4fac-923c-53f7cfc43e6e.pdf&amp;Inline=true</t>
        </is>
      </c>
      <c r="X317" s="2" t="inlineStr">
        <is>
          <t>Orçamento, Finanças e Administração Pública</t>
        </is>
      </c>
      <c r="Y317" s="2" t="inlineStr">
        <is>
          <t>Articulado</t>
        </is>
      </c>
      <c r="Z317" s="2" t="inlineStr">
        <is>
          <t>Substituição</t>
        </is>
      </c>
      <c r="AA317" s="2" t="inlineStr">
        <is>
          <t>Rejeitado(a) em Comissão</t>
        </is>
      </c>
      <c r="AB317" s="2" t="inlineStr"/>
      <c r="AC317" s="2" t="inlineStr"/>
      <c r="AD317" s="2" t="inlineStr">
        <is>
          <t>1</t>
        </is>
      </c>
      <c r="AE317" s="2" t="inlineStr">
        <is>
          <t>23476</t>
        </is>
      </c>
      <c r="AF317" s="2" t="inlineStr">
        <is>
          <t>https://www.parlamento.pt/OrcamentoEstado/Paginas/DetalhePropostaAlteracao.aspx?BID=23476</t>
        </is>
      </c>
      <c r="AG317" s="2" t="inlineStr">
        <is>
          <t>https://app.parlamento.pt/webutils/docs/doc.pdf?path=6148523063484d364c793942556b356c6443397a6158526c63793959566b6c4a544556484c3039464c7a49774d6a59794d4449314d5441774f533951515338775932466d5a545a695a5330794f546b774c54526d59574d744f54497a597930314d32593359325a6a4e444e6c4e6d55756347526d&amp;Fich=0cafe6be-2990-4fac-923c-53f7cfc43e6e.pdf&amp;Inline=true</t>
        </is>
      </c>
      <c r="AH317" s="3" t="n">
        <v>46321.77847222222</v>
      </c>
      <c r="AI317" s="3" t="n">
        <v>46321.78055555555</v>
      </c>
      <c r="AJ317" s="2" t="inlineStr"/>
    </row>
    <row r="318">
      <c r="A318" s="2" t="n">
        <v>317</v>
      </c>
      <c r="B318" s="2" t="inlineStr">
        <is>
          <t>282C</t>
        </is>
      </c>
      <c r="C318" s="3" t="n">
        <v>45964.71805555555</v>
      </c>
      <c r="D318" s="2" t="inlineStr">
        <is>
          <t>Original</t>
        </is>
      </c>
      <c r="E318" s="2" t="inlineStr">
        <is>
          <t>CH</t>
        </is>
      </c>
      <c r="F31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18" s="2" t="inlineStr">
        <is>
          <t>Art. 63.º (substituição)</t>
        </is>
      </c>
      <c r="H318" s="2" t="n"/>
      <c r="I318" s="2" t="n"/>
      <c r="J318" s="2" t="n"/>
      <c r="K318" s="2" t="n"/>
      <c r="L318" s="2" t="inlineStr">
        <is>
          <t>Verba 2.12, Verba 2.16, Lista I anexa ao Código do IVA</t>
        </is>
      </c>
      <c r="M318" s="4" t="n"/>
      <c r="N318" s="4" t="n"/>
      <c r="O318" s="2" t="n"/>
      <c r="P318" s="2" t="n"/>
      <c r="Q318" s="2" t="n"/>
      <c r="R318" s="2" t="n"/>
      <c r="S318" s="2" t="inlineStr">
        <is>
          <t>Rejeitado(a) em Comissão</t>
        </is>
      </c>
      <c r="T318" s="2" t="inlineStr">
        <is>
          <t>Rejeitada</t>
        </is>
      </c>
      <c r="U318" s="2" t="inlineStr">
        <is>
          <t>Favor: CH, IL, BE, PAN; Contra: PSD, CDS-PP; Abstenção: PS, L, PCP</t>
        </is>
      </c>
      <c r="V318" s="3" t="n">
        <v>45982</v>
      </c>
      <c r="W318" s="2" t="inlineStr">
        <is>
          <t>AR: https://www.parlamento.pt/OrcamentoEstado/Paginas/DetalhePropostaAlteracao.aspx?BID=23477 PDF: https://app.parlamento.pt/webutils/docs/doc.pdf?path=6148523063484d364c793942556b356c6443397a6158526c63793959566b6c4a544556484c3039464c7a49774d6a59794d4449314d5441774f533951515339694e444d354f57526b4e6930334d544d324c5451334e4451744f57453059533077595755794d6d49334d546b334e5441756347526d&amp;Fich=b4399dd6-7136-4744-9a4a-0ae22b719750.pdf&amp;Inline=true</t>
        </is>
      </c>
      <c r="X318" s="2" t="inlineStr">
        <is>
          <t>Orçamento, Finanças e Administração Pública</t>
        </is>
      </c>
      <c r="Y318" s="2" t="inlineStr">
        <is>
          <t>Articulado</t>
        </is>
      </c>
      <c r="Z318" s="2" t="inlineStr">
        <is>
          <t>Substituição</t>
        </is>
      </c>
      <c r="AA318" s="2" t="inlineStr">
        <is>
          <t>Rejeitado(a) em Comissão</t>
        </is>
      </c>
      <c r="AB318" s="2" t="inlineStr"/>
      <c r="AC318" s="2" t="inlineStr"/>
      <c r="AD318" s="2" t="inlineStr">
        <is>
          <t>2</t>
        </is>
      </c>
      <c r="AE318" s="2" t="inlineStr">
        <is>
          <t>23477</t>
        </is>
      </c>
      <c r="AF318" s="2" t="inlineStr">
        <is>
          <t>https://www.parlamento.pt/OrcamentoEstado/Paginas/DetalhePropostaAlteracao.aspx?BID=23477</t>
        </is>
      </c>
      <c r="AG318" s="2" t="inlineStr">
        <is>
          <t>https://app.parlamento.pt/webutils/docs/doc.pdf?path=6148523063484d364c793942556b356c6443397a6158526c63793959566b6c4a544556484c3039464c7a49774d6a59794d4449314d5441774f533951515339694e444d354f57526b4e6930334d544d324c5451334e4451744f57453059533077595755794d6d49334d546b334e5441756347526d&amp;Fich=b4399dd6-7136-4744-9a4a-0ae22b719750.pdf&amp;Inline=true</t>
        </is>
      </c>
      <c r="AH318" s="3" t="n">
        <v>46321.77847222222</v>
      </c>
      <c r="AI318" s="3" t="n">
        <v>46321.78055555555</v>
      </c>
      <c r="AJ318" s="2" t="inlineStr"/>
    </row>
    <row r="319">
      <c r="A319" s="2" t="n">
        <v>318</v>
      </c>
      <c r="B319" s="2" t="inlineStr">
        <is>
          <t>283C</t>
        </is>
      </c>
      <c r="C319" s="3" t="n">
        <v>45964.72013888889</v>
      </c>
      <c r="D319" s="2" t="inlineStr">
        <is>
          <t>Original</t>
        </is>
      </c>
      <c r="E319" s="2" t="inlineStr">
        <is>
          <t>CH</t>
        </is>
      </c>
      <c r="F31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19" s="2" t="inlineStr">
        <is>
          <t>Art. 63.º (aditamento)</t>
        </is>
      </c>
      <c r="H319" s="2" t="n"/>
      <c r="I319" s="2" t="n"/>
      <c r="J319" s="2" t="n"/>
      <c r="K319" s="2" t="n"/>
      <c r="L319" s="2" t="inlineStr">
        <is>
          <t>Verba 1.15, Lista I anexa ao Código do IVA</t>
        </is>
      </c>
      <c r="M319" s="4" t="n"/>
      <c r="N319" s="4" t="n"/>
      <c r="O319" s="2" t="n"/>
      <c r="P319" s="2" t="n"/>
      <c r="Q319" s="2" t="n"/>
      <c r="R319" s="2" t="n"/>
      <c r="S319" s="2" t="inlineStr">
        <is>
          <t>Rejeitado(a) em Comissão</t>
        </is>
      </c>
      <c r="T319" s="2" t="inlineStr">
        <is>
          <t>Rejeitada</t>
        </is>
      </c>
      <c r="U319" s="2" t="inlineStr">
        <is>
          <t>Favor: CH, BE, PAN; Contra: PSD, PCP, CDS-PP; Abstenção: PS, IL, L</t>
        </is>
      </c>
      <c r="V319" s="3" t="n">
        <v>45982</v>
      </c>
      <c r="W319" s="2" t="inlineStr">
        <is>
          <t>AR: https://www.parlamento.pt/OrcamentoEstado/Paginas/DetalhePropostaAlteracao.aspx?BID=23478 PDF: https://app.parlamento.pt/webutils/docs/doc.pdf?path=6148523063484d364c793942556b356c6443397a6158526c63793959566b6c4a544556484c3039464c7a49774d6a59794d4449314d5441774f533951515339694d446735596d59325a5330304e5759334c54526a4d5467744f544a6a5a43316b5a5445345a545a684e6d59794e7a67756347526d&amp;Fich=b089bf6e-45f7-4c18-92cd-de18e6a6f278.pdf&amp;Inline=true</t>
        </is>
      </c>
      <c r="X319" s="2" t="inlineStr">
        <is>
          <t>Orçamento, Finanças e Administração Pública</t>
        </is>
      </c>
      <c r="Y319" s="2" t="inlineStr">
        <is>
          <t>Articulado</t>
        </is>
      </c>
      <c r="Z319" s="2" t="inlineStr">
        <is>
          <t>Aditamento (Números e Alíneas)</t>
        </is>
      </c>
      <c r="AA319" s="2" t="inlineStr">
        <is>
          <t>Rejeitado(a) em Comissão</t>
        </is>
      </c>
      <c r="AB319" s="2" t="inlineStr"/>
      <c r="AC319" s="2" t="inlineStr"/>
      <c r="AD319" s="2" t="inlineStr">
        <is>
          <t>1</t>
        </is>
      </c>
      <c r="AE319" s="2" t="inlineStr">
        <is>
          <t>23478</t>
        </is>
      </c>
      <c r="AF319" s="2" t="inlineStr">
        <is>
          <t>https://www.parlamento.pt/OrcamentoEstado/Paginas/DetalhePropostaAlteracao.aspx?BID=23478</t>
        </is>
      </c>
      <c r="AG319" s="2" t="inlineStr">
        <is>
          <t>https://app.parlamento.pt/webutils/docs/doc.pdf?path=6148523063484d364c793942556b356c6443397a6158526c63793959566b6c4a544556484c3039464c7a49774d6a59794d4449314d5441774f533951515339694d446735596d59325a5330304e5759334c54526a4d5467744f544a6a5a43316b5a5445345a545a684e6d59794e7a67756347526d&amp;Fich=b089bf6e-45f7-4c18-92cd-de18e6a6f278.pdf&amp;Inline=true</t>
        </is>
      </c>
      <c r="AH319" s="3" t="n">
        <v>46321.77847222222</v>
      </c>
      <c r="AI319" s="3" t="n">
        <v>46321.78055555555</v>
      </c>
      <c r="AJ319" s="2" t="inlineStr"/>
    </row>
    <row r="320">
      <c r="A320" s="2" t="n">
        <v>319</v>
      </c>
      <c r="B320" s="2" t="inlineStr">
        <is>
          <t>284C</t>
        </is>
      </c>
      <c r="C320" s="3" t="n">
        <v>45964.72013888889</v>
      </c>
      <c r="D320" s="2" t="inlineStr">
        <is>
          <t>Original</t>
        </is>
      </c>
      <c r="E320" s="2" t="inlineStr">
        <is>
          <t>PCP</t>
        </is>
      </c>
      <c r="F320" s="2" t="inlineStr">
        <is>
          <t>Alfredo Maia; Paula Santos; Paulo Raimundo</t>
        </is>
      </c>
      <c r="G320" s="2" t="inlineStr">
        <is>
          <t>Art. 113.º-A (aditamento)</t>
        </is>
      </c>
      <c r="H320" s="2" t="n"/>
      <c r="I320" s="2" t="n"/>
      <c r="J320" s="2" t="n"/>
      <c r="K320" s="2" t="n"/>
      <c r="L320" s="2" t="inlineStr">
        <is>
          <t>Artigo 113.º-A (Construção do acesso de ambulâncias ao Serviço de Urgência do Hospital de Guimarães a partir da EN101)</t>
        </is>
      </c>
      <c r="M320" s="4" t="n"/>
      <c r="N320" s="4" t="n"/>
      <c r="O320" s="2" t="n"/>
      <c r="P320" s="2" t="n"/>
      <c r="Q320" s="2" t="n"/>
      <c r="R320" s="2" t="n"/>
      <c r="S320" s="2" t="inlineStr">
        <is>
          <t>Rejeitado(a) em Comissão</t>
        </is>
      </c>
      <c r="T320" s="2" t="inlineStr">
        <is>
          <t>Rejeitada</t>
        </is>
      </c>
      <c r="U320" s="2" t="inlineStr">
        <is>
          <t>Favor: CH, L, PCP, BE, PAN; Contra: PSD, CDS-PP; Abstenção: PS, IL</t>
        </is>
      </c>
      <c r="V320" s="3" t="n">
        <v>45985</v>
      </c>
      <c r="W320" s="2" t="inlineStr">
        <is>
          <t>AR: https://www.parlamento.pt/OrcamentoEstado/Paginas/DetalhePropostaAlteracao.aspx?BID=23479 PDF: https://app.parlamento.pt/webutils/docs/doc.pdf?path=6148523063484d364c793942556b356c6443397a6158526c63793959566b6c4a544556484c3039464c7a49774d6a59794d4449314d5441774f533951515338324e57557a596d466c5979316d4f4749334c54513259574574596d5a684f4330305932466c597a51324e3251345a4749756347526d&amp;Fich=65e3baec-f8b7-46aa-bfa8-4caec467d8db.pdf&amp;Inline=true</t>
        </is>
      </c>
      <c r="X320" s="2" t="inlineStr">
        <is>
          <t>Saúde</t>
        </is>
      </c>
      <c r="Y320" s="2" t="inlineStr">
        <is>
          <t>Articulado</t>
        </is>
      </c>
      <c r="Z320" s="2" t="inlineStr">
        <is>
          <t>Aditamento (Artigo PPL)</t>
        </is>
      </c>
      <c r="AA320" s="2" t="inlineStr">
        <is>
          <t>Rejeitado(a) em Comissão</t>
        </is>
      </c>
      <c r="AB320" s="2" t="inlineStr"/>
      <c r="AC320" s="2" t="inlineStr"/>
      <c r="AD320" s="2" t="inlineStr">
        <is>
          <t>1</t>
        </is>
      </c>
      <c r="AE320" s="2" t="inlineStr">
        <is>
          <t>23479</t>
        </is>
      </c>
      <c r="AF320" s="2" t="inlineStr">
        <is>
          <t>https://www.parlamento.pt/OrcamentoEstado/Paginas/DetalhePropostaAlteracao.aspx?BID=23479</t>
        </is>
      </c>
      <c r="AG320" s="2" t="inlineStr">
        <is>
          <t>https://app.parlamento.pt/webutils/docs/doc.pdf?path=6148523063484d364c793942556b356c6443397a6158526c63793959566b6c4a544556484c3039464c7a49774d6a59794d4449314d5441774f533951515338324e57557a596d466c5979316d4f4749334c54513259574574596d5a684f4330305932466c597a51324e3251345a4749756347526d&amp;Fich=65e3baec-f8b7-46aa-bfa8-4caec467d8db.pdf&amp;Inline=true</t>
        </is>
      </c>
      <c r="AH320" s="3" t="n">
        <v>46321.77847222222</v>
      </c>
      <c r="AI320" s="3" t="n">
        <v>46321.78055555555</v>
      </c>
      <c r="AJ320" s="2" t="inlineStr"/>
    </row>
    <row r="321">
      <c r="A321" s="2" t="n">
        <v>320</v>
      </c>
      <c r="B321" s="2" t="inlineStr">
        <is>
          <t>285C</t>
        </is>
      </c>
      <c r="C321" s="3" t="n">
        <v>45964.72083333333</v>
      </c>
      <c r="D321" s="2" t="inlineStr">
        <is>
          <t>Original</t>
        </is>
      </c>
      <c r="E321" s="2" t="inlineStr">
        <is>
          <t>CH</t>
        </is>
      </c>
      <c r="F32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21" s="2" t="inlineStr">
        <is>
          <t>Art. 79.º (substituição)</t>
        </is>
      </c>
      <c r="H321" s="2" t="n"/>
      <c r="I321" s="2" t="n"/>
      <c r="J321" s="2" t="n"/>
      <c r="K321" s="2" t="n"/>
      <c r="L321" s="2" t="inlineStr">
        <is>
          <t>Artigo 79.º</t>
        </is>
      </c>
      <c r="M321" s="4" t="n"/>
      <c r="N321" s="4" t="n"/>
      <c r="O321" s="2" t="n"/>
      <c r="P321" s="2" t="n"/>
      <c r="Q321" s="2" t="n"/>
      <c r="R321" s="2" t="n"/>
      <c r="S321" s="2" t="inlineStr">
        <is>
          <t>Rejeitado(a) em Comissão</t>
        </is>
      </c>
      <c r="T321" s="2" t="inlineStr">
        <is>
          <t>Rejeitada</t>
        </is>
      </c>
      <c r="U321" s="2" t="inlineStr">
        <is>
          <t>Favor: CH, IL; Contra: PSD, PS, L, CDS-PP; Abstenção: PCP, BE, PAN</t>
        </is>
      </c>
      <c r="V321" s="3" t="n">
        <v>45982</v>
      </c>
      <c r="W321" s="2" t="inlineStr">
        <is>
          <t>AR: https://www.parlamento.pt/OrcamentoEstado/Paginas/DetalhePropostaAlteracao.aspx?BID=23480 PDF: https://app.parlamento.pt/webutils/docs/doc.pdf?path=6148523063484d364c793942556b356c6443397a6158526c63793959566b6c4a544556484c3039464c7a49774d6a59794d4449314d5441774f533951515339684d7a6b324d6a59344e5330304e324a6a4c5451304d6d4574596d59794e6930305a5745774d6d49774d6a566d4e4455756347526d&amp;Fich=a3962685-47bc-442a-bf26-4ea02b025f45.pdf&amp;Inline=true</t>
        </is>
      </c>
      <c r="X321" s="2" t="inlineStr">
        <is>
          <t>Orçamento, Finanças e Administração Pública</t>
        </is>
      </c>
      <c r="Y321" s="2" t="inlineStr">
        <is>
          <t>Articulado</t>
        </is>
      </c>
      <c r="Z321" s="2" t="inlineStr">
        <is>
          <t>Substituição</t>
        </is>
      </c>
      <c r="AA321" s="2" t="inlineStr">
        <is>
          <t>Rejeitado(a) em Comissão</t>
        </is>
      </c>
      <c r="AB321" s="2" t="inlineStr"/>
      <c r="AC321" s="2" t="inlineStr"/>
      <c r="AD321" s="2" t="inlineStr">
        <is>
          <t>1</t>
        </is>
      </c>
      <c r="AE321" s="2" t="inlineStr">
        <is>
          <t>23480</t>
        </is>
      </c>
      <c r="AF321" s="2" t="inlineStr">
        <is>
          <t>https://www.parlamento.pt/OrcamentoEstado/Paginas/DetalhePropostaAlteracao.aspx?BID=23480</t>
        </is>
      </c>
      <c r="AG321" s="2" t="inlineStr">
        <is>
          <t>https://app.parlamento.pt/webutils/docs/doc.pdf?path=6148523063484d364c793942556b356c6443397a6158526c63793959566b6c4a544556484c3039464c7a49774d6a59794d4449314d5441774f533951515339684d7a6b324d6a59344e5330304e324a6a4c5451304d6d4574596d59794e6930305a5745774d6d49774d6a566d4e4455756347526d&amp;Fich=a3962685-47bc-442a-bf26-4ea02b025f45.pdf&amp;Inline=true</t>
        </is>
      </c>
      <c r="AH321" s="3" t="n">
        <v>46321.77847222222</v>
      </c>
      <c r="AI321" s="3" t="n">
        <v>46321.78055555555</v>
      </c>
      <c r="AJ321" s="2" t="inlineStr"/>
    </row>
    <row r="322">
      <c r="A322" s="2" t="n">
        <v>321</v>
      </c>
      <c r="B322" s="2" t="inlineStr">
        <is>
          <t>286C</t>
        </is>
      </c>
      <c r="C322" s="3" t="n">
        <v>45964.72083333333</v>
      </c>
      <c r="D322" s="2" t="inlineStr">
        <is>
          <t>Original</t>
        </is>
      </c>
      <c r="E322" s="2" t="inlineStr">
        <is>
          <t>PCP</t>
        </is>
      </c>
      <c r="F322" s="2" t="inlineStr">
        <is>
          <t>Alfredo Maia; Paula Santos; Paulo Raimundo</t>
        </is>
      </c>
      <c r="G322" s="2" t="inlineStr">
        <is>
          <t>Art. 113.º-A (aditamento)</t>
        </is>
      </c>
      <c r="H322" s="2" t="n"/>
      <c r="I322" s="2" t="n"/>
      <c r="J322" s="2" t="n"/>
      <c r="K322" s="2" t="n"/>
      <c r="L322" s="2" t="inlineStr">
        <is>
          <t>Artigo 113.º-A (Requalificação e Ampliação do Hospital São João de Deus, E.P.E. de Vila Nova de Famalicão)</t>
        </is>
      </c>
      <c r="M322" s="4" t="n"/>
      <c r="N322" s="4" t="n"/>
      <c r="O322" s="2" t="n"/>
      <c r="P322" s="2" t="n"/>
      <c r="Q322" s="2" t="n"/>
      <c r="R322" s="2" t="n"/>
      <c r="S322" s="2" t="inlineStr">
        <is>
          <t>Rejeitado(a) em Comissão</t>
        </is>
      </c>
      <c r="T322" s="2" t="inlineStr">
        <is>
          <t>Rejeitada</t>
        </is>
      </c>
      <c r="U322" s="2" t="inlineStr">
        <is>
          <t>Favor: CH, L, PCP, BE, PAN; Contra: PSD, CDS-PP; Abstenção: PS, IL</t>
        </is>
      </c>
      <c r="V322" s="3" t="n">
        <v>45985</v>
      </c>
      <c r="W322" s="2" t="inlineStr">
        <is>
          <t>AR: https://www.parlamento.pt/OrcamentoEstado/Paginas/DetalhePropostaAlteracao.aspx?BID=23481 PDF: https://app.parlamento.pt/webutils/docs/doc.pdf?path=6148523063484d364c793942556b356c6443397a6158526c63793959566b6c4a544556484c3039464c7a49774d6a59794d4449314d5441774f53395151533878595751784d6a4a684d79307a4e574a694c54517a4e6a45744f444a684d4330774d3259315a6a6b784e7a4e6b595751756347526d&amp;Fich=1ad122a3-35bb-4361-82a0-03f5f9173dad.pdf&amp;Inline=true</t>
        </is>
      </c>
      <c r="X322" s="2" t="inlineStr">
        <is>
          <t>Saúde</t>
        </is>
      </c>
      <c r="Y322" s="2" t="inlineStr">
        <is>
          <t>Articulado</t>
        </is>
      </c>
      <c r="Z322" s="2" t="inlineStr">
        <is>
          <t>Aditamento (Artigo PPL)</t>
        </is>
      </c>
      <c r="AA322" s="2" t="inlineStr">
        <is>
          <t>Rejeitado(a) em Comissão</t>
        </is>
      </c>
      <c r="AB322" s="2" t="inlineStr"/>
      <c r="AC322" s="2" t="inlineStr"/>
      <c r="AD322" s="2" t="inlineStr">
        <is>
          <t>1</t>
        </is>
      </c>
      <c r="AE322" s="2" t="inlineStr">
        <is>
          <t>23481</t>
        </is>
      </c>
      <c r="AF322" s="2" t="inlineStr">
        <is>
          <t>https://www.parlamento.pt/OrcamentoEstado/Paginas/DetalhePropostaAlteracao.aspx?BID=23481</t>
        </is>
      </c>
      <c r="AG322" s="2" t="inlineStr">
        <is>
          <t>https://app.parlamento.pt/webutils/docs/doc.pdf?path=6148523063484d364c793942556b356c6443397a6158526c63793959566b6c4a544556484c3039464c7a49774d6a59794d4449314d5441774f53395151533878595751784d6a4a684d79307a4e574a694c54517a4e6a45744f444a684d4330774d3259315a6a6b784e7a4e6b595751756347526d&amp;Fich=1ad122a3-35bb-4361-82a0-03f5f9173dad.pdf&amp;Inline=true</t>
        </is>
      </c>
      <c r="AH322" s="3" t="n">
        <v>46321.77847222222</v>
      </c>
      <c r="AI322" s="3" t="n">
        <v>46321.78055555555</v>
      </c>
      <c r="AJ322" s="2" t="inlineStr"/>
    </row>
    <row r="323">
      <c r="A323" s="2" t="n">
        <v>322</v>
      </c>
      <c r="B323" s="2" t="inlineStr">
        <is>
          <t>287C-1</t>
        </is>
      </c>
      <c r="C323" s="3" t="n">
        <v>45964.72291666667</v>
      </c>
      <c r="D323" s="2" t="inlineStr">
        <is>
          <t>Original</t>
        </is>
      </c>
      <c r="E323" s="2" t="inlineStr">
        <is>
          <t>CH</t>
        </is>
      </c>
      <c r="F32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23" s="2" t="inlineStr">
        <is>
          <t>Art. 113.º (substituição)</t>
        </is>
      </c>
      <c r="H323" s="2" t="n"/>
      <c r="I323" s="2" t="n"/>
      <c r="J323" s="2" t="n"/>
      <c r="K323" s="2" t="n"/>
      <c r="L323" s="2" t="inlineStr">
        <is>
          <t>N.º 2, Artigo 113.º</t>
        </is>
      </c>
      <c r="M323" s="4" t="n"/>
      <c r="N323" s="4" t="n"/>
      <c r="O323" s="2" t="n"/>
      <c r="P323" s="2" t="n"/>
      <c r="Q323" s="2" t="n"/>
      <c r="R323" s="2" t="n"/>
      <c r="S323" s="2" t="inlineStr">
        <is>
          <t>Rejeitado(a) em Comissão</t>
        </is>
      </c>
      <c r="T323" s="2" t="inlineStr">
        <is>
          <t>Rejeitada</t>
        </is>
      </c>
      <c r="U323" s="2" t="inlineStr">
        <is>
          <t>Favor: CH, BE, PAN; Contra: PSD, IL, CDS-PP; Abstenção: PS, L, PCP</t>
        </is>
      </c>
      <c r="V323" s="3" t="n">
        <v>45985</v>
      </c>
      <c r="W323" s="2" t="inlineStr">
        <is>
          <t>AR: https://www.parlamento.pt/OrcamentoEstado/Paginas/DetalhePropostaAlteracao.aspx?BID=23482 PDF: https://app.parlamento.pt/webutils/docs/doc.pdf?path=6148523063484d364c793942556b356c6443397a6158526c63793959566b6c4a544556484c3039464c7a49774d6a59794d4449314d5441774f533951515338784d7a566a4e6d49784e5330314d32517a4c54526b4e325574596a51325a5331684d5445334d47526c4e6d46684d5755756347526d&amp;Fich=135c6b15-53d3-4d7e-b46e-a1170de6aa1e.pdf&amp;Inline=true</t>
        </is>
      </c>
      <c r="X323" s="2" t="inlineStr">
        <is>
          <t>Orçamento, Finanças e Administração Pública; Trabalho, Segurança Social e Inclusão</t>
        </is>
      </c>
      <c r="Y323" s="2" t="inlineStr">
        <is>
          <t>Articulado</t>
        </is>
      </c>
      <c r="Z323" s="2" t="inlineStr">
        <is>
          <t>Substituição</t>
        </is>
      </c>
      <c r="AA323" s="2" t="inlineStr">
        <is>
          <t>Rejeitado(a) em Comissão</t>
        </is>
      </c>
      <c r="AB323" s="2" t="inlineStr"/>
      <c r="AC323" s="2" t="inlineStr">
        <is>
          <t>1</t>
        </is>
      </c>
      <c r="AD323" s="2" t="inlineStr">
        <is>
          <t>1</t>
        </is>
      </c>
      <c r="AE323" s="2" t="inlineStr">
        <is>
          <t>23482</t>
        </is>
      </c>
      <c r="AF323" s="2" t="inlineStr">
        <is>
          <t>https://www.parlamento.pt/OrcamentoEstado/Paginas/DetalhePropostaAlteracao.aspx?BID=23482</t>
        </is>
      </c>
      <c r="AG323" s="2" t="inlineStr">
        <is>
          <t>https://app.parlamento.pt/webutils/docs/doc.pdf?path=6148523063484d364c793942556b356c6443397a6158526c63793959566b6c4a544556484c3039464c7a49774d6a59794d4449314d5441774f533951515338784d7a566a4e6d49784e5330314d32517a4c54526b4e325574596a51325a5331684d5445334d47526c4e6d46684d5755756347526d&amp;Fich=135c6b15-53d3-4d7e-b46e-a1170de6aa1e.pdf&amp;Inline=true</t>
        </is>
      </c>
      <c r="AH323" s="3" t="n">
        <v>46321.77847222222</v>
      </c>
      <c r="AI323" s="3" t="n">
        <v>46321.78055555555</v>
      </c>
      <c r="AJ323" s="2" t="inlineStr"/>
    </row>
    <row r="324">
      <c r="A324" s="2" t="n">
        <v>323</v>
      </c>
      <c r="B324" s="2" t="inlineStr">
        <is>
          <t>287C-2</t>
        </is>
      </c>
      <c r="C324" s="3" t="n">
        <v>45964.72291666667</v>
      </c>
      <c r="D324" s="2" t="inlineStr">
        <is>
          <t>Original</t>
        </is>
      </c>
      <c r="E324" s="2" t="inlineStr">
        <is>
          <t>CH</t>
        </is>
      </c>
      <c r="F32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24" s="2" t="inlineStr">
        <is>
          <t>Art. 113.º (aditamento)</t>
        </is>
      </c>
      <c r="H324" s="2" t="n"/>
      <c r="I324" s="2" t="n"/>
      <c r="J324" s="2" t="n"/>
      <c r="K324" s="2" t="n"/>
      <c r="L324" s="2" t="inlineStr">
        <is>
          <t>Novo N.º 3, N.º 6, N.º 7, Artigo 113.º</t>
        </is>
      </c>
      <c r="M324" s="4" t="n"/>
      <c r="N324" s="4" t="n"/>
      <c r="O324" s="2" t="n"/>
      <c r="P324" s="2" t="n"/>
      <c r="Q324" s="2" t="n"/>
      <c r="R324" s="2" t="n"/>
      <c r="S324" s="2" t="inlineStr">
        <is>
          <t>Rejeitado(a) em Comissão</t>
        </is>
      </c>
      <c r="T324" s="2" t="inlineStr">
        <is>
          <t>Rejeitada</t>
        </is>
      </c>
      <c r="U324" s="2" t="inlineStr">
        <is>
          <t>Favor: CH, BE, PAN; Contra: PSD, IL, CDS-PP; Abstenção: PS, L, PCP</t>
        </is>
      </c>
      <c r="V324" s="3" t="n">
        <v>45985</v>
      </c>
      <c r="W324" s="2" t="inlineStr">
        <is>
          <t>AR: https://www.parlamento.pt/OrcamentoEstado/Paginas/DetalhePropostaAlteracao.aspx?BID=23829 PDF: https://app.parlamento.pt/webutils/docs/doc.pdf?path=6148523063484d364c793942556b356c6443397a6158526c63793959566b6c4a544556484c3039464c7a49774d6a59794d4449314d5441774f533951515339685a544e6c5a546333597931694e6a67324c5451355a474d745957457a4e4330345a6d55785a54466c4d4463784d5759756347526d&amp;Fich=ae3ee77c-b686-49dc-aa34-8fe1e1e0711f.pdf&amp;Inline=true</t>
        </is>
      </c>
      <c r="X324" s="2" t="inlineStr">
        <is>
          <t>Orçamento, Finanças e Administração Pública; Trabalho, Segurança Social e Inclusão</t>
        </is>
      </c>
      <c r="Y324" s="2" t="inlineStr">
        <is>
          <t>Articulado</t>
        </is>
      </c>
      <c r="Z324" s="2" t="inlineStr">
        <is>
          <t>Aditamento (Números e Alíneas)</t>
        </is>
      </c>
      <c r="AA324" s="2" t="inlineStr">
        <is>
          <t>Rejeitado(a) em Comissão</t>
        </is>
      </c>
      <c r="AB324" s="2" t="inlineStr"/>
      <c r="AC324" s="2" t="inlineStr">
        <is>
          <t>2</t>
        </is>
      </c>
      <c r="AD324" s="2" t="inlineStr">
        <is>
          <t>3</t>
        </is>
      </c>
      <c r="AE324" s="2" t="inlineStr">
        <is>
          <t>23829</t>
        </is>
      </c>
      <c r="AF324" s="2" t="inlineStr">
        <is>
          <t>https://www.parlamento.pt/OrcamentoEstado/Paginas/DetalhePropostaAlteracao.aspx?BID=23829</t>
        </is>
      </c>
      <c r="AG324" s="2" t="inlineStr">
        <is>
          <t>https://app.parlamento.pt/webutils/docs/doc.pdf?path=6148523063484d364c793942556b356c6443397a6158526c63793959566b6c4a544556484c3039464c7a49774d6a59794d4449314d5441774f533951515339685a544e6c5a546333597931694e6a67324c5451355a474d745957457a4e4330345a6d55785a54466c4d4463784d5759756347526d&amp;Fich=ae3ee77c-b686-49dc-aa34-8fe1e1e0711f.pdf&amp;Inline=true</t>
        </is>
      </c>
      <c r="AH324" s="3" t="n">
        <v>46321.77847222222</v>
      </c>
      <c r="AI324" s="3" t="n">
        <v>46321.78055555555</v>
      </c>
      <c r="AJ324" s="2" t="inlineStr"/>
    </row>
    <row r="325">
      <c r="A325" s="2" t="n">
        <v>324</v>
      </c>
      <c r="B325" s="2" t="inlineStr">
        <is>
          <t>288C</t>
        </is>
      </c>
      <c r="C325" s="3" t="n">
        <v>45964.72361111111</v>
      </c>
      <c r="D325" s="2" t="inlineStr">
        <is>
          <t>Original</t>
        </is>
      </c>
      <c r="E325" s="2" t="inlineStr">
        <is>
          <t>PCP</t>
        </is>
      </c>
      <c r="F325" s="2" t="inlineStr">
        <is>
          <t>Alfredo Maia; Paula Santos; Paulo Raimundo</t>
        </is>
      </c>
      <c r="G325" s="2" t="inlineStr">
        <is>
          <t>Art. 113.º-A (aditamento)</t>
        </is>
      </c>
      <c r="H325" s="2" t="n"/>
      <c r="I325" s="2" t="n"/>
      <c r="J325" s="2" t="n"/>
      <c r="K325" s="2" t="n"/>
      <c r="L325" s="2" t="inlineStr">
        <is>
          <t>Artigo 113.º-A (Construção da barra marítima de Esposende)</t>
        </is>
      </c>
      <c r="M325" s="4" t="n"/>
      <c r="N325" s="4" t="n"/>
      <c r="O325" s="2" t="n"/>
      <c r="P325" s="2" t="n"/>
      <c r="Q325" s="2" t="n"/>
      <c r="R325" s="2" t="n"/>
      <c r="S325" s="2" t="inlineStr">
        <is>
          <t>Rejeitado(a) em Comissão</t>
        </is>
      </c>
      <c r="T325" s="2" t="inlineStr">
        <is>
          <t>Rejeitada</t>
        </is>
      </c>
      <c r="U325" s="2" t="inlineStr">
        <is>
          <t>Favor: CH, L, PCP, BE; Contra: PSD, CDS-PP; Abstenção: PS, IL, PAN</t>
        </is>
      </c>
      <c r="V325" s="3" t="n">
        <v>45985</v>
      </c>
      <c r="W325" s="2" t="inlineStr">
        <is>
          <t>AR: https://www.parlamento.pt/OrcamentoEstado/Paginas/DetalhePropostaAlteracao.aspx?BID=23483 PDF: https://app.parlamento.pt/webutils/docs/doc.pdf?path=6148523063484d364c793942556b356c6443397a6158526c63793959566b6c4a544556484c3039464c7a49774d6a59794d4449314d5441774f5339515153396c5954566b4d7a59785a6930335a544d794c5452694e6d55744f47526a4d5330305a6d4a6d4e6a67305a446c694d6d59756347526d&amp;Fich=ea5d361f-7e32-4b6e-8dc1-4fbf684d9b2f.pdf&amp;Inline=true</t>
        </is>
      </c>
      <c r="X325" s="2" t="inlineStr">
        <is>
          <t>Infraestruturas, Mobilidade e Habitação</t>
        </is>
      </c>
      <c r="Y325" s="2" t="inlineStr">
        <is>
          <t>Articulado</t>
        </is>
      </c>
      <c r="Z325" s="2" t="inlineStr">
        <is>
          <t>Aditamento (Artigo PPL)</t>
        </is>
      </c>
      <c r="AA325" s="2" t="inlineStr">
        <is>
          <t>Rejeitado(a) em Comissão</t>
        </is>
      </c>
      <c r="AB325" s="2" t="inlineStr"/>
      <c r="AC325" s="2" t="inlineStr"/>
      <c r="AD325" s="2" t="inlineStr">
        <is>
          <t>1</t>
        </is>
      </c>
      <c r="AE325" s="2" t="inlineStr">
        <is>
          <t>23483</t>
        </is>
      </c>
      <c r="AF325" s="2" t="inlineStr">
        <is>
          <t>https://www.parlamento.pt/OrcamentoEstado/Paginas/DetalhePropostaAlteracao.aspx?BID=23483</t>
        </is>
      </c>
      <c r="AG325" s="2" t="inlineStr">
        <is>
          <t>https://app.parlamento.pt/webutils/docs/doc.pdf?path=6148523063484d364c793942556b356c6443397a6158526c63793959566b6c4a544556484c3039464c7a49774d6a59794d4449314d5441774f5339515153396c5954566b4d7a59785a6930335a544d794c5452694e6d55744f47526a4d5330305a6d4a6d4e6a67305a446c694d6d59756347526d&amp;Fich=ea5d361f-7e32-4b6e-8dc1-4fbf684d9b2f.pdf&amp;Inline=true</t>
        </is>
      </c>
      <c r="AH325" s="3" t="n">
        <v>46321.77847222222</v>
      </c>
      <c r="AI325" s="3" t="n">
        <v>46321.78055555555</v>
      </c>
      <c r="AJ325" s="2" t="inlineStr"/>
    </row>
    <row r="326">
      <c r="A326" s="2" t="n">
        <v>325</v>
      </c>
      <c r="B326" s="2" t="inlineStr">
        <is>
          <t>289C</t>
        </is>
      </c>
      <c r="C326" s="3" t="n">
        <v>45964.72430555556</v>
      </c>
      <c r="D326" s="2" t="inlineStr">
        <is>
          <t>Original</t>
        </is>
      </c>
      <c r="E326" s="2" t="inlineStr">
        <is>
          <t>CH</t>
        </is>
      </c>
      <c r="F32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26" s="2" t="inlineStr">
        <is>
          <t>Art. 128.º (substituição)</t>
        </is>
      </c>
      <c r="H326" s="2" t="n"/>
      <c r="I326" s="2" t="n"/>
      <c r="J326" s="2" t="n"/>
      <c r="K326" s="2" t="n"/>
      <c r="L326" s="2" t="inlineStr">
        <is>
          <t>N.º 1, Artigo 128.º</t>
        </is>
      </c>
      <c r="M326" s="4" t="n"/>
      <c r="N326" s="4" t="n"/>
      <c r="O326" s="2" t="n"/>
      <c r="P326" s="2" t="n"/>
      <c r="Q326" s="2" t="n"/>
      <c r="R326" s="2" t="n"/>
      <c r="S326" s="2" t="inlineStr">
        <is>
          <t>Rejeitado(a) em Comissão</t>
        </is>
      </c>
      <c r="T326" s="2" t="inlineStr">
        <is>
          <t>Rejeitada</t>
        </is>
      </c>
      <c r="U326" s="2" t="inlineStr">
        <is>
          <t>Favor: CH, BE; Contra: PSD, IL, CDS-PP, PAN; Abstenção: PS, L, PCP</t>
        </is>
      </c>
      <c r="V326" s="3" t="n">
        <v>45985</v>
      </c>
      <c r="W326" s="2" t="inlineStr">
        <is>
          <t>AR: https://www.parlamento.pt/OrcamentoEstado/Paginas/DetalhePropostaAlteracao.aspx?BID=23484 PDF: https://app.parlamento.pt/webutils/docs/doc.pdf?path=6148523063484d364c793942556b356c6443397a6158526c63793959566b6c4a544556484c3039464c7a49774d6a59794d4449314d5441774f533951515338794f444e69595451784e5330794d4755314c5452684d324d744f4449784d43316b4e6a4d304d7a45334f5451304e7a4d756347526d&amp;Fich=283ba415-20e5-4a3c-8210-d63431794473.pdf&amp;Inline=true</t>
        </is>
      </c>
      <c r="X326" s="2" t="inlineStr">
        <is>
          <t>Agricultura e Pescas; Orçamento, Finanças e Administração Pública</t>
        </is>
      </c>
      <c r="Y326" s="2" t="inlineStr">
        <is>
          <t>Articulado</t>
        </is>
      </c>
      <c r="Z326" s="2" t="inlineStr">
        <is>
          <t>Substituição</t>
        </is>
      </c>
      <c r="AA326" s="2" t="inlineStr">
        <is>
          <t>Rejeitado(a) em Comissão</t>
        </is>
      </c>
      <c r="AB326" s="2" t="inlineStr"/>
      <c r="AC326" s="2" t="inlineStr"/>
      <c r="AD326" s="2" t="inlineStr">
        <is>
          <t>1</t>
        </is>
      </c>
      <c r="AE326" s="2" t="inlineStr">
        <is>
          <t>23484</t>
        </is>
      </c>
      <c r="AF326" s="2" t="inlineStr">
        <is>
          <t>https://www.parlamento.pt/OrcamentoEstado/Paginas/DetalhePropostaAlteracao.aspx?BID=23484</t>
        </is>
      </c>
      <c r="AG326" s="2" t="inlineStr">
        <is>
          <t>https://app.parlamento.pt/webutils/docs/doc.pdf?path=6148523063484d364c793942556b356c6443397a6158526c63793959566b6c4a544556484c3039464c7a49774d6a59794d4449314d5441774f533951515338794f444e69595451784e5330794d4755314c5452684d324d744f4449784d43316b4e6a4d304d7a45334f5451304e7a4d756347526d&amp;Fich=283ba415-20e5-4a3c-8210-d63431794473.pdf&amp;Inline=true</t>
        </is>
      </c>
      <c r="AH326" s="3" t="n">
        <v>46321.77847222222</v>
      </c>
      <c r="AI326" s="3" t="n">
        <v>46321.78055555555</v>
      </c>
      <c r="AJ326" s="2" t="inlineStr"/>
    </row>
    <row r="327">
      <c r="A327" s="2" t="n">
        <v>326</v>
      </c>
      <c r="B327" s="2" t="inlineStr">
        <is>
          <t>290C</t>
        </is>
      </c>
      <c r="C327" s="3" t="n">
        <v>45964.725</v>
      </c>
      <c r="D327" s="2" t="inlineStr">
        <is>
          <t>Original</t>
        </is>
      </c>
      <c r="E327" s="2" t="inlineStr">
        <is>
          <t>PCP</t>
        </is>
      </c>
      <c r="F327" s="2" t="inlineStr">
        <is>
          <t>Alfredo Maia; Paula Santos; Paulo Raimundo</t>
        </is>
      </c>
      <c r="G327" s="2" t="inlineStr">
        <is>
          <t>Art. 113.º-A (aditamento)</t>
        </is>
      </c>
      <c r="H327" s="2" t="n"/>
      <c r="I327" s="2" t="n"/>
      <c r="J327" s="2" t="n"/>
      <c r="K327" s="2" t="n"/>
      <c r="L327" s="2" t="inlineStr">
        <is>
          <t>Artigo 113.º-A (Construção da ligação ferroviária direta entre Braga e Guimarães)</t>
        </is>
      </c>
      <c r="M327" s="4" t="n"/>
      <c r="N327" s="4" t="n"/>
      <c r="O327" s="2" t="n"/>
      <c r="P327" s="2" t="n"/>
      <c r="Q327" s="2" t="n"/>
      <c r="R327" s="2" t="n"/>
      <c r="S327" s="2" t="inlineStr">
        <is>
          <t>Rejeitado(a) em Comissão</t>
        </is>
      </c>
      <c r="T327" s="2" t="inlineStr">
        <is>
          <t>Rejeitada</t>
        </is>
      </c>
      <c r="U327" s="2" t="inlineStr">
        <is>
          <t>Favor: CH, IL, L, PCP, BE, PAN; Contra: PSD, CDS-PP; Abstenção: PS</t>
        </is>
      </c>
      <c r="V327" s="3" t="n">
        <v>45985</v>
      </c>
      <c r="W327" s="2" t="inlineStr">
        <is>
          <t>AR: https://www.parlamento.pt/OrcamentoEstado/Paginas/DetalhePropostaAlteracao.aspx?BID=23485 PDF: https://app.parlamento.pt/webutils/docs/doc.pdf?path=6148523063484d364c793942556b356c6443397a6158526c63793959566b6c4a544556484c3039464c7a49774d6a59794d4449314d5441774f533951515339684d47566b4e7a59314e7930784e44517a4c5452694e6d4d744f5463325a4330315a54426c597a466b5a6a6b794f446b756347526d&amp;Fich=a0ed7657-1443-4b6c-976d-5e0ec1df9289.pdf&amp;Inline=true</t>
        </is>
      </c>
      <c r="X327" s="2" t="inlineStr">
        <is>
          <t>Infraestruturas, Mobilidade e Habitação</t>
        </is>
      </c>
      <c r="Y327" s="2" t="inlineStr">
        <is>
          <t>Articulado</t>
        </is>
      </c>
      <c r="Z327" s="2" t="inlineStr">
        <is>
          <t>Aditamento (Artigo PPL)</t>
        </is>
      </c>
      <c r="AA327" s="2" t="inlineStr">
        <is>
          <t>Rejeitado(a) em Comissão</t>
        </is>
      </c>
      <c r="AB327" s="2" t="inlineStr"/>
      <c r="AC327" s="2" t="inlineStr"/>
      <c r="AD327" s="2" t="inlineStr">
        <is>
          <t>1</t>
        </is>
      </c>
      <c r="AE327" s="2" t="inlineStr">
        <is>
          <t>23485</t>
        </is>
      </c>
      <c r="AF327" s="2" t="inlineStr">
        <is>
          <t>https://www.parlamento.pt/OrcamentoEstado/Paginas/DetalhePropostaAlteracao.aspx?BID=23485</t>
        </is>
      </c>
      <c r="AG327" s="2" t="inlineStr">
        <is>
          <t>https://app.parlamento.pt/webutils/docs/doc.pdf?path=6148523063484d364c793942556b356c6443397a6158526c63793959566b6c4a544556484c3039464c7a49774d6a59794d4449314d5441774f533951515339684d47566b4e7a59314e7930784e44517a4c5452694e6d4d744f5463325a4330315a54426c597a466b5a6a6b794f446b756347526d&amp;Fich=a0ed7657-1443-4b6c-976d-5e0ec1df9289.pdf&amp;Inline=true</t>
        </is>
      </c>
      <c r="AH327" s="3" t="n">
        <v>46321.77847222222</v>
      </c>
      <c r="AI327" s="3" t="n">
        <v>46321.78055555555</v>
      </c>
      <c r="AJ327" s="2" t="inlineStr"/>
    </row>
    <row r="328">
      <c r="A328" s="2" t="n">
        <v>327</v>
      </c>
      <c r="B328" s="2" t="inlineStr">
        <is>
          <t>291C</t>
        </is>
      </c>
      <c r="C328" s="3" t="n">
        <v>45964.72569444445</v>
      </c>
      <c r="D328" s="2" t="inlineStr">
        <is>
          <t>Original</t>
        </is>
      </c>
      <c r="E328" s="2" t="inlineStr">
        <is>
          <t>PCP</t>
        </is>
      </c>
      <c r="F328" s="2" t="inlineStr">
        <is>
          <t>Alfredo Maia; Paula Santos; Paulo Raimundo</t>
        </is>
      </c>
      <c r="G328" s="2" t="inlineStr">
        <is>
          <t>Art. 113.º-A (aditamento)</t>
        </is>
      </c>
      <c r="H328" s="2" t="n"/>
      <c r="I328" s="2" t="n"/>
      <c r="J328" s="2" t="n"/>
      <c r="K328" s="2" t="n"/>
      <c r="L328" s="2" t="inlineStr">
        <is>
          <t>Artigo 113.º-A (Construção integral da Variante do Cávado)</t>
        </is>
      </c>
      <c r="M328" s="4" t="n"/>
      <c r="N328" s="4" t="n"/>
      <c r="O328" s="2" t="n"/>
      <c r="P328" s="2" t="n"/>
      <c r="Q328" s="2" t="n"/>
      <c r="R328" s="2" t="n"/>
      <c r="S328" s="2" t="inlineStr">
        <is>
          <t>Rejeitado(a) em Comissão</t>
        </is>
      </c>
      <c r="T328" s="2" t="inlineStr">
        <is>
          <t>Rejeitada</t>
        </is>
      </c>
      <c r="U328" s="2" t="inlineStr">
        <is>
          <t>Favor: CH, IL, L, PCP, BE, PAN; Contra: PSD, CDS-PP; Abstenção: PS</t>
        </is>
      </c>
      <c r="V328" s="3" t="n">
        <v>45985</v>
      </c>
      <c r="W328" s="2" t="inlineStr">
        <is>
          <t>AR: https://www.parlamento.pt/OrcamentoEstado/Paginas/DetalhePropostaAlteracao.aspx?BID=23486 PDF: https://app.parlamento.pt/webutils/docs/doc.pdf?path=6148523063484d364c793942556b356c6443397a6158526c63793959566b6c4a544556484c3039464c7a49774d6a59794d4449314d5441774f533951515339694e4751785a544d324d4331694f4449324c5452694d545174596a55794d5331684d546c6a4e474a6b597a4d304f4749756347526d&amp;Fich=b4d1e360-b826-4b14-b521-a19c4bdc348b.pdf&amp;Inline=true</t>
        </is>
      </c>
      <c r="X328" s="2" t="inlineStr">
        <is>
          <t>Infraestruturas, Mobilidade e Habitação</t>
        </is>
      </c>
      <c r="Y328" s="2" t="inlineStr">
        <is>
          <t>Articulado</t>
        </is>
      </c>
      <c r="Z328" s="2" t="inlineStr">
        <is>
          <t>Aditamento (Artigo PPL)</t>
        </is>
      </c>
      <c r="AA328" s="2" t="inlineStr">
        <is>
          <t>Rejeitado(a) em Comissão</t>
        </is>
      </c>
      <c r="AB328" s="2" t="inlineStr"/>
      <c r="AC328" s="2" t="inlineStr"/>
      <c r="AD328" s="2" t="inlineStr">
        <is>
          <t>1</t>
        </is>
      </c>
      <c r="AE328" s="2" t="inlineStr">
        <is>
          <t>23486</t>
        </is>
      </c>
      <c r="AF328" s="2" t="inlineStr">
        <is>
          <t>https://www.parlamento.pt/OrcamentoEstado/Paginas/DetalhePropostaAlteracao.aspx?BID=23486</t>
        </is>
      </c>
      <c r="AG328" s="2" t="inlineStr">
        <is>
          <t>https://app.parlamento.pt/webutils/docs/doc.pdf?path=6148523063484d364c793942556b356c6443397a6158526c63793959566b6c4a544556484c3039464c7a49774d6a59794d4449314d5441774f533951515339694e4751785a544d324d4331694f4449324c5452694d545174596a55794d5331684d546c6a4e474a6b597a4d304f4749756347526d&amp;Fich=b4d1e360-b826-4b14-b521-a19c4bdc348b.pdf&amp;Inline=true</t>
        </is>
      </c>
      <c r="AH328" s="3" t="n">
        <v>46321.77847222222</v>
      </c>
      <c r="AI328" s="3" t="n">
        <v>46321.78055555555</v>
      </c>
      <c r="AJ328" s="2" t="inlineStr"/>
    </row>
    <row r="329">
      <c r="A329" s="2" t="n">
        <v>328</v>
      </c>
      <c r="B329" s="2" t="inlineStr">
        <is>
          <t>292C</t>
        </is>
      </c>
      <c r="C329" s="3" t="n">
        <v>45964.72638888889</v>
      </c>
      <c r="D329" s="2" t="inlineStr">
        <is>
          <t>Original</t>
        </is>
      </c>
      <c r="E329" s="2" t="inlineStr">
        <is>
          <t>CH</t>
        </is>
      </c>
      <c r="F32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29" s="2" t="inlineStr">
        <is>
          <t>Art. 136.º (substituição)</t>
        </is>
      </c>
      <c r="H329" s="2" t="n"/>
      <c r="I329" s="2" t="n"/>
      <c r="J329" s="2" t="n"/>
      <c r="K329" s="2" t="n"/>
      <c r="L329" s="2" t="inlineStr">
        <is>
          <t>Artigo 136.º</t>
        </is>
      </c>
      <c r="M329" s="4" t="n"/>
      <c r="N329" s="4" t="n"/>
      <c r="O329" s="2" t="n"/>
      <c r="P329" s="2" t="n"/>
      <c r="Q329" s="2" t="n"/>
      <c r="R329" s="2" t="n"/>
      <c r="S329" s="2" t="inlineStr">
        <is>
          <t>Rejeitado(a) em Comissão</t>
        </is>
      </c>
      <c r="T329" s="2" t="inlineStr">
        <is>
          <t>Rejeitada</t>
        </is>
      </c>
      <c r="U329" s="2" t="inlineStr">
        <is>
          <t>Favor: CH, BE; Contra: PSD, IL, CDS-PP, PAN; Abstenção: PS, L, PCP</t>
        </is>
      </c>
      <c r="V329" s="3" t="n">
        <v>45987</v>
      </c>
      <c r="W329" s="2" t="inlineStr">
        <is>
          <t>AR: https://www.parlamento.pt/OrcamentoEstado/Paginas/DetalhePropostaAlteracao.aspx?BID=23487 PDF: https://app.parlamento.pt/webutils/docs/doc.pdf?path=6148523063484d364c793942556b356c6443397a6158526c63793959566b6c4a544556484c3039464c7a49774d6a59794d4449314d5441774f533951515338794d6a497a5954466c59693032596a49794c5451344d6a67745954466a596930345a575a6b5a474a6c5a5441334d5441756347526d&amp;Fich=2223a1eb-6b22-4828-a1cb-8efddbee0710.pdf&amp;Inline=true</t>
        </is>
      </c>
      <c r="X329" s="2" t="inlineStr">
        <is>
          <t>Defesa Nacional; Trabalho, Segurança Social e Inclusão</t>
        </is>
      </c>
      <c r="Y329" s="2" t="inlineStr">
        <is>
          <t>Articulado</t>
        </is>
      </c>
      <c r="Z329" s="2" t="inlineStr">
        <is>
          <t>Substituição</t>
        </is>
      </c>
      <c r="AA329" s="2" t="inlineStr">
        <is>
          <t>Rejeitado(a) em Comissão</t>
        </is>
      </c>
      <c r="AB329" s="2" t="inlineStr"/>
      <c r="AC329" s="2" t="inlineStr"/>
      <c r="AD329" s="2" t="inlineStr">
        <is>
          <t>1</t>
        </is>
      </c>
      <c r="AE329" s="2" t="inlineStr">
        <is>
          <t>23487</t>
        </is>
      </c>
      <c r="AF329" s="2" t="inlineStr">
        <is>
          <t>https://www.parlamento.pt/OrcamentoEstado/Paginas/DetalhePropostaAlteracao.aspx?BID=23487</t>
        </is>
      </c>
      <c r="AG329" s="2" t="inlineStr">
        <is>
          <t>https://app.parlamento.pt/webutils/docs/doc.pdf?path=6148523063484d364c793942556b356c6443397a6158526c63793959566b6c4a544556484c3039464c7a49774d6a59794d4449314d5441774f533951515338794d6a497a5954466c59693032596a49794c5451344d6a67745954466a596930345a575a6b5a474a6c5a5441334d5441756347526d&amp;Fich=2223a1eb-6b22-4828-a1cb-8efddbee0710.pdf&amp;Inline=true</t>
        </is>
      </c>
      <c r="AH329" s="3" t="n">
        <v>46321.77847222222</v>
      </c>
      <c r="AI329" s="3" t="n">
        <v>46321.78055555555</v>
      </c>
      <c r="AJ329" s="2" t="inlineStr"/>
    </row>
    <row r="330">
      <c r="A330" s="2" t="n">
        <v>329</v>
      </c>
      <c r="B330" s="2" t="inlineStr">
        <is>
          <t>293C</t>
        </is>
      </c>
      <c r="C330" s="3" t="n">
        <v>45964.72916666666</v>
      </c>
      <c r="D330" s="2" t="inlineStr">
        <is>
          <t>Original</t>
        </is>
      </c>
      <c r="E330" s="2" t="inlineStr">
        <is>
          <t>PCP</t>
        </is>
      </c>
      <c r="F330" s="2" t="inlineStr">
        <is>
          <t>Alfredo Maia; Paula Santos; Paulo Raimundo</t>
        </is>
      </c>
      <c r="G330" s="2" t="inlineStr">
        <is>
          <t>Art. 113.º-A (aditamento)</t>
        </is>
      </c>
      <c r="H330" s="2" t="n"/>
      <c r="I330" s="2" t="n"/>
      <c r="J330" s="2" t="n"/>
      <c r="K330" s="2" t="n"/>
      <c r="L330" s="2" t="inlineStr">
        <is>
          <t>Artigo 113.º-A (Construção de uma nova ala cirúrgica no Hospital de Braga)</t>
        </is>
      </c>
      <c r="M330" s="4" t="n"/>
      <c r="N330" s="4" t="n"/>
      <c r="O330" s="2" t="n"/>
      <c r="P330" s="2" t="n"/>
      <c r="Q330" s="2" t="n"/>
      <c r="R330" s="2" t="n"/>
      <c r="S330" s="2" t="inlineStr">
        <is>
          <t>Rejeitado(a) em Comissão</t>
        </is>
      </c>
      <c r="T330" s="2" t="inlineStr">
        <is>
          <t>Rejeitada</t>
        </is>
      </c>
      <c r="U330" s="2" t="inlineStr">
        <is>
          <t>Favor: CH, L, PCP, BE, PAN; Contra: PSD, CDS-PP; Abstenção: PS, IL</t>
        </is>
      </c>
      <c r="V330" s="3" t="n">
        <v>45985</v>
      </c>
      <c r="W330" s="2" t="inlineStr">
        <is>
          <t>AR: https://www.parlamento.pt/OrcamentoEstado/Paginas/DetalhePropostaAlteracao.aspx?BID=23488 PDF: https://app.parlamento.pt/webutils/docs/doc.pdf?path=6148523063484d364c793942556b356c6443397a6158526c63793959566b6c4a544556484c3039464c7a49774d6a59794d4449314d5441774f5339515153396c59575534596d5a6d596930784f544e6b4c5451784d7a49744f4749354e6930315a6a466c4e7a673559324e6c4d4463756347526d&amp;Fich=eae8bffb-193d-4132-8b96-5f1e789cce07.pdf&amp;Inline=true</t>
        </is>
      </c>
      <c r="X330" s="2" t="inlineStr">
        <is>
          <t>Saúde</t>
        </is>
      </c>
      <c r="Y330" s="2" t="inlineStr">
        <is>
          <t>Articulado</t>
        </is>
      </c>
      <c r="Z330" s="2" t="inlineStr">
        <is>
          <t>Aditamento (Artigo PPL)</t>
        </is>
      </c>
      <c r="AA330" s="2" t="inlineStr">
        <is>
          <t>Rejeitado(a) em Comissão</t>
        </is>
      </c>
      <c r="AB330" s="2" t="inlineStr"/>
      <c r="AC330" s="2" t="inlineStr"/>
      <c r="AD330" s="2" t="inlineStr">
        <is>
          <t>1</t>
        </is>
      </c>
      <c r="AE330" s="2" t="inlineStr">
        <is>
          <t>23488</t>
        </is>
      </c>
      <c r="AF330" s="2" t="inlineStr">
        <is>
          <t>https://www.parlamento.pt/OrcamentoEstado/Paginas/DetalhePropostaAlteracao.aspx?BID=23488</t>
        </is>
      </c>
      <c r="AG330" s="2" t="inlineStr">
        <is>
          <t>https://app.parlamento.pt/webutils/docs/doc.pdf?path=6148523063484d364c793942556b356c6443397a6158526c63793959566b6c4a544556484c3039464c7a49774d6a59794d4449314d5441774f5339515153396c59575534596d5a6d596930784f544e6b4c5451784d7a49744f4749354e6930315a6a466c4e7a673559324e6c4d4463756347526d&amp;Fich=eae8bffb-193d-4132-8b96-5f1e789cce07.pdf&amp;Inline=true</t>
        </is>
      </c>
      <c r="AH330" s="3" t="n">
        <v>46321.77847222222</v>
      </c>
      <c r="AI330" s="3" t="n">
        <v>46321.78055555555</v>
      </c>
      <c r="AJ330" s="2" t="inlineStr"/>
    </row>
    <row r="331">
      <c r="A331" s="2" t="n">
        <v>330</v>
      </c>
      <c r="B331" s="2" t="inlineStr">
        <is>
          <t>294C</t>
        </is>
      </c>
      <c r="C331" s="3" t="n">
        <v>45964.72986111111</v>
      </c>
      <c r="D331" s="2" t="inlineStr">
        <is>
          <t>Original</t>
        </is>
      </c>
      <c r="E331" s="2" t="inlineStr">
        <is>
          <t>PCP</t>
        </is>
      </c>
      <c r="F331" s="2" t="inlineStr">
        <is>
          <t>Alfredo Maia; Paula Santos; Paulo Raimundo</t>
        </is>
      </c>
      <c r="G331" s="2" t="inlineStr">
        <is>
          <t>Art. 113.º-A (aditamento)</t>
        </is>
      </c>
      <c r="H331" s="2" t="n"/>
      <c r="I331" s="2" t="n"/>
      <c r="J331" s="2" t="n"/>
      <c r="K331" s="2" t="n"/>
      <c r="L331" s="2" t="inlineStr">
        <is>
          <t>Artigo 113.º-A (Requalificação urgente da EN 101)</t>
        </is>
      </c>
      <c r="M331" s="4" t="n"/>
      <c r="N331" s="4" t="n"/>
      <c r="O331" s="2" t="n"/>
      <c r="P331" s="2" t="n"/>
      <c r="Q331" s="2" t="n"/>
      <c r="R331" s="2" t="n"/>
      <c r="S331" s="2" t="inlineStr">
        <is>
          <t>Rejeitado(a) em Comissão</t>
        </is>
      </c>
      <c r="T331" s="2" t="inlineStr">
        <is>
          <t>Rejeitada</t>
        </is>
      </c>
      <c r="U331" s="2" t="inlineStr">
        <is>
          <t>Favor: CH, L, PCP, BE; Contra: PSD, IL, CDS-PP; Abstenção: PS, PAN</t>
        </is>
      </c>
      <c r="V331" s="3" t="n">
        <v>45985</v>
      </c>
      <c r="W331" s="2" t="inlineStr">
        <is>
          <t>AR: https://www.parlamento.pt/OrcamentoEstado/Paginas/DetalhePropostaAlteracao.aspx?BID=23489 PDF: https://app.parlamento.pt/webutils/docs/doc.pdf?path=6148523063484d364c793942556b356c6443397a6158526c63793959566b6c4a544556484c3039464c7a49774d6a59794d4449314d5441774f5339515153396a597a6b344e6a6b354e793168597a67774c5451304f4455744f5441784e79316a4d4746684d574a6d4e545177595755756347526d&amp;Fich=cc986997-ac80-4485-9017-c0aa1bf540ae.pdf&amp;Inline=true</t>
        </is>
      </c>
      <c r="X331" s="2" t="inlineStr">
        <is>
          <t>Infraestruturas, Mobilidade e Habitação</t>
        </is>
      </c>
      <c r="Y331" s="2" t="inlineStr">
        <is>
          <t>Articulado</t>
        </is>
      </c>
      <c r="Z331" s="2" t="inlineStr">
        <is>
          <t>Aditamento (Artigo PPL)</t>
        </is>
      </c>
      <c r="AA331" s="2" t="inlineStr">
        <is>
          <t>Rejeitado(a) em Comissão</t>
        </is>
      </c>
      <c r="AB331" s="2" t="inlineStr"/>
      <c r="AC331" s="2" t="inlineStr"/>
      <c r="AD331" s="2" t="inlineStr">
        <is>
          <t>1</t>
        </is>
      </c>
      <c r="AE331" s="2" t="inlineStr">
        <is>
          <t>23489</t>
        </is>
      </c>
      <c r="AF331" s="2" t="inlineStr">
        <is>
          <t>https://www.parlamento.pt/OrcamentoEstado/Paginas/DetalhePropostaAlteracao.aspx?BID=23489</t>
        </is>
      </c>
      <c r="AG331" s="2" t="inlineStr">
        <is>
          <t>https://app.parlamento.pt/webutils/docs/doc.pdf?path=6148523063484d364c793942556b356c6443397a6158526c63793959566b6c4a544556484c3039464c7a49774d6a59794d4449314d5441774f5339515153396a597a6b344e6a6b354e793168597a67774c5451304f4455744f5441784e79316a4d4746684d574a6d4e545177595755756347526d&amp;Fich=cc986997-ac80-4485-9017-c0aa1bf540ae.pdf&amp;Inline=true</t>
        </is>
      </c>
      <c r="AH331" s="3" t="n">
        <v>46321.77847222222</v>
      </c>
      <c r="AI331" s="3" t="n">
        <v>46321.78055555555</v>
      </c>
      <c r="AJ331" s="2" t="inlineStr"/>
    </row>
    <row r="332">
      <c r="A332" s="2" t="n">
        <v>331</v>
      </c>
      <c r="B332" s="2" t="inlineStr">
        <is>
          <t>295C</t>
        </is>
      </c>
      <c r="C332" s="3" t="n">
        <v>45964.73541666667</v>
      </c>
      <c r="D332" s="2" t="inlineStr">
        <is>
          <t>Original</t>
        </is>
      </c>
      <c r="E332" s="2" t="inlineStr">
        <is>
          <t>PCP</t>
        </is>
      </c>
      <c r="F332" s="2" t="inlineStr">
        <is>
          <t>Alfredo Maia; Paula Santos; Paulo Raimundo</t>
        </is>
      </c>
      <c r="G332" s="2" t="inlineStr">
        <is>
          <t>Art. 113.º-A (aditamento)</t>
        </is>
      </c>
      <c r="H332" s="2" t="n"/>
      <c r="I332" s="2" t="n"/>
      <c r="J332" s="2" t="n"/>
      <c r="K332" s="2" t="n"/>
      <c r="L332" s="2" t="inlineStr">
        <is>
          <t>Artigo 113.º-A (Requalificação urgente da EN 103 – Troço Vieira do Minho - Gerês)</t>
        </is>
      </c>
      <c r="M332" s="4" t="n"/>
      <c r="N332" s="4" t="n"/>
      <c r="O332" s="2" t="n"/>
      <c r="P332" s="2" t="n"/>
      <c r="Q332" s="2" t="n"/>
      <c r="R332" s="2" t="n"/>
      <c r="S332" s="2" t="inlineStr">
        <is>
          <t>Rejeitado(a) em Comissão</t>
        </is>
      </c>
      <c r="T332" s="2" t="inlineStr">
        <is>
          <t>Rejeitada</t>
        </is>
      </c>
      <c r="U332" s="2" t="inlineStr">
        <is>
          <t>Favor: CH, L, PCP, BE; Contra: PSD, CDS-PP; Abstenção: PS, IL, PAN</t>
        </is>
      </c>
      <c r="V332" s="3" t="n">
        <v>45985</v>
      </c>
      <c r="W332" s="2" t="inlineStr">
        <is>
          <t>AR: https://www.parlamento.pt/OrcamentoEstado/Paginas/DetalhePropostaAlteracao.aspx?BID=23492 PDF: https://app.parlamento.pt/webutils/docs/doc.pdf?path=6148523063484d364c793942556b356c6443397a6158526c63793959566b6c4a544556484c3039464c7a49774d6a59794d4449314d5441774f53395151533833595459304e6d4d304f4330314d6a67794c545179596a4d744f546b7a4e6931685a6a6b314e5459324e544a6b5a4451756347526d&amp;Fich=7a646c48-5282-42b3-9936-af9556652dd4.pdf&amp;Inline=true</t>
        </is>
      </c>
      <c r="X332" s="2" t="inlineStr">
        <is>
          <t>Saúde</t>
        </is>
      </c>
      <c r="Y332" s="2" t="inlineStr">
        <is>
          <t>Articulado</t>
        </is>
      </c>
      <c r="Z332" s="2" t="inlineStr">
        <is>
          <t>Aditamento (Artigo PPL)</t>
        </is>
      </c>
      <c r="AA332" s="2" t="inlineStr">
        <is>
          <t>Rejeitado(a) em Comissão</t>
        </is>
      </c>
      <c r="AB332" s="2" t="inlineStr"/>
      <c r="AC332" s="2" t="inlineStr"/>
      <c r="AD332" s="2" t="inlineStr">
        <is>
          <t>1</t>
        </is>
      </c>
      <c r="AE332" s="2" t="inlineStr">
        <is>
          <t>23492</t>
        </is>
      </c>
      <c r="AF332" s="2" t="inlineStr">
        <is>
          <t>https://www.parlamento.pt/OrcamentoEstado/Paginas/DetalhePropostaAlteracao.aspx?BID=23492</t>
        </is>
      </c>
      <c r="AG332" s="2" t="inlineStr">
        <is>
          <t>https://app.parlamento.pt/webutils/docs/doc.pdf?path=6148523063484d364c793942556b356c6443397a6158526c63793959566b6c4a544556484c3039464c7a49774d6a59794d4449314d5441774f53395151533833595459304e6d4d304f4330314d6a67794c545179596a4d744f546b7a4e6931685a6a6b314e5459324e544a6b5a4451756347526d&amp;Fich=7a646c48-5282-42b3-9936-af9556652dd4.pdf&amp;Inline=true</t>
        </is>
      </c>
      <c r="AH332" s="3" t="n">
        <v>46321.77847222222</v>
      </c>
      <c r="AI332" s="3" t="n">
        <v>46321.78055555555</v>
      </c>
      <c r="AJ332" s="2" t="inlineStr"/>
    </row>
    <row r="333">
      <c r="A333" s="2" t="n">
        <v>332</v>
      </c>
      <c r="B333" s="2" t="inlineStr">
        <is>
          <t>296C</t>
        </is>
      </c>
      <c r="C333" s="3" t="n">
        <v>45964.73958333334</v>
      </c>
      <c r="D333" s="2" t="inlineStr">
        <is>
          <t>Original</t>
        </is>
      </c>
      <c r="E333" s="2" t="inlineStr">
        <is>
          <t>PCP</t>
        </is>
      </c>
      <c r="F333" s="2" t="inlineStr">
        <is>
          <t>Alfredo Maia; Paula Santos; Paulo Raimundo</t>
        </is>
      </c>
      <c r="G333" s="2" t="inlineStr">
        <is>
          <t>Art. 113.º-A (aditamento)</t>
        </is>
      </c>
      <c r="H333" s="2" t="n"/>
      <c r="I333" s="2" t="n"/>
      <c r="J333" s="2" t="n"/>
      <c r="K333" s="2" t="n"/>
      <c r="L333" s="2" t="inlineStr">
        <is>
          <t>Artigo 113.º-A (Novo Hospital de Fafe)</t>
        </is>
      </c>
      <c r="M333" s="4" t="n"/>
      <c r="N333" s="4" t="n"/>
      <c r="O333" s="2" t="n"/>
      <c r="P333" s="2" t="n"/>
      <c r="Q333" s="2" t="n"/>
      <c r="R333" s="2" t="n"/>
      <c r="S333" s="2" t="inlineStr">
        <is>
          <t>Rejeitado(a) em Comissão</t>
        </is>
      </c>
      <c r="T333" s="2" t="inlineStr">
        <is>
          <t>Rejeitada</t>
        </is>
      </c>
      <c r="U333" s="2" t="inlineStr">
        <is>
          <t>Favor: L, PCP, BE, PAN; Contra: PSD, IL, CDS-PP; Abstenção: CH, PS</t>
        </is>
      </c>
      <c r="V333" s="3" t="n">
        <v>45985</v>
      </c>
      <c r="W333" s="2" t="inlineStr">
        <is>
          <t>AR: https://www.parlamento.pt/OrcamentoEstado/Paginas/DetalhePropostaAlteracao.aspx?BID=23493 PDF: https://app.parlamento.pt/webutils/docs/doc.pdf?path=6148523063484d364c793942556b356c6443397a6158526c63793959566b6c4a544556484c3039464c7a49774d6a59794d4449314d5441774f53395151533832596a4d314e5467324e4330315a4441304c5451785a6a41745957566c597930354e6d4d334e545132595749334d4445756347526d&amp;Fich=6b355864-5d04-41f0-aeec-96c7546ab701.pdf&amp;Inline=true</t>
        </is>
      </c>
      <c r="X333" s="2" t="inlineStr">
        <is>
          <t>Saúde</t>
        </is>
      </c>
      <c r="Y333" s="2" t="inlineStr">
        <is>
          <t>Articulado</t>
        </is>
      </c>
      <c r="Z333" s="2" t="inlineStr">
        <is>
          <t>Aditamento (Artigo PPL)</t>
        </is>
      </c>
      <c r="AA333" s="2" t="inlineStr">
        <is>
          <t>Rejeitado(a) em Comissão</t>
        </is>
      </c>
      <c r="AB333" s="2" t="inlineStr"/>
      <c r="AC333" s="2" t="inlineStr"/>
      <c r="AD333" s="2" t="inlineStr">
        <is>
          <t>1</t>
        </is>
      </c>
      <c r="AE333" s="2" t="inlineStr">
        <is>
          <t>23493</t>
        </is>
      </c>
      <c r="AF333" s="2" t="inlineStr">
        <is>
          <t>https://www.parlamento.pt/OrcamentoEstado/Paginas/DetalhePropostaAlteracao.aspx?BID=23493</t>
        </is>
      </c>
      <c r="AG333" s="2" t="inlineStr">
        <is>
          <t>https://app.parlamento.pt/webutils/docs/doc.pdf?path=6148523063484d364c793942556b356c6443397a6158526c63793959566b6c4a544556484c3039464c7a49774d6a59794d4449314d5441774f53395151533832596a4d314e5467324e4330315a4441304c5451785a6a41745957566c597930354e6d4d334e545132595749334d4445756347526d&amp;Fich=6b355864-5d04-41f0-aeec-96c7546ab701.pdf&amp;Inline=true</t>
        </is>
      </c>
      <c r="AH333" s="3" t="n">
        <v>46321.77847222222</v>
      </c>
      <c r="AI333" s="3" t="n">
        <v>46321.78055555555</v>
      </c>
      <c r="AJ333" s="2" t="inlineStr"/>
    </row>
    <row r="334">
      <c r="A334" s="2" t="n">
        <v>333</v>
      </c>
      <c r="B334" s="2" t="inlineStr">
        <is>
          <t>297C</t>
        </is>
      </c>
      <c r="C334" s="3" t="n">
        <v>45964.74166666667</v>
      </c>
      <c r="D334" s="2" t="inlineStr">
        <is>
          <t>Original</t>
        </is>
      </c>
      <c r="E334" s="2" t="inlineStr">
        <is>
          <t>PCP</t>
        </is>
      </c>
      <c r="F334" s="2" t="inlineStr">
        <is>
          <t>Alfredo Maia; Paula Santos; Paulo Raimundo</t>
        </is>
      </c>
      <c r="G334" s="2" t="inlineStr">
        <is>
          <t>Art. 113.º-A (aditamento)</t>
        </is>
      </c>
      <c r="H334" s="2" t="n"/>
      <c r="I334" s="2" t="n"/>
      <c r="J334" s="2" t="n"/>
      <c r="K334" s="2" t="n"/>
      <c r="L334" s="2" t="inlineStr">
        <is>
          <t>Artigo 113.º-A (Construção do Nó de acesso à A7 com a EN309 em Fradelos – Vila Nova de Famalicão)</t>
        </is>
      </c>
      <c r="M334" s="4" t="n"/>
      <c r="N334" s="4" t="n"/>
      <c r="O334" s="2" t="n"/>
      <c r="P334" s="2" t="n"/>
      <c r="Q334" s="2" t="n"/>
      <c r="R334" s="2" t="n"/>
      <c r="S334" s="2" t="inlineStr">
        <is>
          <t>Rejeitado(a) em Comissão</t>
        </is>
      </c>
      <c r="T334" s="2" t="inlineStr">
        <is>
          <t>Rejeitada</t>
        </is>
      </c>
      <c r="U334" s="2" t="inlineStr">
        <is>
          <t>Favor: CH, IL, PCP, BE; Contra: PSD, CDS-PP; Abstenção: PS, L, PAN</t>
        </is>
      </c>
      <c r="V334" s="3" t="n">
        <v>45985</v>
      </c>
      <c r="W334" s="2" t="inlineStr">
        <is>
          <t>AR: https://www.parlamento.pt/OrcamentoEstado/Paginas/DetalhePropostaAlteracao.aspx?BID=23494 PDF: https://app.parlamento.pt/webutils/docs/doc.pdf?path=6148523063484d364c793942556b356c6443397a6158526c63793959566b6c4a544556484c3039464c7a49774d6a59794d4449314d5441774f5339515153396b4d7a4a6c4e7a51784f4330784f574d784c54526a4d575974596a67774f53316a597a55324d7a526b4d54686d4e6d55756347526d&amp;Fich=d32e7418-19c1-4c1f-b809-cc5634d18f6e.pdf&amp;Inline=true</t>
        </is>
      </c>
      <c r="X334" s="2" t="inlineStr">
        <is>
          <t>Infraestruturas, Mobilidade e Habitação</t>
        </is>
      </c>
      <c r="Y334" s="2" t="inlineStr">
        <is>
          <t>Articulado</t>
        </is>
      </c>
      <c r="Z334" s="2" t="inlineStr">
        <is>
          <t>Aditamento (Artigo PPL)</t>
        </is>
      </c>
      <c r="AA334" s="2" t="inlineStr">
        <is>
          <t>Rejeitado(a) em Comissão</t>
        </is>
      </c>
      <c r="AB334" s="2" t="inlineStr"/>
      <c r="AC334" s="2" t="inlineStr"/>
      <c r="AD334" s="2" t="inlineStr">
        <is>
          <t>1</t>
        </is>
      </c>
      <c r="AE334" s="2" t="inlineStr">
        <is>
          <t>23494</t>
        </is>
      </c>
      <c r="AF334" s="2" t="inlineStr">
        <is>
          <t>https://www.parlamento.pt/OrcamentoEstado/Paginas/DetalhePropostaAlteracao.aspx?BID=23494</t>
        </is>
      </c>
      <c r="AG334" s="2" t="inlineStr">
        <is>
          <t>https://app.parlamento.pt/webutils/docs/doc.pdf?path=6148523063484d364c793942556b356c6443397a6158526c63793959566b6c4a544556484c3039464c7a49774d6a59794d4449314d5441774f5339515153396b4d7a4a6c4e7a51784f4330784f574d784c54526a4d575974596a67774f53316a597a55324d7a526b4d54686d4e6d55756347526d&amp;Fich=d32e7418-19c1-4c1f-b809-cc5634d18f6e.pdf&amp;Inline=true</t>
        </is>
      </c>
      <c r="AH334" s="3" t="n">
        <v>46321.77847222222</v>
      </c>
      <c r="AI334" s="3" t="n">
        <v>46321.78055555555</v>
      </c>
      <c r="AJ334" s="2" t="inlineStr"/>
    </row>
    <row r="335">
      <c r="A335" s="2" t="n">
        <v>334</v>
      </c>
      <c r="B335" s="2" t="inlineStr">
        <is>
          <t>298C</t>
        </is>
      </c>
      <c r="C335" s="3" t="n">
        <v>45964.74236111111</v>
      </c>
      <c r="D335" s="2" t="inlineStr">
        <is>
          <t>Original</t>
        </is>
      </c>
      <c r="E335" s="2" t="inlineStr">
        <is>
          <t>PCP</t>
        </is>
      </c>
      <c r="F335" s="2" t="inlineStr">
        <is>
          <t>Alfredo Maia; Paula Santos; Paulo Raimundo</t>
        </is>
      </c>
      <c r="G335" s="2" t="inlineStr">
        <is>
          <t>Art. 113.º-A (aditamento)</t>
        </is>
      </c>
      <c r="H335" s="2" t="n"/>
      <c r="I335" s="2" t="n"/>
      <c r="J335" s="2" t="n"/>
      <c r="K335" s="2" t="n"/>
      <c r="L335" s="2" t="inlineStr">
        <is>
          <t>Artigo 113.º-A (Construção do nó de Acesso à A11 em Vizela)</t>
        </is>
      </c>
      <c r="M335" s="4" t="n"/>
      <c r="N335" s="4" t="n"/>
      <c r="O335" s="2" t="n"/>
      <c r="P335" s="2" t="n"/>
      <c r="Q335" s="2" t="n"/>
      <c r="R335" s="2" t="n"/>
      <c r="S335" s="2" t="inlineStr">
        <is>
          <t>Rejeitado(a) em Comissão</t>
        </is>
      </c>
      <c r="T335" s="2" t="inlineStr">
        <is>
          <t>Rejeitada</t>
        </is>
      </c>
      <c r="U335" s="2" t="inlineStr">
        <is>
          <t>Favor: CH, IL, L, PCP, BE; Contra: PSD, CDS-PP; Abstenção: PS, PAN</t>
        </is>
      </c>
      <c r="V335" s="3" t="n">
        <v>45985</v>
      </c>
      <c r="W335" s="2" t="inlineStr">
        <is>
          <t>AR: https://www.parlamento.pt/OrcamentoEstado/Paginas/DetalhePropostaAlteracao.aspx?BID=23495 PDF: https://app.parlamento.pt/webutils/docs/doc.pdf?path=6148523063484d364c793942556b356c6443397a6158526c63793959566b6c4a544556484c3039464c7a49774d6a59794d4449314d5441774f5339515153396b5a544d794e6a41785979307a4f47526b4c5451784d6a5574596a41344e43316c595756694f5456684d6a4d354f4455756347526d&amp;Fich=de32601c-38dd-4125-b084-eaeb95a23985.pdf&amp;Inline=true</t>
        </is>
      </c>
      <c r="X335" s="2" t="inlineStr">
        <is>
          <t>Infraestruturas, Mobilidade e Habitação</t>
        </is>
      </c>
      <c r="Y335" s="2" t="inlineStr">
        <is>
          <t>Articulado</t>
        </is>
      </c>
      <c r="Z335" s="2" t="inlineStr">
        <is>
          <t>Aditamento (Artigo PPL)</t>
        </is>
      </c>
      <c r="AA335" s="2" t="inlineStr">
        <is>
          <t>Rejeitado(a) em Comissão</t>
        </is>
      </c>
      <c r="AB335" s="2" t="inlineStr"/>
      <c r="AC335" s="2" t="inlineStr"/>
      <c r="AD335" s="2" t="inlineStr">
        <is>
          <t>1</t>
        </is>
      </c>
      <c r="AE335" s="2" t="inlineStr">
        <is>
          <t>23495</t>
        </is>
      </c>
      <c r="AF335" s="2" t="inlineStr">
        <is>
          <t>https://www.parlamento.pt/OrcamentoEstado/Paginas/DetalhePropostaAlteracao.aspx?BID=23495</t>
        </is>
      </c>
      <c r="AG335" s="2" t="inlineStr">
        <is>
          <t>https://app.parlamento.pt/webutils/docs/doc.pdf?path=6148523063484d364c793942556b356c6443397a6158526c63793959566b6c4a544556484c3039464c7a49774d6a59794d4449314d5441774f5339515153396b5a544d794e6a41785979307a4f47526b4c5451784d6a5574596a41344e43316c595756694f5456684d6a4d354f4455756347526d&amp;Fich=de32601c-38dd-4125-b084-eaeb95a23985.pdf&amp;Inline=true</t>
        </is>
      </c>
      <c r="AH335" s="3" t="n">
        <v>46321.77847222222</v>
      </c>
      <c r="AI335" s="3" t="n">
        <v>46321.78055555555</v>
      </c>
      <c r="AJ335" s="2" t="inlineStr"/>
    </row>
    <row r="336">
      <c r="A336" s="2" t="n">
        <v>335</v>
      </c>
      <c r="B336" s="2" t="inlineStr">
        <is>
          <t>299C</t>
        </is>
      </c>
      <c r="C336" s="3" t="n">
        <v>45964.74305555555</v>
      </c>
      <c r="D336" s="2" t="inlineStr">
        <is>
          <t>Original</t>
        </is>
      </c>
      <c r="E336" s="2" t="inlineStr">
        <is>
          <t>PCP</t>
        </is>
      </c>
      <c r="F336" s="2" t="inlineStr">
        <is>
          <t>Alfredo Maia; Paula Santos; Paulo Raimundo</t>
        </is>
      </c>
      <c r="G336" s="2" t="inlineStr">
        <is>
          <t>Art. 113.º-A (aditamento)</t>
        </is>
      </c>
      <c r="H336" s="2" t="n"/>
      <c r="I336" s="2" t="n"/>
      <c r="J336" s="2" t="n"/>
      <c r="K336" s="2" t="n"/>
      <c r="L336" s="2" t="inlineStr">
        <is>
          <t>Artigo 113.º-A (Novo Hospital de Barcelos - Esposende)</t>
        </is>
      </c>
      <c r="M336" s="4" t="n"/>
      <c r="N336" s="4" t="n"/>
      <c r="O336" s="2" t="n"/>
      <c r="P336" s="2" t="n"/>
      <c r="Q336" s="2" t="n"/>
      <c r="R336" s="2" t="n"/>
      <c r="S336" s="2" t="inlineStr">
        <is>
          <t>Rejeitado(a) em Comissão</t>
        </is>
      </c>
      <c r="T336" s="2" t="inlineStr">
        <is>
          <t>Rejeitada</t>
        </is>
      </c>
      <c r="U336" s="2" t="inlineStr">
        <is>
          <t>Favor: L, PCP, BE, PAN; Contra: PSD, CDS-PP; Abstenção: CH, PS, IL</t>
        </is>
      </c>
      <c r="V336" s="3" t="n">
        <v>45985</v>
      </c>
      <c r="W336" s="2" t="inlineStr">
        <is>
          <t>AR: https://www.parlamento.pt/OrcamentoEstado/Paginas/DetalhePropostaAlteracao.aspx?BID=23496 PDF: https://app.parlamento.pt/webutils/docs/doc.pdf?path=6148523063484d364c793942556b356c6443397a6158526c63793959566b6c4a544556484c3039464c7a49774d6a59794d4449314d5441774f5339515153396d4e54673359544e6c4d69316b4d6d5a694c54517a4f5745745957553459693169597a63774d5745314e57466b4e6d49756347526d&amp;Fich=f587a3e2-d2fb-439a-ae8b-bc701a55ad6b.pdf&amp;Inline=true</t>
        </is>
      </c>
      <c r="X336" s="2" t="inlineStr">
        <is>
          <t>Saúde</t>
        </is>
      </c>
      <c r="Y336" s="2" t="inlineStr">
        <is>
          <t>Articulado</t>
        </is>
      </c>
      <c r="Z336" s="2" t="inlineStr">
        <is>
          <t>Aditamento (Artigo PPL)</t>
        </is>
      </c>
      <c r="AA336" s="2" t="inlineStr">
        <is>
          <t>Rejeitado(a) em Comissão</t>
        </is>
      </c>
      <c r="AB336" s="2" t="inlineStr"/>
      <c r="AC336" s="2" t="inlineStr"/>
      <c r="AD336" s="2" t="inlineStr">
        <is>
          <t>1</t>
        </is>
      </c>
      <c r="AE336" s="2" t="inlineStr">
        <is>
          <t>23496</t>
        </is>
      </c>
      <c r="AF336" s="2" t="inlineStr">
        <is>
          <t>https://www.parlamento.pt/OrcamentoEstado/Paginas/DetalhePropostaAlteracao.aspx?BID=23496</t>
        </is>
      </c>
      <c r="AG336" s="2" t="inlineStr">
        <is>
          <t>https://app.parlamento.pt/webutils/docs/doc.pdf?path=6148523063484d364c793942556b356c6443397a6158526c63793959566b6c4a544556484c3039464c7a49774d6a59794d4449314d5441774f5339515153396d4e54673359544e6c4d69316b4d6d5a694c54517a4f5745745957553459693169597a63774d5745314e57466b4e6d49756347526d&amp;Fich=f587a3e2-d2fb-439a-ae8b-bc701a55ad6b.pdf&amp;Inline=true</t>
        </is>
      </c>
      <c r="AH336" s="3" t="n">
        <v>46321.77847222222</v>
      </c>
      <c r="AI336" s="3" t="n">
        <v>46321.78055555555</v>
      </c>
      <c r="AJ336" s="2" t="inlineStr"/>
    </row>
    <row r="337">
      <c r="A337" s="2" t="n">
        <v>336</v>
      </c>
      <c r="B337" s="2" t="inlineStr">
        <is>
          <t>300C</t>
        </is>
      </c>
      <c r="C337" s="3" t="n">
        <v>45964.74444444444</v>
      </c>
      <c r="D337" s="2" t="inlineStr">
        <is>
          <t>Original</t>
        </is>
      </c>
      <c r="E337" s="2" t="inlineStr">
        <is>
          <t>PCP</t>
        </is>
      </c>
      <c r="F337" s="2" t="inlineStr">
        <is>
          <t>Alfredo Maia; Paula Santos; Paulo Raimundo</t>
        </is>
      </c>
      <c r="G337" s="2" t="inlineStr">
        <is>
          <t>Art. 113.º-A (aditamento)</t>
        </is>
      </c>
      <c r="H337" s="2" t="n"/>
      <c r="I337" s="2" t="n"/>
      <c r="J337" s="2" t="n"/>
      <c r="K337" s="2" t="n"/>
      <c r="L337" s="2" t="inlineStr">
        <is>
          <t>Artigo 113.º-A (Preservação de Palacete em Fafe)</t>
        </is>
      </c>
      <c r="M337" s="4" t="n"/>
      <c r="N337" s="4" t="n"/>
      <c r="O337" s="2" t="n"/>
      <c r="P337" s="2" t="n"/>
      <c r="Q337" s="2" t="n"/>
      <c r="R337" s="2" t="n"/>
      <c r="S337" s="2" t="inlineStr">
        <is>
          <t>Rejeitado(a) em Comissão</t>
        </is>
      </c>
      <c r="T337" s="2" t="inlineStr">
        <is>
          <t>Rejeitada</t>
        </is>
      </c>
      <c r="U337" s="2" t="inlineStr">
        <is>
          <t>Favor: CH, L, PCP, BE, PAN; Contra: PSD, CDS-PP; Abstenção: PS, IL</t>
        </is>
      </c>
      <c r="V337" s="3" t="n">
        <v>45985</v>
      </c>
      <c r="W337" s="2" t="inlineStr">
        <is>
          <t>AR: https://www.parlamento.pt/OrcamentoEstado/Paginas/DetalhePropostaAlteracao.aspx?BID=23497 PDF: https://app.parlamento.pt/webutils/docs/doc.pdf?path=6148523063484d364c793942556b356c6443397a6158526c63793959566b6c4a544556484c3039464c7a49774d6a59794d4449314d5441774f533951515339684f4467324e474e6b595330334d4751794c54517a4d6a6b744f574a6d59793035597a497a596d4a6b4e54686d596a67756347526d&amp;Fich=a8864cda-70d2-4329-9bfc-9c23bbd58fb8.pdf&amp;Inline=true</t>
        </is>
      </c>
      <c r="X337" s="2" t="inlineStr">
        <is>
          <t>Cultura, Comunicação, Juventude e Desporto</t>
        </is>
      </c>
      <c r="Y337" s="2" t="inlineStr">
        <is>
          <t>Articulado</t>
        </is>
      </c>
      <c r="Z337" s="2" t="inlineStr">
        <is>
          <t>Aditamento (Artigo PPL)</t>
        </is>
      </c>
      <c r="AA337" s="2" t="inlineStr">
        <is>
          <t>Rejeitado(a) em Comissão</t>
        </is>
      </c>
      <c r="AB337" s="2" t="inlineStr"/>
      <c r="AC337" s="2" t="inlineStr"/>
      <c r="AD337" s="2" t="inlineStr">
        <is>
          <t>1</t>
        </is>
      </c>
      <c r="AE337" s="2" t="inlineStr">
        <is>
          <t>23497</t>
        </is>
      </c>
      <c r="AF337" s="2" t="inlineStr">
        <is>
          <t>https://www.parlamento.pt/OrcamentoEstado/Paginas/DetalhePropostaAlteracao.aspx?BID=23497</t>
        </is>
      </c>
      <c r="AG337" s="2" t="inlineStr">
        <is>
          <t>https://app.parlamento.pt/webutils/docs/doc.pdf?path=6148523063484d364c793942556b356c6443397a6158526c63793959566b6c4a544556484c3039464c7a49774d6a59794d4449314d5441774f533951515339684f4467324e474e6b595330334d4751794c54517a4d6a6b744f574a6d59793035597a497a596d4a6b4e54686d596a67756347526d&amp;Fich=a8864cda-70d2-4329-9bfc-9c23bbd58fb8.pdf&amp;Inline=true</t>
        </is>
      </c>
      <c r="AH337" s="3" t="n">
        <v>46321.77847222222</v>
      </c>
      <c r="AI337" s="3" t="n">
        <v>46321.78055555555</v>
      </c>
      <c r="AJ337" s="2" t="inlineStr"/>
    </row>
    <row r="338">
      <c r="A338" s="2" t="n">
        <v>337</v>
      </c>
      <c r="B338" s="2" t="inlineStr">
        <is>
          <t>301C</t>
        </is>
      </c>
      <c r="C338" s="3" t="n">
        <v>45964.74513888889</v>
      </c>
      <c r="D338" s="2" t="inlineStr">
        <is>
          <t>Original</t>
        </is>
      </c>
      <c r="E338" s="2" t="inlineStr">
        <is>
          <t>PCP</t>
        </is>
      </c>
      <c r="F338" s="2" t="inlineStr">
        <is>
          <t>Alfredo Maia; Paula Santos; Paulo Raimundo</t>
        </is>
      </c>
      <c r="G338" s="2" t="inlineStr">
        <is>
          <t>Art. 113.º-A (aditamento)</t>
        </is>
      </c>
      <c r="H338" s="2" t="n"/>
      <c r="I338" s="2" t="n"/>
      <c r="J338" s="2" t="n"/>
      <c r="K338" s="2" t="n"/>
      <c r="L338" s="2" t="inlineStr">
        <is>
          <t>Artigo 113.º-A (Reestruturação da EN207 entre Fafe e Póvoa de Lanhoso)</t>
        </is>
      </c>
      <c r="M338" s="4" t="n"/>
      <c r="N338" s="4" t="n"/>
      <c r="O338" s="2" t="n"/>
      <c r="P338" s="2" t="n"/>
      <c r="Q338" s="2" t="n"/>
      <c r="R338" s="2" t="n"/>
      <c r="S338" s="2" t="inlineStr">
        <is>
          <t>Rejeitado(a) em Comissão</t>
        </is>
      </c>
      <c r="T338" s="2" t="inlineStr">
        <is>
          <t>Rejeitada</t>
        </is>
      </c>
      <c r="U338" s="2" t="inlineStr">
        <is>
          <t>Favor: CH, L, PCP, BE; Contra: PSD, IL, CDS-PP; Abstenção: PS, PAN</t>
        </is>
      </c>
      <c r="V338" s="3" t="n">
        <v>45985</v>
      </c>
      <c r="W338" s="2" t="inlineStr">
        <is>
          <t>AR: https://www.parlamento.pt/OrcamentoEstado/Paginas/DetalhePropostaAlteracao.aspx?BID=23498 PDF: https://app.parlamento.pt/webutils/docs/doc.pdf?path=6148523063484d364c793942556b356c6443397a6158526c63793959566b6c4a544556484c3039464c7a49774d6a59794d4449314d5441774f533951515338344d445a6c4d4451794e6930354d4755354c5451334d475574596a566c597930344f544e6d4f5756694e6a6c6c4f4755756347526d&amp;Fich=806e0426-90e9-470e-b5ec-893f9eb69e8e.pdf&amp;Inline=true</t>
        </is>
      </c>
      <c r="X338" s="2" t="inlineStr">
        <is>
          <t>Infraestruturas, Mobilidade e Habitação</t>
        </is>
      </c>
      <c r="Y338" s="2" t="inlineStr">
        <is>
          <t>Articulado</t>
        </is>
      </c>
      <c r="Z338" s="2" t="inlineStr">
        <is>
          <t>Aditamento (Artigo PPL)</t>
        </is>
      </c>
      <c r="AA338" s="2" t="inlineStr">
        <is>
          <t>Rejeitado(a) em Comissão</t>
        </is>
      </c>
      <c r="AB338" s="2" t="inlineStr"/>
      <c r="AC338" s="2" t="inlineStr"/>
      <c r="AD338" s="2" t="inlineStr">
        <is>
          <t>1</t>
        </is>
      </c>
      <c r="AE338" s="2" t="inlineStr">
        <is>
          <t>23498</t>
        </is>
      </c>
      <c r="AF338" s="2" t="inlineStr">
        <is>
          <t>https://www.parlamento.pt/OrcamentoEstado/Paginas/DetalhePropostaAlteracao.aspx?BID=23498</t>
        </is>
      </c>
      <c r="AG338" s="2" t="inlineStr">
        <is>
          <t>https://app.parlamento.pt/webutils/docs/doc.pdf?path=6148523063484d364c793942556b356c6443397a6158526c63793959566b6c4a544556484c3039464c7a49774d6a59794d4449314d5441774f533951515338344d445a6c4d4451794e6930354d4755354c5451334d475574596a566c597930344f544e6d4f5756694e6a6c6c4f4755756347526d&amp;Fich=806e0426-90e9-470e-b5ec-893f9eb69e8e.pdf&amp;Inline=true</t>
        </is>
      </c>
      <c r="AH338" s="3" t="n">
        <v>46321.77847222222</v>
      </c>
      <c r="AI338" s="3" t="n">
        <v>46321.78055555555</v>
      </c>
      <c r="AJ338" s="2" t="inlineStr"/>
    </row>
    <row r="339">
      <c r="A339" s="2" t="n">
        <v>338</v>
      </c>
      <c r="B339" s="2" t="inlineStr">
        <is>
          <t>302C</t>
        </is>
      </c>
      <c r="C339" s="3" t="n">
        <v>45964.74583333333</v>
      </c>
      <c r="D339" s="2" t="inlineStr">
        <is>
          <t>Original</t>
        </is>
      </c>
      <c r="E339" s="2" t="inlineStr">
        <is>
          <t>PCP</t>
        </is>
      </c>
      <c r="F339" s="2" t="inlineStr">
        <is>
          <t>Alfredo Maia; Paula Santos; Paulo Raimundo</t>
        </is>
      </c>
      <c r="G339" s="2" t="inlineStr">
        <is>
          <t>Art. 113.º-A (aditamento)</t>
        </is>
      </c>
      <c r="H339" s="2" t="n"/>
      <c r="I339" s="2" t="n"/>
      <c r="J339" s="2" t="n"/>
      <c r="K339" s="2" t="n"/>
      <c r="L339" s="2" t="inlineStr">
        <is>
          <t>Artigo 113.º-A (Requalificação do Mosteiro de Rendufe)</t>
        </is>
      </c>
      <c r="M339" s="4" t="n"/>
      <c r="N339" s="4" t="n"/>
      <c r="O339" s="2" t="n"/>
      <c r="P339" s="2" t="n"/>
      <c r="Q339" s="2" t="n"/>
      <c r="R339" s="2" t="n"/>
      <c r="S339" s="2" t="inlineStr">
        <is>
          <t>Rejeitado(a) em Comissão</t>
        </is>
      </c>
      <c r="T339" s="2" t="inlineStr">
        <is>
          <t>Rejeitada</t>
        </is>
      </c>
      <c r="U339" s="2" t="inlineStr">
        <is>
          <t>Favor: CH, IL, L, PCP, BE, PAN; Contra: PSD, CDS-PP; Abstenção: PS</t>
        </is>
      </c>
      <c r="V339" s="3" t="n">
        <v>45985</v>
      </c>
      <c r="W339" s="2" t="inlineStr">
        <is>
          <t>AR: https://www.parlamento.pt/OrcamentoEstado/Paginas/DetalhePropostaAlteracao.aspx?BID=23499 PDF: https://app.parlamento.pt/webutils/docs/doc.pdf?path=6148523063484d364c793942556b356c6443397a6158526c63793959566b6c4a544556484c3039464c7a49774d6a59794d4449314d5441774f5339515153396a4d54426a5a574d784f533035596a55354c545179597a6b744f4441784f4330314e44526d4e474d785a445a684f446b756347526d&amp;Fich=c10cec19-9b59-42c9-8018-544f4c1d6a89.pdf&amp;Inline=true</t>
        </is>
      </c>
      <c r="X339" s="2" t="inlineStr">
        <is>
          <t>Cultura, Comunicação, Juventude e Desporto</t>
        </is>
      </c>
      <c r="Y339" s="2" t="inlineStr">
        <is>
          <t>Articulado</t>
        </is>
      </c>
      <c r="Z339" s="2" t="inlineStr">
        <is>
          <t>Aditamento (Artigo PPL)</t>
        </is>
      </c>
      <c r="AA339" s="2" t="inlineStr">
        <is>
          <t>Rejeitado(a) em Comissão</t>
        </is>
      </c>
      <c r="AB339" s="2" t="inlineStr"/>
      <c r="AC339" s="2" t="inlineStr"/>
      <c r="AD339" s="2" t="inlineStr">
        <is>
          <t>1</t>
        </is>
      </c>
      <c r="AE339" s="2" t="inlineStr">
        <is>
          <t>23499</t>
        </is>
      </c>
      <c r="AF339" s="2" t="inlineStr">
        <is>
          <t>https://www.parlamento.pt/OrcamentoEstado/Paginas/DetalhePropostaAlteracao.aspx?BID=23499</t>
        </is>
      </c>
      <c r="AG339" s="2" t="inlineStr">
        <is>
          <t>https://app.parlamento.pt/webutils/docs/doc.pdf?path=6148523063484d364c793942556b356c6443397a6158526c63793959566b6c4a544556484c3039464c7a49774d6a59794d4449314d5441774f5339515153396a4d54426a5a574d784f533035596a55354c545179597a6b744f4441784f4330314e44526d4e474d785a445a684f446b756347526d&amp;Fich=c10cec19-9b59-42c9-8018-544f4c1d6a89.pdf&amp;Inline=true</t>
        </is>
      </c>
      <c r="AH339" s="3" t="n">
        <v>46321.77847222222</v>
      </c>
      <c r="AI339" s="3" t="n">
        <v>46321.78055555555</v>
      </c>
      <c r="AJ339" s="2" t="inlineStr"/>
    </row>
    <row r="340">
      <c r="A340" s="2" t="n">
        <v>339</v>
      </c>
      <c r="B340" s="2" t="inlineStr">
        <is>
          <t>303C</t>
        </is>
      </c>
      <c r="C340" s="3" t="n">
        <v>45964.75902777778</v>
      </c>
      <c r="D340" s="2" t="inlineStr">
        <is>
          <t>Original</t>
        </is>
      </c>
      <c r="E340" s="2" t="inlineStr">
        <is>
          <t>PCP</t>
        </is>
      </c>
      <c r="F340" s="2" t="inlineStr">
        <is>
          <t>Alfredo Maia; Paula Santos; Paulo Raimundo</t>
        </is>
      </c>
      <c r="G340" s="2" t="inlineStr">
        <is>
          <t>Art. 113.º-A (aditamento)</t>
        </is>
      </c>
      <c r="H340" s="2" t="n"/>
      <c r="I340" s="2" t="n"/>
      <c r="J340" s="2" t="n"/>
      <c r="K340" s="2" t="n"/>
      <c r="L340" s="2" t="inlineStr">
        <is>
          <t>Artigo 113.º-A (Ampliação e modernização do Hospital Distrital Dr. José Maria Grande em Portalegre)</t>
        </is>
      </c>
      <c r="M340" s="4" t="n"/>
      <c r="N340" s="4" t="n"/>
      <c r="O340" s="2" t="n"/>
      <c r="P340" s="2" t="n"/>
      <c r="Q340" s="2" t="n"/>
      <c r="R340" s="2" t="n"/>
      <c r="S340" s="2" t="inlineStr">
        <is>
          <t>Rejeitado(a) em Comissão</t>
        </is>
      </c>
      <c r="T340" s="2" t="inlineStr">
        <is>
          <t>Rejeitada</t>
        </is>
      </c>
      <c r="U340" s="2" t="inlineStr">
        <is>
          <t>Favor: CH, L, PCP, BE, PAN; Contra: PSD, CDS-PP; Abstenção: PS, IL</t>
        </is>
      </c>
      <c r="V340" s="3" t="n">
        <v>45985</v>
      </c>
      <c r="W340" s="2" t="inlineStr">
        <is>
          <t>AR: https://www.parlamento.pt/OrcamentoEstado/Paginas/DetalhePropostaAlteracao.aspx?BID=23500 PDF: https://app.parlamento.pt/webutils/docs/doc.pdf?path=6148523063484d364c793942556b356c6443397a6158526c63793959566b6c4a544556484c3039464c7a49774d6a59794d4449314d5441774f533951515338794e6d49324d7a426c4e6931684d6a4a694c54526d5a575174596a4d314d6930794f474a6a5a4451305957466d596a45756347526d&amp;Fich=26b630e6-a22b-4fed-b352-28bcd44aafb1.pdf&amp;Inline=true</t>
        </is>
      </c>
      <c r="X340" s="2" t="inlineStr">
        <is>
          <t>Saúde</t>
        </is>
      </c>
      <c r="Y340" s="2" t="inlineStr">
        <is>
          <t>Articulado</t>
        </is>
      </c>
      <c r="Z340" s="2" t="inlineStr">
        <is>
          <t>Aditamento (Artigo PPL)</t>
        </is>
      </c>
      <c r="AA340" s="2" t="inlineStr">
        <is>
          <t>Rejeitado(a) em Comissão</t>
        </is>
      </c>
      <c r="AB340" s="2" t="inlineStr"/>
      <c r="AC340" s="2" t="inlineStr"/>
      <c r="AD340" s="2" t="inlineStr">
        <is>
          <t>1</t>
        </is>
      </c>
      <c r="AE340" s="2" t="inlineStr">
        <is>
          <t>23500</t>
        </is>
      </c>
      <c r="AF340" s="2" t="inlineStr">
        <is>
          <t>https://www.parlamento.pt/OrcamentoEstado/Paginas/DetalhePropostaAlteracao.aspx?BID=23500</t>
        </is>
      </c>
      <c r="AG340" s="2" t="inlineStr">
        <is>
          <t>https://app.parlamento.pt/webutils/docs/doc.pdf?path=6148523063484d364c793942556b356c6443397a6158526c63793959566b6c4a544556484c3039464c7a49774d6a59794d4449314d5441774f533951515338794e6d49324d7a426c4e6931684d6a4a694c54526d5a575174596a4d314d6930794f474a6a5a4451305957466d596a45756347526d&amp;Fich=26b630e6-a22b-4fed-b352-28bcd44aafb1.pdf&amp;Inline=true</t>
        </is>
      </c>
      <c r="AH340" s="3" t="n">
        <v>46321.77847222222</v>
      </c>
      <c r="AI340" s="3" t="n">
        <v>46321.78055555555</v>
      </c>
      <c r="AJ340" s="2" t="inlineStr"/>
    </row>
    <row r="341">
      <c r="A341" s="2" t="n">
        <v>340</v>
      </c>
      <c r="B341" s="2" t="inlineStr">
        <is>
          <t>304C</t>
        </is>
      </c>
      <c r="C341" s="3" t="n">
        <v>45964.75972222222</v>
      </c>
      <c r="D341" s="2" t="inlineStr">
        <is>
          <t>Original</t>
        </is>
      </c>
      <c r="E341" s="2" t="inlineStr">
        <is>
          <t>PCP</t>
        </is>
      </c>
      <c r="F341" s="2" t="inlineStr">
        <is>
          <t>Alfredo Maia; Paula Santos; Paulo Raimundo</t>
        </is>
      </c>
      <c r="G341" s="2" t="inlineStr">
        <is>
          <t>Art. 113.º-A (aditamento)</t>
        </is>
      </c>
      <c r="H341" s="2" t="n"/>
      <c r="I341" s="2" t="n"/>
      <c r="J341" s="2" t="n"/>
      <c r="K341" s="2" t="n"/>
      <c r="L341" s="2" t="inlineStr">
        <is>
          <t>Artigo 113.º-A (Construção de uma Ligação com perfil de IC entre Abrantes e Estremoz)</t>
        </is>
      </c>
      <c r="M341" s="4" t="n"/>
      <c r="N341" s="4" t="n"/>
      <c r="O341" s="2" t="n"/>
      <c r="P341" s="2" t="n"/>
      <c r="Q341" s="2" t="n"/>
      <c r="R341" s="2" t="n"/>
      <c r="S341" s="2" t="inlineStr">
        <is>
          <t>Rejeitado(a) em Comissão</t>
        </is>
      </c>
      <c r="T341" s="2" t="inlineStr">
        <is>
          <t>Rejeitada</t>
        </is>
      </c>
      <c r="U341" s="2" t="inlineStr">
        <is>
          <t>Favor: IL, L, PCP, BE; Contra: PSD, CDS-PP; Abstenção: CH, PS, PAN</t>
        </is>
      </c>
      <c r="V341" s="3" t="n">
        <v>45985</v>
      </c>
      <c r="W341" s="2" t="inlineStr">
        <is>
          <t>AR: https://www.parlamento.pt/OrcamentoEstado/Paginas/DetalhePropostaAlteracao.aspx?BID=23501 PDF: https://app.parlamento.pt/webutils/docs/doc.pdf?path=6148523063484d364c793942556b356c6443397a6158526c63793959566b6c4a544556484c3039464c7a49774d6a59794d4449314d5441774f533951515338305a6d4d304f4441794f53316a4d5455324c545131593249744f446b304f53316a5a57597a5a6d51314e6a45794e7a63756347526d&amp;Fich=4fc48029-c156-45cb-8949-cef3fd561277.pdf&amp;Inline=true</t>
        </is>
      </c>
      <c r="X341" s="2" t="inlineStr">
        <is>
          <t>Infraestruturas, Mobilidade e Habitação</t>
        </is>
      </c>
      <c r="Y341" s="2" t="inlineStr">
        <is>
          <t>Articulado</t>
        </is>
      </c>
      <c r="Z341" s="2" t="inlineStr">
        <is>
          <t>Aditamento (Artigo PPL)</t>
        </is>
      </c>
      <c r="AA341" s="2" t="inlineStr">
        <is>
          <t>Rejeitado(a) em Comissão</t>
        </is>
      </c>
      <c r="AB341" s="2" t="inlineStr"/>
      <c r="AC341" s="2" t="inlineStr"/>
      <c r="AD341" s="2" t="inlineStr">
        <is>
          <t>1</t>
        </is>
      </c>
      <c r="AE341" s="2" t="inlineStr">
        <is>
          <t>23501</t>
        </is>
      </c>
      <c r="AF341" s="2" t="inlineStr">
        <is>
          <t>https://www.parlamento.pt/OrcamentoEstado/Paginas/DetalhePropostaAlteracao.aspx?BID=23501</t>
        </is>
      </c>
      <c r="AG341" s="2" t="inlineStr">
        <is>
          <t>https://app.parlamento.pt/webutils/docs/doc.pdf?path=6148523063484d364c793942556b356c6443397a6158526c63793959566b6c4a544556484c3039464c7a49774d6a59794d4449314d5441774f533951515338305a6d4d304f4441794f53316a4d5455324c545131593249744f446b304f53316a5a57597a5a6d51314e6a45794e7a63756347526d&amp;Fich=4fc48029-c156-45cb-8949-cef3fd561277.pdf&amp;Inline=true</t>
        </is>
      </c>
      <c r="AH341" s="3" t="n">
        <v>46321.77847222222</v>
      </c>
      <c r="AI341" s="3" t="n">
        <v>46321.78055555555</v>
      </c>
      <c r="AJ341" s="2" t="inlineStr"/>
    </row>
    <row r="342">
      <c r="A342" s="2" t="n">
        <v>341</v>
      </c>
      <c r="B342" s="2" t="inlineStr">
        <is>
          <t>305C</t>
        </is>
      </c>
      <c r="C342" s="3" t="n">
        <v>45964.76041666666</v>
      </c>
      <c r="D342" s="2" t="inlineStr">
        <is>
          <t>Original</t>
        </is>
      </c>
      <c r="E342" s="2" t="inlineStr">
        <is>
          <t>PCP</t>
        </is>
      </c>
      <c r="F342" s="2" t="inlineStr">
        <is>
          <t>Alfredo Maia; Paula Santos; Paulo Raimundo</t>
        </is>
      </c>
      <c r="G342" s="2" t="inlineStr">
        <is>
          <t>Art. 113.º-A (aditamento)</t>
        </is>
      </c>
      <c r="H342" s="2" t="n"/>
      <c r="I342" s="2" t="n"/>
      <c r="J342" s="2" t="n"/>
      <c r="K342" s="2" t="n"/>
      <c r="L342" s="2" t="inlineStr">
        <is>
          <t>Artigo 113.º-A (Construção de uma variante à Estrada Nacional 246)</t>
        </is>
      </c>
      <c r="M342" s="4" t="n"/>
      <c r="N342" s="4" t="n"/>
      <c r="O342" s="2" t="n"/>
      <c r="P342" s="2" t="n"/>
      <c r="Q342" s="2" t="n"/>
      <c r="R342" s="2" t="n"/>
      <c r="S342" s="2" t="inlineStr">
        <is>
          <t>Rejeitado(a) em Comissão</t>
        </is>
      </c>
      <c r="T342" s="2" t="inlineStr">
        <is>
          <t>Rejeitada</t>
        </is>
      </c>
      <c r="U342" s="2" t="inlineStr">
        <is>
          <t>Favor: CH, L, PCP, BE; Contra: PSD, CDS-PP; Abstenção: PS, IL, PAN</t>
        </is>
      </c>
      <c r="V342" s="3" t="n">
        <v>45985</v>
      </c>
      <c r="W342" s="2" t="inlineStr">
        <is>
          <t>AR: https://www.parlamento.pt/OrcamentoEstado/Paginas/DetalhePropostaAlteracao.aspx?BID=23502 PDF: https://app.parlamento.pt/webutils/docs/doc.pdf?path=6148523063484d364c793942556b356c6443397a6158526c63793959566b6c4a544556484c3039464c7a49774d6a59794d4449314d5441774f533951515338785a4451334d4451774e43316c4d4459324c5452685a6a49744f4459334e79316c4d445534595751315a5455794e7a45756347526d&amp;Fich=1d470404-e066-4af2-8677-e058ad5e5271.pdf&amp;Inline=true</t>
        </is>
      </c>
      <c r="X342" s="2" t="inlineStr">
        <is>
          <t>Infraestruturas, Mobilidade e Habitação</t>
        </is>
      </c>
      <c r="Y342" s="2" t="inlineStr">
        <is>
          <t>Articulado</t>
        </is>
      </c>
      <c r="Z342" s="2" t="inlineStr">
        <is>
          <t>Aditamento (Artigo PPL)</t>
        </is>
      </c>
      <c r="AA342" s="2" t="inlineStr">
        <is>
          <t>Rejeitado(a) em Comissão</t>
        </is>
      </c>
      <c r="AB342" s="2" t="inlineStr"/>
      <c r="AC342" s="2" t="inlineStr"/>
      <c r="AD342" s="2" t="inlineStr">
        <is>
          <t>1</t>
        </is>
      </c>
      <c r="AE342" s="2" t="inlineStr">
        <is>
          <t>23502</t>
        </is>
      </c>
      <c r="AF342" s="2" t="inlineStr">
        <is>
          <t>https://www.parlamento.pt/OrcamentoEstado/Paginas/DetalhePropostaAlteracao.aspx?BID=23502</t>
        </is>
      </c>
      <c r="AG342" s="2" t="inlineStr">
        <is>
          <t>https://app.parlamento.pt/webutils/docs/doc.pdf?path=6148523063484d364c793942556b356c6443397a6158526c63793959566b6c4a544556484c3039464c7a49774d6a59794d4449314d5441774f533951515338785a4451334d4451774e43316c4d4459324c5452685a6a49744f4459334e79316c4d445534595751315a5455794e7a45756347526d&amp;Fich=1d470404-e066-4af2-8677-e058ad5e5271.pdf&amp;Inline=true</t>
        </is>
      </c>
      <c r="AH342" s="3" t="n">
        <v>46321.77847222222</v>
      </c>
      <c r="AI342" s="3" t="n">
        <v>46321.78055555555</v>
      </c>
      <c r="AJ342" s="2" t="inlineStr"/>
    </row>
    <row r="343">
      <c r="A343" s="2" t="n">
        <v>342</v>
      </c>
      <c r="B343" s="2" t="inlineStr">
        <is>
          <t>306C</t>
        </is>
      </c>
      <c r="C343" s="3" t="n">
        <v>45964.76111111111</v>
      </c>
      <c r="D343" s="2" t="inlineStr">
        <is>
          <t>Original</t>
        </is>
      </c>
      <c r="E343" s="2" t="inlineStr">
        <is>
          <t>PCP</t>
        </is>
      </c>
      <c r="F343" s="2" t="inlineStr">
        <is>
          <t>Alfredo Maia; Paula Santos; Paulo Raimundo</t>
        </is>
      </c>
      <c r="G343" s="2" t="inlineStr">
        <is>
          <t>Art. 113.º-A (aditamento)</t>
        </is>
      </c>
      <c r="H343" s="2" t="n"/>
      <c r="I343" s="2" t="n"/>
      <c r="J343" s="2" t="n"/>
      <c r="K343" s="2" t="n"/>
      <c r="L343" s="2" t="inlineStr">
        <is>
          <t>Artigo 113.º-A (Finalização da construção do IC 13)</t>
        </is>
      </c>
      <c r="M343" s="4" t="n"/>
      <c r="N343" s="4" t="n"/>
      <c r="O343" s="2" t="n"/>
      <c r="P343" s="2" t="n"/>
      <c r="Q343" s="2" t="n"/>
      <c r="R343" s="2" t="n"/>
      <c r="S343" s="2" t="inlineStr">
        <is>
          <t>Rejeitado(a) em Comissão</t>
        </is>
      </c>
      <c r="T343" s="2" t="inlineStr">
        <is>
          <t>Rejeitada</t>
        </is>
      </c>
      <c r="U343" s="2" t="inlineStr">
        <is>
          <t>Favor: CH, L, PCP, BE; Contra: PSD, CDS-PP; Abstenção: PS, IL, PAN</t>
        </is>
      </c>
      <c r="V343" s="3" t="n">
        <v>45985</v>
      </c>
      <c r="W343" s="2" t="inlineStr">
        <is>
          <t>AR: https://www.parlamento.pt/OrcamentoEstado/Paginas/DetalhePropostaAlteracao.aspx?BID=23503 PDF: https://app.parlamento.pt/webutils/docs/doc.pdf?path=6148523063484d364c793942556b356c6443397a6158526c63793959566b6c4a544556484c3039464c7a49774d6a59794d4449314d5441774f533951515338774e575131597a55334e5330304d6d4a6a4c5451335a474d74596a55334d7930324e574d794e6a426d5a44686b4e546b756347526d&amp;Fich=05d5c575-42bc-47dc-b573-65c260fd8d59.pdf&amp;Inline=true</t>
        </is>
      </c>
      <c r="X343" s="2" t="inlineStr">
        <is>
          <t>Infraestruturas, Mobilidade e Habitação</t>
        </is>
      </c>
      <c r="Y343" s="2" t="inlineStr">
        <is>
          <t>Articulado</t>
        </is>
      </c>
      <c r="Z343" s="2" t="inlineStr">
        <is>
          <t>Aditamento (Artigo PPL)</t>
        </is>
      </c>
      <c r="AA343" s="2" t="inlineStr">
        <is>
          <t>Rejeitado(a) em Comissão</t>
        </is>
      </c>
      <c r="AB343" s="2" t="inlineStr"/>
      <c r="AC343" s="2" t="inlineStr"/>
      <c r="AD343" s="2" t="inlineStr">
        <is>
          <t>1</t>
        </is>
      </c>
      <c r="AE343" s="2" t="inlineStr">
        <is>
          <t>23503</t>
        </is>
      </c>
      <c r="AF343" s="2" t="inlineStr">
        <is>
          <t>https://www.parlamento.pt/OrcamentoEstado/Paginas/DetalhePropostaAlteracao.aspx?BID=23503</t>
        </is>
      </c>
      <c r="AG343" s="2" t="inlineStr">
        <is>
          <t>https://app.parlamento.pt/webutils/docs/doc.pdf?path=6148523063484d364c793942556b356c6443397a6158526c63793959566b6c4a544556484c3039464c7a49774d6a59794d4449314d5441774f533951515338774e575131597a55334e5330304d6d4a6a4c5451335a474d74596a55334d7930324e574d794e6a426d5a44686b4e546b756347526d&amp;Fich=05d5c575-42bc-47dc-b573-65c260fd8d59.pdf&amp;Inline=true</t>
        </is>
      </c>
      <c r="AH343" s="3" t="n">
        <v>46321.77847222222</v>
      </c>
      <c r="AI343" s="3" t="n">
        <v>46321.78055555555</v>
      </c>
      <c r="AJ343" s="2" t="inlineStr"/>
    </row>
    <row r="344">
      <c r="A344" s="2" t="n">
        <v>343</v>
      </c>
      <c r="B344" s="2" t="inlineStr">
        <is>
          <t>307C</t>
        </is>
      </c>
      <c r="C344" s="3" t="n">
        <v>45964.7625</v>
      </c>
      <c r="D344" s="2" t="inlineStr">
        <is>
          <t>Original</t>
        </is>
      </c>
      <c r="E344" s="2" t="inlineStr">
        <is>
          <t>PCP</t>
        </is>
      </c>
      <c r="F344" s="2" t="inlineStr">
        <is>
          <t>Alfredo Maia; Paula Santos; Paulo Raimundo</t>
        </is>
      </c>
      <c r="G344" s="2" t="inlineStr">
        <is>
          <t>Art. 113.º-A (aditamento)</t>
        </is>
      </c>
      <c r="H344" s="2" t="n"/>
      <c r="I344" s="2" t="n"/>
      <c r="J344" s="2" t="n"/>
      <c r="K344" s="2" t="n"/>
      <c r="L344" s="2" t="inlineStr">
        <is>
          <t>Artigo 113.º-A (Remodelação e alargamento da Estrada Nacional 373)</t>
        </is>
      </c>
      <c r="M344" s="4" t="n"/>
      <c r="N344" s="4" t="n"/>
      <c r="O344" s="2" t="n"/>
      <c r="P344" s="2" t="n"/>
      <c r="Q344" s="2" t="n"/>
      <c r="R344" s="2" t="n"/>
      <c r="S344" s="2" t="inlineStr">
        <is>
          <t>Rejeitado(a) em Comissão</t>
        </is>
      </c>
      <c r="T344" s="2" t="inlineStr">
        <is>
          <t>Rejeitada</t>
        </is>
      </c>
      <c r="U344" s="2" t="inlineStr">
        <is>
          <t>Favor: CH, L, PCP, BE, PAN; Contra: PSD, CDS-PP; Abstenção: PS, IL</t>
        </is>
      </c>
      <c r="V344" s="3" t="n">
        <v>45985</v>
      </c>
      <c r="W344" s="2" t="inlineStr">
        <is>
          <t>AR: https://www.parlamento.pt/OrcamentoEstado/Paginas/DetalhePropostaAlteracao.aspx?BID=23504 PDF: https://app.parlamento.pt/webutils/docs/doc.pdf?path=6148523063484d364c793942556b356c6443397a6158526c63793959566b6c4a544556484c3039464c7a49774d6a59794d4449314d5441774f533951515338314e4464694d324e6a4f4330304d546b304c54526c5a444d744f44646c4e43316b4f5467784d7a63794d4751334e7a41756347526d&amp;Fich=547b3cc8-4194-4ed3-87e4-d9813720d770.pdf&amp;Inline=true</t>
        </is>
      </c>
      <c r="X344" s="2" t="inlineStr">
        <is>
          <t>Infraestruturas, Mobilidade e Habitação</t>
        </is>
      </c>
      <c r="Y344" s="2" t="inlineStr">
        <is>
          <t>Articulado</t>
        </is>
      </c>
      <c r="Z344" s="2" t="inlineStr">
        <is>
          <t>Aditamento (Artigo PPL)</t>
        </is>
      </c>
      <c r="AA344" s="2" t="inlineStr">
        <is>
          <t>Rejeitado(a) em Comissão</t>
        </is>
      </c>
      <c r="AB344" s="2" t="inlineStr"/>
      <c r="AC344" s="2" t="inlineStr"/>
      <c r="AD344" s="2" t="inlineStr">
        <is>
          <t>1</t>
        </is>
      </c>
      <c r="AE344" s="2" t="inlineStr">
        <is>
          <t>23504</t>
        </is>
      </c>
      <c r="AF344" s="2" t="inlineStr">
        <is>
          <t>https://www.parlamento.pt/OrcamentoEstado/Paginas/DetalhePropostaAlteracao.aspx?BID=23504</t>
        </is>
      </c>
      <c r="AG344" s="2" t="inlineStr">
        <is>
          <t>https://app.parlamento.pt/webutils/docs/doc.pdf?path=6148523063484d364c793942556b356c6443397a6158526c63793959566b6c4a544556484c3039464c7a49774d6a59794d4449314d5441774f533951515338314e4464694d324e6a4f4330304d546b304c54526c5a444d744f44646c4e43316b4f5467784d7a63794d4751334e7a41756347526d&amp;Fich=547b3cc8-4194-4ed3-87e4-d9813720d770.pdf&amp;Inline=true</t>
        </is>
      </c>
      <c r="AH344" s="3" t="n">
        <v>46321.77847222222</v>
      </c>
      <c r="AI344" s="3" t="n">
        <v>46321.78055555555</v>
      </c>
      <c r="AJ344" s="2" t="inlineStr"/>
    </row>
    <row r="345">
      <c r="A345" s="2" t="n">
        <v>344</v>
      </c>
      <c r="B345" s="2" t="inlineStr">
        <is>
          <t>308C</t>
        </is>
      </c>
      <c r="C345" s="3" t="n">
        <v>45964.76458333333</v>
      </c>
      <c r="D345" s="2" t="inlineStr">
        <is>
          <t>Original</t>
        </is>
      </c>
      <c r="E345" s="2" t="inlineStr">
        <is>
          <t>PCP</t>
        </is>
      </c>
      <c r="F345" s="2" t="inlineStr">
        <is>
          <t>Alfredo Maia; Paula Santos; Paulo Raimundo</t>
        </is>
      </c>
      <c r="G345" s="2" t="inlineStr">
        <is>
          <t>Art. 113.º-A (aditamento)</t>
        </is>
      </c>
      <c r="H345" s="2" t="n"/>
      <c r="I345" s="2" t="n"/>
      <c r="J345" s="2" t="n"/>
      <c r="K345" s="2" t="n"/>
      <c r="L345" s="2" t="inlineStr">
        <is>
          <t>Artigo 113.º-A (Requalificação do IP2 ente Estremoz e Portalegre)</t>
        </is>
      </c>
      <c r="M345" s="4" t="n"/>
      <c r="N345" s="4" t="n"/>
      <c r="O345" s="2" t="n"/>
      <c r="P345" s="2" t="n"/>
      <c r="Q345" s="2" t="n"/>
      <c r="R345" s="2" t="n"/>
      <c r="S345" s="2" t="inlineStr">
        <is>
          <t>Rejeitado(a) em Comissão</t>
        </is>
      </c>
      <c r="T345" s="2" t="inlineStr">
        <is>
          <t>Rejeitada</t>
        </is>
      </c>
      <c r="U345" s="2" t="inlineStr">
        <is>
          <t>Favor: CH, L, PCP, BE; Contra: PSD, CDS-PP; Abstenção: PS, IL, PAN</t>
        </is>
      </c>
      <c r="V345" s="3" t="n">
        <v>45985</v>
      </c>
      <c r="W345" s="2" t="inlineStr">
        <is>
          <t>AR: https://www.parlamento.pt/OrcamentoEstado/Paginas/DetalhePropostaAlteracao.aspx?BID=23505 PDF: https://app.parlamento.pt/webutils/docs/doc.pdf?path=6148523063484d364c793942556b356c6443397a6158526c63793959566b6c4a544556484c3039464c7a49774d6a59794d4449314d5441774f533951515339694e3251324e4456685a43316d4f574a684c5451324e7a45744f54426b5a4330324f574e6a4d3251354f5451335a444d756347526d&amp;Fich=b7d645ad-f9ba-4671-90dd-69cc3d9947d3.pdf&amp;Inline=true</t>
        </is>
      </c>
      <c r="X345" s="2" t="inlineStr">
        <is>
          <t>Infraestruturas, Mobilidade e Habitação</t>
        </is>
      </c>
      <c r="Y345" s="2" t="inlineStr">
        <is>
          <t>Articulado</t>
        </is>
      </c>
      <c r="Z345" s="2" t="inlineStr">
        <is>
          <t>Aditamento (Artigo PPL)</t>
        </is>
      </c>
      <c r="AA345" s="2" t="inlineStr">
        <is>
          <t>Rejeitado(a) em Comissão</t>
        </is>
      </c>
      <c r="AB345" s="2" t="inlineStr"/>
      <c r="AC345" s="2" t="inlineStr"/>
      <c r="AD345" s="2" t="inlineStr">
        <is>
          <t>1</t>
        </is>
      </c>
      <c r="AE345" s="2" t="inlineStr">
        <is>
          <t>23505</t>
        </is>
      </c>
      <c r="AF345" s="2" t="inlineStr">
        <is>
          <t>https://www.parlamento.pt/OrcamentoEstado/Paginas/DetalhePropostaAlteracao.aspx?BID=23505</t>
        </is>
      </c>
      <c r="AG345" s="2" t="inlineStr">
        <is>
          <t>https://app.parlamento.pt/webutils/docs/doc.pdf?path=6148523063484d364c793942556b356c6443397a6158526c63793959566b6c4a544556484c3039464c7a49774d6a59794d4449314d5441774f533951515339694e3251324e4456685a43316d4f574a684c5451324e7a45744f54426b5a4330324f574e6a4d3251354f5451335a444d756347526d&amp;Fich=b7d645ad-f9ba-4671-90dd-69cc3d9947d3.pdf&amp;Inline=true</t>
        </is>
      </c>
      <c r="AH345" s="3" t="n">
        <v>46321.77847222222</v>
      </c>
      <c r="AI345" s="3" t="n">
        <v>46321.78055555555</v>
      </c>
      <c r="AJ345" s="2" t="inlineStr"/>
    </row>
    <row r="346">
      <c r="A346" s="2" t="n">
        <v>345</v>
      </c>
      <c r="B346" s="2" t="inlineStr">
        <is>
          <t>309C</t>
        </is>
      </c>
      <c r="C346" s="3" t="n">
        <v>45964.79097222222</v>
      </c>
      <c r="D346" s="2" t="inlineStr">
        <is>
          <t>Original</t>
        </is>
      </c>
      <c r="E346" s="2" t="inlineStr">
        <is>
          <t>PCP</t>
        </is>
      </c>
      <c r="F346" s="2" t="inlineStr">
        <is>
          <t>Alfredo Maia; Paula Santos; Paulo Raimundo</t>
        </is>
      </c>
      <c r="G346" s="2" t="inlineStr">
        <is>
          <t>Art. 113.º-A (aditamento)</t>
        </is>
      </c>
      <c r="H346" s="2" t="n"/>
      <c r="I346" s="2" t="n"/>
      <c r="J346" s="2" t="n"/>
      <c r="K346" s="2" t="n"/>
      <c r="L346" s="2" t="inlineStr">
        <is>
          <t>Artigo 113.º-A (Construção do Centro Interpretativo da Resistência na freguesia do Couço e Museu de Abril e dos Valores Universais no concelho de Santarém)</t>
        </is>
      </c>
      <c r="M346" s="4" t="n"/>
      <c r="N346" s="4" t="n"/>
      <c r="O346" s="2" t="n"/>
      <c r="P346" s="2" t="n"/>
      <c r="Q346" s="2" t="n"/>
      <c r="R346" s="2" t="n"/>
      <c r="S346" s="2" t="inlineStr">
        <is>
          <t>Rejeitado(a) em Comissão</t>
        </is>
      </c>
      <c r="T346" s="2" t="inlineStr">
        <is>
          <t>Rejeitada</t>
        </is>
      </c>
      <c r="U346" s="2" t="inlineStr">
        <is>
          <t>Favor: L, PCP, BE, PAN; Contra: PSD, CH, IL, CDS-PP; Abstenção: PS</t>
        </is>
      </c>
      <c r="V346" s="3" t="n">
        <v>45985</v>
      </c>
      <c r="W346" s="2" t="inlineStr">
        <is>
          <t>AR: https://www.parlamento.pt/OrcamentoEstado/Paginas/DetalhePropostaAlteracao.aspx?BID=23506 PDF: https://app.parlamento.pt/webutils/docs/doc.pdf?path=6148523063484d364c793942556b356c6443397a6158526c63793959566b6c4a544556484c3039464c7a49774d6a59794d4449314d5441774f533951515338354f4755784d5756684e5331694f57566d4c5451355a474d744f4749794f53316a5a44646b4d546b794f5751334d5749756347526d&amp;Fich=98e11ea5-b9ef-49dc-8b29-cd7d1929d71b.pdf&amp;Inline=true</t>
        </is>
      </c>
      <c r="X346" s="2" t="inlineStr">
        <is>
          <t>Cultura, Comunicação, Juventude e Desporto</t>
        </is>
      </c>
      <c r="Y346" s="2" t="inlineStr">
        <is>
          <t>Articulado</t>
        </is>
      </c>
      <c r="Z346" s="2" t="inlineStr">
        <is>
          <t>Aditamento (Artigo PPL)</t>
        </is>
      </c>
      <c r="AA346" s="2" t="inlineStr">
        <is>
          <t>Rejeitado(a) em Comissão</t>
        </is>
      </c>
      <c r="AB346" s="2" t="inlineStr"/>
      <c r="AC346" s="2" t="inlineStr"/>
      <c r="AD346" s="2" t="inlineStr">
        <is>
          <t>1</t>
        </is>
      </c>
      <c r="AE346" s="2" t="inlineStr">
        <is>
          <t>23506</t>
        </is>
      </c>
      <c r="AF346" s="2" t="inlineStr">
        <is>
          <t>https://www.parlamento.pt/OrcamentoEstado/Paginas/DetalhePropostaAlteracao.aspx?BID=23506</t>
        </is>
      </c>
      <c r="AG346" s="2" t="inlineStr">
        <is>
          <t>https://app.parlamento.pt/webutils/docs/doc.pdf?path=6148523063484d364c793942556b356c6443397a6158526c63793959566b6c4a544556484c3039464c7a49774d6a59794d4449314d5441774f533951515338354f4755784d5756684e5331694f57566d4c5451355a474d744f4749794f53316a5a44646b4d546b794f5751334d5749756347526d&amp;Fich=98e11ea5-b9ef-49dc-8b29-cd7d1929d71b.pdf&amp;Inline=true</t>
        </is>
      </c>
      <c r="AH346" s="3" t="n">
        <v>46321.77847222222</v>
      </c>
      <c r="AI346" s="3" t="n">
        <v>46321.78055555555</v>
      </c>
      <c r="AJ346" s="2" t="inlineStr"/>
    </row>
    <row r="347">
      <c r="A347" s="2" t="n">
        <v>346</v>
      </c>
      <c r="B347" s="2" t="inlineStr">
        <is>
          <t>310C</t>
        </is>
      </c>
      <c r="C347" s="3" t="n">
        <v>45964.79166666666</v>
      </c>
      <c r="D347" s="2" t="inlineStr">
        <is>
          <t>Original</t>
        </is>
      </c>
      <c r="E347" s="2" t="inlineStr">
        <is>
          <t>PCP</t>
        </is>
      </c>
      <c r="F347" s="2" t="inlineStr">
        <is>
          <t>Alfredo Maia; Paula Santos; Paulo Raimundo</t>
        </is>
      </c>
      <c r="G347" s="2" t="inlineStr">
        <is>
          <t>Art. 113.º-A (aditamento)</t>
        </is>
      </c>
      <c r="H347" s="2" t="n"/>
      <c r="I347" s="2" t="n"/>
      <c r="J347" s="2" t="n"/>
      <c r="K347" s="2" t="n"/>
      <c r="L347" s="2" t="inlineStr">
        <is>
          <t>Artigo 113.º-A (Construção do troço do IC3, ligando a A13 no concelho de Almeirim, à A23 em Vila Nova da Barquinha)</t>
        </is>
      </c>
      <c r="M347" s="4" t="n"/>
      <c r="N347" s="4" t="n"/>
      <c r="O347" s="2" t="n"/>
      <c r="P347" s="2" t="n"/>
      <c r="Q347" s="2" t="n"/>
      <c r="R347" s="2" t="n"/>
      <c r="S347" s="2" t="inlineStr">
        <is>
          <t>Rejeitado(a) em Comissão</t>
        </is>
      </c>
      <c r="T347" s="2" t="inlineStr">
        <is>
          <t>Rejeitada</t>
        </is>
      </c>
      <c r="U347" s="2" t="inlineStr">
        <is>
          <t>Favor: CH, L, PCP, BE; Contra: PSD, CDS-PP; Abstenção: PS, IL, PAN</t>
        </is>
      </c>
      <c r="V347" s="3" t="n">
        <v>45985</v>
      </c>
      <c r="W347" s="2" t="inlineStr">
        <is>
          <t>AR: https://www.parlamento.pt/OrcamentoEstado/Paginas/DetalhePropostaAlteracao.aspx?BID=23507 PDF: https://app.parlamento.pt/webutils/docs/doc.pdf?path=6148523063484d364c793942556b356c6443397a6158526c63793959566b6c4a544556484c3039464c7a49774d6a59794d4449314d5441774f533951515338334d7a6c6b4e5467344d433079595442694c5451784d574974596a42694e43316d5a6a4a695a6a6b324d7a4a6d4f5463756347526d&amp;Fich=739d5880-2a0b-411b-b0b4-ff2bf9632f97.pdf&amp;Inline=true</t>
        </is>
      </c>
      <c r="X347" s="2" t="inlineStr">
        <is>
          <t>Infraestruturas, Mobilidade e Habitação</t>
        </is>
      </c>
      <c r="Y347" s="2" t="inlineStr">
        <is>
          <t>Articulado</t>
        </is>
      </c>
      <c r="Z347" s="2" t="inlineStr">
        <is>
          <t>Aditamento (Artigo PPL)</t>
        </is>
      </c>
      <c r="AA347" s="2" t="inlineStr">
        <is>
          <t>Rejeitado(a) em Comissão</t>
        </is>
      </c>
      <c r="AB347" s="2" t="inlineStr"/>
      <c r="AC347" s="2" t="inlineStr"/>
      <c r="AD347" s="2" t="inlineStr">
        <is>
          <t>1</t>
        </is>
      </c>
      <c r="AE347" s="2" t="inlineStr">
        <is>
          <t>23507</t>
        </is>
      </c>
      <c r="AF347" s="2" t="inlineStr">
        <is>
          <t>https://www.parlamento.pt/OrcamentoEstado/Paginas/DetalhePropostaAlteracao.aspx?BID=23507</t>
        </is>
      </c>
      <c r="AG347" s="2" t="inlineStr">
        <is>
          <t>https://app.parlamento.pt/webutils/docs/doc.pdf?path=6148523063484d364c793942556b356c6443397a6158526c63793959566b6c4a544556484c3039464c7a49774d6a59794d4449314d5441774f533951515338334d7a6c6b4e5467344d433079595442694c5451784d574974596a42694e43316d5a6a4a695a6a6b324d7a4a6d4f5463756347526d&amp;Fich=739d5880-2a0b-411b-b0b4-ff2bf9632f97.pdf&amp;Inline=true</t>
        </is>
      </c>
      <c r="AH347" s="3" t="n">
        <v>46321.77847222222</v>
      </c>
      <c r="AI347" s="3" t="n">
        <v>46321.78055555555</v>
      </c>
      <c r="AJ347" s="2" t="inlineStr"/>
    </row>
    <row r="348">
      <c r="A348" s="2" t="n">
        <v>347</v>
      </c>
      <c r="B348" s="2" t="inlineStr">
        <is>
          <t>311C</t>
        </is>
      </c>
      <c r="C348" s="3" t="n">
        <v>45964.79305555556</v>
      </c>
      <c r="D348" s="2" t="inlineStr">
        <is>
          <t>Original</t>
        </is>
      </c>
      <c r="E348" s="2" t="inlineStr">
        <is>
          <t>PCP</t>
        </is>
      </c>
      <c r="F348" s="2" t="inlineStr">
        <is>
          <t>Alfredo Maia; Paula Santos; Paulo Raimundo</t>
        </is>
      </c>
      <c r="G348" s="2" t="inlineStr">
        <is>
          <t>Art. 113.º-A (aditamento)</t>
        </is>
      </c>
      <c r="H348" s="2" t="n"/>
      <c r="I348" s="2" t="n"/>
      <c r="J348" s="2" t="n"/>
      <c r="K348" s="2" t="n"/>
      <c r="L348" s="2" t="inlineStr">
        <is>
          <t>Artigo 113.º-A (Criação da Casa Nacional de Camões, em Constância)</t>
        </is>
      </c>
      <c r="M348" s="4" t="n"/>
      <c r="N348" s="4" t="n"/>
      <c r="O348" s="2" t="n"/>
      <c r="P348" s="2" t="n"/>
      <c r="Q348" s="2" t="n"/>
      <c r="R348" s="2" t="n"/>
      <c r="S348" s="2" t="inlineStr">
        <is>
          <t>Rejeitado(a) em Comissão</t>
        </is>
      </c>
      <c r="T348" s="2" t="inlineStr">
        <is>
          <t>Rejeitada</t>
        </is>
      </c>
      <c r="U348" s="2" t="inlineStr">
        <is>
          <t>Favor: CH, L, PCP, BE, PAN; Contra: PSD, CDS-PP; Abstenção: PS, IL</t>
        </is>
      </c>
      <c r="V348" s="3" t="n">
        <v>45985</v>
      </c>
      <c r="W348" s="2" t="inlineStr">
        <is>
          <t>AR: https://www.parlamento.pt/OrcamentoEstado/Paginas/DetalhePropostaAlteracao.aspx?BID=23508 PDF: https://app.parlamento.pt/webutils/docs/doc.pdf?path=6148523063484d364c793942556b356c6443397a6158526c63793959566b6c4a544556484c3039464c7a49774d6a59794d4449314d5441774f5339515153396d597a4a6b4d575a6a5953316b5a5459794c5451774e5755744f4755774d5331684d6a4534597a4d345a445932595745756347526d&amp;Fich=fc2d1fca-de62-405e-8e01-a218c38d66aa.pdf&amp;Inline=true</t>
        </is>
      </c>
      <c r="X348" s="2" t="inlineStr">
        <is>
          <t>Cultura, Comunicação, Juventude e Desporto</t>
        </is>
      </c>
      <c r="Y348" s="2" t="inlineStr">
        <is>
          <t>Articulado</t>
        </is>
      </c>
      <c r="Z348" s="2" t="inlineStr">
        <is>
          <t>Aditamento (Artigo PPL)</t>
        </is>
      </c>
      <c r="AA348" s="2" t="inlineStr">
        <is>
          <t>Rejeitado(a) em Comissão</t>
        </is>
      </c>
      <c r="AB348" s="2" t="inlineStr"/>
      <c r="AC348" s="2" t="inlineStr"/>
      <c r="AD348" s="2" t="inlineStr">
        <is>
          <t>1</t>
        </is>
      </c>
      <c r="AE348" s="2" t="inlineStr">
        <is>
          <t>23508</t>
        </is>
      </c>
      <c r="AF348" s="2" t="inlineStr">
        <is>
          <t>https://www.parlamento.pt/OrcamentoEstado/Paginas/DetalhePropostaAlteracao.aspx?BID=23508</t>
        </is>
      </c>
      <c r="AG348" s="2" t="inlineStr">
        <is>
          <t>https://app.parlamento.pt/webutils/docs/doc.pdf?path=6148523063484d364c793942556b356c6443397a6158526c63793959566b6c4a544556484c3039464c7a49774d6a59794d4449314d5441774f5339515153396d597a4a6b4d575a6a5953316b5a5459794c5451774e5755744f4755774d5331684d6a4534597a4d345a445932595745756347526d&amp;Fich=fc2d1fca-de62-405e-8e01-a218c38d66aa.pdf&amp;Inline=true</t>
        </is>
      </c>
      <c r="AH348" s="3" t="n">
        <v>46321.77847222222</v>
      </c>
      <c r="AI348" s="3" t="n">
        <v>46321.78055555555</v>
      </c>
      <c r="AJ348" s="2" t="inlineStr"/>
    </row>
    <row r="349">
      <c r="A349" s="2" t="n">
        <v>348</v>
      </c>
      <c r="B349" s="2" t="inlineStr">
        <is>
          <t>312C</t>
        </is>
      </c>
      <c r="C349" s="3" t="n">
        <v>45964.82430555556</v>
      </c>
      <c r="D349" s="2" t="inlineStr">
        <is>
          <t>Original</t>
        </is>
      </c>
      <c r="E349" s="2" t="inlineStr">
        <is>
          <t>L</t>
        </is>
      </c>
      <c r="F349" s="2" t="inlineStr">
        <is>
          <t>Filipa Pinto; Isabel Mendes Lopes; Jorge Pinto; Patrícia Gonçalves; Paulo Muacho; Rui Tavares</t>
        </is>
      </c>
      <c r="G349" s="2" t="inlineStr">
        <is>
          <t>Art. 126.º-A (aditamento)</t>
        </is>
      </c>
      <c r="H349" s="2" t="n"/>
      <c r="I349" s="2" t="n"/>
      <c r="J349" s="2" t="n"/>
      <c r="K349" s="2" t="n"/>
      <c r="L349" s="2" t="inlineStr">
        <is>
          <t>Artigo 126.º-A (Plano Nacional para a Promoção da Alimentação Saudável e Sustentável)</t>
        </is>
      </c>
      <c r="M349" s="4" t="n"/>
      <c r="N349" s="4" t="n"/>
      <c r="O349" s="2" t="n"/>
      <c r="P349" s="2" t="n"/>
      <c r="Q349" s="2" t="n"/>
      <c r="R349" s="2" t="n"/>
      <c r="S349" s="2" t="inlineStr">
        <is>
          <t>Rejeitado(a) em Comissão</t>
        </is>
      </c>
      <c r="T349" s="2" t="inlineStr">
        <is>
          <t>Rejeitada</t>
        </is>
      </c>
      <c r="U349" s="2" t="inlineStr">
        <is>
          <t>Favor: L, BE, PAN; Contra: PSD, CH, IL, CDS-PP; Abstenção: PS, PCP</t>
        </is>
      </c>
      <c r="V349" s="3" t="n">
        <v>45985</v>
      </c>
      <c r="W349" s="2" t="inlineStr">
        <is>
          <t>AR: https://www.parlamento.pt/OrcamentoEstado/Paginas/DetalhePropostaAlteracao.aspx?BID=23509 PDF: https://app.parlamento.pt/webutils/docs/doc.pdf?path=6148523063484d364c793942556b356c6443397a6158526c63793959566b6c4a544556484c3039464c7a49774d6a59794d4449314d5441774f533951515338325932526c5a446b3459693168596a6c694c54526b597a51744f5455344d5331685a6a6b795a47517a5a47457a5a6a6b756347526d&amp;Fich=6cded98b-ab9b-4dc4-9581-af92dd3da3f9.pdf&amp;Inline=true</t>
        </is>
      </c>
      <c r="X349" s="2" t="inlineStr">
        <is>
          <t>Agricultura e Pescas; Ambiente e Energia; Saúde</t>
        </is>
      </c>
      <c r="Y349" s="2" t="inlineStr">
        <is>
          <t>Articulado</t>
        </is>
      </c>
      <c r="Z349" s="2" t="inlineStr">
        <is>
          <t>Aditamento (Artigo PPL)</t>
        </is>
      </c>
      <c r="AA349" s="2" t="inlineStr">
        <is>
          <t>Rejeitado(a) em Comissão</t>
        </is>
      </c>
      <c r="AB349" s="2" t="inlineStr"/>
      <c r="AC349" s="2" t="inlineStr"/>
      <c r="AD349" s="2" t="inlineStr">
        <is>
          <t>1</t>
        </is>
      </c>
      <c r="AE349" s="2" t="inlineStr">
        <is>
          <t>23509</t>
        </is>
      </c>
      <c r="AF349" s="2" t="inlineStr">
        <is>
          <t>https://www.parlamento.pt/OrcamentoEstado/Paginas/DetalhePropostaAlteracao.aspx?BID=23509</t>
        </is>
      </c>
      <c r="AG349" s="2" t="inlineStr">
        <is>
          <t>https://app.parlamento.pt/webutils/docs/doc.pdf?path=6148523063484d364c793942556b356c6443397a6158526c63793959566b6c4a544556484c3039464c7a49774d6a59794d4449314d5441774f533951515338325932526c5a446b3459693168596a6c694c54526b597a51744f5455344d5331685a6a6b795a47517a5a47457a5a6a6b756347526d&amp;Fich=6cded98b-ab9b-4dc4-9581-af92dd3da3f9.pdf&amp;Inline=true</t>
        </is>
      </c>
      <c r="AH349" s="3" t="n">
        <v>46321.77847222222</v>
      </c>
      <c r="AI349" s="3" t="n">
        <v>46321.78055555555</v>
      </c>
      <c r="AJ349" s="2" t="inlineStr"/>
    </row>
    <row r="350">
      <c r="A350" s="2" t="n">
        <v>349</v>
      </c>
      <c r="B350" s="2" t="inlineStr">
        <is>
          <t>313C</t>
        </is>
      </c>
      <c r="C350" s="3" t="n">
        <v>45964.83194444444</v>
      </c>
      <c r="D350" s="2" t="inlineStr">
        <is>
          <t>Original</t>
        </is>
      </c>
      <c r="E350" s="2" t="inlineStr">
        <is>
          <t>L</t>
        </is>
      </c>
      <c r="F350" s="2" t="inlineStr">
        <is>
          <t>Filipa Pinto; Isabel Mendes Lopes; Jorge Pinto; Patrícia Gonçalves; Paulo Muacho; Rui Tavares</t>
        </is>
      </c>
      <c r="G350" s="2" t="inlineStr">
        <is>
          <t>Art. 112.º-A (aditamento)</t>
        </is>
      </c>
      <c r="H350" s="2" t="n"/>
      <c r="I350" s="2" t="n"/>
      <c r="J350" s="2" t="n"/>
      <c r="K350" s="2" t="n"/>
      <c r="L350" s="2" t="inlineStr">
        <is>
          <t>Artigo 112.º-A (Estudo sobre a contribuição de sistemas de automação e do uso de inteligência artificial na organização do trabalho)</t>
        </is>
      </c>
      <c r="M350" s="4" t="n"/>
      <c r="N350" s="4" t="n"/>
      <c r="O350" s="2" t="n"/>
      <c r="P350" s="2" t="n"/>
      <c r="Q350" s="2" t="n"/>
      <c r="R350" s="2" t="n"/>
      <c r="S350" s="2" t="inlineStr">
        <is>
          <t>Rejeitado(a) em Comissão</t>
        </is>
      </c>
      <c r="T350" s="2" t="inlineStr">
        <is>
          <t>Rejeitada</t>
        </is>
      </c>
      <c r="U350" s="2" t="inlineStr">
        <is>
          <t>Favor: L, BE, PAN; Contra: PSD, IL, CDS-PP; Abstenção: CH, PS, PCP</t>
        </is>
      </c>
      <c r="V350" s="3" t="n">
        <v>45982</v>
      </c>
      <c r="W350" s="2" t="inlineStr">
        <is>
          <t>AR: https://www.parlamento.pt/OrcamentoEstado/Paginas/DetalhePropostaAlteracao.aspx?BID=23510 PDF: https://app.parlamento.pt/webutils/docs/doc.pdf?path=6148523063484d364c793942556b356c6443397a6158526c63793959566b6c4a544556484c3039464c7a49774d6a59794d4449314d5441774f5339515153396c4d475979595455345a43307a4f4463304c5451314d6a6774595459314e7931684d4467794e6a63314e7a63344d6a41756347526d&amp;Fich=e0f2a58d-3874-4528-a657-a08267577820.pdf&amp;Inline=true</t>
        </is>
      </c>
      <c r="X350" s="2" t="inlineStr">
        <is>
          <t>Orçamento, Finanças e Administração Pública; Trabalho, Segurança Social e Inclusão</t>
        </is>
      </c>
      <c r="Y350" s="2" t="inlineStr">
        <is>
          <t>Articulado</t>
        </is>
      </c>
      <c r="Z350" s="2" t="inlineStr">
        <is>
          <t>Aditamento (Artigo PPL)</t>
        </is>
      </c>
      <c r="AA350" s="2" t="inlineStr">
        <is>
          <t>Rejeitado(a) em Comissão</t>
        </is>
      </c>
      <c r="AB350" s="2" t="inlineStr"/>
      <c r="AC350" s="2" t="inlineStr"/>
      <c r="AD350" s="2" t="inlineStr">
        <is>
          <t>1</t>
        </is>
      </c>
      <c r="AE350" s="2" t="inlineStr">
        <is>
          <t>23510</t>
        </is>
      </c>
      <c r="AF350" s="2" t="inlineStr">
        <is>
          <t>https://www.parlamento.pt/OrcamentoEstado/Paginas/DetalhePropostaAlteracao.aspx?BID=23510</t>
        </is>
      </c>
      <c r="AG350" s="2" t="inlineStr">
        <is>
          <t>https://app.parlamento.pt/webutils/docs/doc.pdf?path=6148523063484d364c793942556b356c6443397a6158526c63793959566b6c4a544556484c3039464c7a49774d6a59794d4449314d5441774f5339515153396c4d475979595455345a43307a4f4463304c5451314d6a6774595459314e7931684d4467794e6a63314e7a63344d6a41756347526d&amp;Fich=e0f2a58d-3874-4528-a657-a08267577820.pdf&amp;Inline=true</t>
        </is>
      </c>
      <c r="AH350" s="3" t="n">
        <v>46321.77847222222</v>
      </c>
      <c r="AI350" s="3" t="n">
        <v>46321.78055555555</v>
      </c>
      <c r="AJ350" s="2" t="inlineStr"/>
    </row>
    <row r="351">
      <c r="A351" s="2" t="n">
        <v>350</v>
      </c>
      <c r="B351" s="2" t="inlineStr">
        <is>
          <t>314C</t>
        </is>
      </c>
      <c r="C351" s="3" t="n">
        <v>45964.83541666667</v>
      </c>
      <c r="D351" s="2" t="inlineStr">
        <is>
          <t>Original</t>
        </is>
      </c>
      <c r="E351" s="2" t="inlineStr">
        <is>
          <t>L</t>
        </is>
      </c>
      <c r="F351" s="2" t="inlineStr">
        <is>
          <t>Filipa Pinto; Isabel Mendes Lopes; Jorge Pinto; Patrícia Gonçalves; Paulo Muacho; Rui Tavares</t>
        </is>
      </c>
      <c r="G351" s="2" t="inlineStr">
        <is>
          <t>Art. 62.º (substituição)</t>
        </is>
      </c>
      <c r="H351" s="2" t="n"/>
      <c r="I351" s="2" t="n"/>
      <c r="J351" s="2" t="n"/>
      <c r="K351" s="2" t="n"/>
      <c r="L351" s="2" t="inlineStr">
        <is>
          <t>N.º 2, N.º 3, N.º 6, N.º 10, Artigo 22.º do EBF</t>
        </is>
      </c>
      <c r="M351" s="4" t="n"/>
      <c r="N351" s="4" t="n"/>
      <c r="O351" s="2" t="n"/>
      <c r="P351" s="2" t="n"/>
      <c r="Q351" s="2" t="n"/>
      <c r="R351" s="2" t="n"/>
      <c r="S351" s="2" t="inlineStr">
        <is>
          <t>Rejeitado(a) em Comissão</t>
        </is>
      </c>
      <c r="T351" s="2" t="inlineStr">
        <is>
          <t>Rejeitada</t>
        </is>
      </c>
      <c r="U351" s="2" t="inlineStr">
        <is>
          <t>Favor: L, PCP, BE, PAN; Contra: PSD, CH, IL, CDS-PP; Abstenção: PS</t>
        </is>
      </c>
      <c r="V351" s="3" t="n">
        <v>45981</v>
      </c>
      <c r="W351" s="2" t="inlineStr">
        <is>
          <t>AR: https://www.parlamento.pt/OrcamentoEstado/Paginas/DetalhePropostaAlteracao.aspx?BID=23511 PDF: https://app.parlamento.pt/webutils/docs/doc.pdf?path=6148523063484d364c793942556b356c6443397a6158526c63793959566b6c4a544556484c3039464c7a49774d6a59794d4449314d5441774f5339515153387959546b774d6d5a6d4d79307a4f4755304c5451794e4441745954466c4d4330304e6d4d78596a526b5a6a4535597a67756347526d&amp;Fich=2a902ff3-38e4-4240-a1e0-46c1b4df19c8.pdf&amp;Inline=true</t>
        </is>
      </c>
      <c r="X351" s="2" t="inlineStr">
        <is>
          <t>Orçamento, Finanças e Administração Pública</t>
        </is>
      </c>
      <c r="Y351" s="2" t="inlineStr">
        <is>
          <t>Articulado</t>
        </is>
      </c>
      <c r="Z351" s="2" t="inlineStr">
        <is>
          <t>Substituição</t>
        </is>
      </c>
      <c r="AA351" s="2" t="inlineStr">
        <is>
          <t>Rejeitado(a) em Comissão</t>
        </is>
      </c>
      <c r="AB351" s="2" t="inlineStr"/>
      <c r="AC351" s="2" t="inlineStr"/>
      <c r="AD351" s="2" t="inlineStr">
        <is>
          <t>1</t>
        </is>
      </c>
      <c r="AE351" s="2" t="inlineStr">
        <is>
          <t>23511</t>
        </is>
      </c>
      <c r="AF351" s="2" t="inlineStr">
        <is>
          <t>https://www.parlamento.pt/OrcamentoEstado/Paginas/DetalhePropostaAlteracao.aspx?BID=23511</t>
        </is>
      </c>
      <c r="AG351" s="2" t="inlineStr">
        <is>
          <t>https://app.parlamento.pt/webutils/docs/doc.pdf?path=6148523063484d364c793942556b356c6443397a6158526c63793959566b6c4a544556484c3039464c7a49774d6a59794d4449314d5441774f5339515153387959546b774d6d5a6d4d79307a4f4755304c5451794e4441745954466c4d4330304e6d4d78596a526b5a6a4535597a67756347526d&amp;Fich=2a902ff3-38e4-4240-a1e0-46c1b4df19c8.pdf&amp;Inline=true</t>
        </is>
      </c>
      <c r="AH351" s="3" t="n">
        <v>46321.77847222222</v>
      </c>
      <c r="AI351" s="3" t="n">
        <v>46321.78055555555</v>
      </c>
      <c r="AJ351" s="2" t="inlineStr"/>
    </row>
    <row r="352">
      <c r="A352" s="2" t="n">
        <v>351</v>
      </c>
      <c r="B352" s="2" t="inlineStr">
        <is>
          <t>315C</t>
        </is>
      </c>
      <c r="C352" s="3" t="n">
        <v>45964.83958333333</v>
      </c>
      <c r="D352" s="2" t="inlineStr">
        <is>
          <t>Original</t>
        </is>
      </c>
      <c r="E352" s="2" t="inlineStr">
        <is>
          <t>L</t>
        </is>
      </c>
      <c r="F352" s="2" t="inlineStr">
        <is>
          <t>Filipa Pinto; Isabel Mendes Lopes; Jorge Pinto; Patrícia Gonçalves; Paulo Muacho; Rui Tavares</t>
        </is>
      </c>
      <c r="G352" s="2" t="inlineStr">
        <is>
          <t>Art. 62.º (substituição)</t>
        </is>
      </c>
      <c r="H352" s="2" t="n"/>
      <c r="I352" s="2" t="n"/>
      <c r="J352" s="2" t="n"/>
      <c r="K352" s="2" t="n"/>
      <c r="L352" s="2" t="inlineStr">
        <is>
          <t>Alínea c), alínea d), N.º 1, Artigo 22.º-A do EBF</t>
        </is>
      </c>
      <c r="M352" s="4" t="n"/>
      <c r="N352" s="4" t="n"/>
      <c r="O352" s="2" t="n"/>
      <c r="P352" s="2" t="n"/>
      <c r="Q352" s="2" t="n"/>
      <c r="R352" s="2" t="n"/>
      <c r="S352" s="2" t="inlineStr">
        <is>
          <t>Rejeitado(a) em Comissão</t>
        </is>
      </c>
      <c r="T352" s="2" t="inlineStr">
        <is>
          <t>Rejeitada</t>
        </is>
      </c>
      <c r="U352" s="2" t="inlineStr">
        <is>
          <t>Favor: L, PCP, BE, PAN; Contra: PSD, CH, IL, CDS-PP; Abstenção: PS</t>
        </is>
      </c>
      <c r="V352" s="3" t="n">
        <v>45981</v>
      </c>
      <c r="W352" s="2" t="inlineStr">
        <is>
          <t>AR: https://www.parlamento.pt/OrcamentoEstado/Paginas/DetalhePropostaAlteracao.aspx?BID=23512 PDF: https://app.parlamento.pt/webutils/docs/doc.pdf?path=6148523063484d364c793942556b356c6443397a6158526c63793959566b6c4a544556484c3039464c7a49774d6a59794d4449314d5441774f5339515153396b4e6d55795a6a6379595330325a5445304c545135597a4574596a45344f4330304d325a6a4f4451344f446378595459756347526d&amp;Fich=d6e2f72a-6e14-49c1-b188-43fc848871a6.pdf&amp;Inline=true</t>
        </is>
      </c>
      <c r="X352" s="2" t="inlineStr">
        <is>
          <t>Orçamento, Finanças e Administração Pública</t>
        </is>
      </c>
      <c r="Y352" s="2" t="inlineStr">
        <is>
          <t>Articulado</t>
        </is>
      </c>
      <c r="Z352" s="2" t="inlineStr">
        <is>
          <t>Substituição</t>
        </is>
      </c>
      <c r="AA352" s="2" t="inlineStr">
        <is>
          <t>Rejeitado(a) em Comissão</t>
        </is>
      </c>
      <c r="AB352" s="2" t="inlineStr"/>
      <c r="AC352" s="2" t="inlineStr"/>
      <c r="AD352" s="2" t="inlineStr">
        <is>
          <t>1</t>
        </is>
      </c>
      <c r="AE352" s="2" t="inlineStr">
        <is>
          <t>23512</t>
        </is>
      </c>
      <c r="AF352" s="2" t="inlineStr">
        <is>
          <t>https://www.parlamento.pt/OrcamentoEstado/Paginas/DetalhePropostaAlteracao.aspx?BID=23512</t>
        </is>
      </c>
      <c r="AG352" s="2" t="inlineStr">
        <is>
          <t>https://app.parlamento.pt/webutils/docs/doc.pdf?path=6148523063484d364c793942556b356c6443397a6158526c63793959566b6c4a544556484c3039464c7a49774d6a59794d4449314d5441774f5339515153396b4e6d55795a6a6379595330325a5445304c545135597a4574596a45344f4330304d325a6a4f4451344f446378595459756347526d&amp;Fich=d6e2f72a-6e14-49c1-b188-43fc848871a6.pdf&amp;Inline=true</t>
        </is>
      </c>
      <c r="AH352" s="3" t="n">
        <v>46321.77847222222</v>
      </c>
      <c r="AI352" s="3" t="n">
        <v>46321.78055555555</v>
      </c>
      <c r="AJ352" s="2" t="inlineStr"/>
    </row>
    <row r="353">
      <c r="A353" s="2" t="n">
        <v>352</v>
      </c>
      <c r="B353" s="2" t="inlineStr">
        <is>
          <t>316C</t>
        </is>
      </c>
      <c r="C353" s="3" t="n">
        <v>45964.84513888889</v>
      </c>
      <c r="D353" s="2" t="inlineStr">
        <is>
          <t>Original</t>
        </is>
      </c>
      <c r="E353" s="2" t="inlineStr">
        <is>
          <t>L</t>
        </is>
      </c>
      <c r="F353" s="2" t="inlineStr">
        <is>
          <t>Filipa Pinto; Isabel Mendes Lopes; Jorge Pinto; Patrícia Gonçalves; Paulo Muacho; Rui Tavares</t>
        </is>
      </c>
      <c r="G353" s="2" t="inlineStr">
        <is>
          <t>Art. 128.º-A (aditamento)</t>
        </is>
      </c>
      <c r="H353" s="2" t="n"/>
      <c r="I353" s="2" t="n"/>
      <c r="J353" s="2" t="n"/>
      <c r="K353" s="2" t="n"/>
      <c r="L353" s="2" t="inlineStr">
        <is>
          <t>Artigo 128.º-A (Financiamento dos Comités de Cogestão das Pescas)</t>
        </is>
      </c>
      <c r="M353" s="4" t="n"/>
      <c r="N353" s="4" t="n"/>
      <c r="O353" s="2" t="n"/>
      <c r="P353" s="2" t="n"/>
      <c r="Q353" s="2" t="n"/>
      <c r="R353" s="2" t="n"/>
      <c r="S353" s="2" t="inlineStr">
        <is>
          <t>Rejeitado(a) em Comissão</t>
        </is>
      </c>
      <c r="T353" s="2" t="inlineStr">
        <is>
          <t>Rejeitada</t>
        </is>
      </c>
      <c r="U353" s="2" t="inlineStr">
        <is>
          <t>Favor: IL, L, PCP, BE; Contra: PSD, CDS-PP; Abstenção: CH, PS, PAN</t>
        </is>
      </c>
      <c r="V353" s="3" t="n">
        <v>45985</v>
      </c>
      <c r="W353" s="2" t="inlineStr">
        <is>
          <t>AR: https://www.parlamento.pt/OrcamentoEstado/Paginas/DetalhePropostaAlteracao.aspx?BID=23513 PDF: https://app.parlamento.pt/webutils/docs/doc.pdf?path=6148523063484d364c793942556b356c6443397a6158526c63793959566b6c4a544556484c3039464c7a49774d6a59794d4449314d5441774f5339515153396d4d3255775a6d5a694f5330304e544e6d4c54526a4e7a59745957566a4e7931684e575135597a45324d57526b4d3249756347526d&amp;Fich=f3e0ffb9-453f-4c76-aec7-a5d9c161dd3b.pdf&amp;Inline=true</t>
        </is>
      </c>
      <c r="X353" s="2" t="inlineStr">
        <is>
          <t>Agricultura e Pescas</t>
        </is>
      </c>
      <c r="Y353" s="2" t="inlineStr">
        <is>
          <t>Articulado</t>
        </is>
      </c>
      <c r="Z353" s="2" t="inlineStr">
        <is>
          <t>Aditamento (Artigo PPL)</t>
        </is>
      </c>
      <c r="AA353" s="2" t="inlineStr">
        <is>
          <t>Rejeitado(a) em Comissão</t>
        </is>
      </c>
      <c r="AB353" s="2" t="inlineStr"/>
      <c r="AC353" s="2" t="inlineStr"/>
      <c r="AD353" s="2" t="inlineStr">
        <is>
          <t>1</t>
        </is>
      </c>
      <c r="AE353" s="2" t="inlineStr">
        <is>
          <t>23513</t>
        </is>
      </c>
      <c r="AF353" s="2" t="inlineStr">
        <is>
          <t>https://www.parlamento.pt/OrcamentoEstado/Paginas/DetalhePropostaAlteracao.aspx?BID=23513</t>
        </is>
      </c>
      <c r="AG353" s="2" t="inlineStr">
        <is>
          <t>https://app.parlamento.pt/webutils/docs/doc.pdf?path=6148523063484d364c793942556b356c6443397a6158526c63793959566b6c4a544556484c3039464c7a49774d6a59794d4449314d5441774f5339515153396d4d3255775a6d5a694f5330304e544e6d4c54526a4e7a59745957566a4e7931684e575135597a45324d57526b4d3249756347526d&amp;Fich=f3e0ffb9-453f-4c76-aec7-a5d9c161dd3b.pdf&amp;Inline=true</t>
        </is>
      </c>
      <c r="AH353" s="3" t="n">
        <v>46321.77847222222</v>
      </c>
      <c r="AI353" s="3" t="n">
        <v>46321.78055555555</v>
      </c>
      <c r="AJ353" s="2" t="inlineStr"/>
    </row>
    <row r="354">
      <c r="A354" s="2" t="n">
        <v>353</v>
      </c>
      <c r="B354" s="2" t="inlineStr">
        <is>
          <t>317C</t>
        </is>
      </c>
      <c r="C354" s="3" t="n">
        <v>45964.86875</v>
      </c>
      <c r="D354" s="2" t="inlineStr">
        <is>
          <t>Original</t>
        </is>
      </c>
      <c r="E354" s="2" t="inlineStr">
        <is>
          <t>L</t>
        </is>
      </c>
      <c r="F354" s="2" t="inlineStr">
        <is>
          <t>Filipa Pinto; Isabel Mendes Lopes; Jorge Pinto; Patrícia Gonçalves; Paulo Muacho; Rui Tavares</t>
        </is>
      </c>
      <c r="G354" s="2" t="inlineStr">
        <is>
          <t>Art. 128.º-A (aditamento)</t>
        </is>
      </c>
      <c r="H354" s="2" t="n"/>
      <c r="I354" s="2" t="n"/>
      <c r="J354" s="2" t="n"/>
      <c r="K354" s="2" t="n"/>
      <c r="L354" s="2" t="inlineStr">
        <is>
          <t>Artigo 128.º-A (Programa «Floresta Ativa»)</t>
        </is>
      </c>
      <c r="M354" s="4" t="n"/>
      <c r="N354" s="4" t="n"/>
      <c r="O354" s="2" t="n"/>
      <c r="P354" s="2" t="n"/>
      <c r="Q354" s="2" t="n"/>
      <c r="R354" s="2" t="n"/>
      <c r="S354" s="2" t="inlineStr">
        <is>
          <t>Rejeitado(a) em Comissão</t>
        </is>
      </c>
      <c r="T354" s="2" t="inlineStr">
        <is>
          <t>Rejeitada</t>
        </is>
      </c>
      <c r="U354" s="2" t="inlineStr">
        <is>
          <t>Favor: L, PCP, BE, PAN; Contra: PSD, CH, IL, CDS-PP; Abstenção: PS</t>
        </is>
      </c>
      <c r="V354" s="3" t="n">
        <v>45985</v>
      </c>
      <c r="W354" s="2" t="inlineStr">
        <is>
          <t>AR: https://www.parlamento.pt/OrcamentoEstado/Paginas/DetalhePropostaAlteracao.aspx?BID=23514 PDF: https://app.parlamento.pt/webutils/docs/doc.pdf?path=6148523063484d364c793942556b356c6443397a6158526c63793959566b6c4a544556484c3039464c7a49774d6a59794d4449314d5441774f533951515338774d6d51354e4755785a5330325a6a4e684c5451795a574574595441784f43307a4e6a6735596a526d597a63314d4445756347526d&amp;Fich=02d94e1e-6f3a-42ea-a018-3689b4fc7501.pdf&amp;Inline=true</t>
        </is>
      </c>
      <c r="X354" s="2" t="inlineStr">
        <is>
          <t>Agricultura e Pescas</t>
        </is>
      </c>
      <c r="Y354" s="2" t="inlineStr">
        <is>
          <t>Articulado</t>
        </is>
      </c>
      <c r="Z354" s="2" t="inlineStr">
        <is>
          <t>Aditamento (Artigo PPL)</t>
        </is>
      </c>
      <c r="AA354" s="2" t="inlineStr">
        <is>
          <t>Rejeitado(a) em Comissão</t>
        </is>
      </c>
      <c r="AB354" s="2" t="inlineStr"/>
      <c r="AC354" s="2" t="inlineStr"/>
      <c r="AD354" s="2" t="inlineStr">
        <is>
          <t>1</t>
        </is>
      </c>
      <c r="AE354" s="2" t="inlineStr">
        <is>
          <t>23514</t>
        </is>
      </c>
      <c r="AF354" s="2" t="inlineStr">
        <is>
          <t>https://www.parlamento.pt/OrcamentoEstado/Paginas/DetalhePropostaAlteracao.aspx?BID=23514</t>
        </is>
      </c>
      <c r="AG354" s="2" t="inlineStr">
        <is>
          <t>https://app.parlamento.pt/webutils/docs/doc.pdf?path=6148523063484d364c793942556b356c6443397a6158526c63793959566b6c4a544556484c3039464c7a49774d6a59794d4449314d5441774f533951515338774d6d51354e4755785a5330325a6a4e684c5451795a574574595441784f43307a4e6a6735596a526d597a63314d4445756347526d&amp;Fich=02d94e1e-6f3a-42ea-a018-3689b4fc7501.pdf&amp;Inline=true</t>
        </is>
      </c>
      <c r="AH354" s="3" t="n">
        <v>46321.77847222222</v>
      </c>
      <c r="AI354" s="3" t="n">
        <v>46321.78055555555</v>
      </c>
      <c r="AJ354" s="2" t="inlineStr"/>
    </row>
    <row r="355">
      <c r="A355" s="2" t="n">
        <v>354</v>
      </c>
      <c r="B355" s="2" t="inlineStr">
        <is>
          <t>318C</t>
        </is>
      </c>
      <c r="C355" s="3" t="n">
        <v>45964.87847222222</v>
      </c>
      <c r="D355" s="2" t="inlineStr">
        <is>
          <t>Original</t>
        </is>
      </c>
      <c r="E355" s="2" t="inlineStr">
        <is>
          <t>L</t>
        </is>
      </c>
      <c r="F355" s="2" t="inlineStr">
        <is>
          <t>Filipa Pinto; Isabel Mendes Lopes; Jorge Pinto; Patrícia Gonçalves; Paulo Muacho; Rui Tavares</t>
        </is>
      </c>
      <c r="G355" s="2" t="inlineStr">
        <is>
          <t>Art. 61.º (substituição)</t>
        </is>
      </c>
      <c r="H355" s="2" t="n"/>
      <c r="I355" s="2" t="n"/>
      <c r="J355" s="2" t="n"/>
      <c r="K355" s="2" t="n"/>
      <c r="L355" s="2" t="inlineStr">
        <is>
          <t>N.º 1, N.º 2, N.º 5, Artigo 87.º do Código do IRC</t>
        </is>
      </c>
      <c r="M355" s="4" t="n"/>
      <c r="N355" s="4" t="n"/>
      <c r="O355" s="2" t="n"/>
      <c r="P355" s="2" t="n"/>
      <c r="Q355" s="2" t="n"/>
      <c r="R355" s="2" t="n"/>
      <c r="S355" s="2" t="inlineStr">
        <is>
          <t>Rejeitado(a) em Comissão</t>
        </is>
      </c>
      <c r="T355" s="2" t="inlineStr">
        <is>
          <t>Rejeitada</t>
        </is>
      </c>
      <c r="U355" s="2" t="inlineStr">
        <is>
          <t>Favor: L, PAN; Contra: PSD, CH, IL, CDS-PP; Abstenção: PS, PCP, BE</t>
        </is>
      </c>
      <c r="V355" s="3" t="n">
        <v>45981</v>
      </c>
      <c r="W355" s="2" t="inlineStr">
        <is>
          <t>AR: https://www.parlamento.pt/OrcamentoEstado/Paginas/DetalhePropostaAlteracao.aspx?BID=23515 PDF: https://app.parlamento.pt/webutils/docs/doc.pdf?path=6148523063484d364c793942556b356c6443397a6158526c63793959566b6c4a544556484c3039464c7a49774d6a59794d4449314d5441774f5339515153396959325579597a5a6a4d4330774d5456684c545177596d51744f446b354d5330334d54417a5a6a6331597a566b4d6a63756347526d&amp;Fich=bce2c6c0-015a-40bd-8991-7103f75c5d27.pdf&amp;Inline=true</t>
        </is>
      </c>
      <c r="X355" s="2" t="inlineStr">
        <is>
          <t>Orçamento, Finanças e Administração Pública</t>
        </is>
      </c>
      <c r="Y355" s="2" t="inlineStr">
        <is>
          <t>Articulado</t>
        </is>
      </c>
      <c r="Z355" s="2" t="inlineStr">
        <is>
          <t>Substituição</t>
        </is>
      </c>
      <c r="AA355" s="2" t="inlineStr">
        <is>
          <t>Rejeitado(a) em Comissão</t>
        </is>
      </c>
      <c r="AB355" s="2" t="inlineStr"/>
      <c r="AC355" s="2" t="inlineStr"/>
      <c r="AD355" s="2" t="inlineStr">
        <is>
          <t>2</t>
        </is>
      </c>
      <c r="AE355" s="2" t="inlineStr">
        <is>
          <t>23515</t>
        </is>
      </c>
      <c r="AF355" s="2" t="inlineStr">
        <is>
          <t>https://www.parlamento.pt/OrcamentoEstado/Paginas/DetalhePropostaAlteracao.aspx?BID=23515</t>
        </is>
      </c>
      <c r="AG355" s="2" t="inlineStr">
        <is>
          <t>https://app.parlamento.pt/webutils/docs/doc.pdf?path=6148523063484d364c793942556b356c6443397a6158526c63793959566b6c4a544556484c3039464c7a49774d6a59794d4449314d5441774f5339515153396959325579597a5a6a4d4330774d5456684c545177596d51744f446b354d5330334d54417a5a6a6331597a566b4d6a63756347526d&amp;Fich=bce2c6c0-015a-40bd-8991-7103f75c5d27.pdf&amp;Inline=true</t>
        </is>
      </c>
      <c r="AH355" s="3" t="n">
        <v>46321.77847222222</v>
      </c>
      <c r="AI355" s="3" t="n">
        <v>46321.78055555555</v>
      </c>
      <c r="AJ355" s="2" t="inlineStr"/>
    </row>
    <row r="356">
      <c r="A356" s="2" t="n">
        <v>355</v>
      </c>
      <c r="B356" s="2" t="inlineStr">
        <is>
          <t>319C</t>
        </is>
      </c>
      <c r="C356" s="3" t="n">
        <v>45965.37291666667</v>
      </c>
      <c r="D356" s="2" t="inlineStr">
        <is>
          <t>Original</t>
        </is>
      </c>
      <c r="E356" s="2" t="inlineStr">
        <is>
          <t>CH</t>
        </is>
      </c>
      <c r="F35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56" s="2" t="inlineStr">
        <is>
          <t>Art. 123.º-A (aditamento)</t>
        </is>
      </c>
      <c r="H356" s="2" t="n"/>
      <c r="I356" s="2" t="n"/>
      <c r="J356" s="2" t="n"/>
      <c r="K356" s="2" t="n"/>
      <c r="L356" s="2" t="inlineStr">
        <is>
          <t>Artigo 123.º-A (Construção da Estação Multimodal de Santarém)</t>
        </is>
      </c>
      <c r="M356" s="4" t="n"/>
      <c r="N356" s="4" t="n"/>
      <c r="O356" s="2" t="n"/>
      <c r="P356" s="2" t="n"/>
      <c r="Q356" s="2" t="n"/>
      <c r="R356" s="2" t="n"/>
      <c r="S356" s="2" t="inlineStr">
        <is>
          <t>Rejeitado(a) em Comissão</t>
        </is>
      </c>
      <c r="T356" s="2" t="inlineStr">
        <is>
          <t>Rejeitada</t>
        </is>
      </c>
      <c r="U356" s="2" t="inlineStr">
        <is>
          <t>Favor: CH, BE, PAN; Contra: PSD, IL, CDS-PP; Abstenção: PS, L, PCP</t>
        </is>
      </c>
      <c r="V356" s="3" t="n">
        <v>45985</v>
      </c>
      <c r="W356" s="2" t="inlineStr">
        <is>
          <t>AR: https://www.parlamento.pt/OrcamentoEstado/Paginas/DetalhePropostaAlteracao.aspx?BID=23516 PDF: https://app.parlamento.pt/webutils/docs/doc.pdf?path=6148523063484d364c793942556b356c6443397a6158526c63793959566b6c4a544556484c3039464c7a49774d6a59794d4449314d5441774f5339515153396a4d5459304e44466c5a693033595749334c54526a597a6774595752684d5330344d5441794d446c6b4e4464694e4459756347526d&amp;Fich=c16441ef-7ab7-4cc8-ada1-810209d47b46.pdf&amp;Inline=true</t>
        </is>
      </c>
      <c r="X356" s="2" t="inlineStr">
        <is>
          <t>Comissão de Economia e Coesão Territorial; Infraestruturas, Mobilidade e Habitação</t>
        </is>
      </c>
      <c r="Y356" s="2" t="inlineStr">
        <is>
          <t>Articulado</t>
        </is>
      </c>
      <c r="Z356" s="2" t="inlineStr">
        <is>
          <t>Aditamento (Artigo PPL)</t>
        </is>
      </c>
      <c r="AA356" s="2" t="inlineStr">
        <is>
          <t>Rejeitado(a) em Comissão</t>
        </is>
      </c>
      <c r="AB356" s="2" t="inlineStr"/>
      <c r="AC356" s="2" t="inlineStr"/>
      <c r="AD356" s="2" t="inlineStr">
        <is>
          <t>1</t>
        </is>
      </c>
      <c r="AE356" s="2" t="inlineStr">
        <is>
          <t>23516</t>
        </is>
      </c>
      <c r="AF356" s="2" t="inlineStr">
        <is>
          <t>https://www.parlamento.pt/OrcamentoEstado/Paginas/DetalhePropostaAlteracao.aspx?BID=23516</t>
        </is>
      </c>
      <c r="AG356" s="2" t="inlineStr">
        <is>
          <t>https://app.parlamento.pt/webutils/docs/doc.pdf?path=6148523063484d364c793942556b356c6443397a6158526c63793959566b6c4a544556484c3039464c7a49774d6a59794d4449314d5441774f5339515153396a4d5459304e44466c5a693033595749334c54526a597a6774595752684d5330344d5441794d446c6b4e4464694e4459756347526d&amp;Fich=c16441ef-7ab7-4cc8-ada1-810209d47b46.pdf&amp;Inline=true</t>
        </is>
      </c>
      <c r="AH356" s="3" t="n">
        <v>46321.77847222222</v>
      </c>
      <c r="AI356" s="3" t="n">
        <v>46321.78055555555</v>
      </c>
      <c r="AJ356" s="2" t="inlineStr"/>
    </row>
    <row r="357">
      <c r="A357" s="2" t="n">
        <v>356</v>
      </c>
      <c r="B357" s="2" t="inlineStr">
        <is>
          <t>320C</t>
        </is>
      </c>
      <c r="C357" s="3" t="n">
        <v>45965.37430555555</v>
      </c>
      <c r="D357" s="2" t="inlineStr">
        <is>
          <t>Original</t>
        </is>
      </c>
      <c r="E357" s="2" t="inlineStr">
        <is>
          <t>CH</t>
        </is>
      </c>
      <c r="F35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57" s="2" t="inlineStr">
        <is>
          <t>Art. 136.º-A (aditamento)</t>
        </is>
      </c>
      <c r="H357" s="2" t="n"/>
      <c r="I357" s="2" t="n"/>
      <c r="J357" s="2" t="n"/>
      <c r="K357" s="2" t="n"/>
      <c r="L357" s="2" t="inlineStr">
        <is>
          <t>Artigo 136.º-A (Criação de gabinetes especializados em inovação dentro das autarquias)</t>
        </is>
      </c>
      <c r="M357" s="4" t="n"/>
      <c r="N357" s="4" t="n"/>
      <c r="O357" s="2" t="n"/>
      <c r="P357" s="2" t="n"/>
      <c r="Q357" s="2" t="n"/>
      <c r="R357" s="2" t="n"/>
      <c r="S357" s="2" t="inlineStr">
        <is>
          <t>Rejeitado(a) em Comissão</t>
        </is>
      </c>
      <c r="T357" s="2" t="inlineStr">
        <is>
          <t>Rejeitada</t>
        </is>
      </c>
      <c r="U357" s="2" t="inlineStr">
        <is>
          <t>Favor: CH; Contra: PSD, IL, PCP, CDS-PP; Abstenção: PS, L, BE, PAN</t>
        </is>
      </c>
      <c r="V357" s="3" t="n">
        <v>45987</v>
      </c>
      <c r="W357" s="2" t="inlineStr">
        <is>
          <t>AR: https://www.parlamento.pt/OrcamentoEstado/Paginas/DetalhePropostaAlteracao.aspx?BID=23517 PDF: https://app.parlamento.pt/webutils/docs/doc.pdf?path=6148523063484d364c793942556b356c6443397a6158526c63793959566b6c4a544556484c3039464c7a49774d6a59794d4449314d5441774f533951515338304f4759795a54566c4f53307a4e546b794c54526c4f4467744f446b30595331684d6a673259546c684f47566c595441756347526d&amp;Fich=48f2e5e9-3592-4e88-894a-a286a9a8eea0.pdf&amp;Inline=true</t>
        </is>
      </c>
      <c r="X357" s="2" t="inlineStr">
        <is>
          <t>Comissão de Economia e Coesão Territorial</t>
        </is>
      </c>
      <c r="Y357" s="2" t="inlineStr">
        <is>
          <t>Articulado</t>
        </is>
      </c>
      <c r="Z357" s="2" t="inlineStr">
        <is>
          <t>Aditamento (Artigo PPL)</t>
        </is>
      </c>
      <c r="AA357" s="2" t="inlineStr">
        <is>
          <t>Rejeitado(a) em Comissão</t>
        </is>
      </c>
      <c r="AB357" s="2" t="inlineStr"/>
      <c r="AC357" s="2" t="inlineStr"/>
      <c r="AD357" s="2" t="inlineStr">
        <is>
          <t>1</t>
        </is>
      </c>
      <c r="AE357" s="2" t="inlineStr">
        <is>
          <t>23517</t>
        </is>
      </c>
      <c r="AF357" s="2" t="inlineStr">
        <is>
          <t>https://www.parlamento.pt/OrcamentoEstado/Paginas/DetalhePropostaAlteracao.aspx?BID=23517</t>
        </is>
      </c>
      <c r="AG357" s="2" t="inlineStr">
        <is>
          <t>https://app.parlamento.pt/webutils/docs/doc.pdf?path=6148523063484d364c793942556b356c6443397a6158526c63793959566b6c4a544556484c3039464c7a49774d6a59794d4449314d5441774f533951515338304f4759795a54566c4f53307a4e546b794c54526c4f4467744f446b30595331684d6a673259546c684f47566c595441756347526d&amp;Fich=48f2e5e9-3592-4e88-894a-a286a9a8eea0.pdf&amp;Inline=true</t>
        </is>
      </c>
      <c r="AH357" s="3" t="n">
        <v>46321.77847222222</v>
      </c>
      <c r="AI357" s="3" t="n">
        <v>46321.78055555555</v>
      </c>
      <c r="AJ357" s="2" t="inlineStr"/>
    </row>
    <row r="358">
      <c r="A358" s="2" t="n">
        <v>357</v>
      </c>
      <c r="B358" s="2" t="inlineStr">
        <is>
          <t>321C</t>
        </is>
      </c>
      <c r="C358" s="3" t="n">
        <v>45965.37569444445</v>
      </c>
      <c r="D358" s="2" t="inlineStr">
        <is>
          <t>Original</t>
        </is>
      </c>
      <c r="E358" s="2" t="inlineStr">
        <is>
          <t>CH</t>
        </is>
      </c>
      <c r="F35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58" s="2" t="inlineStr">
        <is>
          <t>Art. 136.º-A (aditamento)</t>
        </is>
      </c>
      <c r="H358" s="2" t="n"/>
      <c r="I358" s="2" t="n"/>
      <c r="J358" s="2" t="n"/>
      <c r="K358" s="2" t="n"/>
      <c r="L358" s="2" t="inlineStr">
        <is>
          <t>Artigo 136.º-A (Execução efetiva da contribuição extraordinária das empresas de tecnologias da saúde e afetação integral ao Fundo de Inovação em Saúde)</t>
        </is>
      </c>
      <c r="M358" s="4" t="n"/>
      <c r="N358" s="4" t="n"/>
      <c r="O358" s="2" t="n"/>
      <c r="P358" s="2" t="n"/>
      <c r="Q358" s="2" t="n"/>
      <c r="R358" s="2" t="n"/>
      <c r="S358" s="2" t="inlineStr">
        <is>
          <t>Rejeitado(a) em Comissão</t>
        </is>
      </c>
      <c r="T358" s="2" t="inlineStr">
        <is>
          <t>Rejeitada</t>
        </is>
      </c>
      <c r="U358" s="2" t="inlineStr">
        <is>
          <t>Favor: CH, BE; Contra: PSD, IL, PCP, CDS-PP; Abstenção: PS, L, PAN</t>
        </is>
      </c>
      <c r="V358" s="3" t="n">
        <v>45987</v>
      </c>
      <c r="W358" s="2" t="inlineStr">
        <is>
          <t>AR: https://www.parlamento.pt/OrcamentoEstado/Paginas/DetalhePropostaAlteracao.aspx?BID=23518 PDF: https://app.parlamento.pt/webutils/docs/doc.pdf?path=6148523063484d364c793942556b356c6443397a6158526c63793959566b6c4a544556484c3039464c7a49774d6a59794d4449314d5441774f5339515153396d596a4d334d4455794e79307a4d5467324c5451324d6a63744f446b785a5331685a5463774e5459324f4755355a5451756347526d&amp;Fich=fb370527-3186-4627-891e-ae705668e9e4.pdf&amp;Inline=true</t>
        </is>
      </c>
      <c r="X358" s="2" t="inlineStr">
        <is>
          <t>Comissão de Economia e Coesão Territorial; Saúde</t>
        </is>
      </c>
      <c r="Y358" s="2" t="inlineStr">
        <is>
          <t>Articulado</t>
        </is>
      </c>
      <c r="Z358" s="2" t="inlineStr">
        <is>
          <t>Aditamento (Artigo PPL)</t>
        </is>
      </c>
      <c r="AA358" s="2" t="inlineStr">
        <is>
          <t>Rejeitado(a) em Comissão</t>
        </is>
      </c>
      <c r="AB358" s="2" t="inlineStr"/>
      <c r="AC358" s="2" t="inlineStr"/>
      <c r="AD358" s="2" t="inlineStr">
        <is>
          <t>1</t>
        </is>
      </c>
      <c r="AE358" s="2" t="inlineStr">
        <is>
          <t>23518</t>
        </is>
      </c>
      <c r="AF358" s="2" t="inlineStr">
        <is>
          <t>https://www.parlamento.pt/OrcamentoEstado/Paginas/DetalhePropostaAlteracao.aspx?BID=23518</t>
        </is>
      </c>
      <c r="AG358" s="2" t="inlineStr">
        <is>
          <t>https://app.parlamento.pt/webutils/docs/doc.pdf?path=6148523063484d364c793942556b356c6443397a6158526c63793959566b6c4a544556484c3039464c7a49774d6a59794d4449314d5441774f5339515153396d596a4d334d4455794e79307a4d5467324c5451324d6a63744f446b785a5331685a5463774e5459324f4755355a5451756347526d&amp;Fich=fb370527-3186-4627-891e-ae705668e9e4.pdf&amp;Inline=true</t>
        </is>
      </c>
      <c r="AH358" s="3" t="n">
        <v>46321.77847222222</v>
      </c>
      <c r="AI358" s="3" t="n">
        <v>46321.78055555555</v>
      </c>
      <c r="AJ358" s="2" t="inlineStr"/>
    </row>
    <row r="359">
      <c r="A359" s="2" t="n">
        <v>358</v>
      </c>
      <c r="B359" s="2" t="inlineStr">
        <is>
          <t>322C</t>
        </is>
      </c>
      <c r="C359" s="3" t="n">
        <v>45965.39513888889</v>
      </c>
      <c r="D359" s="2" t="inlineStr">
        <is>
          <t>Original</t>
        </is>
      </c>
      <c r="E359" s="2" t="inlineStr">
        <is>
          <t>CH</t>
        </is>
      </c>
      <c r="F35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59" s="2" t="inlineStr">
        <is>
          <t>Art. 19.º-A (aditamento)</t>
        </is>
      </c>
      <c r="H359" s="2" t="n"/>
      <c r="I359" s="2" t="n"/>
      <c r="J359" s="2" t="n"/>
      <c r="K359" s="2" t="n"/>
      <c r="L359" s="2" t="inlineStr">
        <is>
          <t>Artigo 19.º-A (Construção do novo Estabelecimento Prisional do Algarve)</t>
        </is>
      </c>
      <c r="M359" s="4" t="n"/>
      <c r="N359" s="4" t="n"/>
      <c r="O359" s="2" t="n"/>
      <c r="P359" s="2" t="n"/>
      <c r="Q359" s="2" t="n"/>
      <c r="R359" s="2" t="n"/>
      <c r="S359" s="2" t="inlineStr">
        <is>
          <t>Rejeitado(a) em Comissão</t>
        </is>
      </c>
      <c r="T359" s="2" t="inlineStr">
        <is>
          <t>Rejeitada</t>
        </is>
      </c>
      <c r="U359" s="2" t="inlineStr">
        <is>
          <t>Favor: CH, BE, PAN; Contra: PSD, IL, CDS-PP; Abstenção: PS, L, PCP</t>
        </is>
      </c>
      <c r="V359" s="3" t="n">
        <v>45981</v>
      </c>
      <c r="W359" s="2" t="inlineStr">
        <is>
          <t>AR: https://www.parlamento.pt/OrcamentoEstado/Paginas/DetalhePropostaAlteracao.aspx?BID=23519 PDF: https://app.parlamento.pt/webutils/docs/doc.pdf?path=6148523063484d364c793942556b356c6443397a6158526c63793959566b6c4a544556484c3039464c7a49774d6a59794d4449314d5441774f5339515153387a4f545669597a417a595330344e5441354c54517a5a4449744f4759344d79316a4d5463794d4459324e324a6d595751756347526d&amp;Fich=395bc03a-8509-43d2-8f83-c1720667bfad.pdf&amp;Inline=true</t>
        </is>
      </c>
      <c r="X359" s="2" t="inlineStr">
        <is>
          <t>Assuntos Constitucionais, Direitos, Liberdades e Garantias; Infraestruturas, Mobilidade e Habitação</t>
        </is>
      </c>
      <c r="Y359" s="2" t="inlineStr">
        <is>
          <t>Articulado</t>
        </is>
      </c>
      <c r="Z359" s="2" t="inlineStr">
        <is>
          <t>Aditamento (Artigo PPL)</t>
        </is>
      </c>
      <c r="AA359" s="2" t="inlineStr">
        <is>
          <t>Rejeitado(a) em Comissão</t>
        </is>
      </c>
      <c r="AB359" s="2" t="inlineStr"/>
      <c r="AC359" s="2" t="inlineStr"/>
      <c r="AD359" s="2" t="inlineStr">
        <is>
          <t>1</t>
        </is>
      </c>
      <c r="AE359" s="2" t="inlineStr">
        <is>
          <t>23519</t>
        </is>
      </c>
      <c r="AF359" s="2" t="inlineStr">
        <is>
          <t>https://www.parlamento.pt/OrcamentoEstado/Paginas/DetalhePropostaAlteracao.aspx?BID=23519</t>
        </is>
      </c>
      <c r="AG359" s="2" t="inlineStr">
        <is>
          <t>https://app.parlamento.pt/webutils/docs/doc.pdf?path=6148523063484d364c793942556b356c6443397a6158526c63793959566b6c4a544556484c3039464c7a49774d6a59794d4449314d5441774f5339515153387a4f545669597a417a595330344e5441354c54517a5a4449744f4759344d79316a4d5463794d4459324e324a6d595751756347526d&amp;Fich=395bc03a-8509-43d2-8f83-c1720667bfad.pdf&amp;Inline=true</t>
        </is>
      </c>
      <c r="AH359" s="3" t="n">
        <v>46321.77847222222</v>
      </c>
      <c r="AI359" s="3" t="n">
        <v>46321.78055555555</v>
      </c>
      <c r="AJ359" s="2" t="inlineStr"/>
    </row>
    <row r="360">
      <c r="A360" s="2" t="n">
        <v>359</v>
      </c>
      <c r="B360" s="2" t="inlineStr">
        <is>
          <t>323C</t>
        </is>
      </c>
      <c r="C360" s="3" t="n">
        <v>45965.39583333334</v>
      </c>
      <c r="D360" s="2" t="inlineStr">
        <is>
          <t>Original</t>
        </is>
      </c>
      <c r="E360" s="2" t="inlineStr">
        <is>
          <t>CH</t>
        </is>
      </c>
      <c r="F36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60" s="2" t="inlineStr">
        <is>
          <t>Art. 19.º-A (aditamento)</t>
        </is>
      </c>
      <c r="H360" s="2" t="n"/>
      <c r="I360" s="2" t="n"/>
      <c r="J360" s="2" t="n"/>
      <c r="K360" s="2" t="n"/>
      <c r="L360" s="2" t="inlineStr">
        <is>
          <t>Artigo 19.º-A (Construção de novo Quartel da GNR em Benavente)</t>
        </is>
      </c>
      <c r="M360" s="4" t="n"/>
      <c r="N360" s="4" t="n"/>
      <c r="O360" s="2" t="n"/>
      <c r="P360" s="2" t="n"/>
      <c r="Q360" s="2" t="n"/>
      <c r="R360" s="2" t="n"/>
      <c r="S360" s="2" t="inlineStr">
        <is>
          <t>Rejeitado(a) em Comissão</t>
        </is>
      </c>
      <c r="T360" s="2" t="inlineStr">
        <is>
          <t>Rejeitada</t>
        </is>
      </c>
      <c r="U360" s="2" t="inlineStr">
        <is>
          <t>Favor: CH, IL, BE, PAN; Contra: PSD, CDS-PP; Abstenção: PS, L, PCP</t>
        </is>
      </c>
      <c r="V360" s="3" t="n">
        <v>45981</v>
      </c>
      <c r="W360" s="2" t="inlineStr">
        <is>
          <t>AR: https://www.parlamento.pt/OrcamentoEstado/Paginas/DetalhePropostaAlteracao.aspx?BID=23520 PDF: https://app.parlamento.pt/webutils/docs/doc.pdf?path=6148523063484d364c793942556b356c6443397a6158526c63793959566b6c4a544556484c3039464c7a49774d6a59794d4449314d5441774f53395151533969595759324d4451334f4330355a6a41784c54517a4e4745744f546732596930304f57566a5a6d45334e545935593259756347526d&amp;Fich=baf60478-9f01-434a-986b-49ecfa7569cf.pdf&amp;Inline=true</t>
        </is>
      </c>
      <c r="X360" s="2" t="inlineStr">
        <is>
          <t>Assuntos Constitucionais, Direitos, Liberdades e Garantias; Infraestruturas, Mobilidade e Habitação</t>
        </is>
      </c>
      <c r="Y360" s="2" t="inlineStr">
        <is>
          <t>Articulado</t>
        </is>
      </c>
      <c r="Z360" s="2" t="inlineStr">
        <is>
          <t>Aditamento (Artigo PPL)</t>
        </is>
      </c>
      <c r="AA360" s="2" t="inlineStr">
        <is>
          <t>Rejeitado(a) em Comissão</t>
        </is>
      </c>
      <c r="AB360" s="2" t="inlineStr"/>
      <c r="AC360" s="2" t="inlineStr"/>
      <c r="AD360" s="2" t="inlineStr">
        <is>
          <t>1</t>
        </is>
      </c>
      <c r="AE360" s="2" t="inlineStr">
        <is>
          <t>23520</t>
        </is>
      </c>
      <c r="AF360" s="2" t="inlineStr">
        <is>
          <t>https://www.parlamento.pt/OrcamentoEstado/Paginas/DetalhePropostaAlteracao.aspx?BID=23520</t>
        </is>
      </c>
      <c r="AG360" s="2" t="inlineStr">
        <is>
          <t>https://app.parlamento.pt/webutils/docs/doc.pdf?path=6148523063484d364c793942556b356c6443397a6158526c63793959566b6c4a544556484c3039464c7a49774d6a59794d4449314d5441774f53395151533969595759324d4451334f4330355a6a41784c54517a4e4745744f546732596930304f57566a5a6d45334e545935593259756347526d&amp;Fich=baf60478-9f01-434a-986b-49ecfa7569cf.pdf&amp;Inline=true</t>
        </is>
      </c>
      <c r="AH360" s="3" t="n">
        <v>46321.77847222222</v>
      </c>
      <c r="AI360" s="3" t="n">
        <v>46321.78055555555</v>
      </c>
      <c r="AJ360" s="2" t="inlineStr"/>
    </row>
    <row r="361">
      <c r="A361" s="2" t="n">
        <v>360</v>
      </c>
      <c r="B361" s="2" t="inlineStr">
        <is>
          <t>324C</t>
        </is>
      </c>
      <c r="C361" s="3" t="n">
        <v>45965.39722222222</v>
      </c>
      <c r="D361" s="2" t="inlineStr">
        <is>
          <t>Original</t>
        </is>
      </c>
      <c r="E361" s="2" t="inlineStr">
        <is>
          <t>CH</t>
        </is>
      </c>
      <c r="F36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61" s="2" t="inlineStr">
        <is>
          <t>Art. 19.º-A (aditamento)</t>
        </is>
      </c>
      <c r="H361" s="2" t="n"/>
      <c r="I361" s="2" t="n"/>
      <c r="J361" s="2" t="n"/>
      <c r="K361" s="2" t="n"/>
      <c r="L361" s="2" t="inlineStr">
        <is>
          <t>Artigo 19.º-A (Construção de novo Quartel da GNR em S. Bartolomeu de Messines)</t>
        </is>
      </c>
      <c r="M361" s="4" t="n"/>
      <c r="N361" s="4" t="n"/>
      <c r="O361" s="2" t="n"/>
      <c r="P361" s="2" t="n"/>
      <c r="Q361" s="2" t="n"/>
      <c r="R361" s="2" t="n"/>
      <c r="S361" s="2" t="inlineStr">
        <is>
          <t>Rejeitado(a) em Comissão</t>
        </is>
      </c>
      <c r="T361" s="2" t="inlineStr">
        <is>
          <t>Rejeitada</t>
        </is>
      </c>
      <c r="U361" s="2" t="inlineStr">
        <is>
          <t>Favor: CH, IL, BE, PAN; Contra: PSD, CDS-PP; Abstenção: PS, L, PCP</t>
        </is>
      </c>
      <c r="V361" s="3" t="n">
        <v>45981</v>
      </c>
      <c r="W361" s="2" t="inlineStr">
        <is>
          <t>AR: https://www.parlamento.pt/OrcamentoEstado/Paginas/DetalhePropostaAlteracao.aspx?BID=23521 PDF: https://app.parlamento.pt/webutils/docs/doc.pdf?path=6148523063484d364c793942556b356c6443397a6158526c63793959566b6c4a544556484c3039464c7a49774d6a59794d4449314d5441774f5339515153396b5a44426d5a4746684e43316d5a6a67774c54526a4f546b744f4441334e7930325a4459774d446c694d32517759546b756347526d&amp;Fich=dd0fdaa4-ff80-4c99-8077-6d6009b3d0a9.pdf&amp;Inline=true</t>
        </is>
      </c>
      <c r="X361" s="2" t="inlineStr">
        <is>
          <t>Assuntos Constitucionais, Direitos, Liberdades e Garantias; Infraestruturas, Mobilidade e Habitação</t>
        </is>
      </c>
      <c r="Y361" s="2" t="inlineStr">
        <is>
          <t>Articulado</t>
        </is>
      </c>
      <c r="Z361" s="2" t="inlineStr">
        <is>
          <t>Aditamento (Artigo PPL)</t>
        </is>
      </c>
      <c r="AA361" s="2" t="inlineStr">
        <is>
          <t>Rejeitado(a) em Comissão</t>
        </is>
      </c>
      <c r="AB361" s="2" t="inlineStr"/>
      <c r="AC361" s="2" t="inlineStr"/>
      <c r="AD361" s="2" t="inlineStr">
        <is>
          <t>1</t>
        </is>
      </c>
      <c r="AE361" s="2" t="inlineStr">
        <is>
          <t>23521</t>
        </is>
      </c>
      <c r="AF361" s="2" t="inlineStr">
        <is>
          <t>https://www.parlamento.pt/OrcamentoEstado/Paginas/DetalhePropostaAlteracao.aspx?BID=23521</t>
        </is>
      </c>
      <c r="AG361" s="2" t="inlineStr">
        <is>
          <t>https://app.parlamento.pt/webutils/docs/doc.pdf?path=6148523063484d364c793942556b356c6443397a6158526c63793959566b6c4a544556484c3039464c7a49774d6a59794d4449314d5441774f5339515153396b5a44426d5a4746684e43316d5a6a67774c54526a4f546b744f4441334e7930325a4459774d446c694d32517759546b756347526d&amp;Fich=dd0fdaa4-ff80-4c99-8077-6d6009b3d0a9.pdf&amp;Inline=true</t>
        </is>
      </c>
      <c r="AH361" s="3" t="n">
        <v>46321.77847222222</v>
      </c>
      <c r="AI361" s="3" t="n">
        <v>46321.78055555555</v>
      </c>
      <c r="AJ361" s="2" t="inlineStr"/>
    </row>
    <row r="362">
      <c r="A362" s="2" t="n">
        <v>361</v>
      </c>
      <c r="B362" s="2" t="inlineStr">
        <is>
          <t>325C</t>
        </is>
      </c>
      <c r="C362" s="3" t="n">
        <v>45965.39791666667</v>
      </c>
      <c r="D362" s="2" t="inlineStr">
        <is>
          <t>Original</t>
        </is>
      </c>
      <c r="E362" s="2" t="inlineStr">
        <is>
          <t>CH</t>
        </is>
      </c>
      <c r="F36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62" s="2" t="inlineStr">
        <is>
          <t>Art. 126.º-A (aditamento)</t>
        </is>
      </c>
      <c r="H362" s="2" t="n"/>
      <c r="I362" s="2" t="n"/>
      <c r="J362" s="2" t="n"/>
      <c r="K362" s="2" t="n"/>
      <c r="L362" s="2" t="inlineStr">
        <is>
          <t>Artigo 126.º-A (Despoluição do Rio Almansor)</t>
        </is>
      </c>
      <c r="M362" s="4" t="n"/>
      <c r="N362" s="4" t="n"/>
      <c r="O362" s="2" t="n"/>
      <c r="P362" s="2" t="n"/>
      <c r="Q362" s="2" t="n"/>
      <c r="R362" s="2" t="n"/>
      <c r="S362" s="2" t="inlineStr">
        <is>
          <t>Rejeitado(a) em Comissão</t>
        </is>
      </c>
      <c r="T362" s="2" t="inlineStr">
        <is>
          <t>Rejeitada</t>
        </is>
      </c>
      <c r="U362" s="2" t="inlineStr">
        <is>
          <t>Favor: CH, IL, BE, PAN; Contra: PSD, CDS-PP; Abstenção: PS, L, PCP</t>
        </is>
      </c>
      <c r="V362" s="3" t="n">
        <v>45985</v>
      </c>
      <c r="W362" s="2" t="inlineStr">
        <is>
          <t>AR: https://www.parlamento.pt/OrcamentoEstado/Paginas/DetalhePropostaAlteracao.aspx?BID=23522 PDF: https://app.parlamento.pt/webutils/docs/doc.pdf?path=6148523063484d364c793942556b356c6443397a6158526c63793959566b6c4a544556484c3039464c7a49774d6a59794d4449314d5441774f5339515153396d4d7a597a4e4468694d7930324d54686c4c5452695a5751744f5464694f4330304d4455314d6a49354e6a56694e4759756347526d&amp;Fich=f36348b3-618e-4bed-97b8-405522965b4f.pdf&amp;Inline=true</t>
        </is>
      </c>
      <c r="X362" s="2" t="inlineStr">
        <is>
          <t>Ambiente e Energia</t>
        </is>
      </c>
      <c r="Y362" s="2" t="inlineStr">
        <is>
          <t>Articulado</t>
        </is>
      </c>
      <c r="Z362" s="2" t="inlineStr">
        <is>
          <t>Aditamento (Artigo PPL)</t>
        </is>
      </c>
      <c r="AA362" s="2" t="inlineStr">
        <is>
          <t>Rejeitado(a) em Comissão</t>
        </is>
      </c>
      <c r="AB362" s="2" t="inlineStr"/>
      <c r="AC362" s="2" t="inlineStr"/>
      <c r="AD362" s="2" t="inlineStr">
        <is>
          <t>1</t>
        </is>
      </c>
      <c r="AE362" s="2" t="inlineStr">
        <is>
          <t>23522</t>
        </is>
      </c>
      <c r="AF362" s="2" t="inlineStr">
        <is>
          <t>https://www.parlamento.pt/OrcamentoEstado/Paginas/DetalhePropostaAlteracao.aspx?BID=23522</t>
        </is>
      </c>
      <c r="AG362" s="2" t="inlineStr">
        <is>
          <t>https://app.parlamento.pt/webutils/docs/doc.pdf?path=6148523063484d364c793942556b356c6443397a6158526c63793959566b6c4a544556484c3039464c7a49774d6a59794d4449314d5441774f5339515153396d4d7a597a4e4468694d7930324d54686c4c5452695a5751744f5464694f4330304d4455314d6a49354e6a56694e4759756347526d&amp;Fich=f36348b3-618e-4bed-97b8-405522965b4f.pdf&amp;Inline=true</t>
        </is>
      </c>
      <c r="AH362" s="3" t="n">
        <v>46321.77847222222</v>
      </c>
      <c r="AI362" s="3" t="n">
        <v>46321.78055555555</v>
      </c>
      <c r="AJ362" s="2" t="inlineStr"/>
    </row>
    <row r="363">
      <c r="A363" s="2" t="n">
        <v>362</v>
      </c>
      <c r="B363" s="2" t="inlineStr">
        <is>
          <t>326C</t>
        </is>
      </c>
      <c r="C363" s="3" t="n">
        <v>45965.39791666667</v>
      </c>
      <c r="D363" s="2" t="inlineStr">
        <is>
          <t>Original</t>
        </is>
      </c>
      <c r="E363" s="2" t="inlineStr">
        <is>
          <t>CH</t>
        </is>
      </c>
      <c r="F36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63" s="2" t="inlineStr">
        <is>
          <t>Art. 19.º-A (aditamento)</t>
        </is>
      </c>
      <c r="H363" s="2" t="n"/>
      <c r="I363" s="2" t="n"/>
      <c r="J363" s="2" t="n"/>
      <c r="K363" s="2" t="n"/>
      <c r="L363" s="2" t="inlineStr">
        <is>
          <t>Artigo 19.º-A (Construção de novo Posto da GNR em Alcanede)</t>
        </is>
      </c>
      <c r="M363" s="4" t="n"/>
      <c r="N363" s="4" t="n"/>
      <c r="O363" s="2" t="n"/>
      <c r="P363" s="2" t="n"/>
      <c r="Q363" s="2" t="n"/>
      <c r="R363" s="2" t="n"/>
      <c r="S363" s="2" t="inlineStr">
        <is>
          <t>Rejeitado(a) em Comissão</t>
        </is>
      </c>
      <c r="T363" s="2" t="inlineStr">
        <is>
          <t>Rejeitada</t>
        </is>
      </c>
      <c r="U363" s="2" t="inlineStr">
        <is>
          <t>Favor: CH, IL, BE, PAN; Contra: PSD, CDS-PP; Abstenção: PS, L, PCP</t>
        </is>
      </c>
      <c r="V363" s="3" t="n">
        <v>45981</v>
      </c>
      <c r="W363" s="2" t="inlineStr">
        <is>
          <t>AR: https://www.parlamento.pt/OrcamentoEstado/Paginas/DetalhePropostaAlteracao.aspx?BID=23523 PDF: https://app.parlamento.pt/webutils/docs/doc.pdf?path=6148523063484d364c793942556b356c6443397a6158526c63793959566b6c4a544556484c3039464c7a49774d6a59794d4449314d5441774f533951515339695a6d4a6a4d6a55324d53316d5a4441794c545133597a597459574a6b4f43316b4e44466b4f4755304d7a466d4e4459756347526d&amp;Fich=bfbc2561-fd02-47c6-abd8-d41d8e431f46.pdf&amp;Inline=true</t>
        </is>
      </c>
      <c r="X363" s="2" t="inlineStr">
        <is>
          <t>Assuntos Constitucionais, Direitos, Liberdades e Garantias; Infraestruturas, Mobilidade e Habitação</t>
        </is>
      </c>
      <c r="Y363" s="2" t="inlineStr">
        <is>
          <t>Articulado</t>
        </is>
      </c>
      <c r="Z363" s="2" t="inlineStr">
        <is>
          <t>Aditamento (Artigo PPL)</t>
        </is>
      </c>
      <c r="AA363" s="2" t="inlineStr">
        <is>
          <t>Rejeitado(a) em Comissão</t>
        </is>
      </c>
      <c r="AB363" s="2" t="inlineStr"/>
      <c r="AC363" s="2" t="inlineStr"/>
      <c r="AD363" s="2" t="inlineStr">
        <is>
          <t>1</t>
        </is>
      </c>
      <c r="AE363" s="2" t="inlineStr">
        <is>
          <t>23523</t>
        </is>
      </c>
      <c r="AF363" s="2" t="inlineStr">
        <is>
          <t>https://www.parlamento.pt/OrcamentoEstado/Paginas/DetalhePropostaAlteracao.aspx?BID=23523</t>
        </is>
      </c>
      <c r="AG363" s="2" t="inlineStr">
        <is>
          <t>https://app.parlamento.pt/webutils/docs/doc.pdf?path=6148523063484d364c793942556b356c6443397a6158526c63793959566b6c4a544556484c3039464c7a49774d6a59794d4449314d5441774f533951515339695a6d4a6a4d6a55324d53316d5a4441794c545133597a597459574a6b4f43316b4e44466b4f4755304d7a466d4e4459756347526d&amp;Fich=bfbc2561-fd02-47c6-abd8-d41d8e431f46.pdf&amp;Inline=true</t>
        </is>
      </c>
      <c r="AH363" s="3" t="n">
        <v>46321.77847222222</v>
      </c>
      <c r="AI363" s="3" t="n">
        <v>46321.78055555555</v>
      </c>
      <c r="AJ363" s="2" t="inlineStr"/>
    </row>
    <row r="364">
      <c r="A364" s="2" t="n">
        <v>363</v>
      </c>
      <c r="B364" s="2" t="inlineStr">
        <is>
          <t>327C</t>
        </is>
      </c>
      <c r="C364" s="3" t="n">
        <v>45965.39861111111</v>
      </c>
      <c r="D364" s="2" t="inlineStr">
        <is>
          <t>Original</t>
        </is>
      </c>
      <c r="E364" s="2" t="inlineStr">
        <is>
          <t>CH</t>
        </is>
      </c>
      <c r="F36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64" s="2" t="inlineStr">
        <is>
          <t>Art. 126.º-A (aditamento)</t>
        </is>
      </c>
      <c r="H364" s="2" t="n"/>
      <c r="I364" s="2" t="n"/>
      <c r="J364" s="2" t="n"/>
      <c r="K364" s="2" t="n"/>
      <c r="L364" s="2" t="inlineStr">
        <is>
          <t>Artigo 126.º-A (Estudo de viabilidade sobre a energia de fusão em Portugal)</t>
        </is>
      </c>
      <c r="M364" s="4" t="n"/>
      <c r="N364" s="4" t="n"/>
      <c r="O364" s="2" t="n"/>
      <c r="P364" s="2" t="n"/>
      <c r="Q364" s="2" t="n"/>
      <c r="R364" s="2" t="n"/>
      <c r="S364" s="2" t="inlineStr">
        <is>
          <t>Rejeitado(a) em Comissão</t>
        </is>
      </c>
      <c r="T364" s="2" t="inlineStr">
        <is>
          <t>Rejeitada</t>
        </is>
      </c>
      <c r="U364" s="2" t="inlineStr">
        <is>
          <t>Favor: CH; Contra: PSD, IL, PCP, CDS-PP, BE, PAN; Abstenção: PS, L</t>
        </is>
      </c>
      <c r="V364" s="3" t="n">
        <v>45985</v>
      </c>
      <c r="W364" s="2" t="inlineStr">
        <is>
          <t>AR: https://www.parlamento.pt/OrcamentoEstado/Paginas/DetalhePropostaAlteracao.aspx?BID=23524 PDF: https://app.parlamento.pt/webutils/docs/doc.pdf?path=6148523063484d364c793942556b356c6443397a6158526c63793959566b6c4a544556484c3039464c7a49774d6a59794d4449314d5441774f533951515339695a546c6b5a5445344e793168596a4d304c54517a4e4449744f44597a4e6930774e546b7a4d4441304f4759335a6a63756347526d&amp;Fich=be9de187-ab34-4342-8636-05930048f7f7.pdf&amp;Inline=true</t>
        </is>
      </c>
      <c r="X364" s="2" t="inlineStr">
        <is>
          <t>Ambiente e Energia</t>
        </is>
      </c>
      <c r="Y364" s="2" t="inlineStr">
        <is>
          <t>Articulado</t>
        </is>
      </c>
      <c r="Z364" s="2" t="inlineStr">
        <is>
          <t>Aditamento (Artigo PPL)</t>
        </is>
      </c>
      <c r="AA364" s="2" t="inlineStr">
        <is>
          <t>Rejeitado(a) em Comissão</t>
        </is>
      </c>
      <c r="AB364" s="2" t="inlineStr"/>
      <c r="AC364" s="2" t="inlineStr"/>
      <c r="AD364" s="2" t="inlineStr">
        <is>
          <t>1</t>
        </is>
      </c>
      <c r="AE364" s="2" t="inlineStr">
        <is>
          <t>23524</t>
        </is>
      </c>
      <c r="AF364" s="2" t="inlineStr">
        <is>
          <t>https://www.parlamento.pt/OrcamentoEstado/Paginas/DetalhePropostaAlteracao.aspx?BID=23524</t>
        </is>
      </c>
      <c r="AG364" s="2" t="inlineStr">
        <is>
          <t>https://app.parlamento.pt/webutils/docs/doc.pdf?path=6148523063484d364c793942556b356c6443397a6158526c63793959566b6c4a544556484c3039464c7a49774d6a59794d4449314d5441774f533951515339695a546c6b5a5445344e793168596a4d304c54517a4e4449744f44597a4e6930774e546b7a4d4441304f4759335a6a63756347526d&amp;Fich=be9de187-ab34-4342-8636-05930048f7f7.pdf&amp;Inline=true</t>
        </is>
      </c>
      <c r="AH364" s="3" t="n">
        <v>46321.77847222222</v>
      </c>
      <c r="AI364" s="3" t="n">
        <v>46321.78055555555</v>
      </c>
      <c r="AJ364" s="2" t="inlineStr"/>
    </row>
    <row r="365">
      <c r="A365" s="2" t="n">
        <v>364</v>
      </c>
      <c r="B365" s="2" t="inlineStr">
        <is>
          <t>328C</t>
        </is>
      </c>
      <c r="C365" s="3" t="n">
        <v>45965.39930555555</v>
      </c>
      <c r="D365" s="2" t="inlineStr">
        <is>
          <t>Original</t>
        </is>
      </c>
      <c r="E365" s="2" t="inlineStr">
        <is>
          <t>CH</t>
        </is>
      </c>
      <c r="F36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65" s="2" t="inlineStr">
        <is>
          <t>Art. 19.º-A (aditamento)</t>
        </is>
      </c>
      <c r="H365" s="2" t="n"/>
      <c r="I365" s="2" t="n"/>
      <c r="J365" s="2" t="n"/>
      <c r="K365" s="2" t="n"/>
      <c r="L365" s="2" t="inlineStr">
        <is>
          <t>Artigo 19.º-A (Construção de novo Posto da GNR em Aljezur)</t>
        </is>
      </c>
      <c r="M365" s="4" t="n"/>
      <c r="N365" s="4" t="n"/>
      <c r="O365" s="2" t="n"/>
      <c r="P365" s="2" t="n"/>
      <c r="Q365" s="2" t="n"/>
      <c r="R365" s="2" t="n"/>
      <c r="S365" s="2" t="inlineStr">
        <is>
          <t>Rejeitado(a) em Comissão</t>
        </is>
      </c>
      <c r="T365" s="2" t="inlineStr">
        <is>
          <t>Rejeitada</t>
        </is>
      </c>
      <c r="U365" s="2" t="inlineStr">
        <is>
          <t>Favor: CH, IL, BE, PAN; Contra: PSD, CDS-PP; Abstenção: PS, L, PCP</t>
        </is>
      </c>
      <c r="V365" s="3" t="n">
        <v>45981</v>
      </c>
      <c r="W365" s="2" t="inlineStr">
        <is>
          <t>AR: https://www.parlamento.pt/OrcamentoEstado/Paginas/DetalhePropostaAlteracao.aspx?BID=23525 PDF: https://app.parlamento.pt/webutils/docs/doc.pdf?path=6148523063484d364c793942556b356c6443397a6158526c63793959566b6c4a544556484c3039464c7a49774d6a59794d4449314d5441774f533951515338334d57526c4d6a51774d43316d4f5445794c5451784d6a4174596a5669595331684d6a6b774d4467304f544268597a55756347526d&amp;Fich=71de2400-f912-4120-b5ba-a29008490ac5.pdf&amp;Inline=true</t>
        </is>
      </c>
      <c r="X365" s="2" t="inlineStr">
        <is>
          <t>Assuntos Constitucionais, Direitos, Liberdades e Garantias; Infraestruturas, Mobilidade e Habitação</t>
        </is>
      </c>
      <c r="Y365" s="2" t="inlineStr">
        <is>
          <t>Articulado</t>
        </is>
      </c>
      <c r="Z365" s="2" t="inlineStr">
        <is>
          <t>Aditamento (Artigo PPL)</t>
        </is>
      </c>
      <c r="AA365" s="2" t="inlineStr">
        <is>
          <t>Rejeitado(a) em Comissão</t>
        </is>
      </c>
      <c r="AB365" s="2" t="inlineStr"/>
      <c r="AC365" s="2" t="inlineStr"/>
      <c r="AD365" s="2" t="inlineStr">
        <is>
          <t>1</t>
        </is>
      </c>
      <c r="AE365" s="2" t="inlineStr">
        <is>
          <t>23525</t>
        </is>
      </c>
      <c r="AF365" s="2" t="inlineStr">
        <is>
          <t>https://www.parlamento.pt/OrcamentoEstado/Paginas/DetalhePropostaAlteracao.aspx?BID=23525</t>
        </is>
      </c>
      <c r="AG365" s="2" t="inlineStr">
        <is>
          <t>https://app.parlamento.pt/webutils/docs/doc.pdf?path=6148523063484d364c793942556b356c6443397a6158526c63793959566b6c4a544556484c3039464c7a49774d6a59794d4449314d5441774f533951515338334d57526c4d6a51774d43316d4f5445794c5451784d6a4174596a5669595331684d6a6b774d4467304f544268597a55756347526d&amp;Fich=71de2400-f912-4120-b5ba-a29008490ac5.pdf&amp;Inline=true</t>
        </is>
      </c>
      <c r="AH365" s="3" t="n">
        <v>46321.77847222222</v>
      </c>
      <c r="AI365" s="3" t="n">
        <v>46321.78055555555</v>
      </c>
      <c r="AJ365" s="2" t="inlineStr"/>
    </row>
    <row r="366">
      <c r="A366" s="2" t="n">
        <v>365</v>
      </c>
      <c r="B366" s="2" t="inlineStr">
        <is>
          <t>329C</t>
        </is>
      </c>
      <c r="C366" s="3" t="n">
        <v>45965.4</v>
      </c>
      <c r="D366" s="2" t="inlineStr">
        <is>
          <t>Original</t>
        </is>
      </c>
      <c r="E366" s="2" t="inlineStr">
        <is>
          <t>CH</t>
        </is>
      </c>
      <c r="F36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66" s="2" t="inlineStr">
        <is>
          <t>Art. 126.º-A (aditamento)</t>
        </is>
      </c>
      <c r="H366" s="2" t="n"/>
      <c r="I366" s="2" t="n"/>
      <c r="J366" s="2" t="n"/>
      <c r="K366" s="2" t="n"/>
      <c r="L366" s="2" t="inlineStr">
        <is>
          <t>Artigo 126.º-A (Programa Nacional de Combate à Obsolescência Programada)</t>
        </is>
      </c>
      <c r="M366" s="4" t="n"/>
      <c r="N366" s="4" t="n"/>
      <c r="O366" s="2" t="n"/>
      <c r="P366" s="2" t="n"/>
      <c r="Q366" s="2" t="n"/>
      <c r="R366" s="2" t="n"/>
      <c r="S366" s="2" t="inlineStr">
        <is>
          <t>Aprovado(a) em Comissão</t>
        </is>
      </c>
      <c r="T366" s="2" t="inlineStr">
        <is>
          <t>Aprovada</t>
        </is>
      </c>
      <c r="U366" s="2" t="inlineStr">
        <is>
          <t>Favor: CH, BE, PAN; Contra: IL; Abstenção: PSD, PS, L, PCP, CDS-PP</t>
        </is>
      </c>
      <c r="V366" s="3" t="n">
        <v>45985</v>
      </c>
      <c r="W366" s="2" t="inlineStr">
        <is>
          <t>AR: https://www.parlamento.pt/OrcamentoEstado/Paginas/DetalhePropostaAlteracao.aspx?BID=23526 PDF: https://app.parlamento.pt/webutils/docs/doc.pdf?path=6148523063484d364c793942556b356c6443397a6158526c63793959566b6c4a544556484c3039464c7a49774d6a59794d4449314d5441774f53395151533878596a646d5a5749354d5330355a54686b4c5451794e546b744f4759775979316b59545268597a51314e4441344f474d756347526d&amp;Fich=1b7feb91-9e8d-4259-8f0c-da4ac454088c.pdf&amp;Inline=true</t>
        </is>
      </c>
      <c r="X366" s="2" t="inlineStr">
        <is>
          <t>Ambiente e Energia</t>
        </is>
      </c>
      <c r="Y366" s="2" t="inlineStr">
        <is>
          <t>Articulado</t>
        </is>
      </c>
      <c r="Z366" s="2" t="inlineStr">
        <is>
          <t>Aditamento (Artigo PPL)</t>
        </is>
      </c>
      <c r="AA366" s="2" t="inlineStr">
        <is>
          <t>Aprovado(a) em Comissão</t>
        </is>
      </c>
      <c r="AB366" s="2" t="inlineStr"/>
      <c r="AC366" s="2" t="inlineStr"/>
      <c r="AD366" s="2" t="inlineStr">
        <is>
          <t>1</t>
        </is>
      </c>
      <c r="AE366" s="2" t="inlineStr">
        <is>
          <t>23526</t>
        </is>
      </c>
      <c r="AF366" s="2" t="inlineStr">
        <is>
          <t>https://www.parlamento.pt/OrcamentoEstado/Paginas/DetalhePropostaAlteracao.aspx?BID=23526</t>
        </is>
      </c>
      <c r="AG366" s="2" t="inlineStr">
        <is>
          <t>https://app.parlamento.pt/webutils/docs/doc.pdf?path=6148523063484d364c793942556b356c6443397a6158526c63793959566b6c4a544556484c3039464c7a49774d6a59794d4449314d5441774f53395151533878596a646d5a5749354d5330355a54686b4c5451794e546b744f4759775979316b59545268597a51314e4441344f474d756347526d&amp;Fich=1b7feb91-9e8d-4259-8f0c-da4ac454088c.pdf&amp;Inline=true</t>
        </is>
      </c>
      <c r="AH366" s="3" t="n">
        <v>46321.77847222222</v>
      </c>
      <c r="AI366" s="3" t="n">
        <v>46321.78055555555</v>
      </c>
      <c r="AJ366" s="2" t="inlineStr"/>
    </row>
    <row r="367">
      <c r="A367" s="2" t="n">
        <v>366</v>
      </c>
      <c r="B367" s="2" t="inlineStr">
        <is>
          <t>330C</t>
        </is>
      </c>
      <c r="C367" s="3" t="n">
        <v>45965.4</v>
      </c>
      <c r="D367" s="2" t="inlineStr">
        <is>
          <t>Original</t>
        </is>
      </c>
      <c r="E367" s="2" t="inlineStr">
        <is>
          <t>CH</t>
        </is>
      </c>
      <c r="F36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67" s="2" t="inlineStr">
        <is>
          <t>Art. 19.º-A (aditamento)</t>
        </is>
      </c>
      <c r="H367" s="2" t="n"/>
      <c r="I367" s="2" t="n"/>
      <c r="J367" s="2" t="n"/>
      <c r="K367" s="2" t="n"/>
      <c r="L367" s="2" t="inlineStr">
        <is>
          <t>Artigo 19.º-A (Requalificação da 1ª Esquadra da PSP de Coimbra)</t>
        </is>
      </c>
      <c r="M367" s="4" t="n"/>
      <c r="N367" s="4" t="n"/>
      <c r="O367" s="2" t="n"/>
      <c r="P367" s="2" t="n"/>
      <c r="Q367" s="2" t="n"/>
      <c r="R367" s="2" t="n"/>
      <c r="S367" s="2" t="inlineStr">
        <is>
          <t>Rejeitado(a) em Comissão</t>
        </is>
      </c>
      <c r="T367" s="2" t="inlineStr">
        <is>
          <t>Rejeitada</t>
        </is>
      </c>
      <c r="U367" s="2" t="inlineStr">
        <is>
          <t>Favor: CH, BE, PAN; Contra: PSD, CDS-PP; Abstenção: PS, IL, L, PCP</t>
        </is>
      </c>
      <c r="V367" s="3" t="n">
        <v>45981</v>
      </c>
      <c r="W367" s="2" t="inlineStr">
        <is>
          <t>AR: https://www.parlamento.pt/OrcamentoEstado/Paginas/DetalhePropostaAlteracao.aspx?BID=23527 PDF: https://app.parlamento.pt/webutils/docs/doc.pdf?path=6148523063484d364c793942556b356c6443397a6158526c63793959566b6c4a544556484c3039464c7a49774d6a59794d4449314d5441774f5339515153396c4d4459784e54686b4d4330784e5467334c5452694e6a59744f5459314d53307a4e3255354e6a63354d5451345a5467756347526d&amp;Fich=e06158d0-1587-4b66-9651-37e9679148e8.pdf&amp;Inline=true</t>
        </is>
      </c>
      <c r="X367" s="2" t="inlineStr">
        <is>
          <t>Assuntos Constitucionais, Direitos, Liberdades e Garantias; Infraestruturas, Mobilidade e Habitação</t>
        </is>
      </c>
      <c r="Y367" s="2" t="inlineStr">
        <is>
          <t>Articulado</t>
        </is>
      </c>
      <c r="Z367" s="2" t="inlineStr">
        <is>
          <t>Aditamento (Artigo PPL)</t>
        </is>
      </c>
      <c r="AA367" s="2" t="inlineStr">
        <is>
          <t>Rejeitado(a) em Comissão</t>
        </is>
      </c>
      <c r="AB367" s="2" t="inlineStr"/>
      <c r="AC367" s="2" t="inlineStr"/>
      <c r="AD367" s="2" t="inlineStr">
        <is>
          <t>1</t>
        </is>
      </c>
      <c r="AE367" s="2" t="inlineStr">
        <is>
          <t>23527</t>
        </is>
      </c>
      <c r="AF367" s="2" t="inlineStr">
        <is>
          <t>https://www.parlamento.pt/OrcamentoEstado/Paginas/DetalhePropostaAlteracao.aspx?BID=23527</t>
        </is>
      </c>
      <c r="AG367" s="2" t="inlineStr">
        <is>
          <t>https://app.parlamento.pt/webutils/docs/doc.pdf?path=6148523063484d364c793942556b356c6443397a6158526c63793959566b6c4a544556484c3039464c7a49774d6a59794d4449314d5441774f5339515153396c4d4459784e54686b4d4330784e5467334c5452694e6a59744f5459314d53307a4e3255354e6a63354d5451345a5467756347526d&amp;Fich=e06158d0-1587-4b66-9651-37e9679148e8.pdf&amp;Inline=true</t>
        </is>
      </c>
      <c r="AH367" s="3" t="n">
        <v>46321.77847222222</v>
      </c>
      <c r="AI367" s="3" t="n">
        <v>46321.78055555555</v>
      </c>
      <c r="AJ367" s="2" t="inlineStr"/>
    </row>
    <row r="368">
      <c r="A368" s="2" t="n">
        <v>367</v>
      </c>
      <c r="B368" s="2" t="inlineStr">
        <is>
          <t>331C</t>
        </is>
      </c>
      <c r="C368" s="3" t="n">
        <v>45965.40138888889</v>
      </c>
      <c r="D368" s="2" t="inlineStr">
        <is>
          <t>Original</t>
        </is>
      </c>
      <c r="E368" s="2" t="inlineStr">
        <is>
          <t>CH</t>
        </is>
      </c>
      <c r="F36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68" s="2" t="inlineStr">
        <is>
          <t>Art. 126.º-A (aditamento)</t>
        </is>
      </c>
      <c r="H368" s="2" t="n"/>
      <c r="I368" s="2" t="n"/>
      <c r="J368" s="2" t="n"/>
      <c r="K368" s="2" t="n"/>
      <c r="L368" s="2" t="inlineStr">
        <is>
          <t>Artigo 126.º-A (Programa para reforço da autossuficiência energética em vilas históricas)</t>
        </is>
      </c>
      <c r="M368" s="4" t="n"/>
      <c r="N368" s="4" t="n"/>
      <c r="O368" s="2" t="n"/>
      <c r="P368" s="2" t="n"/>
      <c r="Q368" s="2" t="n"/>
      <c r="R368" s="2" t="n"/>
      <c r="S368" s="2" t="inlineStr">
        <is>
          <t>Rejeitado(a) em Comissão</t>
        </is>
      </c>
      <c r="T368" s="2" t="inlineStr">
        <is>
          <t>Rejeitada</t>
        </is>
      </c>
      <c r="U368" s="2" t="inlineStr">
        <is>
          <t>Favor: CH, BE, PAN; Contra: PSD, IL, PCP, CDS-PP; Abstenção: PS, L</t>
        </is>
      </c>
      <c r="V368" s="3" t="n">
        <v>45985</v>
      </c>
      <c r="W368" s="2" t="inlineStr">
        <is>
          <t>AR: https://www.parlamento.pt/OrcamentoEstado/Paginas/DetalhePropostaAlteracao.aspx?BID=23528 PDF: https://app.parlamento.pt/webutils/docs/doc.pdf?path=6148523063484d364c793942556b356c6443397a6158526c63793959566b6c4a544556484c3039464c7a49774d6a59794d4449314d5441774f533951515339695a474a6b5a4455334e6930774d4459324c5452685a446b744f4464695a69307a4e5445324e444d305a6a686a5a444d756347526d&amp;Fich=bdbdd576-0066-4ad9-87bf-3516434f8cd3.pdf&amp;Inline=true</t>
        </is>
      </c>
      <c r="X368" s="2" t="inlineStr">
        <is>
          <t>Ambiente e Energia</t>
        </is>
      </c>
      <c r="Y368" s="2" t="inlineStr">
        <is>
          <t>Articulado</t>
        </is>
      </c>
      <c r="Z368" s="2" t="inlineStr">
        <is>
          <t>Aditamento (Artigo PPL)</t>
        </is>
      </c>
      <c r="AA368" s="2" t="inlineStr">
        <is>
          <t>Rejeitado(a) em Comissão</t>
        </is>
      </c>
      <c r="AB368" s="2" t="inlineStr"/>
      <c r="AC368" s="2" t="inlineStr"/>
      <c r="AD368" s="2" t="inlineStr">
        <is>
          <t>1</t>
        </is>
      </c>
      <c r="AE368" s="2" t="inlineStr">
        <is>
          <t>23528</t>
        </is>
      </c>
      <c r="AF368" s="2" t="inlineStr">
        <is>
          <t>https://www.parlamento.pt/OrcamentoEstado/Paginas/DetalhePropostaAlteracao.aspx?BID=23528</t>
        </is>
      </c>
      <c r="AG368" s="2" t="inlineStr">
        <is>
          <t>https://app.parlamento.pt/webutils/docs/doc.pdf?path=6148523063484d364c793942556b356c6443397a6158526c63793959566b6c4a544556484c3039464c7a49774d6a59794d4449314d5441774f533951515339695a474a6b5a4455334e6930774d4459324c5452685a446b744f4464695a69307a4e5445324e444d305a6a686a5a444d756347526d&amp;Fich=bdbdd576-0066-4ad9-87bf-3516434f8cd3.pdf&amp;Inline=true</t>
        </is>
      </c>
      <c r="AH368" s="3" t="n">
        <v>46321.77847222222</v>
      </c>
      <c r="AI368" s="3" t="n">
        <v>46321.78055555555</v>
      </c>
      <c r="AJ368" s="2" t="inlineStr"/>
    </row>
    <row r="369">
      <c r="A369" s="2" t="n">
        <v>368</v>
      </c>
      <c r="B369" s="2" t="inlineStr">
        <is>
          <t>332C</t>
        </is>
      </c>
      <c r="C369" s="3" t="n">
        <v>45965.40138888889</v>
      </c>
      <c r="D369" s="2" t="inlineStr">
        <is>
          <t>Original</t>
        </is>
      </c>
      <c r="E369" s="2" t="inlineStr">
        <is>
          <t>CH</t>
        </is>
      </c>
      <c r="F36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69" s="2" t="inlineStr">
        <is>
          <t>Art. 21.º-A (aditamento)</t>
        </is>
      </c>
      <c r="H369" s="2" t="n"/>
      <c r="I369" s="2" t="n"/>
      <c r="J369" s="2" t="n"/>
      <c r="K369" s="2" t="n"/>
      <c r="L369" s="2" t="inlineStr">
        <is>
          <t>Artigo 21.º-A (Reforço do número de professores alocados às turmas onde existam alunos sinalizados com medidas de inclusão)</t>
        </is>
      </c>
      <c r="M369" s="4" t="n"/>
      <c r="N369" s="4" t="n"/>
      <c r="O369" s="2" t="n"/>
      <c r="P369" s="2" t="n"/>
      <c r="Q369" s="2" t="n"/>
      <c r="R369" s="2" t="n"/>
      <c r="S369" s="2" t="inlineStr">
        <is>
          <t>Rejeitado(a) em Comissão</t>
        </is>
      </c>
      <c r="T369" s="2" t="inlineStr">
        <is>
          <t>Rejeitada</t>
        </is>
      </c>
      <c r="U369" s="2" t="inlineStr">
        <is>
          <t>Favor: CH, IL, BE, PAN; Contra: PSD; Abstenção: PS, L, PCP, CDS-PP</t>
        </is>
      </c>
      <c r="V369" s="3" t="n">
        <v>45981</v>
      </c>
      <c r="W369" s="2" t="inlineStr">
        <is>
          <t>AR: https://www.parlamento.pt/OrcamentoEstado/Paginas/DetalhePropostaAlteracao.aspx?BID=23529 PDF: https://app.parlamento.pt/webutils/docs/doc.pdf?path=6148523063484d364c793942556b356c6443397a6158526c63793959566b6c4a544556484c3039464c7a49774d6a59794d4449314d5441774f5339515153396a4e5751334e4756684f53316b4e7a4d304c54526d5a4459744f54686b4f43303159544a6a4f444d30596d5a6d4e6a63756347526d&amp;Fich=c5d74ea9-d734-4fd6-98d8-5a2c834bff67.pdf&amp;Inline=true</t>
        </is>
      </c>
      <c r="X369" s="2" t="inlineStr">
        <is>
          <t>Educação e Ciência; Trabalho, Segurança Social e Inclusão</t>
        </is>
      </c>
      <c r="Y369" s="2" t="inlineStr">
        <is>
          <t>Articulado</t>
        </is>
      </c>
      <c r="Z369" s="2" t="inlineStr">
        <is>
          <t>Aditamento (Artigo PPL)</t>
        </is>
      </c>
      <c r="AA369" s="2" t="inlineStr">
        <is>
          <t>Rejeitado(a) em Comissão</t>
        </is>
      </c>
      <c r="AB369" s="2" t="inlineStr"/>
      <c r="AC369" s="2" t="inlineStr"/>
      <c r="AD369" s="2" t="inlineStr">
        <is>
          <t>1</t>
        </is>
      </c>
      <c r="AE369" s="2" t="inlineStr">
        <is>
          <t>23529</t>
        </is>
      </c>
      <c r="AF369" s="2" t="inlineStr">
        <is>
          <t>https://www.parlamento.pt/OrcamentoEstado/Paginas/DetalhePropostaAlteracao.aspx?BID=23529</t>
        </is>
      </c>
      <c r="AG369" s="2" t="inlineStr">
        <is>
          <t>https://app.parlamento.pt/webutils/docs/doc.pdf?path=6148523063484d364c793942556b356c6443397a6158526c63793959566b6c4a544556484c3039464c7a49774d6a59794d4449314d5441774f5339515153396a4e5751334e4756684f53316b4e7a4d304c54526d5a4459744f54686b4f43303159544a6a4f444d30596d5a6d4e6a63756347526d&amp;Fich=c5d74ea9-d734-4fd6-98d8-5a2c834bff67.pdf&amp;Inline=true</t>
        </is>
      </c>
      <c r="AH369" s="3" t="n">
        <v>46321.77847222222</v>
      </c>
      <c r="AI369" s="3" t="n">
        <v>46321.78055555555</v>
      </c>
      <c r="AJ369" s="2" t="inlineStr"/>
    </row>
    <row r="370">
      <c r="A370" s="2" t="n">
        <v>369</v>
      </c>
      <c r="B370" s="2" t="inlineStr">
        <is>
          <t>333C</t>
        </is>
      </c>
      <c r="C370" s="3" t="n">
        <v>45965.40208333333</v>
      </c>
      <c r="D370" s="2" t="inlineStr">
        <is>
          <t>Original</t>
        </is>
      </c>
      <c r="E370" s="2" t="inlineStr">
        <is>
          <t>CH</t>
        </is>
      </c>
      <c r="F37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70" s="2" t="inlineStr">
        <is>
          <t>Art. 22.º-A (aditamento)</t>
        </is>
      </c>
      <c r="H370" s="2" t="n"/>
      <c r="I370" s="2" t="n"/>
      <c r="J370" s="2" t="n"/>
      <c r="K370" s="2" t="n"/>
      <c r="L370" s="2" t="inlineStr">
        <is>
          <t>Artigo 22.º-A (Contratação de Fisioterapeutas para o Serviço Nacional de Saúde)</t>
        </is>
      </c>
      <c r="M370" s="4" t="n"/>
      <c r="N370" s="4" t="n"/>
      <c r="O370" s="2" t="n"/>
      <c r="P370" s="2" t="n"/>
      <c r="Q370" s="2" t="n"/>
      <c r="R370" s="2" t="n"/>
      <c r="S370" s="2" t="inlineStr">
        <is>
          <t>Rejeitado(a) em Comissão</t>
        </is>
      </c>
      <c r="T370" s="2" t="inlineStr">
        <is>
          <t>Rejeitada</t>
        </is>
      </c>
      <c r="U370" s="2" t="inlineStr">
        <is>
          <t>Favor: CH, BE, PAN; Contra: PSD, IL, CDS-PP; Abstenção: PS, L, PCP</t>
        </is>
      </c>
      <c r="V370" s="3" t="n">
        <v>45981</v>
      </c>
      <c r="W370" s="2" t="inlineStr">
        <is>
          <t>AR: https://www.parlamento.pt/OrcamentoEstado/Paginas/DetalhePropostaAlteracao.aspx?BID=23530 PDF: https://app.parlamento.pt/webutils/docs/doc.pdf?path=6148523063484d364c793942556b356c6443397a6158526c63793959566b6c4a544556484c3039464c7a49774d6a59794d4449314d5441774f5339515153396d4d44566a4f5451355a693078597a6b334c5451794f444974596d55784e79316d4e7a5a695a475a684e44686c5a5749756347526d&amp;Fich=f05c949f-1c97-4282-be17-f76bdfa48eeb.pdf&amp;Inline=true</t>
        </is>
      </c>
      <c r="X370" s="2" t="inlineStr">
        <is>
          <t>Saúde</t>
        </is>
      </c>
      <c r="Y370" s="2" t="inlineStr">
        <is>
          <t>Articulado</t>
        </is>
      </c>
      <c r="Z370" s="2" t="inlineStr">
        <is>
          <t>Aditamento (Artigo PPL)</t>
        </is>
      </c>
      <c r="AA370" s="2" t="inlineStr">
        <is>
          <t>Rejeitado(a) em Comissão</t>
        </is>
      </c>
      <c r="AB370" s="2" t="inlineStr"/>
      <c r="AC370" s="2" t="inlineStr"/>
      <c r="AD370" s="2" t="inlineStr">
        <is>
          <t>1</t>
        </is>
      </c>
      <c r="AE370" s="2" t="inlineStr">
        <is>
          <t>23530</t>
        </is>
      </c>
      <c r="AF370" s="2" t="inlineStr">
        <is>
          <t>https://www.parlamento.pt/OrcamentoEstado/Paginas/DetalhePropostaAlteracao.aspx?BID=23530</t>
        </is>
      </c>
      <c r="AG370" s="2" t="inlineStr">
        <is>
          <t>https://app.parlamento.pt/webutils/docs/doc.pdf?path=6148523063484d364c793942556b356c6443397a6158526c63793959566b6c4a544556484c3039464c7a49774d6a59794d4449314d5441774f5339515153396d4d44566a4f5451355a693078597a6b334c5451794f444974596d55784e79316d4e7a5a695a475a684e44686c5a5749756347526d&amp;Fich=f05c949f-1c97-4282-be17-f76bdfa48eeb.pdf&amp;Inline=true</t>
        </is>
      </c>
      <c r="AH370" s="3" t="n">
        <v>46321.77847222222</v>
      </c>
      <c r="AI370" s="3" t="n">
        <v>46321.78055555555</v>
      </c>
      <c r="AJ370" s="2" t="inlineStr"/>
    </row>
    <row r="371">
      <c r="A371" s="2" t="n">
        <v>370</v>
      </c>
      <c r="B371" s="2" t="inlineStr">
        <is>
          <t>334C</t>
        </is>
      </c>
      <c r="C371" s="3" t="n">
        <v>45965.40277777778</v>
      </c>
      <c r="D371" s="2" t="inlineStr">
        <is>
          <t>Original</t>
        </is>
      </c>
      <c r="E371" s="2" t="inlineStr">
        <is>
          <t>CH</t>
        </is>
      </c>
      <c r="F37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71" s="2" t="inlineStr">
        <is>
          <t>Art. 126.º-A (aditamento)</t>
        </is>
      </c>
      <c r="H371" s="2" t="n"/>
      <c r="I371" s="2" t="n"/>
      <c r="J371" s="2" t="n"/>
      <c r="K371" s="2" t="n"/>
      <c r="L371" s="2" t="inlineStr">
        <is>
          <t>Artigo 126.º-A (Investimento no aumento da eficiência na utilização dos recursos hídricos)</t>
        </is>
      </c>
      <c r="M371" s="4" t="n"/>
      <c r="N371" s="4" t="n"/>
      <c r="O371" s="2" t="n"/>
      <c r="P371" s="2" t="n"/>
      <c r="Q371" s="2" t="n"/>
      <c r="R371" s="2" t="n"/>
      <c r="S371" s="2" t="inlineStr">
        <is>
          <t>Rejeitado(a) em Comissão</t>
        </is>
      </c>
      <c r="T371" s="2" t="inlineStr">
        <is>
          <t>Rejeitada</t>
        </is>
      </c>
      <c r="U371" s="2" t="inlineStr">
        <is>
          <t>Favor: CH, BE, PAN; Contra: PSD, CDS-PP; Abstenção: PS, IL, L, PCP</t>
        </is>
      </c>
      <c r="V371" s="3" t="n">
        <v>45985</v>
      </c>
      <c r="W371" s="2" t="inlineStr">
        <is>
          <t>AR: https://www.parlamento.pt/OrcamentoEstado/Paginas/DetalhePropostaAlteracao.aspx?BID=23531 PDF: https://app.parlamento.pt/webutils/docs/doc.pdf?path=6148523063484d364c793942556b356c6443397a6158526c63793959566b6c4a544556484c3039464c7a49774d6a59794d4449314d5441774f533951515339694e7a63344e3251324e6931684d5441784c5451784d325574595449314e533169596a6c6a4d7a45345a44526c4e4445756347526d&amp;Fich=b7787d66-a101-413e-a255-bb9c318d4e41.pdf&amp;Inline=true</t>
        </is>
      </c>
      <c r="X371" s="2" t="inlineStr">
        <is>
          <t>Agricultura e Pescas</t>
        </is>
      </c>
      <c r="Y371" s="2" t="inlineStr">
        <is>
          <t>Articulado</t>
        </is>
      </c>
      <c r="Z371" s="2" t="inlineStr">
        <is>
          <t>Aditamento (Artigo PPL)</t>
        </is>
      </c>
      <c r="AA371" s="2" t="inlineStr">
        <is>
          <t>Rejeitado(a) em Comissão</t>
        </is>
      </c>
      <c r="AB371" s="2" t="inlineStr"/>
      <c r="AC371" s="2" t="inlineStr"/>
      <c r="AD371" s="2" t="inlineStr">
        <is>
          <t>1</t>
        </is>
      </c>
      <c r="AE371" s="2" t="inlineStr">
        <is>
          <t>23531</t>
        </is>
      </c>
      <c r="AF371" s="2" t="inlineStr">
        <is>
          <t>https://www.parlamento.pt/OrcamentoEstado/Paginas/DetalhePropostaAlteracao.aspx?BID=23531</t>
        </is>
      </c>
      <c r="AG371" s="2" t="inlineStr">
        <is>
          <t>https://app.parlamento.pt/webutils/docs/doc.pdf?path=6148523063484d364c793942556b356c6443397a6158526c63793959566b6c4a544556484c3039464c7a49774d6a59794d4449314d5441774f533951515339694e7a63344e3251324e6931684d5441784c5451784d325574595449314e533169596a6c6a4d7a45345a44526c4e4445756347526d&amp;Fich=b7787d66-a101-413e-a255-bb9c318d4e41.pdf&amp;Inline=true</t>
        </is>
      </c>
      <c r="AH371" s="3" t="n">
        <v>46321.77847222222</v>
      </c>
      <c r="AI371" s="3" t="n">
        <v>46321.78055555555</v>
      </c>
      <c r="AJ371" s="2" t="inlineStr"/>
    </row>
    <row r="372">
      <c r="A372" s="2" t="n">
        <v>371</v>
      </c>
      <c r="B372" s="2" t="inlineStr">
        <is>
          <t>335C</t>
        </is>
      </c>
      <c r="C372" s="3" t="n">
        <v>45965.40347222222</v>
      </c>
      <c r="D372" s="2" t="inlineStr">
        <is>
          <t>Original</t>
        </is>
      </c>
      <c r="E372" s="2" t="inlineStr">
        <is>
          <t>CH</t>
        </is>
      </c>
      <c r="F37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72" s="2" t="inlineStr">
        <is>
          <t>Art. 22.º-A (aditamento)</t>
        </is>
      </c>
      <c r="H372" s="2" t="n"/>
      <c r="I372" s="2" t="n"/>
      <c r="J372" s="2" t="n"/>
      <c r="K372" s="2" t="n"/>
      <c r="L372" s="2" t="inlineStr">
        <is>
          <t>Artigo 22.º-A (Criação da Carreira Especial de Técnico Secretário Clínico)</t>
        </is>
      </c>
      <c r="M372" s="4" t="n"/>
      <c r="N372" s="4" t="n"/>
      <c r="O372" s="2" t="n"/>
      <c r="P372" s="2" t="n"/>
      <c r="Q372" s="2" t="n"/>
      <c r="R372" s="2" t="n"/>
      <c r="S372" s="2" t="inlineStr">
        <is>
          <t>Rejeitado(a) em Comissão</t>
        </is>
      </c>
      <c r="T372" s="2" t="inlineStr">
        <is>
          <t>Rejeitada</t>
        </is>
      </c>
      <c r="U372" s="2" t="inlineStr">
        <is>
          <t>Favor: CH, BE, PAN; Contra: PSD, IL, CDS-PP; Abstenção: PS, L, PCP</t>
        </is>
      </c>
      <c r="V372" s="3" t="n">
        <v>45981</v>
      </c>
      <c r="W372" s="2" t="inlineStr">
        <is>
          <t>AR: https://www.parlamento.pt/OrcamentoEstado/Paginas/DetalhePropostaAlteracao.aspx?BID=23532 PDF: https://app.parlamento.pt/webutils/docs/doc.pdf?path=6148523063484d364c793942556b356c6443397a6158526c63793959566b6c4a544556484c3039464c7a49774d6a59794d4449314d5441774f5339515153396b4f446c695a44566b4d7930324d6d59784c545269596a6374596a41314e79316c597a4a694f57597a5a6d5a684e4441756347526d&amp;Fich=d89bd5d3-62f1-4bb7-b057-ec2b9f3ffa40.pdf&amp;Inline=true</t>
        </is>
      </c>
      <c r="X372" s="2" t="inlineStr">
        <is>
          <t>Saúde</t>
        </is>
      </c>
      <c r="Y372" s="2" t="inlineStr">
        <is>
          <t>Articulado</t>
        </is>
      </c>
      <c r="Z372" s="2" t="inlineStr">
        <is>
          <t>Aditamento (Artigo PPL)</t>
        </is>
      </c>
      <c r="AA372" s="2" t="inlineStr">
        <is>
          <t>Rejeitado(a) em Comissão</t>
        </is>
      </c>
      <c r="AB372" s="2" t="inlineStr"/>
      <c r="AC372" s="2" t="inlineStr"/>
      <c r="AD372" s="2" t="inlineStr">
        <is>
          <t>1</t>
        </is>
      </c>
      <c r="AE372" s="2" t="inlineStr">
        <is>
          <t>23532</t>
        </is>
      </c>
      <c r="AF372" s="2" t="inlineStr">
        <is>
          <t>https://www.parlamento.pt/OrcamentoEstado/Paginas/DetalhePropostaAlteracao.aspx?BID=23532</t>
        </is>
      </c>
      <c r="AG372" s="2" t="inlineStr">
        <is>
          <t>https://app.parlamento.pt/webutils/docs/doc.pdf?path=6148523063484d364c793942556b356c6443397a6158526c63793959566b6c4a544556484c3039464c7a49774d6a59794d4449314d5441774f5339515153396b4f446c695a44566b4d7930324d6d59784c545269596a6374596a41314e79316c597a4a694f57597a5a6d5a684e4441756347526d&amp;Fich=d89bd5d3-62f1-4bb7-b057-ec2b9f3ffa40.pdf&amp;Inline=true</t>
        </is>
      </c>
      <c r="AH372" s="3" t="n">
        <v>46321.77847222222</v>
      </c>
      <c r="AI372" s="3" t="n">
        <v>46321.78055555555</v>
      </c>
      <c r="AJ372" s="2" t="inlineStr"/>
    </row>
    <row r="373">
      <c r="A373" s="2" t="n">
        <v>372</v>
      </c>
      <c r="B373" s="2" t="inlineStr">
        <is>
          <t>336C</t>
        </is>
      </c>
      <c r="C373" s="3" t="n">
        <v>45965.40486111111</v>
      </c>
      <c r="D373" s="2" t="inlineStr">
        <is>
          <t>Original</t>
        </is>
      </c>
      <c r="E373" s="2" t="inlineStr">
        <is>
          <t>CH</t>
        </is>
      </c>
      <c r="F37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73" s="2" t="inlineStr">
        <is>
          <t>Art. 28.º-A (aditamento)</t>
        </is>
      </c>
      <c r="H373" s="2" t="n"/>
      <c r="I373" s="2" t="n"/>
      <c r="J373" s="2" t="n"/>
      <c r="K373" s="2" t="n"/>
      <c r="L373" s="2" t="inlineStr">
        <is>
          <t>Artigo 28.º-A (Reforço de efetivos para a Polícia Marítima)</t>
        </is>
      </c>
      <c r="M373" s="4" t="n"/>
      <c r="N373" s="4" t="n"/>
      <c r="O373" s="2" t="n"/>
      <c r="P373" s="2" t="n"/>
      <c r="Q373" s="2" t="n"/>
      <c r="R373" s="2" t="n"/>
      <c r="S373" s="2" t="inlineStr">
        <is>
          <t>Rejeitado(a) em Comissão</t>
        </is>
      </c>
      <c r="T373" s="2" t="inlineStr">
        <is>
          <t>Rejeitada</t>
        </is>
      </c>
      <c r="U373" s="2" t="inlineStr">
        <is>
          <t>Favor: CH, BE, PAN; Contra: PSD, CDS-PP; Abstenção: PS, IL, L, PCP</t>
        </is>
      </c>
      <c r="V373" s="3" t="n">
        <v>45981</v>
      </c>
      <c r="W373" s="2" t="inlineStr">
        <is>
          <t>AR: https://www.parlamento.pt/OrcamentoEstado/Paginas/DetalhePropostaAlteracao.aspx?BID=23533 PDF: https://app.parlamento.pt/webutils/docs/doc.pdf?path=6148523063484d364c793942556b356c6443397a6158526c63793959566b6c4a544556484c3039464c7a49774d6a59794d4449314d5441774f533951515338315a546b324d7a67355a6931694d5459324c5451305a4451744f545132596931694e4455314e6a63344d4459345a5463756347526d&amp;Fich=5e96389f-b166-44d4-946b-b455678068e7.pdf&amp;Inline=true</t>
        </is>
      </c>
      <c r="X373" s="2" t="inlineStr">
        <is>
          <t>Defesa Nacional</t>
        </is>
      </c>
      <c r="Y373" s="2" t="inlineStr">
        <is>
          <t>Articulado</t>
        </is>
      </c>
      <c r="Z373" s="2" t="inlineStr">
        <is>
          <t>Aditamento (Artigo PPL)</t>
        </is>
      </c>
      <c r="AA373" s="2" t="inlineStr">
        <is>
          <t>Rejeitado(a) em Comissão</t>
        </is>
      </c>
      <c r="AB373" s="2" t="inlineStr"/>
      <c r="AC373" s="2" t="inlineStr"/>
      <c r="AD373" s="2" t="inlineStr">
        <is>
          <t>1</t>
        </is>
      </c>
      <c r="AE373" s="2" t="inlineStr">
        <is>
          <t>23533</t>
        </is>
      </c>
      <c r="AF373" s="2" t="inlineStr">
        <is>
          <t>https://www.parlamento.pt/OrcamentoEstado/Paginas/DetalhePropostaAlteracao.aspx?BID=23533</t>
        </is>
      </c>
      <c r="AG373" s="2" t="inlineStr">
        <is>
          <t>https://app.parlamento.pt/webutils/docs/doc.pdf?path=6148523063484d364c793942556b356c6443397a6158526c63793959566b6c4a544556484c3039464c7a49774d6a59794d4449314d5441774f533951515338315a546b324d7a67355a6931694d5459324c5451305a4451744f545132596931694e4455314e6a63344d4459345a5463756347526d&amp;Fich=5e96389f-b166-44d4-946b-b455678068e7.pdf&amp;Inline=true</t>
        </is>
      </c>
      <c r="AH373" s="3" t="n">
        <v>46321.77847222222</v>
      </c>
      <c r="AI373" s="3" t="n">
        <v>46321.78055555555</v>
      </c>
      <c r="AJ373" s="2" t="inlineStr"/>
    </row>
    <row r="374">
      <c r="A374" s="2" t="n">
        <v>373</v>
      </c>
      <c r="B374" s="2" t="inlineStr">
        <is>
          <t>337C</t>
        </is>
      </c>
      <c r="C374" s="3" t="n">
        <v>45965.40486111111</v>
      </c>
      <c r="D374" s="2" t="inlineStr">
        <is>
          <t>Original</t>
        </is>
      </c>
      <c r="E374" s="2" t="inlineStr">
        <is>
          <t>CH</t>
        </is>
      </c>
      <c r="F37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74" s="2" t="inlineStr">
        <is>
          <t>Art. 126.º-A (aditamento)</t>
        </is>
      </c>
      <c r="H374" s="2" t="n"/>
      <c r="I374" s="2" t="n"/>
      <c r="J374" s="2" t="n"/>
      <c r="K374" s="2" t="n"/>
      <c r="L374" s="2" t="inlineStr">
        <is>
          <t>Artigo 126.º-A (Reforço do plano de ação para conservação do lobo-ibérico (PACLobo))</t>
        </is>
      </c>
      <c r="M374" s="4" t="n"/>
      <c r="N374" s="4" t="n"/>
      <c r="O374" s="2" t="n"/>
      <c r="P374" s="2" t="n"/>
      <c r="Q374" s="2" t="n"/>
      <c r="R374" s="2" t="n"/>
      <c r="S374" s="2" t="inlineStr">
        <is>
          <t>Rejeitado(a) em Comissão</t>
        </is>
      </c>
      <c r="T374" s="2" t="inlineStr">
        <is>
          <t>Rejeitada</t>
        </is>
      </c>
      <c r="U374" s="2" t="inlineStr">
        <is>
          <t>Favor: CH, IL, BE, PAN; Contra: PSD, CDS-PP; Abstenção: PS, L, PCP</t>
        </is>
      </c>
      <c r="V374" s="3" t="n">
        <v>45985</v>
      </c>
      <c r="W374" s="2" t="inlineStr">
        <is>
          <t>AR: https://www.parlamento.pt/OrcamentoEstado/Paginas/DetalhePropostaAlteracao.aspx?BID=23534 PDF: https://app.parlamento.pt/webutils/docs/doc.pdf?path=6148523063484d364c793942556b356c6443397a6158526c63793959566b6c4a544556484c3039464c7a49774d6a59794d4449314d5441774f533951515338354e44426a4e32566c4e4330354e5445794c5451315a574d745957526c4d7930785a54413259545a6d4f44557a4d4445756347526d&amp;Fich=940c7ee4-9512-45ec-ade3-1e06a6f85301.pdf&amp;Inline=true</t>
        </is>
      </c>
      <c r="X374" s="2" t="inlineStr">
        <is>
          <t>Assuntos Europeus</t>
        </is>
      </c>
      <c r="Y374" s="2" t="inlineStr">
        <is>
          <t>Articulado</t>
        </is>
      </c>
      <c r="Z374" s="2" t="inlineStr">
        <is>
          <t>Aditamento (Artigo PPL)</t>
        </is>
      </c>
      <c r="AA374" s="2" t="inlineStr">
        <is>
          <t>Rejeitado(a) em Comissão</t>
        </is>
      </c>
      <c r="AB374" s="2" t="inlineStr"/>
      <c r="AC374" s="2" t="inlineStr"/>
      <c r="AD374" s="2" t="inlineStr">
        <is>
          <t>1</t>
        </is>
      </c>
      <c r="AE374" s="2" t="inlineStr">
        <is>
          <t>23534</t>
        </is>
      </c>
      <c r="AF374" s="2" t="inlineStr">
        <is>
          <t>https://www.parlamento.pt/OrcamentoEstado/Paginas/DetalhePropostaAlteracao.aspx?BID=23534</t>
        </is>
      </c>
      <c r="AG374" s="2" t="inlineStr">
        <is>
          <t>https://app.parlamento.pt/webutils/docs/doc.pdf?path=6148523063484d364c793942556b356c6443397a6158526c63793959566b6c4a544556484c3039464c7a49774d6a59794d4449314d5441774f533951515338354e44426a4e32566c4e4330354e5445794c5451315a574d745957526c4d7930785a54413259545a6d4f44557a4d4445756347526d&amp;Fich=940c7ee4-9512-45ec-ade3-1e06a6f85301.pdf&amp;Inline=true</t>
        </is>
      </c>
      <c r="AH374" s="3" t="n">
        <v>46321.77847222222</v>
      </c>
      <c r="AI374" s="3" t="n">
        <v>46321.78055555555</v>
      </c>
      <c r="AJ374" s="2" t="inlineStr"/>
    </row>
    <row r="375">
      <c r="A375" s="2" t="n">
        <v>374</v>
      </c>
      <c r="B375" s="2" t="inlineStr">
        <is>
          <t>338C</t>
        </is>
      </c>
      <c r="C375" s="3" t="n">
        <v>45965.40555555555</v>
      </c>
      <c r="D375" s="2" t="inlineStr">
        <is>
          <t>Original</t>
        </is>
      </c>
      <c r="E375" s="2" t="inlineStr">
        <is>
          <t>CH</t>
        </is>
      </c>
      <c r="F37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75" s="2" t="inlineStr">
        <is>
          <t>Art. 46.º-A (aditamento)</t>
        </is>
      </c>
      <c r="H375" s="2" t="n"/>
      <c r="I375" s="2" t="n"/>
      <c r="J375" s="2" t="n"/>
      <c r="K375" s="2" t="n"/>
      <c r="L375" s="2" t="inlineStr">
        <is>
          <t>Artigo 46.º-A (Bolsa nacional de serviço de interesse coletivo)</t>
        </is>
      </c>
      <c r="M375" s="4" t="n"/>
      <c r="N375" s="4" t="n"/>
      <c r="O375" s="2" t="n"/>
      <c r="P375" s="2" t="n"/>
      <c r="Q375" s="2" t="n"/>
      <c r="R375" s="2" t="n"/>
      <c r="S375" s="2" t="inlineStr">
        <is>
          <t>Rejeitado(a) em Comissão</t>
        </is>
      </c>
      <c r="T375" s="2" t="inlineStr">
        <is>
          <t>Rejeitada</t>
        </is>
      </c>
      <c r="U375" s="2" t="inlineStr">
        <is>
          <t>Favor: CH; Contra: PSD, PS, IL, L, PCP, CDS-PP, BE, PAN</t>
        </is>
      </c>
      <c r="V375" s="3" t="n">
        <v>45981</v>
      </c>
      <c r="W375" s="2" t="inlineStr">
        <is>
          <t>AR: https://www.parlamento.pt/OrcamentoEstado/Paginas/DetalhePropostaAlteracao.aspx?BID=23535 PDF: https://app.parlamento.pt/webutils/docs/doc.pdf?path=6148523063484d364c793942556b356c6443397a6158526c63793959566b6c4a544556484c3039464c7a49774d6a59794d4449314d5441774f533951515338344e4745314e6d5a6d4e533030595752684c54526b5a574574596d49355969316c4d6d4934593251794e574a6c4f4759756347526d&amp;Fich=84a56ff5-4ada-4dea-bb9b-e2b8cd25be8f.pdf&amp;Inline=true</t>
        </is>
      </c>
      <c r="X375" s="2" t="inlineStr">
        <is>
          <t>Trabalho, Segurança Social e Inclusão</t>
        </is>
      </c>
      <c r="Y375" s="2" t="inlineStr">
        <is>
          <t>Articulado</t>
        </is>
      </c>
      <c r="Z375" s="2" t="inlineStr">
        <is>
          <t>Aditamento (Artigo PPL)</t>
        </is>
      </c>
      <c r="AA375" s="2" t="inlineStr">
        <is>
          <t>Rejeitado(a) em Comissão</t>
        </is>
      </c>
      <c r="AB375" s="2" t="inlineStr"/>
      <c r="AC375" s="2" t="inlineStr"/>
      <c r="AD375" s="2" t="inlineStr">
        <is>
          <t>1</t>
        </is>
      </c>
      <c r="AE375" s="2" t="inlineStr">
        <is>
          <t>23535</t>
        </is>
      </c>
      <c r="AF375" s="2" t="inlineStr">
        <is>
          <t>https://www.parlamento.pt/OrcamentoEstado/Paginas/DetalhePropostaAlteracao.aspx?BID=23535</t>
        </is>
      </c>
      <c r="AG375" s="2" t="inlineStr">
        <is>
          <t>https://app.parlamento.pt/webutils/docs/doc.pdf?path=6148523063484d364c793942556b356c6443397a6158526c63793959566b6c4a544556484c3039464c7a49774d6a59794d4449314d5441774f533951515338344e4745314e6d5a6d4e533030595752684c54526b5a574574596d49355969316c4d6d4934593251794e574a6c4f4759756347526d&amp;Fich=84a56ff5-4ada-4dea-bb9b-e2b8cd25be8f.pdf&amp;Inline=true</t>
        </is>
      </c>
      <c r="AH375" s="3" t="n">
        <v>46321.77847222222</v>
      </c>
      <c r="AI375" s="3" t="n">
        <v>46321.78055555555</v>
      </c>
      <c r="AJ375" s="2" t="inlineStr"/>
    </row>
    <row r="376">
      <c r="A376" s="2" t="n">
        <v>375</v>
      </c>
      <c r="B376" s="2" t="inlineStr">
        <is>
          <t>339C</t>
        </is>
      </c>
      <c r="C376" s="3" t="n">
        <v>45965.40694444445</v>
      </c>
      <c r="D376" s="2" t="inlineStr">
        <is>
          <t>Original</t>
        </is>
      </c>
      <c r="E376" s="2" t="inlineStr">
        <is>
          <t>CH</t>
        </is>
      </c>
      <c r="F37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76" s="2" t="inlineStr">
        <is>
          <t>Art. 38.º-A (aditamento)</t>
        </is>
      </c>
      <c r="H376" s="2" t="n"/>
      <c r="I376" s="2" t="n"/>
      <c r="J376" s="2" t="n"/>
      <c r="K376" s="2" t="n"/>
      <c r="L376" s="2" t="inlineStr">
        <is>
          <t>Artigo 38.º-A (Complemento Especial de Pensão)</t>
        </is>
      </c>
      <c r="M376" s="4" t="n"/>
      <c r="N376" s="4" t="n"/>
      <c r="O376" s="2" t="n"/>
      <c r="P376" s="2" t="n"/>
      <c r="Q376" s="2" t="n"/>
      <c r="R376" s="2" t="n"/>
      <c r="S376" s="2" t="inlineStr">
        <is>
          <t>Rejeitado(a) em Comissão</t>
        </is>
      </c>
      <c r="T376" s="2" t="inlineStr">
        <is>
          <t>Rejeitada</t>
        </is>
      </c>
      <c r="U376" s="2" t="inlineStr">
        <is>
          <t>Favor: CH, BE, PAN; Contra: PSD, IL, CDS-PP; Abstenção: PS, L, PCP</t>
        </is>
      </c>
      <c r="V376" s="3" t="n">
        <v>45981</v>
      </c>
      <c r="W376" s="2" t="inlineStr">
        <is>
          <t>AR: https://www.parlamento.pt/OrcamentoEstado/Paginas/DetalhePropostaAlteracao.aspx?BID=23536 PDF: https://app.parlamento.pt/webutils/docs/doc.pdf?path=6148523063484d364c793942556b356c6443397a6158526c63793959566b6c4a544556484c3039464c7a49774d6a59794d4449314d5441774f533951515339684e6d5a6a5a6a6c6d5a6930304d6d59324c5451304f5745744f4745794e69307a5a47526b4e7a63784f4751344d4749756347526d&amp;Fich=a6fcf9ff-42f6-449a-8a26-3ddd7718d80b.pdf&amp;Inline=true</t>
        </is>
      </c>
      <c r="X376" s="2" t="inlineStr">
        <is>
          <t>Trabalho, Segurança Social e Inclusão</t>
        </is>
      </c>
      <c r="Y376" s="2" t="inlineStr">
        <is>
          <t>Articulado</t>
        </is>
      </c>
      <c r="Z376" s="2" t="inlineStr">
        <is>
          <t>Aditamento (Artigo PPL)</t>
        </is>
      </c>
      <c r="AA376" s="2" t="inlineStr">
        <is>
          <t>Rejeitado(a) em Comissão</t>
        </is>
      </c>
      <c r="AB376" s="2" t="inlineStr"/>
      <c r="AC376" s="2" t="inlineStr"/>
      <c r="AD376" s="2" t="inlineStr">
        <is>
          <t>1</t>
        </is>
      </c>
      <c r="AE376" s="2" t="inlineStr">
        <is>
          <t>23536</t>
        </is>
      </c>
      <c r="AF376" s="2" t="inlineStr">
        <is>
          <t>https://www.parlamento.pt/OrcamentoEstado/Paginas/DetalhePropostaAlteracao.aspx?BID=23536</t>
        </is>
      </c>
      <c r="AG376" s="2" t="inlineStr">
        <is>
          <t>https://app.parlamento.pt/webutils/docs/doc.pdf?path=6148523063484d364c793942556b356c6443397a6158526c63793959566b6c4a544556484c3039464c7a49774d6a59794d4449314d5441774f533951515339684e6d5a6a5a6a6c6d5a6930304d6d59324c5451304f5745744f4745794e69307a5a47526b4e7a63784f4751344d4749756347526d&amp;Fich=a6fcf9ff-42f6-449a-8a26-3ddd7718d80b.pdf&amp;Inline=true</t>
        </is>
      </c>
      <c r="AH376" s="3" t="n">
        <v>46321.77847222222</v>
      </c>
      <c r="AI376" s="3" t="n">
        <v>46321.78055555555</v>
      </c>
      <c r="AJ376" s="2" t="inlineStr"/>
    </row>
    <row r="377">
      <c r="A377" s="2" t="n">
        <v>376</v>
      </c>
      <c r="B377" s="2" t="inlineStr">
        <is>
          <t>340C</t>
        </is>
      </c>
      <c r="C377" s="3" t="n">
        <v>45965.40763888889</v>
      </c>
      <c r="D377" s="2" t="inlineStr">
        <is>
          <t>Original</t>
        </is>
      </c>
      <c r="E377" s="2" t="inlineStr">
        <is>
          <t>CH</t>
        </is>
      </c>
      <c r="F37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77" s="2" t="inlineStr">
        <is>
          <t>Art. 46.º-A (aditamento)</t>
        </is>
      </c>
      <c r="H377" s="2" t="n"/>
      <c r="I377" s="2" t="n"/>
      <c r="J377" s="2" t="n"/>
      <c r="K377" s="2" t="n"/>
      <c r="L377" s="2" t="inlineStr">
        <is>
          <t>Artigo 46.º-A (Alteração ao Decreto-Lei n.º 322/90, de 18 de Outubro)</t>
        </is>
      </c>
      <c r="M377" s="4" t="n"/>
      <c r="N377" s="4" t="n"/>
      <c r="O377" s="2" t="n"/>
      <c r="P377" s="2" t="n"/>
      <c r="Q377" s="2" t="n"/>
      <c r="R377" s="2" t="n"/>
      <c r="S377" s="2" t="inlineStr">
        <is>
          <t>Rejeitado(a) em Comissão</t>
        </is>
      </c>
      <c r="T377" s="2" t="inlineStr">
        <is>
          <t>Rejeitada</t>
        </is>
      </c>
      <c r="U377" s="2" t="inlineStr">
        <is>
          <t>Favor: CH, IL, PAN; Contra: PSD, PCP, CDS-PP, BE; Abstenção: PS, L</t>
        </is>
      </c>
      <c r="V377" s="3" t="n">
        <v>45981</v>
      </c>
      <c r="W377" s="2" t="inlineStr">
        <is>
          <t>AR: https://www.parlamento.pt/OrcamentoEstado/Paginas/DetalhePropostaAlteracao.aspx?BID=23537 PDF: https://app.parlamento.pt/webutils/docs/doc.pdf?path=6148523063484d364c793942556b356c6443397a6158526c63793959566b6c4a544556484c3039464c7a49774d6a59794d4449314d5441774f5339515153396a5a6a41304e5441334d7930344d3249334c5451775a574d74595459784e6930354d6a51344e47553359544d794d6d55756347526d&amp;Fich=cf045073-83b7-40ec-a616-92484e7a322e.pdf&amp;Inline=true</t>
        </is>
      </c>
      <c r="X377" s="2" t="inlineStr">
        <is>
          <t>Trabalho, Segurança Social e Inclusão</t>
        </is>
      </c>
      <c r="Y377" s="2" t="inlineStr">
        <is>
          <t>Articulado</t>
        </is>
      </c>
      <c r="Z377" s="2" t="inlineStr">
        <is>
          <t>Aditamento (Artigo PPL)</t>
        </is>
      </c>
      <c r="AA377" s="2" t="inlineStr">
        <is>
          <t>Rejeitado(a) em Comissão</t>
        </is>
      </c>
      <c r="AB377" s="2" t="inlineStr"/>
      <c r="AC377" s="2" t="inlineStr"/>
      <c r="AD377" s="2" t="inlineStr">
        <is>
          <t>1</t>
        </is>
      </c>
      <c r="AE377" s="2" t="inlineStr">
        <is>
          <t>23537</t>
        </is>
      </c>
      <c r="AF377" s="2" t="inlineStr">
        <is>
          <t>https://www.parlamento.pt/OrcamentoEstado/Paginas/DetalhePropostaAlteracao.aspx?BID=23537</t>
        </is>
      </c>
      <c r="AG377" s="2" t="inlineStr">
        <is>
          <t>https://app.parlamento.pt/webutils/docs/doc.pdf?path=6148523063484d364c793942556b356c6443397a6158526c63793959566b6c4a544556484c3039464c7a49774d6a59794d4449314d5441774f5339515153396a5a6a41304e5441334d7930344d3249334c5451775a574d74595459784e6930354d6a51344e47553359544d794d6d55756347526d&amp;Fich=cf045073-83b7-40ec-a616-92484e7a322e.pdf&amp;Inline=true</t>
        </is>
      </c>
      <c r="AH377" s="3" t="n">
        <v>46321.77847222222</v>
      </c>
      <c r="AI377" s="3" t="n">
        <v>46321.78055555555</v>
      </c>
      <c r="AJ377" s="2" t="inlineStr"/>
    </row>
    <row r="378">
      <c r="A378" s="2" t="n">
        <v>377</v>
      </c>
      <c r="B378" s="2" t="inlineStr">
        <is>
          <t>341C</t>
        </is>
      </c>
      <c r="C378" s="3" t="n">
        <v>45965.40833333333</v>
      </c>
      <c r="D378" s="2" t="inlineStr">
        <is>
          <t>Original</t>
        </is>
      </c>
      <c r="E378" s="2" t="inlineStr">
        <is>
          <t>CH</t>
        </is>
      </c>
      <c r="F37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78" s="2" t="inlineStr">
        <is>
          <t>Art. 128.º-A (aditamento)</t>
        </is>
      </c>
      <c r="H378" s="2" t="n"/>
      <c r="I378" s="2" t="n"/>
      <c r="J378" s="2" t="n"/>
      <c r="K378" s="2" t="n"/>
      <c r="L378" s="2" t="inlineStr">
        <is>
          <t>Artigo 128.º-A (Reforço de apoios ao investimento por jovens agricultores)</t>
        </is>
      </c>
      <c r="M378" s="4" t="n"/>
      <c r="N378" s="4" t="n"/>
      <c r="O378" s="2" t="n"/>
      <c r="P378" s="2" t="n"/>
      <c r="Q378" s="2" t="n"/>
      <c r="R378" s="2" t="n"/>
      <c r="S378" s="2" t="inlineStr">
        <is>
          <t>Rejeitado(a) em Comissão</t>
        </is>
      </c>
      <c r="T378" s="2" t="inlineStr">
        <is>
          <t>Rejeitada</t>
        </is>
      </c>
      <c r="U378" s="2" t="inlineStr">
        <is>
          <t>Favor: CH; Contra: PSD, CDS-PP; Abstenção: PS, IL, L, PCP, BE, PAN</t>
        </is>
      </c>
      <c r="V378" s="3" t="n">
        <v>45985</v>
      </c>
      <c r="W378" s="2" t="inlineStr">
        <is>
          <t>AR: https://www.parlamento.pt/OrcamentoEstado/Paginas/DetalhePropostaAlteracao.aspx?BID=23538 PDF: https://app.parlamento.pt/webutils/docs/doc.pdf?path=6148523063484d364c793942556b356c6443397a6158526c63793959566b6c4a544556484c3039464c7a49774d6a59794d4449314d5441774f533951515338785a54673259546c6b5a6930324e7a63344c54526d5a5759744f474d794d7930774d6a5933596a45355a6a63334d7a4d756347526d&amp;Fich=1e86a9df-6778-4fef-8c23-0267b19f7733.pdf&amp;Inline=true</t>
        </is>
      </c>
      <c r="X378" s="2" t="inlineStr">
        <is>
          <t>Agricultura e Pescas</t>
        </is>
      </c>
      <c r="Y378" s="2" t="inlineStr">
        <is>
          <t>Articulado</t>
        </is>
      </c>
      <c r="Z378" s="2" t="inlineStr">
        <is>
          <t>Aditamento (Artigo PPL)</t>
        </is>
      </c>
      <c r="AA378" s="2" t="inlineStr">
        <is>
          <t>Rejeitado(a) em Comissão</t>
        </is>
      </c>
      <c r="AB378" s="2" t="inlineStr"/>
      <c r="AC378" s="2" t="inlineStr"/>
      <c r="AD378" s="2" t="inlineStr">
        <is>
          <t>1</t>
        </is>
      </c>
      <c r="AE378" s="2" t="inlineStr">
        <is>
          <t>23538</t>
        </is>
      </c>
      <c r="AF378" s="2" t="inlineStr">
        <is>
          <t>https://www.parlamento.pt/OrcamentoEstado/Paginas/DetalhePropostaAlteracao.aspx?BID=23538</t>
        </is>
      </c>
      <c r="AG378" s="2" t="inlineStr">
        <is>
          <t>https://app.parlamento.pt/webutils/docs/doc.pdf?path=6148523063484d364c793942556b356c6443397a6158526c63793959566b6c4a544556484c3039464c7a49774d6a59794d4449314d5441774f533951515338785a54673259546c6b5a6930324e7a63344c54526d5a5759744f474d794d7930774d6a5933596a45355a6a63334d7a4d756347526d&amp;Fich=1e86a9df-6778-4fef-8c23-0267b19f7733.pdf&amp;Inline=true</t>
        </is>
      </c>
      <c r="AH378" s="3" t="n">
        <v>46321.77847222222</v>
      </c>
      <c r="AI378" s="3" t="n">
        <v>46321.78055555555</v>
      </c>
      <c r="AJ378" s="2" t="inlineStr"/>
    </row>
    <row r="379">
      <c r="A379" s="2" t="n">
        <v>378</v>
      </c>
      <c r="B379" s="2" t="inlineStr">
        <is>
          <t>342C</t>
        </is>
      </c>
      <c r="C379" s="3" t="n">
        <v>45965.40902777778</v>
      </c>
      <c r="D379" s="2" t="inlineStr">
        <is>
          <t>Original</t>
        </is>
      </c>
      <c r="E379" s="2" t="inlineStr">
        <is>
          <t>CH</t>
        </is>
      </c>
      <c r="F37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79" s="2" t="inlineStr">
        <is>
          <t>Art. 46.º-A (aditamento)</t>
        </is>
      </c>
      <c r="H379" s="2" t="n"/>
      <c r="I379" s="2" t="n"/>
      <c r="J379" s="2" t="n"/>
      <c r="K379" s="2" t="n"/>
      <c r="L379" s="2" t="inlineStr">
        <is>
          <t>Artigo 46.º-A (Alargamento da Rede Nacional de Centros de Atividades e Capacitação para a Inclusão (CACI))</t>
        </is>
      </c>
      <c r="M379" s="4" t="n"/>
      <c r="N379" s="4" t="n"/>
      <c r="O379" s="2" t="n"/>
      <c r="P379" s="2" t="n"/>
      <c r="Q379" s="2" t="n"/>
      <c r="R379" s="2" t="n"/>
      <c r="S379" s="2" t="inlineStr">
        <is>
          <t>Rejeitado(a) em Comissão</t>
        </is>
      </c>
      <c r="T379" s="2" t="inlineStr">
        <is>
          <t>Rejeitada</t>
        </is>
      </c>
      <c r="U379" s="2" t="inlineStr">
        <is>
          <t>Favor: CH, IL, BE, PAN; Contra: PSD, CDS-PP; Abstenção: PS, L, PCP</t>
        </is>
      </c>
      <c r="V379" s="3" t="n">
        <v>45981</v>
      </c>
      <c r="W379" s="2" t="inlineStr">
        <is>
          <t>AR: https://www.parlamento.pt/OrcamentoEstado/Paginas/DetalhePropostaAlteracao.aspx?BID=23539 PDF: https://app.parlamento.pt/webutils/docs/doc.pdf?path=6148523063484d364c793942556b356c6443397a6158526c63793959566b6c4a544556484c3039464c7a49774d6a59794d4449314d5441774f533951515338795a4452685a44646a5a6930774e54426a4c545177597a4574595455304d53307759544a6d5a5459784e546777597a45756347526d&amp;Fich=2d4ad7cf-050c-40c1-a541-0a2fe61580c1.pdf&amp;Inline=true</t>
        </is>
      </c>
      <c r="X379" s="2" t="inlineStr">
        <is>
          <t>Trabalho, Segurança Social e Inclusão</t>
        </is>
      </c>
      <c r="Y379" s="2" t="inlineStr">
        <is>
          <t>Articulado</t>
        </is>
      </c>
      <c r="Z379" s="2" t="inlineStr">
        <is>
          <t>Aditamento (Artigo PPL)</t>
        </is>
      </c>
      <c r="AA379" s="2" t="inlineStr">
        <is>
          <t>Rejeitado(a) em Comissão</t>
        </is>
      </c>
      <c r="AB379" s="2" t="inlineStr"/>
      <c r="AC379" s="2" t="inlineStr"/>
      <c r="AD379" s="2" t="inlineStr">
        <is>
          <t>1</t>
        </is>
      </c>
      <c r="AE379" s="2" t="inlineStr">
        <is>
          <t>23539</t>
        </is>
      </c>
      <c r="AF379" s="2" t="inlineStr">
        <is>
          <t>https://www.parlamento.pt/OrcamentoEstado/Paginas/DetalhePropostaAlteracao.aspx?BID=23539</t>
        </is>
      </c>
      <c r="AG379" s="2" t="inlineStr">
        <is>
          <t>https://app.parlamento.pt/webutils/docs/doc.pdf?path=6148523063484d364c793942556b356c6443397a6158526c63793959566b6c4a544556484c3039464c7a49774d6a59794d4449314d5441774f533951515338795a4452685a44646a5a6930774e54426a4c545177597a4574595455304d53307759544a6d5a5459784e546777597a45756347526d&amp;Fich=2d4ad7cf-050c-40c1-a541-0a2fe61580c1.pdf&amp;Inline=true</t>
        </is>
      </c>
      <c r="AH379" s="3" t="n">
        <v>46321.77847222222</v>
      </c>
      <c r="AI379" s="3" t="n">
        <v>46321.78055555555</v>
      </c>
      <c r="AJ379" s="2" t="inlineStr"/>
    </row>
    <row r="380">
      <c r="A380" s="2" t="n">
        <v>379</v>
      </c>
      <c r="B380" s="2" t="inlineStr">
        <is>
          <t>343C</t>
        </is>
      </c>
      <c r="C380" s="3" t="n">
        <v>45965.40972222222</v>
      </c>
      <c r="D380" s="2" t="inlineStr">
        <is>
          <t>Original</t>
        </is>
      </c>
      <c r="E380" s="2" t="inlineStr">
        <is>
          <t>CH</t>
        </is>
      </c>
      <c r="F38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80" s="2" t="inlineStr">
        <is>
          <t>Art. 128.º-A (aditamento)</t>
        </is>
      </c>
      <c r="H380" s="2" t="n"/>
      <c r="I380" s="2" t="n"/>
      <c r="J380" s="2" t="n"/>
      <c r="K380" s="2" t="n"/>
      <c r="L380" s="2" t="inlineStr">
        <is>
          <t>Artigo 128.º-A (Criação de uma Divisão de Bem-Estar de Animais de Companhia na Direção-Geral de Alimentação e Veterinária)</t>
        </is>
      </c>
      <c r="M380" s="4" t="n"/>
      <c r="N380" s="4" t="n"/>
      <c r="O380" s="2" t="n"/>
      <c r="P380" s="2" t="n"/>
      <c r="Q380" s="2" t="n"/>
      <c r="R380" s="2" t="n"/>
      <c r="S380" s="2" t="inlineStr">
        <is>
          <t>Rejeitado(a) em Comissão</t>
        </is>
      </c>
      <c r="T380" s="2" t="inlineStr">
        <is>
          <t>Rejeitada</t>
        </is>
      </c>
      <c r="U380" s="2" t="inlineStr">
        <is>
          <t>Favor: CH, BE, PAN; Contra: PSD, PS, IL, CDS-PP; Abstenção: L, PCP</t>
        </is>
      </c>
      <c r="V380" s="3" t="n">
        <v>45985</v>
      </c>
      <c r="W380" s="2" t="inlineStr">
        <is>
          <t>AR: https://www.parlamento.pt/OrcamentoEstado/Paginas/DetalhePropostaAlteracao.aspx?BID=23540 PDF: https://app.parlamento.pt/webutils/docs/doc.pdf?path=6148523063484d364c793942556b356c6443397a6158526c63793959566b6c4a544556484c3039464c7a49774d6a59794d4449314d5441774f533951515339685932597a597a593159693168597a41774c5451304d3245744f4451314e6930354d324a6b4f5463795a444d775a5745756347526d&amp;Fich=acf3c65b-ac00-443a-8456-93bd972d30ea.pdf&amp;Inline=true</t>
        </is>
      </c>
      <c r="X380" s="2" t="inlineStr">
        <is>
          <t>Agricultura e Pescas</t>
        </is>
      </c>
      <c r="Y380" s="2" t="inlineStr">
        <is>
          <t>Articulado</t>
        </is>
      </c>
      <c r="Z380" s="2" t="inlineStr">
        <is>
          <t>Aditamento (Artigo PPL)</t>
        </is>
      </c>
      <c r="AA380" s="2" t="inlineStr">
        <is>
          <t>Rejeitado(a) em Comissão</t>
        </is>
      </c>
      <c r="AB380" s="2" t="inlineStr"/>
      <c r="AC380" s="2" t="inlineStr"/>
      <c r="AD380" s="2" t="inlineStr">
        <is>
          <t>1</t>
        </is>
      </c>
      <c r="AE380" s="2" t="inlineStr">
        <is>
          <t>23540</t>
        </is>
      </c>
      <c r="AF380" s="2" t="inlineStr">
        <is>
          <t>https://www.parlamento.pt/OrcamentoEstado/Paginas/DetalhePropostaAlteracao.aspx?BID=23540</t>
        </is>
      </c>
      <c r="AG380" s="2" t="inlineStr">
        <is>
          <t>https://app.parlamento.pt/webutils/docs/doc.pdf?path=6148523063484d364c793942556b356c6443397a6158526c63793959566b6c4a544556484c3039464c7a49774d6a59794d4449314d5441774f533951515339685932597a597a593159693168597a41774c5451304d3245744f4451314e6930354d324a6b4f5463795a444d775a5745756347526d&amp;Fich=acf3c65b-ac00-443a-8456-93bd972d30ea.pdf&amp;Inline=true</t>
        </is>
      </c>
      <c r="AH380" s="3" t="n">
        <v>46321.77847222222</v>
      </c>
      <c r="AI380" s="3" t="n">
        <v>46321.78055555555</v>
      </c>
      <c r="AJ380" s="2" t="inlineStr"/>
    </row>
    <row r="381">
      <c r="A381" s="2" t="n">
        <v>380</v>
      </c>
      <c r="B381" s="2" t="inlineStr">
        <is>
          <t>344C</t>
        </is>
      </c>
      <c r="C381" s="3" t="n">
        <v>45965.41041666667</v>
      </c>
      <c r="D381" s="2" t="inlineStr">
        <is>
          <t>Original</t>
        </is>
      </c>
      <c r="E381" s="2" t="inlineStr">
        <is>
          <t>CH</t>
        </is>
      </c>
      <c r="F38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81" s="2" t="inlineStr">
        <is>
          <t>Art. 46.º-A (aditamento)</t>
        </is>
      </c>
      <c r="H381" s="2" t="n"/>
      <c r="I381" s="2" t="n"/>
      <c r="J381" s="2" t="n"/>
      <c r="K381" s="2" t="n"/>
      <c r="L381" s="2" t="inlineStr">
        <is>
          <t>Artigo 46.º-A (Aumento do montante afeto aos Contratos Simples e de Desenvolvimento de Apoio à Família)</t>
        </is>
      </c>
      <c r="M381" s="4" t="n"/>
      <c r="N381" s="4" t="n"/>
      <c r="O381" s="2" t="n"/>
      <c r="P381" s="2" t="n"/>
      <c r="Q381" s="2" t="n"/>
      <c r="R381" s="2" t="n"/>
      <c r="S381" s="2" t="inlineStr">
        <is>
          <t>Rejeitado(a) em Comissão</t>
        </is>
      </c>
      <c r="T381" s="2" t="inlineStr">
        <is>
          <t>Rejeitada</t>
        </is>
      </c>
      <c r="U381" s="2" t="inlineStr">
        <is>
          <t>Favor: CH, IL, PAN; Contra: PSD, PS, L, PCP, CDS-PP, BE</t>
        </is>
      </c>
      <c r="V381" s="3" t="n">
        <v>45981</v>
      </c>
      <c r="W381" s="2" t="inlineStr">
        <is>
          <t>AR: https://www.parlamento.pt/OrcamentoEstado/Paginas/DetalhePropostaAlteracao.aspx?BID=23541 PDF: https://app.parlamento.pt/webutils/docs/doc.pdf?path=6148523063484d364c793942556b356c6443397a6158526c63793959566b6c4a544556484c3039464c7a49774d6a59794d4449314d5441774f533951515338314f546c6b4e546b785a4330304d6d51774c5451354d6a5174596a41304f5330305a6a45304d7a68694f5441355a6a6b756347526d&amp;Fich=599d591d-42d0-4924-b049-4f1438b909f9.pdf&amp;Inline=true</t>
        </is>
      </c>
      <c r="X381" s="2" t="inlineStr">
        <is>
          <t>Trabalho, Segurança Social e Inclusão</t>
        </is>
      </c>
      <c r="Y381" s="2" t="inlineStr">
        <is>
          <t>Articulado</t>
        </is>
      </c>
      <c r="Z381" s="2" t="inlineStr">
        <is>
          <t>Aditamento (Artigo PPL)</t>
        </is>
      </c>
      <c r="AA381" s="2" t="inlineStr">
        <is>
          <t>Rejeitado(a) em Comissão</t>
        </is>
      </c>
      <c r="AB381" s="2" t="inlineStr"/>
      <c r="AC381" s="2" t="inlineStr"/>
      <c r="AD381" s="2" t="inlineStr">
        <is>
          <t>1</t>
        </is>
      </c>
      <c r="AE381" s="2" t="inlineStr">
        <is>
          <t>23541</t>
        </is>
      </c>
      <c r="AF381" s="2" t="inlineStr">
        <is>
          <t>https://www.parlamento.pt/OrcamentoEstado/Paginas/DetalhePropostaAlteracao.aspx?BID=23541</t>
        </is>
      </c>
      <c r="AG381" s="2" t="inlineStr">
        <is>
          <t>https://app.parlamento.pt/webutils/docs/doc.pdf?path=6148523063484d364c793942556b356c6443397a6158526c63793959566b6c4a544556484c3039464c7a49774d6a59794d4449314d5441774f533951515338314f546c6b4e546b785a4330304d6d51774c5451354d6a5174596a41304f5330305a6a45304d7a68694f5441355a6a6b756347526d&amp;Fich=599d591d-42d0-4924-b049-4f1438b909f9.pdf&amp;Inline=true</t>
        </is>
      </c>
      <c r="AH381" s="3" t="n">
        <v>46321.77847222222</v>
      </c>
      <c r="AI381" s="3" t="n">
        <v>46321.78055555555</v>
      </c>
      <c r="AJ381" s="2" t="inlineStr"/>
    </row>
    <row r="382">
      <c r="A382" s="2" t="n">
        <v>381</v>
      </c>
      <c r="B382" s="2" t="inlineStr">
        <is>
          <t>345C</t>
        </is>
      </c>
      <c r="C382" s="3" t="n">
        <v>45965.41041666667</v>
      </c>
      <c r="D382" s="2" t="inlineStr">
        <is>
          <t>Original</t>
        </is>
      </c>
      <c r="E382" s="2" t="inlineStr">
        <is>
          <t>CH</t>
        </is>
      </c>
      <c r="F38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82" s="2" t="inlineStr">
        <is>
          <t>Art. 128.º-A (aditamento)</t>
        </is>
      </c>
      <c r="H382" s="2" t="n"/>
      <c r="I382" s="2" t="n"/>
      <c r="J382" s="2" t="n"/>
      <c r="K382" s="2" t="n"/>
      <c r="L382" s="2" t="inlineStr">
        <is>
          <t>Artigo 128.º-A (Introdução de um apoio de emergência para os cereais)</t>
        </is>
      </c>
      <c r="M382" s="4" t="n"/>
      <c r="N382" s="4" t="n"/>
      <c r="O382" s="2" t="n"/>
      <c r="P382" s="2" t="n"/>
      <c r="Q382" s="2" t="n"/>
      <c r="R382" s="2" t="n"/>
      <c r="S382" s="2" t="inlineStr">
        <is>
          <t>Rejeitado(a) em Comissão</t>
        </is>
      </c>
      <c r="T382" s="2" t="inlineStr">
        <is>
          <t>Rejeitada</t>
        </is>
      </c>
      <c r="U382" s="2" t="inlineStr">
        <is>
          <t>Favor: CH, BE, PAN; Contra: PSD, IL, CDS-PP; Abstenção: PS, L, PCP</t>
        </is>
      </c>
      <c r="V382" s="3" t="n">
        <v>45985</v>
      </c>
      <c r="W382" s="2" t="inlineStr">
        <is>
          <t>AR: https://www.parlamento.pt/OrcamentoEstado/Paginas/DetalhePropostaAlteracao.aspx?BID=23542 PDF: https://app.parlamento.pt/webutils/docs/doc.pdf?path=6148523063484d364c793942556b356c6443397a6158526c63793959566b6c4a544556484c3039464c7a49774d6a59794d4449314d5441774f5339515153387a596d4d335a6d59774f5331694e4463784c5451774f5445744f544d305953316959546469593249334e5451304e7a59756347526d&amp;Fich=3bc7ff09-b471-4091-934a-ba7bcb754476.pdf&amp;Inline=true</t>
        </is>
      </c>
      <c r="X382" s="2" t="inlineStr">
        <is>
          <t>Agricultura e Pescas</t>
        </is>
      </c>
      <c r="Y382" s="2" t="inlineStr">
        <is>
          <t>Articulado</t>
        </is>
      </c>
      <c r="Z382" s="2" t="inlineStr">
        <is>
          <t>Aditamento (Artigo PPL)</t>
        </is>
      </c>
      <c r="AA382" s="2" t="inlineStr">
        <is>
          <t>Rejeitado(a) em Comissão</t>
        </is>
      </c>
      <c r="AB382" s="2" t="inlineStr"/>
      <c r="AC382" s="2" t="inlineStr"/>
      <c r="AD382" s="2" t="inlineStr">
        <is>
          <t>1</t>
        </is>
      </c>
      <c r="AE382" s="2" t="inlineStr">
        <is>
          <t>23542</t>
        </is>
      </c>
      <c r="AF382" s="2" t="inlineStr">
        <is>
          <t>https://www.parlamento.pt/OrcamentoEstado/Paginas/DetalhePropostaAlteracao.aspx?BID=23542</t>
        </is>
      </c>
      <c r="AG382" s="2" t="inlineStr">
        <is>
          <t>https://app.parlamento.pt/webutils/docs/doc.pdf?path=6148523063484d364c793942556b356c6443397a6158526c63793959566b6c4a544556484c3039464c7a49774d6a59794d4449314d5441774f5339515153387a596d4d335a6d59774f5331694e4463784c5451774f5445744f544d305953316959546469593249334e5451304e7a59756347526d&amp;Fich=3bc7ff09-b471-4091-934a-ba7bcb754476.pdf&amp;Inline=true</t>
        </is>
      </c>
      <c r="AH382" s="3" t="n">
        <v>46321.77847222222</v>
      </c>
      <c r="AI382" s="3" t="n">
        <v>46321.78055555555</v>
      </c>
      <c r="AJ382" s="2" t="inlineStr"/>
    </row>
    <row r="383">
      <c r="A383" s="2" t="n">
        <v>382</v>
      </c>
      <c r="B383" s="2" t="inlineStr">
        <is>
          <t>346C</t>
        </is>
      </c>
      <c r="C383" s="3" t="n">
        <v>45965.41111111111</v>
      </c>
      <c r="D383" s="2" t="inlineStr">
        <is>
          <t>Original</t>
        </is>
      </c>
      <c r="E383" s="2" t="inlineStr">
        <is>
          <t>CH</t>
        </is>
      </c>
      <c r="F38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83" s="2" t="inlineStr">
        <is>
          <t>Art. 46.º-A (aditamento)</t>
        </is>
      </c>
      <c r="H383" s="2" t="n"/>
      <c r="I383" s="2" t="n"/>
      <c r="J383" s="2" t="n"/>
      <c r="K383" s="2" t="n"/>
      <c r="L383" s="2" t="inlineStr">
        <is>
          <t>Artigo 46.º-A (Simplificação do Estatuto de Cuidador Informal)</t>
        </is>
      </c>
      <c r="M383" s="4" t="n"/>
      <c r="N383" s="4" t="n"/>
      <c r="O383" s="2" t="n"/>
      <c r="P383" s="2" t="n"/>
      <c r="Q383" s="2" t="n"/>
      <c r="R383" s="2" t="n"/>
      <c r="S383" s="2" t="inlineStr">
        <is>
          <t>Rejeitado(a) em Comissão</t>
        </is>
      </c>
      <c r="T383" s="2" t="inlineStr">
        <is>
          <t>Rejeitada</t>
        </is>
      </c>
      <c r="U383" s="2" t="inlineStr">
        <is>
          <t>Favor: CH, BE, PAN; Contra: PSD, IL, CDS-PP; Abstenção: PS, L, PCP</t>
        </is>
      </c>
      <c r="V383" s="3" t="n">
        <v>45981</v>
      </c>
      <c r="W383" s="2" t="inlineStr">
        <is>
          <t>AR: https://www.parlamento.pt/OrcamentoEstado/Paginas/DetalhePropostaAlteracao.aspx?BID=23543 PDF: https://app.parlamento.pt/webutils/docs/doc.pdf?path=6148523063484d364c793942556b356c6443397a6158526c63793959566b6c4a544556484c3039464c7a49774d6a59794d4449314d5441774f533951515338344e6a51794f4449315a6930325a57517a4c5451354e7a4974595749344f43307a4e446b344d7a6b35596a63784d7a6b756347526d&amp;Fich=8642825f-6ed3-4972-ab88-3498399b7139.pdf&amp;Inline=true</t>
        </is>
      </c>
      <c r="X383" s="2" t="inlineStr">
        <is>
          <t>Trabalho, Segurança Social e Inclusão</t>
        </is>
      </c>
      <c r="Y383" s="2" t="inlineStr">
        <is>
          <t>Articulado</t>
        </is>
      </c>
      <c r="Z383" s="2" t="inlineStr">
        <is>
          <t>Aditamento (Artigo PPL)</t>
        </is>
      </c>
      <c r="AA383" s="2" t="inlineStr">
        <is>
          <t>Rejeitado(a) em Comissão</t>
        </is>
      </c>
      <c r="AB383" s="2" t="inlineStr"/>
      <c r="AC383" s="2" t="inlineStr"/>
      <c r="AD383" s="2" t="inlineStr">
        <is>
          <t>1</t>
        </is>
      </c>
      <c r="AE383" s="2" t="inlineStr">
        <is>
          <t>23543</t>
        </is>
      </c>
      <c r="AF383" s="2" t="inlineStr">
        <is>
          <t>https://www.parlamento.pt/OrcamentoEstado/Paginas/DetalhePropostaAlteracao.aspx?BID=23543</t>
        </is>
      </c>
      <c r="AG383" s="2" t="inlineStr">
        <is>
          <t>https://app.parlamento.pt/webutils/docs/doc.pdf?path=6148523063484d364c793942556b356c6443397a6158526c63793959566b6c4a544556484c3039464c7a49774d6a59794d4449314d5441774f533951515338344e6a51794f4449315a6930325a57517a4c5451354e7a4974595749344f43307a4e446b344d7a6b35596a63784d7a6b756347526d&amp;Fich=8642825f-6ed3-4972-ab88-3498399b7139.pdf&amp;Inline=true</t>
        </is>
      </c>
      <c r="AH383" s="3" t="n">
        <v>46321.77847222222</v>
      </c>
      <c r="AI383" s="3" t="n">
        <v>46321.78055555555</v>
      </c>
      <c r="AJ383" s="2" t="inlineStr"/>
    </row>
    <row r="384">
      <c r="A384" s="2" t="n">
        <v>383</v>
      </c>
      <c r="B384" s="2" t="inlineStr">
        <is>
          <t>347C</t>
        </is>
      </c>
      <c r="C384" s="3" t="n">
        <v>45965.41111111111</v>
      </c>
      <c r="D384" s="2" t="inlineStr">
        <is>
          <t>Original</t>
        </is>
      </c>
      <c r="E384" s="2" t="inlineStr">
        <is>
          <t>CH</t>
        </is>
      </c>
      <c r="F38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84" s="2" t="inlineStr">
        <is>
          <t>Art. 128.º-A (aditamento)</t>
        </is>
      </c>
      <c r="H384" s="2" t="n"/>
      <c r="I384" s="2" t="n"/>
      <c r="J384" s="2" t="n"/>
      <c r="K384" s="2" t="n"/>
      <c r="L384" s="2" t="inlineStr">
        <is>
          <t>Artigo 128.º-A (Controlo rigoroso de cereais nos portos e fronteiras)</t>
        </is>
      </c>
      <c r="M384" s="4" t="n"/>
      <c r="N384" s="4" t="n"/>
      <c r="O384" s="2" t="n"/>
      <c r="P384" s="2" t="n"/>
      <c r="Q384" s="2" t="n"/>
      <c r="R384" s="2" t="n"/>
      <c r="S384" s="2" t="inlineStr">
        <is>
          <t>Rejeitado(a) em Comissão</t>
        </is>
      </c>
      <c r="T384" s="2" t="inlineStr">
        <is>
          <t>Rejeitada</t>
        </is>
      </c>
      <c r="U384" s="2" t="inlineStr">
        <is>
          <t>Favor: CH, IL, BE, PAN; Contra: PSD, PS, CDS-PP; Abstenção: L, PCP</t>
        </is>
      </c>
      <c r="V384" s="3" t="n">
        <v>45985</v>
      </c>
      <c r="W384" s="2" t="inlineStr">
        <is>
          <t>AR: https://www.parlamento.pt/OrcamentoEstado/Paginas/DetalhePropostaAlteracao.aspx?BID=23544 PDF: https://app.parlamento.pt/webutils/docs/doc.pdf?path=6148523063484d364c793942556b356c6443397a6158526c63793959566b6c4a544556484c3039464c7a49774d6a59794d4449314d5441774f53395151533833595745774d6a63334e43316d5a4755354c54526c4e7a67744f5455325a5331694d7a5a6d5a6a5131596d4d345a5467756347526d&amp;Fich=7aa02774-fde9-4e78-956e-b36ff45bc8e8.pdf&amp;Inline=true</t>
        </is>
      </c>
      <c r="X384" s="2" t="inlineStr">
        <is>
          <t>Agricultura e Pescas</t>
        </is>
      </c>
      <c r="Y384" s="2" t="inlineStr">
        <is>
          <t>Articulado</t>
        </is>
      </c>
      <c r="Z384" s="2" t="inlineStr">
        <is>
          <t>Aditamento (Artigo PPL)</t>
        </is>
      </c>
      <c r="AA384" s="2" t="inlineStr">
        <is>
          <t>Rejeitado(a) em Comissão</t>
        </is>
      </c>
      <c r="AB384" s="2" t="inlineStr"/>
      <c r="AC384" s="2" t="inlineStr"/>
      <c r="AD384" s="2" t="inlineStr">
        <is>
          <t>1</t>
        </is>
      </c>
      <c r="AE384" s="2" t="inlineStr">
        <is>
          <t>23544</t>
        </is>
      </c>
      <c r="AF384" s="2" t="inlineStr">
        <is>
          <t>https://www.parlamento.pt/OrcamentoEstado/Paginas/DetalhePropostaAlteracao.aspx?BID=23544</t>
        </is>
      </c>
      <c r="AG384" s="2" t="inlineStr">
        <is>
          <t>https://app.parlamento.pt/webutils/docs/doc.pdf?path=6148523063484d364c793942556b356c6443397a6158526c63793959566b6c4a544556484c3039464c7a49774d6a59794d4449314d5441774f53395151533833595745774d6a63334e43316d5a4755354c54526c4e7a67744f5455325a5331694d7a5a6d5a6a5131596d4d345a5467756347526d&amp;Fich=7aa02774-fde9-4e78-956e-b36ff45bc8e8.pdf&amp;Inline=true</t>
        </is>
      </c>
      <c r="AH384" s="3" t="n">
        <v>46321.77847222222</v>
      </c>
      <c r="AI384" s="3" t="n">
        <v>46321.78055555555</v>
      </c>
      <c r="AJ384" s="2" t="inlineStr"/>
    </row>
    <row r="385">
      <c r="A385" s="2" t="n">
        <v>384</v>
      </c>
      <c r="B385" s="2" t="inlineStr">
        <is>
          <t>348C</t>
        </is>
      </c>
      <c r="C385" s="3" t="n">
        <v>45965.4125</v>
      </c>
      <c r="D385" s="2" t="inlineStr">
        <is>
          <t>Original</t>
        </is>
      </c>
      <c r="E385" s="2" t="inlineStr">
        <is>
          <t>CH</t>
        </is>
      </c>
      <c r="F38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85" s="2" t="inlineStr">
        <is>
          <t>Art. 46.º-A (aditamento)</t>
        </is>
      </c>
      <c r="H385" s="2" t="n"/>
      <c r="I385" s="2" t="n"/>
      <c r="J385" s="2" t="n"/>
      <c r="K385" s="2" t="n"/>
      <c r="L385" s="2" t="inlineStr">
        <is>
          <t>Artigo 46.º-A (Aumento da capacidade institucional para a licença de descanso do cuidador informal)</t>
        </is>
      </c>
      <c r="M385" s="4" t="n"/>
      <c r="N385" s="4" t="n"/>
      <c r="O385" s="2" t="n"/>
      <c r="P385" s="2" t="n"/>
      <c r="Q385" s="2" t="n"/>
      <c r="R385" s="2" t="n"/>
      <c r="S385" s="2" t="inlineStr">
        <is>
          <t>Rejeitado(a) em Comissão</t>
        </is>
      </c>
      <c r="T385" s="2" t="inlineStr">
        <is>
          <t>Rejeitada</t>
        </is>
      </c>
      <c r="U385" s="2" t="inlineStr">
        <is>
          <t>Favor: CH, BE, PAN; Contra: PSD, IL, CDS-PP; Abstenção: PS, L, PCP</t>
        </is>
      </c>
      <c r="V385" s="3" t="n">
        <v>45981</v>
      </c>
      <c r="W385" s="2" t="inlineStr">
        <is>
          <t>AR: https://www.parlamento.pt/OrcamentoEstado/Paginas/DetalhePropostaAlteracao.aspx?BID=23545 PDF: https://app.parlamento.pt/webutils/docs/doc.pdf?path=6148523063484d364c793942556b356c6443397a6158526c63793959566b6c4a544556484c3039464c7a49774d6a59794d4449314d5441774f533951515338774e546b344d6a4d334d69307a4d4445304c5452684d3251744f5756684d43316859325979595463794d57566a4d4455756347526d&amp;Fich=05982372-3014-4a3d-9ea0-acf2a721ec05.pdf&amp;Inline=true</t>
        </is>
      </c>
      <c r="X385" s="2" t="inlineStr">
        <is>
          <t>Trabalho, Segurança Social e Inclusão</t>
        </is>
      </c>
      <c r="Y385" s="2" t="inlineStr">
        <is>
          <t>Articulado</t>
        </is>
      </c>
      <c r="Z385" s="2" t="inlineStr">
        <is>
          <t>Aditamento (Artigo PPL)</t>
        </is>
      </c>
      <c r="AA385" s="2" t="inlineStr">
        <is>
          <t>Rejeitado(a) em Comissão</t>
        </is>
      </c>
      <c r="AB385" s="2" t="inlineStr"/>
      <c r="AC385" s="2" t="inlineStr"/>
      <c r="AD385" s="2" t="inlineStr">
        <is>
          <t>1</t>
        </is>
      </c>
      <c r="AE385" s="2" t="inlineStr">
        <is>
          <t>23545</t>
        </is>
      </c>
      <c r="AF385" s="2" t="inlineStr">
        <is>
          <t>https://www.parlamento.pt/OrcamentoEstado/Paginas/DetalhePropostaAlteracao.aspx?BID=23545</t>
        </is>
      </c>
      <c r="AG385" s="2" t="inlineStr">
        <is>
          <t>https://app.parlamento.pt/webutils/docs/doc.pdf?path=6148523063484d364c793942556b356c6443397a6158526c63793959566b6c4a544556484c3039464c7a49774d6a59794d4449314d5441774f533951515338774e546b344d6a4d334d69307a4d4445304c5452684d3251744f5756684d43316859325979595463794d57566a4d4455756347526d&amp;Fich=05982372-3014-4a3d-9ea0-acf2a721ec05.pdf&amp;Inline=true</t>
        </is>
      </c>
      <c r="AH385" s="3" t="n">
        <v>46321.77847222222</v>
      </c>
      <c r="AI385" s="3" t="n">
        <v>46321.78055555555</v>
      </c>
      <c r="AJ385" s="2" t="inlineStr"/>
    </row>
    <row r="386">
      <c r="A386" s="2" t="n">
        <v>385</v>
      </c>
      <c r="B386" s="2" t="inlineStr">
        <is>
          <t>349C</t>
        </is>
      </c>
      <c r="C386" s="3" t="n">
        <v>45965.4125</v>
      </c>
      <c r="D386" s="2" t="inlineStr">
        <is>
          <t>Original</t>
        </is>
      </c>
      <c r="E386" s="2" t="inlineStr">
        <is>
          <t>CH</t>
        </is>
      </c>
      <c r="F38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86" s="2" t="inlineStr">
        <is>
          <t>Art. 128.º-A (aditamento)</t>
        </is>
      </c>
      <c r="H386" s="2" t="n"/>
      <c r="I386" s="2" t="n"/>
      <c r="J386" s="2" t="n"/>
      <c r="K386" s="2" t="n"/>
      <c r="L386" s="2" t="inlineStr">
        <is>
          <t>Artigo 128.º-A (Criação de um fundo de compensação dos prejuízos causados pelo lince-ibérico na pecuária)</t>
        </is>
      </c>
      <c r="M386" s="4" t="n"/>
      <c r="N386" s="4" t="n"/>
      <c r="O386" s="2" t="n"/>
      <c r="P386" s="2" t="n"/>
      <c r="Q386" s="2" t="n"/>
      <c r="R386" s="2" t="n"/>
      <c r="S386" s="2" t="inlineStr">
        <is>
          <t>Rejeitado(a) em Comissão</t>
        </is>
      </c>
      <c r="T386" s="2" t="inlineStr">
        <is>
          <t>Rejeitada</t>
        </is>
      </c>
      <c r="U386" s="2" t="inlineStr">
        <is>
          <t>Favor: CH; Contra: PSD, IL, CDS-PP, PAN; Abstenção: PS, L, PCP, BE</t>
        </is>
      </c>
      <c r="V386" s="3" t="n">
        <v>45985</v>
      </c>
      <c r="W386" s="2" t="inlineStr">
        <is>
          <t>AR: https://www.parlamento.pt/OrcamentoEstado/Paginas/DetalhePropostaAlteracao.aspx?BID=23546 PDF: https://app.parlamento.pt/webutils/docs/doc.pdf?path=6148523063484d364c793942556b356c6443397a6158526c63793959566b6c4a544556484c3039464c7a49774d6a59794d4449314d5441774f533951515339695a574a694f44497a4d6930355a57566b4c5452694e325574595449345a53307a4f5749304d5459784d4745344f4451756347526d&amp;Fich=bebb8232-9eed-4b7e-a28e-39b41610a884.pdf&amp;Inline=true</t>
        </is>
      </c>
      <c r="X386" s="2" t="inlineStr">
        <is>
          <t>Agricultura e Pescas</t>
        </is>
      </c>
      <c r="Y386" s="2" t="inlineStr">
        <is>
          <t>Articulado</t>
        </is>
      </c>
      <c r="Z386" s="2" t="inlineStr">
        <is>
          <t>Aditamento (Artigo PPL)</t>
        </is>
      </c>
      <c r="AA386" s="2" t="inlineStr">
        <is>
          <t>Rejeitado(a) em Comissão</t>
        </is>
      </c>
      <c r="AB386" s="2" t="inlineStr"/>
      <c r="AC386" s="2" t="inlineStr"/>
      <c r="AD386" s="2" t="inlineStr">
        <is>
          <t>1</t>
        </is>
      </c>
      <c r="AE386" s="2" t="inlineStr">
        <is>
          <t>23546</t>
        </is>
      </c>
      <c r="AF386" s="2" t="inlineStr">
        <is>
          <t>https://www.parlamento.pt/OrcamentoEstado/Paginas/DetalhePropostaAlteracao.aspx?BID=23546</t>
        </is>
      </c>
      <c r="AG386" s="2" t="inlineStr">
        <is>
          <t>https://app.parlamento.pt/webutils/docs/doc.pdf?path=6148523063484d364c793942556b356c6443397a6158526c63793959566b6c4a544556484c3039464c7a49774d6a59794d4449314d5441774f533951515339695a574a694f44497a4d6930355a57566b4c5452694e325574595449345a53307a4f5749304d5459784d4745344f4451756347526d&amp;Fich=bebb8232-9eed-4b7e-a28e-39b41610a884.pdf&amp;Inline=true</t>
        </is>
      </c>
      <c r="AH386" s="3" t="n">
        <v>46321.77847222222</v>
      </c>
      <c r="AI386" s="3" t="n">
        <v>46321.78055555555</v>
      </c>
      <c r="AJ386" s="2" t="inlineStr"/>
    </row>
    <row r="387">
      <c r="A387" s="2" t="n">
        <v>386</v>
      </c>
      <c r="B387" s="2" t="inlineStr">
        <is>
          <t>350C</t>
        </is>
      </c>
      <c r="C387" s="3" t="n">
        <v>45965.41319444445</v>
      </c>
      <c r="D387" s="2" t="inlineStr">
        <is>
          <t>Original</t>
        </is>
      </c>
      <c r="E387" s="2" t="inlineStr">
        <is>
          <t>CH</t>
        </is>
      </c>
      <c r="F38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87" s="2" t="inlineStr">
        <is>
          <t>Art. 46.º-A (aditamento)</t>
        </is>
      </c>
      <c r="H387" s="2" t="n"/>
      <c r="I387" s="2" t="n"/>
      <c r="J387" s="2" t="n"/>
      <c r="K387" s="2" t="n"/>
      <c r="L387" s="2" t="inlineStr">
        <is>
          <t>Artigo 46.º-A (Determina a criação e implementação do Cheque Sénior para uso em Estruturas Residenciais para Pessoas Idosas (ERPI))</t>
        </is>
      </c>
      <c r="M387" s="4" t="n"/>
      <c r="N387" s="4" t="n"/>
      <c r="O387" s="2" t="n"/>
      <c r="P387" s="2" t="n"/>
      <c r="Q387" s="2" t="n"/>
      <c r="R387" s="2" t="n"/>
      <c r="S387" s="2" t="inlineStr">
        <is>
          <t>Rejeitado(a) em Comissão</t>
        </is>
      </c>
      <c r="T387" s="2" t="inlineStr">
        <is>
          <t>Rejeitada</t>
        </is>
      </c>
      <c r="U387" s="2" t="inlineStr">
        <is>
          <t>Favor: CH, PAN; Contra: PSD, PS, L, PCP, CDS-PP, BE; Abstenção: IL</t>
        </is>
      </c>
      <c r="V387" s="3" t="n">
        <v>45981</v>
      </c>
      <c r="W387" s="2" t="inlineStr">
        <is>
          <t>AR: https://www.parlamento.pt/OrcamentoEstado/Paginas/DetalhePropostaAlteracao.aspx?BID=23547 PDF: https://app.parlamento.pt/webutils/docs/doc.pdf?path=6148523063484d364c793942556b356c6443397a6158526c63793959566b6c4a544556484c3039464c7a49774d6a59794d4449314d5441774f533951515338795a444d77595745334d7930794d32526d4c5451304d6d4974595446694f433032596a64694d4759354e54566d4d5745756347526d&amp;Fich=2d30aa73-23df-442b-a1b8-6b7b0f955f1a.pdf&amp;Inline=true</t>
        </is>
      </c>
      <c r="X387" s="2" t="inlineStr">
        <is>
          <t>Trabalho, Segurança Social e Inclusão</t>
        </is>
      </c>
      <c r="Y387" s="2" t="inlineStr">
        <is>
          <t>Articulado</t>
        </is>
      </c>
      <c r="Z387" s="2" t="inlineStr">
        <is>
          <t>Aditamento (Artigo PPL)</t>
        </is>
      </c>
      <c r="AA387" s="2" t="inlineStr">
        <is>
          <t>Rejeitado(a) em Comissão</t>
        </is>
      </c>
      <c r="AB387" s="2" t="inlineStr"/>
      <c r="AC387" s="2" t="inlineStr"/>
      <c r="AD387" s="2" t="inlineStr">
        <is>
          <t>1</t>
        </is>
      </c>
      <c r="AE387" s="2" t="inlineStr">
        <is>
          <t>23547</t>
        </is>
      </c>
      <c r="AF387" s="2" t="inlineStr">
        <is>
          <t>https://www.parlamento.pt/OrcamentoEstado/Paginas/DetalhePropostaAlteracao.aspx?BID=23547</t>
        </is>
      </c>
      <c r="AG387" s="2" t="inlineStr">
        <is>
          <t>https://app.parlamento.pt/webutils/docs/doc.pdf?path=6148523063484d364c793942556b356c6443397a6158526c63793959566b6c4a544556484c3039464c7a49774d6a59794d4449314d5441774f533951515338795a444d77595745334d7930794d32526d4c5451304d6d4974595446694f433032596a64694d4759354e54566d4d5745756347526d&amp;Fich=2d30aa73-23df-442b-a1b8-6b7b0f955f1a.pdf&amp;Inline=true</t>
        </is>
      </c>
      <c r="AH387" s="3" t="n">
        <v>46321.77847222222</v>
      </c>
      <c r="AI387" s="3" t="n">
        <v>46321.78055555555</v>
      </c>
      <c r="AJ387" s="2" t="inlineStr"/>
    </row>
    <row r="388">
      <c r="A388" s="2" t="n">
        <v>387</v>
      </c>
      <c r="B388" s="2" t="inlineStr">
        <is>
          <t>351C</t>
        </is>
      </c>
      <c r="C388" s="3" t="n">
        <v>45965.41319444445</v>
      </c>
      <c r="D388" s="2" t="inlineStr">
        <is>
          <t>Original</t>
        </is>
      </c>
      <c r="E388" s="2" t="inlineStr">
        <is>
          <t>CH</t>
        </is>
      </c>
      <c r="F38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88" s="2" t="inlineStr">
        <is>
          <t>Art. 128.º-A (aditamento)</t>
        </is>
      </c>
      <c r="H388" s="2" t="n"/>
      <c r="I388" s="2" t="n"/>
      <c r="J388" s="2" t="n"/>
      <c r="K388" s="2" t="n"/>
      <c r="L388" s="2" t="inlineStr">
        <is>
          <t>Artigo 128.º-A (Criação de um programa de apoio excecional ao setor cerealífero português)</t>
        </is>
      </c>
      <c r="M388" s="4" t="n"/>
      <c r="N388" s="4" t="n"/>
      <c r="O388" s="2" t="n"/>
      <c r="P388" s="2" t="n"/>
      <c r="Q388" s="2" t="n"/>
      <c r="R388" s="2" t="n"/>
      <c r="S388" s="2" t="inlineStr">
        <is>
          <t>Rejeitado(a) em Comissão</t>
        </is>
      </c>
      <c r="T388" s="2" t="inlineStr">
        <is>
          <t>Rejeitada</t>
        </is>
      </c>
      <c r="U388" s="2" t="inlineStr">
        <is>
          <t>Favor: CH, PAN; Contra: PSD, PS, IL, L, CDS-PP; Abstenção: PCP, BE</t>
        </is>
      </c>
      <c r="V388" s="3" t="n">
        <v>45985</v>
      </c>
      <c r="W388" s="2" t="inlineStr">
        <is>
          <t>AR: https://www.parlamento.pt/OrcamentoEstado/Paginas/DetalhePropostaAlteracao.aspx?BID=23548 PDF: https://app.parlamento.pt/webutils/docs/doc.pdf?path=6148523063484d364c793942556b356c6443397a6158526c63793959566b6c4a544556484c3039464c7a49774d6a59794d4449314d5441774f533951515338784e445932595751324d4331694e5441334c54526b4d5751744f57466d4d5330334f44426a4f4451305a6d49794d3245756347526d&amp;Fich=1466ad60-b507-4d1d-9af1-780c844fb23a.pdf&amp;Inline=true</t>
        </is>
      </c>
      <c r="X388" s="2" t="inlineStr">
        <is>
          <t>Agricultura e Pescas</t>
        </is>
      </c>
      <c r="Y388" s="2" t="inlineStr">
        <is>
          <t>Articulado</t>
        </is>
      </c>
      <c r="Z388" s="2" t="inlineStr">
        <is>
          <t>Aditamento (Artigo PPL)</t>
        </is>
      </c>
      <c r="AA388" s="2" t="inlineStr">
        <is>
          <t>Rejeitado(a) em Comissão</t>
        </is>
      </c>
      <c r="AB388" s="2" t="inlineStr"/>
      <c r="AC388" s="2" t="inlineStr"/>
      <c r="AD388" s="2" t="inlineStr">
        <is>
          <t>1</t>
        </is>
      </c>
      <c r="AE388" s="2" t="inlineStr">
        <is>
          <t>23548</t>
        </is>
      </c>
      <c r="AF388" s="2" t="inlineStr">
        <is>
          <t>https://www.parlamento.pt/OrcamentoEstado/Paginas/DetalhePropostaAlteracao.aspx?BID=23548</t>
        </is>
      </c>
      <c r="AG388" s="2" t="inlineStr">
        <is>
          <t>https://app.parlamento.pt/webutils/docs/doc.pdf?path=6148523063484d364c793942556b356c6443397a6158526c63793959566b6c4a544556484c3039464c7a49774d6a59794d4449314d5441774f533951515338784e445932595751324d4331694e5441334c54526b4d5751744f57466d4d5330334f44426a4f4451305a6d49794d3245756347526d&amp;Fich=1466ad60-b507-4d1d-9af1-780c844fb23a.pdf&amp;Inline=true</t>
        </is>
      </c>
      <c r="AH388" s="3" t="n">
        <v>46321.77847222222</v>
      </c>
      <c r="AI388" s="3" t="n">
        <v>46321.78055555555</v>
      </c>
      <c r="AJ388" s="2" t="inlineStr"/>
    </row>
    <row r="389">
      <c r="A389" s="2" t="n">
        <v>388</v>
      </c>
      <c r="B389" s="2" t="inlineStr">
        <is>
          <t>352C</t>
        </is>
      </c>
      <c r="C389" s="3" t="n">
        <v>45965.41527777778</v>
      </c>
      <c r="D389" s="2" t="inlineStr">
        <is>
          <t>Original</t>
        </is>
      </c>
      <c r="E389" s="2" t="inlineStr">
        <is>
          <t>CH</t>
        </is>
      </c>
      <c r="F38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89" s="2" t="inlineStr">
        <is>
          <t>Art. 46.º-A (aditamento)</t>
        </is>
      </c>
      <c r="H389" s="2" t="n"/>
      <c r="I389" s="2" t="n"/>
      <c r="J389" s="2" t="n"/>
      <c r="K389" s="2" t="n"/>
      <c r="L389" s="2" t="inlineStr">
        <is>
          <t>Artigo 46.º-A (Reconhecimento do estatuto de profissão de desgaste rápido aos operários da indústria vidreira)</t>
        </is>
      </c>
      <c r="M389" s="4" t="n"/>
      <c r="N389" s="4" t="n"/>
      <c r="O389" s="2" t="n"/>
      <c r="P389" s="2" t="n"/>
      <c r="Q389" s="2" t="n"/>
      <c r="R389" s="2" t="n"/>
      <c r="S389" s="2" t="inlineStr">
        <is>
          <t>Rejeitado(a) em Comissão</t>
        </is>
      </c>
      <c r="T389" s="2" t="inlineStr">
        <is>
          <t>Rejeitada</t>
        </is>
      </c>
      <c r="U389" s="2" t="inlineStr">
        <is>
          <t>Favor: CH, BE, PAN; Contra: PSD, IL, CDS-PP; Abstenção: PS, L, PCP</t>
        </is>
      </c>
      <c r="V389" s="3" t="n">
        <v>45981</v>
      </c>
      <c r="W389" s="2" t="inlineStr">
        <is>
          <t>AR: https://www.parlamento.pt/OrcamentoEstado/Paginas/DetalhePropostaAlteracao.aspx?BID=23549 PDF: https://app.parlamento.pt/webutils/docs/doc.pdf?path=6148523063484d364c793942556b356c6443397a6158526c63793959566b6c4a544556484c3039464c7a49774d6a59794d4449314d5441774f533951515339684f544a6b5a54557a4d5331684f57557a4c5451305a6d49744f54466b5a4330784e3249774d7a51344d4745324d5441756347526d&amp;Fich=a92de531-a9e3-44fb-91dd-17b03480a610.pdf&amp;Inline=true</t>
        </is>
      </c>
      <c r="X389" s="2" t="inlineStr">
        <is>
          <t>Trabalho, Segurança Social e Inclusão</t>
        </is>
      </c>
      <c r="Y389" s="2" t="inlineStr">
        <is>
          <t>Articulado</t>
        </is>
      </c>
      <c r="Z389" s="2" t="inlineStr">
        <is>
          <t>Aditamento (Artigo PPL)</t>
        </is>
      </c>
      <c r="AA389" s="2" t="inlineStr">
        <is>
          <t>Rejeitado(a) em Comissão</t>
        </is>
      </c>
      <c r="AB389" s="2" t="inlineStr"/>
      <c r="AC389" s="2" t="inlineStr"/>
      <c r="AD389" s="2" t="inlineStr">
        <is>
          <t>1</t>
        </is>
      </c>
      <c r="AE389" s="2" t="inlineStr">
        <is>
          <t>23549</t>
        </is>
      </c>
      <c r="AF389" s="2" t="inlineStr">
        <is>
          <t>https://www.parlamento.pt/OrcamentoEstado/Paginas/DetalhePropostaAlteracao.aspx?BID=23549</t>
        </is>
      </c>
      <c r="AG389" s="2" t="inlineStr">
        <is>
          <t>https://app.parlamento.pt/webutils/docs/doc.pdf?path=6148523063484d364c793942556b356c6443397a6158526c63793959566b6c4a544556484c3039464c7a49774d6a59794d4449314d5441774f533951515339684f544a6b5a54557a4d5331684f57557a4c5451305a6d49744f54466b5a4330784e3249774d7a51344d4745324d5441756347526d&amp;Fich=a92de531-a9e3-44fb-91dd-17b03480a610.pdf&amp;Inline=true</t>
        </is>
      </c>
      <c r="AH389" s="3" t="n">
        <v>46321.77847222222</v>
      </c>
      <c r="AI389" s="3" t="n">
        <v>46321.78055555555</v>
      </c>
      <c r="AJ389" s="2" t="inlineStr"/>
    </row>
    <row r="390">
      <c r="A390" s="2" t="n">
        <v>389</v>
      </c>
      <c r="B390" s="2" t="inlineStr">
        <is>
          <t>353C</t>
        </is>
      </c>
      <c r="C390" s="3" t="n">
        <v>45965.41597222222</v>
      </c>
      <c r="D390" s="2" t="inlineStr">
        <is>
          <t>Original</t>
        </is>
      </c>
      <c r="E390" s="2" t="inlineStr">
        <is>
          <t>CH</t>
        </is>
      </c>
      <c r="F39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90" s="2" t="inlineStr">
        <is>
          <t>Art. 136.º-A (aditamento)</t>
        </is>
      </c>
      <c r="H390" s="2" t="n"/>
      <c r="I390" s="2" t="n"/>
      <c r="J390" s="2" t="n"/>
      <c r="K390" s="2" t="n"/>
      <c r="L390" s="2" t="inlineStr">
        <is>
          <t>Artigo 136.º-A (Inclusão de reformados no Programa Regressar)</t>
        </is>
      </c>
      <c r="M390" s="4" t="n"/>
      <c r="N390" s="4" t="n"/>
      <c r="O390" s="2" t="n"/>
      <c r="P390" s="2" t="n"/>
      <c r="Q390" s="2" t="n"/>
      <c r="R390" s="2" t="n"/>
      <c r="S390" s="2" t="inlineStr">
        <is>
          <t>Rejeitado(a) em Comissão</t>
        </is>
      </c>
      <c r="T390" s="2" t="inlineStr">
        <is>
          <t>Rejeitada</t>
        </is>
      </c>
      <c r="U390" s="2" t="inlineStr">
        <is>
          <t>Favor: CH, PAN; Contra: PSD, IL, PCP, CDS-PP, BE; Abstenção: PS, L</t>
        </is>
      </c>
      <c r="V390" s="3" t="n">
        <v>45987</v>
      </c>
      <c r="W390" s="2" t="inlineStr">
        <is>
          <t>AR: https://www.parlamento.pt/OrcamentoEstado/Paginas/DetalhePropostaAlteracao.aspx?BID=23550 PDF: https://app.parlamento.pt/webutils/docs/doc.pdf?path=6148523063484d364c793942556b356c6443397a6158526c63793959566b6c4a544556484c3039464c7a49774d6a59794d4449314d5441774f5339515153396c5a4468684d446b785a43307a4d5759784c54517a4d7a59744f544e6c4e6930335a4463335a6a64695a6a677a595755756347526d&amp;Fich=ed8a091d-31f1-4336-93e6-7d77f7bf83ae.pdf&amp;Inline=true</t>
        </is>
      </c>
      <c r="X390" s="2" t="inlineStr">
        <is>
          <t>Negócios Estrangeiros e Comunidades Portuguesas</t>
        </is>
      </c>
      <c r="Y390" s="2" t="inlineStr">
        <is>
          <t>Articulado</t>
        </is>
      </c>
      <c r="Z390" s="2" t="inlineStr">
        <is>
          <t>Aditamento (Artigo PPL)</t>
        </is>
      </c>
      <c r="AA390" s="2" t="inlineStr">
        <is>
          <t>Rejeitado(a) em Comissão</t>
        </is>
      </c>
      <c r="AB390" s="2" t="inlineStr"/>
      <c r="AC390" s="2" t="inlineStr"/>
      <c r="AD390" s="2" t="inlineStr">
        <is>
          <t>1</t>
        </is>
      </c>
      <c r="AE390" s="2" t="inlineStr">
        <is>
          <t>23550</t>
        </is>
      </c>
      <c r="AF390" s="2" t="inlineStr">
        <is>
          <t>https://www.parlamento.pt/OrcamentoEstado/Paginas/DetalhePropostaAlteracao.aspx?BID=23550</t>
        </is>
      </c>
      <c r="AG390" s="2" t="inlineStr">
        <is>
          <t>https://app.parlamento.pt/webutils/docs/doc.pdf?path=6148523063484d364c793942556b356c6443397a6158526c63793959566b6c4a544556484c3039464c7a49774d6a59794d4449314d5441774f5339515153396c5a4468684d446b785a43307a4d5759784c54517a4d7a59744f544e6c4e6930335a4463335a6a64695a6a677a595755756347526d&amp;Fich=ed8a091d-31f1-4336-93e6-7d77f7bf83ae.pdf&amp;Inline=true</t>
        </is>
      </c>
      <c r="AH390" s="3" t="n">
        <v>46321.77847222222</v>
      </c>
      <c r="AI390" s="3" t="n">
        <v>46321.78055555555</v>
      </c>
      <c r="AJ390" s="2" t="inlineStr"/>
    </row>
    <row r="391">
      <c r="A391" s="2" t="n">
        <v>390</v>
      </c>
      <c r="B391" s="2" t="inlineStr">
        <is>
          <t>354C</t>
        </is>
      </c>
      <c r="C391" s="3" t="n">
        <v>45965.41666666666</v>
      </c>
      <c r="D391" s="2" t="inlineStr">
        <is>
          <t>Original</t>
        </is>
      </c>
      <c r="E391" s="2" t="inlineStr">
        <is>
          <t>CH</t>
        </is>
      </c>
      <c r="F39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91" s="2" t="inlineStr">
        <is>
          <t>Art. 46.º-A (aditamento)</t>
        </is>
      </c>
      <c r="H391" s="2" t="n"/>
      <c r="I391" s="2" t="n"/>
      <c r="J391" s="2" t="n"/>
      <c r="K391" s="2" t="n"/>
      <c r="L391" s="2" t="inlineStr">
        <is>
          <t>Artigo 46.º-A (Reforço da capacidade de resposta na Rede Nacional de Cuidados Continuados Integrados e nas Estruturas Residenciais para Pessoas Idosas (ERPI)</t>
        </is>
      </c>
      <c r="M391" s="4" t="n"/>
      <c r="N391" s="4" t="n"/>
      <c r="O391" s="2" t="n"/>
      <c r="P391" s="2" t="n"/>
      <c r="Q391" s="2" t="n"/>
      <c r="R391" s="2" t="n"/>
      <c r="S391" s="2" t="inlineStr">
        <is>
          <t>Rejeitado(a) em Comissão</t>
        </is>
      </c>
      <c r="T391" s="2" t="inlineStr">
        <is>
          <t>Rejeitada</t>
        </is>
      </c>
      <c r="U391" s="2" t="inlineStr">
        <is>
          <t>Favor: CH, BE, PAN; Contra: PSD, CDS-PP; Abstenção: PS, IL, L, PCP</t>
        </is>
      </c>
      <c r="V391" s="3" t="n">
        <v>45981</v>
      </c>
      <c r="W391" s="2" t="inlineStr">
        <is>
          <t>AR: https://www.parlamento.pt/OrcamentoEstado/Paginas/DetalhePropostaAlteracao.aspx?BID=23551 PDF: https://app.parlamento.pt/webutils/docs/doc.pdf?path=6148523063484d364c793942556b356c6443397a6158526c63793959566b6c4a544556484c3039464c7a49774d6a59794d4449314d5441774f5339515153387a597a646c5a5452684d43316d4d574e6c4c545268596d497459545a6d597931684e6d4e684e7a63354d6a4d785a4449756347526d&amp;Fich=3c7ee4a0-f1ce-4abb-a6fc-a6ca779231d2.pdf&amp;Inline=true</t>
        </is>
      </c>
      <c r="X391" s="2" t="inlineStr">
        <is>
          <t>Trabalho, Segurança Social e Inclusão</t>
        </is>
      </c>
      <c r="Y391" s="2" t="inlineStr">
        <is>
          <t>Articulado</t>
        </is>
      </c>
      <c r="Z391" s="2" t="inlineStr">
        <is>
          <t>Aditamento (Artigo PPL)</t>
        </is>
      </c>
      <c r="AA391" s="2" t="inlineStr">
        <is>
          <t>Rejeitado(a) em Comissão</t>
        </is>
      </c>
      <c r="AB391" s="2" t="inlineStr"/>
      <c r="AC391" s="2" t="inlineStr"/>
      <c r="AD391" s="2" t="inlineStr">
        <is>
          <t>1</t>
        </is>
      </c>
      <c r="AE391" s="2" t="inlineStr">
        <is>
          <t>23551</t>
        </is>
      </c>
      <c r="AF391" s="2" t="inlineStr">
        <is>
          <t>https://www.parlamento.pt/OrcamentoEstado/Paginas/DetalhePropostaAlteracao.aspx?BID=23551</t>
        </is>
      </c>
      <c r="AG391" s="2" t="inlineStr">
        <is>
          <t>https://app.parlamento.pt/webutils/docs/doc.pdf?path=6148523063484d364c793942556b356c6443397a6158526c63793959566b6c4a544556484c3039464c7a49774d6a59794d4449314d5441774f5339515153387a597a646c5a5452684d43316d4d574e6c4c545268596d497459545a6d597931684e6d4e684e7a63354d6a4d785a4449756347526d&amp;Fich=3c7ee4a0-f1ce-4abb-a6fc-a6ca779231d2.pdf&amp;Inline=true</t>
        </is>
      </c>
      <c r="AH391" s="3" t="n">
        <v>46321.77847222222</v>
      </c>
      <c r="AI391" s="3" t="n">
        <v>46321.78055555555</v>
      </c>
      <c r="AJ391" s="2" t="inlineStr"/>
    </row>
    <row r="392">
      <c r="A392" s="2" t="n">
        <v>391</v>
      </c>
      <c r="B392" s="2" t="inlineStr">
        <is>
          <t>355C</t>
        </is>
      </c>
      <c r="C392" s="3" t="n">
        <v>45965.41805555556</v>
      </c>
      <c r="D392" s="2" t="inlineStr">
        <is>
          <t>Original</t>
        </is>
      </c>
      <c r="E392" s="2" t="inlineStr">
        <is>
          <t>CH</t>
        </is>
      </c>
      <c r="F39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92" s="2" t="inlineStr">
        <is>
          <t>Art. 46.º-A (aditamento)</t>
        </is>
      </c>
      <c r="H392" s="2" t="n"/>
      <c r="I392" s="2" t="n"/>
      <c r="J392" s="2" t="n"/>
      <c r="K392" s="2" t="n"/>
      <c r="L392" s="2" t="inlineStr">
        <is>
          <t>Artigo 46.º-A (Revisão de Acordos de Cooperação Financeira com as IPSS e Misericórdias, no âmbito da reinserção de utentes Toxicodependentes na vida ativa profissional)</t>
        </is>
      </c>
      <c r="M392" s="4" t="n"/>
      <c r="N392" s="4" t="n"/>
      <c r="O392" s="2" t="n"/>
      <c r="P392" s="2" t="n"/>
      <c r="Q392" s="2" t="n"/>
      <c r="R392" s="2" t="n"/>
      <c r="S392" s="2" t="inlineStr">
        <is>
          <t>Rejeitado(a) em Comissão</t>
        </is>
      </c>
      <c r="T392" s="2" t="inlineStr">
        <is>
          <t>Rejeitada</t>
        </is>
      </c>
      <c r="U392" s="2" t="inlineStr">
        <is>
          <t>Favor: CH, IL, PAN; Contra: PSD, CDS-PP; Abstenção: PS, L, PCP, BE</t>
        </is>
      </c>
      <c r="V392" s="3" t="n">
        <v>45981</v>
      </c>
      <c r="W392" s="2" t="inlineStr">
        <is>
          <t>AR: https://www.parlamento.pt/OrcamentoEstado/Paginas/DetalhePropostaAlteracao.aspx?BID=23552 PDF: https://app.parlamento.pt/webutils/docs/doc.pdf?path=6148523063484d364c793942556b356c6443397a6158526c63793959566b6c4a544556484c3039464c7a49774d6a59794d4449314d5441774f533951515338344d544d785a5445304f43316b5a6d46684c54517759324d74595467344f43316b4e6d497a59324e6c5a4441774d4459756347526d&amp;Fich=8131e148-dfaa-40cc-a888-d6b3cced0006.pdf&amp;Inline=true</t>
        </is>
      </c>
      <c r="X392" s="2" t="inlineStr">
        <is>
          <t>Trabalho, Segurança Social e Inclusão</t>
        </is>
      </c>
      <c r="Y392" s="2" t="inlineStr">
        <is>
          <t>Articulado</t>
        </is>
      </c>
      <c r="Z392" s="2" t="inlineStr">
        <is>
          <t>Aditamento (Artigo PPL)</t>
        </is>
      </c>
      <c r="AA392" s="2" t="inlineStr">
        <is>
          <t>Rejeitado(a) em Comissão</t>
        </is>
      </c>
      <c r="AB392" s="2" t="inlineStr"/>
      <c r="AC392" s="2" t="inlineStr"/>
      <c r="AD392" s="2" t="inlineStr">
        <is>
          <t>1</t>
        </is>
      </c>
      <c r="AE392" s="2" t="inlineStr">
        <is>
          <t>23552</t>
        </is>
      </c>
      <c r="AF392" s="2" t="inlineStr">
        <is>
          <t>https://www.parlamento.pt/OrcamentoEstado/Paginas/DetalhePropostaAlteracao.aspx?BID=23552</t>
        </is>
      </c>
      <c r="AG392" s="2" t="inlineStr">
        <is>
          <t>https://app.parlamento.pt/webutils/docs/doc.pdf?path=6148523063484d364c793942556b356c6443397a6158526c63793959566b6c4a544556484c3039464c7a49774d6a59794d4449314d5441774f533951515338344d544d785a5445304f43316b5a6d46684c54517759324d74595467344f43316b4e6d497a59324e6c5a4441774d4459756347526d&amp;Fich=8131e148-dfaa-40cc-a888-d6b3cced0006.pdf&amp;Inline=true</t>
        </is>
      </c>
      <c r="AH392" s="3" t="n">
        <v>46321.77847222222</v>
      </c>
      <c r="AI392" s="3" t="n">
        <v>46321.78055555555</v>
      </c>
      <c r="AJ392" s="2" t="inlineStr"/>
    </row>
    <row r="393">
      <c r="A393" s="2" t="n">
        <v>392</v>
      </c>
      <c r="B393" s="2" t="inlineStr">
        <is>
          <t>356C</t>
        </is>
      </c>
      <c r="C393" s="3" t="n">
        <v>45965.41944444444</v>
      </c>
      <c r="D393" s="2" t="inlineStr">
        <is>
          <t>Original</t>
        </is>
      </c>
      <c r="E393" s="2" t="inlineStr">
        <is>
          <t>CH</t>
        </is>
      </c>
      <c r="F39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93" s="2" t="inlineStr">
        <is>
          <t>Art. 71.º-A (aditamento)</t>
        </is>
      </c>
      <c r="H393" s="2" t="n"/>
      <c r="I393" s="2" t="n"/>
      <c r="J393" s="2" t="n"/>
      <c r="K393" s="2" t="n"/>
      <c r="L393" s="2" t="inlineStr">
        <is>
          <t>Artigo 71.º-A (Consignação de 15% da taxa do imposto especial de consumo cobrado sobre as bebidas açucaradas a programas de prevenção da obesidade)</t>
        </is>
      </c>
      <c r="M393" s="4" t="n"/>
      <c r="N393" s="4" t="n"/>
      <c r="O393" s="2" t="n"/>
      <c r="P393" s="2" t="n"/>
      <c r="Q393" s="2" t="n"/>
      <c r="R393" s="2" t="n"/>
      <c r="S393" s="2" t="inlineStr">
        <is>
          <t>Rejeitado(a) em Comissão</t>
        </is>
      </c>
      <c r="T393" s="2" t="inlineStr">
        <is>
          <t>Rejeitada</t>
        </is>
      </c>
      <c r="U393" s="2" t="inlineStr">
        <is>
          <t>Favor: CH, BE, PAN; Contra: PSD, PCP, CDS-PP; Abstenção: PS, IL, L</t>
        </is>
      </c>
      <c r="V393" s="3" t="n">
        <v>45982</v>
      </c>
      <c r="W393" s="2" t="inlineStr">
        <is>
          <t>AR: https://www.parlamento.pt/OrcamentoEstado/Paginas/DetalhePropostaAlteracao.aspx?BID=23553 PDF: https://app.parlamento.pt/webutils/docs/doc.pdf?path=6148523063484d364c793942556b356c6443397a6158526c63793959566b6c4a544556484c3039464c7a49774d6a59794d4449314d5441774f533951515338304d7a526c5932453359793079593255324c5452685a575574596a67774d7930795a6d4e6a4e6d4d7a5a4441354f4749756347526d&amp;Fich=434eca7c-2ce6-4aee-b803-2fcc6c3d098b.pdf&amp;Inline=true</t>
        </is>
      </c>
      <c r="X393" s="2" t="inlineStr">
        <is>
          <t>Orçamento, Finanças e Administração Pública; Saúde</t>
        </is>
      </c>
      <c r="Y393" s="2" t="inlineStr">
        <is>
          <t>Articulado</t>
        </is>
      </c>
      <c r="Z393" s="2" t="inlineStr">
        <is>
          <t>Aditamento (Artigo PPL)</t>
        </is>
      </c>
      <c r="AA393" s="2" t="inlineStr">
        <is>
          <t>Rejeitado(a) em Comissão</t>
        </is>
      </c>
      <c r="AB393" s="2" t="inlineStr"/>
      <c r="AC393" s="2" t="inlineStr"/>
      <c r="AD393" s="2" t="inlineStr">
        <is>
          <t>1</t>
        </is>
      </c>
      <c r="AE393" s="2" t="inlineStr">
        <is>
          <t>23553</t>
        </is>
      </c>
      <c r="AF393" s="2" t="inlineStr">
        <is>
          <t>https://www.parlamento.pt/OrcamentoEstado/Paginas/DetalhePropostaAlteracao.aspx?BID=23553</t>
        </is>
      </c>
      <c r="AG393" s="2" t="inlineStr">
        <is>
          <t>https://app.parlamento.pt/webutils/docs/doc.pdf?path=6148523063484d364c793942556b356c6443397a6158526c63793959566b6c4a544556484c3039464c7a49774d6a59794d4449314d5441774f533951515338304d7a526c5932453359793079593255324c5452685a575574596a67774d7930795a6d4e6a4e6d4d7a5a4441354f4749756347526d&amp;Fich=434eca7c-2ce6-4aee-b803-2fcc6c3d098b.pdf&amp;Inline=true</t>
        </is>
      </c>
      <c r="AH393" s="3" t="n">
        <v>46321.77847222222</v>
      </c>
      <c r="AI393" s="3" t="n">
        <v>46321.78055555555</v>
      </c>
      <c r="AJ393" s="2" t="inlineStr"/>
    </row>
    <row r="394">
      <c r="A394" s="2" t="n">
        <v>393</v>
      </c>
      <c r="B394" s="2" t="inlineStr">
        <is>
          <t>357C</t>
        </is>
      </c>
      <c r="C394" s="3" t="n">
        <v>45965.42083333333</v>
      </c>
      <c r="D394" s="2" t="inlineStr">
        <is>
          <t>Original</t>
        </is>
      </c>
      <c r="E394" s="2" t="inlineStr">
        <is>
          <t>CH</t>
        </is>
      </c>
      <c r="F39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94" s="2" t="inlineStr">
        <is>
          <t>Art. 108.º-A (aditamento)</t>
        </is>
      </c>
      <c r="H394" s="2" t="n"/>
      <c r="I394" s="2" t="n"/>
      <c r="J394" s="2" t="n"/>
      <c r="K394" s="2" t="n"/>
      <c r="L394" s="2" t="inlineStr">
        <is>
          <t>Artigo 108.º-A (Alteração à Lei n.º 92/95 de 12 de Setembro)</t>
        </is>
      </c>
      <c r="M394" s="4" t="n"/>
      <c r="N394" s="4" t="n"/>
      <c r="O394" s="2" t="n"/>
      <c r="P394" s="2" t="n"/>
      <c r="Q394" s="2" t="n"/>
      <c r="R394" s="2" t="n"/>
      <c r="S394" s="2" t="inlineStr">
        <is>
          <t>Rejeitado(a) em Comissão</t>
        </is>
      </c>
      <c r="T394" s="2" t="inlineStr">
        <is>
          <t>Rejeitada</t>
        </is>
      </c>
      <c r="U394" s="2" t="inlineStr">
        <is>
          <t>Favor: CH, PAN; Contra: PSD, CDS-PP; Abstenção: PS, IL, L, PCP, BE</t>
        </is>
      </c>
      <c r="V394" s="3" t="n">
        <v>45982</v>
      </c>
      <c r="W394" s="2" t="inlineStr">
        <is>
          <t>AR: https://www.parlamento.pt/OrcamentoEstado/Paginas/DetalhePropostaAlteracao.aspx?BID=23554 PDF: https://app.parlamento.pt/webutils/docs/doc.pdf?path=6148523063484d364c793942556b356c6443397a6158526c63793959566b6c4a544556484c3039464c7a49774d6a59794d4449314d5441774f5339515153396d4f44646d4d475a69597930795a544d334c54526b59325574596d55785a43316d5a546c685a546b314d4449315a4455756347526d&amp;Fich=f87f0fbc-2e37-4dce-be1d-fe9ae95025d5.pdf&amp;Inline=true</t>
        </is>
      </c>
      <c r="X394" s="2" t="inlineStr">
        <is>
          <t>Agricultura e Pescas</t>
        </is>
      </c>
      <c r="Y394" s="2" t="inlineStr">
        <is>
          <t>Articulado</t>
        </is>
      </c>
      <c r="Z394" s="2" t="inlineStr">
        <is>
          <t>Aditamento (Artigo PPL)</t>
        </is>
      </c>
      <c r="AA394" s="2" t="inlineStr">
        <is>
          <t>Rejeitado(a) em Comissão</t>
        </is>
      </c>
      <c r="AB394" s="2" t="inlineStr"/>
      <c r="AC394" s="2" t="inlineStr"/>
      <c r="AD394" s="2" t="inlineStr">
        <is>
          <t>1</t>
        </is>
      </c>
      <c r="AE394" s="2" t="inlineStr">
        <is>
          <t>23554</t>
        </is>
      </c>
      <c r="AF394" s="2" t="inlineStr">
        <is>
          <t>https://www.parlamento.pt/OrcamentoEstado/Paginas/DetalhePropostaAlteracao.aspx?BID=23554</t>
        </is>
      </c>
      <c r="AG394" s="2" t="inlineStr">
        <is>
          <t>https://app.parlamento.pt/webutils/docs/doc.pdf?path=6148523063484d364c793942556b356c6443397a6158526c63793959566b6c4a544556484c3039464c7a49774d6a59794d4449314d5441774f5339515153396d4f44646d4d475a69597930795a544d334c54526b59325574596d55785a43316d5a546c685a546b314d4449315a4455756347526d&amp;Fich=f87f0fbc-2e37-4dce-be1d-fe9ae95025d5.pdf&amp;Inline=true</t>
        </is>
      </c>
      <c r="AH394" s="3" t="n">
        <v>46321.77847222222</v>
      </c>
      <c r="AI394" s="3" t="n">
        <v>46321.78055555555</v>
      </c>
      <c r="AJ394" s="2" t="inlineStr"/>
    </row>
    <row r="395">
      <c r="A395" s="2" t="n">
        <v>394</v>
      </c>
      <c r="B395" s="2" t="inlineStr">
        <is>
          <t>358C</t>
        </is>
      </c>
      <c r="C395" s="3" t="n">
        <v>45965.42152777778</v>
      </c>
      <c r="D395" s="2" t="inlineStr">
        <is>
          <t>Original</t>
        </is>
      </c>
      <c r="E395" s="2" t="inlineStr">
        <is>
          <t>CH</t>
        </is>
      </c>
      <c r="F39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95" s="2" t="inlineStr">
        <is>
          <t>Art. 108.º-A (aditamento)</t>
        </is>
      </c>
      <c r="H395" s="2" t="n"/>
      <c r="I395" s="2" t="n"/>
      <c r="J395" s="2" t="n"/>
      <c r="K395" s="2" t="n"/>
      <c r="L395" s="2" t="inlineStr">
        <is>
          <t>Artigo 108.º-A (Construção de um matadouro no Algarve)</t>
        </is>
      </c>
      <c r="M395" s="4" t="n"/>
      <c r="N395" s="4" t="n"/>
      <c r="O395" s="2" t="n"/>
      <c r="P395" s="2" t="n"/>
      <c r="Q395" s="2" t="n"/>
      <c r="R395" s="2" t="n"/>
      <c r="S395" s="2" t="inlineStr">
        <is>
          <t>Rejeitado(a) em Comissão</t>
        </is>
      </c>
      <c r="T395" s="2" t="inlineStr">
        <is>
          <t>Rejeitada</t>
        </is>
      </c>
      <c r="U395" s="2" t="inlineStr">
        <is>
          <t>Favor: CH, BE; Contra: PSD, CDS-PP, PAN; Abstenção: PS, IL, L, PCP</t>
        </is>
      </c>
      <c r="V395" s="3" t="n">
        <v>45982</v>
      </c>
      <c r="W395" s="2" t="inlineStr">
        <is>
          <t>AR: https://www.parlamento.pt/OrcamentoEstado/Paginas/DetalhePropostaAlteracao.aspx?BID=23555 PDF: https://app.parlamento.pt/webutils/docs/doc.pdf?path=6148523063484d364c793942556b356c6443397a6158526c63793959566b6c4a544556484c3039464c7a49774d6a59794d4449314d5441774f533951515338314e4467335a6a55784e693077595441354c54526a4d7a49744f5755795a4330795954417a5a44566d4d4464684e5449756347526d&amp;Fich=5487f516-0a09-4c32-9e2d-2a03d5f07a52.pdf&amp;Inline=true</t>
        </is>
      </c>
      <c r="X395" s="2" t="inlineStr">
        <is>
          <t>Agricultura e Pescas</t>
        </is>
      </c>
      <c r="Y395" s="2" t="inlineStr">
        <is>
          <t>Articulado</t>
        </is>
      </c>
      <c r="Z395" s="2" t="inlineStr">
        <is>
          <t>Aditamento (Artigo PPL)</t>
        </is>
      </c>
      <c r="AA395" s="2" t="inlineStr">
        <is>
          <t>Rejeitado(a) em Comissão</t>
        </is>
      </c>
      <c r="AB395" s="2" t="inlineStr"/>
      <c r="AC395" s="2" t="inlineStr"/>
      <c r="AD395" s="2" t="inlineStr">
        <is>
          <t>1</t>
        </is>
      </c>
      <c r="AE395" s="2" t="inlineStr">
        <is>
          <t>23555</t>
        </is>
      </c>
      <c r="AF395" s="2" t="inlineStr">
        <is>
          <t>https://www.parlamento.pt/OrcamentoEstado/Paginas/DetalhePropostaAlteracao.aspx?BID=23555</t>
        </is>
      </c>
      <c r="AG395" s="2" t="inlineStr">
        <is>
          <t>https://app.parlamento.pt/webutils/docs/doc.pdf?path=6148523063484d364c793942556b356c6443397a6158526c63793959566b6c4a544556484c3039464c7a49774d6a59794d4449314d5441774f533951515338314e4467335a6a55784e693077595441354c54526a4d7a49744f5755795a4330795954417a5a44566d4d4464684e5449756347526d&amp;Fich=5487f516-0a09-4c32-9e2d-2a03d5f07a52.pdf&amp;Inline=true</t>
        </is>
      </c>
      <c r="AH395" s="3" t="n">
        <v>46321.77847222222</v>
      </c>
      <c r="AI395" s="3" t="n">
        <v>46321.78055555555</v>
      </c>
      <c r="AJ395" s="2" t="inlineStr"/>
    </row>
    <row r="396">
      <c r="A396" s="2" t="n">
        <v>395</v>
      </c>
      <c r="B396" s="2" t="inlineStr">
        <is>
          <t>359C</t>
        </is>
      </c>
      <c r="C396" s="3" t="n">
        <v>45965.42291666667</v>
      </c>
      <c r="D396" s="2" t="inlineStr">
        <is>
          <t>Original</t>
        </is>
      </c>
      <c r="E396" s="2" t="inlineStr">
        <is>
          <t>CH</t>
        </is>
      </c>
      <c r="F39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96" s="2" t="inlineStr">
        <is>
          <t>Art. 136.º-A (aditamento)</t>
        </is>
      </c>
      <c r="H396" s="2" t="n"/>
      <c r="I396" s="2" t="n"/>
      <c r="J396" s="2" t="n"/>
      <c r="K396" s="2" t="n"/>
      <c r="L396" s="2" t="inlineStr">
        <is>
          <t>Artigo 136.º-A (Construção de um novo quartel da GNR em Fernão Ferro)</t>
        </is>
      </c>
      <c r="M396" s="4" t="n"/>
      <c r="N396" s="4" t="n"/>
      <c r="O396" s="2" t="n"/>
      <c r="P396" s="2" t="n"/>
      <c r="Q396" s="2" t="n"/>
      <c r="R396" s="2" t="n"/>
      <c r="S396" s="2" t="inlineStr">
        <is>
          <t>Rejeitado(a) em Comissão</t>
        </is>
      </c>
      <c r="T396" s="2" t="inlineStr">
        <is>
          <t>Rejeitada</t>
        </is>
      </c>
      <c r="U396" s="2" t="inlineStr">
        <is>
          <t>Favor: CH, BE, PAN; Contra: PSD, CDS-PP; Abstenção: PS, IL, L, PCP</t>
        </is>
      </c>
      <c r="V396" s="3" t="n">
        <v>45987</v>
      </c>
      <c r="W396" s="2" t="inlineStr">
        <is>
          <t>AR: https://www.parlamento.pt/OrcamentoEstado/Paginas/DetalhePropostaAlteracao.aspx?BID=23556 PDF: https://app.parlamento.pt/webutils/docs/doc.pdf?path=6148523063484d364c793942556b356c6443397a6158526c63793959566b6c4a544556484c3039464c7a49774d6a59794d4449314d5441774f533951515338334d574d345a4755324d4330354f5751354c5451324e7a49744f446b784e43316a4e546777597a4a6b597a67334f5755756347526d&amp;Fich=71c8de60-99d9-4672-8914-c580c2dc879e.pdf&amp;Inline=true</t>
        </is>
      </c>
      <c r="X396" s="2" t="inlineStr">
        <is>
          <t>Assuntos Constitucionais, Direitos, Liberdades e Garantias</t>
        </is>
      </c>
      <c r="Y396" s="2" t="inlineStr">
        <is>
          <t>Articulado</t>
        </is>
      </c>
      <c r="Z396" s="2" t="inlineStr">
        <is>
          <t>Aditamento (Artigo PPL)</t>
        </is>
      </c>
      <c r="AA396" s="2" t="inlineStr">
        <is>
          <t>Rejeitado(a) em Comissão</t>
        </is>
      </c>
      <c r="AB396" s="2" t="inlineStr"/>
      <c r="AC396" s="2" t="inlineStr"/>
      <c r="AD396" s="2" t="inlineStr">
        <is>
          <t>1</t>
        </is>
      </c>
      <c r="AE396" s="2" t="inlineStr">
        <is>
          <t>23556</t>
        </is>
      </c>
      <c r="AF396" s="2" t="inlineStr">
        <is>
          <t>https://www.parlamento.pt/OrcamentoEstado/Paginas/DetalhePropostaAlteracao.aspx?BID=23556</t>
        </is>
      </c>
      <c r="AG396" s="2" t="inlineStr">
        <is>
          <t>https://app.parlamento.pt/webutils/docs/doc.pdf?path=6148523063484d364c793942556b356c6443397a6158526c63793959566b6c4a544556484c3039464c7a49774d6a59794d4449314d5441774f533951515338334d574d345a4755324d4330354f5751354c5451324e7a49744f446b784e43316a4e546777597a4a6b597a67334f5755756347526d&amp;Fich=71c8de60-99d9-4672-8914-c580c2dc879e.pdf&amp;Inline=true</t>
        </is>
      </c>
      <c r="AH396" s="3" t="n">
        <v>46321.77847222222</v>
      </c>
      <c r="AI396" s="3" t="n">
        <v>46321.78055555555</v>
      </c>
      <c r="AJ396" s="2" t="inlineStr"/>
    </row>
    <row r="397">
      <c r="A397" s="2" t="n">
        <v>396</v>
      </c>
      <c r="B397" s="2" t="inlineStr">
        <is>
          <t>360C</t>
        </is>
      </c>
      <c r="C397" s="3" t="n">
        <v>45965.42291666667</v>
      </c>
      <c r="D397" s="2" t="inlineStr">
        <is>
          <t>Original</t>
        </is>
      </c>
      <c r="E397" s="2" t="inlineStr">
        <is>
          <t>CH</t>
        </is>
      </c>
      <c r="F39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97" s="2" t="inlineStr">
        <is>
          <t>Art. 109.º-A (aditamento)</t>
        </is>
      </c>
      <c r="H397" s="2" t="n"/>
      <c r="I397" s="2" t="n"/>
      <c r="J397" s="2" t="n"/>
      <c r="K397" s="2" t="n"/>
      <c r="L397" s="2" t="inlineStr">
        <is>
          <t>Artigo 109.º-A (Programa nacional de inventariação e reabilitação das bibliotecas públicas municipais)</t>
        </is>
      </c>
      <c r="M397" s="4" t="n"/>
      <c r="N397" s="4" t="n"/>
      <c r="O397" s="2" t="n"/>
      <c r="P397" s="2" t="n"/>
      <c r="Q397" s="2" t="n"/>
      <c r="R397" s="2" t="n"/>
      <c r="S397" s="2" t="inlineStr">
        <is>
          <t>Rejeitado(a) em Comissão</t>
        </is>
      </c>
      <c r="T397" s="2" t="inlineStr">
        <is>
          <t>Rejeitada</t>
        </is>
      </c>
      <c r="U397" s="2" t="inlineStr">
        <is>
          <t>Favor: CH, BE, PAN; Contra: PSD, IL, CDS-PP; Abstenção: PS, L, PCP</t>
        </is>
      </c>
      <c r="V397" s="3" t="n">
        <v>45982</v>
      </c>
      <c r="W397" s="2" t="inlineStr">
        <is>
          <t>AR: https://www.parlamento.pt/OrcamentoEstado/Paginas/DetalhePropostaAlteracao.aspx?BID=23557 PDF: https://app.parlamento.pt/webutils/docs/doc.pdf?path=6148523063484d364c793942556b356c6443397a6158526c63793959566b6c4a544556484c3039464c7a49774d6a59794d4449314d5441774f533951515338785a574d314d7a67774d4330345a5455774c54517a5a575974596d4d79596931685a4449314d6d566d59544a684e4441756347526d&amp;Fich=1ec53800-8e50-43ef-bc2b-ad252efa2a40.pdf&amp;Inline=true</t>
        </is>
      </c>
      <c r="X397" s="2" t="inlineStr">
        <is>
          <t>Cultura, Comunicação, Juventude e Desporto</t>
        </is>
      </c>
      <c r="Y397" s="2" t="inlineStr">
        <is>
          <t>Articulado</t>
        </is>
      </c>
      <c r="Z397" s="2" t="inlineStr">
        <is>
          <t>Aditamento (Artigo PPL)</t>
        </is>
      </c>
      <c r="AA397" s="2" t="inlineStr">
        <is>
          <t>Rejeitado(a) em Comissão</t>
        </is>
      </c>
      <c r="AB397" s="2" t="inlineStr"/>
      <c r="AC397" s="2" t="inlineStr"/>
      <c r="AD397" s="2" t="inlineStr">
        <is>
          <t>1</t>
        </is>
      </c>
      <c r="AE397" s="2" t="inlineStr">
        <is>
          <t>23557</t>
        </is>
      </c>
      <c r="AF397" s="2" t="inlineStr">
        <is>
          <t>https://www.parlamento.pt/OrcamentoEstado/Paginas/DetalhePropostaAlteracao.aspx?BID=23557</t>
        </is>
      </c>
      <c r="AG397" s="2" t="inlineStr">
        <is>
          <t>https://app.parlamento.pt/webutils/docs/doc.pdf?path=6148523063484d364c793942556b356c6443397a6158526c63793959566b6c4a544556484c3039464c7a49774d6a59794d4449314d5441774f533951515338785a574d314d7a67774d4330345a5455774c54517a5a575974596d4d79596931685a4449314d6d566d59544a684e4441756347526d&amp;Fich=1ec53800-8e50-43ef-bc2b-ad252efa2a40.pdf&amp;Inline=true</t>
        </is>
      </c>
      <c r="AH397" s="3" t="n">
        <v>46321.77847222222</v>
      </c>
      <c r="AI397" s="3" t="n">
        <v>46321.78055555555</v>
      </c>
      <c r="AJ397" s="2" t="inlineStr"/>
    </row>
    <row r="398">
      <c r="A398" s="2" t="n">
        <v>397</v>
      </c>
      <c r="B398" s="2" t="inlineStr">
        <is>
          <t>361C</t>
        </is>
      </c>
      <c r="C398" s="3" t="n">
        <v>45965.425</v>
      </c>
      <c r="D398" s="2" t="inlineStr">
        <is>
          <t>Original</t>
        </is>
      </c>
      <c r="E398" s="2" t="inlineStr">
        <is>
          <t>CH</t>
        </is>
      </c>
      <c r="F39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98" s="2" t="inlineStr">
        <is>
          <t>Art. 136.º-A (aditamento)</t>
        </is>
      </c>
      <c r="H398" s="2" t="n"/>
      <c r="I398" s="2" t="n"/>
      <c r="J398" s="2" t="n"/>
      <c r="K398" s="2" t="n"/>
      <c r="L398" s="2" t="inlineStr">
        <is>
          <t>Artigo 136.º-A (Renegociação do programa de Recuperação/Reabilitação de escolas)</t>
        </is>
      </c>
      <c r="M398" s="4" t="n"/>
      <c r="N398" s="4" t="n"/>
      <c r="O398" s="2" t="n"/>
      <c r="P398" s="2" t="n"/>
      <c r="Q398" s="2" t="n"/>
      <c r="R398" s="2" t="n"/>
      <c r="S398" s="2" t="inlineStr">
        <is>
          <t>Rejeitado(a) em Comissão</t>
        </is>
      </c>
      <c r="T398" s="2" t="inlineStr">
        <is>
          <t>Rejeitada</t>
        </is>
      </c>
      <c r="U398" s="2" t="inlineStr">
        <is>
          <t>Favor: CH, BE; Contra: PSD, PCP, CDS-PP; Abstenção: PS, IL, L, PAN</t>
        </is>
      </c>
      <c r="V398" s="3" t="n">
        <v>45987</v>
      </c>
      <c r="W398" s="2" t="inlineStr">
        <is>
          <t>AR: https://www.parlamento.pt/OrcamentoEstado/Paginas/DetalhePropostaAlteracao.aspx?BID=23558 PDF: https://app.parlamento.pt/webutils/docs/doc.pdf?path=6148523063484d364c793942556b356c6443397a6158526c63793959566b6c4a544556484c3039464c7a49774d6a59794d4449314d5441774f5339515153387a4e6a466a4d4446685953307a4e3256694c5451314e474d744f5445774d5330344e446735595468684e546b304e6a49756347526d&amp;Fich=361c01aa-37eb-454c-9101-8489a8a59462.pdf&amp;Inline=true</t>
        </is>
      </c>
      <c r="X398" s="2" t="inlineStr">
        <is>
          <t>Educação e Ciência</t>
        </is>
      </c>
      <c r="Y398" s="2" t="inlineStr">
        <is>
          <t>Articulado</t>
        </is>
      </c>
      <c r="Z398" s="2" t="inlineStr">
        <is>
          <t>Aditamento (Artigo PPL)</t>
        </is>
      </c>
      <c r="AA398" s="2" t="inlineStr">
        <is>
          <t>Rejeitado(a) em Comissão</t>
        </is>
      </c>
      <c r="AB398" s="2" t="inlineStr"/>
      <c r="AC398" s="2" t="inlineStr"/>
      <c r="AD398" s="2" t="inlineStr">
        <is>
          <t>1</t>
        </is>
      </c>
      <c r="AE398" s="2" t="inlineStr">
        <is>
          <t>23558</t>
        </is>
      </c>
      <c r="AF398" s="2" t="inlineStr">
        <is>
          <t>https://www.parlamento.pt/OrcamentoEstado/Paginas/DetalhePropostaAlteracao.aspx?BID=23558</t>
        </is>
      </c>
      <c r="AG398" s="2" t="inlineStr">
        <is>
          <t>https://app.parlamento.pt/webutils/docs/doc.pdf?path=6148523063484d364c793942556b356c6443397a6158526c63793959566b6c4a544556484c3039464c7a49774d6a59794d4449314d5441774f5339515153387a4e6a466a4d4446685953307a4e3256694c5451314e474d744f5445774d5330344e446735595468684e546b304e6a49756347526d&amp;Fich=361c01aa-37eb-454c-9101-8489a8a59462.pdf&amp;Inline=true</t>
        </is>
      </c>
      <c r="AH398" s="3" t="n">
        <v>46321.77847222222</v>
      </c>
      <c r="AI398" s="3" t="n">
        <v>46321.78055555555</v>
      </c>
      <c r="AJ398" s="2" t="inlineStr"/>
    </row>
    <row r="399">
      <c r="A399" s="2" t="n">
        <v>398</v>
      </c>
      <c r="B399" s="2" t="inlineStr">
        <is>
          <t>362C</t>
        </is>
      </c>
      <c r="C399" s="3" t="n">
        <v>45965.42569444444</v>
      </c>
      <c r="D399" s="2" t="inlineStr">
        <is>
          <t>Original</t>
        </is>
      </c>
      <c r="E399" s="2" t="inlineStr">
        <is>
          <t>CH</t>
        </is>
      </c>
      <c r="F39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399" s="2" t="inlineStr">
        <is>
          <t>Art. 117.º-A (aditamento)</t>
        </is>
      </c>
      <c r="H399" s="2" t="n"/>
      <c r="I399" s="2" t="n"/>
      <c r="J399" s="2" t="n"/>
      <c r="K399" s="2" t="n"/>
      <c r="L399" s="2" t="inlineStr">
        <is>
          <t>Artigo 117.º-A (Apoio ao alojamento dos estudantes de ensino superior, provenientes das regiões autónomas a estudar no continente)</t>
        </is>
      </c>
      <c r="M399" s="4" t="n"/>
      <c r="N399" s="4" t="n"/>
      <c r="O399" s="2" t="n"/>
      <c r="P399" s="2" t="n"/>
      <c r="Q399" s="2" t="n"/>
      <c r="R399" s="2" t="n"/>
      <c r="S399" s="2" t="inlineStr">
        <is>
          <t>Rejeitado(a) em Comissão</t>
        </is>
      </c>
      <c r="T399" s="2" t="inlineStr">
        <is>
          <t>Rejeitada</t>
        </is>
      </c>
      <c r="U399" s="2" t="inlineStr">
        <is>
          <t>Favor: CH, BE, PAN; Contra: PSD, CDS-PP; Abstenção: PS, IL, L, PCP</t>
        </is>
      </c>
      <c r="V399" s="3" t="n">
        <v>45985</v>
      </c>
      <c r="W399" s="2" t="inlineStr">
        <is>
          <t>AR: https://www.parlamento.pt/OrcamentoEstado/Paginas/DetalhePropostaAlteracao.aspx?BID=23559 PDF: https://app.parlamento.pt/webutils/docs/doc.pdf?path=6148523063484d364c793942556b356c6443397a6158526c63793959566b6c4a544556484c3039464c7a49774d6a59794d4449314d5441774f533951515338344e6a4977597a67345969316a5a544a684c545179596d49744f5463325a6930304f57557a4e7a5533596d45324d5459756347526d&amp;Fich=8620c88b-ce2a-42bb-976f-49e3757ba616.pdf&amp;Inline=true</t>
        </is>
      </c>
      <c r="X399" s="2" t="inlineStr">
        <is>
          <t>Educação e Ciência</t>
        </is>
      </c>
      <c r="Y399" s="2" t="inlineStr">
        <is>
          <t>Articulado</t>
        </is>
      </c>
      <c r="Z399" s="2" t="inlineStr">
        <is>
          <t>Aditamento (Artigo PPL)</t>
        </is>
      </c>
      <c r="AA399" s="2" t="inlineStr">
        <is>
          <t>Rejeitado(a) em Comissão</t>
        </is>
      </c>
      <c r="AB399" s="2" t="inlineStr"/>
      <c r="AC399" s="2" t="inlineStr"/>
      <c r="AD399" s="2" t="inlineStr">
        <is>
          <t>1</t>
        </is>
      </c>
      <c r="AE399" s="2" t="inlineStr">
        <is>
          <t>23559</t>
        </is>
      </c>
      <c r="AF399" s="2" t="inlineStr">
        <is>
          <t>https://www.parlamento.pt/OrcamentoEstado/Paginas/DetalhePropostaAlteracao.aspx?BID=23559</t>
        </is>
      </c>
      <c r="AG399" s="2" t="inlineStr">
        <is>
          <t>https://app.parlamento.pt/webutils/docs/doc.pdf?path=6148523063484d364c793942556b356c6443397a6158526c63793959566b6c4a544556484c3039464c7a49774d6a59794d4449314d5441774f533951515338344e6a4977597a67345969316a5a544a684c545179596d49744f5463325a6930304f57557a4e7a5533596d45324d5459756347526d&amp;Fich=8620c88b-ce2a-42bb-976f-49e3757ba616.pdf&amp;Inline=true</t>
        </is>
      </c>
      <c r="AH399" s="3" t="n">
        <v>46321.77847222222</v>
      </c>
      <c r="AI399" s="3" t="n">
        <v>46321.78055555555</v>
      </c>
      <c r="AJ399" s="2" t="inlineStr"/>
    </row>
    <row r="400">
      <c r="A400" s="2" t="n">
        <v>399</v>
      </c>
      <c r="B400" s="2" t="inlineStr">
        <is>
          <t>363C</t>
        </is>
      </c>
      <c r="C400" s="3" t="n">
        <v>45965.42638888889</v>
      </c>
      <c r="D400" s="2" t="inlineStr">
        <is>
          <t>Original</t>
        </is>
      </c>
      <c r="E400" s="2" t="inlineStr">
        <is>
          <t>CH</t>
        </is>
      </c>
      <c r="F40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00" s="2" t="inlineStr">
        <is>
          <t>Art. 118.º-A (aditamento)</t>
        </is>
      </c>
      <c r="H400" s="2" t="n"/>
      <c r="I400" s="2" t="n"/>
      <c r="J400" s="2" t="n"/>
      <c r="K400" s="2" t="n"/>
      <c r="L400" s="2" t="inlineStr">
        <is>
          <t>Artigo 118.º-A (Criação de uma Faculdade de Medicina em Viseu)</t>
        </is>
      </c>
      <c r="M400" s="4" t="n"/>
      <c r="N400" s="4" t="n"/>
      <c r="O400" s="2" t="n"/>
      <c r="P400" s="2" t="n"/>
      <c r="Q400" s="2" t="n"/>
      <c r="R400" s="2" t="n"/>
      <c r="S400" s="2" t="inlineStr">
        <is>
          <t>Rejeitado(a) em Comissão</t>
        </is>
      </c>
      <c r="T400" s="2" t="inlineStr">
        <is>
          <t>Rejeitada</t>
        </is>
      </c>
      <c r="U400" s="2" t="inlineStr">
        <is>
          <t>Favor: CH; Contra: PSD, PS, L, PCP, CDS-PP; Abstenção: IL, BE, PAN</t>
        </is>
      </c>
      <c r="V400" s="3" t="n">
        <v>45985</v>
      </c>
      <c r="W400" s="2" t="inlineStr">
        <is>
          <t>AR: https://www.parlamento.pt/OrcamentoEstado/Paginas/DetalhePropostaAlteracao.aspx?BID=23560 PDF: https://app.parlamento.pt/webutils/docs/doc.pdf?path=6148523063484d364c793942556b356c6443397a6158526c63793959566b6c4a544556484c3039464c7a49774d6a59794d4449314d5441774f533951515338355a444d7a4e7a49784f5330334f474d334c54526c4e6a67744f4467344d69307a4f5459304e7a4a6b5a6a41344d7a67756347526d&amp;Fich=9d337219-78c7-4e68-8882-396472df0838.pdf&amp;Inline=true</t>
        </is>
      </c>
      <c r="X400" s="2" t="inlineStr">
        <is>
          <t>Educação e Ciência</t>
        </is>
      </c>
      <c r="Y400" s="2" t="inlineStr">
        <is>
          <t>Articulado</t>
        </is>
      </c>
      <c r="Z400" s="2" t="inlineStr">
        <is>
          <t>Aditamento (Artigo PPL)</t>
        </is>
      </c>
      <c r="AA400" s="2" t="inlineStr">
        <is>
          <t>Rejeitado(a) em Comissão</t>
        </is>
      </c>
      <c r="AB400" s="2" t="inlineStr"/>
      <c r="AC400" s="2" t="inlineStr"/>
      <c r="AD400" s="2" t="inlineStr">
        <is>
          <t>1</t>
        </is>
      </c>
      <c r="AE400" s="2" t="inlineStr">
        <is>
          <t>23560</t>
        </is>
      </c>
      <c r="AF400" s="2" t="inlineStr">
        <is>
          <t>https://www.parlamento.pt/OrcamentoEstado/Paginas/DetalhePropostaAlteracao.aspx?BID=23560</t>
        </is>
      </c>
      <c r="AG400" s="2" t="inlineStr">
        <is>
          <t>https://app.parlamento.pt/webutils/docs/doc.pdf?path=6148523063484d364c793942556b356c6443397a6158526c63793959566b6c4a544556484c3039464c7a49774d6a59794d4449314d5441774f533951515338355a444d7a4e7a49784f5330334f474d334c54526c4e6a67744f4467344d69307a4f5459304e7a4a6b5a6a41344d7a67756347526d&amp;Fich=9d337219-78c7-4e68-8882-396472df0838.pdf&amp;Inline=true</t>
        </is>
      </c>
      <c r="AH400" s="3" t="n">
        <v>46321.77847222222</v>
      </c>
      <c r="AI400" s="3" t="n">
        <v>46321.78055555555</v>
      </c>
      <c r="AJ400" s="2" t="inlineStr"/>
    </row>
    <row r="401">
      <c r="A401" s="2" t="n">
        <v>400</v>
      </c>
      <c r="B401" s="2" t="inlineStr">
        <is>
          <t>364C</t>
        </is>
      </c>
      <c r="C401" s="3" t="n">
        <v>45965.42777777778</v>
      </c>
      <c r="D401" s="2" t="inlineStr">
        <is>
          <t>Original</t>
        </is>
      </c>
      <c r="E401" s="2" t="inlineStr">
        <is>
          <t>CH</t>
        </is>
      </c>
      <c r="F40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01" s="2" t="inlineStr">
        <is>
          <t>Art. 118.º-A (aditamento)</t>
        </is>
      </c>
      <c r="H401" s="2" t="n"/>
      <c r="I401" s="2" t="n"/>
      <c r="J401" s="2" t="n"/>
      <c r="K401" s="2" t="n"/>
      <c r="L401" s="2" t="inlineStr">
        <is>
          <t>Artigo 118.º-A (Construção de uma nova escola profissional no distrito de Braga)</t>
        </is>
      </c>
      <c r="M401" s="4" t="n"/>
      <c r="N401" s="4" t="n"/>
      <c r="O401" s="2" t="n"/>
      <c r="P401" s="2" t="n"/>
      <c r="Q401" s="2" t="n"/>
      <c r="R401" s="2" t="n"/>
      <c r="S401" s="2" t="inlineStr">
        <is>
          <t>Rejeitado(a) em Comissão</t>
        </is>
      </c>
      <c r="T401" s="2" t="inlineStr">
        <is>
          <t>Rejeitada</t>
        </is>
      </c>
      <c r="U401" s="2" t="inlineStr">
        <is>
          <t>Favor: CH, BE, PAN; Contra: PSD, PS, IL, CDS-PP; Abstenção: L, PCP</t>
        </is>
      </c>
      <c r="V401" s="3" t="n">
        <v>45985</v>
      </c>
      <c r="W401" s="2" t="inlineStr">
        <is>
          <t>AR: https://www.parlamento.pt/OrcamentoEstado/Paginas/DetalhePropostaAlteracao.aspx?BID=23561 PDF: https://app.parlamento.pt/webutils/docs/doc.pdf?path=6148523063484d364c793942556b356c6443397a6158526c63793959566b6c4a544556484c3039464c7a49774d6a59794d4449314d5441774f533951515339685a4452684e545931596931694f474a6b4c54526a4f574d744f4441354f53316d4e54557a4d32566d5a6a41354d5467756347526d&amp;Fich=ad4a565b-b8bd-4c9c-8099-f5533eff0918.pdf&amp;Inline=true</t>
        </is>
      </c>
      <c r="X401" s="2" t="inlineStr">
        <is>
          <t>Educação e Ciência</t>
        </is>
      </c>
      <c r="Y401" s="2" t="inlineStr">
        <is>
          <t>Articulado</t>
        </is>
      </c>
      <c r="Z401" s="2" t="inlineStr">
        <is>
          <t>Aditamento (Artigo PPL)</t>
        </is>
      </c>
      <c r="AA401" s="2" t="inlineStr">
        <is>
          <t>Rejeitado(a) em Comissão</t>
        </is>
      </c>
      <c r="AB401" s="2" t="inlineStr"/>
      <c r="AC401" s="2" t="inlineStr"/>
      <c r="AD401" s="2" t="inlineStr">
        <is>
          <t>1</t>
        </is>
      </c>
      <c r="AE401" s="2" t="inlineStr">
        <is>
          <t>23561</t>
        </is>
      </c>
      <c r="AF401" s="2" t="inlineStr">
        <is>
          <t>https://www.parlamento.pt/OrcamentoEstado/Paginas/DetalhePropostaAlteracao.aspx?BID=23561</t>
        </is>
      </c>
      <c r="AG401" s="2" t="inlineStr">
        <is>
          <t>https://app.parlamento.pt/webutils/docs/doc.pdf?path=6148523063484d364c793942556b356c6443397a6158526c63793959566b6c4a544556484c3039464c7a49774d6a59794d4449314d5441774f533951515339685a4452684e545931596931694f474a6b4c54526a4f574d744f4441354f53316d4e54557a4d32566d5a6a41354d5467756347526d&amp;Fich=ad4a565b-b8bd-4c9c-8099-f5533eff0918.pdf&amp;Inline=true</t>
        </is>
      </c>
      <c r="AH401" s="3" t="n">
        <v>46321.77847222222</v>
      </c>
      <c r="AI401" s="3" t="n">
        <v>46321.78055555555</v>
      </c>
      <c r="AJ401" s="2" t="inlineStr"/>
    </row>
    <row r="402">
      <c r="A402" s="2" t="n">
        <v>401</v>
      </c>
      <c r="B402" s="2" t="inlineStr">
        <is>
          <t>365C</t>
        </is>
      </c>
      <c r="C402" s="3" t="n">
        <v>45965.42916666667</v>
      </c>
      <c r="D402" s="2" t="inlineStr">
        <is>
          <t>Original</t>
        </is>
      </c>
      <c r="E402" s="2" t="inlineStr">
        <is>
          <t>CH</t>
        </is>
      </c>
      <c r="F40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02" s="2" t="inlineStr">
        <is>
          <t>Art. 118.º-A (aditamento)</t>
        </is>
      </c>
      <c r="H402" s="2" t="n"/>
      <c r="I402" s="2" t="n"/>
      <c r="J402" s="2" t="n"/>
      <c r="K402" s="2" t="n"/>
      <c r="L402" s="2" t="inlineStr">
        <is>
          <t>Artigo 118.º-A (Alteração ao Decreto-Lei n.º 41/2012, de 21 de fevereiro)</t>
        </is>
      </c>
      <c r="M402" s="4" t="n"/>
      <c r="N402" s="4" t="n"/>
      <c r="O402" s="2" t="n"/>
      <c r="P402" s="2" t="n"/>
      <c r="Q402" s="2" t="n"/>
      <c r="R402" s="2" t="n"/>
      <c r="S402" s="2" t="inlineStr">
        <is>
          <t>Rejeitado(a) em Comissão</t>
        </is>
      </c>
      <c r="T402" s="2" t="inlineStr">
        <is>
          <t>Rejeitada</t>
        </is>
      </c>
      <c r="U402" s="2" t="inlineStr">
        <is>
          <t>Favor: CH, BE, PAN; Contra: PSD, PS, IL, CDS-PP; Abstenção: L, PCP</t>
        </is>
      </c>
      <c r="V402" s="3" t="n">
        <v>45985</v>
      </c>
      <c r="W402" s="2" t="inlineStr">
        <is>
          <t>AR: https://www.parlamento.pt/OrcamentoEstado/Paginas/DetalhePropostaAlteracao.aspx?BID=23562 PDF: https://app.parlamento.pt/webutils/docs/doc.pdf?path=6148523063484d364c793942556b356c6443397a6158526c63793959566b6c4a544556484c3039464c7a49774d6a59794d4449314d5441774f5339515153387a596d5579596a63355a53316b597a4e694c5452684f44637459544d794d7930334f475a6b5a54646859574e6c5a4745756347526d&amp;Fich=3be2b79e-dc3b-4a87-a323-78fde7aaceda.pdf&amp;Inline=true</t>
        </is>
      </c>
      <c r="X402" s="2" t="inlineStr">
        <is>
          <t>Educação e Ciência</t>
        </is>
      </c>
      <c r="Y402" s="2" t="inlineStr">
        <is>
          <t>Articulado</t>
        </is>
      </c>
      <c r="Z402" s="2" t="inlineStr">
        <is>
          <t>Aditamento (Artigo PPL)</t>
        </is>
      </c>
      <c r="AA402" s="2" t="inlineStr">
        <is>
          <t>Rejeitado(a) em Comissão</t>
        </is>
      </c>
      <c r="AB402" s="2" t="inlineStr"/>
      <c r="AC402" s="2" t="inlineStr"/>
      <c r="AD402" s="2" t="inlineStr">
        <is>
          <t>1</t>
        </is>
      </c>
      <c r="AE402" s="2" t="inlineStr">
        <is>
          <t>23562</t>
        </is>
      </c>
      <c r="AF402" s="2" t="inlineStr">
        <is>
          <t>https://www.parlamento.pt/OrcamentoEstado/Paginas/DetalhePropostaAlteracao.aspx?BID=23562</t>
        </is>
      </c>
      <c r="AG402" s="2" t="inlineStr">
        <is>
          <t>https://app.parlamento.pt/webutils/docs/doc.pdf?path=6148523063484d364c793942556b356c6443397a6158526c63793959566b6c4a544556484c3039464c7a49774d6a59794d4449314d5441774f5339515153387a596d5579596a63355a53316b597a4e694c5452684f44637459544d794d7930334f475a6b5a54646859574e6c5a4745756347526d&amp;Fich=3be2b79e-dc3b-4a87-a323-78fde7aaceda.pdf&amp;Inline=true</t>
        </is>
      </c>
      <c r="AH402" s="3" t="n">
        <v>46321.77847222222</v>
      </c>
      <c r="AI402" s="3" t="n">
        <v>46321.78055555555</v>
      </c>
      <c r="AJ402" s="2" t="inlineStr"/>
    </row>
    <row r="403">
      <c r="A403" s="2" t="n">
        <v>402</v>
      </c>
      <c r="B403" s="2" t="inlineStr">
        <is>
          <t>366C</t>
        </is>
      </c>
      <c r="C403" s="3" t="n">
        <v>45965.43055555555</v>
      </c>
      <c r="D403" s="2" t="inlineStr">
        <is>
          <t>Original</t>
        </is>
      </c>
      <c r="E403" s="2" t="inlineStr">
        <is>
          <t>CH</t>
        </is>
      </c>
      <c r="F40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03" s="2" t="inlineStr">
        <is>
          <t>Art. 119.º-A (aditamento)</t>
        </is>
      </c>
      <c r="H403" s="2" t="n"/>
      <c r="I403" s="2" t="n"/>
      <c r="J403" s="2" t="n"/>
      <c r="K403" s="2" t="n"/>
      <c r="L403" s="2" t="inlineStr">
        <is>
          <t>Artigo 119.º-A (Atualização do valor do cheque dentista)</t>
        </is>
      </c>
      <c r="M403" s="4" t="n"/>
      <c r="N403" s="4" t="n"/>
      <c r="O403" s="2" t="n"/>
      <c r="P403" s="2" t="n"/>
      <c r="Q403" s="2" t="n"/>
      <c r="R403" s="2" t="n"/>
      <c r="S403" s="2" t="inlineStr">
        <is>
          <t>Rejeitado(a) em Comissão</t>
        </is>
      </c>
      <c r="T403" s="2" t="inlineStr">
        <is>
          <t>Rejeitada</t>
        </is>
      </c>
      <c r="U403" s="2" t="inlineStr">
        <is>
          <t>Favor: CH, IL, PAN; Contra: PSD, PCP, CDS-PP, BE; Abstenção: PS, L</t>
        </is>
      </c>
      <c r="V403" s="3" t="n">
        <v>45985</v>
      </c>
      <c r="W403" s="2" t="inlineStr">
        <is>
          <t>AR: https://www.parlamento.pt/OrcamentoEstado/Paginas/DetalhePropostaAlteracao.aspx?BID=23563 PDF: https://app.parlamento.pt/webutils/docs/doc.pdf?path=6148523063484d364c793942556b356c6443397a6158526c63793959566b6c4a544556484c3039464c7a49774d6a59794d4449314d5441774f533951515339694e5749345a5441305a4330304d6d56684c5451795a474974596d45334e5330784e5467784f5451345a4455305a6a4d756347526d&amp;Fich=b5b8e04d-42ea-42db-ba75-1581948d54f3.pdf&amp;Inline=true</t>
        </is>
      </c>
      <c r="X403" s="2" t="inlineStr">
        <is>
          <t>Saúde</t>
        </is>
      </c>
      <c r="Y403" s="2" t="inlineStr">
        <is>
          <t>Articulado</t>
        </is>
      </c>
      <c r="Z403" s="2" t="inlineStr">
        <is>
          <t>Aditamento (Artigo PPL)</t>
        </is>
      </c>
      <c r="AA403" s="2" t="inlineStr">
        <is>
          <t>Rejeitado(a) em Comissão</t>
        </is>
      </c>
      <c r="AB403" s="2" t="inlineStr"/>
      <c r="AC403" s="2" t="inlineStr"/>
      <c r="AD403" s="2" t="inlineStr">
        <is>
          <t>1</t>
        </is>
      </c>
      <c r="AE403" s="2" t="inlineStr">
        <is>
          <t>23563</t>
        </is>
      </c>
      <c r="AF403" s="2" t="inlineStr">
        <is>
          <t>https://www.parlamento.pt/OrcamentoEstado/Paginas/DetalhePropostaAlteracao.aspx?BID=23563</t>
        </is>
      </c>
      <c r="AG403" s="2" t="inlineStr">
        <is>
          <t>https://app.parlamento.pt/webutils/docs/doc.pdf?path=6148523063484d364c793942556b356c6443397a6158526c63793959566b6c4a544556484c3039464c7a49774d6a59794d4449314d5441774f533951515339694e5749345a5441305a4330304d6d56684c5451795a474974596d45334e5330784e5467784f5451345a4455305a6a4d756347526d&amp;Fich=b5b8e04d-42ea-42db-ba75-1581948d54f3.pdf&amp;Inline=true</t>
        </is>
      </c>
      <c r="AH403" s="3" t="n">
        <v>46321.77847222222</v>
      </c>
      <c r="AI403" s="3" t="n">
        <v>46321.78055555555</v>
      </c>
      <c r="AJ403" s="2" t="inlineStr"/>
    </row>
    <row r="404">
      <c r="A404" s="2" t="n">
        <v>403</v>
      </c>
      <c r="B404" s="2" t="inlineStr">
        <is>
          <t>367C</t>
        </is>
      </c>
      <c r="C404" s="3" t="n">
        <v>45965.43194444444</v>
      </c>
      <c r="D404" s="2" t="inlineStr">
        <is>
          <t>Original</t>
        </is>
      </c>
      <c r="E404" s="2" t="inlineStr">
        <is>
          <t>CH</t>
        </is>
      </c>
      <c r="F40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04" s="2" t="inlineStr">
        <is>
          <t>Art. 121.º-A (aditamento)</t>
        </is>
      </c>
      <c r="H404" s="2" t="n"/>
      <c r="I404" s="2" t="n"/>
      <c r="J404" s="2" t="n"/>
      <c r="K404" s="2" t="n"/>
      <c r="L404" s="2" t="inlineStr">
        <is>
          <t>Artigo 121.º-A (Alteração ao Decreto-Lei n.º 202/96, de 23 de Outubro)</t>
        </is>
      </c>
      <c r="M404" s="4" t="n"/>
      <c r="N404" s="4" t="n"/>
      <c r="O404" s="2" t="n"/>
      <c r="P404" s="2" t="n"/>
      <c r="Q404" s="2" t="n"/>
      <c r="R404" s="2" t="n"/>
      <c r="S404" s="2" t="inlineStr">
        <is>
          <t>Rejeitado(a) em Comissão</t>
        </is>
      </c>
      <c r="T404" s="2" t="inlineStr">
        <is>
          <t>Rejeitada</t>
        </is>
      </c>
      <c r="U404" s="2" t="inlineStr">
        <is>
          <t>Favor: CH, BE, PAN; Contra: PSD, PS, IL, CDS-PP; Abstenção: L, PCP</t>
        </is>
      </c>
      <c r="V404" s="3" t="n">
        <v>45985</v>
      </c>
      <c r="W404" s="2" t="inlineStr">
        <is>
          <t>AR: https://www.parlamento.pt/OrcamentoEstado/Paginas/DetalhePropostaAlteracao.aspx?BID=23564 PDF: https://app.parlamento.pt/webutils/docs/doc.pdf?path=6148523063484d364c793942556b356c6443397a6158526c63793959566b6c4a544556484c3039464c7a49774d6a59794d4449314d5441774f533951515338784e5463324e7a466d4e7931695954457a4c5451344f575574596d45794e6930325a4755325a444d314f544a6a4e6a49756347526d&amp;Fich=157671f7-ba13-489e-ba26-6de6d3592c62.pdf&amp;Inline=true</t>
        </is>
      </c>
      <c r="X404" s="2" t="inlineStr">
        <is>
          <t>Saúde</t>
        </is>
      </c>
      <c r="Y404" s="2" t="inlineStr">
        <is>
          <t>Articulado</t>
        </is>
      </c>
      <c r="Z404" s="2" t="inlineStr">
        <is>
          <t>Aditamento (Artigo PPL)</t>
        </is>
      </c>
      <c r="AA404" s="2" t="inlineStr">
        <is>
          <t>Rejeitado(a) em Comissão</t>
        </is>
      </c>
      <c r="AB404" s="2" t="inlineStr"/>
      <c r="AC404" s="2" t="inlineStr"/>
      <c r="AD404" s="2" t="inlineStr">
        <is>
          <t>1</t>
        </is>
      </c>
      <c r="AE404" s="2" t="inlineStr">
        <is>
          <t>23564</t>
        </is>
      </c>
      <c r="AF404" s="2" t="inlineStr">
        <is>
          <t>https://www.parlamento.pt/OrcamentoEstado/Paginas/DetalhePropostaAlteracao.aspx?BID=23564</t>
        </is>
      </c>
      <c r="AG404" s="2" t="inlineStr">
        <is>
          <t>https://app.parlamento.pt/webutils/docs/doc.pdf?path=6148523063484d364c793942556b356c6443397a6158526c63793959566b6c4a544556484c3039464c7a49774d6a59794d4449314d5441774f533951515338784e5463324e7a466d4e7931695954457a4c5451344f575574596d45794e6930325a4755325a444d314f544a6a4e6a49756347526d&amp;Fich=157671f7-ba13-489e-ba26-6de6d3592c62.pdf&amp;Inline=true</t>
        </is>
      </c>
      <c r="AH404" s="3" t="n">
        <v>46321.77847222222</v>
      </c>
      <c r="AI404" s="3" t="n">
        <v>46321.78055555555</v>
      </c>
      <c r="AJ404" s="2" t="inlineStr"/>
    </row>
    <row r="405">
      <c r="A405" s="2" t="n">
        <v>404</v>
      </c>
      <c r="B405" s="2" t="inlineStr">
        <is>
          <t>368C</t>
        </is>
      </c>
      <c r="C405" s="3" t="n">
        <v>45965.43194444444</v>
      </c>
      <c r="D405" s="2" t="inlineStr">
        <is>
          <t>Original</t>
        </is>
      </c>
      <c r="E405" s="2" t="inlineStr">
        <is>
          <t>CH</t>
        </is>
      </c>
      <c r="F40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05" s="2" t="inlineStr">
        <is>
          <t>Art. 136.º-A (aditamento)</t>
        </is>
      </c>
      <c r="H405" s="2" t="n"/>
      <c r="I405" s="2" t="n"/>
      <c r="J405" s="2" t="n"/>
      <c r="K405" s="2" t="n"/>
      <c r="L405" s="2" t="inlineStr">
        <is>
          <t>Artigo 136.º-A (Alargamento do Regime de Comparticipação dos Medicamentos Biológicos para o Tratamento do Lúpus e da Asma Grave)</t>
        </is>
      </c>
      <c r="M405" s="4" t="n"/>
      <c r="N405" s="4" t="n"/>
      <c r="O405" s="2" t="n"/>
      <c r="P405" s="2" t="n"/>
      <c r="Q405" s="2" t="n"/>
      <c r="R405" s="2" t="n"/>
      <c r="S405" s="2" t="inlineStr">
        <is>
          <t>Rejeitado(a) em Comissão</t>
        </is>
      </c>
      <c r="T405" s="2" t="inlineStr">
        <is>
          <t>Rejeitada</t>
        </is>
      </c>
      <c r="U405" s="2" t="inlineStr">
        <is>
          <t>Favor: CH, PAN; Contra: PSD, CDS-PP, BE; Abstenção: PS, IL, L, PCP</t>
        </is>
      </c>
      <c r="V405" s="3" t="n">
        <v>45987</v>
      </c>
      <c r="W405" s="2" t="inlineStr">
        <is>
          <t>AR: https://www.parlamento.pt/OrcamentoEstado/Paginas/DetalhePropostaAlteracao.aspx?BID=23565 PDF: https://app.parlamento.pt/webutils/docs/doc.pdf?path=6148523063484d364c793942556b356c6443397a6158526c63793959566b6c4a544556484c3039464c7a49774d6a59794d4449314d5441774f533951515338304d6a55774f444668595330355a5449334c5451325a5749744f5463324d5331695a6d5531596a41774e544d7a5a4745756347526d&amp;Fich=425081aa-9e27-46eb-9761-bfe5b00533da.pdf&amp;Inline=true</t>
        </is>
      </c>
      <c r="X405" s="2" t="inlineStr">
        <is>
          <t>Saúde</t>
        </is>
      </c>
      <c r="Y405" s="2" t="inlineStr">
        <is>
          <t>Articulado</t>
        </is>
      </c>
      <c r="Z405" s="2" t="inlineStr">
        <is>
          <t>Aditamento (Artigo PPL)</t>
        </is>
      </c>
      <c r="AA405" s="2" t="inlineStr">
        <is>
          <t>Rejeitado(a) em Comissão</t>
        </is>
      </c>
      <c r="AB405" s="2" t="inlineStr"/>
      <c r="AC405" s="2" t="inlineStr"/>
      <c r="AD405" s="2" t="inlineStr">
        <is>
          <t>1</t>
        </is>
      </c>
      <c r="AE405" s="2" t="inlineStr">
        <is>
          <t>23565</t>
        </is>
      </c>
      <c r="AF405" s="2" t="inlineStr">
        <is>
          <t>https://www.parlamento.pt/OrcamentoEstado/Paginas/DetalhePropostaAlteracao.aspx?BID=23565</t>
        </is>
      </c>
      <c r="AG405" s="2" t="inlineStr">
        <is>
          <t>https://app.parlamento.pt/webutils/docs/doc.pdf?path=6148523063484d364c793942556b356c6443397a6158526c63793959566b6c4a544556484c3039464c7a49774d6a59794d4449314d5441774f533951515338304d6a55774f444668595330355a5449334c5451325a5749744f5463324d5331695a6d5531596a41774e544d7a5a4745756347526d&amp;Fich=425081aa-9e27-46eb-9761-bfe5b00533da.pdf&amp;Inline=true</t>
        </is>
      </c>
      <c r="AH405" s="3" t="n">
        <v>46321.77847222222</v>
      </c>
      <c r="AI405" s="3" t="n">
        <v>46321.78055555555</v>
      </c>
      <c r="AJ405" s="2" t="inlineStr"/>
    </row>
    <row r="406">
      <c r="A406" s="2" t="n">
        <v>405</v>
      </c>
      <c r="B406" s="2" t="inlineStr">
        <is>
          <t>369C</t>
        </is>
      </c>
      <c r="C406" s="3" t="n">
        <v>45965.43263888889</v>
      </c>
      <c r="D406" s="2" t="inlineStr">
        <is>
          <t>Original</t>
        </is>
      </c>
      <c r="E406" s="2" t="inlineStr">
        <is>
          <t>CH</t>
        </is>
      </c>
      <c r="F40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06" s="2" t="inlineStr">
        <is>
          <t>Art. 136.º-A (aditamento)</t>
        </is>
      </c>
      <c r="H406" s="2" t="n"/>
      <c r="I406" s="2" t="n"/>
      <c r="J406" s="2" t="n"/>
      <c r="K406" s="2" t="n"/>
      <c r="L406" s="2" t="inlineStr">
        <is>
          <t>Artigo 136.º-A (Apoio extraordinário à instalação e produção de cereais)</t>
        </is>
      </c>
      <c r="M406" s="4" t="n"/>
      <c r="N406" s="4" t="n"/>
      <c r="O406" s="2" t="n"/>
      <c r="P406" s="2" t="n"/>
      <c r="Q406" s="2" t="n"/>
      <c r="R406" s="2" t="n"/>
      <c r="S406" s="2" t="inlineStr">
        <is>
          <t>Rejeitado(a) em Comissão</t>
        </is>
      </c>
      <c r="T406" s="2" t="inlineStr">
        <is>
          <t>Rejeitada</t>
        </is>
      </c>
      <c r="U406" s="2" t="inlineStr">
        <is>
          <t>Favor: CH, PAN; Contra: PSD, PS, IL, CDS-PP; Abstenção: L, PCP, BE</t>
        </is>
      </c>
      <c r="V406" s="3" t="n">
        <v>45987</v>
      </c>
      <c r="W406" s="2" t="inlineStr">
        <is>
          <t>AR: https://www.parlamento.pt/OrcamentoEstado/Paginas/DetalhePropostaAlteracao.aspx?BID=23566 PDF: https://app.parlamento.pt/webutils/docs/doc.pdf?path=6148523063484d364c793942556b356c6443397a6158526c63793959566b6c4a544556484c3039464c7a49774d6a59794d4449314d5441774f533951515338354e57517859544269597931694f446b314c54526b5a446b744f4449324e53316a5a57557759544d354d54646b595467756347526d&amp;Fich=95d1a0bc-b895-4dd9-8265-cee0a3917da8.pdf&amp;Inline=true</t>
        </is>
      </c>
      <c r="X406" s="2" t="inlineStr">
        <is>
          <t>Agricultura e Pescas</t>
        </is>
      </c>
      <c r="Y406" s="2" t="inlineStr">
        <is>
          <t>Articulado</t>
        </is>
      </c>
      <c r="Z406" s="2" t="inlineStr">
        <is>
          <t>Aditamento (Artigo PPL)</t>
        </is>
      </c>
      <c r="AA406" s="2" t="inlineStr">
        <is>
          <t>Rejeitado(a) em Comissão</t>
        </is>
      </c>
      <c r="AB406" s="2" t="inlineStr"/>
      <c r="AC406" s="2" t="inlineStr"/>
      <c r="AD406" s="2" t="inlineStr">
        <is>
          <t>1</t>
        </is>
      </c>
      <c r="AE406" s="2" t="inlineStr">
        <is>
          <t>23566</t>
        </is>
      </c>
      <c r="AF406" s="2" t="inlineStr">
        <is>
          <t>https://www.parlamento.pt/OrcamentoEstado/Paginas/DetalhePropostaAlteracao.aspx?BID=23566</t>
        </is>
      </c>
      <c r="AG406" s="2" t="inlineStr">
        <is>
          <t>https://app.parlamento.pt/webutils/docs/doc.pdf?path=6148523063484d364c793942556b356c6443397a6158526c63793959566b6c4a544556484c3039464c7a49774d6a59794d4449314d5441774f533951515338354e57517859544269597931694f446b314c54526b5a446b744f4449324e53316a5a57557759544d354d54646b595467756347526d&amp;Fich=95d1a0bc-b895-4dd9-8265-cee0a3917da8.pdf&amp;Inline=true</t>
        </is>
      </c>
      <c r="AH406" s="3" t="n">
        <v>46321.77847222222</v>
      </c>
      <c r="AI406" s="3" t="n">
        <v>46321.78055555555</v>
      </c>
      <c r="AJ406" s="2" t="inlineStr"/>
    </row>
    <row r="407">
      <c r="A407" s="2" t="n">
        <v>406</v>
      </c>
      <c r="B407" s="2" t="inlineStr">
        <is>
          <t>370C</t>
        </is>
      </c>
      <c r="C407" s="3" t="n">
        <v>45965.43333333333</v>
      </c>
      <c r="D407" s="2" t="inlineStr">
        <is>
          <t>Original</t>
        </is>
      </c>
      <c r="E407" s="2" t="inlineStr">
        <is>
          <t>CH</t>
        </is>
      </c>
      <c r="F40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07" s="2" t="inlineStr">
        <is>
          <t>Art. 121.º-A (aditamento)</t>
        </is>
      </c>
      <c r="H407" s="2" t="n"/>
      <c r="I407" s="2" t="n"/>
      <c r="J407" s="2" t="n"/>
      <c r="K407" s="2" t="n"/>
      <c r="L407" s="2" t="inlineStr">
        <is>
          <t>Artigo 121.º-A (Construção de um novo Centro de Saúde em Albufeira – dimensionado para 2 USF/UCSP/ULDMA)</t>
        </is>
      </c>
      <c r="M407" s="4" t="n"/>
      <c r="N407" s="4" t="n"/>
      <c r="O407" s="2" t="n"/>
      <c r="P407" s="2" t="n"/>
      <c r="Q407" s="2" t="n"/>
      <c r="R407" s="2" t="n"/>
      <c r="S407" s="2" t="inlineStr">
        <is>
          <t>Rejeitado(a) em Comissão</t>
        </is>
      </c>
      <c r="T407" s="2" t="inlineStr">
        <is>
          <t>Rejeitada</t>
        </is>
      </c>
      <c r="U407" s="2" t="inlineStr">
        <is>
          <t>Favor: CH, IL, BE, PAN; Contra: PSD, CDS-PP; Abstenção: PS, L, PCP</t>
        </is>
      </c>
      <c r="V407" s="3" t="n">
        <v>45985</v>
      </c>
      <c r="W407" s="2" t="inlineStr">
        <is>
          <t>AR: https://www.parlamento.pt/OrcamentoEstado/Paginas/DetalhePropostaAlteracao.aspx?BID=23567 PDF: https://app.parlamento.pt/webutils/docs/doc.pdf?path=6148523063484d364c793942556b356c6443397a6158526c63793959566b6c4a544556484c3039464c7a49774d6a59794d4449314d5441774f5339515153396c5a574d304d47457a4d6930314d5451304c5451774d4449744f545a6d595330314e54646c4e6d56695a4749774d7a55756347526d&amp;Fich=eec40a32-5144-4002-96fa-557e6ebdb035.pdf&amp;Inline=true</t>
        </is>
      </c>
      <c r="X407" s="2" t="inlineStr">
        <is>
          <t>Saúde</t>
        </is>
      </c>
      <c r="Y407" s="2" t="inlineStr">
        <is>
          <t>Articulado</t>
        </is>
      </c>
      <c r="Z407" s="2" t="inlineStr">
        <is>
          <t>Aditamento (Artigo PPL)</t>
        </is>
      </c>
      <c r="AA407" s="2" t="inlineStr">
        <is>
          <t>Rejeitado(a) em Comissão</t>
        </is>
      </c>
      <c r="AB407" s="2" t="inlineStr"/>
      <c r="AC407" s="2" t="inlineStr"/>
      <c r="AD407" s="2" t="inlineStr">
        <is>
          <t>1</t>
        </is>
      </c>
      <c r="AE407" s="2" t="inlineStr">
        <is>
          <t>23567</t>
        </is>
      </c>
      <c r="AF407" s="2" t="inlineStr">
        <is>
          <t>https://www.parlamento.pt/OrcamentoEstado/Paginas/DetalhePropostaAlteracao.aspx?BID=23567</t>
        </is>
      </c>
      <c r="AG407" s="2" t="inlineStr">
        <is>
          <t>https://app.parlamento.pt/webutils/docs/doc.pdf?path=6148523063484d364c793942556b356c6443397a6158526c63793959566b6c4a544556484c3039464c7a49774d6a59794d4449314d5441774f5339515153396c5a574d304d47457a4d6930314d5451304c5451774d4449744f545a6d595330314e54646c4e6d56695a4749774d7a55756347526d&amp;Fich=eec40a32-5144-4002-96fa-557e6ebdb035.pdf&amp;Inline=true</t>
        </is>
      </c>
      <c r="AH407" s="3" t="n">
        <v>46321.77847222222</v>
      </c>
      <c r="AI407" s="3" t="n">
        <v>46321.78055555555</v>
      </c>
      <c r="AJ407" s="2" t="inlineStr"/>
    </row>
    <row r="408">
      <c r="A408" s="2" t="n">
        <v>407</v>
      </c>
      <c r="B408" s="2" t="inlineStr">
        <is>
          <t>371C</t>
        </is>
      </c>
      <c r="C408" s="3" t="n">
        <v>45965.43402777778</v>
      </c>
      <c r="D408" s="2" t="inlineStr">
        <is>
          <t>Original</t>
        </is>
      </c>
      <c r="E408" s="2" t="inlineStr">
        <is>
          <t>CH</t>
        </is>
      </c>
      <c r="F40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08" s="2" t="inlineStr">
        <is>
          <t>Art. 136.º-A (aditamento)</t>
        </is>
      </c>
      <c r="H408" s="2" t="n"/>
      <c r="I408" s="2" t="n"/>
      <c r="J408" s="2" t="n"/>
      <c r="K408" s="2" t="n"/>
      <c r="L408" s="2" t="inlineStr">
        <is>
          <t>Artigo 136.º-A (Inquérito de vitimação no âmbito da violência sexual)</t>
        </is>
      </c>
      <c r="M408" s="4" t="n"/>
      <c r="N408" s="4" t="n"/>
      <c r="O408" s="2" t="n"/>
      <c r="P408" s="2" t="n"/>
      <c r="Q408" s="2" t="n"/>
      <c r="R408" s="2" t="n"/>
      <c r="S408" s="2" t="inlineStr">
        <is>
          <t>Rejeitado(a) em Comissão</t>
        </is>
      </c>
      <c r="T408" s="2" t="inlineStr">
        <is>
          <t>Rejeitada</t>
        </is>
      </c>
      <c r="U408" s="2" t="inlineStr">
        <is>
          <t>Favor: CH, PAN; Contra: PSD, PCP, CDS-PP; Abstenção: PS, IL, L, BE</t>
        </is>
      </c>
      <c r="V408" s="3" t="n">
        <v>45987</v>
      </c>
      <c r="W408" s="2" t="inlineStr">
        <is>
          <t>AR: https://www.parlamento.pt/OrcamentoEstado/Paginas/DetalhePropostaAlteracao.aspx?BID=23568 PDF: https://app.parlamento.pt/webutils/docs/doc.pdf?path=6148523063484d364c793942556b356c6443397a6158526c63793959566b6c4a544556484c3039464c7a49774d6a59794d4449314d5441774f5339515153396a5a6d4d354d6d45775953307a4f544e6d4c5451314d57597459544a6d4d4330784e444d304e5751344d3251354e5455756347526d&amp;Fich=cfc92a0a-393f-451f-a2f0-14345d83d955.pdf&amp;Inline=true</t>
        </is>
      </c>
      <c r="X408" s="2" t="inlineStr">
        <is>
          <t>Assuntos Constitucionais, Direitos, Liberdades e Garantias</t>
        </is>
      </c>
      <c r="Y408" s="2" t="inlineStr">
        <is>
          <t>Articulado</t>
        </is>
      </c>
      <c r="Z408" s="2" t="inlineStr">
        <is>
          <t>Aditamento (Artigo PPL)</t>
        </is>
      </c>
      <c r="AA408" s="2" t="inlineStr">
        <is>
          <t>Rejeitado(a) em Comissão</t>
        </is>
      </c>
      <c r="AB408" s="2" t="inlineStr"/>
      <c r="AC408" s="2" t="inlineStr"/>
      <c r="AD408" s="2" t="inlineStr">
        <is>
          <t>1</t>
        </is>
      </c>
      <c r="AE408" s="2" t="inlineStr">
        <is>
          <t>23568</t>
        </is>
      </c>
      <c r="AF408" s="2" t="inlineStr">
        <is>
          <t>https://www.parlamento.pt/OrcamentoEstado/Paginas/DetalhePropostaAlteracao.aspx?BID=23568</t>
        </is>
      </c>
      <c r="AG408" s="2" t="inlineStr">
        <is>
          <t>https://app.parlamento.pt/webutils/docs/doc.pdf?path=6148523063484d364c793942556b356c6443397a6158526c63793959566b6c4a544556484c3039464c7a49774d6a59794d4449314d5441774f5339515153396a5a6d4d354d6d45775953307a4f544e6d4c5451314d57597459544a6d4d4330784e444d304e5751344d3251354e5455756347526d&amp;Fich=cfc92a0a-393f-451f-a2f0-14345d83d955.pdf&amp;Inline=true</t>
        </is>
      </c>
      <c r="AH408" s="3" t="n">
        <v>46321.77847222222</v>
      </c>
      <c r="AI408" s="3" t="n">
        <v>46321.78055555555</v>
      </c>
      <c r="AJ408" s="2" t="inlineStr"/>
    </row>
    <row r="409">
      <c r="A409" s="2" t="n">
        <v>408</v>
      </c>
      <c r="B409" s="2" t="inlineStr">
        <is>
          <t>372C</t>
        </is>
      </c>
      <c r="C409" s="3" t="n">
        <v>45965.43472222222</v>
      </c>
      <c r="D409" s="2" t="inlineStr">
        <is>
          <t>Original</t>
        </is>
      </c>
      <c r="E409" s="2" t="inlineStr">
        <is>
          <t>CH</t>
        </is>
      </c>
      <c r="F40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09" s="2" t="inlineStr">
        <is>
          <t>Art. 121.º-A (aditamento)</t>
        </is>
      </c>
      <c r="H409" s="2" t="n"/>
      <c r="I409" s="2" t="n"/>
      <c r="J409" s="2" t="n"/>
      <c r="K409" s="2" t="n"/>
      <c r="L409" s="2" t="inlineStr">
        <is>
          <t>Artigo 121.º-A (Plataforma Nacional de Gestão de Fluxos Clínicos)</t>
        </is>
      </c>
      <c r="M409" s="4" t="n"/>
      <c r="N409" s="4" t="n"/>
      <c r="O409" s="2" t="n"/>
      <c r="P409" s="2" t="n"/>
      <c r="Q409" s="2" t="n"/>
      <c r="R409" s="2" t="n"/>
      <c r="S409" s="2" t="inlineStr">
        <is>
          <t>Aprovado(a) em Comissão</t>
        </is>
      </c>
      <c r="T409" s="2" t="inlineStr">
        <is>
          <t>Aprovada</t>
        </is>
      </c>
      <c r="U409" s="2" t="inlineStr">
        <is>
          <t>Favor: CH, PAN; Contra: IL, L, PCP; Abstenção: PSD, PS, CDS-PP, BE</t>
        </is>
      </c>
      <c r="V409" s="3" t="n">
        <v>45985</v>
      </c>
      <c r="W409" s="2" t="inlineStr">
        <is>
          <t>AR: https://www.parlamento.pt/OrcamentoEstado/Paginas/DetalhePropostaAlteracao.aspx?BID=23569 PDF: https://app.parlamento.pt/webutils/docs/doc.pdf?path=6148523063484d364c793942556b356c6443397a6158526c63793959566b6c4a544556484c3039464c7a49774d6a59794d4449314d5441774f533951515338314d5759334d5452695a43316a4d544e684c54513459325974596a4d304d4330335a574d344e3259334e47526d4d5459756347526d&amp;Fich=51f714bd-c13a-48cf-b340-7ec87f74df16.pdf&amp;Inline=true</t>
        </is>
      </c>
      <c r="X409" s="2" t="inlineStr">
        <is>
          <t>Saúde</t>
        </is>
      </c>
      <c r="Y409" s="2" t="inlineStr">
        <is>
          <t>Articulado</t>
        </is>
      </c>
      <c r="Z409" s="2" t="inlineStr">
        <is>
          <t>Aditamento (Artigo PPL)</t>
        </is>
      </c>
      <c r="AA409" s="2" t="inlineStr">
        <is>
          <t>Aprovado(a) em Comissão</t>
        </is>
      </c>
      <c r="AB409" s="2" t="inlineStr"/>
      <c r="AC409" s="2" t="inlineStr"/>
      <c r="AD409" s="2" t="inlineStr">
        <is>
          <t>1</t>
        </is>
      </c>
      <c r="AE409" s="2" t="inlineStr">
        <is>
          <t>23569</t>
        </is>
      </c>
      <c r="AF409" s="2" t="inlineStr">
        <is>
          <t>https://www.parlamento.pt/OrcamentoEstado/Paginas/DetalhePropostaAlteracao.aspx?BID=23569</t>
        </is>
      </c>
      <c r="AG409" s="2" t="inlineStr">
        <is>
          <t>https://app.parlamento.pt/webutils/docs/doc.pdf?path=6148523063484d364c793942556b356c6443397a6158526c63793959566b6c4a544556484c3039464c7a49774d6a59794d4449314d5441774f533951515338314d5759334d5452695a43316a4d544e684c54513459325974596a4d304d4330335a574d344e3259334e47526d4d5459756347526d&amp;Fich=51f714bd-c13a-48cf-b340-7ec87f74df16.pdf&amp;Inline=true</t>
        </is>
      </c>
      <c r="AH409" s="3" t="n">
        <v>46321.77847222222</v>
      </c>
      <c r="AI409" s="3" t="n">
        <v>46321.78055555555</v>
      </c>
      <c r="AJ409" s="2" t="inlineStr"/>
    </row>
    <row r="410">
      <c r="A410" s="2" t="n">
        <v>409</v>
      </c>
      <c r="B410" s="2" t="inlineStr">
        <is>
          <t>373C</t>
        </is>
      </c>
      <c r="C410" s="3" t="n">
        <v>45965.43541666667</v>
      </c>
      <c r="D410" s="2" t="inlineStr">
        <is>
          <t>Original</t>
        </is>
      </c>
      <c r="E410" s="2" t="inlineStr">
        <is>
          <t>CH</t>
        </is>
      </c>
      <c r="F41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10" s="2" t="inlineStr">
        <is>
          <t>Art. 136.º-A (aditamento)</t>
        </is>
      </c>
      <c r="H410" s="2" t="n"/>
      <c r="I410" s="2" t="n"/>
      <c r="J410" s="2" t="n"/>
      <c r="K410" s="2" t="n"/>
      <c r="L410" s="2" t="inlineStr">
        <is>
          <t>Artigo 136.º-A (Requalificação e Valorização da Mata Nacional do Choupal em Coimbra)</t>
        </is>
      </c>
      <c r="M410" s="4" t="n"/>
      <c r="N410" s="4" t="n"/>
      <c r="O410" s="2" t="n"/>
      <c r="P410" s="2" t="n"/>
      <c r="Q410" s="2" t="n"/>
      <c r="R410" s="2" t="n"/>
      <c r="S410" s="2" t="inlineStr">
        <is>
          <t>Rejeitado(a) em Comissão</t>
        </is>
      </c>
      <c r="T410" s="2" t="inlineStr">
        <is>
          <t>Rejeitada</t>
        </is>
      </c>
      <c r="U410" s="2" t="inlineStr">
        <is>
          <t>Favor: CH, BE, PAN; Contra: PSD, PCP, CDS-PP; Abstenção: PS, IL, L</t>
        </is>
      </c>
      <c r="V410" s="3" t="n">
        <v>45987</v>
      </c>
      <c r="W410" s="2" t="inlineStr">
        <is>
          <t>AR: https://www.parlamento.pt/OrcamentoEstado/Paginas/DetalhePropostaAlteracao.aspx?BID=23570 PDF: https://app.parlamento.pt/webutils/docs/doc.pdf?path=6148523063484d364c793942556b356c6443397a6158526c63793959566b6c4a544556484c3039464c7a49774d6a59794d4449314d5441774f5339515153396a4f54677a4f57526d4f43316859324e694c54526b4d474d74596a426d595330305a4445354d6a55324f446c6a4f5449756347526d&amp;Fich=c9839df8-accb-4d0c-b0fa-4d1925689c92.pdf&amp;Inline=true</t>
        </is>
      </c>
      <c r="X410" s="2" t="inlineStr">
        <is>
          <t>Ambiente e Energia</t>
        </is>
      </c>
      <c r="Y410" s="2" t="inlineStr">
        <is>
          <t>Articulado</t>
        </is>
      </c>
      <c r="Z410" s="2" t="inlineStr">
        <is>
          <t>Aditamento (Artigo PPL)</t>
        </is>
      </c>
      <c r="AA410" s="2" t="inlineStr">
        <is>
          <t>Rejeitado(a) em Comissão</t>
        </is>
      </c>
      <c r="AB410" s="2" t="inlineStr"/>
      <c r="AC410" s="2" t="inlineStr"/>
      <c r="AD410" s="2" t="inlineStr">
        <is>
          <t>1</t>
        </is>
      </c>
      <c r="AE410" s="2" t="inlineStr">
        <is>
          <t>23570</t>
        </is>
      </c>
      <c r="AF410" s="2" t="inlineStr">
        <is>
          <t>https://www.parlamento.pt/OrcamentoEstado/Paginas/DetalhePropostaAlteracao.aspx?BID=23570</t>
        </is>
      </c>
      <c r="AG410" s="2" t="inlineStr">
        <is>
          <t>https://app.parlamento.pt/webutils/docs/doc.pdf?path=6148523063484d364c793942556b356c6443397a6158526c63793959566b6c4a544556484c3039464c7a49774d6a59794d4449314d5441774f5339515153396a4f54677a4f57526d4f43316859324e694c54526b4d474d74596a426d595330305a4445354d6a55324f446c6a4f5449756347526d&amp;Fich=c9839df8-accb-4d0c-b0fa-4d1925689c92.pdf&amp;Inline=true</t>
        </is>
      </c>
      <c r="AH410" s="3" t="n">
        <v>46321.77847222222</v>
      </c>
      <c r="AI410" s="3" t="n">
        <v>46321.78055555555</v>
      </c>
      <c r="AJ410" s="2" t="inlineStr"/>
    </row>
    <row r="411">
      <c r="A411" s="2" t="n">
        <v>410</v>
      </c>
      <c r="B411" s="2" t="inlineStr">
        <is>
          <t>374C</t>
        </is>
      </c>
      <c r="C411" s="3" t="n">
        <v>45965.43611111111</v>
      </c>
      <c r="D411" s="2" t="inlineStr">
        <is>
          <t>Original</t>
        </is>
      </c>
      <c r="E411" s="2" t="inlineStr">
        <is>
          <t>CH</t>
        </is>
      </c>
      <c r="F41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11" s="2" t="inlineStr">
        <is>
          <t>Art. 136.º-A (aditamento)</t>
        </is>
      </c>
      <c r="H411" s="2" t="n"/>
      <c r="I411" s="2" t="n"/>
      <c r="J411" s="2" t="n"/>
      <c r="K411" s="2" t="n"/>
      <c r="L411" s="2" t="inlineStr">
        <is>
          <t>Artigo 136.º-A (Reabilitação de comportas no rio Pranto no Baixo Mondego)</t>
        </is>
      </c>
      <c r="M411" s="4" t="n"/>
      <c r="N411" s="4" t="n"/>
      <c r="O411" s="2" t="n"/>
      <c r="P411" s="2" t="n"/>
      <c r="Q411" s="2" t="n"/>
      <c r="R411" s="2" t="n"/>
      <c r="S411" s="2" t="inlineStr">
        <is>
          <t>Rejeitado(a) em Comissão</t>
        </is>
      </c>
      <c r="T411" s="2" t="inlineStr">
        <is>
          <t>Rejeitada</t>
        </is>
      </c>
      <c r="U411" s="2" t="inlineStr">
        <is>
          <t>Favor: CH, IL, PAN; Contra: PSD, CDS-PP; Abstenção: PS, L, PCP, BE</t>
        </is>
      </c>
      <c r="V411" s="3" t="n">
        <v>45987</v>
      </c>
      <c r="W411" s="2" t="inlineStr">
        <is>
          <t>AR: https://www.parlamento.pt/OrcamentoEstado/Paginas/DetalhePropostaAlteracao.aspx?BID=23571 PDF: https://app.parlamento.pt/webutils/docs/doc.pdf?path=6148523063484d364c793942556b356c6443397a6158526c63793959566b6c4a544556484c3039464c7a49774d6a59794d4449314d5441774f533951515338344d44557959325a6c5979316b5a6a45784c5451774f444974596a63304f5330314f544d304e6a51354e4759775a6a4d756347526d&amp;Fich=8052cfec-df11-4082-b749-59346494f0f3.pdf&amp;Inline=true</t>
        </is>
      </c>
      <c r="X411" s="2" t="inlineStr">
        <is>
          <t>Agricultura e Pescas</t>
        </is>
      </c>
      <c r="Y411" s="2" t="inlineStr">
        <is>
          <t>Articulado</t>
        </is>
      </c>
      <c r="Z411" s="2" t="inlineStr">
        <is>
          <t>Aditamento (Artigo PPL)</t>
        </is>
      </c>
      <c r="AA411" s="2" t="inlineStr">
        <is>
          <t>Rejeitado(a) em Comissão</t>
        </is>
      </c>
      <c r="AB411" s="2" t="inlineStr"/>
      <c r="AC411" s="2" t="inlineStr"/>
      <c r="AD411" s="2" t="inlineStr">
        <is>
          <t>1</t>
        </is>
      </c>
      <c r="AE411" s="2" t="inlineStr">
        <is>
          <t>23571</t>
        </is>
      </c>
      <c r="AF411" s="2" t="inlineStr">
        <is>
          <t>https://www.parlamento.pt/OrcamentoEstado/Paginas/DetalhePropostaAlteracao.aspx?BID=23571</t>
        </is>
      </c>
      <c r="AG411" s="2" t="inlineStr">
        <is>
          <t>https://app.parlamento.pt/webutils/docs/doc.pdf?path=6148523063484d364c793942556b356c6443397a6158526c63793959566b6c4a544556484c3039464c7a49774d6a59794d4449314d5441774f533951515338344d44557959325a6c5979316b5a6a45784c5451774f444974596a63304f5330314f544d304e6a51354e4759775a6a4d756347526d&amp;Fich=8052cfec-df11-4082-b749-59346494f0f3.pdf&amp;Inline=true</t>
        </is>
      </c>
      <c r="AH411" s="3" t="n">
        <v>46321.77847222222</v>
      </c>
      <c r="AI411" s="3" t="n">
        <v>46321.78055555555</v>
      </c>
      <c r="AJ411" s="2" t="inlineStr"/>
    </row>
    <row r="412">
      <c r="A412" s="2" t="n">
        <v>411</v>
      </c>
      <c r="B412" s="2" t="inlineStr">
        <is>
          <t>375C</t>
        </is>
      </c>
      <c r="C412" s="3" t="n">
        <v>45965.43611111111</v>
      </c>
      <c r="D412" s="2" t="inlineStr">
        <is>
          <t>Original</t>
        </is>
      </c>
      <c r="E412" s="2" t="inlineStr">
        <is>
          <t>CH</t>
        </is>
      </c>
      <c r="F41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12" s="2" t="inlineStr">
        <is>
          <t>Art. 121.º-A (aditamento)</t>
        </is>
      </c>
      <c r="H412" s="2" t="n"/>
      <c r="I412" s="2" t="n"/>
      <c r="J412" s="2" t="n"/>
      <c r="K412" s="2" t="n"/>
      <c r="L412" s="2" t="inlineStr">
        <is>
          <t>Artigo 121.º-A (Reforço da Rede Nacional de Cuidados Continuados Integrados em Oliveira do Hospital)</t>
        </is>
      </c>
      <c r="M412" s="4" t="n"/>
      <c r="N412" s="4" t="n"/>
      <c r="O412" s="2" t="n"/>
      <c r="P412" s="2" t="n"/>
      <c r="Q412" s="2" t="n"/>
      <c r="R412" s="2" t="n"/>
      <c r="S412" s="2" t="inlineStr">
        <is>
          <t>Rejeitado(a) em Comissão</t>
        </is>
      </c>
      <c r="T412" s="2" t="inlineStr">
        <is>
          <t>Rejeitada</t>
        </is>
      </c>
      <c r="U412" s="2" t="inlineStr">
        <is>
          <t>Favor: CH, BE, PAN; Contra: PSD, CDS-PP; Abstenção: PS, IL, L, PCP</t>
        </is>
      </c>
      <c r="V412" s="3" t="n">
        <v>45985</v>
      </c>
      <c r="W412" s="2" t="inlineStr">
        <is>
          <t>AR: https://www.parlamento.pt/OrcamentoEstado/Paginas/DetalhePropostaAlteracao.aspx?BID=23572 PDF: https://app.parlamento.pt/webutils/docs/doc.pdf?path=6148523063484d364c793942556b356c6443397a6158526c63793959566b6c4a544556484c3039464c7a49774d6a59794d4449314d5441774f5339515153396b4d5751334e444e6b4f5330334e6d45784c5451314d6d4d74596a5a6b4e7931684e5445324d446c694f474d35596d49756347526d&amp;Fich=d1d743d9-76a1-452c-b6d7-a51609b8c9bb.pdf&amp;Inline=true</t>
        </is>
      </c>
      <c r="X412" s="2" t="inlineStr">
        <is>
          <t>Saúde</t>
        </is>
      </c>
      <c r="Y412" s="2" t="inlineStr">
        <is>
          <t>Articulado</t>
        </is>
      </c>
      <c r="Z412" s="2" t="inlineStr">
        <is>
          <t>Aditamento (Artigo PPL)</t>
        </is>
      </c>
      <c r="AA412" s="2" t="inlineStr">
        <is>
          <t>Rejeitado(a) em Comissão</t>
        </is>
      </c>
      <c r="AB412" s="2" t="inlineStr"/>
      <c r="AC412" s="2" t="inlineStr"/>
      <c r="AD412" s="2" t="inlineStr">
        <is>
          <t>1</t>
        </is>
      </c>
      <c r="AE412" s="2" t="inlineStr">
        <is>
          <t>23572</t>
        </is>
      </c>
      <c r="AF412" s="2" t="inlineStr">
        <is>
          <t>https://www.parlamento.pt/OrcamentoEstado/Paginas/DetalhePropostaAlteracao.aspx?BID=23572</t>
        </is>
      </c>
      <c r="AG412" s="2" t="inlineStr">
        <is>
          <t>https://app.parlamento.pt/webutils/docs/doc.pdf?path=6148523063484d364c793942556b356c6443397a6158526c63793959566b6c4a544556484c3039464c7a49774d6a59794d4449314d5441774f5339515153396b4d5751334e444e6b4f5330334e6d45784c5451314d6d4d74596a5a6b4e7931684e5445324d446c694f474d35596d49756347526d&amp;Fich=d1d743d9-76a1-452c-b6d7-a51609b8c9bb.pdf&amp;Inline=true</t>
        </is>
      </c>
      <c r="AH412" s="3" t="n">
        <v>46321.77847222222</v>
      </c>
      <c r="AI412" s="3" t="n">
        <v>46321.78055555555</v>
      </c>
      <c r="AJ412" s="2" t="inlineStr"/>
    </row>
    <row r="413">
      <c r="A413" s="2" t="n">
        <v>412</v>
      </c>
      <c r="B413" s="2" t="inlineStr">
        <is>
          <t>376C</t>
        </is>
      </c>
      <c r="C413" s="3" t="n">
        <v>45965.4375</v>
      </c>
      <c r="D413" s="2" t="inlineStr">
        <is>
          <t>Original</t>
        </is>
      </c>
      <c r="E413" s="2" t="inlineStr">
        <is>
          <t>CH</t>
        </is>
      </c>
      <c r="F41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13" s="2" t="inlineStr">
        <is>
          <t>Art. 126.º-A (aditamento)</t>
        </is>
      </c>
      <c r="H413" s="2" t="n"/>
      <c r="I413" s="2" t="n"/>
      <c r="J413" s="2" t="n"/>
      <c r="K413" s="2" t="n"/>
      <c r="L413" s="2" t="inlineStr">
        <is>
          <t>Artigo 126.º-A (Concessão de Apoios para instalação de Painéis Solares Portáteis e Telhas Fotovoltaicas)</t>
        </is>
      </c>
      <c r="M413" s="4" t="n"/>
      <c r="N413" s="4" t="n"/>
      <c r="O413" s="2" t="n"/>
      <c r="P413" s="2" t="n"/>
      <c r="Q413" s="2" t="n"/>
      <c r="R413" s="2" t="n"/>
      <c r="S413" s="2" t="inlineStr">
        <is>
          <t>Rejeitado(a) em Comissão</t>
        </is>
      </c>
      <c r="T413" s="2" t="inlineStr">
        <is>
          <t>Rejeitada</t>
        </is>
      </c>
      <c r="U413" s="2" t="inlineStr">
        <is>
          <t>Favor: CH, PAN; Contra: PSD, CDS-PP; Abstenção: PS, IL, L, PCP, BE</t>
        </is>
      </c>
      <c r="V413" s="3" t="n">
        <v>45985</v>
      </c>
      <c r="W413" s="2" t="inlineStr">
        <is>
          <t>AR: https://www.parlamento.pt/OrcamentoEstado/Paginas/DetalhePropostaAlteracao.aspx?BID=23573 PDF: https://app.parlamento.pt/webutils/docs/doc.pdf?path=6148523063484d364c793942556b356c6443397a6158526c63793959566b6c4a544556484c3039464c7a49774d6a59794d4449314d5441774f5339515153396d596d5978596d526d4e533035595455324c5452684d7a6b744f5751774d4330355a474a6b4e446b77597a4d794f546b756347526d&amp;Fich=fbf1bdf5-9a56-4a39-9d00-9dbd490c3299.pdf&amp;Inline=true</t>
        </is>
      </c>
      <c r="X413" s="2" t="inlineStr">
        <is>
          <t>Ambiente e Energia</t>
        </is>
      </c>
      <c r="Y413" s="2" t="inlineStr">
        <is>
          <t>Articulado</t>
        </is>
      </c>
      <c r="Z413" s="2" t="inlineStr">
        <is>
          <t>Aditamento (Artigo PPL)</t>
        </is>
      </c>
      <c r="AA413" s="2" t="inlineStr">
        <is>
          <t>Rejeitado(a) em Comissão</t>
        </is>
      </c>
      <c r="AB413" s="2" t="inlineStr"/>
      <c r="AC413" s="2" t="inlineStr"/>
      <c r="AD413" s="2" t="inlineStr">
        <is>
          <t>1</t>
        </is>
      </c>
      <c r="AE413" s="2" t="inlineStr">
        <is>
          <t>23573</t>
        </is>
      </c>
      <c r="AF413" s="2" t="inlineStr">
        <is>
          <t>https://www.parlamento.pt/OrcamentoEstado/Paginas/DetalhePropostaAlteracao.aspx?BID=23573</t>
        </is>
      </c>
      <c r="AG413" s="2" t="inlineStr">
        <is>
          <t>https://app.parlamento.pt/webutils/docs/doc.pdf?path=6148523063484d364c793942556b356c6443397a6158526c63793959566b6c4a544556484c3039464c7a49774d6a59794d4449314d5441774f5339515153396d596d5978596d526d4e533035595455324c5452684d7a6b744f5751774d4330355a474a6b4e446b77597a4d794f546b756347526d&amp;Fich=fbf1bdf5-9a56-4a39-9d00-9dbd490c3299.pdf&amp;Inline=true</t>
        </is>
      </c>
      <c r="AH413" s="3" t="n">
        <v>46321.77847222222</v>
      </c>
      <c r="AI413" s="3" t="n">
        <v>46321.78055555555</v>
      </c>
      <c r="AJ413" s="2" t="inlineStr"/>
    </row>
    <row r="414">
      <c r="A414" s="2" t="n">
        <v>413</v>
      </c>
      <c r="B414" s="2" t="inlineStr">
        <is>
          <t>377C</t>
        </is>
      </c>
      <c r="C414" s="3" t="n">
        <v>45965.43888888889</v>
      </c>
      <c r="D414" s="2" t="inlineStr">
        <is>
          <t>Original</t>
        </is>
      </c>
      <c r="E414" s="2" t="inlineStr">
        <is>
          <t>CH</t>
        </is>
      </c>
      <c r="F41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14" s="2" t="inlineStr">
        <is>
          <t>Art. 126.º-A (aditamento)</t>
        </is>
      </c>
      <c r="H414" s="2" t="n"/>
      <c r="I414" s="2" t="n"/>
      <c r="J414" s="2" t="n"/>
      <c r="K414" s="2" t="n"/>
      <c r="L414" s="2" t="inlineStr">
        <is>
          <t>Artigo 126.º-A (Desassoreamento da foz do rio Arade)</t>
        </is>
      </c>
      <c r="M414" s="4" t="n"/>
      <c r="N414" s="4" t="n"/>
      <c r="O414" s="2" t="n"/>
      <c r="P414" s="2" t="n"/>
      <c r="Q414" s="2" t="n"/>
      <c r="R414" s="2" t="n"/>
      <c r="S414" s="2" t="inlineStr">
        <is>
          <t>Rejeitado(a) em Comissão</t>
        </is>
      </c>
      <c r="T414" s="2" t="inlineStr">
        <is>
          <t>Rejeitada</t>
        </is>
      </c>
      <c r="U414" s="2" t="inlineStr">
        <is>
          <t>Favor: CH, IL, BE; Contra: PSD, CDS-PP; Abstenção: PS, L, PCP, PAN</t>
        </is>
      </c>
      <c r="V414" s="3" t="n">
        <v>45985</v>
      </c>
      <c r="W414" s="2" t="inlineStr">
        <is>
          <t>AR: https://www.parlamento.pt/OrcamentoEstado/Paginas/DetalhePropostaAlteracao.aspx?BID=23574 PDF: https://app.parlamento.pt/webutils/docs/doc.pdf?path=6148523063484d364c793942556b356c6443397a6158526c63793959566b6c4a544556484c3039464c7a49774d6a59794d4449314d5441774f5339515153396c4e7a41325a5759334d7930334e6d45304c5452694e6d497459574a6a5a5330304e3245334d6d51774f544d354d5749756347526d&amp;Fich=e706ef73-76a4-4b6b-abce-47a72d09391b.pdf&amp;Inline=true</t>
        </is>
      </c>
      <c r="X414" s="2" t="inlineStr">
        <is>
          <t>Ambiente e Energia</t>
        </is>
      </c>
      <c r="Y414" s="2" t="inlineStr">
        <is>
          <t>Articulado</t>
        </is>
      </c>
      <c r="Z414" s="2" t="inlineStr">
        <is>
          <t>Aditamento (Artigo PPL)</t>
        </is>
      </c>
      <c r="AA414" s="2" t="inlineStr">
        <is>
          <t>Rejeitado(a) em Comissão</t>
        </is>
      </c>
      <c r="AB414" s="2" t="inlineStr"/>
      <c r="AC414" s="2" t="inlineStr"/>
      <c r="AD414" s="2" t="inlineStr">
        <is>
          <t>1</t>
        </is>
      </c>
      <c r="AE414" s="2" t="inlineStr">
        <is>
          <t>23574</t>
        </is>
      </c>
      <c r="AF414" s="2" t="inlineStr">
        <is>
          <t>https://www.parlamento.pt/OrcamentoEstado/Paginas/DetalhePropostaAlteracao.aspx?BID=23574</t>
        </is>
      </c>
      <c r="AG414" s="2" t="inlineStr">
        <is>
          <t>https://app.parlamento.pt/webutils/docs/doc.pdf?path=6148523063484d364c793942556b356c6443397a6158526c63793959566b6c4a544556484c3039464c7a49774d6a59794d4449314d5441774f5339515153396c4e7a41325a5759334d7930334e6d45304c5452694e6d497459574a6a5a5330304e3245334d6d51774f544d354d5749756347526d&amp;Fich=e706ef73-76a4-4b6b-abce-47a72d09391b.pdf&amp;Inline=true</t>
        </is>
      </c>
      <c r="AH414" s="3" t="n">
        <v>46321.77847222222</v>
      </c>
      <c r="AI414" s="3" t="n">
        <v>46321.78055555555</v>
      </c>
      <c r="AJ414" s="2" t="inlineStr"/>
    </row>
    <row r="415">
      <c r="A415" s="2" t="n">
        <v>414</v>
      </c>
      <c r="B415" s="2" t="inlineStr">
        <is>
          <t>378C</t>
        </is>
      </c>
      <c r="C415" s="3" t="n">
        <v>45965.44027777778</v>
      </c>
      <c r="D415" s="2" t="inlineStr">
        <is>
          <t>Original</t>
        </is>
      </c>
      <c r="E415" s="2" t="inlineStr">
        <is>
          <t>CH</t>
        </is>
      </c>
      <c r="F41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15" s="2" t="inlineStr">
        <is>
          <t>Art. 126.º-A (aditamento)</t>
        </is>
      </c>
      <c r="H415" s="2" t="n"/>
      <c r="I415" s="2" t="n"/>
      <c r="J415" s="2" t="n"/>
      <c r="K415" s="2" t="n"/>
      <c r="L415" s="2" t="inlineStr">
        <is>
          <t>Artigo 126.º-A (Desassoreamento da foz do rio Guadiana)</t>
        </is>
      </c>
      <c r="M415" s="4" t="n"/>
      <c r="N415" s="4" t="n"/>
      <c r="O415" s="2" t="n"/>
      <c r="P415" s="2" t="n"/>
      <c r="Q415" s="2" t="n"/>
      <c r="R415" s="2" t="n"/>
      <c r="S415" s="2" t="inlineStr">
        <is>
          <t>Rejeitado(a) em Comissão</t>
        </is>
      </c>
      <c r="T415" s="2" t="inlineStr">
        <is>
          <t>Rejeitada</t>
        </is>
      </c>
      <c r="U415" s="2" t="inlineStr">
        <is>
          <t>Favor: CH, IL, BE; Contra: PSD, CDS-PP; Abstenção: PS, L, PCP, PAN</t>
        </is>
      </c>
      <c r="V415" s="3" t="n">
        <v>45985</v>
      </c>
      <c r="W415" s="2" t="inlineStr">
        <is>
          <t>AR: https://www.parlamento.pt/OrcamentoEstado/Paginas/DetalhePropostaAlteracao.aspx?BID=23575 PDF: https://app.parlamento.pt/webutils/docs/doc.pdf?path=6148523063484d364c793942556b356c6443397a6158526c63793959566b6c4a544556484c3039464c7a49774d6a59794d4449314d5441774f5339515153396859574d354e446c68597930344e5464694c5451334e546774596a646c4f53307a5a546c6b4e5446684e5441774e5451756347526d&amp;Fich=aac949ac-857b-4758-b7e9-3e9d51a50054.pdf&amp;Inline=true</t>
        </is>
      </c>
      <c r="X415" s="2" t="inlineStr">
        <is>
          <t>Ambiente e Energia</t>
        </is>
      </c>
      <c r="Y415" s="2" t="inlineStr">
        <is>
          <t>Articulado</t>
        </is>
      </c>
      <c r="Z415" s="2" t="inlineStr">
        <is>
          <t>Aditamento (Artigo PPL)</t>
        </is>
      </c>
      <c r="AA415" s="2" t="inlineStr">
        <is>
          <t>Rejeitado(a) em Comissão</t>
        </is>
      </c>
      <c r="AB415" s="2" t="inlineStr"/>
      <c r="AC415" s="2" t="inlineStr"/>
      <c r="AD415" s="2" t="inlineStr">
        <is>
          <t>1</t>
        </is>
      </c>
      <c r="AE415" s="2" t="inlineStr">
        <is>
          <t>23575</t>
        </is>
      </c>
      <c r="AF415" s="2" t="inlineStr">
        <is>
          <t>https://www.parlamento.pt/OrcamentoEstado/Paginas/DetalhePropostaAlteracao.aspx?BID=23575</t>
        </is>
      </c>
      <c r="AG415" s="2" t="inlineStr">
        <is>
          <t>https://app.parlamento.pt/webutils/docs/doc.pdf?path=6148523063484d364c793942556b356c6443397a6158526c63793959566b6c4a544556484c3039464c7a49774d6a59794d4449314d5441774f5339515153396859574d354e446c68597930344e5464694c5451334e546774596a646c4f53307a5a546c6b4e5446684e5441774e5451756347526d&amp;Fich=aac949ac-857b-4758-b7e9-3e9d51a50054.pdf&amp;Inline=true</t>
        </is>
      </c>
      <c r="AH415" s="3" t="n">
        <v>46321.77847222222</v>
      </c>
      <c r="AI415" s="3" t="n">
        <v>46321.78055555555</v>
      </c>
      <c r="AJ415" s="2" t="inlineStr"/>
    </row>
    <row r="416">
      <c r="A416" s="2" t="n">
        <v>415</v>
      </c>
      <c r="B416" s="2" t="inlineStr">
        <is>
          <t>379C</t>
        </is>
      </c>
      <c r="C416" s="3" t="n">
        <v>45965.44583333333</v>
      </c>
      <c r="D416" s="2" t="inlineStr">
        <is>
          <t>Original</t>
        </is>
      </c>
      <c r="E416" s="2" t="inlineStr">
        <is>
          <t>CH</t>
        </is>
      </c>
      <c r="F41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16" s="2" t="inlineStr">
        <is>
          <t>Art. 136.º-A (aditamento)</t>
        </is>
      </c>
      <c r="H416" s="2" t="n"/>
      <c r="I416" s="2" t="n"/>
      <c r="J416" s="2" t="n"/>
      <c r="K416" s="2" t="n"/>
      <c r="L416" s="2" t="inlineStr">
        <is>
          <t>Artigo 136.º-A (Inventário nacional do Estado e necessidades dos museus públicos)</t>
        </is>
      </c>
      <c r="M416" s="4" t="n"/>
      <c r="N416" s="4" t="n"/>
      <c r="O416" s="2" t="n"/>
      <c r="P416" s="2" t="n"/>
      <c r="Q416" s="2" t="n"/>
      <c r="R416" s="2" t="n"/>
      <c r="S416" s="2" t="inlineStr">
        <is>
          <t>Rejeitado(a) em Comissão</t>
        </is>
      </c>
      <c r="T416" s="2" t="inlineStr">
        <is>
          <t>Rejeitada</t>
        </is>
      </c>
      <c r="U416" s="2" t="inlineStr">
        <is>
          <t>Favor: CH, IL, PAN; Contra: PSD, CDS-PP; Abstenção: PS, L, PCP, BE</t>
        </is>
      </c>
      <c r="V416" s="3" t="n">
        <v>45987</v>
      </c>
      <c r="W416" s="2" t="inlineStr">
        <is>
          <t>AR: https://www.parlamento.pt/OrcamentoEstado/Paginas/DetalhePropostaAlteracao.aspx?BID=23576 PDF: https://app.parlamento.pt/webutils/docs/doc.pdf?path=6148523063484d364c793942556b356c6443397a6158526c63793959566b6c4a544556484c3039464c7a49774d6a59794d4449314d5441774f5339515153396c4d44557a59574d324e793079597a51774c5451304d6d5174596a5a6d5a53307a4e7a4d794e7a4d315a44517a4e3251756347526d&amp;Fich=e053ac67-2c40-442d-b6fe-3732735d437d.pdf&amp;Inline=true</t>
        </is>
      </c>
      <c r="X416" s="2" t="inlineStr">
        <is>
          <t>Cultura, Comunicação, Juventude e Desporto</t>
        </is>
      </c>
      <c r="Y416" s="2" t="inlineStr">
        <is>
          <t>Articulado</t>
        </is>
      </c>
      <c r="Z416" s="2" t="inlineStr">
        <is>
          <t>Aditamento (Artigo PPL)</t>
        </is>
      </c>
      <c r="AA416" s="2" t="inlineStr">
        <is>
          <t>Rejeitado(a) em Comissão</t>
        </is>
      </c>
      <c r="AB416" s="2" t="inlineStr"/>
      <c r="AC416" s="2" t="inlineStr"/>
      <c r="AD416" s="2" t="inlineStr">
        <is>
          <t>1</t>
        </is>
      </c>
      <c r="AE416" s="2" t="inlineStr">
        <is>
          <t>23576</t>
        </is>
      </c>
      <c r="AF416" s="2" t="inlineStr">
        <is>
          <t>https://www.parlamento.pt/OrcamentoEstado/Paginas/DetalhePropostaAlteracao.aspx?BID=23576</t>
        </is>
      </c>
      <c r="AG416" s="2" t="inlineStr">
        <is>
          <t>https://app.parlamento.pt/webutils/docs/doc.pdf?path=6148523063484d364c793942556b356c6443397a6158526c63793959566b6c4a544556484c3039464c7a49774d6a59794d4449314d5441774f5339515153396c4d44557a59574d324e793079597a51774c5451304d6d5174596a5a6d5a53307a4e7a4d794e7a4d315a44517a4e3251756347526d&amp;Fich=e053ac67-2c40-442d-b6fe-3732735d437d.pdf&amp;Inline=true</t>
        </is>
      </c>
      <c r="AH416" s="3" t="n">
        <v>46321.77847222222</v>
      </c>
      <c r="AI416" s="3" t="n">
        <v>46321.78055555555</v>
      </c>
      <c r="AJ416" s="2" t="inlineStr"/>
    </row>
    <row r="417">
      <c r="A417" s="2" t="n">
        <v>416</v>
      </c>
      <c r="B417" s="2" t="inlineStr">
        <is>
          <t>380C</t>
        </is>
      </c>
      <c r="C417" s="3" t="n">
        <v>45965.44652777778</v>
      </c>
      <c r="D417" s="2" t="inlineStr">
        <is>
          <t>Original</t>
        </is>
      </c>
      <c r="E417" s="2" t="inlineStr">
        <is>
          <t>CH</t>
        </is>
      </c>
      <c r="F41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17" s="2" t="inlineStr">
        <is>
          <t>Art. 136.º-A (aditamento)</t>
        </is>
      </c>
      <c r="H417" s="2" t="n"/>
      <c r="I417" s="2" t="n"/>
      <c r="J417" s="2" t="n"/>
      <c r="K417" s="2" t="n"/>
      <c r="L417" s="2" t="inlineStr">
        <is>
          <t>Artigo 136.º-A (Criação do Museu dos Descobrimentos)</t>
        </is>
      </c>
      <c r="M417" s="4" t="n"/>
      <c r="N417" s="4" t="n"/>
      <c r="O417" s="2" t="n"/>
      <c r="P417" s="2" t="n"/>
      <c r="Q417" s="2" t="n"/>
      <c r="R417" s="2" t="n"/>
      <c r="S417" s="2" t="inlineStr">
        <is>
          <t>Rejeitado(a) em Comissão</t>
        </is>
      </c>
      <c r="T417" s="2" t="inlineStr">
        <is>
          <t>Rejeitada</t>
        </is>
      </c>
      <c r="U417" s="2" t="inlineStr">
        <is>
          <t>Favor: CH, CDS-PP; Contra: PSD, PS, L, PCP, BE, PAN; Abstenção: IL</t>
        </is>
      </c>
      <c r="V417" s="3" t="n">
        <v>45987</v>
      </c>
      <c r="W417" s="2" t="inlineStr">
        <is>
          <t>AR: https://www.parlamento.pt/OrcamentoEstado/Paginas/DetalhePropostaAlteracao.aspx?BID=23577 PDF: https://app.parlamento.pt/webutils/docs/doc.pdf?path=6148523063484d364c793942556b356c6443397a6158526c63793959566b6c4a544556484c3039464c7a49774d6a59794d4449314d5441774f5339515153396b5a4468685a54646a595331684d7a41344c54517a5a474d744f5463345a4330355a546b7a4f5449795954526b5a6d55756347526d&amp;Fich=dd8ae7ca-a308-43dc-978d-9e93922a4dfe.pdf&amp;Inline=true</t>
        </is>
      </c>
      <c r="X417" s="2" t="inlineStr">
        <is>
          <t>Cultura, Comunicação, Juventude e Desporto</t>
        </is>
      </c>
      <c r="Y417" s="2" t="inlineStr">
        <is>
          <t>Articulado</t>
        </is>
      </c>
      <c r="Z417" s="2" t="inlineStr">
        <is>
          <t>Aditamento (Artigo PPL)</t>
        </is>
      </c>
      <c r="AA417" s="2" t="inlineStr">
        <is>
          <t>Rejeitado(a) em Comissão</t>
        </is>
      </c>
      <c r="AB417" s="2" t="inlineStr"/>
      <c r="AC417" s="2" t="inlineStr"/>
      <c r="AD417" s="2" t="inlineStr">
        <is>
          <t>1</t>
        </is>
      </c>
      <c r="AE417" s="2" t="inlineStr">
        <is>
          <t>23577</t>
        </is>
      </c>
      <c r="AF417" s="2" t="inlineStr">
        <is>
          <t>https://www.parlamento.pt/OrcamentoEstado/Paginas/DetalhePropostaAlteracao.aspx?BID=23577</t>
        </is>
      </c>
      <c r="AG417" s="2" t="inlineStr">
        <is>
          <t>https://app.parlamento.pt/webutils/docs/doc.pdf?path=6148523063484d364c793942556b356c6443397a6158526c63793959566b6c4a544556484c3039464c7a49774d6a59794d4449314d5441774f5339515153396b5a4468685a54646a595331684d7a41344c54517a5a474d744f5463345a4330355a546b7a4f5449795954526b5a6d55756347526d&amp;Fich=dd8ae7ca-a308-43dc-978d-9e93922a4dfe.pdf&amp;Inline=true</t>
        </is>
      </c>
      <c r="AH417" s="3" t="n">
        <v>46321.77847222222</v>
      </c>
      <c r="AI417" s="3" t="n">
        <v>46321.78055555555</v>
      </c>
      <c r="AJ417" s="2" t="inlineStr"/>
    </row>
    <row r="418">
      <c r="A418" s="2" t="n">
        <v>417</v>
      </c>
      <c r="B418" s="2" t="inlineStr">
        <is>
          <t>381C</t>
        </is>
      </c>
      <c r="C418" s="3" t="n">
        <v>45965.44791666666</v>
      </c>
      <c r="D418" s="2" t="inlineStr">
        <is>
          <t>Original</t>
        </is>
      </c>
      <c r="E418" s="2" t="inlineStr">
        <is>
          <t>CH</t>
        </is>
      </c>
      <c r="F41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18" s="2" t="inlineStr">
        <is>
          <t>Art. 136.º-A (aditamento)</t>
        </is>
      </c>
      <c r="H418" s="2" t="n"/>
      <c r="I418" s="2" t="n"/>
      <c r="J418" s="2" t="n"/>
      <c r="K418" s="2" t="n"/>
      <c r="L418" s="2" t="inlineStr">
        <is>
          <t>Artigo 136.º-A (Início do processo de substituição dos caças F-16 pelos F-35)</t>
        </is>
      </c>
      <c r="M418" s="4" t="n"/>
      <c r="N418" s="4" t="n"/>
      <c r="O418" s="2" t="n"/>
      <c r="P418" s="2" t="n"/>
      <c r="Q418" s="2" t="n"/>
      <c r="R418" s="2" t="n"/>
      <c r="S418" s="2" t="inlineStr">
        <is>
          <t>Rejeitado(a) em Comissão</t>
        </is>
      </c>
      <c r="T418" s="2" t="inlineStr">
        <is>
          <t>Rejeitada</t>
        </is>
      </c>
      <c r="U418" s="2" t="inlineStr">
        <is>
          <t>Favor: CH; Contra: PSD, PS, L, PCP, CDS-PP, BE, PAN; Abstenção: IL</t>
        </is>
      </c>
      <c r="V418" s="3" t="n">
        <v>45987</v>
      </c>
      <c r="W418" s="2" t="inlineStr">
        <is>
          <t>AR: https://www.parlamento.pt/OrcamentoEstado/Paginas/DetalhePropostaAlteracao.aspx?BID=23578 PDF: https://app.parlamento.pt/webutils/docs/doc.pdf?path=6148523063484d364c793942556b356c6443397a6158526c63793959566b6c4a544556484c3039464c7a49774d6a59794d4449314d5441774f533951515338335a475a694e4452685979316b5a546c684c5451355a444d744f5751304e4331694e6a457a4d6a6b784e474e6c4d6a41756347526d&amp;Fich=7dfb44ac-de9a-49d3-9d44-b6132914ce20.pdf&amp;Inline=true</t>
        </is>
      </c>
      <c r="X418" s="2" t="inlineStr">
        <is>
          <t>Defesa Nacional</t>
        </is>
      </c>
      <c r="Y418" s="2" t="inlineStr">
        <is>
          <t>Articulado</t>
        </is>
      </c>
      <c r="Z418" s="2" t="inlineStr">
        <is>
          <t>Aditamento (Artigo PPL)</t>
        </is>
      </c>
      <c r="AA418" s="2" t="inlineStr">
        <is>
          <t>Rejeitado(a) em Comissão</t>
        </is>
      </c>
      <c r="AB418" s="2" t="inlineStr"/>
      <c r="AC418" s="2" t="inlineStr"/>
      <c r="AD418" s="2" t="inlineStr">
        <is>
          <t>1</t>
        </is>
      </c>
      <c r="AE418" s="2" t="inlineStr">
        <is>
          <t>23578</t>
        </is>
      </c>
      <c r="AF418" s="2" t="inlineStr">
        <is>
          <t>https://www.parlamento.pt/OrcamentoEstado/Paginas/DetalhePropostaAlteracao.aspx?BID=23578</t>
        </is>
      </c>
      <c r="AG418" s="2" t="inlineStr">
        <is>
          <t>https://app.parlamento.pt/webutils/docs/doc.pdf?path=6148523063484d364c793942556b356c6443397a6158526c63793959566b6c4a544556484c3039464c7a49774d6a59794d4449314d5441774f533951515338335a475a694e4452685979316b5a546c684c5451355a444d744f5751304e4331694e6a457a4d6a6b784e474e6c4d6a41756347526d&amp;Fich=7dfb44ac-de9a-49d3-9d44-b6132914ce20.pdf&amp;Inline=true</t>
        </is>
      </c>
      <c r="AH418" s="3" t="n">
        <v>46321.77847222222</v>
      </c>
      <c r="AI418" s="3" t="n">
        <v>46321.78055555555</v>
      </c>
      <c r="AJ418" s="2" t="inlineStr"/>
    </row>
    <row r="419">
      <c r="A419" s="2" t="n">
        <v>418</v>
      </c>
      <c r="B419" s="2" t="inlineStr">
        <is>
          <t>382C</t>
        </is>
      </c>
      <c r="C419" s="3" t="n">
        <v>45965.44791666666</v>
      </c>
      <c r="D419" s="2" t="inlineStr">
        <is>
          <t>Original</t>
        </is>
      </c>
      <c r="E419" s="2" t="inlineStr">
        <is>
          <t>CH</t>
        </is>
      </c>
      <c r="F41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19" s="2" t="inlineStr">
        <is>
          <t>Art. 136.º-A (aditamento)</t>
        </is>
      </c>
      <c r="H419" s="2" t="n"/>
      <c r="I419" s="2" t="n"/>
      <c r="J419" s="2" t="n"/>
      <c r="K419" s="2" t="n"/>
      <c r="L419" s="2" t="inlineStr">
        <is>
          <t>Artigo 136.º-A (Reforço dos meios técnicos para a proteção dos Cabos Submarinos que atravessam o território marítimo sob jurisdição portuguesa)</t>
        </is>
      </c>
      <c r="M419" s="4" t="n"/>
      <c r="N419" s="4" t="n"/>
      <c r="O419" s="2" t="n"/>
      <c r="P419" s="2" t="n"/>
      <c r="Q419" s="2" t="n"/>
      <c r="R419" s="2" t="n"/>
      <c r="S419" s="2" t="inlineStr">
        <is>
          <t>Rejeitado(a) em Comissão</t>
        </is>
      </c>
      <c r="T419" s="2" t="inlineStr">
        <is>
          <t>Rejeitada</t>
        </is>
      </c>
      <c r="U419" s="2" t="inlineStr">
        <is>
          <t>Favor: CH, IL, BE, PAN; Contra: PSD, CDS-PP; Abstenção: PS, L, PCP</t>
        </is>
      </c>
      <c r="V419" s="3" t="n">
        <v>45987</v>
      </c>
      <c r="W419" s="2" t="inlineStr">
        <is>
          <t>AR: https://www.parlamento.pt/OrcamentoEstado/Paginas/DetalhePropostaAlteracao.aspx?BID=23579 PDF: https://app.parlamento.pt/webutils/docs/doc.pdf?path=6148523063484d364c793942556b356c6443397a6158526c63793959566b6c4a544556484c3039464c7a49774d6a59794d4449314d5441774f5339515153387a4f54646c4d474e6a4d69316c5a546c6d4c54526d4d6a49744f574e694d5330324e6d4a6b4d6d45784e545a6a4e7a45756347526d&amp;Fich=397e0cc2-ee9f-4f22-9cb1-66bd2a156c71.pdf&amp;Inline=true</t>
        </is>
      </c>
      <c r="X419" s="2" t="inlineStr">
        <is>
          <t>Defesa Nacional</t>
        </is>
      </c>
      <c r="Y419" s="2" t="inlineStr">
        <is>
          <t>Articulado</t>
        </is>
      </c>
      <c r="Z419" s="2" t="inlineStr">
        <is>
          <t>Aditamento (Artigo PPL)</t>
        </is>
      </c>
      <c r="AA419" s="2" t="inlineStr">
        <is>
          <t>Rejeitado(a) em Comissão</t>
        </is>
      </c>
      <c r="AB419" s="2" t="inlineStr"/>
      <c r="AC419" s="2" t="inlineStr"/>
      <c r="AD419" s="2" t="inlineStr">
        <is>
          <t>1</t>
        </is>
      </c>
      <c r="AE419" s="2" t="inlineStr">
        <is>
          <t>23579</t>
        </is>
      </c>
      <c r="AF419" s="2" t="inlineStr">
        <is>
          <t>https://www.parlamento.pt/OrcamentoEstado/Paginas/DetalhePropostaAlteracao.aspx?BID=23579</t>
        </is>
      </c>
      <c r="AG419" s="2" t="inlineStr">
        <is>
          <t>https://app.parlamento.pt/webutils/docs/doc.pdf?path=6148523063484d364c793942556b356c6443397a6158526c63793959566b6c4a544556484c3039464c7a49774d6a59794d4449314d5441774f5339515153387a4f54646c4d474e6a4d69316c5a546c6d4c54526d4d6a49744f574e694d5330324e6d4a6b4d6d45784e545a6a4e7a45756347526d&amp;Fich=397e0cc2-ee9f-4f22-9cb1-66bd2a156c71.pdf&amp;Inline=true</t>
        </is>
      </c>
      <c r="AH419" s="3" t="n">
        <v>46321.77847222222</v>
      </c>
      <c r="AI419" s="3" t="n">
        <v>46321.78055555555</v>
      </c>
      <c r="AJ419" s="2" t="inlineStr"/>
    </row>
    <row r="420">
      <c r="A420" s="2" t="n">
        <v>419</v>
      </c>
      <c r="B420" s="2" t="inlineStr">
        <is>
          <t>383C</t>
        </is>
      </c>
      <c r="C420" s="3" t="n">
        <v>45965.44930555556</v>
      </c>
      <c r="D420" s="2" t="inlineStr">
        <is>
          <t>Original</t>
        </is>
      </c>
      <c r="E420" s="2" t="inlineStr">
        <is>
          <t>CH</t>
        </is>
      </c>
      <c r="F42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20" s="2" t="inlineStr">
        <is>
          <t>Art. 136.º-A (aditamento)</t>
        </is>
      </c>
      <c r="H420" s="2" t="n"/>
      <c r="I420" s="2" t="n"/>
      <c r="J420" s="2" t="n"/>
      <c r="K420" s="2" t="n"/>
      <c r="L420" s="2" t="inlineStr">
        <is>
          <t>Artigo 136.º-A (Vagas garantidas e gratuitas em creches para os filhos dos Militares das Forças Armadas)</t>
        </is>
      </c>
      <c r="M420" s="4" t="n"/>
      <c r="N420" s="4" t="n"/>
      <c r="O420" s="2" t="n"/>
      <c r="P420" s="2" t="n"/>
      <c r="Q420" s="2" t="n"/>
      <c r="R420" s="2" t="n"/>
      <c r="S420" s="2" t="inlineStr">
        <is>
          <t>Rejeitado(a) em Comissão</t>
        </is>
      </c>
      <c r="T420" s="2" t="inlineStr">
        <is>
          <t>Rejeitada</t>
        </is>
      </c>
      <c r="U420" s="2" t="inlineStr">
        <is>
          <t>Favor: CH, PAN; Contra: PSD, PS, IL, CDS-PP; Abstenção: L, PCP, BE</t>
        </is>
      </c>
      <c r="V420" s="3" t="n">
        <v>45987</v>
      </c>
      <c r="W420" s="2" t="inlineStr">
        <is>
          <t>AR: https://www.parlamento.pt/OrcamentoEstado/Paginas/DetalhePropostaAlteracao.aspx?BID=23580 PDF: https://app.parlamento.pt/webutils/docs/doc.pdf?path=6148523063484d364c793942556b356c6443397a6158526c63793959566b6c4a544556484c3039464c7a49774d6a59794d4449314d5441774f5339515153396a5932566b4d7a4e6b5a6930324d5749784c5451355a54497459575a694d69316c595751315a5451785a57497a4e3259756347526d&amp;Fich=cced33df-61b1-49e2-afb2-ead5e41eb37f.pdf&amp;Inline=true</t>
        </is>
      </c>
      <c r="X420" s="2" t="inlineStr">
        <is>
          <t>Defesa Nacional</t>
        </is>
      </c>
      <c r="Y420" s="2" t="inlineStr">
        <is>
          <t>Articulado</t>
        </is>
      </c>
      <c r="Z420" s="2" t="inlineStr">
        <is>
          <t>Aditamento (Artigo PPL)</t>
        </is>
      </c>
      <c r="AA420" s="2" t="inlineStr">
        <is>
          <t>Rejeitado(a) em Comissão</t>
        </is>
      </c>
      <c r="AB420" s="2" t="inlineStr"/>
      <c r="AC420" s="2" t="inlineStr"/>
      <c r="AD420" s="2" t="inlineStr">
        <is>
          <t>1</t>
        </is>
      </c>
      <c r="AE420" s="2" t="inlineStr">
        <is>
          <t>23580</t>
        </is>
      </c>
      <c r="AF420" s="2" t="inlineStr">
        <is>
          <t>https://www.parlamento.pt/OrcamentoEstado/Paginas/DetalhePropostaAlteracao.aspx?BID=23580</t>
        </is>
      </c>
      <c r="AG420" s="2" t="inlineStr">
        <is>
          <t>https://app.parlamento.pt/webutils/docs/doc.pdf?path=6148523063484d364c793942556b356c6443397a6158526c63793959566b6c4a544556484c3039464c7a49774d6a59794d4449314d5441774f5339515153396a5932566b4d7a4e6b5a6930324d5749784c5451355a54497459575a694d69316c595751315a5451785a57497a4e3259756347526d&amp;Fich=cced33df-61b1-49e2-afb2-ead5e41eb37f.pdf&amp;Inline=true</t>
        </is>
      </c>
      <c r="AH420" s="3" t="n">
        <v>46321.77847222222</v>
      </c>
      <c r="AI420" s="3" t="n">
        <v>46321.78055555555</v>
      </c>
      <c r="AJ420" s="2" t="inlineStr"/>
    </row>
    <row r="421">
      <c r="A421" s="2" t="n">
        <v>420</v>
      </c>
      <c r="B421" s="2" t="inlineStr">
        <is>
          <t>384C</t>
        </is>
      </c>
      <c r="C421" s="3" t="n">
        <v>45965.45</v>
      </c>
      <c r="D421" s="2" t="inlineStr">
        <is>
          <t>Original</t>
        </is>
      </c>
      <c r="E421" s="2" t="inlineStr">
        <is>
          <t>CH</t>
        </is>
      </c>
      <c r="F42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21" s="2" t="inlineStr">
        <is>
          <t>Art. 136.º-A (aditamento)</t>
        </is>
      </c>
      <c r="H421" s="2" t="n"/>
      <c r="I421" s="2" t="n"/>
      <c r="J421" s="2" t="n"/>
      <c r="K421" s="2" t="n"/>
      <c r="L421" s="2" t="inlineStr">
        <is>
          <t>Artigo 136.º-A (Alarga o Programa Cheque-Livro aos e-Books)</t>
        </is>
      </c>
      <c r="M421" s="4" t="n"/>
      <c r="N421" s="4" t="n"/>
      <c r="O421" s="2" t="n"/>
      <c r="P421" s="2" t="n"/>
      <c r="Q421" s="2" t="n"/>
      <c r="R421" s="2" t="n"/>
      <c r="S421" s="2" t="inlineStr">
        <is>
          <t>Aprovado(a) em Comissão</t>
        </is>
      </c>
      <c r="T421" s="2" t="inlineStr">
        <is>
          <t>Aprovada</t>
        </is>
      </c>
      <c r="U421" s="2" t="inlineStr">
        <is>
          <t>Favor: PSD, CH, CDS-PP; Contra: L; Abstenção: PS, IL, PCP, BE, PAN</t>
        </is>
      </c>
      <c r="V421" s="3" t="n">
        <v>45987</v>
      </c>
      <c r="W421" s="2" t="inlineStr">
        <is>
          <t>AR: https://www.parlamento.pt/OrcamentoEstado/Paginas/DetalhePropostaAlteracao.aspx?BID=23581 PDF: https://app.parlamento.pt/webutils/docs/doc.pdf?path=6148523063484d364c793942556b356c6443397a6158526c63793959566b6c4a544556484c3039464c7a49774d6a59794d4449314d5441774f5339515153396d5a5749324f4452684d5330354e546b324c54513259324574596d4d784f4330774e7a4a6c4e6d45794d6a426a4d546b756347526d&amp;Fich=feb684a1-9596-46ca-bc18-072e6a220c19.pdf&amp;Inline=true</t>
        </is>
      </c>
      <c r="X421" s="2" t="inlineStr">
        <is>
          <t>Educação e Ciência</t>
        </is>
      </c>
      <c r="Y421" s="2" t="inlineStr">
        <is>
          <t>Articulado</t>
        </is>
      </c>
      <c r="Z421" s="2" t="inlineStr">
        <is>
          <t>Aditamento (Artigo PPL)</t>
        </is>
      </c>
      <c r="AA421" s="2" t="inlineStr">
        <is>
          <t>Aprovado(a) em Comissão</t>
        </is>
      </c>
      <c r="AB421" s="2" t="inlineStr"/>
      <c r="AC421" s="2" t="inlineStr"/>
      <c r="AD421" s="2" t="inlineStr">
        <is>
          <t>1</t>
        </is>
      </c>
      <c r="AE421" s="2" t="inlineStr">
        <is>
          <t>23581</t>
        </is>
      </c>
      <c r="AF421" s="2" t="inlineStr">
        <is>
          <t>https://www.parlamento.pt/OrcamentoEstado/Paginas/DetalhePropostaAlteracao.aspx?BID=23581</t>
        </is>
      </c>
      <c r="AG421" s="2" t="inlineStr">
        <is>
          <t>https://app.parlamento.pt/webutils/docs/doc.pdf?path=6148523063484d364c793942556b356c6443397a6158526c63793959566b6c4a544556484c3039464c7a49774d6a59794d4449314d5441774f5339515153396d5a5749324f4452684d5330354e546b324c54513259324574596d4d784f4330774e7a4a6c4e6d45794d6a426a4d546b756347526d&amp;Fich=feb684a1-9596-46ca-bc18-072e6a220c19.pdf&amp;Inline=true</t>
        </is>
      </c>
      <c r="AH421" s="3" t="n">
        <v>46321.77847222222</v>
      </c>
      <c r="AI421" s="3" t="n">
        <v>46321.78055555555</v>
      </c>
      <c r="AJ421" s="2" t="inlineStr"/>
    </row>
    <row r="422">
      <c r="A422" s="2" t="n">
        <v>421</v>
      </c>
      <c r="B422" s="2" t="inlineStr">
        <is>
          <t>385C</t>
        </is>
      </c>
      <c r="C422" s="3" t="n">
        <v>45965.45138888889</v>
      </c>
      <c r="D422" s="2" t="inlineStr">
        <is>
          <t>Original</t>
        </is>
      </c>
      <c r="E422" s="2" t="inlineStr">
        <is>
          <t>CH</t>
        </is>
      </c>
      <c r="F42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22" s="2" t="inlineStr">
        <is>
          <t>Art. 136.º-A (aditamento)</t>
        </is>
      </c>
      <c r="H422" s="2" t="n"/>
      <c r="I422" s="2" t="n"/>
      <c r="J422" s="2" t="n"/>
      <c r="K422" s="2" t="n"/>
      <c r="L422" s="2" t="inlineStr">
        <is>
          <t>Artigo 136.º-A - (Atualização do valor de apoio financeiro dos contratos de associação para a Educação Pré-Escolar)</t>
        </is>
      </c>
      <c r="M422" s="4" t="n"/>
      <c r="N422" s="4" t="n"/>
      <c r="O422" s="2" t="n"/>
      <c r="P422" s="2" t="n"/>
      <c r="Q422" s="2" t="n"/>
      <c r="R422" s="2" t="n"/>
      <c r="S422" s="2" t="inlineStr">
        <is>
          <t>Rejeitado(a) em Comissão</t>
        </is>
      </c>
      <c r="T422" s="2" t="inlineStr">
        <is>
          <t>Rejeitada</t>
        </is>
      </c>
      <c r="U422" s="2" t="inlineStr">
        <is>
          <t>Favor: CH, IL; Contra: PSD, PCP, CDS-PP; Abstenção: PS, L, BE, PAN</t>
        </is>
      </c>
      <c r="V422" s="3" t="n">
        <v>45987</v>
      </c>
      <c r="W422" s="2" t="inlineStr">
        <is>
          <t>AR: https://www.parlamento.pt/OrcamentoEstado/Paginas/DetalhePropostaAlteracao.aspx?BID=23582 PDF: https://app.parlamento.pt/webutils/docs/doc.pdf?path=6148523063484d364c793942556b356c6443397a6158526c63793959566b6c4a544556484c3039464c7a49774d6a59794d4449314d5441774f5339515153396c59545a6c4d5746684d79307a4d6d46694c5451354d5455744f4751344e6930344f47466c5a54646a4d4464694d6a59756347526d&amp;Fich=ea6e1aa3-32ab-4915-8d86-88aee7c07b26.pdf&amp;Inline=true</t>
        </is>
      </c>
      <c r="X422" s="2" t="inlineStr">
        <is>
          <t>Educação e Ciência</t>
        </is>
      </c>
      <c r="Y422" s="2" t="inlineStr">
        <is>
          <t>Articulado</t>
        </is>
      </c>
      <c r="Z422" s="2" t="inlineStr">
        <is>
          <t>Aditamento (Artigo PPL)</t>
        </is>
      </c>
      <c r="AA422" s="2" t="inlineStr">
        <is>
          <t>Rejeitado(a) em Comissão</t>
        </is>
      </c>
      <c r="AB422" s="2" t="inlineStr"/>
      <c r="AC422" s="2" t="inlineStr"/>
      <c r="AD422" s="2" t="inlineStr">
        <is>
          <t>1</t>
        </is>
      </c>
      <c r="AE422" s="2" t="inlineStr">
        <is>
          <t>23582</t>
        </is>
      </c>
      <c r="AF422" s="2" t="inlineStr">
        <is>
          <t>https://www.parlamento.pt/OrcamentoEstado/Paginas/DetalhePropostaAlteracao.aspx?BID=23582</t>
        </is>
      </c>
      <c r="AG422" s="2" t="inlineStr">
        <is>
          <t>https://app.parlamento.pt/webutils/docs/doc.pdf?path=6148523063484d364c793942556b356c6443397a6158526c63793959566b6c4a544556484c3039464c7a49774d6a59794d4449314d5441774f5339515153396c59545a6c4d5746684d79307a4d6d46694c5451354d5455744f4751344e6930344f47466c5a54646a4d4464694d6a59756347526d&amp;Fich=ea6e1aa3-32ab-4915-8d86-88aee7c07b26.pdf&amp;Inline=true</t>
        </is>
      </c>
      <c r="AH422" s="3" t="n">
        <v>46321.77847222222</v>
      </c>
      <c r="AI422" s="3" t="n">
        <v>46321.78055555555</v>
      </c>
      <c r="AJ422" s="2" t="inlineStr"/>
    </row>
    <row r="423">
      <c r="A423" s="2" t="n">
        <v>422</v>
      </c>
      <c r="B423" s="2" t="inlineStr">
        <is>
          <t>386C</t>
        </is>
      </c>
      <c r="C423" s="3" t="n">
        <v>45965.45208333333</v>
      </c>
      <c r="D423" s="2" t="inlineStr">
        <is>
          <t>Original</t>
        </is>
      </c>
      <c r="E423" s="2" t="inlineStr">
        <is>
          <t>CH</t>
        </is>
      </c>
      <c r="F42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23" s="2" t="inlineStr">
        <is>
          <t>Art. 136.º-A (aditamento)</t>
        </is>
      </c>
      <c r="H423" s="2" t="n"/>
      <c r="I423" s="2" t="n"/>
      <c r="J423" s="2" t="n"/>
      <c r="K423" s="2" t="n"/>
      <c r="L423" s="2" t="inlineStr">
        <is>
          <t>Artigo 136.º-A (Plano Nacional de Literacia Energética para Escolas)</t>
        </is>
      </c>
      <c r="M423" s="4" t="n"/>
      <c r="N423" s="4" t="n"/>
      <c r="O423" s="2" t="n"/>
      <c r="P423" s="2" t="n"/>
      <c r="Q423" s="2" t="n"/>
      <c r="R423" s="2" t="n"/>
      <c r="S423" s="2" t="inlineStr">
        <is>
          <t>Rejeitado(a) em Comissão</t>
        </is>
      </c>
      <c r="T423" s="2" t="inlineStr">
        <is>
          <t>Rejeitada</t>
        </is>
      </c>
      <c r="U423" s="2" t="inlineStr">
        <is>
          <t>Favor: CH, IL, PAN; Contra: PSD, PS, PCP, CDS-PP, BE; Abstenção: L</t>
        </is>
      </c>
      <c r="V423" s="3" t="n">
        <v>45987</v>
      </c>
      <c r="W423" s="2" t="inlineStr">
        <is>
          <t>AR: https://www.parlamento.pt/OrcamentoEstado/Paginas/DetalhePropostaAlteracao.aspx?BID=23583 PDF: https://app.parlamento.pt/webutils/docs/doc.pdf?path=6148523063484d364c793942556b356c6443397a6158526c63793959566b6c4a544556484c3039464c7a49774d6a59794d4449314d5441774f533951515338344e4751795a5459795a53307a4d3252684c5451784e544174595746684d79316a4e444531595451344e3259325a444d756347526d&amp;Fich=84d2e62e-33da-4150-aaa3-c415a487f6d3.pdf&amp;Inline=true</t>
        </is>
      </c>
      <c r="X423" s="2" t="inlineStr">
        <is>
          <t>Educação e Ciência</t>
        </is>
      </c>
      <c r="Y423" s="2" t="inlineStr">
        <is>
          <t>Articulado</t>
        </is>
      </c>
      <c r="Z423" s="2" t="inlineStr">
        <is>
          <t>Aditamento (Artigo PPL)</t>
        </is>
      </c>
      <c r="AA423" s="2" t="inlineStr">
        <is>
          <t>Rejeitado(a) em Comissão</t>
        </is>
      </c>
      <c r="AB423" s="2" t="inlineStr"/>
      <c r="AC423" s="2" t="inlineStr"/>
      <c r="AD423" s="2" t="inlineStr">
        <is>
          <t>1</t>
        </is>
      </c>
      <c r="AE423" s="2" t="inlineStr">
        <is>
          <t>23583</t>
        </is>
      </c>
      <c r="AF423" s="2" t="inlineStr">
        <is>
          <t>https://www.parlamento.pt/OrcamentoEstado/Paginas/DetalhePropostaAlteracao.aspx?BID=23583</t>
        </is>
      </c>
      <c r="AG423" s="2" t="inlineStr">
        <is>
          <t>https://app.parlamento.pt/webutils/docs/doc.pdf?path=6148523063484d364c793942556b356c6443397a6158526c63793959566b6c4a544556484c3039464c7a49774d6a59794d4449314d5441774f533951515338344e4751795a5459795a53307a4d3252684c5451784e544174595746684d79316a4e444531595451344e3259325a444d756347526d&amp;Fich=84d2e62e-33da-4150-aaa3-c415a487f6d3.pdf&amp;Inline=true</t>
        </is>
      </c>
      <c r="AH423" s="3" t="n">
        <v>46321.77847222222</v>
      </c>
      <c r="AI423" s="3" t="n">
        <v>46321.78055555555</v>
      </c>
      <c r="AJ423" s="2" t="inlineStr"/>
    </row>
    <row r="424">
      <c r="A424" s="2" t="n">
        <v>423</v>
      </c>
      <c r="B424" s="2" t="inlineStr">
        <is>
          <t>387C</t>
        </is>
      </c>
      <c r="C424" s="3" t="n">
        <v>45965.45277777778</v>
      </c>
      <c r="D424" s="2" t="inlineStr">
        <is>
          <t>Original</t>
        </is>
      </c>
      <c r="E424" s="2" t="inlineStr">
        <is>
          <t>CH</t>
        </is>
      </c>
      <c r="F42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24" s="2" t="inlineStr">
        <is>
          <t>Art. 136.º-A (aditamento)</t>
        </is>
      </c>
      <c r="H424" s="2" t="n"/>
      <c r="I424" s="2" t="n"/>
      <c r="J424" s="2" t="n"/>
      <c r="K424" s="2" t="n"/>
      <c r="L424" s="2" t="inlineStr">
        <is>
          <t>Artigo 136.º-A (Ligação rodoviária de alta capacidade entre Lagos – Sines)</t>
        </is>
      </c>
      <c r="M424" s="4" t="n"/>
      <c r="N424" s="4" t="n"/>
      <c r="O424" s="2" t="n"/>
      <c r="P424" s="2" t="n"/>
      <c r="Q424" s="2" t="n"/>
      <c r="R424" s="2" t="n"/>
      <c r="S424" s="2" t="inlineStr">
        <is>
          <t>Rejeitado(a) em Comissão</t>
        </is>
      </c>
      <c r="T424" s="2" t="inlineStr">
        <is>
          <t>Rejeitada</t>
        </is>
      </c>
      <c r="U424" s="2" t="inlineStr">
        <is>
          <t>Favor: CH, BE, PAN; Contra: PSD, CDS-PP; Abstenção: PS, IL, L, PCP</t>
        </is>
      </c>
      <c r="V424" s="3" t="n">
        <v>45987</v>
      </c>
      <c r="W424" s="2" t="inlineStr">
        <is>
          <t>AR: https://www.parlamento.pt/OrcamentoEstado/Paginas/DetalhePropostaAlteracao.aspx?BID=23584 PDF: https://app.parlamento.pt/webutils/docs/doc.pdf?path=6148523063484d364c793942556b356c6443397a6158526c63793959566b6c4a544556484c3039464c7a49774d6a59794d4449314d5441774f533951515339684d7a59304f5441315969316d4f44426d4c54526c4e7a4174596d51335a5330784e575530595751334e57526b5a6d59756347526d&amp;Fich=a364905b-f80f-4e70-bd7e-15e4ad75ddff.pdf&amp;Inline=true</t>
        </is>
      </c>
      <c r="X424" s="2" t="inlineStr">
        <is>
          <t>Infraestruturas, Mobilidade e Habitação</t>
        </is>
      </c>
      <c r="Y424" s="2" t="inlineStr">
        <is>
          <t>Articulado</t>
        </is>
      </c>
      <c r="Z424" s="2" t="inlineStr">
        <is>
          <t>Aditamento (Artigo PPL)</t>
        </is>
      </c>
      <c r="AA424" s="2" t="inlineStr">
        <is>
          <t>Rejeitado(a) em Comissão</t>
        </is>
      </c>
      <c r="AB424" s="2" t="inlineStr"/>
      <c r="AC424" s="2" t="inlineStr"/>
      <c r="AD424" s="2" t="inlineStr">
        <is>
          <t>1</t>
        </is>
      </c>
      <c r="AE424" s="2" t="inlineStr">
        <is>
          <t>23584</t>
        </is>
      </c>
      <c r="AF424" s="2" t="inlineStr">
        <is>
          <t>https://www.parlamento.pt/OrcamentoEstado/Paginas/DetalhePropostaAlteracao.aspx?BID=23584</t>
        </is>
      </c>
      <c r="AG424" s="2" t="inlineStr">
        <is>
          <t>https://app.parlamento.pt/webutils/docs/doc.pdf?path=6148523063484d364c793942556b356c6443397a6158526c63793959566b6c4a544556484c3039464c7a49774d6a59794d4449314d5441774f533951515339684d7a59304f5441315969316d4f44426d4c54526c4e7a4174596d51335a5330784e575530595751334e57526b5a6d59756347526d&amp;Fich=a364905b-f80f-4e70-bd7e-15e4ad75ddff.pdf&amp;Inline=true</t>
        </is>
      </c>
      <c r="AH424" s="3" t="n">
        <v>46321.77847222222</v>
      </c>
      <c r="AI424" s="3" t="n">
        <v>46321.78055555555</v>
      </c>
      <c r="AJ424" s="2" t="inlineStr"/>
    </row>
    <row r="425">
      <c r="A425" s="2" t="n">
        <v>424</v>
      </c>
      <c r="B425" s="2" t="inlineStr">
        <is>
          <t>388C</t>
        </is>
      </c>
      <c r="C425" s="3" t="n">
        <v>45965.45416666667</v>
      </c>
      <c r="D425" s="2" t="inlineStr">
        <is>
          <t>Original</t>
        </is>
      </c>
      <c r="E425" s="2" t="inlineStr">
        <is>
          <t>CH</t>
        </is>
      </c>
      <c r="F42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25" s="2" t="inlineStr">
        <is>
          <t>Art. 136.º-A (aditamento)</t>
        </is>
      </c>
      <c r="H425" s="2" t="n"/>
      <c r="I425" s="2" t="n"/>
      <c r="J425" s="2" t="n"/>
      <c r="K425" s="2" t="n"/>
      <c r="L425" s="2" t="inlineStr">
        <is>
          <t>Artigo 136.º-A (Apoio do Estado a comunidades cristãs perseguidas no estrangeiro)</t>
        </is>
      </c>
      <c r="M425" s="4" t="n"/>
      <c r="N425" s="4" t="n"/>
      <c r="O425" s="2" t="n"/>
      <c r="P425" s="2" t="n"/>
      <c r="Q425" s="2" t="n"/>
      <c r="R425" s="2" t="n"/>
      <c r="S425" s="2" t="inlineStr">
        <is>
          <t>Rejeitado(a) em Comissão</t>
        </is>
      </c>
      <c r="T425" s="2" t="inlineStr">
        <is>
          <t>Rejeitada</t>
        </is>
      </c>
      <c r="U425" s="2" t="inlineStr">
        <is>
          <t>Favor: CH; Contra: PSD, PS, L, PCP; Abstenção: IL, CDS-PP, BE, PAN</t>
        </is>
      </c>
      <c r="V425" s="3" t="n">
        <v>45987</v>
      </c>
      <c r="W425" s="2" t="inlineStr">
        <is>
          <t>AR: https://www.parlamento.pt/OrcamentoEstado/Paginas/DetalhePropostaAlteracao.aspx?BID=23585 PDF: https://app.parlamento.pt/webutils/docs/doc.pdf?path=6148523063484d364c793942556b356c6443397a6158526c63793959566b6c4a544556484c3039464c7a49774d6a59794d4449314d5441774f5339515153396a4f5749334e6a41784e533169597a4a694c54526d5a6d59744f4449784f43316b4e4442684d545a6a4e4745794d6d49756347526d&amp;Fich=c9b76015-bc2b-4fff-8218-d40a16c4a22b.pdf&amp;Inline=true</t>
        </is>
      </c>
      <c r="X425" s="2" t="inlineStr">
        <is>
          <t>Negócios Estrangeiros e Comunidades Portuguesas</t>
        </is>
      </c>
      <c r="Y425" s="2" t="inlineStr">
        <is>
          <t>Articulado</t>
        </is>
      </c>
      <c r="Z425" s="2" t="inlineStr">
        <is>
          <t>Aditamento (Artigo PPL)</t>
        </is>
      </c>
      <c r="AA425" s="2" t="inlineStr">
        <is>
          <t>Rejeitado(a) em Comissão</t>
        </is>
      </c>
      <c r="AB425" s="2" t="inlineStr"/>
      <c r="AC425" s="2" t="inlineStr"/>
      <c r="AD425" s="2" t="inlineStr">
        <is>
          <t>1</t>
        </is>
      </c>
      <c r="AE425" s="2" t="inlineStr">
        <is>
          <t>23585</t>
        </is>
      </c>
      <c r="AF425" s="2" t="inlineStr">
        <is>
          <t>https://www.parlamento.pt/OrcamentoEstado/Paginas/DetalhePropostaAlteracao.aspx?BID=23585</t>
        </is>
      </c>
      <c r="AG425" s="2" t="inlineStr">
        <is>
          <t>https://app.parlamento.pt/webutils/docs/doc.pdf?path=6148523063484d364c793942556b356c6443397a6158526c63793959566b6c4a544556484c3039464c7a49774d6a59794d4449314d5441774f5339515153396a4f5749334e6a41784e533169597a4a694c54526d5a6d59744f4449784f43316b4e4442684d545a6a4e4745794d6d49756347526d&amp;Fich=c9b76015-bc2b-4fff-8218-d40a16c4a22b.pdf&amp;Inline=true</t>
        </is>
      </c>
      <c r="AH425" s="3" t="n">
        <v>46321.77847222222</v>
      </c>
      <c r="AI425" s="3" t="n">
        <v>46321.78055555555</v>
      </c>
      <c r="AJ425" s="2" t="inlineStr"/>
    </row>
    <row r="426">
      <c r="A426" s="2" t="n">
        <v>425</v>
      </c>
      <c r="B426" s="2" t="inlineStr">
        <is>
          <t>389C</t>
        </is>
      </c>
      <c r="C426" s="3" t="n">
        <v>45965.45555555556</v>
      </c>
      <c r="D426" s="2" t="inlineStr">
        <is>
          <t>Original</t>
        </is>
      </c>
      <c r="E426" s="2" t="inlineStr">
        <is>
          <t>CH</t>
        </is>
      </c>
      <c r="F42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26" s="2" t="inlineStr">
        <is>
          <t>Art. 136.º-A (aditamento)</t>
        </is>
      </c>
      <c r="H426" s="2" t="n"/>
      <c r="I426" s="2" t="n"/>
      <c r="J426" s="2" t="n"/>
      <c r="K426" s="2" t="n"/>
      <c r="L426" s="2" t="inlineStr">
        <is>
          <t>Artigo 136.º-A (Programa de Apoio aos Órgãos de Comunicação Social Ligados às Comunidades Portuguesas Espalhadas pelo Mundo)</t>
        </is>
      </c>
      <c r="M426" s="4" t="n"/>
      <c r="N426" s="4" t="n"/>
      <c r="O426" s="2" t="n"/>
      <c r="P426" s="2" t="n"/>
      <c r="Q426" s="2" t="n"/>
      <c r="R426" s="2" t="n"/>
      <c r="S426" s="2" t="inlineStr">
        <is>
          <t>Rejeitado(a) em Comissão</t>
        </is>
      </c>
      <c r="T426" s="2" t="inlineStr">
        <is>
          <t>Rejeitada</t>
        </is>
      </c>
      <c r="U426" s="2" t="inlineStr">
        <is>
          <t>Favor: CH, BE, PAN; Contra: PSD, CDS-PP; Abstenção: PS, IL, L, PCP</t>
        </is>
      </c>
      <c r="V426" s="3" t="n">
        <v>45987</v>
      </c>
      <c r="W426" s="2" t="inlineStr">
        <is>
          <t>AR: https://www.parlamento.pt/OrcamentoEstado/Paginas/DetalhePropostaAlteracao.aspx?BID=23586 PDF: https://app.parlamento.pt/webutils/docs/doc.pdf?path=6148523063484d364c793942556b356c6443397a6158526c63793959566b6c4a544556484c3039464c7a49774d6a59794d4449314d5441774f533951515338324d3245325a6d51354d53316c5a4745304c54517a5a546b74596d45314e6930774e4749794f5745314e7a41304d4745756347526d&amp;Fich=63a6fd91-eda4-43e9-ba56-04b29a57040a.pdf&amp;Inline=true</t>
        </is>
      </c>
      <c r="X426" s="2" t="inlineStr">
        <is>
          <t>Negócios Estrangeiros e Comunidades Portuguesas</t>
        </is>
      </c>
      <c r="Y426" s="2" t="inlineStr">
        <is>
          <t>Articulado</t>
        </is>
      </c>
      <c r="Z426" s="2" t="inlineStr">
        <is>
          <t>Aditamento (Artigo PPL)</t>
        </is>
      </c>
      <c r="AA426" s="2" t="inlineStr">
        <is>
          <t>Rejeitado(a) em Comissão</t>
        </is>
      </c>
      <c r="AB426" s="2" t="inlineStr"/>
      <c r="AC426" s="2" t="inlineStr"/>
      <c r="AD426" s="2" t="inlineStr">
        <is>
          <t>1</t>
        </is>
      </c>
      <c r="AE426" s="2" t="inlineStr">
        <is>
          <t>23586</t>
        </is>
      </c>
      <c r="AF426" s="2" t="inlineStr">
        <is>
          <t>https://www.parlamento.pt/OrcamentoEstado/Paginas/DetalhePropostaAlteracao.aspx?BID=23586</t>
        </is>
      </c>
      <c r="AG426" s="2" t="inlineStr">
        <is>
          <t>https://app.parlamento.pt/webutils/docs/doc.pdf?path=6148523063484d364c793942556b356c6443397a6158526c63793959566b6c4a544556484c3039464c7a49774d6a59794d4449314d5441774f533951515338324d3245325a6d51354d53316c5a4745304c54517a5a546b74596d45314e6930774e4749794f5745314e7a41304d4745756347526d&amp;Fich=63a6fd91-eda4-43e9-ba56-04b29a57040a.pdf&amp;Inline=true</t>
        </is>
      </c>
      <c r="AH426" s="3" t="n">
        <v>46321.77847222222</v>
      </c>
      <c r="AI426" s="3" t="n">
        <v>46321.78055555555</v>
      </c>
      <c r="AJ426" s="2" t="inlineStr"/>
    </row>
    <row r="427">
      <c r="A427" s="2" t="n">
        <v>426</v>
      </c>
      <c r="B427" s="2" t="inlineStr">
        <is>
          <t>390C</t>
        </is>
      </c>
      <c r="C427" s="3" t="n">
        <v>45965.45625</v>
      </c>
      <c r="D427" s="2" t="inlineStr">
        <is>
          <t>Original</t>
        </is>
      </c>
      <c r="E427" s="2" t="inlineStr">
        <is>
          <t>CH</t>
        </is>
      </c>
      <c r="F42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27" s="2" t="inlineStr">
        <is>
          <t>Art. 136.º-A (aditamento)</t>
        </is>
      </c>
      <c r="H427" s="2" t="n"/>
      <c r="I427" s="2" t="n"/>
      <c r="J427" s="2" t="n"/>
      <c r="K427" s="2" t="n"/>
      <c r="L427" s="2" t="inlineStr">
        <is>
          <t>Artigo 136.º-A (Garante condições dignas de trabalho aos recursos humanos dos Serviços Periféricos Externos do Ministério dos Negócios Estrangeiros)</t>
        </is>
      </c>
      <c r="M427" s="4" t="n"/>
      <c r="N427" s="4" t="n"/>
      <c r="O427" s="2" t="n"/>
      <c r="P427" s="2" t="n"/>
      <c r="Q427" s="2" t="n"/>
      <c r="R427" s="2" t="n"/>
      <c r="S427" s="2" t="inlineStr">
        <is>
          <t>Rejeitado(a) em Comissão</t>
        </is>
      </c>
      <c r="T427" s="2" t="inlineStr">
        <is>
          <t>Rejeitada</t>
        </is>
      </c>
      <c r="U427" s="2" t="inlineStr">
        <is>
          <t>Favor: CH, BE, PAN; Contra: PSD, CDS-PP; Abstenção: PS, IL, L, PCP</t>
        </is>
      </c>
      <c r="V427" s="3" t="n">
        <v>45987</v>
      </c>
      <c r="W427" s="2" t="inlineStr">
        <is>
          <t>AR: https://www.parlamento.pt/OrcamentoEstado/Paginas/DetalhePropostaAlteracao.aspx?BID=23587 PDF: https://app.parlamento.pt/webutils/docs/doc.pdf?path=6148523063484d364c793942556b356c6443397a6158526c63793959566b6c4a544556484c3039464c7a49774d6a59794d4449314d5441774f5339515153396d597a67784e57493459693034595745344c5451794e6d497459574a695a5330354e5459314d6a6778596a4131595467756347526d&amp;Fich=fc815b8b-8aa8-426b-abbe-9565281b05a8.pdf&amp;Inline=true</t>
        </is>
      </c>
      <c r="X427" s="2" t="inlineStr">
        <is>
          <t>Negócios Estrangeiros e Comunidades Portuguesas</t>
        </is>
      </c>
      <c r="Y427" s="2" t="inlineStr">
        <is>
          <t>Articulado</t>
        </is>
      </c>
      <c r="Z427" s="2" t="inlineStr">
        <is>
          <t>Aditamento (Artigo PPL)</t>
        </is>
      </c>
      <c r="AA427" s="2" t="inlineStr">
        <is>
          <t>Rejeitado(a) em Comissão</t>
        </is>
      </c>
      <c r="AB427" s="2" t="inlineStr"/>
      <c r="AC427" s="2" t="inlineStr"/>
      <c r="AD427" s="2" t="inlineStr">
        <is>
          <t>1</t>
        </is>
      </c>
      <c r="AE427" s="2" t="inlineStr">
        <is>
          <t>23587</t>
        </is>
      </c>
      <c r="AF427" s="2" t="inlineStr">
        <is>
          <t>https://www.parlamento.pt/OrcamentoEstado/Paginas/DetalhePropostaAlteracao.aspx?BID=23587</t>
        </is>
      </c>
      <c r="AG427" s="2" t="inlineStr">
        <is>
          <t>https://app.parlamento.pt/webutils/docs/doc.pdf?path=6148523063484d364c793942556b356c6443397a6158526c63793959566b6c4a544556484c3039464c7a49774d6a59794d4449314d5441774f5339515153396d597a67784e57493459693034595745344c5451794e6d497459574a695a5330354e5459314d6a6778596a4131595467756347526d&amp;Fich=fc815b8b-8aa8-426b-abbe-9565281b05a8.pdf&amp;Inline=true</t>
        </is>
      </c>
      <c r="AH427" s="3" t="n">
        <v>46321.77847222222</v>
      </c>
      <c r="AI427" s="3" t="n">
        <v>46321.78055555555</v>
      </c>
      <c r="AJ427" s="2" t="inlineStr"/>
    </row>
    <row r="428">
      <c r="A428" s="2" t="n">
        <v>427</v>
      </c>
      <c r="B428" s="2" t="inlineStr">
        <is>
          <t>391C</t>
        </is>
      </c>
      <c r="C428" s="3" t="n">
        <v>45965.45694444444</v>
      </c>
      <c r="D428" s="2" t="inlineStr">
        <is>
          <t>Original</t>
        </is>
      </c>
      <c r="E428" s="2" t="inlineStr">
        <is>
          <t>CH</t>
        </is>
      </c>
      <c r="F42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28" s="2" t="inlineStr">
        <is>
          <t>Art. 136.º-A (aditamento)</t>
        </is>
      </c>
      <c r="H428" s="2" t="n"/>
      <c r="I428" s="2" t="n"/>
      <c r="J428" s="2" t="n"/>
      <c r="K428" s="2" t="n"/>
      <c r="L428" s="2" t="inlineStr">
        <is>
          <t>Artigo 136.º-A (Criação de uma Escola Portuguesa de Goa, na República da Índia)</t>
        </is>
      </c>
      <c r="M428" s="4" t="n"/>
      <c r="N428" s="4" t="n"/>
      <c r="O428" s="2" t="n"/>
      <c r="P428" s="2" t="n"/>
      <c r="Q428" s="2" t="n"/>
      <c r="R428" s="2" t="n"/>
      <c r="S428" s="2" t="inlineStr">
        <is>
          <t>Rejeitado(a) em Comissão</t>
        </is>
      </c>
      <c r="T428" s="2" t="inlineStr">
        <is>
          <t>Rejeitada</t>
        </is>
      </c>
      <c r="U428" s="2" t="inlineStr">
        <is>
          <t>Favor: CH, IL, PAN; Contra: PSD, CDS-PP; Abstenção: PS, L, PCP, BE</t>
        </is>
      </c>
      <c r="V428" s="3" t="n">
        <v>45987</v>
      </c>
      <c r="W428" s="2" t="inlineStr">
        <is>
          <t>AR: https://www.parlamento.pt/OrcamentoEstado/Paginas/DetalhePropostaAlteracao.aspx?BID=23588 PDF: https://app.parlamento.pt/webutils/docs/doc.pdf?path=6148523063484d364c793942556b356c6443397a6158526c63793959566b6c4a544556484c3039464c7a49774d6a59794d4449314d5441774f533951515338784e546c694f574d774d69316b4f546c6a4c54526c4d445574596a566b5a43316d4d446b784d6a45774f4441775a6a6b756347526d&amp;Fich=159b9c02-d99c-4e05-b5dd-f091210800f9.pdf&amp;Inline=true</t>
        </is>
      </c>
      <c r="X428" s="2" t="inlineStr">
        <is>
          <t>Negócios Estrangeiros e Comunidades Portuguesas</t>
        </is>
      </c>
      <c r="Y428" s="2" t="inlineStr">
        <is>
          <t>Articulado</t>
        </is>
      </c>
      <c r="Z428" s="2" t="inlineStr">
        <is>
          <t>Aditamento (Artigo PPL)</t>
        </is>
      </c>
      <c r="AA428" s="2" t="inlineStr">
        <is>
          <t>Rejeitado(a) em Comissão</t>
        </is>
      </c>
      <c r="AB428" s="2" t="inlineStr"/>
      <c r="AC428" s="2" t="inlineStr"/>
      <c r="AD428" s="2" t="inlineStr">
        <is>
          <t>1</t>
        </is>
      </c>
      <c r="AE428" s="2" t="inlineStr">
        <is>
          <t>23588</t>
        </is>
      </c>
      <c r="AF428" s="2" t="inlineStr">
        <is>
          <t>https://www.parlamento.pt/OrcamentoEstado/Paginas/DetalhePropostaAlteracao.aspx?BID=23588</t>
        </is>
      </c>
      <c r="AG428" s="2" t="inlineStr">
        <is>
          <t>https://app.parlamento.pt/webutils/docs/doc.pdf?path=6148523063484d364c793942556b356c6443397a6158526c63793959566b6c4a544556484c3039464c7a49774d6a59794d4449314d5441774f533951515338784e546c694f574d774d69316b4f546c6a4c54526c4d445574596a566b5a43316d4d446b784d6a45774f4441775a6a6b756347526d&amp;Fich=159b9c02-d99c-4e05-b5dd-f091210800f9.pdf&amp;Inline=true</t>
        </is>
      </c>
      <c r="AH428" s="3" t="n">
        <v>46321.77847222222</v>
      </c>
      <c r="AI428" s="3" t="n">
        <v>46321.78055555555</v>
      </c>
      <c r="AJ428" s="2" t="inlineStr"/>
    </row>
    <row r="429">
      <c r="A429" s="2" t="n">
        <v>428</v>
      </c>
      <c r="B429" s="2" t="inlineStr">
        <is>
          <t>392C</t>
        </is>
      </c>
      <c r="C429" s="3" t="n">
        <v>45965.45763888889</v>
      </c>
      <c r="D429" s="2" t="inlineStr">
        <is>
          <t>Original</t>
        </is>
      </c>
      <c r="E429" s="2" t="inlineStr">
        <is>
          <t>CH</t>
        </is>
      </c>
      <c r="F42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29" s="2" t="inlineStr">
        <is>
          <t>Art. 136.º-A (aditamento)</t>
        </is>
      </c>
      <c r="H429" s="2" t="n"/>
      <c r="I429" s="2" t="n"/>
      <c r="J429" s="2" t="n"/>
      <c r="K429" s="2" t="n"/>
      <c r="L429" s="2" t="inlineStr">
        <is>
          <t>Artigo 136.º-A (Reforço do recrutamento de funcionários portugueses para os Serviços Periféricos Externos do Estado)</t>
        </is>
      </c>
      <c r="M429" s="4" t="n"/>
      <c r="N429" s="4" t="n"/>
      <c r="O429" s="2" t="n"/>
      <c r="P429" s="2" t="n"/>
      <c r="Q429" s="2" t="n"/>
      <c r="R429" s="2" t="n"/>
      <c r="S429" s="2" t="inlineStr">
        <is>
          <t>Rejeitado(a) em Comissão</t>
        </is>
      </c>
      <c r="T429" s="2" t="inlineStr">
        <is>
          <t>Rejeitada</t>
        </is>
      </c>
      <c r="U429" s="2" t="inlineStr">
        <is>
          <t>Favor: CH, IL, BE, PAN; Contra: PSD, L, CDS-PP; Abstenção: PS, PCP</t>
        </is>
      </c>
      <c r="V429" s="3" t="n">
        <v>45987</v>
      </c>
      <c r="W429" s="2" t="inlineStr">
        <is>
          <t>AR: https://www.parlamento.pt/OrcamentoEstado/Paginas/DetalhePropostaAlteracao.aspx?BID=23589 PDF: https://app.parlamento.pt/webutils/docs/doc.pdf?path=6148523063484d364c793942556b356c6443397a6158526c63793959566b6c4a544556484c3039464c7a49774d6a59794d4449314d5441774f533951515339684d57457a596d4a6d4d43307a4d5459314c54526b4d7a51744f5755334f4330774d5755304d325579597a557a4d3251756347526d&amp;Fich=a1a3bbf0-3165-4d34-9e78-01e43e2c533d.pdf&amp;Inline=true</t>
        </is>
      </c>
      <c r="X429" s="2" t="inlineStr">
        <is>
          <t>Negócios Estrangeiros e Comunidades Portuguesas</t>
        </is>
      </c>
      <c r="Y429" s="2" t="inlineStr">
        <is>
          <t>Articulado</t>
        </is>
      </c>
      <c r="Z429" s="2" t="inlineStr">
        <is>
          <t>Aditamento (Artigo PPL)</t>
        </is>
      </c>
      <c r="AA429" s="2" t="inlineStr">
        <is>
          <t>Rejeitado(a) em Comissão</t>
        </is>
      </c>
      <c r="AB429" s="2" t="inlineStr"/>
      <c r="AC429" s="2" t="inlineStr"/>
      <c r="AD429" s="2" t="inlineStr">
        <is>
          <t>1</t>
        </is>
      </c>
      <c r="AE429" s="2" t="inlineStr">
        <is>
          <t>23589</t>
        </is>
      </c>
      <c r="AF429" s="2" t="inlineStr">
        <is>
          <t>https://www.parlamento.pt/OrcamentoEstado/Paginas/DetalhePropostaAlteracao.aspx?BID=23589</t>
        </is>
      </c>
      <c r="AG429" s="2" t="inlineStr">
        <is>
          <t>https://app.parlamento.pt/webutils/docs/doc.pdf?path=6148523063484d364c793942556b356c6443397a6158526c63793959566b6c4a544556484c3039464c7a49774d6a59794d4449314d5441774f533951515339684d57457a596d4a6d4d43307a4d5459314c54526b4d7a51744f5755334f4330774d5755304d325579597a557a4d3251756347526d&amp;Fich=a1a3bbf0-3165-4d34-9e78-01e43e2c533d.pdf&amp;Inline=true</t>
        </is>
      </c>
      <c r="AH429" s="3" t="n">
        <v>46321.77847222222</v>
      </c>
      <c r="AI429" s="3" t="n">
        <v>46321.78055555555</v>
      </c>
      <c r="AJ429" s="2" t="inlineStr"/>
    </row>
    <row r="430">
      <c r="A430" s="2" t="n">
        <v>429</v>
      </c>
      <c r="B430" s="2" t="inlineStr">
        <is>
          <t>393C</t>
        </is>
      </c>
      <c r="C430" s="3" t="n">
        <v>45965.45833333334</v>
      </c>
      <c r="D430" s="2" t="inlineStr">
        <is>
          <t>Original</t>
        </is>
      </c>
      <c r="E430" s="2" t="inlineStr">
        <is>
          <t>CH</t>
        </is>
      </c>
      <c r="F43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30" s="2" t="inlineStr">
        <is>
          <t>Art. 136.º-A (aditamento)</t>
        </is>
      </c>
      <c r="H430" s="2" t="n"/>
      <c r="I430" s="2" t="n"/>
      <c r="J430" s="2" t="n"/>
      <c r="K430" s="2" t="n"/>
      <c r="L430" s="2" t="inlineStr">
        <is>
          <t>Artigo 136.º-A (Revisão e atualização das remunerações dos trabalhadores dos Serviços Periféricos Externos do Ministério dos Negócios Estrangeiros)</t>
        </is>
      </c>
      <c r="M430" s="4" t="n"/>
      <c r="N430" s="4" t="n"/>
      <c r="O430" s="2" t="n"/>
      <c r="P430" s="2" t="n"/>
      <c r="Q430" s="2" t="n"/>
      <c r="R430" s="2" t="n"/>
      <c r="S430" s="2" t="inlineStr">
        <is>
          <t>Rejeitado(a) em Comissão</t>
        </is>
      </c>
      <c r="T430" s="2" t="inlineStr">
        <is>
          <t>Rejeitada</t>
        </is>
      </c>
      <c r="U430" s="2" t="inlineStr">
        <is>
          <t>Favor: CH, BE, PAN; Contra: PSD, CDS-PP; Abstenção: PS, IL, L, PCP</t>
        </is>
      </c>
      <c r="V430" s="3" t="n">
        <v>45987</v>
      </c>
      <c r="W430" s="2" t="inlineStr">
        <is>
          <t>AR: https://www.parlamento.pt/OrcamentoEstado/Paginas/DetalhePropostaAlteracao.aspx?BID=23590 PDF: https://app.parlamento.pt/webutils/docs/doc.pdf?path=6148523063484d364c793942556b356c6443397a6158526c63793959566b6c4a544556484c3039464c7a49774d6a59794d4449314d5441774f533951515338324e6d526a5a6a466c4d6931694e44686d4c54526c595445745954526b4e5330784d5751774d5445794d544d784d4445756347526d&amp;Fich=66dcf1e2-b48f-4ea1-a4d5-11d011213101.pdf&amp;Inline=true</t>
        </is>
      </c>
      <c r="X430" s="2" t="inlineStr">
        <is>
          <t>Negócios Estrangeiros e Comunidades Portuguesas</t>
        </is>
      </c>
      <c r="Y430" s="2" t="inlineStr">
        <is>
          <t>Articulado</t>
        </is>
      </c>
      <c r="Z430" s="2" t="inlineStr">
        <is>
          <t>Aditamento (Artigo PPL)</t>
        </is>
      </c>
      <c r="AA430" s="2" t="inlineStr">
        <is>
          <t>Rejeitado(a) em Comissão</t>
        </is>
      </c>
      <c r="AB430" s="2" t="inlineStr"/>
      <c r="AC430" s="2" t="inlineStr"/>
      <c r="AD430" s="2" t="inlineStr">
        <is>
          <t>1</t>
        </is>
      </c>
      <c r="AE430" s="2" t="inlineStr">
        <is>
          <t>23590</t>
        </is>
      </c>
      <c r="AF430" s="2" t="inlineStr">
        <is>
          <t>https://www.parlamento.pt/OrcamentoEstado/Paginas/DetalhePropostaAlteracao.aspx?BID=23590</t>
        </is>
      </c>
      <c r="AG430" s="2" t="inlineStr">
        <is>
          <t>https://app.parlamento.pt/webutils/docs/doc.pdf?path=6148523063484d364c793942556b356c6443397a6158526c63793959566b6c4a544556484c3039464c7a49774d6a59794d4449314d5441774f533951515338324e6d526a5a6a466c4d6931694e44686d4c54526c595445745954526b4e5330784d5751774d5445794d544d784d4445756347526d&amp;Fich=66dcf1e2-b48f-4ea1-a4d5-11d011213101.pdf&amp;Inline=true</t>
        </is>
      </c>
      <c r="AH430" s="3" t="n">
        <v>46321.77847222222</v>
      </c>
      <c r="AI430" s="3" t="n">
        <v>46321.78055555555</v>
      </c>
      <c r="AJ430" s="2" t="inlineStr"/>
    </row>
    <row r="431">
      <c r="A431" s="2" t="n">
        <v>430</v>
      </c>
      <c r="B431" s="2" t="inlineStr">
        <is>
          <t>394C-1</t>
        </is>
      </c>
      <c r="C431" s="3" t="n">
        <v>45965.50277777778</v>
      </c>
      <c r="D431" s="2" t="inlineStr">
        <is>
          <t>Original</t>
        </is>
      </c>
      <c r="E431" s="2" t="inlineStr">
        <is>
          <t>L</t>
        </is>
      </c>
      <c r="F431" s="2" t="inlineStr">
        <is>
          <t>Filipa Pinto; Isabel Mendes Lopes; Jorge Pinto; Patrícia Gonçalves; Paulo Muacho; Rui Tavares</t>
        </is>
      </c>
      <c r="G431" s="2" t="inlineStr">
        <is>
          <t>Art. 60.º-A (aditamento)</t>
        </is>
      </c>
      <c r="H431" s="2" t="n"/>
      <c r="I431" s="2" t="n"/>
      <c r="J431" s="2" t="n"/>
      <c r="K431" s="2" t="n"/>
      <c r="L431" s="2" t="inlineStr">
        <is>
          <t>Artigo 60.º-A (Imposto sobre grandes fortunas)</t>
        </is>
      </c>
      <c r="M431" s="4" t="n"/>
      <c r="N431" s="4" t="n"/>
      <c r="O431" s="2" t="n"/>
      <c r="P431" s="2" t="n"/>
      <c r="Q431" s="2" t="n"/>
      <c r="R431" s="2" t="n"/>
      <c r="S431" s="2" t="inlineStr">
        <is>
          <t>Rejeitado(a) em Comissão</t>
        </is>
      </c>
      <c r="T431" s="2" t="inlineStr">
        <is>
          <t>Rejeitada</t>
        </is>
      </c>
      <c r="U431" s="2" t="inlineStr">
        <is>
          <t>Favor: L, PCP, BE, PAN; Contra: PSD, CH, IL, CDS-PP; Abstenção: PS</t>
        </is>
      </c>
      <c r="V431" s="3" t="n">
        <v>45981</v>
      </c>
      <c r="W431" s="2" t="inlineStr">
        <is>
          <t>AR: https://www.parlamento.pt/OrcamentoEstado/Paginas/DetalhePropostaAlteracao.aspx?BID=23592 PDF: https://app.parlamento.pt/webutils/docs/doc.pdf?path=6148523063484d364c793942556b356c6443397a6158526c63793959566b6c4a544556484c3039464c7a49774d6a59794d4449314d5441774f533951515338334d4467345a5755334e4330344d5467774c5451315a4451744f47526d5a6931684d4755344d54686b4e444e6b5a4755756347526d&amp;Fich=7088ee74-8180-45d4-8dff-a0e818d43dde.pdf&amp;Inline=true</t>
        </is>
      </c>
      <c r="X431" s="2" t="inlineStr">
        <is>
          <t>Orçamento, Finanças e Administração Pública</t>
        </is>
      </c>
      <c r="Y431" s="2" t="inlineStr">
        <is>
          <t>Articulado</t>
        </is>
      </c>
      <c r="Z431" s="2" t="inlineStr">
        <is>
          <t>Aditamento (Artigo PPL)</t>
        </is>
      </c>
      <c r="AA431" s="2" t="inlineStr">
        <is>
          <t>Rejeitado(a) em Comissão</t>
        </is>
      </c>
      <c r="AB431" s="2" t="inlineStr"/>
      <c r="AC431" s="2" t="inlineStr">
        <is>
          <t>1</t>
        </is>
      </c>
      <c r="AD431" s="2" t="inlineStr">
        <is>
          <t>1</t>
        </is>
      </c>
      <c r="AE431" s="2" t="inlineStr">
        <is>
          <t>23592</t>
        </is>
      </c>
      <c r="AF431" s="2" t="inlineStr">
        <is>
          <t>https://www.parlamento.pt/OrcamentoEstado/Paginas/DetalhePropostaAlteracao.aspx?BID=23592</t>
        </is>
      </c>
      <c r="AG431" s="2" t="inlineStr">
        <is>
          <t>https://app.parlamento.pt/webutils/docs/doc.pdf?path=6148523063484d364c793942556b356c6443397a6158526c63793959566b6c4a544556484c3039464c7a49774d6a59794d4449314d5441774f533951515338334d4467345a5755334e4330344d5467774c5451315a4451744f47526d5a6931684d4755344d54686b4e444e6b5a4755756347526d&amp;Fich=7088ee74-8180-45d4-8dff-a0e818d43dde.pdf&amp;Inline=true</t>
        </is>
      </c>
      <c r="AH431" s="3" t="n">
        <v>46321.77847222222</v>
      </c>
      <c r="AI431" s="3" t="n">
        <v>46321.78055555555</v>
      </c>
      <c r="AJ431" s="2" t="inlineStr"/>
    </row>
    <row r="432">
      <c r="A432" s="2" t="n">
        <v>431</v>
      </c>
      <c r="B432" s="2" t="inlineStr">
        <is>
          <t>394C-2</t>
        </is>
      </c>
      <c r="C432" s="3" t="n">
        <v>45965.50277777778</v>
      </c>
      <c r="D432" s="2" t="inlineStr">
        <is>
          <t>Original</t>
        </is>
      </c>
      <c r="E432" s="2" t="inlineStr">
        <is>
          <t>L</t>
        </is>
      </c>
      <c r="F432" s="2" t="inlineStr">
        <is>
          <t>Filipa Pinto; Isabel Mendes Lopes; Jorge Pinto; Patrícia Gonçalves; Paulo Muacho; Rui Tavares</t>
        </is>
      </c>
      <c r="G432" s="2" t="inlineStr">
        <is>
          <t>Art. 60.º-B (aditamento)</t>
        </is>
      </c>
      <c r="H432" s="2" t="n"/>
      <c r="I432" s="2" t="n"/>
      <c r="J432" s="2" t="n"/>
      <c r="K432" s="2" t="n"/>
      <c r="L432" s="2" t="inlineStr">
        <is>
          <t>Artigo 60.º-B (Aditamento ao Código do IRS)</t>
        </is>
      </c>
      <c r="M432" s="4" t="n"/>
      <c r="N432" s="4" t="n"/>
      <c r="O432" s="2" t="n"/>
      <c r="P432" s="2" t="n"/>
      <c r="Q432" s="2" t="n"/>
      <c r="R432" s="2" t="n"/>
      <c r="S432" s="2" t="inlineStr">
        <is>
          <t>Rejeitado(a) em Comissão</t>
        </is>
      </c>
      <c r="T432" s="2" t="inlineStr">
        <is>
          <t>Rejeitada</t>
        </is>
      </c>
      <c r="U432" s="2" t="inlineStr">
        <is>
          <t>Favor: L, PCP, BE, PAN; Contra: PSD, CH, IL, CDS-PP; Abstenção: PS</t>
        </is>
      </c>
      <c r="V432" s="3" t="n">
        <v>45981</v>
      </c>
      <c r="W432" s="2" t="inlineStr">
        <is>
          <t>AR: https://www.parlamento.pt/OrcamentoEstado/Paginas/DetalhePropostaAlteracao.aspx?BID=23624 PDF: https://app.parlamento.pt/webutils/docs/doc.pdf?path=6148523063484d364c793942556b356c6443397a6158526c63793959566b6c4a544556484c3039464c7a49774d6a59794d4449314d5441774f533951515339694f54566a4d6a63325a43316c4d6d46694c54513459546774596a45304e7930325a6d59334e6a55315a4468684d4755756347526d&amp;Fich=b95c276d-e2ab-48a8-b147-6ff7655d8a0e.pdf&amp;Inline=true</t>
        </is>
      </c>
      <c r="X432" s="2" t="inlineStr">
        <is>
          <t>Orçamento, Finanças e Administração Pública</t>
        </is>
      </c>
      <c r="Y432" s="2" t="inlineStr">
        <is>
          <t>Articulado</t>
        </is>
      </c>
      <c r="Z432" s="2" t="inlineStr">
        <is>
          <t>Aditamento (Artigo PPL)</t>
        </is>
      </c>
      <c r="AA432" s="2" t="inlineStr">
        <is>
          <t>Rejeitado(a) em Comissão</t>
        </is>
      </c>
      <c r="AB432" s="2" t="inlineStr"/>
      <c r="AC432" s="2" t="inlineStr">
        <is>
          <t>2</t>
        </is>
      </c>
      <c r="AD432" s="2" t="inlineStr">
        <is>
          <t>1</t>
        </is>
      </c>
      <c r="AE432" s="2" t="inlineStr">
        <is>
          <t>23624</t>
        </is>
      </c>
      <c r="AF432" s="2" t="inlineStr">
        <is>
          <t>https://www.parlamento.pt/OrcamentoEstado/Paginas/DetalhePropostaAlteracao.aspx?BID=23624</t>
        </is>
      </c>
      <c r="AG432" s="2" t="inlineStr">
        <is>
          <t>https://app.parlamento.pt/webutils/docs/doc.pdf?path=6148523063484d364c793942556b356c6443397a6158526c63793959566b6c4a544556484c3039464c7a49774d6a59794d4449314d5441774f533951515339694f54566a4d6a63325a43316c4d6d46694c54513459546774596a45304e7930325a6d59334e6a55315a4468684d4755756347526d&amp;Fich=b95c276d-e2ab-48a8-b147-6ff7655d8a0e.pdf&amp;Inline=true</t>
        </is>
      </c>
      <c r="AH432" s="3" t="n">
        <v>46321.77847222222</v>
      </c>
      <c r="AI432" s="3" t="n">
        <v>46321.78055555555</v>
      </c>
      <c r="AJ432" s="2" t="inlineStr"/>
    </row>
    <row r="433">
      <c r="A433" s="2" t="n">
        <v>432</v>
      </c>
      <c r="B433" s="2" t="inlineStr">
        <is>
          <t>394C-3</t>
        </is>
      </c>
      <c r="C433" s="3" t="n">
        <v>45965.50277777778</v>
      </c>
      <c r="D433" s="2" t="inlineStr">
        <is>
          <t>Original</t>
        </is>
      </c>
      <c r="E433" s="2" t="inlineStr">
        <is>
          <t>L</t>
        </is>
      </c>
      <c r="F433" s="2" t="inlineStr">
        <is>
          <t>Filipa Pinto; Isabel Mendes Lopes; Jorge Pinto; Patrícia Gonçalves; Paulo Muacho; Rui Tavares</t>
        </is>
      </c>
      <c r="G433" s="2" t="inlineStr">
        <is>
          <t>Art. 60.º-C (aditamento)</t>
        </is>
      </c>
      <c r="H433" s="2" t="n"/>
      <c r="I433" s="2" t="n"/>
      <c r="J433" s="2" t="n"/>
      <c r="K433" s="2" t="n"/>
      <c r="L433" s="2" t="inlineStr">
        <is>
          <t>Artigo 60.º-C (Anexo I)</t>
        </is>
      </c>
      <c r="M433" s="4" t="n"/>
      <c r="N433" s="4" t="n"/>
      <c r="O433" s="2" t="n"/>
      <c r="P433" s="2" t="n"/>
      <c r="Q433" s="2" t="n"/>
      <c r="R433" s="2" t="n"/>
      <c r="S433" s="2" t="inlineStr">
        <is>
          <t>Rejeitado(a) em Comissão</t>
        </is>
      </c>
      <c r="T433" s="2" t="inlineStr">
        <is>
          <t>Rejeitada</t>
        </is>
      </c>
      <c r="U433" s="2" t="inlineStr">
        <is>
          <t>Favor: L, PCP, BE, PAN; Contra: PSD, CH, IL, CDS-PP; Abstenção: PS</t>
        </is>
      </c>
      <c r="V433" s="3" t="n">
        <v>45981</v>
      </c>
      <c r="W433" s="2" t="inlineStr">
        <is>
          <t>AR: https://www.parlamento.pt/OrcamentoEstado/Paginas/DetalhePropostaAlteracao.aspx?BID=23625 PDF: https://app.parlamento.pt/webutils/docs/doc.pdf?path=6148523063484d364c793942556b356c6443397a6158526c63793959566b6c4a544556484c3039464c7a49774d6a59794d4449314d5441774f533951515338784f5441304d6d5a6b595330784e5751344c545133597a4174596d4e68597930795a5459304e7a5668597a6730597a4d756347526d&amp;Fich=19042fda-15d8-47c0-bcac-2e6475ac84c3.pdf&amp;Inline=true</t>
        </is>
      </c>
      <c r="X433" s="2" t="inlineStr">
        <is>
          <t>Orçamento, Finanças e Administração Pública</t>
        </is>
      </c>
      <c r="Y433" s="2" t="inlineStr">
        <is>
          <t>Articulado</t>
        </is>
      </c>
      <c r="Z433" s="2" t="inlineStr">
        <is>
          <t>Aditamento (Artigo PPL)</t>
        </is>
      </c>
      <c r="AA433" s="2" t="inlineStr">
        <is>
          <t>Rejeitado(a) em Comissão</t>
        </is>
      </c>
      <c r="AB433" s="2" t="inlineStr"/>
      <c r="AC433" s="2" t="inlineStr">
        <is>
          <t>3</t>
        </is>
      </c>
      <c r="AD433" s="2" t="inlineStr">
        <is>
          <t>1</t>
        </is>
      </c>
      <c r="AE433" s="2" t="inlineStr">
        <is>
          <t>23625</t>
        </is>
      </c>
      <c r="AF433" s="2" t="inlineStr">
        <is>
          <t>https://www.parlamento.pt/OrcamentoEstado/Paginas/DetalhePropostaAlteracao.aspx?BID=23625</t>
        </is>
      </c>
      <c r="AG433" s="2" t="inlineStr">
        <is>
          <t>https://app.parlamento.pt/webutils/docs/doc.pdf?path=6148523063484d364c793942556b356c6443397a6158526c63793959566b6c4a544556484c3039464c7a49774d6a59794d4449314d5441774f533951515338784f5441304d6d5a6b595330784e5751344c545133597a4174596d4e68597930795a5459304e7a5668597a6730597a4d756347526d&amp;Fich=19042fda-15d8-47c0-bcac-2e6475ac84c3.pdf&amp;Inline=true</t>
        </is>
      </c>
      <c r="AH433" s="3" t="n">
        <v>46321.77847222222</v>
      </c>
      <c r="AI433" s="3" t="n">
        <v>46321.78055555555</v>
      </c>
      <c r="AJ433" s="2" t="inlineStr"/>
    </row>
    <row r="434">
      <c r="A434" s="2" t="n">
        <v>433</v>
      </c>
      <c r="B434" s="2" t="inlineStr">
        <is>
          <t>395C-1</t>
        </is>
      </c>
      <c r="C434" s="3" t="n">
        <v>45965.62222222222</v>
      </c>
      <c r="D434" s="2" t="inlineStr">
        <is>
          <t>Original</t>
        </is>
      </c>
      <c r="E434" s="2" t="inlineStr">
        <is>
          <t>IL</t>
        </is>
      </c>
      <c r="F434" s="2" t="inlineStr">
        <is>
          <t>Angélique Da Teresa; Carlos Guimarães Pinto; Joana Cordeiro; Jorge Miguel Teixeira; Mariana Leitão; Mário Amorim Lopes; Miguel Rangel; Rodrigo Saraiva; Rui Rocha</t>
        </is>
      </c>
      <c r="G434" s="2" t="inlineStr">
        <is>
          <t>Art. 63.º-A (aditamento)</t>
        </is>
      </c>
      <c r="H434" s="2" t="n"/>
      <c r="I434" s="2" t="n"/>
      <c r="J434" s="2" t="n"/>
      <c r="K434" s="2" t="n"/>
      <c r="L434" s="2" t="inlineStr">
        <is>
          <t>Artigo 63.º-A (Aditamento à Lista I anexa ao Código do Imposto sobre o Valor Acrescentado)</t>
        </is>
      </c>
      <c r="M434" s="4" t="n"/>
      <c r="N434" s="4" t="n"/>
      <c r="O434" s="2" t="n"/>
      <c r="P434" s="2" t="n"/>
      <c r="Q434" s="2" t="n"/>
      <c r="R434" s="2" t="n"/>
      <c r="S434" s="2" t="inlineStr">
        <is>
          <t>Rejeitado(a) em Comissão</t>
        </is>
      </c>
      <c r="T434" s="2" t="inlineStr">
        <is>
          <t>Rejeitada</t>
        </is>
      </c>
      <c r="U434" s="2" t="inlineStr">
        <is>
          <t>Favor: IL; Contra: PSD, CH, PCP, CDS-PP, BE, PAN; Abstenção: PS, L</t>
        </is>
      </c>
      <c r="V434" s="3" t="n">
        <v>45985</v>
      </c>
      <c r="W434" s="2" t="inlineStr">
        <is>
          <t>AR: https://www.parlamento.pt/OrcamentoEstado/Paginas/DetalhePropostaAlteracao.aspx?BID=23599 PDF: https://app.parlamento.pt/webutils/docs/doc.pdf?path=6148523063484d364c793942556b356c6443397a6158526c63793959566b6c4a544556484c3039464c7a49774d6a59794d4449314d5441774f53395151533879597a59334e446332596930304d54526c4c54526a4d3259744f5463334e5330314f575130596a51304e7a55305a4441756347526d&amp;Fich=2c67476b-414e-4c3f-9775-59d4b44754d0.pdf&amp;Inline=true</t>
        </is>
      </c>
      <c r="X434" s="2" t="inlineStr">
        <is>
          <t>Cultura, Comunicação, Juventude e Desporto; Orçamento, Finanças e Administração Pública</t>
        </is>
      </c>
      <c r="Y434" s="2" t="inlineStr">
        <is>
          <t>Articulado</t>
        </is>
      </c>
      <c r="Z434" s="2" t="inlineStr">
        <is>
          <t>Aditamento (Artigo PPL)</t>
        </is>
      </c>
      <c r="AA434" s="2" t="inlineStr">
        <is>
          <t>Rejeitado(a) em Comissão</t>
        </is>
      </c>
      <c r="AB434" s="2" t="inlineStr"/>
      <c r="AC434" s="2" t="inlineStr">
        <is>
          <t>1</t>
        </is>
      </c>
      <c r="AD434" s="2" t="inlineStr">
        <is>
          <t>1</t>
        </is>
      </c>
      <c r="AE434" s="2" t="inlineStr">
        <is>
          <t>23599</t>
        </is>
      </c>
      <c r="AF434" s="2" t="inlineStr">
        <is>
          <t>https://www.parlamento.pt/OrcamentoEstado/Paginas/DetalhePropostaAlteracao.aspx?BID=23599</t>
        </is>
      </c>
      <c r="AG434" s="2" t="inlineStr">
        <is>
          <t>https://app.parlamento.pt/webutils/docs/doc.pdf?path=6148523063484d364c793942556b356c6443397a6158526c63793959566b6c4a544556484c3039464c7a49774d6a59794d4449314d5441774f53395151533879597a59334e446332596930304d54526c4c54526a4d3259744f5463334e5330314f575130596a51304e7a55305a4441756347526d&amp;Fich=2c67476b-414e-4c3f-9775-59d4b44754d0.pdf&amp;Inline=true</t>
        </is>
      </c>
      <c r="AH434" s="3" t="n">
        <v>46321.77847222222</v>
      </c>
      <c r="AI434" s="3" t="n">
        <v>46321.78055555555</v>
      </c>
      <c r="AJ434" s="2" t="inlineStr"/>
    </row>
    <row r="435">
      <c r="A435" s="2" t="n">
        <v>434</v>
      </c>
      <c r="B435" s="2" t="inlineStr">
        <is>
          <t>395C-2</t>
        </is>
      </c>
      <c r="C435" s="3" t="n">
        <v>45965.62222222222</v>
      </c>
      <c r="D435" s="2" t="inlineStr">
        <is>
          <t>Original</t>
        </is>
      </c>
      <c r="E435" s="2" t="inlineStr">
        <is>
          <t>IL</t>
        </is>
      </c>
      <c r="F435" s="2" t="inlineStr">
        <is>
          <t>Angélique Da Teresa; Carlos Guimarães Pinto; Joana Cordeiro; Jorge Miguel Teixeira; Mariana Leitão; Mário Amorim Lopes; Miguel Rangel; Rodrigo Saraiva; Rui Rocha</t>
        </is>
      </c>
      <c r="G435" s="2" t="inlineStr">
        <is>
          <t>Art. 63.º-B (aditamento)</t>
        </is>
      </c>
      <c r="H435" s="2" t="n"/>
      <c r="I435" s="2" t="n"/>
      <c r="J435" s="2" t="n"/>
      <c r="K435" s="2" t="n"/>
      <c r="L435" s="2" t="inlineStr">
        <is>
          <t>Artigo 63.º-B (Alteração ao Regime Especial de Tributação dos Bens em Segunda Mão, Objetos de Arte, de Coleção e Antiguidades)</t>
        </is>
      </c>
      <c r="M435" s="4" t="n"/>
      <c r="N435" s="4" t="n"/>
      <c r="O435" s="2" t="n"/>
      <c r="P435" s="2" t="n"/>
      <c r="Q435" s="2" t="n"/>
      <c r="R435" s="2" t="n"/>
      <c r="S435" s="2" t="inlineStr">
        <is>
          <t>Rejeitado(a) em Comissão</t>
        </is>
      </c>
      <c r="T435" s="2" t="inlineStr">
        <is>
          <t>Rejeitada</t>
        </is>
      </c>
      <c r="U435" s="2" t="inlineStr">
        <is>
          <t>Favor: PS, IL, L; Contra: PSD, CH, PCP, CDS-PP, PAN; Abstenção: BE</t>
        </is>
      </c>
      <c r="V435" s="3" t="n">
        <v>45985</v>
      </c>
      <c r="W435" s="2" t="inlineStr">
        <is>
          <t>AR: https://www.parlamento.pt/OrcamentoEstado/Paginas/DetalhePropostaAlteracao.aspx?BID=25370 PDF: https://app.parlamento.pt/webutils/docs/doc.pdf?path=6148523063484d364c793942556b356c6443397a6158526c63793959566b6c4a544556484c3039464c7a49774d6a59794d4449314d5441774f533951515338344f5459315a5446684e7930344f54466b4c54526d4f545574595759344f5330784d3249345a44426c4d324a6d596d51756347526d&amp;Fich=8965e1a7-891d-4f95-af89-13b8d0e3bfbd.pdf&amp;Inline=true</t>
        </is>
      </c>
      <c r="X435" s="2" t="inlineStr">
        <is>
          <t>Cultura, Comunicação, Juventude e Desporto; Orçamento, Finanças e Administração Pública</t>
        </is>
      </c>
      <c r="Y435" s="2" t="inlineStr">
        <is>
          <t>Articulado</t>
        </is>
      </c>
      <c r="Z435" s="2" t="inlineStr">
        <is>
          <t>Aditamento (Artigo PPL)</t>
        </is>
      </c>
      <c r="AA435" s="2" t="inlineStr">
        <is>
          <t>Rejeitado(a) em Comissão</t>
        </is>
      </c>
      <c r="AB435" s="2" t="inlineStr"/>
      <c r="AC435" s="2" t="inlineStr">
        <is>
          <t>2</t>
        </is>
      </c>
      <c r="AD435" s="2" t="inlineStr">
        <is>
          <t>1</t>
        </is>
      </c>
      <c r="AE435" s="2" t="inlineStr">
        <is>
          <t>25370</t>
        </is>
      </c>
      <c r="AF435" s="2" t="inlineStr">
        <is>
          <t>https://www.parlamento.pt/OrcamentoEstado/Paginas/DetalhePropostaAlteracao.aspx?BID=25370</t>
        </is>
      </c>
      <c r="AG435" s="2" t="inlineStr">
        <is>
          <t>https://app.parlamento.pt/webutils/docs/doc.pdf?path=6148523063484d364c793942556b356c6443397a6158526c63793959566b6c4a544556484c3039464c7a49774d6a59794d4449314d5441774f533951515338344f5459315a5446684e7930344f54466b4c54526d4f545574595759344f5330784d3249345a44426c4d324a6d596d51756347526d&amp;Fich=8965e1a7-891d-4f95-af89-13b8d0e3bfbd.pdf&amp;Inline=true</t>
        </is>
      </c>
      <c r="AH435" s="3" t="n">
        <v>46321.77847222222</v>
      </c>
      <c r="AI435" s="3" t="n">
        <v>46321.78055555555</v>
      </c>
      <c r="AJ435" s="2" t="inlineStr"/>
    </row>
    <row r="436">
      <c r="A436" s="2" t="n">
        <v>435</v>
      </c>
      <c r="B436" s="2" t="inlineStr">
        <is>
          <t>396C</t>
        </is>
      </c>
      <c r="C436" s="3" t="n">
        <v>45965.65486111111</v>
      </c>
      <c r="D436" s="2" t="inlineStr">
        <is>
          <t>Original</t>
        </is>
      </c>
      <c r="E436" s="2" t="inlineStr">
        <is>
          <t>L</t>
        </is>
      </c>
      <c r="F436" s="2" t="inlineStr">
        <is>
          <t>Filipa Pinto; Isabel Mendes Lopes; Jorge Pinto; Patrícia Gonçalves; Paulo Muacho; Rui Tavares</t>
        </is>
      </c>
      <c r="G436" s="2" t="inlineStr">
        <is>
          <t>Art. 7.º (substituição)</t>
        </is>
      </c>
      <c r="H436" s="2" t="n"/>
      <c r="I436" s="2" t="n"/>
      <c r="J436" s="2" t="n"/>
      <c r="K436" s="2" t="n"/>
      <c r="L436" s="2" t="inlineStr">
        <is>
          <t>Verba 31, Mapa de alterações e transferências orçamentais, Artigo 7.º</t>
        </is>
      </c>
      <c r="M436" s="4" t="n"/>
      <c r="N436" s="4" t="n"/>
      <c r="O436" s="2" t="n"/>
      <c r="P436" s="2" t="n"/>
      <c r="Q436" s="2" t="n"/>
      <c r="R436" s="2" t="n"/>
      <c r="S436" s="2" t="inlineStr">
        <is>
          <t>Rejeitado(a) em Comissão</t>
        </is>
      </c>
      <c r="T436" s="2" t="inlineStr">
        <is>
          <t>Rejeitada</t>
        </is>
      </c>
      <c r="U436" s="2" t="inlineStr">
        <is>
          <t>Favor: L, PCP, BE, PAN; Contra: PSD, IL, CDS-PP; Abstenção: CH, PS</t>
        </is>
      </c>
      <c r="V436" s="3" t="n">
        <v>45987</v>
      </c>
      <c r="W436" s="2" t="inlineStr">
        <is>
          <t>AR: https://www.parlamento.pt/OrcamentoEstado/Paginas/DetalhePropostaAlteracao.aspx?BID=23607 PDF: https://app.parlamento.pt/webutils/docs/doc.pdf?path=6148523063484d364c793942556b356c6443397a6158526c63793959566b6c4a544556484c3039464c7a49774d6a59794d4449314d5441774f533951515339694d7a63795a6a4e685a6930325954517a4c5451784f544974595442684d6930314d444a694e446b314d7a45324e7a67756347526d&amp;Fich=b372f3af-6a43-4192-a0a2-502b49531678.pdf&amp;Inline=true</t>
        </is>
      </c>
      <c r="X436" s="2" t="inlineStr">
        <is>
          <t>Ambiente e Energia; Orçamento, Finanças e Administração Pública</t>
        </is>
      </c>
      <c r="Y436" s="2" t="inlineStr">
        <is>
          <t>Mapas</t>
        </is>
      </c>
      <c r="Z436" s="2" t="inlineStr">
        <is>
          <t>Substituição</t>
        </is>
      </c>
      <c r="AA436" s="2" t="inlineStr">
        <is>
          <t>Rejeitado(a) em Comissão</t>
        </is>
      </c>
      <c r="AB436" s="2" t="inlineStr"/>
      <c r="AC436" s="2" t="inlineStr"/>
      <c r="AD436" s="2" t="inlineStr">
        <is>
          <t>1</t>
        </is>
      </c>
      <c r="AE436" s="2" t="inlineStr">
        <is>
          <t>23607</t>
        </is>
      </c>
      <c r="AF436" s="2" t="inlineStr">
        <is>
          <t>https://www.parlamento.pt/OrcamentoEstado/Paginas/DetalhePropostaAlteracao.aspx?BID=23607</t>
        </is>
      </c>
      <c r="AG436" s="2" t="inlineStr">
        <is>
          <t>https://app.parlamento.pt/webutils/docs/doc.pdf?path=6148523063484d364c793942556b356c6443397a6158526c63793959566b6c4a544556484c3039464c7a49774d6a59794d4449314d5441774f533951515339694d7a63795a6a4e685a6930325954517a4c5451784f544974595442684d6930314d444a694e446b314d7a45324e7a67756347526d&amp;Fich=b372f3af-6a43-4192-a0a2-502b49531678.pdf&amp;Inline=true</t>
        </is>
      </c>
      <c r="AH436" s="3" t="n">
        <v>46321.77847222222</v>
      </c>
      <c r="AI436" s="3" t="n">
        <v>46321.78055555555</v>
      </c>
      <c r="AJ436" s="2" t="inlineStr"/>
    </row>
    <row r="437">
      <c r="A437" s="2" t="n">
        <v>436</v>
      </c>
      <c r="B437" s="2" t="inlineStr">
        <is>
          <t>397C</t>
        </is>
      </c>
      <c r="C437" s="3" t="n">
        <v>45965.66180555556</v>
      </c>
      <c r="D437" s="2" t="inlineStr">
        <is>
          <t>Original</t>
        </is>
      </c>
      <c r="E437" s="2" t="inlineStr">
        <is>
          <t>L</t>
        </is>
      </c>
      <c r="F437" s="2" t="inlineStr">
        <is>
          <t>Filipa Pinto; Isabel Mendes Lopes; Jorge Pinto; Patrícia Gonçalves; Paulo Muacho; Rui Tavares</t>
        </is>
      </c>
      <c r="G437" s="2" t="inlineStr">
        <is>
          <t>Art. 126.º-A (aditamento)</t>
        </is>
      </c>
      <c r="H437" s="2" t="n"/>
      <c r="I437" s="2" t="n"/>
      <c r="J437" s="2" t="n"/>
      <c r="K437" s="2" t="n"/>
      <c r="L437" s="2" t="inlineStr">
        <is>
          <t>Artigo 126.º-A (Sistema Nacional de Medição do Desperdício Alimentar)</t>
        </is>
      </c>
      <c r="M437" s="4" t="n"/>
      <c r="N437" s="4" t="n"/>
      <c r="O437" s="2" t="n"/>
      <c r="P437" s="2" t="n"/>
      <c r="Q437" s="2" t="n"/>
      <c r="R437" s="2" t="n"/>
      <c r="S437" s="2" t="inlineStr">
        <is>
          <t>Rejeitado(a) em Comissão</t>
        </is>
      </c>
      <c r="T437" s="2" t="inlineStr">
        <is>
          <t>Rejeitada</t>
        </is>
      </c>
      <c r="U437" s="2" t="inlineStr">
        <is>
          <t>Favor: L, BE, PAN; Contra: PSD, IL, CDS-PP; Abstenção: CH, PS, PCP</t>
        </is>
      </c>
      <c r="V437" s="3" t="n">
        <v>45985</v>
      </c>
      <c r="W437" s="2" t="inlineStr">
        <is>
          <t>AR: https://www.parlamento.pt/OrcamentoEstado/Paginas/DetalhePropostaAlteracao.aspx?BID=23608 PDF: https://app.parlamento.pt/webutils/docs/doc.pdf?path=6148523063484d364c793942556b356c6443397a6158526c63793959566b6c4a544556484c3039464c7a49774d6a59794d4449314d5441774f533951515338355932557a5a4445784e7930315a4745774c5452684e546374595446684e533034597a59344d7a646b4d444e6a597a55756347526d&amp;Fich=9ce3d117-5da0-4a57-a1a5-8c6837d03cc5.pdf&amp;Inline=true</t>
        </is>
      </c>
      <c r="X437" s="2" t="inlineStr">
        <is>
          <t>Agricultura e Pescas; Ambiente e Energia; Orçamento, Finanças e Administração Pública</t>
        </is>
      </c>
      <c r="Y437" s="2" t="inlineStr">
        <is>
          <t>Articulado</t>
        </is>
      </c>
      <c r="Z437" s="2" t="inlineStr">
        <is>
          <t>Aditamento (Artigo PPL)</t>
        </is>
      </c>
      <c r="AA437" s="2" t="inlineStr">
        <is>
          <t>Rejeitado(a) em Comissão</t>
        </is>
      </c>
      <c r="AB437" s="2" t="inlineStr"/>
      <c r="AC437" s="2" t="inlineStr"/>
      <c r="AD437" s="2" t="inlineStr">
        <is>
          <t>1</t>
        </is>
      </c>
      <c r="AE437" s="2" t="inlineStr">
        <is>
          <t>23608</t>
        </is>
      </c>
      <c r="AF437" s="2" t="inlineStr">
        <is>
          <t>https://www.parlamento.pt/OrcamentoEstado/Paginas/DetalhePropostaAlteracao.aspx?BID=23608</t>
        </is>
      </c>
      <c r="AG437" s="2" t="inlineStr">
        <is>
          <t>https://app.parlamento.pt/webutils/docs/doc.pdf?path=6148523063484d364c793942556b356c6443397a6158526c63793959566b6c4a544556484c3039464c7a49774d6a59794d4449314d5441774f533951515338355932557a5a4445784e7930315a4745774c5452684e546374595446684e533034597a59344d7a646b4d444e6a597a55756347526d&amp;Fich=9ce3d117-5da0-4a57-a1a5-8c6837d03cc5.pdf&amp;Inline=true</t>
        </is>
      </c>
      <c r="AH437" s="3" t="n">
        <v>46321.77847222222</v>
      </c>
      <c r="AI437" s="3" t="n">
        <v>46321.78055555555</v>
      </c>
      <c r="AJ437" s="2" t="inlineStr"/>
    </row>
    <row r="438">
      <c r="A438" s="2" t="n">
        <v>437</v>
      </c>
      <c r="B438" s="2" t="inlineStr">
        <is>
          <t>398C</t>
        </is>
      </c>
      <c r="C438" s="3" t="n">
        <v>45965.66597222222</v>
      </c>
      <c r="D438" s="2" t="inlineStr">
        <is>
          <t>Original</t>
        </is>
      </c>
      <c r="E438" s="2" t="inlineStr">
        <is>
          <t>CH</t>
        </is>
      </c>
      <c r="F43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38" s="2" t="inlineStr">
        <is>
          <t>Art. 136.º-A (aditamento)</t>
        </is>
      </c>
      <c r="H438" s="2" t="n"/>
      <c r="I438" s="2" t="n"/>
      <c r="J438" s="2" t="n"/>
      <c r="K438" s="2" t="n"/>
      <c r="L438" s="2" t="inlineStr">
        <is>
          <t>Artigo 136.º-A (Concluir o IC12, fazendo a ligação entre Canas de Senhorim e a A25 em Mangualde)</t>
        </is>
      </c>
      <c r="M438" s="4" t="n"/>
      <c r="N438" s="4" t="n"/>
      <c r="O438" s="2" t="n"/>
      <c r="P438" s="2" t="n"/>
      <c r="Q438" s="2" t="n"/>
      <c r="R438" s="2" t="n"/>
      <c r="S438" s="2" t="inlineStr">
        <is>
          <t>Rejeitado(a) em Comissão</t>
        </is>
      </c>
      <c r="T438" s="2" t="inlineStr">
        <is>
          <t>Rejeitada</t>
        </is>
      </c>
      <c r="U438" s="2" t="inlineStr">
        <is>
          <t>Favor: CH, BE; Contra: PSD, CDS-PP; Abstenção: PS, IL, L, PCP, PAN</t>
        </is>
      </c>
      <c r="V438" s="3" t="n">
        <v>45987</v>
      </c>
      <c r="W438" s="2" t="inlineStr">
        <is>
          <t>AR: https://www.parlamento.pt/OrcamentoEstado/Paginas/DetalhePropostaAlteracao.aspx?BID=23609 PDF: https://app.parlamento.pt/webutils/docs/doc.pdf?path=6148523063484d364c793942556b356c6443397a6158526c63793959566b6c4a544556484c3039464c7a49774d6a59794d4449314d5441774f533951515338784e7a41795a5751304d5330795a4755784c54526d5a574974596d55304d5331684e444d344f574669595459314f5749756347526d&amp;Fich=1702ed41-2de1-4feb-be41-a4389aba659b.pdf&amp;Inline=true</t>
        </is>
      </c>
      <c r="X438" s="2" t="inlineStr">
        <is>
          <t>Infraestruturas, Mobilidade e Habitação</t>
        </is>
      </c>
      <c r="Y438" s="2" t="inlineStr">
        <is>
          <t>Articulado</t>
        </is>
      </c>
      <c r="Z438" s="2" t="inlineStr">
        <is>
          <t>Aditamento (Artigo PPL)</t>
        </is>
      </c>
      <c r="AA438" s="2" t="inlineStr">
        <is>
          <t>Rejeitado(a) em Comissão</t>
        </is>
      </c>
      <c r="AB438" s="2" t="inlineStr"/>
      <c r="AC438" s="2" t="inlineStr"/>
      <c r="AD438" s="2" t="inlineStr">
        <is>
          <t>1</t>
        </is>
      </c>
      <c r="AE438" s="2" t="inlineStr">
        <is>
          <t>23609</t>
        </is>
      </c>
      <c r="AF438" s="2" t="inlineStr">
        <is>
          <t>https://www.parlamento.pt/OrcamentoEstado/Paginas/DetalhePropostaAlteracao.aspx?BID=23609</t>
        </is>
      </c>
      <c r="AG438" s="2" t="inlineStr">
        <is>
          <t>https://app.parlamento.pt/webutils/docs/doc.pdf?path=6148523063484d364c793942556b356c6443397a6158526c63793959566b6c4a544556484c3039464c7a49774d6a59794d4449314d5441774f533951515338784e7a41795a5751304d5330795a4755784c54526d5a574974596d55304d5331684e444d344f574669595459314f5749756347526d&amp;Fich=1702ed41-2de1-4feb-be41-a4389aba659b.pdf&amp;Inline=true</t>
        </is>
      </c>
      <c r="AH438" s="3" t="n">
        <v>46321.77847222222</v>
      </c>
      <c r="AI438" s="3" t="n">
        <v>46321.78055555555</v>
      </c>
      <c r="AJ438" s="2" t="inlineStr"/>
    </row>
    <row r="439">
      <c r="A439" s="2" t="n">
        <v>438</v>
      </c>
      <c r="B439" s="2" t="inlineStr">
        <is>
          <t>399C</t>
        </is>
      </c>
      <c r="C439" s="3" t="n">
        <v>45965.66597222222</v>
      </c>
      <c r="D439" s="2" t="inlineStr">
        <is>
          <t>Original</t>
        </is>
      </c>
      <c r="E439" s="2" t="inlineStr">
        <is>
          <t>L</t>
        </is>
      </c>
      <c r="F439" s="2" t="inlineStr">
        <is>
          <t>Filipa Pinto; Isabel Mendes Lopes; Jorge Pinto; Patrícia Gonçalves; Paulo Muacho; Rui Tavares</t>
        </is>
      </c>
      <c r="G439" s="2" t="inlineStr">
        <is>
          <t>Art. 7.º (aditamento)</t>
        </is>
      </c>
      <c r="H439" s="2" t="n"/>
      <c r="I439" s="2" t="n"/>
      <c r="J439" s="2" t="n"/>
      <c r="K439" s="2" t="n"/>
      <c r="L439" s="2" t="inlineStr">
        <is>
          <t>Nova Verba 25, Mapa de alterações e transferências orçamentais, Artigo 7.º</t>
        </is>
      </c>
      <c r="M439" s="4" t="n"/>
      <c r="N439" s="4" t="n"/>
      <c r="O439" s="2" t="n"/>
      <c r="P439" s="2" t="n"/>
      <c r="Q439" s="2" t="n"/>
      <c r="R439" s="2" t="n"/>
      <c r="S439" s="2" t="inlineStr">
        <is>
          <t>Rejeitado(a) em Comissão</t>
        </is>
      </c>
      <c r="T439" s="2" t="inlineStr">
        <is>
          <t>Rejeitada</t>
        </is>
      </c>
      <c r="U439" s="2" t="inlineStr">
        <is>
          <t>Favor: L, PCP, BE, PAN; Contra: PSD, CH, IL, CDS-PP; Abstenção: PS</t>
        </is>
      </c>
      <c r="V439" s="3" t="n">
        <v>45987</v>
      </c>
      <c r="W439" s="2" t="inlineStr">
        <is>
          <t>AR: https://www.parlamento.pt/OrcamentoEstado/Paginas/DetalhePropostaAlteracao.aspx?BID=23610 PDF: https://app.parlamento.pt/webutils/docs/doc.pdf?path=6148523063484d364c793942556b356c6443397a6158526c63793959566b6c4a544556484c3039464c7a49774d6a59794d4449314d5441774f5339515153387a5a47566c4f5749314e7930325a6a6b784c5451334e475574596a557a596930314d4463334e6d566d4d474e68596d51756347526d&amp;Fich=3dee9b57-6f91-474e-b53b-50776ef0cabd.pdf&amp;Inline=true</t>
        </is>
      </c>
      <c r="X439" s="2" t="inlineStr">
        <is>
          <t>Ambiente e Energia; Orçamento, Finanças e Administração Pública; Reforma do Estado e Poder Local</t>
        </is>
      </c>
      <c r="Y439" s="2" t="inlineStr">
        <is>
          <t>Mapas</t>
        </is>
      </c>
      <c r="Z439" s="2" t="inlineStr">
        <is>
          <t>Aditamento (Números e Alíneas)</t>
        </is>
      </c>
      <c r="AA439" s="2" t="inlineStr">
        <is>
          <t>Rejeitado(a) em Comissão</t>
        </is>
      </c>
      <c r="AB439" s="2" t="inlineStr"/>
      <c r="AC439" s="2" t="inlineStr"/>
      <c r="AD439" s="2" t="inlineStr">
        <is>
          <t>1</t>
        </is>
      </c>
      <c r="AE439" s="2" t="inlineStr">
        <is>
          <t>23610</t>
        </is>
      </c>
      <c r="AF439" s="2" t="inlineStr">
        <is>
          <t>https://www.parlamento.pt/OrcamentoEstado/Paginas/DetalhePropostaAlteracao.aspx?BID=23610</t>
        </is>
      </c>
      <c r="AG439" s="2" t="inlineStr">
        <is>
          <t>https://app.parlamento.pt/webutils/docs/doc.pdf?path=6148523063484d364c793942556b356c6443397a6158526c63793959566b6c4a544556484c3039464c7a49774d6a59794d4449314d5441774f5339515153387a5a47566c4f5749314e7930325a6a6b784c5451334e475574596a557a596930314d4463334e6d566d4d474e68596d51756347526d&amp;Fich=3dee9b57-6f91-474e-b53b-50776ef0cabd.pdf&amp;Inline=true</t>
        </is>
      </c>
      <c r="AH439" s="3" t="n">
        <v>46321.77847222222</v>
      </c>
      <c r="AI439" s="3" t="n">
        <v>46321.78055555555</v>
      </c>
      <c r="AJ439" s="2" t="inlineStr"/>
    </row>
    <row r="440">
      <c r="A440" s="2" t="n">
        <v>439</v>
      </c>
      <c r="B440" s="2" t="inlineStr">
        <is>
          <t>400C</t>
        </is>
      </c>
      <c r="C440" s="3" t="n">
        <v>45965.66666666666</v>
      </c>
      <c r="D440" s="2" t="inlineStr">
        <is>
          <t>Original</t>
        </is>
      </c>
      <c r="E440" s="2" t="inlineStr">
        <is>
          <t>CH</t>
        </is>
      </c>
      <c r="F44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40" s="2" t="inlineStr">
        <is>
          <t>Art. 136.º-A (aditamento)</t>
        </is>
      </c>
      <c r="H440" s="2" t="n"/>
      <c r="I440" s="2" t="n"/>
      <c r="J440" s="2" t="n"/>
      <c r="K440" s="2" t="n"/>
      <c r="L440" s="2" t="inlineStr">
        <is>
          <t>Artigo 136.º-A (Construção da variante de Aljezur na EN120)</t>
        </is>
      </c>
      <c r="M440" s="4" t="n"/>
      <c r="N440" s="4" t="n"/>
      <c r="O440" s="2" t="n"/>
      <c r="P440" s="2" t="n"/>
      <c r="Q440" s="2" t="n"/>
      <c r="R440" s="2" t="n"/>
      <c r="S440" s="2" t="inlineStr">
        <is>
          <t>Rejeitado(a) em Comissão</t>
        </is>
      </c>
      <c r="T440" s="2" t="inlineStr">
        <is>
          <t>Rejeitada</t>
        </is>
      </c>
      <c r="U440" s="2" t="inlineStr">
        <is>
          <t>Favor: CH, BE; Contra: PSD, CDS-PP; Abstenção: PS, IL, L, PCP, PAN</t>
        </is>
      </c>
      <c r="V440" s="3" t="n">
        <v>45987</v>
      </c>
      <c r="W440" s="2" t="inlineStr">
        <is>
          <t>AR: https://www.parlamento.pt/OrcamentoEstado/Paginas/DetalhePropostaAlteracao.aspx?BID=23611 PDF: https://app.parlamento.pt/webutils/docs/doc.pdf?path=6148523063484d364c793942556b356c6443397a6158526c63793959566b6c4a544556484c3039464c7a49774d6a59794d4449314d5441774f53395151533834596a597759324e694f43316959546b774c5451354e4459744f4749774d7930344f474e6a596d4e6c4e545a684d7a41756347526d&amp;Fich=8b60ccb8-ba90-4946-8b03-88ccbce56a30.pdf&amp;Inline=true</t>
        </is>
      </c>
      <c r="X440" s="2" t="inlineStr">
        <is>
          <t>Infraestruturas, Mobilidade e Habitação</t>
        </is>
      </c>
      <c r="Y440" s="2" t="inlineStr">
        <is>
          <t>Articulado</t>
        </is>
      </c>
      <c r="Z440" s="2" t="inlineStr">
        <is>
          <t>Aditamento (Artigo PPL)</t>
        </is>
      </c>
      <c r="AA440" s="2" t="inlineStr">
        <is>
          <t>Rejeitado(a) em Comissão</t>
        </is>
      </c>
      <c r="AB440" s="2" t="inlineStr"/>
      <c r="AC440" s="2" t="inlineStr"/>
      <c r="AD440" s="2" t="inlineStr">
        <is>
          <t>1</t>
        </is>
      </c>
      <c r="AE440" s="2" t="inlineStr">
        <is>
          <t>23611</t>
        </is>
      </c>
      <c r="AF440" s="2" t="inlineStr">
        <is>
          <t>https://www.parlamento.pt/OrcamentoEstado/Paginas/DetalhePropostaAlteracao.aspx?BID=23611</t>
        </is>
      </c>
      <c r="AG440" s="2" t="inlineStr">
        <is>
          <t>https://app.parlamento.pt/webutils/docs/doc.pdf?path=6148523063484d364c793942556b356c6443397a6158526c63793959566b6c4a544556484c3039464c7a49774d6a59794d4449314d5441774f53395151533834596a597759324e694f43316959546b774c5451354e4459744f4749774d7930344f474e6a596d4e6c4e545a684d7a41756347526d&amp;Fich=8b60ccb8-ba90-4946-8b03-88ccbce56a30.pdf&amp;Inline=true</t>
        </is>
      </c>
      <c r="AH440" s="3" t="n">
        <v>46321.77847222222</v>
      </c>
      <c r="AI440" s="3" t="n">
        <v>46321.78055555555</v>
      </c>
      <c r="AJ440" s="2" t="inlineStr"/>
    </row>
    <row r="441">
      <c r="A441" s="2" t="n">
        <v>440</v>
      </c>
      <c r="B441" s="2" t="inlineStr">
        <is>
          <t>401C</t>
        </is>
      </c>
      <c r="C441" s="3" t="n">
        <v>45965.66805555556</v>
      </c>
      <c r="D441" s="2" t="inlineStr">
        <is>
          <t>Original</t>
        </is>
      </c>
      <c r="E441" s="2" t="inlineStr">
        <is>
          <t>CH</t>
        </is>
      </c>
      <c r="F44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41" s="2" t="inlineStr">
        <is>
          <t>Art. 136.º-A (aditamento)</t>
        </is>
      </c>
      <c r="H441" s="2" t="n"/>
      <c r="I441" s="2" t="n"/>
      <c r="J441" s="2" t="n"/>
      <c r="K441" s="2" t="n"/>
      <c r="L441" s="2" t="inlineStr">
        <is>
          <t>Artigo 136.º-A (Construção de acessos do Montijo à Ponte Vasco da Gama)</t>
        </is>
      </c>
      <c r="M441" s="4" t="n"/>
      <c r="N441" s="4" t="n"/>
      <c r="O441" s="2" t="n"/>
      <c r="P441" s="2" t="n"/>
      <c r="Q441" s="2" t="n"/>
      <c r="R441" s="2" t="n"/>
      <c r="S441" s="2" t="inlineStr">
        <is>
          <t>Rejeitado(a) em Comissão</t>
        </is>
      </c>
      <c r="T441" s="2" t="inlineStr">
        <is>
          <t>Rejeitada</t>
        </is>
      </c>
      <c r="U441" s="2" t="inlineStr">
        <is>
          <t>Favor: CH, IL, BE; Contra: PSD, CDS-PP; Abstenção: PS, L, PCP, PAN</t>
        </is>
      </c>
      <c r="V441" s="3" t="n">
        <v>45987</v>
      </c>
      <c r="W441" s="2" t="inlineStr">
        <is>
          <t>AR: https://www.parlamento.pt/OrcamentoEstado/Paginas/DetalhePropostaAlteracao.aspx?BID=23612 PDF: https://app.parlamento.pt/webutils/docs/doc.pdf?path=6148523063484d364c793942556b356c6443397a6158526c63793959566b6c4a544556484c3039464c7a49774d6a59794d4449314d5441774f533951515338775a6a55774d7a557a5a69316d5a6a41784c5451794e6d59744f54566b4e79316c4d574d774e7a45324f5745784f4451756347526d&amp;Fich=0f50353f-ff01-426f-95d7-e1c07169a184.pdf&amp;Inline=true</t>
        </is>
      </c>
      <c r="X441" s="2" t="inlineStr">
        <is>
          <t>Infraestruturas, Mobilidade e Habitação</t>
        </is>
      </c>
      <c r="Y441" s="2" t="inlineStr">
        <is>
          <t>Articulado</t>
        </is>
      </c>
      <c r="Z441" s="2" t="inlineStr">
        <is>
          <t>Aditamento (Artigo PPL)</t>
        </is>
      </c>
      <c r="AA441" s="2" t="inlineStr">
        <is>
          <t>Rejeitado(a) em Comissão</t>
        </is>
      </c>
      <c r="AB441" s="2" t="inlineStr"/>
      <c r="AC441" s="2" t="inlineStr"/>
      <c r="AD441" s="2" t="inlineStr">
        <is>
          <t>1</t>
        </is>
      </c>
      <c r="AE441" s="2" t="inlineStr">
        <is>
          <t>23612</t>
        </is>
      </c>
      <c r="AF441" s="2" t="inlineStr">
        <is>
          <t>https://www.parlamento.pt/OrcamentoEstado/Paginas/DetalhePropostaAlteracao.aspx?BID=23612</t>
        </is>
      </c>
      <c r="AG441" s="2" t="inlineStr">
        <is>
          <t>https://app.parlamento.pt/webutils/docs/doc.pdf?path=6148523063484d364c793942556b356c6443397a6158526c63793959566b6c4a544556484c3039464c7a49774d6a59794d4449314d5441774f533951515338775a6a55774d7a557a5a69316d5a6a41784c5451794e6d59744f54566b4e79316c4d574d774e7a45324f5745784f4451756347526d&amp;Fich=0f50353f-ff01-426f-95d7-e1c07169a184.pdf&amp;Inline=true</t>
        </is>
      </c>
      <c r="AH441" s="3" t="n">
        <v>46321.77847222222</v>
      </c>
      <c r="AI441" s="3" t="n">
        <v>46321.78055555555</v>
      </c>
      <c r="AJ441" s="2" t="inlineStr"/>
    </row>
    <row r="442">
      <c r="A442" s="2" t="n">
        <v>441</v>
      </c>
      <c r="B442" s="2" t="inlineStr">
        <is>
          <t>402C</t>
        </is>
      </c>
      <c r="C442" s="3" t="n">
        <v>45965.66875</v>
      </c>
      <c r="D442" s="2" t="inlineStr">
        <is>
          <t>Original</t>
        </is>
      </c>
      <c r="E442" s="2" t="inlineStr">
        <is>
          <t>CH</t>
        </is>
      </c>
      <c r="F44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42" s="2" t="inlineStr">
        <is>
          <t>Art. 136.º-A (aditamento)</t>
        </is>
      </c>
      <c r="H442" s="2" t="n"/>
      <c r="I442" s="2" t="n"/>
      <c r="J442" s="2" t="n"/>
      <c r="K442" s="2" t="n"/>
      <c r="L442" s="2" t="inlineStr">
        <is>
          <t>Artigo 136.º-A (Construção do Novo Hospital da Região do Oeste)</t>
        </is>
      </c>
      <c r="M442" s="4" t="n"/>
      <c r="N442" s="4" t="n"/>
      <c r="O442" s="2" t="n"/>
      <c r="P442" s="2" t="n"/>
      <c r="Q442" s="2" t="n"/>
      <c r="R442" s="2" t="n"/>
      <c r="S442" s="2" t="inlineStr">
        <is>
          <t>Rejeitado(a) em Comissão</t>
        </is>
      </c>
      <c r="T442" s="2" t="inlineStr">
        <is>
          <t>Rejeitada</t>
        </is>
      </c>
      <c r="U442" s="2" t="inlineStr">
        <is>
          <t>Favor: CH, IL, BE, PAN; Contra: PSD, CDS-PP; Abstenção: PS, L, PCP</t>
        </is>
      </c>
      <c r="V442" s="3" t="n">
        <v>45987</v>
      </c>
      <c r="W442" s="2" t="inlineStr">
        <is>
          <t>AR: https://www.parlamento.pt/OrcamentoEstado/Paginas/DetalhePropostaAlteracao.aspx?BID=23613 PDF: https://app.parlamento.pt/webutils/docs/doc.pdf?path=6148523063484d364c793942556b356c6443397a6158526c63793959566b6c4a544556484c3039464c7a49774d6a59794d4449314d5441774f53395151533878597a686a593256695953316b597a46694c54526d4f5459744f546c6c4e79307a596a426a596d49344d5463335a4745756347526d&amp;Fich=1c8cceba-dc1b-4f96-99e7-3b0cbb8177da.pdf&amp;Inline=true</t>
        </is>
      </c>
      <c r="X442" s="2" t="inlineStr">
        <is>
          <t>Infraestruturas, Mobilidade e Habitação; Saúde</t>
        </is>
      </c>
      <c r="Y442" s="2" t="inlineStr">
        <is>
          <t>Articulado</t>
        </is>
      </c>
      <c r="Z442" s="2" t="inlineStr">
        <is>
          <t>Aditamento (Artigo PPL)</t>
        </is>
      </c>
      <c r="AA442" s="2" t="inlineStr">
        <is>
          <t>Rejeitado(a) em Comissão</t>
        </is>
      </c>
      <c r="AB442" s="2" t="inlineStr"/>
      <c r="AC442" s="2" t="inlineStr"/>
      <c r="AD442" s="2" t="inlineStr">
        <is>
          <t>1</t>
        </is>
      </c>
      <c r="AE442" s="2" t="inlineStr">
        <is>
          <t>23613</t>
        </is>
      </c>
      <c r="AF442" s="2" t="inlineStr">
        <is>
          <t>https://www.parlamento.pt/OrcamentoEstado/Paginas/DetalhePropostaAlteracao.aspx?BID=23613</t>
        </is>
      </c>
      <c r="AG442" s="2" t="inlineStr">
        <is>
          <t>https://app.parlamento.pt/webutils/docs/doc.pdf?path=6148523063484d364c793942556b356c6443397a6158526c63793959566b6c4a544556484c3039464c7a49774d6a59794d4449314d5441774f53395151533878597a686a593256695953316b597a46694c54526d4f5459744f546c6c4e79307a596a426a596d49344d5463335a4745756347526d&amp;Fich=1c8cceba-dc1b-4f96-99e7-3b0cbb8177da.pdf&amp;Inline=true</t>
        </is>
      </c>
      <c r="AH442" s="3" t="n">
        <v>46321.77847222222</v>
      </c>
      <c r="AI442" s="3" t="n">
        <v>46321.78055555555</v>
      </c>
      <c r="AJ442" s="2" t="inlineStr"/>
    </row>
    <row r="443">
      <c r="A443" s="2" t="n">
        <v>442</v>
      </c>
      <c r="B443" s="2" t="inlineStr">
        <is>
          <t>403C</t>
        </is>
      </c>
      <c r="C443" s="3" t="n">
        <v>45965.66875</v>
      </c>
      <c r="D443" s="2" t="inlineStr">
        <is>
          <t>Original</t>
        </is>
      </c>
      <c r="E443" s="2" t="inlineStr">
        <is>
          <t>IL</t>
        </is>
      </c>
      <c r="F443" s="2" t="inlineStr">
        <is>
          <t>Angélique Da Teresa; Carlos Guimarães Pinto; Joana Cordeiro; Jorge Miguel Teixeira; Mariana Leitão; Mário Amorim Lopes; Miguel Rangel; Rodrigo Saraiva; Rui Rocha</t>
        </is>
      </c>
      <c r="G443" s="2" t="inlineStr">
        <is>
          <t>Art. 60.º (substituição)</t>
        </is>
      </c>
      <c r="H443" s="2" t="n"/>
      <c r="I443" s="2" t="n"/>
      <c r="J443" s="2" t="n"/>
      <c r="K443" s="2" t="n"/>
      <c r="L443" s="2" t="inlineStr">
        <is>
          <t>N.º 8, Artigo 78.º-F do Código do IRS</t>
        </is>
      </c>
      <c r="M443" s="4" t="n"/>
      <c r="N443" s="4" t="n"/>
      <c r="O443" s="2" t="n"/>
      <c r="P443" s="2" t="n"/>
      <c r="Q443" s="2" t="n"/>
      <c r="R443" s="2" t="n"/>
      <c r="S443" s="2" t="inlineStr">
        <is>
          <t>Rejeitado(a) em Comissão</t>
        </is>
      </c>
      <c r="T443" s="2" t="inlineStr">
        <is>
          <t>Rejeitada</t>
        </is>
      </c>
      <c r="U443" s="2" t="inlineStr">
        <is>
          <t>Favor: CH, IL, L, PAN; Contra: PSD, PCP, CDS-PP; Abstenção: PS, BE</t>
        </is>
      </c>
      <c r="V443" s="3" t="n">
        <v>45981</v>
      </c>
      <c r="W443" s="2" t="inlineStr">
        <is>
          <t>AR: https://www.parlamento.pt/OrcamentoEstado/Paginas/DetalhePropostaAlteracao.aspx?BID=23614 PDF: https://app.parlamento.pt/webutils/docs/doc.pdf?path=6148523063484d364c793942556b356c6443397a6158526c63793959566b6c4a544556484c3039464c7a49774d6a59794d4449314d5441774f533951515338344d5442694f44526a4e7931685a444e6d4c5451344e544d74596a45785a6930794d44686d4e324d31597a4d774e7a4d756347526d&amp;Fich=810b84c7-ad3f-4853-b11f-208f7c5c3073.pdf&amp;Inline=true</t>
        </is>
      </c>
      <c r="X443" s="2" t="inlineStr">
        <is>
          <t>Cultura, Comunicação, Juventude e Desporto; Orçamento, Finanças e Administração Pública; Saúde</t>
        </is>
      </c>
      <c r="Y443" s="2" t="inlineStr">
        <is>
          <t>Articulado</t>
        </is>
      </c>
      <c r="Z443" s="2" t="inlineStr">
        <is>
          <t>Substituição</t>
        </is>
      </c>
      <c r="AA443" s="2" t="inlineStr">
        <is>
          <t>Rejeitado(a) em Comissão</t>
        </is>
      </c>
      <c r="AB443" s="2" t="inlineStr"/>
      <c r="AC443" s="2" t="inlineStr"/>
      <c r="AD443" s="2" t="inlineStr">
        <is>
          <t>1</t>
        </is>
      </c>
      <c r="AE443" s="2" t="inlineStr">
        <is>
          <t>23614</t>
        </is>
      </c>
      <c r="AF443" s="2" t="inlineStr">
        <is>
          <t>https://www.parlamento.pt/OrcamentoEstado/Paginas/DetalhePropostaAlteracao.aspx?BID=23614</t>
        </is>
      </c>
      <c r="AG443" s="2" t="inlineStr">
        <is>
          <t>https://app.parlamento.pt/webutils/docs/doc.pdf?path=6148523063484d364c793942556b356c6443397a6158526c63793959566b6c4a544556484c3039464c7a49774d6a59794d4449314d5441774f533951515338344d5442694f44526a4e7931685a444e6d4c5451344e544d74596a45785a6930794d44686d4e324d31597a4d774e7a4d756347526d&amp;Fich=810b84c7-ad3f-4853-b11f-208f7c5c3073.pdf&amp;Inline=true</t>
        </is>
      </c>
      <c r="AH443" s="3" t="n">
        <v>46321.77847222222</v>
      </c>
      <c r="AI443" s="3" t="n">
        <v>46321.78055555555</v>
      </c>
      <c r="AJ443" s="2" t="inlineStr"/>
    </row>
    <row r="444">
      <c r="A444" s="2" t="n">
        <v>443</v>
      </c>
      <c r="B444" s="2" t="inlineStr">
        <is>
          <t>404C</t>
        </is>
      </c>
      <c r="C444" s="3" t="n">
        <v>45965.67013888889</v>
      </c>
      <c r="D444" s="2" t="inlineStr">
        <is>
          <t>Original</t>
        </is>
      </c>
      <c r="E444" s="2" t="inlineStr">
        <is>
          <t>CH</t>
        </is>
      </c>
      <c r="F44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44" s="2" t="inlineStr">
        <is>
          <t>Art. 136.º-A (aditamento)</t>
        </is>
      </c>
      <c r="H444" s="2" t="n"/>
      <c r="I444" s="2" t="n"/>
      <c r="J444" s="2" t="n"/>
      <c r="K444" s="2" t="n"/>
      <c r="L444" s="2" t="inlineStr">
        <is>
          <t>Artigo 136.º-A (Criação de Indicadores com Incentivos para as Unidades de Cuidados na Comunidade (UCC))</t>
        </is>
      </c>
      <c r="M444" s="4" t="n"/>
      <c r="N444" s="4" t="n"/>
      <c r="O444" s="2" t="n"/>
      <c r="P444" s="2" t="n"/>
      <c r="Q444" s="2" t="n"/>
      <c r="R444" s="2" t="n"/>
      <c r="S444" s="2" t="inlineStr">
        <is>
          <t>Rejeitado(a) em Comissão</t>
        </is>
      </c>
      <c r="T444" s="2" t="inlineStr">
        <is>
          <t>Rejeitada</t>
        </is>
      </c>
      <c r="U444" s="2" t="inlineStr">
        <is>
          <t>Favor: CH, IL, BE, PAN; Contra: PSD, PCP, CDS-PP; Abstenção: PS, L</t>
        </is>
      </c>
      <c r="V444" s="3" t="n">
        <v>45987</v>
      </c>
      <c r="W444" s="2" t="inlineStr">
        <is>
          <t>AR: https://www.parlamento.pt/OrcamentoEstado/Paginas/DetalhePropostaAlteracao.aspx?BID=23615 PDF: https://app.parlamento.pt/webutils/docs/doc.pdf?path=6148523063484d364c793942556b356c6443397a6158526c63793959566b6c4a544556484c3039464c7a49774d6a59794d4449314d5441774f53395151533831597a68695a6a56684d7930345957466d4c54526a5a6a5174596a59355953316b596a41344f4755324d5745795a4449756347526d&amp;Fich=5c8bf5a3-8aaf-4cf4-b69a-db088e61a2d2.pdf&amp;Inline=true</t>
        </is>
      </c>
      <c r="X444" s="2" t="inlineStr">
        <is>
          <t>Saúde</t>
        </is>
      </c>
      <c r="Y444" s="2" t="inlineStr">
        <is>
          <t>Articulado</t>
        </is>
      </c>
      <c r="Z444" s="2" t="inlineStr">
        <is>
          <t>Aditamento (Artigo PPL)</t>
        </is>
      </c>
      <c r="AA444" s="2" t="inlineStr">
        <is>
          <t>Rejeitado(a) em Comissão</t>
        </is>
      </c>
      <c r="AB444" s="2" t="inlineStr"/>
      <c r="AC444" s="2" t="inlineStr"/>
      <c r="AD444" s="2" t="inlineStr">
        <is>
          <t>1</t>
        </is>
      </c>
      <c r="AE444" s="2" t="inlineStr">
        <is>
          <t>23615</t>
        </is>
      </c>
      <c r="AF444" s="2" t="inlineStr">
        <is>
          <t>https://www.parlamento.pt/OrcamentoEstado/Paginas/DetalhePropostaAlteracao.aspx?BID=23615</t>
        </is>
      </c>
      <c r="AG444" s="2" t="inlineStr">
        <is>
          <t>https://app.parlamento.pt/webutils/docs/doc.pdf?path=6148523063484d364c793942556b356c6443397a6158526c63793959566b6c4a544556484c3039464c7a49774d6a59794d4449314d5441774f53395151533831597a68695a6a56684d7930345957466d4c54526a5a6a5174596a59355953316b596a41344f4755324d5745795a4449756347526d&amp;Fich=5c8bf5a3-8aaf-4cf4-b69a-db088e61a2d2.pdf&amp;Inline=true</t>
        </is>
      </c>
      <c r="AH444" s="3" t="n">
        <v>46321.77847222222</v>
      </c>
      <c r="AI444" s="3" t="n">
        <v>46321.78055555555</v>
      </c>
      <c r="AJ444" s="2" t="inlineStr"/>
    </row>
    <row r="445">
      <c r="A445" s="2" t="n">
        <v>444</v>
      </c>
      <c r="B445" s="2" t="inlineStr">
        <is>
          <t>405C</t>
        </is>
      </c>
      <c r="C445" s="3" t="n">
        <v>45965.67013888889</v>
      </c>
      <c r="D445" s="2" t="inlineStr">
        <is>
          <t>Original</t>
        </is>
      </c>
      <c r="E445" s="2" t="inlineStr">
        <is>
          <t>L</t>
        </is>
      </c>
      <c r="F445" s="2" t="inlineStr">
        <is>
          <t>Filipa Pinto; Isabel Mendes Lopes; Jorge Pinto; Patrícia Gonçalves; Paulo Muacho; Rui Tavares</t>
        </is>
      </c>
      <c r="G445" s="2" t="inlineStr">
        <is>
          <t>Art. 7.º (aditamento)</t>
        </is>
      </c>
      <c r="H445" s="2" t="n"/>
      <c r="I445" s="2" t="n"/>
      <c r="J445" s="2" t="n"/>
      <c r="K445" s="2" t="n"/>
      <c r="L445" s="2" t="inlineStr">
        <is>
          <t>Nova Verba 105, Mapa de alterações e transferências orçamentais, Artigo 7.º</t>
        </is>
      </c>
      <c r="M445" s="4" t="n"/>
      <c r="N445" s="4" t="n"/>
      <c r="O445" s="2" t="n"/>
      <c r="P445" s="2" t="n"/>
      <c r="Q445" s="2" t="n"/>
      <c r="R445" s="2" t="n"/>
      <c r="S445" s="2" t="inlineStr">
        <is>
          <t>Rejeitado(a) em Comissão</t>
        </is>
      </c>
      <c r="T445" s="2" t="inlineStr">
        <is>
          <t>Rejeitada</t>
        </is>
      </c>
      <c r="U445" s="2" t="inlineStr">
        <is>
          <t>Favor: L, PCP, BE, PAN; Contra: PSD, CH, IL, CDS-PP; Abstenção: PS</t>
        </is>
      </c>
      <c r="V445" s="3" t="n">
        <v>45987</v>
      </c>
      <c r="W445" s="2" t="inlineStr">
        <is>
          <t>AR: https://www.parlamento.pt/OrcamentoEstado/Paginas/DetalhePropostaAlteracao.aspx?BID=23616 PDF: https://app.parlamento.pt/webutils/docs/doc.pdf?path=6148523063484d364c793942556b356c6443397a6158526c63793959566b6c4a544556484c3039464c7a49774d6a59794d4449314d5441774f533951515338305a5751344e475933596930795a57566a4c545269597a6b744f5755794e793032596d526b595756684e5751774e6a6b756347526d&amp;Fich=4ed84f7b-2eec-4bc9-9e27-6bddaea5d069.pdf&amp;Inline=true</t>
        </is>
      </c>
      <c r="X445" s="2" t="inlineStr">
        <is>
          <t>Ambiente e Energia</t>
        </is>
      </c>
      <c r="Y445" s="2" t="inlineStr">
        <is>
          <t>Mapas</t>
        </is>
      </c>
      <c r="Z445" s="2" t="inlineStr">
        <is>
          <t>Aditamento (Números e Alíneas)</t>
        </is>
      </c>
      <c r="AA445" s="2" t="inlineStr">
        <is>
          <t>Rejeitado(a) em Comissão</t>
        </is>
      </c>
      <c r="AB445" s="2" t="inlineStr"/>
      <c r="AC445" s="2" t="inlineStr"/>
      <c r="AD445" s="2" t="inlineStr">
        <is>
          <t>1</t>
        </is>
      </c>
      <c r="AE445" s="2" t="inlineStr">
        <is>
          <t>23616</t>
        </is>
      </c>
      <c r="AF445" s="2" t="inlineStr">
        <is>
          <t>https://www.parlamento.pt/OrcamentoEstado/Paginas/DetalhePropostaAlteracao.aspx?BID=23616</t>
        </is>
      </c>
      <c r="AG445" s="2" t="inlineStr">
        <is>
          <t>https://app.parlamento.pt/webutils/docs/doc.pdf?path=6148523063484d364c793942556b356c6443397a6158526c63793959566b6c4a544556484c3039464c7a49774d6a59794d4449314d5441774f533951515338305a5751344e475933596930795a57566a4c545269597a6b744f5755794e793032596d526b595756684e5751774e6a6b756347526d&amp;Fich=4ed84f7b-2eec-4bc9-9e27-6bddaea5d069.pdf&amp;Inline=true</t>
        </is>
      </c>
      <c r="AH445" s="3" t="n">
        <v>46321.77847222222</v>
      </c>
      <c r="AI445" s="3" t="n">
        <v>46321.78055555555</v>
      </c>
      <c r="AJ445" s="2" t="inlineStr"/>
    </row>
    <row r="446">
      <c r="A446" s="2" t="n">
        <v>445</v>
      </c>
      <c r="B446" s="2" t="inlineStr">
        <is>
          <t>406C</t>
        </is>
      </c>
      <c r="C446" s="3" t="n">
        <v>45965.67569444444</v>
      </c>
      <c r="D446" s="2" t="inlineStr">
        <is>
          <t>Original</t>
        </is>
      </c>
      <c r="E446" s="2" t="inlineStr">
        <is>
          <t>L</t>
        </is>
      </c>
      <c r="F446" s="2" t="inlineStr">
        <is>
          <t>Filipa Pinto; Isabel Mendes Lopes; Jorge Pinto; Patrícia Gonçalves; Paulo Muacho; Rui Tavares</t>
        </is>
      </c>
      <c r="G446" s="2" t="inlineStr">
        <is>
          <t>Art. 63.º-A (aditamento)</t>
        </is>
      </c>
      <c r="H446" s="2" t="n"/>
      <c r="I446" s="2" t="n"/>
      <c r="J446" s="2" t="n"/>
      <c r="K446" s="2" t="n"/>
      <c r="L446" s="2" t="inlineStr">
        <is>
          <t>Artigo 63.º-A (Aditamento ao Código do Imposto sobre o Valor Acrescentado)</t>
        </is>
      </c>
      <c r="M446" s="4" t="n"/>
      <c r="N446" s="4" t="n"/>
      <c r="O446" s="2" t="n"/>
      <c r="P446" s="2" t="n"/>
      <c r="Q446" s="2" t="n"/>
      <c r="R446" s="2" t="n"/>
      <c r="S446" s="2" t="inlineStr">
        <is>
          <t>Rejeitado(a) em Comissão</t>
        </is>
      </c>
      <c r="T446" s="2" t="inlineStr">
        <is>
          <t>Rejeitada</t>
        </is>
      </c>
      <c r="U446" s="2" t="inlineStr">
        <is>
          <t>Favor: L, BE, PAN; Contra: PSD, IL, PCP, CDS-PP; Abstenção: CH, PS</t>
        </is>
      </c>
      <c r="V446" s="3" t="n">
        <v>45982</v>
      </c>
      <c r="W446" s="2" t="inlineStr">
        <is>
          <t>AR: https://www.parlamento.pt/OrcamentoEstado/Paginas/DetalhePropostaAlteracao.aspx?BID=23617 PDF: https://app.parlamento.pt/webutils/docs/doc.pdf?path=6148523063484d364c793942556b356c6443397a6158526c63793959566b6c4a544556484c3039464c7a49774d6a59794d4449314d5441774f533951515338774f446b304e6a4a6b5a53307a4f5463784c54526d4e446374596a646d4e43316d595752694e6d566d597a67324d474d756347526d&amp;Fich=089462de-3971-4f47-b7f4-fadb6efc860c.pdf&amp;Inline=true</t>
        </is>
      </c>
      <c r="X446" s="2" t="inlineStr">
        <is>
          <t>Orçamento, Finanças e Administração Pública</t>
        </is>
      </c>
      <c r="Y446" s="2" t="inlineStr">
        <is>
          <t>Articulado</t>
        </is>
      </c>
      <c r="Z446" s="2" t="inlineStr">
        <is>
          <t>Aditamento (Artigo PPL)</t>
        </is>
      </c>
      <c r="AA446" s="2" t="inlineStr">
        <is>
          <t>Rejeitado(a) em Comissão</t>
        </is>
      </c>
      <c r="AB446" s="2" t="inlineStr"/>
      <c r="AC446" s="2" t="inlineStr"/>
      <c r="AD446" s="2" t="inlineStr">
        <is>
          <t>1</t>
        </is>
      </c>
      <c r="AE446" s="2" t="inlineStr">
        <is>
          <t>23617</t>
        </is>
      </c>
      <c r="AF446" s="2" t="inlineStr">
        <is>
          <t>https://www.parlamento.pt/OrcamentoEstado/Paginas/DetalhePropostaAlteracao.aspx?BID=23617</t>
        </is>
      </c>
      <c r="AG446" s="2" t="inlineStr">
        <is>
          <t>https://app.parlamento.pt/webutils/docs/doc.pdf?path=6148523063484d364c793942556b356c6443397a6158526c63793959566b6c4a544556484c3039464c7a49774d6a59794d4449314d5441774f533951515338774f446b304e6a4a6b5a53307a4f5463784c54526d4e446374596a646d4e43316d595752694e6d566d597a67324d474d756347526d&amp;Fich=089462de-3971-4f47-b7f4-fadb6efc860c.pdf&amp;Inline=true</t>
        </is>
      </c>
      <c r="AH446" s="3" t="n">
        <v>46321.77847222222</v>
      </c>
      <c r="AI446" s="3" t="n">
        <v>46321.78055555555</v>
      </c>
      <c r="AJ446" s="2" t="inlineStr"/>
    </row>
    <row r="447">
      <c r="A447" s="2" t="n">
        <v>446</v>
      </c>
      <c r="B447" s="2" t="inlineStr">
        <is>
          <t>407C</t>
        </is>
      </c>
      <c r="C447" s="3" t="n">
        <v>45965.68402777778</v>
      </c>
      <c r="D447" s="2" t="inlineStr">
        <is>
          <t>Original</t>
        </is>
      </c>
      <c r="E447" s="2" t="inlineStr">
        <is>
          <t>L</t>
        </is>
      </c>
      <c r="F447" s="2" t="inlineStr">
        <is>
          <t>Filipa Pinto; Isabel Mendes Lopes; Jorge Pinto; Patrícia Gonçalves; Paulo Muacho; Rui Tavares</t>
        </is>
      </c>
      <c r="G447" s="2" t="inlineStr">
        <is>
          <t>Art. 126.º-A (aditamento)</t>
        </is>
      </c>
      <c r="H447" s="2" t="n"/>
      <c r="I447" s="2" t="n"/>
      <c r="J447" s="2" t="n"/>
      <c r="K447" s="2" t="n"/>
      <c r="L447" s="2" t="inlineStr">
        <is>
          <t>Artigo 126.º-A (Sistema fixo de transposição sedimentar da Barra da Figueira da Foz)</t>
        </is>
      </c>
      <c r="M447" s="4" t="n"/>
      <c r="N447" s="4" t="n"/>
      <c r="O447" s="2" t="n"/>
      <c r="P447" s="2" t="n"/>
      <c r="Q447" s="2" t="n"/>
      <c r="R447" s="2" t="n"/>
      <c r="S447" s="2" t="inlineStr">
        <is>
          <t>Aprovado(a) por Unanimidade em Comissão</t>
        </is>
      </c>
      <c r="T447" s="2" t="inlineStr">
        <is>
          <t>Aprovada</t>
        </is>
      </c>
      <c r="U447" s="2" t="inlineStr">
        <is>
          <t>Favor: PSD, CH, PS, IL, L, PCP, CDS-PP, BE, PAN</t>
        </is>
      </c>
      <c r="V447" s="3" t="n">
        <v>45985</v>
      </c>
      <c r="W447" s="2" t="inlineStr">
        <is>
          <t>AR: https://www.parlamento.pt/OrcamentoEstado/Paginas/DetalhePropostaAlteracao.aspx?BID=23618 PDF: https://app.parlamento.pt/webutils/docs/doc.pdf?path=6148523063484d364c793942556b356c6443397a6158526c63793959566b6c4a544556484c3039464c7a49774d6a59794d4449314d5441774f533951515338344d5749334d4463324e6931684f47526d4c54517a597a63744f5452694d4330315a5755354f475a69595449354f4749756347526d&amp;Fich=81b70766-a8df-43c7-94b0-5ee98fba298b.pdf&amp;Inline=true</t>
        </is>
      </c>
      <c r="X447" s="2" t="inlineStr">
        <is>
          <t>Ambiente e Energia</t>
        </is>
      </c>
      <c r="Y447" s="2" t="inlineStr">
        <is>
          <t>Articulado</t>
        </is>
      </c>
      <c r="Z447" s="2" t="inlineStr">
        <is>
          <t>Aditamento (Artigo PPL)</t>
        </is>
      </c>
      <c r="AA447" s="2" t="inlineStr">
        <is>
          <t>Aprovado(a) por Unanimidade em Comissão</t>
        </is>
      </c>
      <c r="AB447" s="2" t="inlineStr"/>
      <c r="AC447" s="2" t="inlineStr"/>
      <c r="AD447" s="2" t="inlineStr">
        <is>
          <t>1</t>
        </is>
      </c>
      <c r="AE447" s="2" t="inlineStr">
        <is>
          <t>23618</t>
        </is>
      </c>
      <c r="AF447" s="2" t="inlineStr">
        <is>
          <t>https://www.parlamento.pt/OrcamentoEstado/Paginas/DetalhePropostaAlteracao.aspx?BID=23618</t>
        </is>
      </c>
      <c r="AG447" s="2" t="inlineStr">
        <is>
          <t>https://app.parlamento.pt/webutils/docs/doc.pdf?path=6148523063484d364c793942556b356c6443397a6158526c63793959566b6c4a544556484c3039464c7a49774d6a59794d4449314d5441774f533951515338344d5749334d4463324e6931684f47526d4c54517a597a63744f5452694d4330315a5755354f475a69595449354f4749756347526d&amp;Fich=81b70766-a8df-43c7-94b0-5ee98fba298b.pdf&amp;Inline=true</t>
        </is>
      </c>
      <c r="AH447" s="3" t="n">
        <v>46321.77847222222</v>
      </c>
      <c r="AI447" s="3" t="n">
        <v>46321.78055555555</v>
      </c>
      <c r="AJ447" s="2" t="inlineStr"/>
    </row>
    <row r="448">
      <c r="A448" s="2" t="n">
        <v>447</v>
      </c>
      <c r="B448" s="2" t="inlineStr">
        <is>
          <t>408C</t>
        </is>
      </c>
      <c r="C448" s="3" t="n">
        <v>45965.68680555555</v>
      </c>
      <c r="D448" s="2" t="inlineStr">
        <is>
          <t>Original</t>
        </is>
      </c>
      <c r="E448" s="2" t="inlineStr">
        <is>
          <t>L</t>
        </is>
      </c>
      <c r="F448" s="2" t="inlineStr">
        <is>
          <t>Filipa Pinto; Isabel Mendes Lopes; Jorge Pinto; Patrícia Gonçalves; Paulo Muacho; Rui Tavares</t>
        </is>
      </c>
      <c r="G448" s="2" t="inlineStr">
        <is>
          <t>Art. 63.º-A (aditamento)</t>
        </is>
      </c>
      <c r="H448" s="2" t="n"/>
      <c r="I448" s="2" t="n"/>
      <c r="J448" s="2" t="n"/>
      <c r="K448" s="2" t="n"/>
      <c r="L448" s="2" t="inlineStr">
        <is>
          <t>Artigo 63.º-A (Alteração ao Código do Imposto sobre o Valor Acrescentado)</t>
        </is>
      </c>
      <c r="M448" s="4" t="n"/>
      <c r="N448" s="4" t="n"/>
      <c r="O448" s="2" t="n"/>
      <c r="P448" s="2" t="n"/>
      <c r="Q448" s="2" t="n"/>
      <c r="R448" s="2" t="n"/>
      <c r="S448" s="2" t="inlineStr">
        <is>
          <t>Rejeitado(a) em Comissão</t>
        </is>
      </c>
      <c r="T448" s="2" t="inlineStr">
        <is>
          <t>Rejeitada</t>
        </is>
      </c>
      <c r="U448" s="2" t="inlineStr">
        <is>
          <t>Favor: L, PAN; Contra: PSD, PCP, CDS-PP; Abstenção: CH, PS, IL, BE</t>
        </is>
      </c>
      <c r="V448" s="3" t="n">
        <v>45982</v>
      </c>
      <c r="W448" s="2" t="inlineStr">
        <is>
          <t>AR: https://www.parlamento.pt/OrcamentoEstado/Paginas/DetalhePropostaAlteracao.aspx?BID=23619 PDF: https://app.parlamento.pt/webutils/docs/doc.pdf?path=6148523063484d364c793942556b356c6443397a6158526c63793959566b6c4a544556484c3039464c7a49774d6a59794d4449314d5441774f5339515153396d4f544e685a444e695979316c4e5459784c54526b5a444174596d4d304d4330354d5468684d444578596a49324f5749756347526d&amp;Fich=f93ad3bc-e561-4dd0-bc40-918a011b269b.pdf&amp;Inline=true</t>
        </is>
      </c>
      <c r="X448" s="2" t="inlineStr">
        <is>
          <t>Ambiente e Energia; Orçamento, Finanças e Administração Pública</t>
        </is>
      </c>
      <c r="Y448" s="2" t="inlineStr">
        <is>
          <t>Articulado</t>
        </is>
      </c>
      <c r="Z448" s="2" t="inlineStr">
        <is>
          <t>Aditamento (Artigo PPL)</t>
        </is>
      </c>
      <c r="AA448" s="2" t="inlineStr">
        <is>
          <t>Rejeitado(a) em Comissão</t>
        </is>
      </c>
      <c r="AB448" s="2" t="inlineStr"/>
      <c r="AC448" s="2" t="inlineStr"/>
      <c r="AD448" s="2" t="inlineStr">
        <is>
          <t>1</t>
        </is>
      </c>
      <c r="AE448" s="2" t="inlineStr">
        <is>
          <t>23619</t>
        </is>
      </c>
      <c r="AF448" s="2" t="inlineStr">
        <is>
          <t>https://www.parlamento.pt/OrcamentoEstado/Paginas/DetalhePropostaAlteracao.aspx?BID=23619</t>
        </is>
      </c>
      <c r="AG448" s="2" t="inlineStr">
        <is>
          <t>https://app.parlamento.pt/webutils/docs/doc.pdf?path=6148523063484d364c793942556b356c6443397a6158526c63793959566b6c4a544556484c3039464c7a49774d6a59794d4449314d5441774f5339515153396d4f544e685a444e695979316c4e5459784c54526b5a444174596d4d304d4330354d5468684d444578596a49324f5749756347526d&amp;Fich=f93ad3bc-e561-4dd0-bc40-918a011b269b.pdf&amp;Inline=true</t>
        </is>
      </c>
      <c r="AH448" s="3" t="n">
        <v>46321.77847222222</v>
      </c>
      <c r="AI448" s="3" t="n">
        <v>46321.78055555555</v>
      </c>
      <c r="AJ448" s="2" t="inlineStr"/>
    </row>
    <row r="449">
      <c r="A449" s="2" t="n">
        <v>448</v>
      </c>
      <c r="B449" s="2" t="inlineStr">
        <is>
          <t>409C</t>
        </is>
      </c>
      <c r="C449" s="3" t="n">
        <v>45965.68819444445</v>
      </c>
      <c r="D449" s="2" t="inlineStr">
        <is>
          <t>Original</t>
        </is>
      </c>
      <c r="E449" s="2" t="inlineStr">
        <is>
          <t>CH</t>
        </is>
      </c>
      <c r="F44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49" s="2" t="inlineStr">
        <is>
          <t>Art. 136.º-A (aditamento)</t>
        </is>
      </c>
      <c r="H449" s="2" t="n"/>
      <c r="I449" s="2" t="n"/>
      <c r="J449" s="2" t="n"/>
      <c r="K449" s="2" t="n"/>
      <c r="L449" s="2" t="inlineStr">
        <is>
          <t>Artigo 136.º-A (Criação do Programa Nacional de Rastreio do Cancro Oral)</t>
        </is>
      </c>
      <c r="M449" s="4" t="n"/>
      <c r="N449" s="4" t="n"/>
      <c r="O449" s="2" t="n"/>
      <c r="P449" s="2" t="n"/>
      <c r="Q449" s="2" t="n"/>
      <c r="R449" s="2" t="n"/>
      <c r="S449" s="2" t="inlineStr">
        <is>
          <t>Rejeitado(a) em Comissão</t>
        </is>
      </c>
      <c r="T449" s="2" t="inlineStr">
        <is>
          <t>Rejeitada</t>
        </is>
      </c>
      <c r="U449" s="2" t="inlineStr">
        <is>
          <t>Favor: CH, BE, PAN; Contra: PSD, IL, CDS-PP; Abstenção: PS, L, PCP</t>
        </is>
      </c>
      <c r="V449" s="3" t="n">
        <v>45987</v>
      </c>
      <c r="W449" s="2" t="inlineStr">
        <is>
          <t>AR: https://www.parlamento.pt/OrcamentoEstado/Paginas/DetalhePropostaAlteracao.aspx?BID=23620 PDF: https://app.parlamento.pt/webutils/docs/doc.pdf?path=6148523063484d364c793942556b356c6443397a6158526c63793959566b6c4a544556484c3039464c7a49774d6a59794d4449314d5441774f5339515153396a4f574a685a6d45334e7930324f5446694c5451774e7a6b744f5751324e53316c4d6a4a6a597a67345a4759774e6a49756347526d&amp;Fich=c9bafa77-691b-4079-9d65-e22cc88df062.pdf&amp;Inline=true</t>
        </is>
      </c>
      <c r="X449" s="2" t="inlineStr">
        <is>
          <t>Saúde</t>
        </is>
      </c>
      <c r="Y449" s="2" t="inlineStr">
        <is>
          <t>Articulado</t>
        </is>
      </c>
      <c r="Z449" s="2" t="inlineStr">
        <is>
          <t>Aditamento (Artigo PPL)</t>
        </is>
      </c>
      <c r="AA449" s="2" t="inlineStr">
        <is>
          <t>Rejeitado(a) em Comissão</t>
        </is>
      </c>
      <c r="AB449" s="2" t="inlineStr"/>
      <c r="AC449" s="2" t="inlineStr"/>
      <c r="AD449" s="2" t="inlineStr">
        <is>
          <t>1</t>
        </is>
      </c>
      <c r="AE449" s="2" t="inlineStr">
        <is>
          <t>23620</t>
        </is>
      </c>
      <c r="AF449" s="2" t="inlineStr">
        <is>
          <t>https://www.parlamento.pt/OrcamentoEstado/Paginas/DetalhePropostaAlteracao.aspx?BID=23620</t>
        </is>
      </c>
      <c r="AG449" s="2" t="inlineStr">
        <is>
          <t>https://app.parlamento.pt/webutils/docs/doc.pdf?path=6148523063484d364c793942556b356c6443397a6158526c63793959566b6c4a544556484c3039464c7a49774d6a59794d4449314d5441774f5339515153396a4f574a685a6d45334e7930324f5446694c5451774e7a6b744f5751324e53316c4d6a4a6a597a67345a4759774e6a49756347526d&amp;Fich=c9bafa77-691b-4079-9d65-e22cc88df062.pdf&amp;Inline=true</t>
        </is>
      </c>
      <c r="AH449" s="3" t="n">
        <v>46321.77847222222</v>
      </c>
      <c r="AI449" s="3" t="n">
        <v>46321.78055555555</v>
      </c>
      <c r="AJ449" s="2" t="inlineStr"/>
    </row>
    <row r="450">
      <c r="A450" s="2" t="n">
        <v>449</v>
      </c>
      <c r="B450" s="2" t="inlineStr">
        <is>
          <t>410C</t>
        </is>
      </c>
      <c r="C450" s="3" t="n">
        <v>45965.69513888889</v>
      </c>
      <c r="D450" s="2" t="inlineStr">
        <is>
          <t>Original</t>
        </is>
      </c>
      <c r="E450" s="2" t="inlineStr">
        <is>
          <t>CH</t>
        </is>
      </c>
      <c r="F45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50" s="2" t="inlineStr">
        <is>
          <t>Art. 136.º-A (aditamento)</t>
        </is>
      </c>
      <c r="H450" s="2" t="n"/>
      <c r="I450" s="2" t="n"/>
      <c r="J450" s="2" t="n"/>
      <c r="K450" s="2" t="n"/>
      <c r="L450" s="2" t="inlineStr">
        <is>
          <t>Artigo 136.º-A (Acompanhamento de adultos dependentes nas urgências do SNS)</t>
        </is>
      </c>
      <c r="M450" s="4" t="n"/>
      <c r="N450" s="4" t="n"/>
      <c r="O450" s="2" t="n"/>
      <c r="P450" s="2" t="n"/>
      <c r="Q450" s="2" t="n"/>
      <c r="R450" s="2" t="n"/>
      <c r="S450" s="2" t="inlineStr">
        <is>
          <t>Rejeitado(a) em Comissão</t>
        </is>
      </c>
      <c r="T450" s="2" t="inlineStr">
        <is>
          <t>Rejeitada</t>
        </is>
      </c>
      <c r="U450" s="2" t="inlineStr">
        <is>
          <t>Favor: CH, BE, PAN; Contra: PSD, IL, CDS-PP; Abstenção: PS, L, PCP</t>
        </is>
      </c>
      <c r="V450" s="3" t="n">
        <v>45987</v>
      </c>
      <c r="W450" s="2" t="inlineStr">
        <is>
          <t>AR: https://www.parlamento.pt/OrcamentoEstado/Paginas/DetalhePropostaAlteracao.aspx?BID=23621 PDF: https://app.parlamento.pt/webutils/docs/doc.pdf?path=6148523063484d364c793942556b356c6443397a6158526c63793959566b6c4a544556484c3039464c7a49774d6a59794d4449314d5441774f533951515338325932566c4f4449775a6930794e4455784c54526a4d6a5174595467774d79307a4d6d4d344e4445774f574d314f5441756347526d&amp;Fich=6cee820f-2451-4c24-a803-32c84109c590.pdf&amp;Inline=true</t>
        </is>
      </c>
      <c r="X450" s="2" t="inlineStr">
        <is>
          <t>Saúde</t>
        </is>
      </c>
      <c r="Y450" s="2" t="inlineStr">
        <is>
          <t>Articulado</t>
        </is>
      </c>
      <c r="Z450" s="2" t="inlineStr">
        <is>
          <t>Aditamento (Artigo PPL)</t>
        </is>
      </c>
      <c r="AA450" s="2" t="inlineStr">
        <is>
          <t>Rejeitado(a) em Comissão</t>
        </is>
      </c>
      <c r="AB450" s="2" t="inlineStr"/>
      <c r="AC450" s="2" t="inlineStr"/>
      <c r="AD450" s="2" t="inlineStr">
        <is>
          <t>1</t>
        </is>
      </c>
      <c r="AE450" s="2" t="inlineStr">
        <is>
          <t>23621</t>
        </is>
      </c>
      <c r="AF450" s="2" t="inlineStr">
        <is>
          <t>https://www.parlamento.pt/OrcamentoEstado/Paginas/DetalhePropostaAlteracao.aspx?BID=23621</t>
        </is>
      </c>
      <c r="AG450" s="2" t="inlineStr">
        <is>
          <t>https://app.parlamento.pt/webutils/docs/doc.pdf?path=6148523063484d364c793942556b356c6443397a6158526c63793959566b6c4a544556484c3039464c7a49774d6a59794d4449314d5441774f533951515338325932566c4f4449775a6930794e4455784c54526a4d6a5174595467774d79307a4d6d4d344e4445774f574d314f5441756347526d&amp;Fich=6cee820f-2451-4c24-a803-32c84109c590.pdf&amp;Inline=true</t>
        </is>
      </c>
      <c r="AH450" s="3" t="n">
        <v>46321.77847222222</v>
      </c>
      <c r="AI450" s="3" t="n">
        <v>46321.78055555555</v>
      </c>
      <c r="AJ450" s="2" t="inlineStr"/>
    </row>
    <row r="451">
      <c r="A451" s="2" t="n">
        <v>450</v>
      </c>
      <c r="B451" s="2" t="inlineStr">
        <is>
          <t>411C-1</t>
        </is>
      </c>
      <c r="C451" s="3" t="n">
        <v>45965.69652777778</v>
      </c>
      <c r="D451" s="2" t="inlineStr">
        <is>
          <t>Original</t>
        </is>
      </c>
      <c r="E451" s="2" t="inlineStr">
        <is>
          <t>CH</t>
        </is>
      </c>
      <c r="F45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51" s="2" t="inlineStr">
        <is>
          <t>Art. 121.º-A (aditamento)</t>
        </is>
      </c>
      <c r="H451" s="2" t="n"/>
      <c r="I451" s="2" t="n"/>
      <c r="J451" s="2" t="n"/>
      <c r="K451" s="2" t="n"/>
      <c r="L451" s="2" t="inlineStr">
        <is>
          <t>Artigo 121.º-A (Reforço do acesso à Procriação Medicamente Assistida (PMA) no Serviço Nacional de Saúde (SNS) e dotação do Banco Público de Gâmetas (BPG))</t>
        </is>
      </c>
      <c r="M451" s="4" t="n"/>
      <c r="N451" s="4" t="n"/>
      <c r="O451" s="2" t="n"/>
      <c r="P451" s="2" t="n"/>
      <c r="Q451" s="2" t="n"/>
      <c r="R451" s="2" t="n"/>
      <c r="S451" s="2" t="inlineStr">
        <is>
          <t>Rejeitado(a) em Comissão</t>
        </is>
      </c>
      <c r="T451" s="2" t="inlineStr">
        <is>
          <t>Rejeitada</t>
        </is>
      </c>
      <c r="U451" s="2" t="inlineStr">
        <is>
          <t>Favor: CH, BE, PAN; Contra: PSD, CDS-PP; Abstenção: PS, IL, L, PCP</t>
        </is>
      </c>
      <c r="V451" s="3" t="n">
        <v>45985</v>
      </c>
      <c r="W451" s="2" t="inlineStr">
        <is>
          <t>AR: https://www.parlamento.pt/OrcamentoEstado/Paginas/DetalhePropostaAlteracao.aspx?BID=23623 PDF: https://app.parlamento.pt/webutils/docs/doc.pdf?path=6148523063484d364c793942556b356c6443397a6158526c63793959566b6c4a544556484c3039464c7a49774d6a59794d4449314d5441774f533951515339684d6a426d4e47526b4d7930354e6a55324c54517a4d324974596d45354d53316d4e5751785a544a6c595455784d7a6b756347526d&amp;Fich=a20f4dd3-9656-433b-ba91-f5d1e2ea5139.pdf&amp;Inline=true</t>
        </is>
      </c>
      <c r="X451" s="2" t="inlineStr">
        <is>
          <t>Saúde</t>
        </is>
      </c>
      <c r="Y451" s="2" t="inlineStr">
        <is>
          <t>Articulado</t>
        </is>
      </c>
      <c r="Z451" s="2" t="inlineStr">
        <is>
          <t>Aditamento (Artigo PPL)</t>
        </is>
      </c>
      <c r="AA451" s="2" t="inlineStr">
        <is>
          <t>Rejeitado(a) em Comissão</t>
        </is>
      </c>
      <c r="AB451" s="2" t="inlineStr"/>
      <c r="AC451" s="2" t="inlineStr">
        <is>
          <t>1</t>
        </is>
      </c>
      <c r="AD451" s="2" t="inlineStr">
        <is>
          <t>1</t>
        </is>
      </c>
      <c r="AE451" s="2" t="inlineStr">
        <is>
          <t>23623</t>
        </is>
      </c>
      <c r="AF451" s="2" t="inlineStr">
        <is>
          <t>https://www.parlamento.pt/OrcamentoEstado/Paginas/DetalhePropostaAlteracao.aspx?BID=23623</t>
        </is>
      </c>
      <c r="AG451" s="2" t="inlineStr">
        <is>
          <t>https://app.parlamento.pt/webutils/docs/doc.pdf?path=6148523063484d364c793942556b356c6443397a6158526c63793959566b6c4a544556484c3039464c7a49774d6a59794d4449314d5441774f533951515339684d6a426d4e47526b4d7930354e6a55324c54517a4d324974596d45354d53316d4e5751785a544a6c595455784d7a6b756347526d&amp;Fich=a20f4dd3-9656-433b-ba91-f5d1e2ea5139.pdf&amp;Inline=true</t>
        </is>
      </c>
      <c r="AH451" s="3" t="n">
        <v>46321.77847222222</v>
      </c>
      <c r="AI451" s="3" t="n">
        <v>46321.78055555555</v>
      </c>
      <c r="AJ451" s="2" t="inlineStr"/>
    </row>
    <row r="452">
      <c r="A452" s="2" t="n">
        <v>451</v>
      </c>
      <c r="B452" s="2" t="inlineStr">
        <is>
          <t>411C-2</t>
        </is>
      </c>
      <c r="C452" s="3" t="n">
        <v>45965.69652777778</v>
      </c>
      <c r="D452" s="2" t="inlineStr">
        <is>
          <t>Original</t>
        </is>
      </c>
      <c r="E452" s="2" t="inlineStr">
        <is>
          <t>CH</t>
        </is>
      </c>
      <c r="F45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52" s="2" t="inlineStr">
        <is>
          <t>Art. 121.º-B (aditamento)</t>
        </is>
      </c>
      <c r="H452" s="2" t="n"/>
      <c r="I452" s="2" t="n"/>
      <c r="J452" s="2" t="n"/>
      <c r="K452" s="2" t="n"/>
      <c r="L452" s="2" t="inlineStr">
        <is>
          <t>Artigo 121.º-B (Programa Nacional de Preservação e Promoção da Fertilidade)</t>
        </is>
      </c>
      <c r="M452" s="4" t="n"/>
      <c r="N452" s="4" t="n"/>
      <c r="O452" s="2" t="n"/>
      <c r="P452" s="2" t="n"/>
      <c r="Q452" s="2" t="n"/>
      <c r="R452" s="2" t="n"/>
      <c r="S452" s="2" t="inlineStr">
        <is>
          <t>Rejeitado(a) em Comissão</t>
        </is>
      </c>
      <c r="T452" s="2" t="inlineStr">
        <is>
          <t>Rejeitada</t>
        </is>
      </c>
      <c r="U452" s="2" t="inlineStr">
        <is>
          <t>Favor: CH, PAN; Contra: PSD, CDS-PP; Abstenção: PS, IL, L, PCP, BE</t>
        </is>
      </c>
      <c r="V452" s="3" t="n">
        <v>45985</v>
      </c>
      <c r="W452" s="2" t="inlineStr">
        <is>
          <t>AR: https://www.parlamento.pt/OrcamentoEstado/Paginas/DetalhePropostaAlteracao.aspx?BID=23799 PDF: https://app.parlamento.pt/webutils/docs/doc.pdf?path=6148523063484d364c793942556b356c6443397a6158526c63793959566b6c4a544556484c3039464c7a49774d6a59794d4449314d5441774f533951515338324e6a6334596a59334e533168596d5a684c54526b595441745957566d597930315a54686b5a4463314d546b304d4445756347526d&amp;Fich=6678b675-abfa-4da0-aefc-5e8dd7519401.pdf&amp;Inline=true</t>
        </is>
      </c>
      <c r="X452" s="2" t="inlineStr">
        <is>
          <t>Saúde</t>
        </is>
      </c>
      <c r="Y452" s="2" t="inlineStr">
        <is>
          <t>Articulado</t>
        </is>
      </c>
      <c r="Z452" s="2" t="inlineStr">
        <is>
          <t>Aditamento (Artigo PPL)</t>
        </is>
      </c>
      <c r="AA452" s="2" t="inlineStr">
        <is>
          <t>Rejeitado(a) em Comissão</t>
        </is>
      </c>
      <c r="AB452" s="2" t="inlineStr"/>
      <c r="AC452" s="2" t="inlineStr">
        <is>
          <t>2</t>
        </is>
      </c>
      <c r="AD452" s="2" t="inlineStr">
        <is>
          <t>1</t>
        </is>
      </c>
      <c r="AE452" s="2" t="inlineStr">
        <is>
          <t>23799</t>
        </is>
      </c>
      <c r="AF452" s="2" t="inlineStr">
        <is>
          <t>https://www.parlamento.pt/OrcamentoEstado/Paginas/DetalhePropostaAlteracao.aspx?BID=23799</t>
        </is>
      </c>
      <c r="AG452" s="2" t="inlineStr">
        <is>
          <t>https://app.parlamento.pt/webutils/docs/doc.pdf?path=6148523063484d364c793942556b356c6443397a6158526c63793959566b6c4a544556484c3039464c7a49774d6a59794d4449314d5441774f533951515338324e6a6334596a59334e533168596d5a684c54526b595441745957566d597930315a54686b5a4463314d546b304d4445756347526d&amp;Fich=6678b675-abfa-4da0-aefc-5e8dd7519401.pdf&amp;Inline=true</t>
        </is>
      </c>
      <c r="AH452" s="3" t="n">
        <v>46321.77847222222</v>
      </c>
      <c r="AI452" s="3" t="n">
        <v>46321.78055555555</v>
      </c>
      <c r="AJ452" s="2" t="inlineStr"/>
    </row>
    <row r="453">
      <c r="A453" s="2" t="n">
        <v>452</v>
      </c>
      <c r="B453" s="2" t="inlineStr">
        <is>
          <t>412C</t>
        </is>
      </c>
      <c r="C453" s="3" t="n">
        <v>45965.69791666666</v>
      </c>
      <c r="D453" s="2" t="inlineStr">
        <is>
          <t>Original</t>
        </is>
      </c>
      <c r="E453" s="2" t="inlineStr">
        <is>
          <t>CH</t>
        </is>
      </c>
      <c r="F45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53" s="2" t="inlineStr">
        <is>
          <t>Art. 136.º-A (aditamento)</t>
        </is>
      </c>
      <c r="H453" s="2" t="n"/>
      <c r="I453" s="2" t="n"/>
      <c r="J453" s="2" t="n"/>
      <c r="K453" s="2" t="n"/>
      <c r="L453" s="2" t="inlineStr">
        <is>
          <t>Artigo 136.º-A (Digitalização e preservação do acervo da cinemateca Portuguesa - Museu do Cinema I.P.)</t>
        </is>
      </c>
      <c r="M453" s="4" t="n"/>
      <c r="N453" s="4" t="n"/>
      <c r="O453" s="2" t="n"/>
      <c r="P453" s="2" t="n"/>
      <c r="Q453" s="2" t="n"/>
      <c r="R453" s="2" t="n"/>
      <c r="S453" s="2" t="inlineStr">
        <is>
          <t>Rejeitado(a) em Comissão</t>
        </is>
      </c>
      <c r="T453" s="2" t="inlineStr">
        <is>
          <t>Rejeitada</t>
        </is>
      </c>
      <c r="U453" s="2" t="inlineStr">
        <is>
          <t>Favor: CH, BE, PAN; Contra: PSD, CDS-PP; Abstenção: PS, IL, L, PCP</t>
        </is>
      </c>
      <c r="V453" s="3" t="n">
        <v>45987</v>
      </c>
      <c r="W453" s="2" t="inlineStr">
        <is>
          <t>AR: https://www.parlamento.pt/OrcamentoEstado/Paginas/DetalhePropostaAlteracao.aspx?BID=23626 PDF: https://app.parlamento.pt/webutils/docs/doc.pdf?path=6148523063484d364c793942556b356c6443397a6158526c63793959566b6c4a544556484c3039464c7a49774d6a59794d4449314d5441774f533951515339684e7a513159574a6d4e7930315a6d59784c54526c4f57557459574e6b59533031593249305a44497a4e4441314f5455756347526d&amp;Fich=a745abf7-5ff1-4e9e-acda-5cb4d2340595.pdf&amp;Inline=true</t>
        </is>
      </c>
      <c r="X453" s="2" t="inlineStr">
        <is>
          <t>Cultura, Comunicação, Juventude e Desporto</t>
        </is>
      </c>
      <c r="Y453" s="2" t="inlineStr">
        <is>
          <t>Articulado</t>
        </is>
      </c>
      <c r="Z453" s="2" t="inlineStr">
        <is>
          <t>Aditamento (Artigo PPL)</t>
        </is>
      </c>
      <c r="AA453" s="2" t="inlineStr">
        <is>
          <t>Rejeitado(a) em Comissão</t>
        </is>
      </c>
      <c r="AB453" s="2" t="inlineStr"/>
      <c r="AC453" s="2" t="inlineStr"/>
      <c r="AD453" s="2" t="inlineStr">
        <is>
          <t>1</t>
        </is>
      </c>
      <c r="AE453" s="2" t="inlineStr">
        <is>
          <t>23626</t>
        </is>
      </c>
      <c r="AF453" s="2" t="inlineStr">
        <is>
          <t>https://www.parlamento.pt/OrcamentoEstado/Paginas/DetalhePropostaAlteracao.aspx?BID=23626</t>
        </is>
      </c>
      <c r="AG453" s="2" t="inlineStr">
        <is>
          <t>https://app.parlamento.pt/webutils/docs/doc.pdf?path=6148523063484d364c793942556b356c6443397a6158526c63793959566b6c4a544556484c3039464c7a49774d6a59794d4449314d5441774f533951515339684e7a513159574a6d4e7930315a6d59784c54526c4f57557459574e6b59533031593249305a44497a4e4441314f5455756347526d&amp;Fich=a745abf7-5ff1-4e9e-acda-5cb4d2340595.pdf&amp;Inline=true</t>
        </is>
      </c>
      <c r="AH453" s="3" t="n">
        <v>46321.77847222222</v>
      </c>
      <c r="AI453" s="3" t="n">
        <v>46321.78055555555</v>
      </c>
      <c r="AJ453" s="2" t="inlineStr"/>
    </row>
    <row r="454">
      <c r="A454" s="2" t="n">
        <v>453</v>
      </c>
      <c r="B454" s="2" t="inlineStr">
        <is>
          <t>413C</t>
        </is>
      </c>
      <c r="C454" s="3" t="n">
        <v>45965.69930555556</v>
      </c>
      <c r="D454" s="2" t="inlineStr">
        <is>
          <t>Original</t>
        </is>
      </c>
      <c r="E454" s="2" t="inlineStr">
        <is>
          <t>CH</t>
        </is>
      </c>
      <c r="F45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54" s="2" t="inlineStr">
        <is>
          <t>Art. 136.º-A (aditamento)</t>
        </is>
      </c>
      <c r="H454" s="2" t="n"/>
      <c r="I454" s="2" t="n"/>
      <c r="J454" s="2" t="n"/>
      <c r="K454" s="2" t="n"/>
      <c r="L454" s="2" t="inlineStr">
        <is>
          <t>Artigo 136.º-A (Disponibilização de desfibrilhadores em todos os estabelecimentos de ensino e formação de suporte básico de vida)</t>
        </is>
      </c>
      <c r="M454" s="4" t="n"/>
      <c r="N454" s="4" t="n"/>
      <c r="O454" s="2" t="n"/>
      <c r="P454" s="2" t="n"/>
      <c r="Q454" s="2" t="n"/>
      <c r="R454" s="2" t="n"/>
      <c r="S454" s="2" t="inlineStr">
        <is>
          <t>Rejeitado(a) em Comissão</t>
        </is>
      </c>
      <c r="T454" s="2" t="inlineStr">
        <is>
          <t>Rejeitada</t>
        </is>
      </c>
      <c r="U454" s="2" t="inlineStr">
        <is>
          <t>Favor: CH, IL, BE, PAN; Contra: PSD, CDS-PP; Abstenção: PS, L, PCP</t>
        </is>
      </c>
      <c r="V454" s="3" t="n">
        <v>45987</v>
      </c>
      <c r="W454" s="2" t="inlineStr">
        <is>
          <t>AR: https://www.parlamento.pt/OrcamentoEstado/Paginas/DetalhePropostaAlteracao.aspx?BID=23627 PDF: https://app.parlamento.pt/webutils/docs/doc.pdf?path=6148523063484d364c793942556b356c6443397a6158526c63793959566b6c4a544556484c3039464c7a49774d6a59794d4449314d5441774f533951515339684d546c6c4f5745334e5330314d47566b4c54517a4e4451744f544579596930794e7a6b3459325a6c597a51315a5751756347526d&amp;Fich=a19e9a75-50ed-4344-912b-2798cfec45ed.pdf&amp;Inline=true</t>
        </is>
      </c>
      <c r="X454" s="2" t="inlineStr">
        <is>
          <t>Saúde</t>
        </is>
      </c>
      <c r="Y454" s="2" t="inlineStr">
        <is>
          <t>Articulado</t>
        </is>
      </c>
      <c r="Z454" s="2" t="inlineStr">
        <is>
          <t>Aditamento (Artigo PPL)</t>
        </is>
      </c>
      <c r="AA454" s="2" t="inlineStr">
        <is>
          <t>Rejeitado(a) em Comissão</t>
        </is>
      </c>
      <c r="AB454" s="2" t="inlineStr"/>
      <c r="AC454" s="2" t="inlineStr"/>
      <c r="AD454" s="2" t="inlineStr">
        <is>
          <t>1</t>
        </is>
      </c>
      <c r="AE454" s="2" t="inlineStr">
        <is>
          <t>23627</t>
        </is>
      </c>
      <c r="AF454" s="2" t="inlineStr">
        <is>
          <t>https://www.parlamento.pt/OrcamentoEstado/Paginas/DetalhePropostaAlteracao.aspx?BID=23627</t>
        </is>
      </c>
      <c r="AG454" s="2" t="inlineStr">
        <is>
          <t>https://app.parlamento.pt/webutils/docs/doc.pdf?path=6148523063484d364c793942556b356c6443397a6158526c63793959566b6c4a544556484c3039464c7a49774d6a59794d4449314d5441774f533951515339684d546c6c4f5745334e5330314d47566b4c54517a4e4451744f544579596930794e7a6b3459325a6c597a51315a5751756347526d&amp;Fich=a19e9a75-50ed-4344-912b-2798cfec45ed.pdf&amp;Inline=true</t>
        </is>
      </c>
      <c r="AH454" s="3" t="n">
        <v>46321.77847222222</v>
      </c>
      <c r="AI454" s="3" t="n">
        <v>46321.78055555555</v>
      </c>
      <c r="AJ454" s="2" t="inlineStr"/>
    </row>
    <row r="455">
      <c r="A455" s="2" t="n">
        <v>454</v>
      </c>
      <c r="B455" s="2" t="inlineStr">
        <is>
          <t>414C</t>
        </is>
      </c>
      <c r="C455" s="3" t="n">
        <v>45965.70277777778</v>
      </c>
      <c r="D455" s="2" t="inlineStr">
        <is>
          <t>Original</t>
        </is>
      </c>
      <c r="E455" s="2" t="inlineStr">
        <is>
          <t>CH</t>
        </is>
      </c>
      <c r="F45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55" s="2" t="inlineStr">
        <is>
          <t>Art. 136.º-A (aditamento)</t>
        </is>
      </c>
      <c r="H455" s="2" t="n"/>
      <c r="I455" s="2" t="n"/>
      <c r="J455" s="2" t="n"/>
      <c r="K455" s="2" t="n"/>
      <c r="L455" s="2" t="inlineStr">
        <is>
          <t>Artigo 136.º-A (Dotar todas as Lotas com Certificado em Segurança Alimentar)</t>
        </is>
      </c>
      <c r="M455" s="4" t="n"/>
      <c r="N455" s="4" t="n"/>
      <c r="O455" s="2" t="n"/>
      <c r="P455" s="2" t="n"/>
      <c r="Q455" s="2" t="n"/>
      <c r="R455" s="2" t="n"/>
      <c r="S455" s="2" t="inlineStr">
        <is>
          <t>Rejeitado(a) em Comissão</t>
        </is>
      </c>
      <c r="T455" s="2" t="inlineStr">
        <is>
          <t>Rejeitada</t>
        </is>
      </c>
      <c r="U455" s="2" t="inlineStr">
        <is>
          <t>Favor: CH, BE, PAN; Contra: PSD, CDS-PP; Abstenção: PS, IL, L, PCP</t>
        </is>
      </c>
      <c r="V455" s="3" t="n">
        <v>45987</v>
      </c>
      <c r="W455" s="2" t="inlineStr">
        <is>
          <t>AR: https://www.parlamento.pt/OrcamentoEstado/Paginas/DetalhePropostaAlteracao.aspx?BID=23628 PDF: https://app.parlamento.pt/webutils/docs/doc.pdf?path=6148523063484d364c793942556b356c6443397a6158526c63793959566b6c4a544556484c3039464c7a49774d6a59794d4449314d5441774f53395151533968597a466c597a526d4e533078597a51314c5451784d474d74596a55794e79316c4d5451334d7a45304f544a6c4e7a55756347526d&amp;Fich=ac1ec4f5-1c45-410c-b527-e14731492e75.pdf&amp;Inline=true</t>
        </is>
      </c>
      <c r="X455" s="2" t="inlineStr">
        <is>
          <t>Agricultura e Pescas</t>
        </is>
      </c>
      <c r="Y455" s="2" t="inlineStr">
        <is>
          <t>Articulado</t>
        </is>
      </c>
      <c r="Z455" s="2" t="inlineStr">
        <is>
          <t>Aditamento (Artigo PPL)</t>
        </is>
      </c>
      <c r="AA455" s="2" t="inlineStr">
        <is>
          <t>Rejeitado(a) em Comissão</t>
        </is>
      </c>
      <c r="AB455" s="2" t="inlineStr"/>
      <c r="AC455" s="2" t="inlineStr"/>
      <c r="AD455" s="2" t="inlineStr">
        <is>
          <t>1</t>
        </is>
      </c>
      <c r="AE455" s="2" t="inlineStr">
        <is>
          <t>23628</t>
        </is>
      </c>
      <c r="AF455" s="2" t="inlineStr">
        <is>
          <t>https://www.parlamento.pt/OrcamentoEstado/Paginas/DetalhePropostaAlteracao.aspx?BID=23628</t>
        </is>
      </c>
      <c r="AG455" s="2" t="inlineStr">
        <is>
          <t>https://app.parlamento.pt/webutils/docs/doc.pdf?path=6148523063484d364c793942556b356c6443397a6158526c63793959566b6c4a544556484c3039464c7a49774d6a59794d4449314d5441774f53395151533968597a466c597a526d4e533078597a51314c5451784d474d74596a55794e79316c4d5451334d7a45304f544a6c4e7a55756347526d&amp;Fich=ac1ec4f5-1c45-410c-b527-e14731492e75.pdf&amp;Inline=true</t>
        </is>
      </c>
      <c r="AH455" s="3" t="n">
        <v>46321.77847222222</v>
      </c>
      <c r="AI455" s="3" t="n">
        <v>46321.78055555555</v>
      </c>
      <c r="AJ455" s="2" t="inlineStr"/>
    </row>
    <row r="456">
      <c r="A456" s="2" t="n">
        <v>455</v>
      </c>
      <c r="B456" s="2" t="inlineStr">
        <is>
          <t>415C</t>
        </is>
      </c>
      <c r="C456" s="3" t="n">
        <v>45965.70347222222</v>
      </c>
      <c r="D456" s="2" t="inlineStr">
        <is>
          <t>Original</t>
        </is>
      </c>
      <c r="E456" s="2" t="inlineStr">
        <is>
          <t>L</t>
        </is>
      </c>
      <c r="F456" s="2" t="inlineStr">
        <is>
          <t>Filipa Pinto; Isabel Mendes Lopes; Jorge Pinto; Patrícia Gonçalves; Paulo Muacho; Rui Tavares</t>
        </is>
      </c>
      <c r="G456" s="2" t="inlineStr">
        <is>
          <t>Art. 89.º-A (aditamento)</t>
        </is>
      </c>
      <c r="H456" s="2" t="n"/>
      <c r="I456" s="2" t="n"/>
      <c r="J456" s="2" t="n"/>
      <c r="K456" s="2" t="n"/>
      <c r="L456" s="2" t="inlineStr">
        <is>
          <t>Artigo 89.º-A (Oferta de imprensa nacional, regional e local nas escolas públicas)</t>
        </is>
      </c>
      <c r="M456" s="4" t="n"/>
      <c r="N456" s="4" t="n"/>
      <c r="O456" s="2" t="n"/>
      <c r="P456" s="2" t="n"/>
      <c r="Q456" s="2" t="n"/>
      <c r="R456" s="2" t="n"/>
      <c r="S456" s="2" t="inlineStr">
        <is>
          <t>Rejeitado(a) em Comissão</t>
        </is>
      </c>
      <c r="T456" s="2" t="inlineStr">
        <is>
          <t>Rejeitada</t>
        </is>
      </c>
      <c r="U456" s="2" t="inlineStr">
        <is>
          <t>Favor: L, PCP, BE, PAN; Contra: PSD, CDS-PP; Abstenção: CH, PS, IL</t>
        </is>
      </c>
      <c r="V456" s="3" t="n">
        <v>45982</v>
      </c>
      <c r="W456" s="2" t="inlineStr">
        <is>
          <t>AR: https://www.parlamento.pt/OrcamentoEstado/Paginas/DetalhePropostaAlteracao.aspx?BID=23629 PDF: https://app.parlamento.pt/webutils/docs/doc.pdf?path=6148523063484d364c793942556b356c6443397a6158526c63793959566b6c4a544556484c3039464c7a49774d6a59794d4449314d5441774f5339515153396b59574d344d32526a5969307a4d3251784c5451314d474d744f474e695a5330304f5451344e44426a4d5759354e5451756347526d&amp;Fich=dac83dcb-33d1-450c-8cbe-494840c1f954.pdf&amp;Inline=true</t>
        </is>
      </c>
      <c r="X456" s="2" t="inlineStr">
        <is>
          <t>Cultura, Comunicação, Juventude e Desporto</t>
        </is>
      </c>
      <c r="Y456" s="2" t="inlineStr">
        <is>
          <t>Articulado</t>
        </is>
      </c>
      <c r="Z456" s="2" t="inlineStr">
        <is>
          <t>Aditamento (Artigo PPL)</t>
        </is>
      </c>
      <c r="AA456" s="2" t="inlineStr">
        <is>
          <t>Rejeitado(a) em Comissão</t>
        </is>
      </c>
      <c r="AB456" s="2" t="inlineStr"/>
      <c r="AC456" s="2" t="inlineStr"/>
      <c r="AD456" s="2" t="inlineStr">
        <is>
          <t>1</t>
        </is>
      </c>
      <c r="AE456" s="2" t="inlineStr">
        <is>
          <t>23629</t>
        </is>
      </c>
      <c r="AF456" s="2" t="inlineStr">
        <is>
          <t>https://www.parlamento.pt/OrcamentoEstado/Paginas/DetalhePropostaAlteracao.aspx?BID=23629</t>
        </is>
      </c>
      <c r="AG456" s="2" t="inlineStr">
        <is>
          <t>https://app.parlamento.pt/webutils/docs/doc.pdf?path=6148523063484d364c793942556b356c6443397a6158526c63793959566b6c4a544556484c3039464c7a49774d6a59794d4449314d5441774f5339515153396b59574d344d32526a5969307a4d3251784c5451314d474d744f474e695a5330304f5451344e44426a4d5759354e5451756347526d&amp;Fich=dac83dcb-33d1-450c-8cbe-494840c1f954.pdf&amp;Inline=true</t>
        </is>
      </c>
      <c r="AH456" s="3" t="n">
        <v>46321.77847222222</v>
      </c>
      <c r="AI456" s="3" t="n">
        <v>46321.78055555555</v>
      </c>
      <c r="AJ456" s="2" t="inlineStr"/>
    </row>
    <row r="457">
      <c r="A457" s="2" t="n">
        <v>456</v>
      </c>
      <c r="B457" s="2" t="inlineStr">
        <is>
          <t>416C</t>
        </is>
      </c>
      <c r="C457" s="3" t="n">
        <v>45965.70486111111</v>
      </c>
      <c r="D457" s="2" t="inlineStr">
        <is>
          <t>Original</t>
        </is>
      </c>
      <c r="E457" s="2" t="inlineStr">
        <is>
          <t>L</t>
        </is>
      </c>
      <c r="F457" s="2" t="inlineStr">
        <is>
          <t>Filipa Pinto; Isabel Mendes Lopes; Jorge Pinto; Patrícia Gonçalves; Paulo Muacho; Rui Tavares</t>
        </is>
      </c>
      <c r="G457" s="2" t="inlineStr">
        <is>
          <t>Art. 112.º-A (aditamento)</t>
        </is>
      </c>
      <c r="H457" s="2" t="n"/>
      <c r="I457" s="2" t="n"/>
      <c r="J457" s="2" t="n"/>
      <c r="K457" s="2" t="n"/>
      <c r="L457" s="2" t="inlineStr">
        <is>
          <t>Artigo 112.º-A (Cheque-Jornalismo)</t>
        </is>
      </c>
      <c r="M457" s="4" t="n"/>
      <c r="N457" s="4" t="n"/>
      <c r="O457" s="2" t="n"/>
      <c r="P457" s="2" t="n"/>
      <c r="Q457" s="2" t="n"/>
      <c r="R457" s="2" t="n"/>
      <c r="S457" s="2" t="inlineStr">
        <is>
          <t>Rejeitado(a) em Comissão</t>
        </is>
      </c>
      <c r="T457" s="2" t="inlineStr">
        <is>
          <t>Rejeitada</t>
        </is>
      </c>
      <c r="U457" s="2" t="inlineStr">
        <is>
          <t>Favor: L, PAN; Contra: PSD, CH, IL, PCP, CDS-PP, BE; Abstenção: PS</t>
        </is>
      </c>
      <c r="V457" s="3" t="n">
        <v>45982</v>
      </c>
      <c r="W457" s="2" t="inlineStr">
        <is>
          <t>AR: https://www.parlamento.pt/OrcamentoEstado/Paginas/DetalhePropostaAlteracao.aspx?BID=23630 PDF: https://app.parlamento.pt/webutils/docs/doc.pdf?path=6148523063484d364c793942556b356c6443397a6158526c63793959566b6c4a544556484c3039464c7a49774d6a59794d4449314d5441774f533951515338305a474d315a6d466b597930304e3246684c5452685a5759744f5459334d6931695a6d5a6a4d5749784f44566c4d574d756347526d&amp;Fich=4dc5fadc-47aa-4aef-9672-bffc1b185e1c.pdf&amp;Inline=true</t>
        </is>
      </c>
      <c r="X457" s="2" t="inlineStr">
        <is>
          <t>Cultura, Comunicação, Juventude e Desporto</t>
        </is>
      </c>
      <c r="Y457" s="2" t="inlineStr">
        <is>
          <t>Articulado</t>
        </is>
      </c>
      <c r="Z457" s="2" t="inlineStr">
        <is>
          <t>Aditamento (Artigo PPL)</t>
        </is>
      </c>
      <c r="AA457" s="2" t="inlineStr">
        <is>
          <t>Rejeitado(a) em Comissão</t>
        </is>
      </c>
      <c r="AB457" s="2" t="inlineStr"/>
      <c r="AC457" s="2" t="inlineStr"/>
      <c r="AD457" s="2" t="inlineStr">
        <is>
          <t>1</t>
        </is>
      </c>
      <c r="AE457" s="2" t="inlineStr">
        <is>
          <t>23630</t>
        </is>
      </c>
      <c r="AF457" s="2" t="inlineStr">
        <is>
          <t>https://www.parlamento.pt/OrcamentoEstado/Paginas/DetalhePropostaAlteracao.aspx?BID=23630</t>
        </is>
      </c>
      <c r="AG457" s="2" t="inlineStr">
        <is>
          <t>https://app.parlamento.pt/webutils/docs/doc.pdf?path=6148523063484d364c793942556b356c6443397a6158526c63793959566b6c4a544556484c3039464c7a49774d6a59794d4449314d5441774f533951515338305a474d315a6d466b597930304e3246684c5452685a5759744f5459334d6931695a6d5a6a4d5749784f44566c4d574d756347526d&amp;Fich=4dc5fadc-47aa-4aef-9672-bffc1b185e1c.pdf&amp;Inline=true</t>
        </is>
      </c>
      <c r="AH457" s="3" t="n">
        <v>46321.77847222222</v>
      </c>
      <c r="AI457" s="3" t="n">
        <v>46321.78055555555</v>
      </c>
      <c r="AJ457" s="2" t="inlineStr"/>
    </row>
    <row r="458">
      <c r="A458" s="2" t="n">
        <v>457</v>
      </c>
      <c r="B458" s="2" t="inlineStr">
        <is>
          <t>417C</t>
        </is>
      </c>
      <c r="C458" s="3" t="n">
        <v>45965.70555555556</v>
      </c>
      <c r="D458" s="2" t="inlineStr">
        <is>
          <t>Original</t>
        </is>
      </c>
      <c r="E458" s="2" t="inlineStr">
        <is>
          <t>L</t>
        </is>
      </c>
      <c r="F458" s="2" t="inlineStr">
        <is>
          <t>Filipa Pinto; Isabel Mendes Lopes; Jorge Pinto; Patrícia Gonçalves; Paulo Muacho; Rui Tavares</t>
        </is>
      </c>
      <c r="G458" s="2" t="inlineStr">
        <is>
          <t>Art. 112.º-A (aditamento)</t>
        </is>
      </c>
      <c r="H458" s="2" t="n"/>
      <c r="I458" s="2" t="n"/>
      <c r="J458" s="2" t="n"/>
      <c r="K458" s="2" t="n"/>
      <c r="L458" s="2" t="inlineStr">
        <is>
          <t>Artigo 112.º-A (Programa de Apoio ao Jornalismo sem fins lucrativos)</t>
        </is>
      </c>
      <c r="M458" s="4" t="n"/>
      <c r="N458" s="4" t="n"/>
      <c r="O458" s="2" t="n"/>
      <c r="P458" s="2" t="n"/>
      <c r="Q458" s="2" t="n"/>
      <c r="R458" s="2" t="n"/>
      <c r="S458" s="2" t="inlineStr">
        <is>
          <t>Rejeitado(a) em Comissão</t>
        </is>
      </c>
      <c r="T458" s="2" t="inlineStr">
        <is>
          <t>Rejeitada</t>
        </is>
      </c>
      <c r="U458" s="2" t="inlineStr">
        <is>
          <t>Favor: L, BE, PAN; Contra: PSD, CH, IL, CDS-PP; Abstenção: PS, PCP</t>
        </is>
      </c>
      <c r="V458" s="3" t="n">
        <v>45982</v>
      </c>
      <c r="W458" s="2" t="inlineStr">
        <is>
          <t>AR: https://www.parlamento.pt/OrcamentoEstado/Paginas/DetalhePropostaAlteracao.aspx?BID=23631 PDF: https://app.parlamento.pt/webutils/docs/doc.pdf?path=6148523063484d364c793942556b356c6443397a6158526c63793959566b6c4a544556484c3039464c7a49774d6a59794d4449314d5441774f5339515153396a59574d344e6d5268595330354f544d7a4c54517a59324d744f474d314d43316b4e474a6b5a44497a4d6a68684e5745756347526d&amp;Fich=cac86daa-9933-43cc-8c50-d4bdd2328a5a.pdf&amp;Inline=true</t>
        </is>
      </c>
      <c r="X458" s="2" t="inlineStr">
        <is>
          <t>Cultura, Comunicação, Juventude e Desporto</t>
        </is>
      </c>
      <c r="Y458" s="2" t="inlineStr">
        <is>
          <t>Articulado</t>
        </is>
      </c>
      <c r="Z458" s="2" t="inlineStr">
        <is>
          <t>Aditamento (Artigo PPL)</t>
        </is>
      </c>
      <c r="AA458" s="2" t="inlineStr">
        <is>
          <t>Rejeitado(a) em Comissão</t>
        </is>
      </c>
      <c r="AB458" s="2" t="inlineStr"/>
      <c r="AC458" s="2" t="inlineStr"/>
      <c r="AD458" s="2" t="inlineStr">
        <is>
          <t>1</t>
        </is>
      </c>
      <c r="AE458" s="2" t="inlineStr">
        <is>
          <t>23631</t>
        </is>
      </c>
      <c r="AF458" s="2" t="inlineStr">
        <is>
          <t>https://www.parlamento.pt/OrcamentoEstado/Paginas/DetalhePropostaAlteracao.aspx?BID=23631</t>
        </is>
      </c>
      <c r="AG458" s="2" t="inlineStr">
        <is>
          <t>https://app.parlamento.pt/webutils/docs/doc.pdf?path=6148523063484d364c793942556b356c6443397a6158526c63793959566b6c4a544556484c3039464c7a49774d6a59794d4449314d5441774f5339515153396a59574d344e6d5268595330354f544d7a4c54517a59324d744f474d314d43316b4e474a6b5a44497a4d6a68684e5745756347526d&amp;Fich=cac86daa-9933-43cc-8c50-d4bdd2328a5a.pdf&amp;Inline=true</t>
        </is>
      </c>
      <c r="AH458" s="3" t="n">
        <v>46321.77847222222</v>
      </c>
      <c r="AI458" s="3" t="n">
        <v>46321.78055555555</v>
      </c>
      <c r="AJ458" s="2" t="inlineStr"/>
    </row>
    <row r="459">
      <c r="A459" s="2" t="n">
        <v>458</v>
      </c>
      <c r="B459" s="2" t="inlineStr">
        <is>
          <t>418C</t>
        </is>
      </c>
      <c r="C459" s="3" t="n">
        <v>45965.70694444444</v>
      </c>
      <c r="D459" s="2" t="inlineStr">
        <is>
          <t>Original</t>
        </is>
      </c>
      <c r="E459" s="2" t="inlineStr">
        <is>
          <t>L</t>
        </is>
      </c>
      <c r="F459" s="2" t="inlineStr">
        <is>
          <t>Filipa Pinto; Isabel Mendes Lopes; Jorge Pinto; Patrícia Gonçalves; Paulo Muacho; Rui Tavares</t>
        </is>
      </c>
      <c r="G459" s="2" t="inlineStr">
        <is>
          <t>Art. 73.º-A (aditamento)</t>
        </is>
      </c>
      <c r="H459" s="2" t="n"/>
      <c r="I459" s="2" t="n"/>
      <c r="J459" s="2" t="n"/>
      <c r="K459" s="2" t="n"/>
      <c r="L459" s="2" t="inlineStr">
        <is>
          <t>Artigo 73.º-A (Alteração à Lei n.º 55/2012, de 6 de setembro)</t>
        </is>
      </c>
      <c r="M459" s="4" t="n"/>
      <c r="N459" s="4" t="n"/>
      <c r="O459" s="2" t="n"/>
      <c r="P459" s="2" t="n"/>
      <c r="Q459" s="2" t="n"/>
      <c r="R459" s="2" t="n"/>
      <c r="S459" s="2" t="inlineStr">
        <is>
          <t>Rejeitado(a) em Comissão</t>
        </is>
      </c>
      <c r="T459" s="2" t="inlineStr">
        <is>
          <t>Rejeitada</t>
        </is>
      </c>
      <c r="U459" s="2" t="inlineStr">
        <is>
          <t>Favor: L, PCP, BE, PAN; Contra: PSD, CH, IL, CDS-PP; Abstenção: PS</t>
        </is>
      </c>
      <c r="V459" s="3" t="n">
        <v>45982</v>
      </c>
      <c r="W459" s="2" t="inlineStr">
        <is>
          <t>AR: https://www.parlamento.pt/OrcamentoEstado/Paginas/DetalhePropostaAlteracao.aspx?BID=23632 PDF: https://app.parlamento.pt/webutils/docs/doc.pdf?path=6148523063484d364c793942556b356c6443397a6158526c63793959566b6c4a544556484c3039464c7a49774d6a59794d4449314d5441774f533951515338324f574e6b4f5755324e6930314d6d566d4c54526b4f546b744f4451304d69316d5a54466d4e544d785a6a566d4f4459756347526d&amp;Fich=69cd9e66-52ef-4d99-8442-fe1f531f5f86.pdf&amp;Inline=true</t>
        </is>
      </c>
      <c r="X459" s="2" t="inlineStr">
        <is>
          <t>Cultura, Comunicação, Juventude e Desporto</t>
        </is>
      </c>
      <c r="Y459" s="2" t="inlineStr">
        <is>
          <t>Articulado</t>
        </is>
      </c>
      <c r="Z459" s="2" t="inlineStr">
        <is>
          <t>Aditamento (Artigo PPL)</t>
        </is>
      </c>
      <c r="AA459" s="2" t="inlineStr">
        <is>
          <t>Rejeitado(a) em Comissão</t>
        </is>
      </c>
      <c r="AB459" s="2" t="inlineStr"/>
      <c r="AC459" s="2" t="inlineStr"/>
      <c r="AD459" s="2" t="inlineStr">
        <is>
          <t>1</t>
        </is>
      </c>
      <c r="AE459" s="2" t="inlineStr">
        <is>
          <t>23632</t>
        </is>
      </c>
      <c r="AF459" s="2" t="inlineStr">
        <is>
          <t>https://www.parlamento.pt/OrcamentoEstado/Paginas/DetalhePropostaAlteracao.aspx?BID=23632</t>
        </is>
      </c>
      <c r="AG459" s="2" t="inlineStr">
        <is>
          <t>https://app.parlamento.pt/webutils/docs/doc.pdf?path=6148523063484d364c793942556b356c6443397a6158526c63793959566b6c4a544556484c3039464c7a49774d6a59794d4449314d5441774f533951515338324f574e6b4f5755324e6930314d6d566d4c54526b4f546b744f4451304d69316d5a54466d4e544d785a6a566d4f4459756347526d&amp;Fich=69cd9e66-52ef-4d99-8442-fe1f531f5f86.pdf&amp;Inline=true</t>
        </is>
      </c>
      <c r="AH459" s="3" t="n">
        <v>46321.77847222222</v>
      </c>
      <c r="AI459" s="3" t="n">
        <v>46321.78055555555</v>
      </c>
      <c r="AJ459" s="2" t="inlineStr"/>
    </row>
    <row r="460">
      <c r="A460" s="2" t="n">
        <v>459</v>
      </c>
      <c r="B460" s="2" t="inlineStr">
        <is>
          <t>419C</t>
        </is>
      </c>
      <c r="C460" s="3" t="n">
        <v>45965.71875</v>
      </c>
      <c r="D460" s="2" t="inlineStr">
        <is>
          <t>Original</t>
        </is>
      </c>
      <c r="E460" s="2" t="inlineStr">
        <is>
          <t>IL</t>
        </is>
      </c>
      <c r="F460" s="2" t="inlineStr">
        <is>
          <t>Angélique Da Teresa; Carlos Guimarães Pinto; Joana Cordeiro; Jorge Miguel Teixeira; Mariana Leitão; Mário Amorim Lopes; Miguel Rangel; Rodrigo Saraiva; Rui Rocha</t>
        </is>
      </c>
      <c r="G460" s="2" t="inlineStr">
        <is>
          <t>Art. 138.º (aditamento)</t>
        </is>
      </c>
      <c r="H460" s="2" t="n"/>
      <c r="I460" s="2" t="n"/>
      <c r="J460" s="2" t="n"/>
      <c r="K460" s="2" t="n"/>
      <c r="L460" s="2" t="inlineStr">
        <is>
          <t>Alínea c), Alínea d), Artigo 138.º</t>
        </is>
      </c>
      <c r="M460" s="4" t="n"/>
      <c r="N460" s="4" t="n"/>
      <c r="O460" s="2" t="n"/>
      <c r="P460" s="2" t="n"/>
      <c r="Q460" s="2" t="n"/>
      <c r="R460" s="2" t="n"/>
      <c r="S460" s="2" t="inlineStr">
        <is>
          <t>Rejeitado(a) em Comissão</t>
        </is>
      </c>
      <c r="T460" s="2" t="inlineStr">
        <is>
          <t>Rejeitada</t>
        </is>
      </c>
      <c r="U460" s="2" t="inlineStr">
        <is>
          <t>Favor: IL; Contra: PSD, PS, L, PCP, CDS-PP, BE, PAN; Abstenção: CH</t>
        </is>
      </c>
      <c r="V460" s="3" t="n">
        <v>45987</v>
      </c>
      <c r="W460" s="2" t="inlineStr">
        <is>
          <t>AR: https://www.parlamento.pt/OrcamentoEstado/Paginas/DetalhePropostaAlteracao.aspx?BID=23633 PDF: https://app.parlamento.pt/webutils/docs/doc.pdf?path=6148523063484d364c793942556b356c6443397a6158526c63793959566b6c4a544556484c3039464c7a49774d6a59794d4449314d5441774f5339515153387a4d3259774e3259795a4330324e3246694c5451794f54557459544d775a6930774e324e685a5449334d546b304f4455756347526d&amp;Fich=33f07f2d-67ab-4295-a30f-07cae2719485.pdf&amp;Inline=true</t>
        </is>
      </c>
      <c r="X460" s="2" t="inlineStr">
        <is>
          <t>Cultura, Comunicação, Juventude e Desporto; Orçamento, Finanças e Administração Pública</t>
        </is>
      </c>
      <c r="Y460" s="2" t="inlineStr">
        <is>
          <t>Articulado</t>
        </is>
      </c>
      <c r="Z460" s="2" t="inlineStr">
        <is>
          <t>Aditamento (Números e Alíneas)</t>
        </is>
      </c>
      <c r="AA460" s="2" t="inlineStr">
        <is>
          <t>Rejeitado(a) em Comissão</t>
        </is>
      </c>
      <c r="AB460" s="2" t="inlineStr"/>
      <c r="AC460" s="2" t="inlineStr"/>
      <c r="AD460" s="2" t="inlineStr">
        <is>
          <t>1</t>
        </is>
      </c>
      <c r="AE460" s="2" t="inlineStr">
        <is>
          <t>23633</t>
        </is>
      </c>
      <c r="AF460" s="2" t="inlineStr">
        <is>
          <t>https://www.parlamento.pt/OrcamentoEstado/Paginas/DetalhePropostaAlteracao.aspx?BID=23633</t>
        </is>
      </c>
      <c r="AG460" s="2" t="inlineStr">
        <is>
          <t>https://app.parlamento.pt/webutils/docs/doc.pdf?path=6148523063484d364c793942556b356c6443397a6158526c63793959566b6c4a544556484c3039464c7a49774d6a59794d4449314d5441774f5339515153387a4d3259774e3259795a4330324e3246694c5451794f54557459544d775a6930774e324e685a5449334d546b304f4455756347526d&amp;Fich=33f07f2d-67ab-4295-a30f-07cae2719485.pdf&amp;Inline=true</t>
        </is>
      </c>
      <c r="AH460" s="3" t="n">
        <v>46321.77847222222</v>
      </c>
      <c r="AI460" s="3" t="n">
        <v>46321.78055555555</v>
      </c>
      <c r="AJ460" s="2" t="inlineStr"/>
    </row>
    <row r="461">
      <c r="A461" s="2" t="n">
        <v>460</v>
      </c>
      <c r="B461" s="2" t="inlineStr">
        <is>
          <t>420C</t>
        </is>
      </c>
      <c r="C461" s="3" t="n">
        <v>45965.72013888889</v>
      </c>
      <c r="D461" s="2" t="inlineStr">
        <is>
          <t>Original</t>
        </is>
      </c>
      <c r="E461" s="2" t="inlineStr">
        <is>
          <t>CH</t>
        </is>
      </c>
      <c r="F46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61" s="2" t="inlineStr">
        <is>
          <t>Art. 136.º-A (aditamento)</t>
        </is>
      </c>
      <c r="H461" s="2" t="n"/>
      <c r="I461" s="2" t="n"/>
      <c r="J461" s="2" t="n"/>
      <c r="K461" s="2" t="n"/>
      <c r="L461" s="2" t="inlineStr">
        <is>
          <t>Artigo 136.º-A (Enquadrar o porto de pesca da Baleeira também como um porto de recreio)</t>
        </is>
      </c>
      <c r="M461" s="4" t="n"/>
      <c r="N461" s="4" t="n"/>
      <c r="O461" s="2" t="n"/>
      <c r="P461" s="2" t="n"/>
      <c r="Q461" s="2" t="n"/>
      <c r="R461" s="2" t="n"/>
      <c r="S461" s="2" t="inlineStr">
        <is>
          <t>Rejeitado(a) em Comissão</t>
        </is>
      </c>
      <c r="T461" s="2" t="inlineStr">
        <is>
          <t>Rejeitada</t>
        </is>
      </c>
      <c r="U461" s="2" t="inlineStr">
        <is>
          <t>Favor: CH; Contra: PSD, L, PCP, CDS-PP, PAN; Abstenção: PS, IL, BE</t>
        </is>
      </c>
      <c r="V461" s="3" t="n">
        <v>45987</v>
      </c>
      <c r="W461" s="2" t="inlineStr">
        <is>
          <t>AR: https://www.parlamento.pt/OrcamentoEstado/Paginas/DetalhePropostaAlteracao.aspx?BID=23634 PDF: https://app.parlamento.pt/webutils/docs/doc.pdf?path=6148523063484d364c793942556b356c6443397a6158526c63793959566b6c4a544556484c3039464c7a49774d6a59794d4449314d5441774f533951515338334f54557a5a5445334e4330344d5467774c54526d5a6a45744f446c6c4f43316a4d574a6b5a5451324e475a6c4d6a67756347526d&amp;Fich=7953e174-8180-4ff1-89e8-c1bde464fe28.pdf&amp;Inline=true</t>
        </is>
      </c>
      <c r="X461" s="2" t="inlineStr">
        <is>
          <t>Agricultura e Pescas</t>
        </is>
      </c>
      <c r="Y461" s="2" t="inlineStr">
        <is>
          <t>Articulado</t>
        </is>
      </c>
      <c r="Z461" s="2" t="inlineStr">
        <is>
          <t>Aditamento (Artigo PPL)</t>
        </is>
      </c>
      <c r="AA461" s="2" t="inlineStr">
        <is>
          <t>Rejeitado(a) em Comissão</t>
        </is>
      </c>
      <c r="AB461" s="2" t="inlineStr"/>
      <c r="AC461" s="2" t="inlineStr"/>
      <c r="AD461" s="2" t="inlineStr">
        <is>
          <t>1</t>
        </is>
      </c>
      <c r="AE461" s="2" t="inlineStr">
        <is>
          <t>23634</t>
        </is>
      </c>
      <c r="AF461" s="2" t="inlineStr">
        <is>
          <t>https://www.parlamento.pt/OrcamentoEstado/Paginas/DetalhePropostaAlteracao.aspx?BID=23634</t>
        </is>
      </c>
      <c r="AG461" s="2" t="inlineStr">
        <is>
          <t>https://app.parlamento.pt/webutils/docs/doc.pdf?path=6148523063484d364c793942556b356c6443397a6158526c63793959566b6c4a544556484c3039464c7a49774d6a59794d4449314d5441774f533951515338334f54557a5a5445334e4330344d5467774c54526d5a6a45744f446c6c4f43316a4d574a6b5a5451324e475a6c4d6a67756347526d&amp;Fich=7953e174-8180-4ff1-89e8-c1bde464fe28.pdf&amp;Inline=true</t>
        </is>
      </c>
      <c r="AH461" s="3" t="n">
        <v>46321.77847222222</v>
      </c>
      <c r="AI461" s="3" t="n">
        <v>46321.78055555555</v>
      </c>
      <c r="AJ461" s="2" t="inlineStr"/>
    </row>
    <row r="462">
      <c r="A462" s="2" t="n">
        <v>461</v>
      </c>
      <c r="B462" s="2" t="inlineStr">
        <is>
          <t>421C</t>
        </is>
      </c>
      <c r="C462" s="3" t="n">
        <v>45965.725</v>
      </c>
      <c r="D462" s="2" t="inlineStr">
        <is>
          <t>Original</t>
        </is>
      </c>
      <c r="E462" s="2" t="inlineStr">
        <is>
          <t>CH</t>
        </is>
      </c>
      <c r="F46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62" s="2" t="inlineStr">
        <is>
          <t>Art. 136.º-A (aditamento)</t>
        </is>
      </c>
      <c r="H462" s="2" t="n"/>
      <c r="I462" s="2" t="n"/>
      <c r="J462" s="2" t="n"/>
      <c r="K462" s="2" t="n"/>
      <c r="L462" s="2" t="inlineStr">
        <is>
          <t>Artigo 136.º-A (Equiparação da Apicultura às demais atividades agrícolas, no acesso à totalidade das medidas agroambientais e apoios em vigor)</t>
        </is>
      </c>
      <c r="M462" s="4" t="n"/>
      <c r="N462" s="4" t="n"/>
      <c r="O462" s="2" t="n"/>
      <c r="P462" s="2" t="n"/>
      <c r="Q462" s="2" t="n"/>
      <c r="R462" s="2" t="n"/>
      <c r="S462" s="2" t="inlineStr">
        <is>
          <t>Rejeitado(a) em Comissão</t>
        </is>
      </c>
      <c r="T462" s="2" t="inlineStr">
        <is>
          <t>Rejeitada</t>
        </is>
      </c>
      <c r="U462" s="2" t="inlineStr">
        <is>
          <t>Favor: CH, IL, BE; Contra: PSD, CDS-PP, PAN; Abstenção: PS, L, PCP</t>
        </is>
      </c>
      <c r="V462" s="3" t="n">
        <v>45987</v>
      </c>
      <c r="W462" s="2" t="inlineStr">
        <is>
          <t>AR: https://www.parlamento.pt/OrcamentoEstado/Paginas/DetalhePropostaAlteracao.aspx?BID=23635 PDF: https://app.parlamento.pt/webutils/docs/doc.pdf?path=6148523063484d364c793942556b356c6443397a6158526c63793959566b6c4a544556484c3039464c7a49774d6a59794d4449314d5441774f533951515339694e6d5530597a6b325a69316d5a6d45304c54517a4e7a51744f57517a4e53316b4e4459334d4749324d3251325a6a59756347526d&amp;Fich=b6e4c96f-ffa4-4374-9d35-d4670b63d6f6.pdf&amp;Inline=true</t>
        </is>
      </c>
      <c r="X462" s="2" t="inlineStr">
        <is>
          <t>Agricultura e Pescas</t>
        </is>
      </c>
      <c r="Y462" s="2" t="inlineStr">
        <is>
          <t>Articulado</t>
        </is>
      </c>
      <c r="Z462" s="2" t="inlineStr">
        <is>
          <t>Aditamento (Artigo PPL)</t>
        </is>
      </c>
      <c r="AA462" s="2" t="inlineStr">
        <is>
          <t>Rejeitado(a) em Comissão</t>
        </is>
      </c>
      <c r="AB462" s="2" t="inlineStr"/>
      <c r="AC462" s="2" t="inlineStr"/>
      <c r="AD462" s="2" t="inlineStr">
        <is>
          <t>1</t>
        </is>
      </c>
      <c r="AE462" s="2" t="inlineStr">
        <is>
          <t>23635</t>
        </is>
      </c>
      <c r="AF462" s="2" t="inlineStr">
        <is>
          <t>https://www.parlamento.pt/OrcamentoEstado/Paginas/DetalhePropostaAlteracao.aspx?BID=23635</t>
        </is>
      </c>
      <c r="AG462" s="2" t="inlineStr">
        <is>
          <t>https://app.parlamento.pt/webutils/docs/doc.pdf?path=6148523063484d364c793942556b356c6443397a6158526c63793959566b6c4a544556484c3039464c7a49774d6a59794d4449314d5441774f533951515339694e6d5530597a6b325a69316d5a6d45304c54517a4e7a51744f57517a4e53316b4e4459334d4749324d3251325a6a59756347526d&amp;Fich=b6e4c96f-ffa4-4374-9d35-d4670b63d6f6.pdf&amp;Inline=true</t>
        </is>
      </c>
      <c r="AH462" s="3" t="n">
        <v>46321.77847222222</v>
      </c>
      <c r="AI462" s="3" t="n">
        <v>46321.78055555555</v>
      </c>
      <c r="AJ462" s="2" t="inlineStr"/>
    </row>
    <row r="463">
      <c r="A463" s="2" t="n">
        <v>462</v>
      </c>
      <c r="B463" s="2" t="inlineStr">
        <is>
          <t>422C</t>
        </is>
      </c>
      <c r="C463" s="3" t="n">
        <v>45965.72569444445</v>
      </c>
      <c r="D463" s="2" t="inlineStr">
        <is>
          <t>Original</t>
        </is>
      </c>
      <c r="E463" s="2" t="inlineStr">
        <is>
          <t>CH</t>
        </is>
      </c>
      <c r="F46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63" s="2" t="inlineStr">
        <is>
          <t>Art. 136.º-A (aditamento)</t>
        </is>
      </c>
      <c r="H463" s="2" t="n"/>
      <c r="I463" s="2" t="n"/>
      <c r="J463" s="2" t="n"/>
      <c r="K463" s="2" t="n"/>
      <c r="L463" s="2" t="inlineStr">
        <is>
          <t>Artigo 136.º-A (Lançamento da obra de ligação do IC35 de Server do Vouga à A25)</t>
        </is>
      </c>
      <c r="M463" s="4" t="n"/>
      <c r="N463" s="4" t="n"/>
      <c r="O463" s="2" t="n"/>
      <c r="P463" s="2" t="n"/>
      <c r="Q463" s="2" t="n"/>
      <c r="R463" s="2" t="n"/>
      <c r="S463" s="2" t="inlineStr">
        <is>
          <t>Aprovado(a) em Comissão</t>
        </is>
      </c>
      <c r="T463" s="2" t="inlineStr">
        <is>
          <t>Aprovada</t>
        </is>
      </c>
      <c r="U463" s="2" t="inlineStr">
        <is>
          <t>Favor: CH, PS, IL, BE; Contra: PSD, CDS-PP; Abstenção: L, PCP, PAN</t>
        </is>
      </c>
      <c r="V463" s="3" t="n">
        <v>45987</v>
      </c>
      <c r="W463" s="2" t="inlineStr">
        <is>
          <t>AR: https://www.parlamento.pt/OrcamentoEstado/Paginas/DetalhePropostaAlteracao.aspx?BID=23636 PDF: https://app.parlamento.pt/webutils/docs/doc.pdf?path=6148523063484d364c793942556b356c6443397a6158526c63793959566b6c4a544556484c3039464c7a49774d6a59794d4449314d5441774f533951515338774d4445324d7a5a684e6930794d444a684c5451334f5751744f575a684d793035595451774d5463774d4451304e5751756347526d&amp;Fich=001636a6-202a-479d-9fa3-9a401700445d.pdf&amp;Inline=true</t>
        </is>
      </c>
      <c r="X463" s="2" t="inlineStr">
        <is>
          <t>Infraestruturas, Mobilidade e Habitação</t>
        </is>
      </c>
      <c r="Y463" s="2" t="inlineStr">
        <is>
          <t>Articulado</t>
        </is>
      </c>
      <c r="Z463" s="2" t="inlineStr">
        <is>
          <t>Aditamento (Artigo PPL)</t>
        </is>
      </c>
      <c r="AA463" s="2" t="inlineStr">
        <is>
          <t>Aprovado(a) em Comissão</t>
        </is>
      </c>
      <c r="AB463" s="2" t="inlineStr"/>
      <c r="AC463" s="2" t="inlineStr"/>
      <c r="AD463" s="2" t="inlineStr">
        <is>
          <t>1</t>
        </is>
      </c>
      <c r="AE463" s="2" t="inlineStr">
        <is>
          <t>23636</t>
        </is>
      </c>
      <c r="AF463" s="2" t="inlineStr">
        <is>
          <t>https://www.parlamento.pt/OrcamentoEstado/Paginas/DetalhePropostaAlteracao.aspx?BID=23636</t>
        </is>
      </c>
      <c r="AG463" s="2" t="inlineStr">
        <is>
          <t>https://app.parlamento.pt/webutils/docs/doc.pdf?path=6148523063484d364c793942556b356c6443397a6158526c63793959566b6c4a544556484c3039464c7a49774d6a59794d4449314d5441774f533951515338774d4445324d7a5a684e6930794d444a684c5451334f5751744f575a684d793035595451774d5463774d4451304e5751756347526d&amp;Fich=001636a6-202a-479d-9fa3-9a401700445d.pdf&amp;Inline=true</t>
        </is>
      </c>
      <c r="AH463" s="3" t="n">
        <v>46321.77847222222</v>
      </c>
      <c r="AI463" s="3" t="n">
        <v>46321.78055555555</v>
      </c>
      <c r="AJ463" s="2" t="inlineStr"/>
    </row>
    <row r="464">
      <c r="A464" s="2" t="n">
        <v>463</v>
      </c>
      <c r="B464" s="2" t="inlineStr">
        <is>
          <t>423C</t>
        </is>
      </c>
      <c r="C464" s="3" t="n">
        <v>45965.74652777778</v>
      </c>
      <c r="D464" s="2" t="inlineStr">
        <is>
          <t>Original</t>
        </is>
      </c>
      <c r="E464" s="2" t="inlineStr">
        <is>
          <t>CH</t>
        </is>
      </c>
      <c r="F46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64" s="2" t="inlineStr">
        <is>
          <t>Art. 136.º-A (aditamento)</t>
        </is>
      </c>
      <c r="H464" s="2" t="n"/>
      <c r="I464" s="2" t="n"/>
      <c r="J464" s="2" t="n"/>
      <c r="K464" s="2" t="n"/>
      <c r="L464" s="2" t="inlineStr">
        <is>
          <t>Artigo 136.º-A (Levantamento das necessidades de reabilitação nos tribunais das regiões autónomas)</t>
        </is>
      </c>
      <c r="M464" s="4" t="n"/>
      <c r="N464" s="4" t="n"/>
      <c r="O464" s="2" t="n"/>
      <c r="P464" s="2" t="n"/>
      <c r="Q464" s="2" t="n"/>
      <c r="R464" s="2" t="n"/>
      <c r="S464" s="2" t="inlineStr">
        <is>
          <t>Rejeitado(a) em Comissão</t>
        </is>
      </c>
      <c r="T464" s="2" t="inlineStr">
        <is>
          <t>Rejeitada</t>
        </is>
      </c>
      <c r="U464" s="2" t="inlineStr">
        <is>
          <t>Favor: CH, IL, BE, PAN; Contra: PSD, CDS-PP; Abstenção: PS, L, PCP</t>
        </is>
      </c>
      <c r="V464" s="3" t="n">
        <v>45987</v>
      </c>
      <c r="W464" s="2" t="inlineStr">
        <is>
          <t>AR: https://www.parlamento.pt/OrcamentoEstado/Paginas/DetalhePropostaAlteracao.aspx?BID=23637 PDF: https://app.parlamento.pt/webutils/docs/doc.pdf?path=6148523063484d364c793942556b356c6443397a6158526c63793959566b6c4a544556484c3039464c7a49774d6a59794d4449314d5441774f5339515153396b4e7a55795a6a56684d5331695a444e6d4c5451344e325174596d4a695a43316a4f446b7a4f544a694f44466d5a6a49756347526d&amp;Fich=d752f5a1-bd3f-487d-bbbd-c89392b81ff2.pdf&amp;Inline=true</t>
        </is>
      </c>
      <c r="X464" s="2" t="inlineStr">
        <is>
          <t>Assuntos Constitucionais, Direitos, Liberdades e Garantias</t>
        </is>
      </c>
      <c r="Y464" s="2" t="inlineStr">
        <is>
          <t>Articulado</t>
        </is>
      </c>
      <c r="Z464" s="2" t="inlineStr">
        <is>
          <t>Aditamento (Artigo PPL)</t>
        </is>
      </c>
      <c r="AA464" s="2" t="inlineStr">
        <is>
          <t>Rejeitado(a) em Comissão</t>
        </is>
      </c>
      <c r="AB464" s="2" t="inlineStr"/>
      <c r="AC464" s="2" t="inlineStr"/>
      <c r="AD464" s="2" t="inlineStr">
        <is>
          <t>1</t>
        </is>
      </c>
      <c r="AE464" s="2" t="inlineStr">
        <is>
          <t>23637</t>
        </is>
      </c>
      <c r="AF464" s="2" t="inlineStr">
        <is>
          <t>https://www.parlamento.pt/OrcamentoEstado/Paginas/DetalhePropostaAlteracao.aspx?BID=23637</t>
        </is>
      </c>
      <c r="AG464" s="2" t="inlineStr">
        <is>
          <t>https://app.parlamento.pt/webutils/docs/doc.pdf?path=6148523063484d364c793942556b356c6443397a6158526c63793959566b6c4a544556484c3039464c7a49774d6a59794d4449314d5441774f5339515153396b4e7a55795a6a56684d5331695a444e6d4c5451344e325174596d4a695a43316a4f446b7a4f544a694f44466d5a6a49756347526d&amp;Fich=d752f5a1-bd3f-487d-bbbd-c89392b81ff2.pdf&amp;Inline=true</t>
        </is>
      </c>
      <c r="AH464" s="3" t="n">
        <v>46321.77847222222</v>
      </c>
      <c r="AI464" s="3" t="n">
        <v>46321.78055555555</v>
      </c>
      <c r="AJ464" s="2" t="inlineStr"/>
    </row>
    <row r="465">
      <c r="A465" s="2" t="n">
        <v>464</v>
      </c>
      <c r="B465" s="2" t="inlineStr">
        <is>
          <t>424C</t>
        </is>
      </c>
      <c r="C465" s="3" t="n">
        <v>45965.74722222222</v>
      </c>
      <c r="D465" s="2" t="inlineStr">
        <is>
          <t>Original</t>
        </is>
      </c>
      <c r="E465" s="2" t="inlineStr">
        <is>
          <t>CH</t>
        </is>
      </c>
      <c r="F46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65" s="2" t="inlineStr">
        <is>
          <t>Art. 136.º-A (aditamento)</t>
        </is>
      </c>
      <c r="H465" s="2" t="n"/>
      <c r="I465" s="2" t="n"/>
      <c r="J465" s="2" t="n"/>
      <c r="K465" s="2" t="n"/>
      <c r="L465" s="2" t="inlineStr">
        <is>
          <t>Artigo 136.º-A (Aumento da comparticipação do Estado no porte pago para publicações periódicas dos órgãos de comunicação social de âmbito regional ou local)</t>
        </is>
      </c>
      <c r="M465" s="4" t="n"/>
      <c r="N465" s="4" t="n"/>
      <c r="O465" s="2" t="n"/>
      <c r="P465" s="2" t="n"/>
      <c r="Q465" s="2" t="n"/>
      <c r="R465" s="2" t="n"/>
      <c r="S465" s="2" t="inlineStr">
        <is>
          <t>Rejeitado(a) em Comissão</t>
        </is>
      </c>
      <c r="T465" s="2" t="inlineStr">
        <is>
          <t>Rejeitada</t>
        </is>
      </c>
      <c r="U465" s="2" t="inlineStr">
        <is>
          <t>Favor: CH, BE, PAN; Contra: PSD, CDS-PP; Abstenção: PS, IL, L, PCP</t>
        </is>
      </c>
      <c r="V465" s="3" t="n">
        <v>45987</v>
      </c>
      <c r="W465" s="2" t="inlineStr">
        <is>
          <t>AR: https://www.parlamento.pt/OrcamentoEstado/Paginas/DetalhePropostaAlteracao.aspx?BID=23638 PDF: https://app.parlamento.pt/webutils/docs/doc.pdf?path=6148523063484d364c793942556b356c6443397a6158526c63793959566b6c4a544556484c3039464c7a49774d6a59794d4449314d5441774f533951515338334d444d344d7a5a6a4d43316c4e3246684c5451334d3251744f575933595330344e7a49344e6a45324d44493059544d756347526d&amp;Fich=703836c0-e7aa-473d-9f7a-8728616024a3.pdf&amp;Inline=true</t>
        </is>
      </c>
      <c r="X465" s="2" t="inlineStr">
        <is>
          <t>Cultura, Comunicação, Juventude e Desporto</t>
        </is>
      </c>
      <c r="Y465" s="2" t="inlineStr">
        <is>
          <t>Articulado</t>
        </is>
      </c>
      <c r="Z465" s="2" t="inlineStr">
        <is>
          <t>Aditamento (Artigo PPL)</t>
        </is>
      </c>
      <c r="AA465" s="2" t="inlineStr">
        <is>
          <t>Rejeitado(a) em Comissão</t>
        </is>
      </c>
      <c r="AB465" s="2" t="inlineStr"/>
      <c r="AC465" s="2" t="inlineStr"/>
      <c r="AD465" s="2" t="inlineStr">
        <is>
          <t>1</t>
        </is>
      </c>
      <c r="AE465" s="2" t="inlineStr">
        <is>
          <t>23638</t>
        </is>
      </c>
      <c r="AF465" s="2" t="inlineStr">
        <is>
          <t>https://www.parlamento.pt/OrcamentoEstado/Paginas/DetalhePropostaAlteracao.aspx?BID=23638</t>
        </is>
      </c>
      <c r="AG465" s="2" t="inlineStr">
        <is>
          <t>https://app.parlamento.pt/webutils/docs/doc.pdf?path=6148523063484d364c793942556b356c6443397a6158526c63793959566b6c4a544556484c3039464c7a49774d6a59794d4449314d5441774f533951515338334d444d344d7a5a6a4d43316c4e3246684c5451334d3251744f575933595330344e7a49344e6a45324d44493059544d756347526d&amp;Fich=703836c0-e7aa-473d-9f7a-8728616024a3.pdf&amp;Inline=true</t>
        </is>
      </c>
      <c r="AH465" s="3" t="n">
        <v>46321.77847222222</v>
      </c>
      <c r="AI465" s="3" t="n">
        <v>46321.78055555555</v>
      </c>
      <c r="AJ465" s="2" t="inlineStr"/>
    </row>
    <row r="466">
      <c r="A466" s="2" t="n">
        <v>465</v>
      </c>
      <c r="B466" s="2" t="inlineStr">
        <is>
          <t>425C</t>
        </is>
      </c>
      <c r="C466" s="3" t="n">
        <v>45965.74791666667</v>
      </c>
      <c r="D466" s="2" t="inlineStr">
        <is>
          <t>Original</t>
        </is>
      </c>
      <c r="E466" s="2" t="inlineStr">
        <is>
          <t>CH</t>
        </is>
      </c>
      <c r="F46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66" s="2" t="inlineStr">
        <is>
          <t>Art. 136.º-A (aditamento)</t>
        </is>
      </c>
      <c r="H466" s="2" t="n"/>
      <c r="I466" s="2" t="n"/>
      <c r="J466" s="2" t="n"/>
      <c r="K466" s="2" t="n"/>
      <c r="L466" s="2" t="inlineStr">
        <is>
          <t>Artigo 136.º-A (Projeto de emparcelamento das marinhas de arroz junto ao rio Pranto)</t>
        </is>
      </c>
      <c r="M466" s="4" t="n"/>
      <c r="N466" s="4" t="n"/>
      <c r="O466" s="2" t="n"/>
      <c r="P466" s="2" t="n"/>
      <c r="Q466" s="2" t="n"/>
      <c r="R466" s="2" t="n"/>
      <c r="S466" s="2" t="inlineStr">
        <is>
          <t>Rejeitado(a) em Comissão</t>
        </is>
      </c>
      <c r="T466" s="2" t="inlineStr">
        <is>
          <t>Rejeitada</t>
        </is>
      </c>
      <c r="U466" s="2" t="inlineStr">
        <is>
          <t>Favor: CH, BE; Contra: PSD, CDS-PP; Abstenção: PS, IL, L, PCP, PAN</t>
        </is>
      </c>
      <c r="V466" s="3" t="n">
        <v>45987</v>
      </c>
      <c r="W466" s="2" t="inlineStr">
        <is>
          <t>AR: https://www.parlamento.pt/OrcamentoEstado/Paginas/DetalhePropostaAlteracao.aspx?BID=23639 PDF: https://app.parlamento.pt/webutils/docs/doc.pdf?path=6148523063484d364c793942556b356c6443397a6158526c63793959566b6c4a544556484c3039464c7a49774d6a59794d4449314d5441774f533951515339694e445a684e7a6c695a4330345a4445314c5451334e4749744f44526d4d5330324f5746684e5451354e6a646d4f4449756347526d&amp;Fich=b46a79bd-8d15-474b-84f1-69aa54967f82.pdf&amp;Inline=true</t>
        </is>
      </c>
      <c r="X466" s="2" t="inlineStr">
        <is>
          <t>Agricultura e Pescas</t>
        </is>
      </c>
      <c r="Y466" s="2" t="inlineStr">
        <is>
          <t>Articulado</t>
        </is>
      </c>
      <c r="Z466" s="2" t="inlineStr">
        <is>
          <t>Aditamento (Artigo PPL)</t>
        </is>
      </c>
      <c r="AA466" s="2" t="inlineStr">
        <is>
          <t>Rejeitado(a) em Comissão</t>
        </is>
      </c>
      <c r="AB466" s="2" t="inlineStr"/>
      <c r="AC466" s="2" t="inlineStr"/>
      <c r="AD466" s="2" t="inlineStr">
        <is>
          <t>1</t>
        </is>
      </c>
      <c r="AE466" s="2" t="inlineStr">
        <is>
          <t>23639</t>
        </is>
      </c>
      <c r="AF466" s="2" t="inlineStr">
        <is>
          <t>https://www.parlamento.pt/OrcamentoEstado/Paginas/DetalhePropostaAlteracao.aspx?BID=23639</t>
        </is>
      </c>
      <c r="AG466" s="2" t="inlineStr">
        <is>
          <t>https://app.parlamento.pt/webutils/docs/doc.pdf?path=6148523063484d364c793942556b356c6443397a6158526c63793959566b6c4a544556484c3039464c7a49774d6a59794d4449314d5441774f533951515339694e445a684e7a6c695a4330345a4445314c5451334e4749744f44526d4d5330324f5746684e5451354e6a646d4f4449756347526d&amp;Fich=b46a79bd-8d15-474b-84f1-69aa54967f82.pdf&amp;Inline=true</t>
        </is>
      </c>
      <c r="AH466" s="3" t="n">
        <v>46321.77847222222</v>
      </c>
      <c r="AI466" s="3" t="n">
        <v>46321.78055555555</v>
      </c>
      <c r="AJ466" s="2" t="inlineStr"/>
    </row>
    <row r="467">
      <c r="A467" s="2" t="n">
        <v>466</v>
      </c>
      <c r="B467" s="2" t="inlineStr">
        <is>
          <t>426C</t>
        </is>
      </c>
      <c r="C467" s="3" t="n">
        <v>45965.74930555555</v>
      </c>
      <c r="D467" s="2" t="inlineStr">
        <is>
          <t>Original</t>
        </is>
      </c>
      <c r="E467" s="2" t="inlineStr">
        <is>
          <t>CH</t>
        </is>
      </c>
      <c r="F46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67" s="2" t="inlineStr">
        <is>
          <t>Art. 136.º-A (aditamento)</t>
        </is>
      </c>
      <c r="H467" s="2" t="n"/>
      <c r="I467" s="2" t="n"/>
      <c r="J467" s="2" t="n"/>
      <c r="K467" s="2" t="n"/>
      <c r="L467" s="2" t="inlineStr">
        <is>
          <t>Artigo 136.º-A (Reabertura da Linha Férrea entre Fafe e Guimarães)</t>
        </is>
      </c>
      <c r="M467" s="4" t="n"/>
      <c r="N467" s="4" t="n"/>
      <c r="O467" s="2" t="n"/>
      <c r="P467" s="2" t="n"/>
      <c r="Q467" s="2" t="n"/>
      <c r="R467" s="2" t="n"/>
      <c r="S467" s="2" t="inlineStr">
        <is>
          <t>Rejeitado(a) em Comissão</t>
        </is>
      </c>
      <c r="T467" s="2" t="inlineStr">
        <is>
          <t>Rejeitada</t>
        </is>
      </c>
      <c r="U467" s="2" t="inlineStr">
        <is>
          <t>Favor: CH, BE, PAN; Contra: PSD, CDS-PP; Abstenção: PS, IL, L, PCP</t>
        </is>
      </c>
      <c r="V467" s="3" t="n">
        <v>45987</v>
      </c>
      <c r="W467" s="2" t="inlineStr">
        <is>
          <t>AR: https://www.parlamento.pt/OrcamentoEstado/Paginas/DetalhePropostaAlteracao.aspx?BID=23640 PDF: https://app.parlamento.pt/webutils/docs/doc.pdf?path=6148523063484d364c793942556b356c6443397a6158526c63793959566b6c4a544556484c3039464c7a49774d6a59794d4449314d5441774f533951515338774f5759315a44566a4d53316c595755314c5451314e6a4d744f5455794d793079597a55794e44466c4e4441794d7a41756347526d&amp;Fich=09f5d5c1-eae5-4563-9523-2c5241e40230.pdf&amp;Inline=true</t>
        </is>
      </c>
      <c r="X467" s="2" t="inlineStr">
        <is>
          <t>Infraestruturas, Mobilidade e Habitação</t>
        </is>
      </c>
      <c r="Y467" s="2" t="inlineStr">
        <is>
          <t>Articulado</t>
        </is>
      </c>
      <c r="Z467" s="2" t="inlineStr">
        <is>
          <t>Aditamento (Artigo PPL)</t>
        </is>
      </c>
      <c r="AA467" s="2" t="inlineStr">
        <is>
          <t>Rejeitado(a) em Comissão</t>
        </is>
      </c>
      <c r="AB467" s="2" t="inlineStr"/>
      <c r="AC467" s="2" t="inlineStr"/>
      <c r="AD467" s="2" t="inlineStr">
        <is>
          <t>1</t>
        </is>
      </c>
      <c r="AE467" s="2" t="inlineStr">
        <is>
          <t>23640</t>
        </is>
      </c>
      <c r="AF467" s="2" t="inlineStr">
        <is>
          <t>https://www.parlamento.pt/OrcamentoEstado/Paginas/DetalhePropostaAlteracao.aspx?BID=23640</t>
        </is>
      </c>
      <c r="AG467" s="2" t="inlineStr">
        <is>
          <t>https://app.parlamento.pt/webutils/docs/doc.pdf?path=6148523063484d364c793942556b356c6443397a6158526c63793959566b6c4a544556484c3039464c7a49774d6a59794d4449314d5441774f533951515338774f5759315a44566a4d53316c595755314c5451314e6a4d744f5455794d793079597a55794e44466c4e4441794d7a41756347526d&amp;Fich=09f5d5c1-eae5-4563-9523-2c5241e40230.pdf&amp;Inline=true</t>
        </is>
      </c>
      <c r="AH467" s="3" t="n">
        <v>46321.77847222222</v>
      </c>
      <c r="AI467" s="3" t="n">
        <v>46321.78055555555</v>
      </c>
      <c r="AJ467" s="2" t="inlineStr"/>
    </row>
    <row r="468">
      <c r="A468" s="2" t="n">
        <v>467</v>
      </c>
      <c r="B468" s="2" t="inlineStr">
        <is>
          <t>427C</t>
        </is>
      </c>
      <c r="C468" s="3" t="n">
        <v>45965.75069444445</v>
      </c>
      <c r="D468" s="2" t="inlineStr">
        <is>
          <t>Original</t>
        </is>
      </c>
      <c r="E468" s="2" t="inlineStr">
        <is>
          <t>CH</t>
        </is>
      </c>
      <c r="F46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68" s="2" t="inlineStr">
        <is>
          <t>Art. 136.º-A (aditamento)</t>
        </is>
      </c>
      <c r="H468" s="2" t="n"/>
      <c r="I468" s="2" t="n"/>
      <c r="J468" s="2" t="n"/>
      <c r="K468" s="2" t="n"/>
      <c r="L468" s="2" t="inlineStr">
        <is>
          <t>Artigo 136.º-A (Reflorestação do Parque Natural da Serra da Estrela)</t>
        </is>
      </c>
      <c r="M468" s="4" t="n"/>
      <c r="N468" s="4" t="n"/>
      <c r="O468" s="2" t="n"/>
      <c r="P468" s="2" t="n"/>
      <c r="Q468" s="2" t="n"/>
      <c r="R468" s="2" t="n"/>
      <c r="S468" s="2" t="inlineStr">
        <is>
          <t>Rejeitado(a) em Comissão</t>
        </is>
      </c>
      <c r="T468" s="2" t="inlineStr">
        <is>
          <t>Rejeitada</t>
        </is>
      </c>
      <c r="U468" s="2" t="inlineStr">
        <is>
          <t>Favor: CH, BE, PAN; Contra: PSD, CDS-PP; Abstenção: PS, IL, L, PCP</t>
        </is>
      </c>
      <c r="V468" s="3" t="n">
        <v>45987</v>
      </c>
      <c r="W468" s="2" t="inlineStr">
        <is>
          <t>AR: https://www.parlamento.pt/OrcamentoEstado/Paginas/DetalhePropostaAlteracao.aspx?BID=23641 PDF: https://app.parlamento.pt/webutils/docs/doc.pdf?path=6148523063484d364c793942556b356c6443397a6158526c63793959566b6c4a544556484c3039464c7a49774d6a59794d4449314d5441774f5339515153396b4d7a426c5a545a6c4d693035596a41354c5451335a6d49744f44517a5a4330784e545979595441334d324e694d6a59756347526d&amp;Fich=d30ee6e2-9b09-47fb-843d-1562a073cb26.pdf&amp;Inline=true</t>
        </is>
      </c>
      <c r="X468" s="2" t="inlineStr">
        <is>
          <t>Ambiente e Energia</t>
        </is>
      </c>
      <c r="Y468" s="2" t="inlineStr">
        <is>
          <t>Articulado</t>
        </is>
      </c>
      <c r="Z468" s="2" t="inlineStr">
        <is>
          <t>Aditamento (Artigo PPL)</t>
        </is>
      </c>
      <c r="AA468" s="2" t="inlineStr">
        <is>
          <t>Rejeitado(a) em Comissão</t>
        </is>
      </c>
      <c r="AB468" s="2" t="inlineStr"/>
      <c r="AC468" s="2" t="inlineStr"/>
      <c r="AD468" s="2" t="inlineStr">
        <is>
          <t>1</t>
        </is>
      </c>
      <c r="AE468" s="2" t="inlineStr">
        <is>
          <t>23641</t>
        </is>
      </c>
      <c r="AF468" s="2" t="inlineStr">
        <is>
          <t>https://www.parlamento.pt/OrcamentoEstado/Paginas/DetalhePropostaAlteracao.aspx?BID=23641</t>
        </is>
      </c>
      <c r="AG468" s="2" t="inlineStr">
        <is>
          <t>https://app.parlamento.pt/webutils/docs/doc.pdf?path=6148523063484d364c793942556b356c6443397a6158526c63793959566b6c4a544556484c3039464c7a49774d6a59794d4449314d5441774f5339515153396b4d7a426c5a545a6c4d693035596a41354c5451335a6d49744f44517a5a4330784e545979595441334d324e694d6a59756347526d&amp;Fich=d30ee6e2-9b09-47fb-843d-1562a073cb26.pdf&amp;Inline=true</t>
        </is>
      </c>
      <c r="AH468" s="3" t="n">
        <v>46321.77847222222</v>
      </c>
      <c r="AI468" s="3" t="n">
        <v>46321.78055555555</v>
      </c>
      <c r="AJ468" s="2" t="inlineStr"/>
    </row>
    <row r="469">
      <c r="A469" s="2" t="n">
        <v>468</v>
      </c>
      <c r="B469" s="2" t="inlineStr">
        <is>
          <t>428C</t>
        </is>
      </c>
      <c r="C469" s="3" t="n">
        <v>45965.75208333333</v>
      </c>
      <c r="D469" s="2" t="inlineStr">
        <is>
          <t>Original</t>
        </is>
      </c>
      <c r="E469" s="2" t="inlineStr">
        <is>
          <t>CH</t>
        </is>
      </c>
      <c r="F46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69" s="2" t="inlineStr">
        <is>
          <t>Art. 136.º-A (aditamento)</t>
        </is>
      </c>
      <c r="H469" s="2" t="n"/>
      <c r="I469" s="2" t="n"/>
      <c r="J469" s="2" t="n"/>
      <c r="K469" s="2" t="n"/>
      <c r="L469" s="2" t="inlineStr">
        <is>
          <t>Artigo 136.º-A (Requalificação da Estrada Nacional 17 – troço da Lousã)</t>
        </is>
      </c>
      <c r="M469" s="4" t="n"/>
      <c r="N469" s="4" t="n"/>
      <c r="O469" s="2" t="n"/>
      <c r="P469" s="2" t="n"/>
      <c r="Q469" s="2" t="n"/>
      <c r="R469" s="2" t="n"/>
      <c r="S469" s="2" t="inlineStr">
        <is>
          <t>Rejeitado(a) em Comissão</t>
        </is>
      </c>
      <c r="T469" s="2" t="inlineStr">
        <is>
          <t>Rejeitada</t>
        </is>
      </c>
      <c r="U469" s="2" t="inlineStr">
        <is>
          <t>Favor: CH, BE; Contra: PSD, CDS-PP; Abstenção: PS, IL, L, PCP, PAN</t>
        </is>
      </c>
      <c r="V469" s="3" t="n">
        <v>45987</v>
      </c>
      <c r="W469" s="2" t="inlineStr">
        <is>
          <t>AR: https://www.parlamento.pt/OrcamentoEstado/Paginas/DetalhePropostaAlteracao.aspx?BID=23642 PDF: https://app.parlamento.pt/webutils/docs/doc.pdf?path=6148523063484d364c793942556b356c6443397a6158526c63793959566b6c4a544556484c3039464c7a49774d6a59794d4449314d5441774f533951515338784f5441325a474d335969316a5a444a684c5452685a4449744f4455334f5330794d574d784e446c6a596a59304e4449756347526d&amp;Fich=1906dc7b-cd2a-4ad2-8579-21c149cb6442.pdf&amp;Inline=true</t>
        </is>
      </c>
      <c r="X469" s="2" t="inlineStr">
        <is>
          <t>Infraestruturas, Mobilidade e Habitação</t>
        </is>
      </c>
      <c r="Y469" s="2" t="inlineStr">
        <is>
          <t>Articulado</t>
        </is>
      </c>
      <c r="Z469" s="2" t="inlineStr">
        <is>
          <t>Aditamento (Artigo PPL)</t>
        </is>
      </c>
      <c r="AA469" s="2" t="inlineStr">
        <is>
          <t>Rejeitado(a) em Comissão</t>
        </is>
      </c>
      <c r="AB469" s="2" t="inlineStr"/>
      <c r="AC469" s="2" t="inlineStr"/>
      <c r="AD469" s="2" t="inlineStr">
        <is>
          <t>1</t>
        </is>
      </c>
      <c r="AE469" s="2" t="inlineStr">
        <is>
          <t>23642</t>
        </is>
      </c>
      <c r="AF469" s="2" t="inlineStr">
        <is>
          <t>https://www.parlamento.pt/OrcamentoEstado/Paginas/DetalhePropostaAlteracao.aspx?BID=23642</t>
        </is>
      </c>
      <c r="AG469" s="2" t="inlineStr">
        <is>
          <t>https://app.parlamento.pt/webutils/docs/doc.pdf?path=6148523063484d364c793942556b356c6443397a6158526c63793959566b6c4a544556484c3039464c7a49774d6a59794d4449314d5441774f533951515338784f5441325a474d335969316a5a444a684c5452685a4449744f4455334f5330794d574d784e446c6a596a59304e4449756347526d&amp;Fich=1906dc7b-cd2a-4ad2-8579-21c149cb6442.pdf&amp;Inline=true</t>
        </is>
      </c>
      <c r="AH469" s="3" t="n">
        <v>46321.77847222222</v>
      </c>
      <c r="AI469" s="3" t="n">
        <v>46321.78055555555</v>
      </c>
      <c r="AJ469" s="2" t="inlineStr"/>
    </row>
    <row r="470">
      <c r="A470" s="2" t="n">
        <v>469</v>
      </c>
      <c r="B470" s="2" t="inlineStr">
        <is>
          <t>429C</t>
        </is>
      </c>
      <c r="C470" s="3" t="n">
        <v>45965.75347222222</v>
      </c>
      <c r="D470" s="2" t="inlineStr">
        <is>
          <t>Original</t>
        </is>
      </c>
      <c r="E470" s="2" t="inlineStr">
        <is>
          <t>CH</t>
        </is>
      </c>
      <c r="F47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70" s="2" t="inlineStr">
        <is>
          <t>Art. 136.º-A (aditamento)</t>
        </is>
      </c>
      <c r="H470" s="2" t="n"/>
      <c r="I470" s="2" t="n"/>
      <c r="J470" s="2" t="n"/>
      <c r="K470" s="2" t="n"/>
      <c r="L470" s="2" t="inlineStr">
        <is>
          <t>Artigo 136.º-A (Requalificação da passagem subterrânea na N10 e da estação ferroviária de Santa Iria de Azóia)</t>
        </is>
      </c>
      <c r="M470" s="4" t="n"/>
      <c r="N470" s="4" t="n"/>
      <c r="O470" s="2" t="n"/>
      <c r="P470" s="2" t="n"/>
      <c r="Q470" s="2" t="n"/>
      <c r="R470" s="2" t="n"/>
      <c r="S470" s="2" t="inlineStr">
        <is>
          <t>Rejeitado(a) em Comissão</t>
        </is>
      </c>
      <c r="T470" s="2" t="inlineStr">
        <is>
          <t>Rejeitada</t>
        </is>
      </c>
      <c r="U470" s="2" t="inlineStr">
        <is>
          <t>Favor: CH, IL, BE; Contra: PSD, CDS-PP; Abstenção: PS, L, PCP, PAN</t>
        </is>
      </c>
      <c r="V470" s="3" t="n">
        <v>45987</v>
      </c>
      <c r="W470" s="2" t="inlineStr">
        <is>
          <t>AR: https://www.parlamento.pt/OrcamentoEstado/Paginas/DetalhePropostaAlteracao.aspx?BID=23643 PDF: https://app.parlamento.pt/webutils/docs/doc.pdf?path=6148523063484d364c793942556b356c6443397a6158526c63793959566b6c4a544556484c3039464c7a49774d6a59794d4449314d5441774f533951515338334e7a4d314e6d4d34595330774d47597a4c5451794f544d74596a67344d6930794d444a6a4f474a6b4e6a49784e7a41756347526d&amp;Fich=77356c8a-00f3-4293-b882-202c8bd62170.pdf&amp;Inline=true</t>
        </is>
      </c>
      <c r="X470" s="2" t="inlineStr">
        <is>
          <t>Infraestruturas, Mobilidade e Habitação</t>
        </is>
      </c>
      <c r="Y470" s="2" t="inlineStr">
        <is>
          <t>Articulado</t>
        </is>
      </c>
      <c r="Z470" s="2" t="inlineStr">
        <is>
          <t>Aditamento (Artigo PPL)</t>
        </is>
      </c>
      <c r="AA470" s="2" t="inlineStr">
        <is>
          <t>Rejeitado(a) em Comissão</t>
        </is>
      </c>
      <c r="AB470" s="2" t="inlineStr"/>
      <c r="AC470" s="2" t="inlineStr"/>
      <c r="AD470" s="2" t="inlineStr">
        <is>
          <t>1</t>
        </is>
      </c>
      <c r="AE470" s="2" t="inlineStr">
        <is>
          <t>23643</t>
        </is>
      </c>
      <c r="AF470" s="2" t="inlineStr">
        <is>
          <t>https://www.parlamento.pt/OrcamentoEstado/Paginas/DetalhePropostaAlteracao.aspx?BID=23643</t>
        </is>
      </c>
      <c r="AG470" s="2" t="inlineStr">
        <is>
          <t>https://app.parlamento.pt/webutils/docs/doc.pdf?path=6148523063484d364c793942556b356c6443397a6158526c63793959566b6c4a544556484c3039464c7a49774d6a59794d4449314d5441774f533951515338334e7a4d314e6d4d34595330774d47597a4c5451794f544d74596a67344d6930794d444a6a4f474a6b4e6a49784e7a41756347526d&amp;Fich=77356c8a-00f3-4293-b882-202c8bd62170.pdf&amp;Inline=true</t>
        </is>
      </c>
      <c r="AH470" s="3" t="n">
        <v>46321.77847222222</v>
      </c>
      <c r="AI470" s="3" t="n">
        <v>46321.78055555555</v>
      </c>
      <c r="AJ470" s="2" t="inlineStr"/>
    </row>
    <row r="471">
      <c r="A471" s="2" t="n">
        <v>470</v>
      </c>
      <c r="B471" s="2" t="inlineStr">
        <is>
          <t>430C</t>
        </is>
      </c>
      <c r="C471" s="3" t="n">
        <v>45965.75486111111</v>
      </c>
      <c r="D471" s="2" t="inlineStr">
        <is>
          <t>Original</t>
        </is>
      </c>
      <c r="E471" s="2" t="inlineStr">
        <is>
          <t>CH</t>
        </is>
      </c>
      <c r="F47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71" s="2" t="inlineStr">
        <is>
          <t>Art. 136.º-A (aditamento)</t>
        </is>
      </c>
      <c r="H471" s="2" t="n"/>
      <c r="I471" s="2" t="n"/>
      <c r="J471" s="2" t="n"/>
      <c r="K471" s="2" t="n"/>
      <c r="L471" s="2" t="inlineStr">
        <is>
          <t>Artigo 136.º-A (Requalificação da N124 entre Portimão e Alcoutim)</t>
        </is>
      </c>
      <c r="M471" s="4" t="n"/>
      <c r="N471" s="4" t="n"/>
      <c r="O471" s="2" t="n"/>
      <c r="P471" s="2" t="n"/>
      <c r="Q471" s="2" t="n"/>
      <c r="R471" s="2" t="n"/>
      <c r="S471" s="2" t="inlineStr">
        <is>
          <t>Rejeitado(a) em Comissão</t>
        </is>
      </c>
      <c r="T471" s="2" t="inlineStr">
        <is>
          <t>Rejeitada</t>
        </is>
      </c>
      <c r="U471" s="2" t="inlineStr">
        <is>
          <t>Favor: CH, BE; Contra: PSD, CDS-PP; Abstenção: PS, IL, L, PCP, PAN</t>
        </is>
      </c>
      <c r="V471" s="3" t="n">
        <v>45987</v>
      </c>
      <c r="W471" s="2" t="inlineStr">
        <is>
          <t>AR: https://www.parlamento.pt/OrcamentoEstado/Paginas/DetalhePropostaAlteracao.aspx?BID=23644 PDF: https://app.parlamento.pt/webutils/docs/doc.pdf?path=6148523063484d364c793942556b356c6443397a6158526c63793959566b6c4a544556484c3039464c7a49774d6a59794d4449314d5441774f533951515338345a474d77593245784d6930325a575a6b4c5451794e5445744f445a684d5330774d3252694e6d4d785a5445335a5745756347526d&amp;Fich=8dc0ca12-6efd-4251-86a1-03db6c1e17ea.pdf&amp;Inline=true</t>
        </is>
      </c>
      <c r="X471" s="2" t="inlineStr">
        <is>
          <t>Infraestruturas, Mobilidade e Habitação</t>
        </is>
      </c>
      <c r="Y471" s="2" t="inlineStr">
        <is>
          <t>Articulado</t>
        </is>
      </c>
      <c r="Z471" s="2" t="inlineStr">
        <is>
          <t>Aditamento (Artigo PPL)</t>
        </is>
      </c>
      <c r="AA471" s="2" t="inlineStr">
        <is>
          <t>Rejeitado(a) em Comissão</t>
        </is>
      </c>
      <c r="AB471" s="2" t="inlineStr"/>
      <c r="AC471" s="2" t="inlineStr"/>
      <c r="AD471" s="2" t="inlineStr">
        <is>
          <t>1</t>
        </is>
      </c>
      <c r="AE471" s="2" t="inlineStr">
        <is>
          <t>23644</t>
        </is>
      </c>
      <c r="AF471" s="2" t="inlineStr">
        <is>
          <t>https://www.parlamento.pt/OrcamentoEstado/Paginas/DetalhePropostaAlteracao.aspx?BID=23644</t>
        </is>
      </c>
      <c r="AG471" s="2" t="inlineStr">
        <is>
          <t>https://app.parlamento.pt/webutils/docs/doc.pdf?path=6148523063484d364c793942556b356c6443397a6158526c63793959566b6c4a544556484c3039464c7a49774d6a59794d4449314d5441774f533951515338345a474d77593245784d6930325a575a6b4c5451794e5445744f445a684d5330774d3252694e6d4d785a5445335a5745756347526d&amp;Fich=8dc0ca12-6efd-4251-86a1-03db6c1e17ea.pdf&amp;Inline=true</t>
        </is>
      </c>
      <c r="AH471" s="3" t="n">
        <v>46321.77847222222</v>
      </c>
      <c r="AI471" s="3" t="n">
        <v>46321.78055555555</v>
      </c>
      <c r="AJ471" s="2" t="inlineStr"/>
    </row>
    <row r="472">
      <c r="A472" s="2" t="n">
        <v>471</v>
      </c>
      <c r="B472" s="2" t="inlineStr">
        <is>
          <t>431C</t>
        </is>
      </c>
      <c r="C472" s="3" t="n">
        <v>45965.75555555556</v>
      </c>
      <c r="D472" s="2" t="inlineStr">
        <is>
          <t>Original</t>
        </is>
      </c>
      <c r="E472" s="2" t="inlineStr">
        <is>
          <t>CH</t>
        </is>
      </c>
      <c r="F47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72" s="2" t="inlineStr">
        <is>
          <t>Art. 136.º-A (aditamento)</t>
        </is>
      </c>
      <c r="H472" s="2" t="n"/>
      <c r="I472" s="2" t="n"/>
      <c r="J472" s="2" t="n"/>
      <c r="K472" s="2" t="n"/>
      <c r="L472" s="2" t="inlineStr">
        <is>
          <t>Artigo 136.º-A (Requalificação do IC 1 entre Alcácer do Sal e Ermidas do Sal, sendo urgente recuperar os 14 quilómetros críticos entre Alcácer do Sal-Norte e Palma)</t>
        </is>
      </c>
      <c r="M472" s="4" t="n"/>
      <c r="N472" s="4" t="n"/>
      <c r="O472" s="2" t="n"/>
      <c r="P472" s="2" t="n"/>
      <c r="Q472" s="2" t="n"/>
      <c r="R472" s="2" t="n"/>
      <c r="S472" s="2" t="inlineStr">
        <is>
          <t>Rejeitado(a) em Comissão</t>
        </is>
      </c>
      <c r="T472" s="2" t="inlineStr">
        <is>
          <t>Rejeitada</t>
        </is>
      </c>
      <c r="U472" s="2" t="inlineStr">
        <is>
          <t>Favor: CH, BE; Contra: PSD, CDS-PP; Abstenção: PS, IL, L, PCP, PAN</t>
        </is>
      </c>
      <c r="V472" s="3" t="n">
        <v>45987</v>
      </c>
      <c r="W472" s="2" t="inlineStr">
        <is>
          <t>AR: https://www.parlamento.pt/OrcamentoEstado/Paginas/DetalhePropostaAlteracao.aspx?BID=23645 PDF: https://app.parlamento.pt/webutils/docs/doc.pdf?path=6148523063484d364c793942556b356c6443397a6158526c63793959566b6c4a544556484c3039464c7a49774d6a59794d4449314d5441774f533951515339694e546733596a67794e433034596a526d4c5452684d6d5174596a63314e7930354f575a69593255325a5759334d7a51756347526d&amp;Fich=b587b824-8b4f-4a2d-b757-99fbce6ef734.pdf&amp;Inline=true</t>
        </is>
      </c>
      <c r="X472" s="2" t="inlineStr">
        <is>
          <t>Infraestruturas, Mobilidade e Habitação</t>
        </is>
      </c>
      <c r="Y472" s="2" t="inlineStr">
        <is>
          <t>Articulado</t>
        </is>
      </c>
      <c r="Z472" s="2" t="inlineStr">
        <is>
          <t>Aditamento (Artigo PPL)</t>
        </is>
      </c>
      <c r="AA472" s="2" t="inlineStr">
        <is>
          <t>Rejeitado(a) em Comissão</t>
        </is>
      </c>
      <c r="AB472" s="2" t="inlineStr"/>
      <c r="AC472" s="2" t="inlineStr"/>
      <c r="AD472" s="2" t="inlineStr">
        <is>
          <t>1</t>
        </is>
      </c>
      <c r="AE472" s="2" t="inlineStr">
        <is>
          <t>23645</t>
        </is>
      </c>
      <c r="AF472" s="2" t="inlineStr">
        <is>
          <t>https://www.parlamento.pt/OrcamentoEstado/Paginas/DetalhePropostaAlteracao.aspx?BID=23645</t>
        </is>
      </c>
      <c r="AG472" s="2" t="inlineStr">
        <is>
          <t>https://app.parlamento.pt/webutils/docs/doc.pdf?path=6148523063484d364c793942556b356c6443397a6158526c63793959566b6c4a544556484c3039464c7a49774d6a59794d4449314d5441774f533951515339694e546733596a67794e433034596a526d4c5452684d6d5174596a63314e7930354f575a69593255325a5759334d7a51756347526d&amp;Fich=b587b824-8b4f-4a2d-b757-99fbce6ef734.pdf&amp;Inline=true</t>
        </is>
      </c>
      <c r="AH472" s="3" t="n">
        <v>46321.77847222222</v>
      </c>
      <c r="AI472" s="3" t="n">
        <v>46321.78055555555</v>
      </c>
      <c r="AJ472" s="2" t="inlineStr"/>
    </row>
    <row r="473">
      <c r="A473" s="2" t="n">
        <v>472</v>
      </c>
      <c r="B473" s="2" t="inlineStr">
        <is>
          <t>432C</t>
        </is>
      </c>
      <c r="C473" s="3" t="n">
        <v>45965.75625</v>
      </c>
      <c r="D473" s="2" t="inlineStr">
        <is>
          <t>Original</t>
        </is>
      </c>
      <c r="E473" s="2" t="inlineStr">
        <is>
          <t>CH</t>
        </is>
      </c>
      <c r="F47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73" s="2" t="inlineStr">
        <is>
          <t>Art. 136.º-A (aditamento)</t>
        </is>
      </c>
      <c r="H473" s="2" t="n"/>
      <c r="I473" s="2" t="n"/>
      <c r="J473" s="2" t="n"/>
      <c r="K473" s="2" t="n"/>
      <c r="L473" s="2" t="inlineStr">
        <is>
          <t>Artigo 136.º-A (Requalificação e manutenção da EN 125 – Algarve)</t>
        </is>
      </c>
      <c r="M473" s="4" t="n"/>
      <c r="N473" s="4" t="n"/>
      <c r="O473" s="2" t="n"/>
      <c r="P473" s="2" t="n"/>
      <c r="Q473" s="2" t="n"/>
      <c r="R473" s="2" t="n"/>
      <c r="S473" s="2" t="inlineStr">
        <is>
          <t>Rejeitado(a) em Comissão</t>
        </is>
      </c>
      <c r="T473" s="2" t="inlineStr">
        <is>
          <t>Rejeitada</t>
        </is>
      </c>
      <c r="U473" s="2" t="inlineStr">
        <is>
          <t>Favor: CH, BE; Contra: PSD, CDS-PP; Abstenção: PS, IL, L, PCP, PAN</t>
        </is>
      </c>
      <c r="V473" s="3" t="n">
        <v>45987</v>
      </c>
      <c r="W473" s="2" t="inlineStr">
        <is>
          <t>AR: https://www.parlamento.pt/OrcamentoEstado/Paginas/DetalhePropostaAlteracao.aspx?BID=23646 PDF: https://app.parlamento.pt/webutils/docs/doc.pdf?path=6148523063484d364c793942556b356c6443397a6158526c63793959566b6c4a544556484c3039464c7a49774d6a59794d4449314d5441774f533951515338324e325a694d32517a5969303559574a6c4c5451784d7a59744f5467354f53307a4f4464695a6d4d324f475a6d4d5455756347526d&amp;Fich=67fb3d3b-9abe-4136-9899-387bfc68ff15.pdf&amp;Inline=true</t>
        </is>
      </c>
      <c r="X473" s="2" t="inlineStr">
        <is>
          <t>Infraestruturas, Mobilidade e Habitação</t>
        </is>
      </c>
      <c r="Y473" s="2" t="inlineStr">
        <is>
          <t>Articulado</t>
        </is>
      </c>
      <c r="Z473" s="2" t="inlineStr">
        <is>
          <t>Aditamento (Artigo PPL)</t>
        </is>
      </c>
      <c r="AA473" s="2" t="inlineStr">
        <is>
          <t>Rejeitado(a) em Comissão</t>
        </is>
      </c>
      <c r="AB473" s="2" t="inlineStr"/>
      <c r="AC473" s="2" t="inlineStr"/>
      <c r="AD473" s="2" t="inlineStr">
        <is>
          <t>1</t>
        </is>
      </c>
      <c r="AE473" s="2" t="inlineStr">
        <is>
          <t>23646</t>
        </is>
      </c>
      <c r="AF473" s="2" t="inlineStr">
        <is>
          <t>https://www.parlamento.pt/OrcamentoEstado/Paginas/DetalhePropostaAlteracao.aspx?BID=23646</t>
        </is>
      </c>
      <c r="AG473" s="2" t="inlineStr">
        <is>
          <t>https://app.parlamento.pt/webutils/docs/doc.pdf?path=6148523063484d364c793942556b356c6443397a6158526c63793959566b6c4a544556484c3039464c7a49774d6a59794d4449314d5441774f533951515338324e325a694d32517a5969303559574a6c4c5451784d7a59744f5467354f53307a4f4464695a6d4d324f475a6d4d5455756347526d&amp;Fich=67fb3d3b-9abe-4136-9899-387bfc68ff15.pdf&amp;Inline=true</t>
        </is>
      </c>
      <c r="AH473" s="3" t="n">
        <v>46321.77847222222</v>
      </c>
      <c r="AI473" s="3" t="n">
        <v>46321.78055555555</v>
      </c>
      <c r="AJ473" s="2" t="inlineStr"/>
    </row>
    <row r="474">
      <c r="A474" s="2" t="n">
        <v>473</v>
      </c>
      <c r="B474" s="2" t="inlineStr">
        <is>
          <t>433C</t>
        </is>
      </c>
      <c r="C474" s="3" t="n">
        <v>45965.75763888889</v>
      </c>
      <c r="D474" s="2" t="inlineStr">
        <is>
          <t>Original</t>
        </is>
      </c>
      <c r="E474" s="2" t="inlineStr">
        <is>
          <t>CH</t>
        </is>
      </c>
      <c r="F47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74" s="2" t="inlineStr">
        <is>
          <t>Art. 136.º-A (aditamento)</t>
        </is>
      </c>
      <c r="H474" s="2" t="n"/>
      <c r="I474" s="2" t="n"/>
      <c r="J474" s="2" t="n"/>
      <c r="K474" s="2" t="n"/>
      <c r="L474" s="2" t="inlineStr">
        <is>
          <t>Artigo 136.º-A (Abertura de espaços específicos de intervenção e acompanhamento a vítimas de violência doméstica e sexual)</t>
        </is>
      </c>
      <c r="M474" s="4" t="n"/>
      <c r="N474" s="4" t="n"/>
      <c r="O474" s="2" t="n"/>
      <c r="P474" s="2" t="n"/>
      <c r="Q474" s="2" t="n"/>
      <c r="R474" s="2" t="n"/>
      <c r="S474" s="2" t="inlineStr">
        <is>
          <t>Rejeitado(a) em Comissão</t>
        </is>
      </c>
      <c r="T474" s="2" t="inlineStr">
        <is>
          <t>Rejeitada</t>
        </is>
      </c>
      <c r="U474" s="2" t="inlineStr">
        <is>
          <t>Favor: CH, BE; Contra: PSD, CDS-PP; Abstenção: PS, IL, L, PCP, PAN</t>
        </is>
      </c>
      <c r="V474" s="3" t="n">
        <v>45987</v>
      </c>
      <c r="W474" s="2" t="inlineStr">
        <is>
          <t>AR: https://www.parlamento.pt/OrcamentoEstado/Paginas/DetalhePropostaAlteracao.aspx?BID=23647 PDF: https://app.parlamento.pt/webutils/docs/doc.pdf?path=6148523063484d364c793942556b356c6443397a6158526c63793959566b6c4a544556484c3039464c7a49774d6a59794d4449314d5441774f5339515153396a4f4755314e475a6c597930304d7a466a4c54526959546b74595455354d5330784d544d315a57466d4d6a63354e6a49756347526d&amp;Fich=c8e54fec-431c-4ba9-a591-1135eaf27962.pdf&amp;Inline=true</t>
        </is>
      </c>
      <c r="X474" s="2" t="inlineStr">
        <is>
          <t>Trabalho, Segurança Social e Inclusão</t>
        </is>
      </c>
      <c r="Y474" s="2" t="inlineStr">
        <is>
          <t>Articulado</t>
        </is>
      </c>
      <c r="Z474" s="2" t="inlineStr">
        <is>
          <t>Aditamento (Artigo PPL)</t>
        </is>
      </c>
      <c r="AA474" s="2" t="inlineStr">
        <is>
          <t>Rejeitado(a) em Comissão</t>
        </is>
      </c>
      <c r="AB474" s="2" t="inlineStr"/>
      <c r="AC474" s="2" t="inlineStr"/>
      <c r="AD474" s="2" t="inlineStr">
        <is>
          <t>1</t>
        </is>
      </c>
      <c r="AE474" s="2" t="inlineStr">
        <is>
          <t>23647</t>
        </is>
      </c>
      <c r="AF474" s="2" t="inlineStr">
        <is>
          <t>https://www.parlamento.pt/OrcamentoEstado/Paginas/DetalhePropostaAlteracao.aspx?BID=23647</t>
        </is>
      </c>
      <c r="AG474" s="2" t="inlineStr">
        <is>
          <t>https://app.parlamento.pt/webutils/docs/doc.pdf?path=6148523063484d364c793942556b356c6443397a6158526c63793959566b6c4a544556484c3039464c7a49774d6a59794d4449314d5441774f5339515153396a4f4755314e475a6c597930304d7a466a4c54526959546b74595455354d5330784d544d315a57466d4d6a63354e6a49756347526d&amp;Fich=c8e54fec-431c-4ba9-a591-1135eaf27962.pdf&amp;Inline=true</t>
        </is>
      </c>
      <c r="AH474" s="3" t="n">
        <v>46321.77847222222</v>
      </c>
      <c r="AI474" s="3" t="n">
        <v>46321.78055555555</v>
      </c>
      <c r="AJ474" s="2" t="inlineStr"/>
    </row>
    <row r="475">
      <c r="A475" s="2" t="n">
        <v>474</v>
      </c>
      <c r="B475" s="2" t="inlineStr">
        <is>
          <t>434C</t>
        </is>
      </c>
      <c r="C475" s="3" t="n">
        <v>45965.75972222222</v>
      </c>
      <c r="D475" s="2" t="inlineStr">
        <is>
          <t>Original</t>
        </is>
      </c>
      <c r="E475" s="2" t="inlineStr">
        <is>
          <t>CH</t>
        </is>
      </c>
      <c r="F47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75" s="2" t="inlineStr">
        <is>
          <t>Art. 136.º-A (aditamento)</t>
        </is>
      </c>
      <c r="H475" s="2" t="n"/>
      <c r="I475" s="2" t="n"/>
      <c r="J475" s="2" t="n"/>
      <c r="K475" s="2" t="n"/>
      <c r="L475" s="2" t="inlineStr">
        <is>
          <t>Artigo 136.º-A (Programa de Reutilização e Conversão de Espaços Escolares para Fomento da Literacia Agrícola)</t>
        </is>
      </c>
      <c r="M475" s="4" t="n"/>
      <c r="N475" s="4" t="n"/>
      <c r="O475" s="2" t="n"/>
      <c r="P475" s="2" t="n"/>
      <c r="Q475" s="2" t="n"/>
      <c r="R475" s="2" t="n"/>
      <c r="S475" s="2" t="inlineStr">
        <is>
          <t>Rejeitado(a) em Comissão</t>
        </is>
      </c>
      <c r="T475" s="2" t="inlineStr">
        <is>
          <t>Rejeitada</t>
        </is>
      </c>
      <c r="U475" s="2" t="inlineStr">
        <is>
          <t>Favor: CH; Contra: PSD, CDS-PP, PAN; Abstenção: PS, IL, L, PCP, BE</t>
        </is>
      </c>
      <c r="V475" s="3" t="n">
        <v>45987</v>
      </c>
      <c r="W475" s="2" t="inlineStr">
        <is>
          <t>AR: https://www.parlamento.pt/OrcamentoEstado/Paginas/DetalhePropostaAlteracao.aspx?BID=23648 PDF: https://app.parlamento.pt/webutils/docs/doc.pdf?path=6148523063484d364c793942556b356c6443397a6158526c63793959566b6c4a544556484c3039464c7a49774d6a59794d4449314d5441774f5339515153396b4e4445334e5759304d6930315a5445774c5451345a5759744f4441305a693079596a4d315a546b794e4451324e5441756347526d&amp;Fich=d4175f42-5e10-48ef-804f-2b35e9244650.pdf&amp;Inline=true</t>
        </is>
      </c>
      <c r="X475" s="2" t="inlineStr">
        <is>
          <t>Agricultura e Pescas; Educação e Ciência</t>
        </is>
      </c>
      <c r="Y475" s="2" t="inlineStr">
        <is>
          <t>Articulado</t>
        </is>
      </c>
      <c r="Z475" s="2" t="inlineStr">
        <is>
          <t>Aditamento (Artigo PPL)</t>
        </is>
      </c>
      <c r="AA475" s="2" t="inlineStr">
        <is>
          <t>Rejeitado(a) em Comissão</t>
        </is>
      </c>
      <c r="AB475" s="2" t="inlineStr"/>
      <c r="AC475" s="2" t="inlineStr"/>
      <c r="AD475" s="2" t="inlineStr">
        <is>
          <t>1</t>
        </is>
      </c>
      <c r="AE475" s="2" t="inlineStr">
        <is>
          <t>23648</t>
        </is>
      </c>
      <c r="AF475" s="2" t="inlineStr">
        <is>
          <t>https://www.parlamento.pt/OrcamentoEstado/Paginas/DetalhePropostaAlteracao.aspx?BID=23648</t>
        </is>
      </c>
      <c r="AG475" s="2" t="inlineStr">
        <is>
          <t>https://app.parlamento.pt/webutils/docs/doc.pdf?path=6148523063484d364c793942556b356c6443397a6158526c63793959566b6c4a544556484c3039464c7a49774d6a59794d4449314d5441774f5339515153396b4e4445334e5759304d6930315a5445774c5451345a5759744f4441305a693079596a4d315a546b794e4451324e5441756347526d&amp;Fich=d4175f42-5e10-48ef-804f-2b35e9244650.pdf&amp;Inline=true</t>
        </is>
      </c>
      <c r="AH475" s="3" t="n">
        <v>46321.77847222222</v>
      </c>
      <c r="AI475" s="3" t="n">
        <v>46321.78055555555</v>
      </c>
      <c r="AJ475" s="2" t="inlineStr"/>
    </row>
    <row r="476">
      <c r="A476" s="2" t="n">
        <v>475</v>
      </c>
      <c r="B476" s="2" t="inlineStr">
        <is>
          <t>435C</t>
        </is>
      </c>
      <c r="C476" s="3" t="n">
        <v>45965.76111111111</v>
      </c>
      <c r="D476" s="2" t="inlineStr">
        <is>
          <t>Original</t>
        </is>
      </c>
      <c r="E476" s="2" t="inlineStr">
        <is>
          <t>CH</t>
        </is>
      </c>
      <c r="F47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76" s="2" t="inlineStr">
        <is>
          <t>Art. 136.º-A (aditamento)</t>
        </is>
      </c>
      <c r="H476" s="2" t="n"/>
      <c r="I476" s="2" t="n"/>
      <c r="J476" s="2" t="n"/>
      <c r="K476" s="2" t="n"/>
      <c r="L476" s="2" t="inlineStr">
        <is>
          <t>Artigo 136.º-A (Transparência quanto ao Fundo Geral Municipal)</t>
        </is>
      </c>
      <c r="M476" s="4" t="n"/>
      <c r="N476" s="4" t="n"/>
      <c r="O476" s="2" t="n"/>
      <c r="P476" s="2" t="n"/>
      <c r="Q476" s="2" t="n"/>
      <c r="R476" s="2" t="n"/>
      <c r="S476" s="2" t="inlineStr">
        <is>
          <t>Rejeitado(a) em Comissão</t>
        </is>
      </c>
      <c r="T476" s="2" t="inlineStr">
        <is>
          <t>Rejeitada</t>
        </is>
      </c>
      <c r="U476" s="2" t="inlineStr">
        <is>
          <t>Favor: CH, IL, BE, PAN; Contra: PSD, CDS-PP; Abstenção: PS, L, PCP</t>
        </is>
      </c>
      <c r="V476" s="3" t="n">
        <v>45987</v>
      </c>
      <c r="W476" s="2" t="inlineStr">
        <is>
          <t>AR: https://www.parlamento.pt/OrcamentoEstado/Paginas/DetalhePropostaAlteracao.aspx?BID=23649 PDF: https://app.parlamento.pt/webutils/docs/doc.pdf?path=6148523063484d364c793942556b356c6443397a6158526c63793959566b6c4a544556484c3039464c7a49774d6a59794d4449314d5441774f5339515153396a4e4759304d7a4a6c4d4330354f44597a4c5452684e574d74595751794e6931694f544e6a4e6d466b4d6d5a6b5a5755756347526d&amp;Fich=c4f432e0-9863-4a5c-ad26-b93c6ad2fdee.pdf&amp;Inline=true</t>
        </is>
      </c>
      <c r="X476" s="2" t="inlineStr">
        <is>
          <t>Reforma do Estado e Poder Local</t>
        </is>
      </c>
      <c r="Y476" s="2" t="inlineStr">
        <is>
          <t>Articulado</t>
        </is>
      </c>
      <c r="Z476" s="2" t="inlineStr">
        <is>
          <t>Aditamento (Artigo PPL)</t>
        </is>
      </c>
      <c r="AA476" s="2" t="inlineStr">
        <is>
          <t>Rejeitado(a) em Comissão</t>
        </is>
      </c>
      <c r="AB476" s="2" t="inlineStr"/>
      <c r="AC476" s="2" t="inlineStr"/>
      <c r="AD476" s="2" t="inlineStr">
        <is>
          <t>1</t>
        </is>
      </c>
      <c r="AE476" s="2" t="inlineStr">
        <is>
          <t>23649</t>
        </is>
      </c>
      <c r="AF476" s="2" t="inlineStr">
        <is>
          <t>https://www.parlamento.pt/OrcamentoEstado/Paginas/DetalhePropostaAlteracao.aspx?BID=23649</t>
        </is>
      </c>
      <c r="AG476" s="2" t="inlineStr">
        <is>
          <t>https://app.parlamento.pt/webutils/docs/doc.pdf?path=6148523063484d364c793942556b356c6443397a6158526c63793959566b6c4a544556484c3039464c7a49774d6a59794d4449314d5441774f5339515153396a4e4759304d7a4a6c4d4330354f44597a4c5452684e574d74595751794e6931694f544e6a4e6d466b4d6d5a6b5a5755756347526d&amp;Fich=c4f432e0-9863-4a5c-ad26-b93c6ad2fdee.pdf&amp;Inline=true</t>
        </is>
      </c>
      <c r="AH476" s="3" t="n">
        <v>46321.77847222222</v>
      </c>
      <c r="AI476" s="3" t="n">
        <v>46321.78055555555</v>
      </c>
      <c r="AJ476" s="2" t="inlineStr"/>
    </row>
    <row r="477">
      <c r="A477" s="2" t="n">
        <v>476</v>
      </c>
      <c r="B477" s="2" t="inlineStr">
        <is>
          <t>436C</t>
        </is>
      </c>
      <c r="C477" s="3" t="n">
        <v>45965.76319444444</v>
      </c>
      <c r="D477" s="2" t="inlineStr">
        <is>
          <t>Original</t>
        </is>
      </c>
      <c r="E477" s="2" t="inlineStr">
        <is>
          <t>CH</t>
        </is>
      </c>
      <c r="F47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77" s="2" t="inlineStr">
        <is>
          <t>Art. 136.º-A (aditamento)</t>
        </is>
      </c>
      <c r="H477" s="2" t="n"/>
      <c r="I477" s="2" t="n"/>
      <c r="J477" s="2" t="n"/>
      <c r="K477" s="2" t="n"/>
      <c r="L477" s="2" t="inlineStr">
        <is>
          <t>Artigo 136.º-A (Incentivo Financeiro à cultura tradicional)</t>
        </is>
      </c>
      <c r="M477" s="4" t="n"/>
      <c r="N477" s="4" t="n"/>
      <c r="O477" s="2" t="n"/>
      <c r="P477" s="2" t="n"/>
      <c r="Q477" s="2" t="n"/>
      <c r="R477" s="2" t="n"/>
      <c r="S477" s="2" t="inlineStr">
        <is>
          <t>Rejeitado(a) em Comissão</t>
        </is>
      </c>
      <c r="T477" s="2" t="inlineStr">
        <is>
          <t>Rejeitada</t>
        </is>
      </c>
      <c r="U477" s="2" t="inlineStr">
        <is>
          <t>Favor: CH; Contra: PSD, PS, IL, L, CDS-PP, PAN; Abstenção: PCP, BE</t>
        </is>
      </c>
      <c r="V477" s="3" t="n">
        <v>45987</v>
      </c>
      <c r="W477" s="2" t="inlineStr">
        <is>
          <t>AR: https://www.parlamento.pt/OrcamentoEstado/Paginas/DetalhePropostaAlteracao.aspx?BID=23650 PDF: https://app.parlamento.pt/webutils/docs/doc.pdf?path=6148523063484d364c793942556b356c6443397a6158526c63793959566b6c4a544556484c3039464c7a49774d6a59794d4449314d5441774f5339515153387a4d3245784f5449344d7930314f446b334c5451325a6a6b74596a466959793078597a5268597a4e6d4d4749794d5441756347526d&amp;Fich=33a19283-5897-46f9-b1bc-1c4ac3f0b210.pdf&amp;Inline=true</t>
        </is>
      </c>
      <c r="X477" s="2" t="inlineStr">
        <is>
          <t>Cultura, Comunicação, Juventude e Desporto</t>
        </is>
      </c>
      <c r="Y477" s="2" t="inlineStr">
        <is>
          <t>Articulado</t>
        </is>
      </c>
      <c r="Z477" s="2" t="inlineStr">
        <is>
          <t>Aditamento (Artigo PPL)</t>
        </is>
      </c>
      <c r="AA477" s="2" t="inlineStr">
        <is>
          <t>Rejeitado(a) em Comissão</t>
        </is>
      </c>
      <c r="AB477" s="2" t="inlineStr"/>
      <c r="AC477" s="2" t="inlineStr"/>
      <c r="AD477" s="2" t="inlineStr">
        <is>
          <t>1</t>
        </is>
      </c>
      <c r="AE477" s="2" t="inlineStr">
        <is>
          <t>23650</t>
        </is>
      </c>
      <c r="AF477" s="2" t="inlineStr">
        <is>
          <t>https://www.parlamento.pt/OrcamentoEstado/Paginas/DetalhePropostaAlteracao.aspx?BID=23650</t>
        </is>
      </c>
      <c r="AG477" s="2" t="inlineStr">
        <is>
          <t>https://app.parlamento.pt/webutils/docs/doc.pdf?path=6148523063484d364c793942556b356c6443397a6158526c63793959566b6c4a544556484c3039464c7a49774d6a59794d4449314d5441774f5339515153387a4d3245784f5449344d7930314f446b334c5451325a6a6b74596a466959793078597a5268597a4e6d4d4749794d5441756347526d&amp;Fich=33a19283-5897-46f9-b1bc-1c4ac3f0b210.pdf&amp;Inline=true</t>
        </is>
      </c>
      <c r="AH477" s="3" t="n">
        <v>46321.77847222222</v>
      </c>
      <c r="AI477" s="3" t="n">
        <v>46321.78055555555</v>
      </c>
      <c r="AJ477" s="2" t="inlineStr"/>
    </row>
    <row r="478">
      <c r="A478" s="2" t="n">
        <v>477</v>
      </c>
      <c r="B478" s="2" t="inlineStr">
        <is>
          <t>437C</t>
        </is>
      </c>
      <c r="C478" s="3" t="n">
        <v>45965.76388888889</v>
      </c>
      <c r="D478" s="2" t="inlineStr">
        <is>
          <t>Original</t>
        </is>
      </c>
      <c r="E478" s="2" t="inlineStr">
        <is>
          <t>CH</t>
        </is>
      </c>
      <c r="F47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78" s="2" t="inlineStr">
        <is>
          <t>Art. 136.º-A (aditamento)</t>
        </is>
      </c>
      <c r="H478" s="2" t="n"/>
      <c r="I478" s="2" t="n"/>
      <c r="J478" s="2" t="n"/>
      <c r="K478" s="2" t="n"/>
      <c r="L478" s="2" t="inlineStr">
        <is>
          <t>Artigo 136.º-A (Contratação de professores)</t>
        </is>
      </c>
      <c r="M478" s="4" t="n"/>
      <c r="N478" s="4" t="n"/>
      <c r="O478" s="2" t="n"/>
      <c r="P478" s="2" t="n"/>
      <c r="Q478" s="2" t="n"/>
      <c r="R478" s="2" t="n"/>
      <c r="S478" s="2" t="inlineStr">
        <is>
          <t>Rejeitado(a) em Comissão</t>
        </is>
      </c>
      <c r="T478" s="2" t="inlineStr">
        <is>
          <t>Rejeitada</t>
        </is>
      </c>
      <c r="U478" s="2" t="inlineStr">
        <is>
          <t>Favor: CH, IL, BE, PAN; Contra: PSD, CDS-PP; Abstenção: PS, L, PCP</t>
        </is>
      </c>
      <c r="V478" s="3" t="n">
        <v>45987</v>
      </c>
      <c r="W478" s="2" t="inlineStr">
        <is>
          <t>AR: https://www.parlamento.pt/OrcamentoEstado/Paginas/DetalhePropostaAlteracao.aspx?BID=23651 PDF: https://app.parlamento.pt/webutils/docs/doc.pdf?path=6148523063484d364c793942556b356c6443397a6158526c63793959566b6c4a544556484c3039464c7a49774d6a59794d4449314d5441774f5339515153396b4f5751795a574d31596930354e6a45794c54526b597a45744f44566d596930784e546c6b4d7a6c6c596d55774f5749756347526d&amp;Fich=d9d2ec5b-9612-4dc1-85fb-159d39ebe09b.pdf&amp;Inline=true</t>
        </is>
      </c>
      <c r="X478" s="2" t="inlineStr">
        <is>
          <t>Educação e Ciência</t>
        </is>
      </c>
      <c r="Y478" s="2" t="inlineStr">
        <is>
          <t>Articulado</t>
        </is>
      </c>
      <c r="Z478" s="2" t="inlineStr">
        <is>
          <t>Aditamento (Artigo PPL)</t>
        </is>
      </c>
      <c r="AA478" s="2" t="inlineStr">
        <is>
          <t>Rejeitado(a) em Comissão</t>
        </is>
      </c>
      <c r="AB478" s="2" t="inlineStr"/>
      <c r="AC478" s="2" t="inlineStr"/>
      <c r="AD478" s="2" t="inlineStr">
        <is>
          <t>1</t>
        </is>
      </c>
      <c r="AE478" s="2" t="inlineStr">
        <is>
          <t>23651</t>
        </is>
      </c>
      <c r="AF478" s="2" t="inlineStr">
        <is>
          <t>https://www.parlamento.pt/OrcamentoEstado/Paginas/DetalhePropostaAlteracao.aspx?BID=23651</t>
        </is>
      </c>
      <c r="AG478" s="2" t="inlineStr">
        <is>
          <t>https://app.parlamento.pt/webutils/docs/doc.pdf?path=6148523063484d364c793942556b356c6443397a6158526c63793959566b6c4a544556484c3039464c7a49774d6a59794d4449314d5441774f5339515153396b4f5751795a574d31596930354e6a45794c54526b597a45744f44566d596930784e546c6b4d7a6c6c596d55774f5749756347526d&amp;Fich=d9d2ec5b-9612-4dc1-85fb-159d39ebe09b.pdf&amp;Inline=true</t>
        </is>
      </c>
      <c r="AH478" s="3" t="n">
        <v>46321.77847222222</v>
      </c>
      <c r="AI478" s="3" t="n">
        <v>46321.78055555555</v>
      </c>
      <c r="AJ478" s="2" t="inlineStr"/>
    </row>
    <row r="479">
      <c r="A479" s="2" t="n">
        <v>478</v>
      </c>
      <c r="B479" s="2" t="inlineStr">
        <is>
          <t>438C</t>
        </is>
      </c>
      <c r="C479" s="3" t="n">
        <v>45965.76458333333</v>
      </c>
      <c r="D479" s="2" t="inlineStr">
        <is>
          <t>Original</t>
        </is>
      </c>
      <c r="E479" s="2" t="inlineStr">
        <is>
          <t>CH</t>
        </is>
      </c>
      <c r="F47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79" s="2" t="inlineStr">
        <is>
          <t>Art. 136.º-A (aditamento)</t>
        </is>
      </c>
      <c r="H479" s="2" t="n"/>
      <c r="I479" s="2" t="n"/>
      <c r="J479" s="2" t="n"/>
      <c r="K479" s="2" t="n"/>
      <c r="L479" s="2" t="inlineStr">
        <is>
          <t>Artigo 136.º-A (Acesso dos Antigos Combatentes ao Hospital das Forças Armadas)</t>
        </is>
      </c>
      <c r="M479" s="4" t="n"/>
      <c r="N479" s="4" t="n"/>
      <c r="O479" s="2" t="n"/>
      <c r="P479" s="2" t="n"/>
      <c r="Q479" s="2" t="n"/>
      <c r="R479" s="2" t="n"/>
      <c r="S479" s="2" t="inlineStr">
        <is>
          <t>Rejeitado(a) em Comissão</t>
        </is>
      </c>
      <c r="T479" s="2" t="inlineStr">
        <is>
          <t>Rejeitada</t>
        </is>
      </c>
      <c r="U479" s="2" t="inlineStr">
        <is>
          <t>Favor: CH, IL, BE, PAN; Contra: PSD, CDS-PP; Abstenção: PS, L, PCP</t>
        </is>
      </c>
      <c r="V479" s="3" t="n">
        <v>45987</v>
      </c>
      <c r="W479" s="2" t="inlineStr">
        <is>
          <t>AR: https://www.parlamento.pt/OrcamentoEstado/Paginas/DetalhePropostaAlteracao.aspx?BID=23652 PDF: https://app.parlamento.pt/webutils/docs/doc.pdf?path=6148523063484d364c793942556b356c6443397a6158526c63793959566b6c4a544556484c3039464c7a49774d6a59794d4449314d5441774f533951515338334d5459344d4445305a5330314d54597a4c54526959574d74596a59795953316a5a4749354d6a526a4d6d59784d5445756347526d&amp;Fich=7168014e-5163-4bac-b62a-cdb924c2f111.pdf&amp;Inline=true</t>
        </is>
      </c>
      <c r="X479" s="2" t="inlineStr">
        <is>
          <t>Defesa Nacional</t>
        </is>
      </c>
      <c r="Y479" s="2" t="inlineStr">
        <is>
          <t>Articulado</t>
        </is>
      </c>
      <c r="Z479" s="2" t="inlineStr">
        <is>
          <t>Aditamento (Artigo PPL)</t>
        </is>
      </c>
      <c r="AA479" s="2" t="inlineStr">
        <is>
          <t>Rejeitado(a) em Comissão</t>
        </is>
      </c>
      <c r="AB479" s="2" t="inlineStr"/>
      <c r="AC479" s="2" t="inlineStr"/>
      <c r="AD479" s="2" t="inlineStr">
        <is>
          <t>1</t>
        </is>
      </c>
      <c r="AE479" s="2" t="inlineStr">
        <is>
          <t>23652</t>
        </is>
      </c>
      <c r="AF479" s="2" t="inlineStr">
        <is>
          <t>https://www.parlamento.pt/OrcamentoEstado/Paginas/DetalhePropostaAlteracao.aspx?BID=23652</t>
        </is>
      </c>
      <c r="AG479" s="2" t="inlineStr">
        <is>
          <t>https://app.parlamento.pt/webutils/docs/doc.pdf?path=6148523063484d364c793942556b356c6443397a6158526c63793959566b6c4a544556484c3039464c7a49774d6a59794d4449314d5441774f533951515338334d5459344d4445305a5330314d54597a4c54526959574d74596a59795953316a5a4749354d6a526a4d6d59784d5445756347526d&amp;Fich=7168014e-5163-4bac-b62a-cdb924c2f111.pdf&amp;Inline=true</t>
        </is>
      </c>
      <c r="AH479" s="3" t="n">
        <v>46321.77847222222</v>
      </c>
      <c r="AI479" s="3" t="n">
        <v>46321.78055555555</v>
      </c>
      <c r="AJ479" s="2" t="inlineStr"/>
    </row>
    <row r="480">
      <c r="A480" s="2" t="n">
        <v>479</v>
      </c>
      <c r="B480" s="2" t="inlineStr">
        <is>
          <t>439C</t>
        </is>
      </c>
      <c r="C480" s="3" t="n">
        <v>45965.76597222222</v>
      </c>
      <c r="D480" s="2" t="inlineStr">
        <is>
          <t>Original</t>
        </is>
      </c>
      <c r="E480" s="2" t="inlineStr">
        <is>
          <t>CH</t>
        </is>
      </c>
      <c r="F48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80" s="2" t="inlineStr">
        <is>
          <t>Art. 136.º-A (aditamento)</t>
        </is>
      </c>
      <c r="H480" s="2" t="n"/>
      <c r="I480" s="2" t="n"/>
      <c r="J480" s="2" t="n"/>
      <c r="K480" s="2" t="n"/>
      <c r="L480" s="2" t="inlineStr">
        <is>
          <t>Artigo 136.º-A (Assegura em tempo útil o acesso a próteses, ortóteses e outro material ortopédico aos deficientes das Forças Armadas)</t>
        </is>
      </c>
      <c r="M480" s="4" t="n"/>
      <c r="N480" s="4" t="n"/>
      <c r="O480" s="2" t="n"/>
      <c r="P480" s="2" t="n"/>
      <c r="Q480" s="2" t="n"/>
      <c r="R480" s="2" t="n"/>
      <c r="S480" s="2" t="inlineStr">
        <is>
          <t>Rejeitado(a) em Comissão</t>
        </is>
      </c>
      <c r="T480" s="2" t="inlineStr">
        <is>
          <t>Rejeitada</t>
        </is>
      </c>
      <c r="U480" s="2" t="inlineStr">
        <is>
          <t>Favor: CH, IL, BE, PAN; Contra: PSD, CDS-PP; Abstenção: PS, L, PCP</t>
        </is>
      </c>
      <c r="V480" s="3" t="n">
        <v>45987</v>
      </c>
      <c r="W480" s="2" t="inlineStr">
        <is>
          <t>AR: https://www.parlamento.pt/OrcamentoEstado/Paginas/DetalhePropostaAlteracao.aspx?BID=23653 PDF: https://app.parlamento.pt/webutils/docs/doc.pdf?path=6148523063484d364c793942556b356c6443397a6158526c63793959566b6c4a544556484c3039464c7a49774d6a59794d4449314d5441774f533951515338354d4442694e445133595330784d5449354c5452694e6a67744f574a6d4d69316b4d54557859574d325954526b4f5451756347526d&amp;Fich=900b447a-1129-4b68-9bf2-d151ac6a4d94.pdf&amp;Inline=true</t>
        </is>
      </c>
      <c r="X480" s="2" t="inlineStr">
        <is>
          <t>Defesa Nacional; Trabalho, Segurança Social e Inclusão</t>
        </is>
      </c>
      <c r="Y480" s="2" t="inlineStr">
        <is>
          <t>Articulado</t>
        </is>
      </c>
      <c r="Z480" s="2" t="inlineStr">
        <is>
          <t>Aditamento (Artigo PPL)</t>
        </is>
      </c>
      <c r="AA480" s="2" t="inlineStr">
        <is>
          <t>Rejeitado(a) em Comissão</t>
        </is>
      </c>
      <c r="AB480" s="2" t="inlineStr"/>
      <c r="AC480" s="2" t="inlineStr"/>
      <c r="AD480" s="2" t="inlineStr">
        <is>
          <t>1</t>
        </is>
      </c>
      <c r="AE480" s="2" t="inlineStr">
        <is>
          <t>23653</t>
        </is>
      </c>
      <c r="AF480" s="2" t="inlineStr">
        <is>
          <t>https://www.parlamento.pt/OrcamentoEstado/Paginas/DetalhePropostaAlteracao.aspx?BID=23653</t>
        </is>
      </c>
      <c r="AG480" s="2" t="inlineStr">
        <is>
          <t>https://app.parlamento.pt/webutils/docs/doc.pdf?path=6148523063484d364c793942556b356c6443397a6158526c63793959566b6c4a544556484c3039464c7a49774d6a59794d4449314d5441774f533951515338354d4442694e445133595330784d5449354c5452694e6a67744f574a6d4d69316b4d54557859574d325954526b4f5451756347526d&amp;Fich=900b447a-1129-4b68-9bf2-d151ac6a4d94.pdf&amp;Inline=true</t>
        </is>
      </c>
      <c r="AH480" s="3" t="n">
        <v>46321.77847222222</v>
      </c>
      <c r="AI480" s="3" t="n">
        <v>46321.78055555555</v>
      </c>
      <c r="AJ480" s="2" t="inlineStr"/>
    </row>
    <row r="481">
      <c r="A481" s="2" t="n">
        <v>480</v>
      </c>
      <c r="B481" s="2" t="inlineStr">
        <is>
          <t>440C</t>
        </is>
      </c>
      <c r="C481" s="3" t="n">
        <v>45965.76875</v>
      </c>
      <c r="D481" s="2" t="inlineStr">
        <is>
          <t>Original</t>
        </is>
      </c>
      <c r="E481" s="2" t="inlineStr">
        <is>
          <t>CH</t>
        </is>
      </c>
      <c r="F48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81" s="2" t="inlineStr">
        <is>
          <t>Art. 136.º-A (aditamento)</t>
        </is>
      </c>
      <c r="H481" s="2" t="n"/>
      <c r="I481" s="2" t="n"/>
      <c r="J481" s="2" t="n"/>
      <c r="K481" s="2" t="n"/>
      <c r="L481" s="2" t="inlineStr">
        <is>
          <t>Artigo 136.º-A (Actualiza as ajudas de custo dos militares da Marinha, do Exército e da Força Aérea em território nacional)</t>
        </is>
      </c>
      <c r="M481" s="4" t="n"/>
      <c r="N481" s="4" t="n"/>
      <c r="O481" s="2" t="n"/>
      <c r="P481" s="2" t="n"/>
      <c r="Q481" s="2" t="n"/>
      <c r="R481" s="2" t="n"/>
      <c r="S481" s="2" t="inlineStr">
        <is>
          <t>Rejeitado(a) em Comissão</t>
        </is>
      </c>
      <c r="T481" s="2" t="inlineStr">
        <is>
          <t>Rejeitada</t>
        </is>
      </c>
      <c r="U481" s="2" t="inlineStr">
        <is>
          <t>Favor: CH, BE, PAN; Contra: PSD, CDS-PP; Abstenção: PS, IL, L, PCP</t>
        </is>
      </c>
      <c r="V481" s="3" t="n">
        <v>45987</v>
      </c>
      <c r="W481" s="2" t="inlineStr">
        <is>
          <t>AR: https://www.parlamento.pt/OrcamentoEstado/Paginas/DetalhePropostaAlteracao.aspx?BID=23654 PDF: https://app.parlamento.pt/webutils/docs/doc.pdf?path=6148523063484d364c793942556b356c6443397a6158526c63793959566b6c4a544556484c3039464c7a49774d6a59794d4449314d5441774f533951515339684e54597a5954497a5a433078596d4d304c5451784e324d74596d55335a693077595451304d3252684f5463315a6a49756347526d&amp;Fich=a563a23d-1bc4-417c-be7f-0a443da975f2.pdf&amp;Inline=true</t>
        </is>
      </c>
      <c r="X481" s="2" t="inlineStr">
        <is>
          <t>Defesa Nacional</t>
        </is>
      </c>
      <c r="Y481" s="2" t="inlineStr">
        <is>
          <t>Articulado</t>
        </is>
      </c>
      <c r="Z481" s="2" t="inlineStr">
        <is>
          <t>Aditamento (Artigo PPL)</t>
        </is>
      </c>
      <c r="AA481" s="2" t="inlineStr">
        <is>
          <t>Rejeitado(a) em Comissão</t>
        </is>
      </c>
      <c r="AB481" s="2" t="inlineStr"/>
      <c r="AC481" s="2" t="inlineStr"/>
      <c r="AD481" s="2" t="inlineStr">
        <is>
          <t>1</t>
        </is>
      </c>
      <c r="AE481" s="2" t="inlineStr">
        <is>
          <t>23654</t>
        </is>
      </c>
      <c r="AF481" s="2" t="inlineStr">
        <is>
          <t>https://www.parlamento.pt/OrcamentoEstado/Paginas/DetalhePropostaAlteracao.aspx?BID=23654</t>
        </is>
      </c>
      <c r="AG481" s="2" t="inlineStr">
        <is>
          <t>https://app.parlamento.pt/webutils/docs/doc.pdf?path=6148523063484d364c793942556b356c6443397a6158526c63793959566b6c4a544556484c3039464c7a49774d6a59794d4449314d5441774f533951515339684e54597a5954497a5a433078596d4d304c5451784e324d74596d55335a693077595451304d3252684f5463315a6a49756347526d&amp;Fich=a563a23d-1bc4-417c-be7f-0a443da975f2.pdf&amp;Inline=true</t>
        </is>
      </c>
      <c r="AH481" s="3" t="n">
        <v>46321.77847222222</v>
      </c>
      <c r="AI481" s="3" t="n">
        <v>46321.78055555555</v>
      </c>
      <c r="AJ481" s="2" t="inlineStr"/>
    </row>
    <row r="482">
      <c r="A482" s="2" t="n">
        <v>481</v>
      </c>
      <c r="B482" s="2" t="inlineStr">
        <is>
          <t>441C-1</t>
        </is>
      </c>
      <c r="C482" s="3" t="n">
        <v>45965.77222222222</v>
      </c>
      <c r="D482" s="2" t="inlineStr">
        <is>
          <t>Original</t>
        </is>
      </c>
      <c r="E482" s="2" t="inlineStr">
        <is>
          <t>L</t>
        </is>
      </c>
      <c r="F482" s="2" t="inlineStr">
        <is>
          <t>Filipa Pinto; Isabel Mendes Lopes; Jorge Pinto; Patrícia Gonçalves; Paulo Muacho; Rui Tavares</t>
        </is>
      </c>
      <c r="G482" s="2" t="inlineStr">
        <is>
          <t>Art. 60.º (substituição)</t>
        </is>
      </c>
      <c r="H482" s="2" t="n"/>
      <c r="I482" s="2" t="n"/>
      <c r="J482" s="2" t="n"/>
      <c r="K482" s="2" t="n"/>
      <c r="L482" s="2" t="inlineStr">
        <is>
          <t>N.º 7, Artigo 78.º-F do Código do IRS</t>
        </is>
      </c>
      <c r="M482" s="4" t="n"/>
      <c r="N482" s="4" t="n"/>
      <c r="O482" s="2" t="n"/>
      <c r="P482" s="2" t="n"/>
      <c r="Q482" s="2" t="n"/>
      <c r="R482" s="2" t="n"/>
      <c r="S482" s="2" t="inlineStr">
        <is>
          <t>Rejeitado(a) em Comissão</t>
        </is>
      </c>
      <c r="T482" s="2" t="inlineStr">
        <is>
          <t>Rejeitada</t>
        </is>
      </c>
      <c r="U482" s="2" t="inlineStr">
        <is>
          <t>Favor: IL, L, BE, PAN; Contra: PSD, PCP, CDS-PP; Abstenção: CH, PS</t>
        </is>
      </c>
      <c r="V482" s="3" t="n">
        <v>45981</v>
      </c>
      <c r="W482" s="2" t="inlineStr">
        <is>
          <t>AR: https://www.parlamento.pt/OrcamentoEstado/Paginas/DetalhePropostaAlteracao.aspx?BID=23655 PDF: https://app.parlamento.pt/webutils/docs/doc.pdf?path=6148523063484d364c793942556b356c6443397a6158526c63793959566b6c4a544556484c3039464c7a49774d6a59794d4449314d5441774f533951515338784d325a6a4d544a6d597930775954526b4c5451334d544574595755325979316b5a6a67304d6d4d335957597a5a5445756347526d&amp;Fich=13fc12fc-0a4d-4711-ae6c-df842c7af3e1.pdf&amp;Inline=true</t>
        </is>
      </c>
      <c r="X482" s="2" t="inlineStr">
        <is>
          <t>Cultura, Comunicação, Juventude e Desporto; Orçamento, Finanças e Administração Pública</t>
        </is>
      </c>
      <c r="Y482" s="2" t="inlineStr">
        <is>
          <t>Articulado</t>
        </is>
      </c>
      <c r="Z482" s="2" t="inlineStr">
        <is>
          <t>Substituição</t>
        </is>
      </c>
      <c r="AA482" s="2" t="inlineStr">
        <is>
          <t>Rejeitado(a) em Comissão</t>
        </is>
      </c>
      <c r="AB482" s="2" t="inlineStr"/>
      <c r="AC482" s="2" t="inlineStr">
        <is>
          <t>1</t>
        </is>
      </c>
      <c r="AD482" s="2" t="inlineStr">
        <is>
          <t>1</t>
        </is>
      </c>
      <c r="AE482" s="2" t="inlineStr">
        <is>
          <t>23655</t>
        </is>
      </c>
      <c r="AF482" s="2" t="inlineStr">
        <is>
          <t>https://www.parlamento.pt/OrcamentoEstado/Paginas/DetalhePropostaAlteracao.aspx?BID=23655</t>
        </is>
      </c>
      <c r="AG482" s="2" t="inlineStr">
        <is>
          <t>https://app.parlamento.pt/webutils/docs/doc.pdf?path=6148523063484d364c793942556b356c6443397a6158526c63793959566b6c4a544556484c3039464c7a49774d6a59794d4449314d5441774f533951515338784d325a6a4d544a6d597930775954526b4c5451334d544574595755325979316b5a6a67304d6d4d335957597a5a5445756347526d&amp;Fich=13fc12fc-0a4d-4711-ae6c-df842c7af3e1.pdf&amp;Inline=true</t>
        </is>
      </c>
      <c r="AH482" s="3" t="n">
        <v>46321.77847222222</v>
      </c>
      <c r="AI482" s="3" t="n">
        <v>46321.78055555555</v>
      </c>
      <c r="AJ482" s="2" t="inlineStr"/>
    </row>
    <row r="483">
      <c r="A483" s="2" t="n">
        <v>482</v>
      </c>
      <c r="B483" s="2" t="inlineStr">
        <is>
          <t>441C-2</t>
        </is>
      </c>
      <c r="C483" s="3" t="n">
        <v>45965.77222222222</v>
      </c>
      <c r="D483" s="2" t="inlineStr">
        <is>
          <t>Original</t>
        </is>
      </c>
      <c r="E483" s="2" t="inlineStr">
        <is>
          <t>L</t>
        </is>
      </c>
      <c r="F483" s="2" t="inlineStr">
        <is>
          <t>Filipa Pinto; Isabel Mendes Lopes; Jorge Pinto; Patrícia Gonçalves; Paulo Muacho; Rui Tavares</t>
        </is>
      </c>
      <c r="G483" s="2" t="inlineStr">
        <is>
          <t>Art. 60.º-A (aditamento)</t>
        </is>
      </c>
      <c r="H483" s="2" t="n"/>
      <c r="I483" s="2" t="n"/>
      <c r="J483" s="2" t="n"/>
      <c r="K483" s="2" t="n"/>
      <c r="L483" s="2" t="inlineStr">
        <is>
          <t>Artigo 60.º-A (Alteração ao Código do Imposto sobre o Rendimento das Pessoas Singulares)</t>
        </is>
      </c>
      <c r="M483" s="4" t="n"/>
      <c r="N483" s="4" t="n"/>
      <c r="O483" s="2" t="n"/>
      <c r="P483" s="2" t="n"/>
      <c r="Q483" s="2" t="n"/>
      <c r="R483" s="2" t="n"/>
      <c r="S483" s="2" t="inlineStr">
        <is>
          <t>Rejeitado(a) em Comissão</t>
        </is>
      </c>
      <c r="T483" s="2" t="inlineStr">
        <is>
          <t>Rejeitada</t>
        </is>
      </c>
      <c r="U483" s="2" t="inlineStr">
        <is>
          <t>Favor: IL, L, BE, PAN; Contra: PSD, PCP, CDS-PP; Abstenção: CH, PS</t>
        </is>
      </c>
      <c r="V483" s="3" t="n">
        <v>45981</v>
      </c>
      <c r="W483" s="2" t="inlineStr">
        <is>
          <t>AR: https://www.parlamento.pt/OrcamentoEstado/Paginas/DetalhePropostaAlteracao.aspx?BID=23808 PDF: https://app.parlamento.pt/webutils/docs/doc.pdf?path=6148523063484d364c793942556b356c6443397a6158526c63793959566b6c4a544556484c3039464c7a49774d6a59794d4449314d5441774f53395151533879596d51324e5463774e5330335a57566c4c5451314e5445744f446334597930795a54646d59575932596a63305a6d59756347526d&amp;Fich=2bd65705-7eee-4551-878c-2e7faf6b74ff.pdf&amp;Inline=true</t>
        </is>
      </c>
      <c r="X483" s="2" t="inlineStr">
        <is>
          <t>Cultura, Comunicação, Juventude e Desporto; Orçamento, Finanças e Administração Pública</t>
        </is>
      </c>
      <c r="Y483" s="2" t="inlineStr">
        <is>
          <t>Articulado</t>
        </is>
      </c>
      <c r="Z483" s="2" t="inlineStr">
        <is>
          <t>Aditamento (Artigo PPL)</t>
        </is>
      </c>
      <c r="AA483" s="2" t="inlineStr">
        <is>
          <t>Rejeitado(a) em Comissão</t>
        </is>
      </c>
      <c r="AB483" s="2" t="inlineStr"/>
      <c r="AC483" s="2" t="inlineStr">
        <is>
          <t>2</t>
        </is>
      </c>
      <c r="AD483" s="2" t="inlineStr">
        <is>
          <t>1</t>
        </is>
      </c>
      <c r="AE483" s="2" t="inlineStr">
        <is>
          <t>23808</t>
        </is>
      </c>
      <c r="AF483" s="2" t="inlineStr">
        <is>
          <t>https://www.parlamento.pt/OrcamentoEstado/Paginas/DetalhePropostaAlteracao.aspx?BID=23808</t>
        </is>
      </c>
      <c r="AG483" s="2" t="inlineStr">
        <is>
          <t>https://app.parlamento.pt/webutils/docs/doc.pdf?path=6148523063484d364c793942556b356c6443397a6158526c63793959566b6c4a544556484c3039464c7a49774d6a59794d4449314d5441774f53395151533879596d51324e5463774e5330335a57566c4c5451314e5445744f446334597930795a54646d59575932596a63305a6d59756347526d&amp;Fich=2bd65705-7eee-4551-878c-2e7faf6b74ff.pdf&amp;Inline=true</t>
        </is>
      </c>
      <c r="AH483" s="3" t="n">
        <v>46321.77847222222</v>
      </c>
      <c r="AI483" s="3" t="n">
        <v>46321.78055555555</v>
      </c>
      <c r="AJ483" s="2" t="inlineStr"/>
    </row>
    <row r="484">
      <c r="A484" s="2" t="n">
        <v>483</v>
      </c>
      <c r="B484" s="2" t="inlineStr">
        <is>
          <t>442C-1</t>
        </is>
      </c>
      <c r="C484" s="3" t="n">
        <v>45965.775</v>
      </c>
      <c r="D484" s="2" t="inlineStr">
        <is>
          <t>Original</t>
        </is>
      </c>
      <c r="E484" s="2" t="inlineStr">
        <is>
          <t>IL</t>
        </is>
      </c>
      <c r="F484" s="2" t="inlineStr">
        <is>
          <t>Angélique Da Teresa; Carlos Guimarães Pinto; Joana Cordeiro; Jorge Miguel Teixeira; Mariana Leitão; Mário Amorim Lopes; Miguel Rangel; Rodrigo Saraiva; Rui Rocha</t>
        </is>
      </c>
      <c r="G484" s="2" t="inlineStr">
        <is>
          <t>Art. 73.º-A (aditamento)</t>
        </is>
      </c>
      <c r="H484" s="2" t="n"/>
      <c r="I484" s="2" t="n"/>
      <c r="J484" s="2" t="n"/>
      <c r="K484" s="2" t="n"/>
      <c r="L484" s="2" t="inlineStr">
        <is>
          <t>Artigo 73.º-A (Alteração à Lei n.º 30/2003, de 22 de agosto)</t>
        </is>
      </c>
      <c r="M484" s="4" t="n"/>
      <c r="N484" s="4" t="n"/>
      <c r="O484" s="2" t="n"/>
      <c r="P484" s="2" t="n"/>
      <c r="Q484" s="2" t="n"/>
      <c r="R484" s="2" t="n"/>
      <c r="S484" s="2" t="inlineStr">
        <is>
          <t>Rejeitado(a) em Plenário</t>
        </is>
      </c>
      <c r="T484" s="2" t="inlineStr">
        <is>
          <t>Rejeitada</t>
        </is>
      </c>
      <c r="U484" s="2" t="inlineStr">
        <is>
          <t>Favor: IL, PAN; Contra: PSD, CH, PS, L, PCP, CDS-PP, BE; Abstenção: JPP</t>
        </is>
      </c>
      <c r="V484" s="3" t="n">
        <v>45985</v>
      </c>
      <c r="W484" s="2" t="inlineStr">
        <is>
          <t>Avocada a Plenário. AR: https://www.parlamento.pt/OrcamentoEstado/Paginas/DetalhePropostaAlteracao.aspx?BID=23656 PDF: https://app.parlamento.pt/webutils/docs/doc.pdf?path=6148523063484d364c793942556b356c6443397a6158526c63793959566b6c4a544556484c3039464c7a49774d6a59794d4449314d5441774f5339515153396c4f5752694d7a41794d79307a4d4751784c54526d59574974596a64694d43316c4f4752684f545a6d4f574d325a4467756347526d&amp;Fich=e9db3023-30d1-4fab-b7b0-e8da96f9c6d8.pdf&amp;Inline=true</t>
        </is>
      </c>
      <c r="X484" s="2" t="inlineStr">
        <is>
          <t>Cultura, Comunicação, Juventude e Desporto; Orçamento, Finanças e Administração Pública</t>
        </is>
      </c>
      <c r="Y484" s="2" t="inlineStr">
        <is>
          <t>Articulado</t>
        </is>
      </c>
      <c r="Z484" s="2" t="inlineStr">
        <is>
          <t>Aditamento (Artigo PPL)</t>
        </is>
      </c>
      <c r="AA484" s="2" t="inlineStr">
        <is>
          <t>Rejeitado(a) em Plenário</t>
        </is>
      </c>
      <c r="AB484" s="2" t="inlineStr">
        <is>
          <t>S</t>
        </is>
      </c>
      <c r="AC484" s="2" t="inlineStr">
        <is>
          <t>1</t>
        </is>
      </c>
      <c r="AD484" s="2" t="inlineStr">
        <is>
          <t>2</t>
        </is>
      </c>
      <c r="AE484" s="2" t="inlineStr">
        <is>
          <t>23656</t>
        </is>
      </c>
      <c r="AF484" s="2" t="inlineStr">
        <is>
          <t>https://www.parlamento.pt/OrcamentoEstado/Paginas/DetalhePropostaAlteracao.aspx?BID=23656</t>
        </is>
      </c>
      <c r="AG484" s="2" t="inlineStr">
        <is>
          <t>https://app.parlamento.pt/webutils/docs/doc.pdf?path=6148523063484d364c793942556b356c6443397a6158526c63793959566b6c4a544556484c3039464c7a49774d6a59794d4449314d5441774f5339515153396c4f5752694d7a41794d79307a4d4751784c54526d59574974596a64694d43316c4f4752684f545a6d4f574d325a4467756347526d&amp;Fich=e9db3023-30d1-4fab-b7b0-e8da96f9c6d8.pdf&amp;Inline=true</t>
        </is>
      </c>
      <c r="AH484" s="3" t="n">
        <v>46321.77847222222</v>
      </c>
      <c r="AI484" s="3" t="n">
        <v>46321.78055555555</v>
      </c>
      <c r="AJ484" s="2" t="inlineStr"/>
    </row>
    <row r="485">
      <c r="A485" s="2" t="n">
        <v>484</v>
      </c>
      <c r="B485" s="2" t="inlineStr">
        <is>
          <t>442C-2</t>
        </is>
      </c>
      <c r="C485" s="3" t="n">
        <v>45965.775</v>
      </c>
      <c r="D485" s="2" t="inlineStr">
        <is>
          <t>Original</t>
        </is>
      </c>
      <c r="E485" s="2" t="inlineStr">
        <is>
          <t>IL</t>
        </is>
      </c>
      <c r="F485" s="2" t="inlineStr">
        <is>
          <t>Angélique Da Teresa; Carlos Guimarães Pinto; Joana Cordeiro; Jorge Miguel Teixeira; Mariana Leitão; Mário Amorim Lopes; Miguel Rangel; Rodrigo Saraiva; Rui Rocha</t>
        </is>
      </c>
      <c r="G485" s="2" t="inlineStr">
        <is>
          <t>Art. 138.º (aditamento)</t>
        </is>
      </c>
      <c r="H485" s="2" t="n"/>
      <c r="I485" s="2" t="n"/>
      <c r="J485" s="2" t="n"/>
      <c r="K485" s="2" t="n"/>
      <c r="L485" s="2" t="inlineStr">
        <is>
          <t>Alínea c), Artigo 138.º</t>
        </is>
      </c>
      <c r="M485" s="4" t="n"/>
      <c r="N485" s="4" t="n"/>
      <c r="O485" s="2" t="n"/>
      <c r="P485" s="2" t="n"/>
      <c r="Q485" s="2" t="n"/>
      <c r="R485" s="2" t="n"/>
      <c r="S485" s="2" t="inlineStr">
        <is>
          <t>Rejeitado(a) em Comissão</t>
        </is>
      </c>
      <c r="T485" s="2" t="inlineStr">
        <is>
          <t>Rejeitada</t>
        </is>
      </c>
      <c r="U485" s="2" t="inlineStr">
        <is>
          <t>Favor: IL, L; Contra: PSD, CH, PS, PCP, CDS-PP, BE, PAN</t>
        </is>
      </c>
      <c r="V485" s="3" t="n">
        <v>45987</v>
      </c>
      <c r="W485" s="2" t="inlineStr">
        <is>
          <t>AR: https://www.parlamento.pt/OrcamentoEstado/Paginas/DetalhePropostaAlteracao.aspx?BID=23753 PDF: https://app.parlamento.pt/webutils/docs/doc.pdf?path=6148523063484d364c793942556b356c6443397a6158526c63793959566b6c4a544556484c3039464c7a49774d6a59794d4449314d5441774f533951515338354d4449334e4755314e5330324d474d774c54513259546774596d497a59693079597a426a4d6d4d774e446c684d5745756347526d&amp;Fich=90274e55-60c0-46a8-bb3b-2c0c2c049a1a.pdf&amp;Inline=true</t>
        </is>
      </c>
      <c r="X485" s="2" t="inlineStr">
        <is>
          <t>Cultura, Comunicação, Juventude e Desporto; Orçamento, Finanças e Administração Pública</t>
        </is>
      </c>
      <c r="Y485" s="2" t="inlineStr">
        <is>
          <t>Articulado</t>
        </is>
      </c>
      <c r="Z485" s="2" t="inlineStr">
        <is>
          <t>Aditamento (Números e Alíneas)</t>
        </is>
      </c>
      <c r="AA485" s="2" t="inlineStr">
        <is>
          <t>Rejeitado(a) em Comissão</t>
        </is>
      </c>
      <c r="AB485" s="2" t="inlineStr"/>
      <c r="AC485" s="2" t="inlineStr">
        <is>
          <t>2</t>
        </is>
      </c>
      <c r="AD485" s="2" t="inlineStr">
        <is>
          <t>1</t>
        </is>
      </c>
      <c r="AE485" s="2" t="inlineStr">
        <is>
          <t>23753</t>
        </is>
      </c>
      <c r="AF485" s="2" t="inlineStr">
        <is>
          <t>https://www.parlamento.pt/OrcamentoEstado/Paginas/DetalhePropostaAlteracao.aspx?BID=23753</t>
        </is>
      </c>
      <c r="AG485" s="2" t="inlineStr">
        <is>
          <t>https://app.parlamento.pt/webutils/docs/doc.pdf?path=6148523063484d364c793942556b356c6443397a6158526c63793959566b6c4a544556484c3039464c7a49774d6a59794d4449314d5441774f533951515338354d4449334e4755314e5330324d474d774c54513259546774596d497a59693079597a426a4d6d4d774e446c684d5745756347526d&amp;Fich=90274e55-60c0-46a8-bb3b-2c0c2c049a1a.pdf&amp;Inline=true</t>
        </is>
      </c>
      <c r="AH485" s="3" t="n">
        <v>46321.77847222222</v>
      </c>
      <c r="AI485" s="3" t="n">
        <v>46321.78055555555</v>
      </c>
      <c r="AJ485" s="2" t="inlineStr"/>
    </row>
    <row r="486">
      <c r="A486" s="2" t="n">
        <v>485</v>
      </c>
      <c r="B486" s="2" t="inlineStr">
        <is>
          <t>443C</t>
        </is>
      </c>
      <c r="C486" s="3" t="n">
        <v>45965.78263888889</v>
      </c>
      <c r="D486" s="2" t="inlineStr">
        <is>
          <t>Original</t>
        </is>
      </c>
      <c r="E486" s="2" t="inlineStr">
        <is>
          <t>CH</t>
        </is>
      </c>
      <c r="F48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86" s="2" t="inlineStr">
        <is>
          <t>Art. 136.º-A (aditamento)</t>
        </is>
      </c>
      <c r="H486" s="2" t="n"/>
      <c r="I486" s="2" t="n"/>
      <c r="J486" s="2" t="n"/>
      <c r="K486" s="2" t="n"/>
      <c r="L486" s="2" t="inlineStr">
        <is>
          <t>Artigo 136.º-A (Liberdade de escolha entre ensino público, privado ou cooperativo)</t>
        </is>
      </c>
      <c r="M486" s="4" t="n"/>
      <c r="N486" s="4" t="n"/>
      <c r="O486" s="2" t="n"/>
      <c r="P486" s="2" t="n"/>
      <c r="Q486" s="2" t="n"/>
      <c r="R486" s="2" t="n"/>
      <c r="S486" s="2" t="inlineStr">
        <is>
          <t>Rejeitado(a) em Comissão</t>
        </is>
      </c>
      <c r="T486" s="2" t="inlineStr">
        <is>
          <t>Rejeitada</t>
        </is>
      </c>
      <c r="U486" s="2" t="inlineStr">
        <is>
          <t>Favor: CH, IL; Contra: PSD, PS, L, PCP, BE, PAN; Abstenção: CDS-PP</t>
        </is>
      </c>
      <c r="V486" s="3" t="n">
        <v>45987</v>
      </c>
      <c r="W486" s="2" t="inlineStr">
        <is>
          <t>AR: https://www.parlamento.pt/OrcamentoEstado/Paginas/DetalhePropostaAlteracao.aspx?BID=23657 PDF: https://app.parlamento.pt/webutils/docs/doc.pdf?path=6148523063484d364c793942556b356c6443397a6158526c63793959566b6c4a544556484c3039464c7a49774d6a59794d4449314d5441774f5339515153383359545a6b4e445930595331694e446c684c54517a4e4467744f44466b4e69307a4d574d794f574a6c4d4752685a4745756347526d&amp;Fich=7a6d464a-b49a-4348-81d6-31c29be0dada.pdf&amp;Inline=true</t>
        </is>
      </c>
      <c r="X486" s="2" t="inlineStr">
        <is>
          <t>Educação e Ciência</t>
        </is>
      </c>
      <c r="Y486" s="2" t="inlineStr">
        <is>
          <t>Articulado</t>
        </is>
      </c>
      <c r="Z486" s="2" t="inlineStr">
        <is>
          <t>Aditamento (Artigo PPL)</t>
        </is>
      </c>
      <c r="AA486" s="2" t="inlineStr">
        <is>
          <t>Rejeitado(a) em Comissão</t>
        </is>
      </c>
      <c r="AB486" s="2" t="inlineStr"/>
      <c r="AC486" s="2" t="inlineStr"/>
      <c r="AD486" s="2" t="inlineStr">
        <is>
          <t>1</t>
        </is>
      </c>
      <c r="AE486" s="2" t="inlineStr">
        <is>
          <t>23657</t>
        </is>
      </c>
      <c r="AF486" s="2" t="inlineStr">
        <is>
          <t>https://www.parlamento.pt/OrcamentoEstado/Paginas/DetalhePropostaAlteracao.aspx?BID=23657</t>
        </is>
      </c>
      <c r="AG486" s="2" t="inlineStr">
        <is>
          <t>https://app.parlamento.pt/webutils/docs/doc.pdf?path=6148523063484d364c793942556b356c6443397a6158526c63793959566b6c4a544556484c3039464c7a49774d6a59794d4449314d5441774f5339515153383359545a6b4e445930595331694e446c684c54517a4e4467744f44466b4e69307a4d574d794f574a6c4d4752685a4745756347526d&amp;Fich=7a6d464a-b49a-4348-81d6-31c29be0dada.pdf&amp;Inline=true</t>
        </is>
      </c>
      <c r="AH486" s="3" t="n">
        <v>46321.77847222222</v>
      </c>
      <c r="AI486" s="3" t="n">
        <v>46321.78055555555</v>
      </c>
      <c r="AJ486" s="2" t="inlineStr"/>
    </row>
    <row r="487">
      <c r="A487" s="2" t="n">
        <v>486</v>
      </c>
      <c r="B487" s="2" t="inlineStr">
        <is>
          <t>444C</t>
        </is>
      </c>
      <c r="C487" s="3" t="n">
        <v>45965.78472222222</v>
      </c>
      <c r="D487" s="2" t="inlineStr">
        <is>
          <t>Original</t>
        </is>
      </c>
      <c r="E487" s="2" t="inlineStr">
        <is>
          <t>CH</t>
        </is>
      </c>
      <c r="F48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87" s="2" t="inlineStr">
        <is>
          <t>Art. 136.º-A (aditamento)</t>
        </is>
      </c>
      <c r="H487" s="2" t="n"/>
      <c r="I487" s="2" t="n"/>
      <c r="J487" s="2" t="n"/>
      <c r="K487" s="2" t="n"/>
      <c r="L487" s="2" t="inlineStr">
        <is>
          <t>Artigo 136.º-A (Programa de Incentivo à Mobilidade Escolar)</t>
        </is>
      </c>
      <c r="M487" s="4" t="n"/>
      <c r="N487" s="4" t="n"/>
      <c r="O487" s="2" t="n"/>
      <c r="P487" s="2" t="n"/>
      <c r="Q487" s="2" t="n"/>
      <c r="R487" s="2" t="n"/>
      <c r="S487" s="2" t="inlineStr">
        <is>
          <t>Rejeitado(a) em Comissão</t>
        </is>
      </c>
      <c r="T487" s="2" t="inlineStr">
        <is>
          <t>Rejeitada</t>
        </is>
      </c>
      <c r="U487" s="2" t="inlineStr">
        <is>
          <t>Favor: CH, BE, PAN; Contra: PSD, IL, CDS-PP; Abstenção: PS, L, PCP</t>
        </is>
      </c>
      <c r="V487" s="3" t="n">
        <v>45987</v>
      </c>
      <c r="W487" s="2" t="inlineStr">
        <is>
          <t>AR: https://www.parlamento.pt/OrcamentoEstado/Paginas/DetalhePropostaAlteracao.aspx?BID=23658 PDF: https://app.parlamento.pt/webutils/docs/doc.pdf?path=6148523063484d364c793942556b356c6443397a6158526c63793959566b6c4a544556484c3039464c7a49774d6a59794d4449314d5441774f533951515339684e6a51344d57566c4d6930344d3251344c5451784d6a63744f574d34597931694e47566d4e6d4a6c596d59334d474d756347526d&amp;Fich=a6481ee2-83d8-4127-9c8c-b4ef6bebf70c.pdf&amp;Inline=true</t>
        </is>
      </c>
      <c r="X487" s="2" t="inlineStr">
        <is>
          <t>Educação e Ciência</t>
        </is>
      </c>
      <c r="Y487" s="2" t="inlineStr">
        <is>
          <t>Articulado</t>
        </is>
      </c>
      <c r="Z487" s="2" t="inlineStr">
        <is>
          <t>Aditamento (Artigo PPL)</t>
        </is>
      </c>
      <c r="AA487" s="2" t="inlineStr">
        <is>
          <t>Rejeitado(a) em Comissão</t>
        </is>
      </c>
      <c r="AB487" s="2" t="inlineStr"/>
      <c r="AC487" s="2" t="inlineStr"/>
      <c r="AD487" s="2" t="inlineStr">
        <is>
          <t>1</t>
        </is>
      </c>
      <c r="AE487" s="2" t="inlineStr">
        <is>
          <t>23658</t>
        </is>
      </c>
      <c r="AF487" s="2" t="inlineStr">
        <is>
          <t>https://www.parlamento.pt/OrcamentoEstado/Paginas/DetalhePropostaAlteracao.aspx?BID=23658</t>
        </is>
      </c>
      <c r="AG487" s="2" t="inlineStr">
        <is>
          <t>https://app.parlamento.pt/webutils/docs/doc.pdf?path=6148523063484d364c793942556b356c6443397a6158526c63793959566b6c4a544556484c3039464c7a49774d6a59794d4449314d5441774f533951515339684e6a51344d57566c4d6930344d3251344c5451784d6a63744f574d34597931694e47566d4e6d4a6c596d59334d474d756347526d&amp;Fich=a6481ee2-83d8-4127-9c8c-b4ef6bebf70c.pdf&amp;Inline=true</t>
        </is>
      </c>
      <c r="AH487" s="3" t="n">
        <v>46321.77847222222</v>
      </c>
      <c r="AI487" s="3" t="n">
        <v>46321.78055555555</v>
      </c>
      <c r="AJ487" s="2" t="inlineStr"/>
    </row>
    <row r="488">
      <c r="A488" s="2" t="n">
        <v>487</v>
      </c>
      <c r="B488" s="2" t="inlineStr">
        <is>
          <t>445C</t>
        </is>
      </c>
      <c r="C488" s="3" t="n">
        <v>45965.78611111111</v>
      </c>
      <c r="D488" s="2" t="inlineStr">
        <is>
          <t>Original</t>
        </is>
      </c>
      <c r="E488" s="2" t="inlineStr">
        <is>
          <t>CH</t>
        </is>
      </c>
      <c r="F48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88" s="2" t="inlineStr">
        <is>
          <t>Art. 136.º-A (aditamento)</t>
        </is>
      </c>
      <c r="H488" s="2" t="n"/>
      <c r="I488" s="2" t="n"/>
      <c r="J488" s="2" t="n"/>
      <c r="K488" s="2" t="n"/>
      <c r="L488" s="2" t="inlineStr">
        <is>
          <t>Artigo 136.º-A (Integração do Arsenal do Alfeite na Estrutura Orgânica da Marinha Portuguesa)</t>
        </is>
      </c>
      <c r="M488" s="4" t="n"/>
      <c r="N488" s="4" t="n"/>
      <c r="O488" s="2" t="n"/>
      <c r="P488" s="2" t="n"/>
      <c r="Q488" s="2" t="n"/>
      <c r="R488" s="2" t="n"/>
      <c r="S488" s="2" t="inlineStr">
        <is>
          <t>Rejeitado(a) em Comissão</t>
        </is>
      </c>
      <c r="T488" s="2" t="inlineStr">
        <is>
          <t>Rejeitada</t>
        </is>
      </c>
      <c r="U488" s="2" t="inlineStr">
        <is>
          <t>Favor: CH, BE; Contra: PSD, CDS-PP; Abstenção: PS, IL, L, PCP, PAN</t>
        </is>
      </c>
      <c r="V488" s="3" t="n">
        <v>45987</v>
      </c>
      <c r="W488" s="2" t="inlineStr">
        <is>
          <t>AR: https://www.parlamento.pt/OrcamentoEstado/Paginas/DetalhePropostaAlteracao.aspx?BID=23659 PDF: https://app.parlamento.pt/webutils/docs/doc.pdf?path=6148523063484d364c793942556b356c6443397a6158526c63793959566b6c4a544556484c3039464c7a49774d6a59794d4449314d5441774f533951515338774d44686b4e5755774e7930324f54466b4c5451775a4449744f5455784e5331684e544d334d5755794d5745334d6a45756347526d&amp;Fich=008d5e07-691d-40d2-9515-a5371e21a721.pdf&amp;Inline=true</t>
        </is>
      </c>
      <c r="X488" s="2" t="inlineStr">
        <is>
          <t>Defesa Nacional</t>
        </is>
      </c>
      <c r="Y488" s="2" t="inlineStr">
        <is>
          <t>Articulado</t>
        </is>
      </c>
      <c r="Z488" s="2" t="inlineStr">
        <is>
          <t>Aditamento (Artigo PPL)</t>
        </is>
      </c>
      <c r="AA488" s="2" t="inlineStr">
        <is>
          <t>Rejeitado(a) em Comissão</t>
        </is>
      </c>
      <c r="AB488" s="2" t="inlineStr"/>
      <c r="AC488" s="2" t="inlineStr"/>
      <c r="AD488" s="2" t="inlineStr">
        <is>
          <t>1</t>
        </is>
      </c>
      <c r="AE488" s="2" t="inlineStr">
        <is>
          <t>23659</t>
        </is>
      </c>
      <c r="AF488" s="2" t="inlineStr">
        <is>
          <t>https://www.parlamento.pt/OrcamentoEstado/Paginas/DetalhePropostaAlteracao.aspx?BID=23659</t>
        </is>
      </c>
      <c r="AG488" s="2" t="inlineStr">
        <is>
          <t>https://app.parlamento.pt/webutils/docs/doc.pdf?path=6148523063484d364c793942556b356c6443397a6158526c63793959566b6c4a544556484c3039464c7a49774d6a59794d4449314d5441774f533951515338774d44686b4e5755774e7930324f54466b4c5451775a4449744f5455784e5331684e544d334d5755794d5745334d6a45756347526d&amp;Fich=008d5e07-691d-40d2-9515-a5371e21a721.pdf&amp;Inline=true</t>
        </is>
      </c>
      <c r="AH488" s="3" t="n">
        <v>46321.77847222222</v>
      </c>
      <c r="AI488" s="3" t="n">
        <v>46321.78055555555</v>
      </c>
      <c r="AJ488" s="2" t="inlineStr"/>
    </row>
    <row r="489">
      <c r="A489" s="2" t="n">
        <v>488</v>
      </c>
      <c r="B489" s="2" t="inlineStr">
        <is>
          <t>446C</t>
        </is>
      </c>
      <c r="C489" s="3" t="n">
        <v>45965.7875</v>
      </c>
      <c r="D489" s="2" t="inlineStr">
        <is>
          <t>Original</t>
        </is>
      </c>
      <c r="E489" s="2" t="inlineStr">
        <is>
          <t>CH</t>
        </is>
      </c>
      <c r="F48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89" s="2" t="inlineStr">
        <is>
          <t>Art. 136.º-A (aditamento)</t>
        </is>
      </c>
      <c r="H489" s="2" t="n"/>
      <c r="I489" s="2" t="n"/>
      <c r="J489" s="2" t="n"/>
      <c r="K489" s="2" t="n"/>
      <c r="L489" s="2" t="inlineStr">
        <is>
          <t>Artigo 136.º-A - (Alteração à Lei n.º 5/2002, de 11 de janeiro)</t>
        </is>
      </c>
      <c r="M489" s="4" t="n"/>
      <c r="N489" s="4" t="n"/>
      <c r="O489" s="2" t="n"/>
      <c r="P489" s="2" t="n"/>
      <c r="Q489" s="2" t="n"/>
      <c r="R489" s="2" t="n"/>
      <c r="S489" s="2" t="inlineStr">
        <is>
          <t>Rejeitado(a) em Comissão</t>
        </is>
      </c>
      <c r="T489" s="2" t="inlineStr">
        <is>
          <t>Rejeitada</t>
        </is>
      </c>
      <c r="U489" s="2" t="inlineStr">
        <is>
          <t>Favor: CH, PAN; Contra: PSD, PS, IL, L, PCP, CDS-PP, BE</t>
        </is>
      </c>
      <c r="V489" s="3" t="n">
        <v>45987</v>
      </c>
      <c r="W489" s="2" t="inlineStr">
        <is>
          <t>AR: https://www.parlamento.pt/OrcamentoEstado/Paginas/DetalhePropostaAlteracao.aspx?BID=23660 PDF: https://app.parlamento.pt/webutils/docs/doc.pdf?path=6148523063484d364c793942556b356c6443397a6158526c63793959566b6c4a544556484c3039464c7a49774d6a59794d4449314d5441774f533951515338315a6a55794e32597a4e5330355a5459304c54526c5a6d5174596d49335979316c4e4759314f545a694e474a6c4d5451756347526d&amp;Fich=5f527f35-9e64-4efd-bb7c-e4f596b4be14.pdf&amp;Inline=true</t>
        </is>
      </c>
      <c r="X489" s="2" t="inlineStr">
        <is>
          <t>Assuntos Constitucionais, Direitos, Liberdades e Garantias</t>
        </is>
      </c>
      <c r="Y489" s="2" t="inlineStr">
        <is>
          <t>Articulado</t>
        </is>
      </c>
      <c r="Z489" s="2" t="inlineStr">
        <is>
          <t>Aditamento (Artigo PPL)</t>
        </is>
      </c>
      <c r="AA489" s="2" t="inlineStr">
        <is>
          <t>Rejeitado(a) em Comissão</t>
        </is>
      </c>
      <c r="AB489" s="2" t="inlineStr"/>
      <c r="AC489" s="2" t="inlineStr"/>
      <c r="AD489" s="2" t="inlineStr">
        <is>
          <t>1</t>
        </is>
      </c>
      <c r="AE489" s="2" t="inlineStr">
        <is>
          <t>23660</t>
        </is>
      </c>
      <c r="AF489" s="2" t="inlineStr">
        <is>
          <t>https://www.parlamento.pt/OrcamentoEstado/Paginas/DetalhePropostaAlteracao.aspx?BID=23660</t>
        </is>
      </c>
      <c r="AG489" s="2" t="inlineStr">
        <is>
          <t>https://app.parlamento.pt/webutils/docs/doc.pdf?path=6148523063484d364c793942556b356c6443397a6158526c63793959566b6c4a544556484c3039464c7a49774d6a59794d4449314d5441774f533951515338315a6a55794e32597a4e5330355a5459304c54526c5a6d5174596d49335979316c4e4759314f545a694e474a6c4d5451756347526d&amp;Fich=5f527f35-9e64-4efd-bb7c-e4f596b4be14.pdf&amp;Inline=true</t>
        </is>
      </c>
      <c r="AH489" s="3" t="n">
        <v>46321.77847222222</v>
      </c>
      <c r="AI489" s="3" t="n">
        <v>46321.78055555555</v>
      </c>
      <c r="AJ489" s="2" t="inlineStr"/>
    </row>
    <row r="490">
      <c r="A490" s="2" t="n">
        <v>489</v>
      </c>
      <c r="B490" s="2" t="inlineStr">
        <is>
          <t>447C</t>
        </is>
      </c>
      <c r="C490" s="3" t="n">
        <v>45965.78888888889</v>
      </c>
      <c r="D490" s="2" t="inlineStr">
        <is>
          <t>Original</t>
        </is>
      </c>
      <c r="E490" s="2" t="inlineStr">
        <is>
          <t>CH</t>
        </is>
      </c>
      <c r="F49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90" s="2" t="inlineStr">
        <is>
          <t>Art. 8.º (aditamento)</t>
        </is>
      </c>
      <c r="H490" s="2" t="n"/>
      <c r="I490" s="2" t="n"/>
      <c r="J490" s="2" t="n"/>
      <c r="K490" s="2" t="n"/>
      <c r="L490" s="2" t="inlineStr">
        <is>
          <t>N.º 27, Artigo 8.º</t>
        </is>
      </c>
      <c r="M490" s="4" t="n"/>
      <c r="N490" s="4" t="n"/>
      <c r="O490" s="2" t="n"/>
      <c r="P490" s="2" t="n"/>
      <c r="Q490" s="2" t="n"/>
      <c r="R490" s="2" t="n"/>
      <c r="S490" s="2" t="inlineStr">
        <is>
          <t>Rejeitado(a) em Comissão</t>
        </is>
      </c>
      <c r="T490" s="2" t="inlineStr">
        <is>
          <t>Rejeitada</t>
        </is>
      </c>
      <c r="U490" s="2" t="inlineStr">
        <is>
          <t>Favor: CH, IL, BE, PAN; Contra: PSD, L, CDS-PP; Abstenção: PS, PCP</t>
        </is>
      </c>
      <c r="V490" s="3" t="n">
        <v>45981</v>
      </c>
      <c r="W490" s="2" t="inlineStr">
        <is>
          <t>AR: https://www.parlamento.pt/OrcamentoEstado/Paginas/DetalhePropostaAlteracao.aspx?BID=23661 PDF: https://app.parlamento.pt/webutils/docs/doc.pdf?path=6148523063484d364c793942556b356c6443397a6158526c63793959566b6c4a544556484c3039464c7a49774d6a59794d4449314d5441774f53395151533877596d5669596a4a6b4f4330794d7a59774c5451794f5755744f5755345953316c5a5745304f444d344d5755314d6d45756347526d&amp;Fich=0bebb2d8-2360-429e-9e8a-eea48381e52a.pdf&amp;Inline=true</t>
        </is>
      </c>
      <c r="X490" s="2" t="inlineStr">
        <is>
          <t>Educação e Ciência</t>
        </is>
      </c>
      <c r="Y490" s="2" t="inlineStr">
        <is>
          <t>Articulado</t>
        </is>
      </c>
      <c r="Z490" s="2" t="inlineStr">
        <is>
          <t>Aditamento (Números e Alíneas)</t>
        </is>
      </c>
      <c r="AA490" s="2" t="inlineStr">
        <is>
          <t>Rejeitado(a) em Comissão</t>
        </is>
      </c>
      <c r="AB490" s="2" t="inlineStr"/>
      <c r="AC490" s="2" t="inlineStr"/>
      <c r="AD490" s="2" t="inlineStr">
        <is>
          <t>1</t>
        </is>
      </c>
      <c r="AE490" s="2" t="inlineStr">
        <is>
          <t>23661</t>
        </is>
      </c>
      <c r="AF490" s="2" t="inlineStr">
        <is>
          <t>https://www.parlamento.pt/OrcamentoEstado/Paginas/DetalhePropostaAlteracao.aspx?BID=23661</t>
        </is>
      </c>
      <c r="AG490" s="2" t="inlineStr">
        <is>
          <t>https://app.parlamento.pt/webutils/docs/doc.pdf?path=6148523063484d364c793942556b356c6443397a6158526c63793959566b6c4a544556484c3039464c7a49774d6a59794d4449314d5441774f53395151533877596d5669596a4a6b4f4330794d7a59774c5451794f5755744f5755345953316c5a5745304f444d344d5755314d6d45756347526d&amp;Fich=0bebb2d8-2360-429e-9e8a-eea48381e52a.pdf&amp;Inline=true</t>
        </is>
      </c>
      <c r="AH490" s="3" t="n">
        <v>46321.77847222222</v>
      </c>
      <c r="AI490" s="3" t="n">
        <v>46321.78055555555</v>
      </c>
      <c r="AJ490" s="2" t="inlineStr"/>
    </row>
    <row r="491">
      <c r="A491" s="2" t="n">
        <v>490</v>
      </c>
      <c r="B491" s="2" t="inlineStr">
        <is>
          <t>448C</t>
        </is>
      </c>
      <c r="C491" s="3" t="n">
        <v>45965.79027777778</v>
      </c>
      <c r="D491" s="2" t="inlineStr">
        <is>
          <t>Original</t>
        </is>
      </c>
      <c r="E491" s="2" t="inlineStr">
        <is>
          <t>CH</t>
        </is>
      </c>
      <c r="F49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91" s="2" t="inlineStr">
        <is>
          <t>Art. 8.º (aditamento)</t>
        </is>
      </c>
      <c r="H491" s="2" t="n"/>
      <c r="I491" s="2" t="n"/>
      <c r="J491" s="2" t="n"/>
      <c r="K491" s="2" t="n"/>
      <c r="L491" s="2" t="inlineStr">
        <is>
          <t>N.º 27, Artigo 8.º</t>
        </is>
      </c>
      <c r="M491" s="4" t="n"/>
      <c r="N491" s="4" t="n"/>
      <c r="O491" s="2" t="n"/>
      <c r="P491" s="2" t="n"/>
      <c r="Q491" s="2" t="n"/>
      <c r="R491" s="2" t="n"/>
      <c r="S491" s="2" t="inlineStr">
        <is>
          <t>Rejeitado(a) em Comissão</t>
        </is>
      </c>
      <c r="T491" s="2" t="inlineStr">
        <is>
          <t>Rejeitada</t>
        </is>
      </c>
      <c r="U491" s="2" t="inlineStr">
        <is>
          <t>Favor: CH, IL, BE, PAN; Contra: PSD, L, CDS-PP; Abstenção: PS, PCP</t>
        </is>
      </c>
      <c r="V491" s="3" t="n">
        <v>45981</v>
      </c>
      <c r="W491" s="2" t="inlineStr">
        <is>
          <t>AR: https://www.parlamento.pt/OrcamentoEstado/Paginas/DetalhePropostaAlteracao.aspx?BID=23662 PDF: https://app.parlamento.pt/webutils/docs/doc.pdf?path=6148523063484d364c793942556b356c6443397a6158526c63793959566b6c4a544556484c3039464c7a49774d6a59794d4449314d5441774f53395151533877596d55784e5456694e6930304d6d4e6b4c54526d4e6d49744f4463344e4330324e4751334d6a4d32596d597959546b756347526d&amp;Fich=0be155b6-42cd-4f6b-8784-64d7236bf2a9.pdf&amp;Inline=true</t>
        </is>
      </c>
      <c r="X491" s="2" t="inlineStr">
        <is>
          <t>Educação e Ciência</t>
        </is>
      </c>
      <c r="Y491" s="2" t="inlineStr">
        <is>
          <t>Articulado</t>
        </is>
      </c>
      <c r="Z491" s="2" t="inlineStr">
        <is>
          <t>Aditamento (Números e Alíneas)</t>
        </is>
      </c>
      <c r="AA491" s="2" t="inlineStr">
        <is>
          <t>Rejeitado(a) em Comissão</t>
        </is>
      </c>
      <c r="AB491" s="2" t="inlineStr"/>
      <c r="AC491" s="2" t="inlineStr"/>
      <c r="AD491" s="2" t="inlineStr">
        <is>
          <t>1</t>
        </is>
      </c>
      <c r="AE491" s="2" t="inlineStr">
        <is>
          <t>23662</t>
        </is>
      </c>
      <c r="AF491" s="2" t="inlineStr">
        <is>
          <t>https://www.parlamento.pt/OrcamentoEstado/Paginas/DetalhePropostaAlteracao.aspx?BID=23662</t>
        </is>
      </c>
      <c r="AG491" s="2" t="inlineStr">
        <is>
          <t>https://app.parlamento.pt/webutils/docs/doc.pdf?path=6148523063484d364c793942556b356c6443397a6158526c63793959566b6c4a544556484c3039464c7a49774d6a59794d4449314d5441774f53395151533877596d55784e5456694e6930304d6d4e6b4c54526d4e6d49744f4463344e4330324e4751334d6a4d32596d597959546b756347526d&amp;Fich=0be155b6-42cd-4f6b-8784-64d7236bf2a9.pdf&amp;Inline=true</t>
        </is>
      </c>
      <c r="AH491" s="3" t="n">
        <v>46321.77847222222</v>
      </c>
      <c r="AI491" s="3" t="n">
        <v>46321.78055555555</v>
      </c>
      <c r="AJ491" s="2" t="inlineStr"/>
    </row>
    <row r="492">
      <c r="A492" s="2" t="n">
        <v>491</v>
      </c>
      <c r="B492" s="2" t="inlineStr">
        <is>
          <t>449C</t>
        </is>
      </c>
      <c r="C492" s="3" t="n">
        <v>45965.79236111111</v>
      </c>
      <c r="D492" s="2" t="inlineStr">
        <is>
          <t>Original</t>
        </is>
      </c>
      <c r="E492" s="2" t="inlineStr">
        <is>
          <t>CH</t>
        </is>
      </c>
      <c r="F49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92" s="2" t="inlineStr">
        <is>
          <t>Art. 28.º (substituição)</t>
        </is>
      </c>
      <c r="H492" s="2" t="n"/>
      <c r="I492" s="2" t="n"/>
      <c r="J492" s="2" t="n"/>
      <c r="K492" s="2" t="n"/>
      <c r="L492" s="2" t="inlineStr">
        <is>
          <t>Alínea b), N.º 1, Artigo 28.º</t>
        </is>
      </c>
      <c r="M492" s="4" t="n"/>
      <c r="N492" s="4" t="n"/>
      <c r="O492" s="2" t="n"/>
      <c r="P492" s="2" t="n"/>
      <c r="Q492" s="2" t="n"/>
      <c r="R492" s="2" t="n"/>
      <c r="S492" s="2" t="inlineStr">
        <is>
          <t>Rejeitado(a) em Comissão</t>
        </is>
      </c>
      <c r="T492" s="2" t="inlineStr">
        <is>
          <t>Rejeitada</t>
        </is>
      </c>
      <c r="U492" s="2" t="inlineStr">
        <is>
          <t>Favor: CH, BE; Contra: PSD, IL, CDS-PP, PAN; Abstenção: PS, L, PCP</t>
        </is>
      </c>
      <c r="V492" s="3" t="n">
        <v>45981</v>
      </c>
      <c r="W492" s="2" t="inlineStr">
        <is>
          <t>AR: https://www.parlamento.pt/OrcamentoEstado/Paginas/DetalhePropostaAlteracao.aspx?BID=23663 PDF: https://app.parlamento.pt/webutils/docs/doc.pdf?path=6148523063484d364c793942556b356c6443397a6158526c63793959566b6c4a544556484c3039464c7a49774d6a59794d4449314d5441774f533951515338795a6a67314e6a63354d43307a4d6d4e6c4c5451315a546774596d45314e6930784d47597a4d54526c4e6d59355a6a49756347526d&amp;Fich=2f856790-32ce-45e8-ba56-10f314e6f9f2.pdf&amp;Inline=true</t>
        </is>
      </c>
      <c r="X492" s="2" t="inlineStr">
        <is>
          <t>Trabalho, Segurança Social e Inclusão</t>
        </is>
      </c>
      <c r="Y492" s="2" t="inlineStr">
        <is>
          <t>Articulado</t>
        </is>
      </c>
      <c r="Z492" s="2" t="inlineStr">
        <is>
          <t>Substituição</t>
        </is>
      </c>
      <c r="AA492" s="2" t="inlineStr">
        <is>
          <t>Rejeitado(a) em Comissão</t>
        </is>
      </c>
      <c r="AB492" s="2" t="inlineStr"/>
      <c r="AC492" s="2" t="inlineStr"/>
      <c r="AD492" s="2" t="inlineStr">
        <is>
          <t>1</t>
        </is>
      </c>
      <c r="AE492" s="2" t="inlineStr">
        <is>
          <t>23663</t>
        </is>
      </c>
      <c r="AF492" s="2" t="inlineStr">
        <is>
          <t>https://www.parlamento.pt/OrcamentoEstado/Paginas/DetalhePropostaAlteracao.aspx?BID=23663</t>
        </is>
      </c>
      <c r="AG492" s="2" t="inlineStr">
        <is>
          <t>https://app.parlamento.pt/webutils/docs/doc.pdf?path=6148523063484d364c793942556b356c6443397a6158526c63793959566b6c4a544556484c3039464c7a49774d6a59794d4449314d5441774f533951515338795a6a67314e6a63354d43307a4d6d4e6c4c5451315a546774596d45314e6930784d47597a4d54526c4e6d59355a6a49756347526d&amp;Fich=2f856790-32ce-45e8-ba56-10f314e6f9f2.pdf&amp;Inline=true</t>
        </is>
      </c>
      <c r="AH492" s="3" t="n">
        <v>46321.77847222222</v>
      </c>
      <c r="AI492" s="3" t="n">
        <v>46321.78055555555</v>
      </c>
      <c r="AJ492" s="2" t="inlineStr"/>
    </row>
    <row r="493">
      <c r="A493" s="2" t="n">
        <v>492</v>
      </c>
      <c r="B493" s="2" t="inlineStr">
        <is>
          <t>450C</t>
        </is>
      </c>
      <c r="C493" s="3" t="n">
        <v>45965.79375</v>
      </c>
      <c r="D493" s="2" t="inlineStr">
        <is>
          <t>Original</t>
        </is>
      </c>
      <c r="E493" s="2" t="inlineStr">
        <is>
          <t>CH</t>
        </is>
      </c>
      <c r="F49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93" s="2" t="inlineStr">
        <is>
          <t>Art. 60.º (substituição)</t>
        </is>
      </c>
      <c r="H493" s="2" t="n"/>
      <c r="I493" s="2" t="n"/>
      <c r="J493" s="2" t="n"/>
      <c r="K493" s="2" t="n"/>
      <c r="L493" s="2" t="inlineStr">
        <is>
          <t>Alínea b), N.º 5, Artigo 10.º do Código do IRS</t>
        </is>
      </c>
      <c r="M493" s="4" t="n"/>
      <c r="N493" s="4" t="n"/>
      <c r="O493" s="2" t="n"/>
      <c r="P493" s="2" t="n"/>
      <c r="Q493" s="2" t="n"/>
      <c r="R493" s="2" t="n"/>
      <c r="S493" s="2" t="inlineStr">
        <is>
          <t>Rejeitado(a) em Comissão</t>
        </is>
      </c>
      <c r="T493" s="2" t="inlineStr">
        <is>
          <t>Rejeitada</t>
        </is>
      </c>
      <c r="U493" s="2" t="inlineStr">
        <is>
          <t>Favor: CH, IL, PAN; Contra: PSD, PS, CDS-PP, BE; Abstenção: L, PCP</t>
        </is>
      </c>
      <c r="V493" s="3" t="n">
        <v>45981</v>
      </c>
      <c r="W493" s="2" t="inlineStr">
        <is>
          <t>AR: https://www.parlamento.pt/OrcamentoEstado/Paginas/DetalhePropostaAlteracao.aspx?BID=23664 PDF: https://app.parlamento.pt/webutils/docs/doc.pdf?path=6148523063484d364c793942556b356c6443397a6158526c63793959566b6c4a544556484c3039464c7a49774d6a59794d4449314d5441774f5339515153396a5a6d4933596a457a4e5331694f44526a4c5451345a6d4574596a6b774e7930774d3255335a544268596d4d795a4467756347526d&amp;Fich=cfb7b135-b84c-48fa-b907-03e7e0abc2d8.pdf&amp;Inline=true</t>
        </is>
      </c>
      <c r="X493" s="2" t="inlineStr">
        <is>
          <t>Orçamento, Finanças e Administração Pública</t>
        </is>
      </c>
      <c r="Y493" s="2" t="inlineStr">
        <is>
          <t>Articulado</t>
        </is>
      </c>
      <c r="Z493" s="2" t="inlineStr">
        <is>
          <t>Substituição</t>
        </is>
      </c>
      <c r="AA493" s="2" t="inlineStr">
        <is>
          <t>Rejeitado(a) em Comissão</t>
        </is>
      </c>
      <c r="AB493" s="2" t="inlineStr"/>
      <c r="AC493" s="2" t="inlineStr"/>
      <c r="AD493" s="2" t="inlineStr">
        <is>
          <t>1</t>
        </is>
      </c>
      <c r="AE493" s="2" t="inlineStr">
        <is>
          <t>23664</t>
        </is>
      </c>
      <c r="AF493" s="2" t="inlineStr">
        <is>
          <t>https://www.parlamento.pt/OrcamentoEstado/Paginas/DetalhePropostaAlteracao.aspx?BID=23664</t>
        </is>
      </c>
      <c r="AG493" s="2" t="inlineStr">
        <is>
          <t>https://app.parlamento.pt/webutils/docs/doc.pdf?path=6148523063484d364c793942556b356c6443397a6158526c63793959566b6c4a544556484c3039464c7a49774d6a59794d4449314d5441774f5339515153396a5a6d4933596a457a4e5331694f44526a4c5451345a6d4574596a6b774e7930774d3255335a544268596d4d795a4467756347526d&amp;Fich=cfb7b135-b84c-48fa-b907-03e7e0abc2d8.pdf&amp;Inline=true</t>
        </is>
      </c>
      <c r="AH493" s="3" t="n">
        <v>46321.77847222222</v>
      </c>
      <c r="AI493" s="3" t="n">
        <v>46321.78055555555</v>
      </c>
      <c r="AJ493" s="2" t="inlineStr"/>
    </row>
    <row r="494">
      <c r="A494" s="2" t="n">
        <v>493</v>
      </c>
      <c r="B494" s="2" t="inlineStr">
        <is>
          <t>451C</t>
        </is>
      </c>
      <c r="C494" s="3" t="n">
        <v>45965.79444444444</v>
      </c>
      <c r="D494" s="2" t="inlineStr">
        <is>
          <t>Original</t>
        </is>
      </c>
      <c r="E494" s="2" t="inlineStr">
        <is>
          <t>CH</t>
        </is>
      </c>
      <c r="F49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94" s="2" t="inlineStr">
        <is>
          <t>Art. 63.º (aditamento)</t>
        </is>
      </c>
      <c r="H494" s="2" t="n"/>
      <c r="I494" s="2" t="n"/>
      <c r="J494" s="2" t="n"/>
      <c r="K494" s="2" t="n"/>
      <c r="L494" s="2" t="inlineStr">
        <is>
          <t>Verba 2.42, Lista I anexa ao Código do IVA</t>
        </is>
      </c>
      <c r="M494" s="4" t="n"/>
      <c r="N494" s="4" t="n"/>
      <c r="O494" s="2" t="n"/>
      <c r="P494" s="2" t="n"/>
      <c r="Q494" s="2" t="n"/>
      <c r="R494" s="2" t="n"/>
      <c r="S494" s="2" t="inlineStr">
        <is>
          <t>Rejeitado(a) em Comissão</t>
        </is>
      </c>
      <c r="T494" s="2" t="inlineStr">
        <is>
          <t>Rejeitada</t>
        </is>
      </c>
      <c r="U494" s="2" t="inlineStr">
        <is>
          <t>Favor: CH, IL, BE, PAN; Contra: PSD, CDS-PP; Abstenção: PS, L, PCP</t>
        </is>
      </c>
      <c r="V494" s="3" t="n">
        <v>45982</v>
      </c>
      <c r="W494" s="2" t="inlineStr">
        <is>
          <t>AR: https://www.parlamento.pt/OrcamentoEstado/Paginas/DetalhePropostaAlteracao.aspx?BID=23665 PDF: https://app.parlamento.pt/webutils/docs/doc.pdf?path=6148523063484d364c793942556b356c6443397a6158526c63793959566b6c4a544556484c3039464c7a49774d6a59794d4449314d5441774f533951515338344d54517a4e6d51325a43316b4d6a52684c5451355a444d744f575a6b595330305954557a596a49304f44686d4d5451756347526d&amp;Fich=81436d6d-d24a-49d3-9fda-4a53b2488f14.pdf&amp;Inline=true</t>
        </is>
      </c>
      <c r="X494" s="2" t="inlineStr">
        <is>
          <t>Comissão de Economia e Coesão Territorial</t>
        </is>
      </c>
      <c r="Y494" s="2" t="inlineStr">
        <is>
          <t>Articulado</t>
        </is>
      </c>
      <c r="Z494" s="2" t="inlineStr">
        <is>
          <t>Aditamento (Números e Alíneas)</t>
        </is>
      </c>
      <c r="AA494" s="2" t="inlineStr">
        <is>
          <t>Rejeitado(a) em Comissão</t>
        </is>
      </c>
      <c r="AB494" s="2" t="inlineStr"/>
      <c r="AC494" s="2" t="inlineStr"/>
      <c r="AD494" s="2" t="inlineStr">
        <is>
          <t>1</t>
        </is>
      </c>
      <c r="AE494" s="2" t="inlineStr">
        <is>
          <t>23665</t>
        </is>
      </c>
      <c r="AF494" s="2" t="inlineStr">
        <is>
          <t>https://www.parlamento.pt/OrcamentoEstado/Paginas/DetalhePropostaAlteracao.aspx?BID=23665</t>
        </is>
      </c>
      <c r="AG494" s="2" t="inlineStr">
        <is>
          <t>https://app.parlamento.pt/webutils/docs/doc.pdf?path=6148523063484d364c793942556b356c6443397a6158526c63793959566b6c4a544556484c3039464c7a49774d6a59794d4449314d5441774f533951515338344d54517a4e6d51325a43316b4d6a52684c5451355a444d744f575a6b595330305954557a596a49304f44686d4d5451756347526d&amp;Fich=81436d6d-d24a-49d3-9fda-4a53b2488f14.pdf&amp;Inline=true</t>
        </is>
      </c>
      <c r="AH494" s="3" t="n">
        <v>46321.77847222222</v>
      </c>
      <c r="AI494" s="3" t="n">
        <v>46321.78055555555</v>
      </c>
      <c r="AJ494" s="2" t="inlineStr"/>
    </row>
    <row r="495">
      <c r="A495" s="2" t="n">
        <v>494</v>
      </c>
      <c r="B495" s="2" t="inlineStr">
        <is>
          <t>452C</t>
        </is>
      </c>
      <c r="C495" s="3" t="n">
        <v>45965.79513888889</v>
      </c>
      <c r="D495" s="2" t="inlineStr">
        <is>
          <t>Original</t>
        </is>
      </c>
      <c r="E495" s="2" t="inlineStr">
        <is>
          <t>CH</t>
        </is>
      </c>
      <c r="F49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95" s="2" t="inlineStr">
        <is>
          <t>Art. 63.º (aditamento)</t>
        </is>
      </c>
      <c r="H495" s="2" t="n"/>
      <c r="I495" s="2" t="n"/>
      <c r="J495" s="2" t="n"/>
      <c r="K495" s="2" t="n"/>
      <c r="L495" s="2" t="inlineStr">
        <is>
          <t>Verba 2.42, Lista I anexa ao Código do IVA</t>
        </is>
      </c>
      <c r="M495" s="4" t="n"/>
      <c r="N495" s="4" t="n"/>
      <c r="O495" s="2" t="n"/>
      <c r="P495" s="2" t="n"/>
      <c r="Q495" s="2" t="n"/>
      <c r="R495" s="2" t="n"/>
      <c r="S495" s="2" t="inlineStr">
        <is>
          <t>Rejeitado(a) em Comissão</t>
        </is>
      </c>
      <c r="T495" s="2" t="inlineStr">
        <is>
          <t>Rejeitada</t>
        </is>
      </c>
      <c r="U495" s="2" t="inlineStr">
        <is>
          <t>Favor: CH, IL; Contra: PSD, L, BE, PAN; Abstenção: PS, PCP, CDS-PP</t>
        </is>
      </c>
      <c r="V495" s="3" t="n">
        <v>45982</v>
      </c>
      <c r="W495" s="2" t="inlineStr">
        <is>
          <t>AR: https://www.parlamento.pt/OrcamentoEstado/Paginas/DetalhePropostaAlteracao.aspx?BID=23666 PDF: https://app.parlamento.pt/webutils/docs/doc.pdf?path=6148523063484d364c793942556b356c6443397a6158526c63793959566b6c4a544556484c3039464c7a49774d6a59794d4449314d5441774f5339515153396c4f544e6a4f47557a4e433168596a67304c54526b4f474d74596a4a6a5a4331695954497a4d57526c596d4d314e444d756347526d&amp;Fich=e93c8e34-ab84-4d8c-b2cd-ba231debc543.pdf&amp;Inline=true</t>
        </is>
      </c>
      <c r="X495" s="2" t="inlineStr">
        <is>
          <t>Agricultura e Pescas; Orçamento, Finanças e Administração Pública</t>
        </is>
      </c>
      <c r="Y495" s="2" t="inlineStr">
        <is>
          <t>Articulado</t>
        </is>
      </c>
      <c r="Z495" s="2" t="inlineStr">
        <is>
          <t>Aditamento (Números e Alíneas)</t>
        </is>
      </c>
      <c r="AA495" s="2" t="inlineStr">
        <is>
          <t>Rejeitado(a) em Comissão</t>
        </is>
      </c>
      <c r="AB495" s="2" t="inlineStr"/>
      <c r="AC495" s="2" t="inlineStr"/>
      <c r="AD495" s="2" t="inlineStr">
        <is>
          <t>1</t>
        </is>
      </c>
      <c r="AE495" s="2" t="inlineStr">
        <is>
          <t>23666</t>
        </is>
      </c>
      <c r="AF495" s="2" t="inlineStr">
        <is>
          <t>https://www.parlamento.pt/OrcamentoEstado/Paginas/DetalhePropostaAlteracao.aspx?BID=23666</t>
        </is>
      </c>
      <c r="AG495" s="2" t="inlineStr">
        <is>
          <t>https://app.parlamento.pt/webutils/docs/doc.pdf?path=6148523063484d364c793942556b356c6443397a6158526c63793959566b6c4a544556484c3039464c7a49774d6a59794d4449314d5441774f5339515153396c4f544e6a4f47557a4e433168596a67304c54526b4f474d74596a4a6a5a4331695954497a4d57526c596d4d314e444d756347526d&amp;Fich=e93c8e34-ab84-4d8c-b2cd-ba231debc543.pdf&amp;Inline=true</t>
        </is>
      </c>
      <c r="AH495" s="3" t="n">
        <v>46321.77847222222</v>
      </c>
      <c r="AI495" s="3" t="n">
        <v>46321.78055555555</v>
      </c>
      <c r="AJ495" s="2" t="inlineStr"/>
    </row>
    <row r="496">
      <c r="A496" s="2" t="n">
        <v>495</v>
      </c>
      <c r="B496" s="2" t="inlineStr">
        <is>
          <t>453C</t>
        </is>
      </c>
      <c r="C496" s="3" t="n">
        <v>45965.79652777778</v>
      </c>
      <c r="D496" s="2" t="inlineStr">
        <is>
          <t>Original</t>
        </is>
      </c>
      <c r="E496" s="2" t="inlineStr">
        <is>
          <t>CH</t>
        </is>
      </c>
      <c r="F49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96" s="2" t="inlineStr">
        <is>
          <t>Art. 64.º (substituição)</t>
        </is>
      </c>
      <c r="H496" s="2" t="n"/>
      <c r="I496" s="2" t="n"/>
      <c r="J496" s="2" t="n"/>
      <c r="K496" s="2" t="n"/>
      <c r="L496" s="2" t="inlineStr">
        <is>
          <t>N.º 5, Artigo 67.º do Código do IEC</t>
        </is>
      </c>
      <c r="M496" s="4" t="n"/>
      <c r="N496" s="4" t="n"/>
      <c r="O496" s="2" t="n"/>
      <c r="P496" s="2" t="n"/>
      <c r="Q496" s="2" t="n"/>
      <c r="R496" s="2" t="n"/>
      <c r="S496" s="2" t="inlineStr">
        <is>
          <t>Rejeitado(a) em Comissão</t>
        </is>
      </c>
      <c r="T496" s="2" t="inlineStr">
        <is>
          <t>Rejeitada</t>
        </is>
      </c>
      <c r="U496" s="2" t="inlineStr">
        <is>
          <t>Favor: CH, IL; Contra: PSD, CDS-PP, PAN; Abstenção: PS, L, PCP, BE</t>
        </is>
      </c>
      <c r="V496" s="3" t="n">
        <v>45982</v>
      </c>
      <c r="W496" s="2" t="inlineStr">
        <is>
          <t>AR: https://www.parlamento.pt/OrcamentoEstado/Paginas/DetalhePropostaAlteracao.aspx?BID=23667 PDF: https://app.parlamento.pt/webutils/docs/doc.pdf?path=6148523063484d364c793942556b356c6443397a6158526c63793959566b6c4a544556484c3039464c7a49774d6a59794d4449314d5441774f533951515339695a444e69596a59314e4330774e47526a4c545135596d59744f475a6b5979307a4e47517a5954637a5a5759335a4467756347526d&amp;Fich=bd3bb654-04dc-49bf-8fdc-34d3a73ef7d8.pdf&amp;Inline=true</t>
        </is>
      </c>
      <c r="X496" s="2" t="inlineStr">
        <is>
          <t>Agricultura e Pescas; Orçamento, Finanças e Administração Pública</t>
        </is>
      </c>
      <c r="Y496" s="2" t="inlineStr">
        <is>
          <t>Articulado</t>
        </is>
      </c>
      <c r="Z496" s="2" t="inlineStr">
        <is>
          <t>Substituição</t>
        </is>
      </c>
      <c r="AA496" s="2" t="inlineStr">
        <is>
          <t>Rejeitado(a) em Comissão</t>
        </is>
      </c>
      <c r="AB496" s="2" t="inlineStr"/>
      <c r="AC496" s="2" t="inlineStr"/>
      <c r="AD496" s="2" t="inlineStr">
        <is>
          <t>1</t>
        </is>
      </c>
      <c r="AE496" s="2" t="inlineStr">
        <is>
          <t>23667</t>
        </is>
      </c>
      <c r="AF496" s="2" t="inlineStr">
        <is>
          <t>https://www.parlamento.pt/OrcamentoEstado/Paginas/DetalhePropostaAlteracao.aspx?BID=23667</t>
        </is>
      </c>
      <c r="AG496" s="2" t="inlineStr">
        <is>
          <t>https://app.parlamento.pt/webutils/docs/doc.pdf?path=6148523063484d364c793942556b356c6443397a6158526c63793959566b6c4a544556484c3039464c7a49774d6a59794d4449314d5441774f533951515339695a444e69596a59314e4330774e47526a4c545135596d59744f475a6b5979307a4e47517a5954637a5a5759335a4467756347526d&amp;Fich=bd3bb654-04dc-49bf-8fdc-34d3a73ef7d8.pdf&amp;Inline=true</t>
        </is>
      </c>
      <c r="AH496" s="3" t="n">
        <v>46321.77847222222</v>
      </c>
      <c r="AI496" s="3" t="n">
        <v>46321.78055555555</v>
      </c>
      <c r="AJ496" s="2" t="inlineStr"/>
    </row>
    <row r="497">
      <c r="A497" s="2" t="n">
        <v>496</v>
      </c>
      <c r="B497" s="2" t="inlineStr">
        <is>
          <t>454C</t>
        </is>
      </c>
      <c r="C497" s="3" t="n">
        <v>45965.79791666667</v>
      </c>
      <c r="D497" s="2" t="inlineStr">
        <is>
          <t>Original</t>
        </is>
      </c>
      <c r="E497" s="2" t="inlineStr">
        <is>
          <t>CH</t>
        </is>
      </c>
      <c r="F49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97" s="2" t="inlineStr">
        <is>
          <t>Art. 67.º-A (aditamento)</t>
        </is>
      </c>
      <c r="H497" s="2" t="n"/>
      <c r="I497" s="2" t="n"/>
      <c r="J497" s="2" t="n"/>
      <c r="K497" s="2" t="n"/>
      <c r="L497" s="2" t="inlineStr">
        <is>
          <t>Artigo 67.º-A (Alteração ao Código do Imposto Único de Circulação)</t>
        </is>
      </c>
      <c r="M497" s="4" t="n"/>
      <c r="N497" s="4" t="n"/>
      <c r="O497" s="2" t="n"/>
      <c r="P497" s="2" t="n"/>
      <c r="Q497" s="2" t="n"/>
      <c r="R497" s="2" t="n"/>
      <c r="S497" s="2" t="inlineStr">
        <is>
          <t>Rejeitado(a) em Comissão</t>
        </is>
      </c>
      <c r="T497" s="2" t="inlineStr">
        <is>
          <t>Rejeitada</t>
        </is>
      </c>
      <c r="U497" s="2" t="inlineStr">
        <is>
          <t>Favor: CH, IL, BE; Contra: PSD; Abstenção: PS, L, PCP, CDS-PP, PAN</t>
        </is>
      </c>
      <c r="V497" s="3" t="n">
        <v>45982</v>
      </c>
      <c r="W497" s="2" t="inlineStr">
        <is>
          <t>AR: https://www.parlamento.pt/OrcamentoEstado/Paginas/DetalhePropostaAlteracao.aspx?BID=23668 PDF: https://app.parlamento.pt/webutils/docs/doc.pdf?path=6148523063484d364c793942556b356c6443397a6158526c63793959566b6c4a544556484c3039464c7a49774d6a59794d4449314d5441774f5339515153396b5a5446695a6d5a684e53316a5a6a686d4c545179593255744f5463344d4330354e5467304e4455304e6a45795a6d4d756347526d&amp;Fich=de1bffa5-cf8f-42ce-9780-9584454612fc.pdf&amp;Inline=true</t>
        </is>
      </c>
      <c r="X497" s="2" t="inlineStr">
        <is>
          <t>Orçamento, Finanças e Administração Pública</t>
        </is>
      </c>
      <c r="Y497" s="2" t="inlineStr">
        <is>
          <t>Articulado</t>
        </is>
      </c>
      <c r="Z497" s="2" t="inlineStr">
        <is>
          <t>Aditamento (Artigo PPL)</t>
        </is>
      </c>
      <c r="AA497" s="2" t="inlineStr">
        <is>
          <t>Rejeitado(a) em Comissão</t>
        </is>
      </c>
      <c r="AB497" s="2" t="inlineStr"/>
      <c r="AC497" s="2" t="inlineStr"/>
      <c r="AD497" s="2" t="inlineStr">
        <is>
          <t>1</t>
        </is>
      </c>
      <c r="AE497" s="2" t="inlineStr">
        <is>
          <t>23668</t>
        </is>
      </c>
      <c r="AF497" s="2" t="inlineStr">
        <is>
          <t>https://www.parlamento.pt/OrcamentoEstado/Paginas/DetalhePropostaAlteracao.aspx?BID=23668</t>
        </is>
      </c>
      <c r="AG497" s="2" t="inlineStr">
        <is>
          <t>https://app.parlamento.pt/webutils/docs/doc.pdf?path=6148523063484d364c793942556b356c6443397a6158526c63793959566b6c4a544556484c3039464c7a49774d6a59794d4449314d5441774f5339515153396b5a5446695a6d5a684e53316a5a6a686d4c545179593255744f5463344d4330354e5467304e4455304e6a45795a6d4d756347526d&amp;Fich=de1bffa5-cf8f-42ce-9780-9584454612fc.pdf&amp;Inline=true</t>
        </is>
      </c>
      <c r="AH497" s="3" t="n">
        <v>46321.77847222222</v>
      </c>
      <c r="AI497" s="3" t="n">
        <v>46321.78055555555</v>
      </c>
      <c r="AJ497" s="2" t="inlineStr"/>
    </row>
    <row r="498">
      <c r="A498" s="2" t="n">
        <v>497</v>
      </c>
      <c r="B498" s="2" t="inlineStr">
        <is>
          <t>455C</t>
        </is>
      </c>
      <c r="C498" s="3" t="n">
        <v>45965.80138888889</v>
      </c>
      <c r="D498" s="2" t="inlineStr">
        <is>
          <t>Original</t>
        </is>
      </c>
      <c r="E498" s="2" t="inlineStr">
        <is>
          <t>CH</t>
        </is>
      </c>
      <c r="F49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498" s="2" t="inlineStr">
        <is>
          <t>Art. 136.º-A (aditamento)</t>
        </is>
      </c>
      <c r="H498" s="2" t="n"/>
      <c r="I498" s="2" t="n"/>
      <c r="J498" s="2" t="n"/>
      <c r="K498" s="2" t="n"/>
      <c r="L498" s="2" t="inlineStr">
        <is>
          <t>Artigo 136.º-A (Investimento em conservação e melhoria dos pontos críticos existentes nas estradas nacionais do distrito de Viseu)</t>
        </is>
      </c>
      <c r="M498" s="4" t="n"/>
      <c r="N498" s="4" t="n"/>
      <c r="O498" s="2" t="n"/>
      <c r="P498" s="2" t="n"/>
      <c r="Q498" s="2" t="n"/>
      <c r="R498" s="2" t="n"/>
      <c r="S498" s="2" t="inlineStr">
        <is>
          <t>Rejeitado(a) em Comissão</t>
        </is>
      </c>
      <c r="T498" s="2" t="inlineStr">
        <is>
          <t>Rejeitada</t>
        </is>
      </c>
      <c r="U498" s="2" t="inlineStr">
        <is>
          <t>Favor: CH, BE, PAN; Contra: PSD, CDS-PP; Abstenção: PS, IL, L, PCP</t>
        </is>
      </c>
      <c r="V498" s="3" t="n">
        <v>45987</v>
      </c>
      <c r="W498" s="2" t="inlineStr">
        <is>
          <t>AR: https://www.parlamento.pt/OrcamentoEstado/Paginas/DetalhePropostaAlteracao.aspx?BID=23669 PDF: https://app.parlamento.pt/webutils/docs/doc.pdf?path=6148523063484d364c793942556b356c6443397a6158526c63793959566b6c4a544556484c3039464c7a49774d6a59794d4449314d5441774f533951515338795a5467794e544133595330784e474d354c5451304e6a6374596a4a6c597930324d6a5a6959544d344d6d566d4d4745756347526d&amp;Fich=2e82507a-14c9-4467-b2ec-626ba382ef0a.pdf&amp;Inline=true</t>
        </is>
      </c>
      <c r="X498" s="2" t="inlineStr">
        <is>
          <t>Infraestruturas, Mobilidade e Habitação</t>
        </is>
      </c>
      <c r="Y498" s="2" t="inlineStr">
        <is>
          <t>Articulado</t>
        </is>
      </c>
      <c r="Z498" s="2" t="inlineStr">
        <is>
          <t>Aditamento (Artigo PPL)</t>
        </is>
      </c>
      <c r="AA498" s="2" t="inlineStr">
        <is>
          <t>Rejeitado(a) em Comissão</t>
        </is>
      </c>
      <c r="AB498" s="2" t="inlineStr"/>
      <c r="AC498" s="2" t="inlineStr"/>
      <c r="AD498" s="2" t="inlineStr">
        <is>
          <t>1</t>
        </is>
      </c>
      <c r="AE498" s="2" t="inlineStr">
        <is>
          <t>23669</t>
        </is>
      </c>
      <c r="AF498" s="2" t="inlineStr">
        <is>
          <t>https://www.parlamento.pt/OrcamentoEstado/Paginas/DetalhePropostaAlteracao.aspx?BID=23669</t>
        </is>
      </c>
      <c r="AG498" s="2" t="inlineStr">
        <is>
          <t>https://app.parlamento.pt/webutils/docs/doc.pdf?path=6148523063484d364c793942556b356c6443397a6158526c63793959566b6c4a544556484c3039464c7a49774d6a59794d4449314d5441774f533951515338795a5467794e544133595330784e474d354c5451304e6a6374596a4a6c597930324d6a5a6959544d344d6d566d4d4745756347526d&amp;Fich=2e82507a-14c9-4467-b2ec-626ba382ef0a.pdf&amp;Inline=true</t>
        </is>
      </c>
      <c r="AH498" s="3" t="n">
        <v>46321.77847222222</v>
      </c>
      <c r="AI498" s="3" t="n">
        <v>46321.78055555555</v>
      </c>
      <c r="AJ498" s="2" t="inlineStr"/>
    </row>
    <row r="499">
      <c r="A499" s="2" t="n">
        <v>498</v>
      </c>
      <c r="B499" s="2" t="inlineStr">
        <is>
          <t>456C</t>
        </is>
      </c>
      <c r="C499" s="3" t="n">
        <v>45965.80277777778</v>
      </c>
      <c r="D499" s="2" t="inlineStr">
        <is>
          <t>Original</t>
        </is>
      </c>
      <c r="E499" s="2" t="inlineStr">
        <is>
          <t>PCP</t>
        </is>
      </c>
      <c r="F499" s="2" t="inlineStr">
        <is>
          <t>Alfredo Maia; Paula Santos; Paulo Raimundo</t>
        </is>
      </c>
      <c r="G499" s="2" t="inlineStr">
        <is>
          <t>Art. 6.º-A (aditamento)</t>
        </is>
      </c>
      <c r="H499" s="2" t="n"/>
      <c r="I499" s="2" t="n"/>
      <c r="J499" s="2" t="n"/>
      <c r="K499" s="2" t="n"/>
      <c r="L499" s="2" t="inlineStr">
        <is>
          <t>Artigo 6.º-A (Gestão e utilização do património edificado público)</t>
        </is>
      </c>
      <c r="M499" s="4" t="n"/>
      <c r="N499" s="4" t="n"/>
      <c r="O499" s="2" t="n"/>
      <c r="P499" s="2" t="n"/>
      <c r="Q499" s="2" t="n"/>
      <c r="R499" s="2" t="n"/>
      <c r="S499" s="2" t="inlineStr">
        <is>
          <t>Rejeitado(a) em Comissão</t>
        </is>
      </c>
      <c r="T499" s="2" t="inlineStr">
        <is>
          <t>Rejeitada</t>
        </is>
      </c>
      <c r="U499" s="2" t="inlineStr">
        <is>
          <t>Favor: PCP, BE, PAN; Contra: PSD, CH, IL, CDS-PP; Abstenção: PS, L</t>
        </is>
      </c>
      <c r="V499" s="3" t="n">
        <v>45981</v>
      </c>
      <c r="W499" s="2" t="inlineStr">
        <is>
          <t>AR: https://www.parlamento.pt/OrcamentoEstado/Paginas/DetalhePropostaAlteracao.aspx?BID=23670 PDF: https://app.parlamento.pt/webutils/docs/doc.pdf?path=6148523063484d364c793942556b356c6443397a6158526c63793959566b6c4a544556484c3039464c7a49774d6a59794d4449314d5441774f53395151533968597a56694d445a6d4d6930334e445a6c4c5451344e4755744f474a695979307a4e44417a4d6a497a4e6a45334e5745756347526d&amp;Fich=ac5b06f2-746e-484e-8bbc-34032236175a.pdf&amp;Inline=true</t>
        </is>
      </c>
      <c r="X499" s="2" t="inlineStr">
        <is>
          <t>Infraestruturas, Mobilidade e Habitação</t>
        </is>
      </c>
      <c r="Y499" s="2" t="inlineStr">
        <is>
          <t>Articulado</t>
        </is>
      </c>
      <c r="Z499" s="2" t="inlineStr">
        <is>
          <t>Aditamento (Artigo PPL)</t>
        </is>
      </c>
      <c r="AA499" s="2" t="inlineStr">
        <is>
          <t>Rejeitado(a) em Comissão</t>
        </is>
      </c>
      <c r="AB499" s="2" t="inlineStr"/>
      <c r="AC499" s="2" t="inlineStr"/>
      <c r="AD499" s="2" t="inlineStr">
        <is>
          <t>1</t>
        </is>
      </c>
      <c r="AE499" s="2" t="inlineStr">
        <is>
          <t>23670</t>
        </is>
      </c>
      <c r="AF499" s="2" t="inlineStr">
        <is>
          <t>https://www.parlamento.pt/OrcamentoEstado/Paginas/DetalhePropostaAlteracao.aspx?BID=23670</t>
        </is>
      </c>
      <c r="AG499" s="2" t="inlineStr">
        <is>
          <t>https://app.parlamento.pt/webutils/docs/doc.pdf?path=6148523063484d364c793942556b356c6443397a6158526c63793959566b6c4a544556484c3039464c7a49774d6a59794d4449314d5441774f53395151533968597a56694d445a6d4d6930334e445a6c4c5451344e4755744f474a695979307a4e44417a4d6a497a4e6a45334e5745756347526d&amp;Fich=ac5b06f2-746e-484e-8bbc-34032236175a.pdf&amp;Inline=true</t>
        </is>
      </c>
      <c r="AH499" s="3" t="n">
        <v>46321.77847222222</v>
      </c>
      <c r="AI499" s="3" t="n">
        <v>46321.78055555555</v>
      </c>
      <c r="AJ499" s="2" t="inlineStr"/>
    </row>
    <row r="500">
      <c r="A500" s="2" t="n">
        <v>499</v>
      </c>
      <c r="B500" s="2" t="inlineStr">
        <is>
          <t>457C</t>
        </is>
      </c>
      <c r="C500" s="3" t="n">
        <v>45965.80347222222</v>
      </c>
      <c r="D500" s="2" t="inlineStr">
        <is>
          <t>Retirada</t>
        </is>
      </c>
      <c r="E500" s="2" t="inlineStr">
        <is>
          <t>PCP</t>
        </is>
      </c>
      <c r="F500" s="2" t="inlineStr">
        <is>
          <t>Alfredo Maia; Paula Santos; Paulo Raimundo</t>
        </is>
      </c>
      <c r="G500" s="2" t="inlineStr">
        <is>
          <t>Articulado</t>
        </is>
      </c>
      <c r="H500" s="2" t="n"/>
      <c r="I500" s="2" t="n"/>
      <c r="J500" s="2" t="n"/>
      <c r="K500" s="2" t="n"/>
      <c r="L500" s="2" t="inlineStr">
        <is>
          <t>PAdit 6A - Gestão de património habitacional</t>
        </is>
      </c>
      <c r="M500" s="4" t="n"/>
      <c r="N500" s="4" t="n"/>
      <c r="O500" s="2" t="n"/>
      <c r="P500" s="2" t="n"/>
      <c r="Q500" s="2" t="n"/>
      <c r="R500" s="2" t="n"/>
      <c r="S500" s="2" t="inlineStr">
        <is>
          <t>Retirado(a)</t>
        </is>
      </c>
      <c r="T500" s="2" t="inlineStr">
        <is>
          <t>Retirada</t>
        </is>
      </c>
      <c r="U500" s="2" t="inlineStr"/>
      <c r="V500" s="3" t="n"/>
      <c r="W500" s="2" t="inlineStr">
        <is>
          <t>AR: https://www.parlamento.pt/OrcamentoEstado/Paginas/DetalhePropostaAlteracao.aspx?BID=23671 PDF: https://app.parlamento.pt/webutils/docs/doc.pdf?path=6148523063484d364c793942556b356c6443397a6158526c63793959566b6c4a544556484c3039464c7a49774d6a59794d4449314d5441774f533951515339684d32457a5a6a4e6c4e6930325954526b4c5451774d6d4974596a45355953316d59546b315a6d4d304e6d45324e446b756347526d&amp;Fich=a3a3f3e6-6a4d-402b-b19a-fa95fc46a649.pdf&amp;Inline=true</t>
        </is>
      </c>
      <c r="X500" s="2" t="inlineStr">
        <is>
          <t>Infraestruturas, Mobilidade e Habitação</t>
        </is>
      </c>
      <c r="Y500" s="2" t="inlineStr">
        <is>
          <t>Articulado</t>
        </is>
      </c>
      <c r="Z500" s="2" t="inlineStr">
        <is>
          <t>Por Definir</t>
        </is>
      </c>
      <c r="AA500" s="2" t="inlineStr">
        <is>
          <t>Retirado(a)</t>
        </is>
      </c>
      <c r="AB500" s="2" t="inlineStr"/>
      <c r="AC500" s="2" t="inlineStr"/>
      <c r="AD500" s="2" t="inlineStr">
        <is>
          <t>0</t>
        </is>
      </c>
      <c r="AE500" s="2" t="inlineStr">
        <is>
          <t>23671</t>
        </is>
      </c>
      <c r="AF500" s="2" t="inlineStr">
        <is>
          <t>https://www.parlamento.pt/OrcamentoEstado/Paginas/DetalhePropostaAlteracao.aspx?BID=23671</t>
        </is>
      </c>
      <c r="AG500" s="2" t="inlineStr">
        <is>
          <t>https://app.parlamento.pt/webutils/docs/doc.pdf?path=6148523063484d364c793942556b356c6443397a6158526c63793959566b6c4a544556484c3039464c7a49774d6a59794d4449314d5441774f533951515339684d32457a5a6a4e6c4e6930325954526b4c5451774d6d4974596a45355953316d59546b315a6d4d304e6d45324e446b756347526d&amp;Fich=a3a3f3e6-6a4d-402b-b19a-fa95fc46a649.pdf&amp;Inline=true</t>
        </is>
      </c>
      <c r="AH500" s="3" t="n">
        <v>46321.77847222222</v>
      </c>
      <c r="AI500" s="3" t="n">
        <v>46321.78055555555</v>
      </c>
      <c r="AJ500" s="2" t="inlineStr"/>
    </row>
    <row r="501">
      <c r="A501" s="2" t="n">
        <v>500</v>
      </c>
      <c r="B501" s="2" t="inlineStr">
        <is>
          <t>458C</t>
        </is>
      </c>
      <c r="C501" s="3" t="n">
        <v>45965.80555555555</v>
      </c>
      <c r="D501" s="2" t="inlineStr">
        <is>
          <t>Original</t>
        </is>
      </c>
      <c r="E501" s="2" t="inlineStr">
        <is>
          <t>PCP</t>
        </is>
      </c>
      <c r="F501" s="2" t="inlineStr">
        <is>
          <t>Alfredo Maia; Paula Santos; Paulo Raimundo</t>
        </is>
      </c>
      <c r="G501" s="2" t="inlineStr">
        <is>
          <t>Art. 128.º-A (aditamento)</t>
        </is>
      </c>
      <c r="H501" s="2" t="n"/>
      <c r="I501" s="2" t="n"/>
      <c r="J501" s="2" t="n"/>
      <c r="K501" s="2" t="n"/>
      <c r="L501" s="2" t="inlineStr">
        <is>
          <t>Artigo 128.º-A (Programa-piloto para construção e disponibilização de habitação privada sem fins lucrativos)</t>
        </is>
      </c>
      <c r="M501" s="4" t="n"/>
      <c r="N501" s="4" t="n"/>
      <c r="O501" s="2" t="n"/>
      <c r="P501" s="2" t="n"/>
      <c r="Q501" s="2" t="n"/>
      <c r="R501" s="2" t="n"/>
      <c r="S501" s="2" t="inlineStr">
        <is>
          <t>Rejeitado(a) em Comissão</t>
        </is>
      </c>
      <c r="T501" s="2" t="inlineStr">
        <is>
          <t>Rejeitada</t>
        </is>
      </c>
      <c r="U501" s="2" t="inlineStr">
        <is>
          <t>Favor: L, PCP, BE, PAN; Contra: PSD, CH, IL, CDS-PP; Abstenção: PS</t>
        </is>
      </c>
      <c r="V501" s="3" t="n">
        <v>45985</v>
      </c>
      <c r="W501" s="2" t="inlineStr">
        <is>
          <t>AR: https://www.parlamento.pt/OrcamentoEstado/Paginas/DetalhePropostaAlteracao.aspx?BID=23672 PDF: https://app.parlamento.pt/webutils/docs/doc.pdf?path=6148523063484d364c793942556b356c6443397a6158526c63793959566b6c4a544556484c3039464c7a49774d6a59794d4449314d5441774f5339515153396b5a6a426d4d7a4e6b5a4331695a6d59304c54526c4e6a5174596a4e6b5a4331694e32566a4d6a45305a6d493059324d756347526d&amp;Fich=df0f33dd-bff4-4e64-b3dd-b7ec214fb4cc.pdf&amp;Inline=true</t>
        </is>
      </c>
      <c r="X501" s="2" t="inlineStr">
        <is>
          <t>Infraestruturas, Mobilidade e Habitação</t>
        </is>
      </c>
      <c r="Y501" s="2" t="inlineStr">
        <is>
          <t>Articulado</t>
        </is>
      </c>
      <c r="Z501" s="2" t="inlineStr">
        <is>
          <t>Aditamento (Artigo PPL)</t>
        </is>
      </c>
      <c r="AA501" s="2" t="inlineStr">
        <is>
          <t>Rejeitado(a) em Comissão</t>
        </is>
      </c>
      <c r="AB501" s="2" t="inlineStr"/>
      <c r="AC501" s="2" t="inlineStr"/>
      <c r="AD501" s="2" t="inlineStr">
        <is>
          <t>1</t>
        </is>
      </c>
      <c r="AE501" s="2" t="inlineStr">
        <is>
          <t>23672</t>
        </is>
      </c>
      <c r="AF501" s="2" t="inlineStr">
        <is>
          <t>https://www.parlamento.pt/OrcamentoEstado/Paginas/DetalhePropostaAlteracao.aspx?BID=23672</t>
        </is>
      </c>
      <c r="AG501" s="2" t="inlineStr">
        <is>
          <t>https://app.parlamento.pt/webutils/docs/doc.pdf?path=6148523063484d364c793942556b356c6443397a6158526c63793959566b6c4a544556484c3039464c7a49774d6a59794d4449314d5441774f5339515153396b5a6a426d4d7a4e6b5a4331695a6d59304c54526c4e6a5174596a4e6b5a4331694e32566a4d6a45305a6d493059324d756347526d&amp;Fich=df0f33dd-bff4-4e64-b3dd-b7ec214fb4cc.pdf&amp;Inline=true</t>
        </is>
      </c>
      <c r="AH501" s="3" t="n">
        <v>46321.77847222222</v>
      </c>
      <c r="AI501" s="3" t="n">
        <v>46321.78055555555</v>
      </c>
      <c r="AJ501" s="2" t="inlineStr"/>
    </row>
    <row r="502">
      <c r="A502" s="2" t="n">
        <v>501</v>
      </c>
      <c r="B502" s="2" t="inlineStr">
        <is>
          <t>459C</t>
        </is>
      </c>
      <c r="C502" s="3" t="n">
        <v>45965.80625</v>
      </c>
      <c r="D502" s="2" t="inlineStr">
        <is>
          <t>Original</t>
        </is>
      </c>
      <c r="E502" s="2" t="inlineStr">
        <is>
          <t>PCP</t>
        </is>
      </c>
      <c r="F502" s="2" t="inlineStr">
        <is>
          <t>Alfredo Maia; Paula Santos; Paulo Raimundo</t>
        </is>
      </c>
      <c r="G502" s="2" t="inlineStr">
        <is>
          <t>Art. 128.º-A (aditamento)</t>
        </is>
      </c>
      <c r="H502" s="2" t="n"/>
      <c r="I502" s="2" t="n"/>
      <c r="J502" s="2" t="n"/>
      <c r="K502" s="2" t="n"/>
      <c r="L502" s="2" t="inlineStr">
        <is>
          <t>Artigo 128.º-A (Redução de taxas, comissões bancárias e outros custos e encargos face ao aumento das taxas de juro em créditos à habitação)</t>
        </is>
      </c>
      <c r="M502" s="4" t="n"/>
      <c r="N502" s="4" t="n"/>
      <c r="O502" s="2" t="n"/>
      <c r="P502" s="2" t="n"/>
      <c r="Q502" s="2" t="n"/>
      <c r="R502" s="2" t="n"/>
      <c r="S502" s="2" t="inlineStr">
        <is>
          <t>Rejeitado(a) em Comissão</t>
        </is>
      </c>
      <c r="T502" s="2" t="inlineStr">
        <is>
          <t>Rejeitada</t>
        </is>
      </c>
      <c r="U502" s="2" t="inlineStr">
        <is>
          <t>Favor: L, PCP, BE, PAN; Contra: PSD, IL, CDS-PP; Abstenção: CH, PS</t>
        </is>
      </c>
      <c r="V502" s="3" t="n">
        <v>45985</v>
      </c>
      <c r="W502" s="2" t="inlineStr">
        <is>
          <t>AR: https://www.parlamento.pt/OrcamentoEstado/Paginas/DetalhePropostaAlteracao.aspx?BID=23673 PDF: https://app.parlamento.pt/webutils/docs/doc.pdf?path=6148523063484d364c793942556b356c6443397a6158526c63793959566b6c4a544556484c3039464c7a49774d6a59794d4449314d5441774f533951515338345a5463344e7a49344f53316b4d6a67784c5451315a4455744f544d315a6931685954566c596d5977595451305a6a45756347526d&amp;Fich=8e787289-d281-45d5-935f-aa5ebf0a44f1.pdf&amp;Inline=true</t>
        </is>
      </c>
      <c r="X502" s="2" t="inlineStr">
        <is>
          <t>Infraestruturas, Mobilidade e Habitação</t>
        </is>
      </c>
      <c r="Y502" s="2" t="inlineStr">
        <is>
          <t>Articulado</t>
        </is>
      </c>
      <c r="Z502" s="2" t="inlineStr">
        <is>
          <t>Aditamento (Artigo PPL)</t>
        </is>
      </c>
      <c r="AA502" s="2" t="inlineStr">
        <is>
          <t>Rejeitado(a) em Comissão</t>
        </is>
      </c>
      <c r="AB502" s="2" t="inlineStr"/>
      <c r="AC502" s="2" t="inlineStr"/>
      <c r="AD502" s="2" t="inlineStr">
        <is>
          <t>1</t>
        </is>
      </c>
      <c r="AE502" s="2" t="inlineStr">
        <is>
          <t>23673</t>
        </is>
      </c>
      <c r="AF502" s="2" t="inlineStr">
        <is>
          <t>https://www.parlamento.pt/OrcamentoEstado/Paginas/DetalhePropostaAlteracao.aspx?BID=23673</t>
        </is>
      </c>
      <c r="AG502" s="2" t="inlineStr">
        <is>
          <t>https://app.parlamento.pt/webutils/docs/doc.pdf?path=6148523063484d364c793942556b356c6443397a6158526c63793959566b6c4a544556484c3039464c7a49774d6a59794d4449314d5441774f533951515338345a5463344e7a49344f53316b4d6a67784c5451315a4455744f544d315a6931685954566c596d5977595451305a6a45756347526d&amp;Fich=8e787289-d281-45d5-935f-aa5ebf0a44f1.pdf&amp;Inline=true</t>
        </is>
      </c>
      <c r="AH502" s="3" t="n">
        <v>46321.77847222222</v>
      </c>
      <c r="AI502" s="3" t="n">
        <v>46321.78055555555</v>
      </c>
      <c r="AJ502" s="2" t="inlineStr"/>
    </row>
    <row r="503">
      <c r="A503" s="2" t="n">
        <v>502</v>
      </c>
      <c r="B503" s="2" t="inlineStr">
        <is>
          <t>460C</t>
        </is>
      </c>
      <c r="C503" s="3" t="n">
        <v>45965.80694444444</v>
      </c>
      <c r="D503" s="2" t="inlineStr">
        <is>
          <t>Original</t>
        </is>
      </c>
      <c r="E503" s="2" t="inlineStr">
        <is>
          <t>PCP</t>
        </is>
      </c>
      <c r="F503" s="2" t="inlineStr">
        <is>
          <t>Alfredo Maia; Paula Santos; Paulo Raimundo</t>
        </is>
      </c>
      <c r="G503" s="2" t="inlineStr">
        <is>
          <t>Art. 128.º-A (aditamento)</t>
        </is>
      </c>
      <c r="H503" s="2" t="n"/>
      <c r="I503" s="2" t="n"/>
      <c r="J503" s="2" t="n"/>
      <c r="K503" s="2" t="n"/>
      <c r="L503" s="2" t="inlineStr">
        <is>
          <t>Artigo 128.º-A (Apoio à recuperação e reabilitação de imóveis e intervenção em imóveis devolutos para alargamento da oferta pública de habitação)</t>
        </is>
      </c>
      <c r="M503" s="4" t="n"/>
      <c r="N503" s="4" t="n"/>
      <c r="O503" s="2" t="n"/>
      <c r="P503" s="2" t="n"/>
      <c r="Q503" s="2" t="n"/>
      <c r="R503" s="2" t="n"/>
      <c r="S503" s="2" t="inlineStr">
        <is>
          <t>Rejeitado(a) em Comissão</t>
        </is>
      </c>
      <c r="T503" s="2" t="inlineStr">
        <is>
          <t>Rejeitada</t>
        </is>
      </c>
      <c r="U503" s="2" t="inlineStr">
        <is>
          <t>Favor: L, PCP, BE, PAN; Contra: PSD, IL, CDS-PP; Abstenção: CH, PS</t>
        </is>
      </c>
      <c r="V503" s="3" t="n">
        <v>45985</v>
      </c>
      <c r="W503" s="2" t="inlineStr">
        <is>
          <t>AR: https://www.parlamento.pt/OrcamentoEstado/Paginas/DetalhePropostaAlteracao.aspx?BID=23674 PDF: https://app.parlamento.pt/webutils/docs/doc.pdf?path=6148523063484d364c793942556b356c6443397a6158526c63793959566b6c4a544556484c3039464c7a49774d6a59794d4449314d5441774f533951515338334f545932596d49344e6930794e444a694c5451784e544174596d51354d79316d4e3249305a6a68684d3259795a4459756347526d&amp;Fich=7966bb86-242b-4150-bd93-f7b4f8a3f2d6.pdf&amp;Inline=true</t>
        </is>
      </c>
      <c r="X503" s="2" t="inlineStr">
        <is>
          <t>Infraestruturas, Mobilidade e Habitação</t>
        </is>
      </c>
      <c r="Y503" s="2" t="inlineStr">
        <is>
          <t>Articulado</t>
        </is>
      </c>
      <c r="Z503" s="2" t="inlineStr">
        <is>
          <t>Aditamento (Artigo PPL)</t>
        </is>
      </c>
      <c r="AA503" s="2" t="inlineStr">
        <is>
          <t>Rejeitado(a) em Comissão</t>
        </is>
      </c>
      <c r="AB503" s="2" t="inlineStr"/>
      <c r="AC503" s="2" t="inlineStr"/>
      <c r="AD503" s="2" t="inlineStr">
        <is>
          <t>1</t>
        </is>
      </c>
      <c r="AE503" s="2" t="inlineStr">
        <is>
          <t>23674</t>
        </is>
      </c>
      <c r="AF503" s="2" t="inlineStr">
        <is>
          <t>https://www.parlamento.pt/OrcamentoEstado/Paginas/DetalhePropostaAlteracao.aspx?BID=23674</t>
        </is>
      </c>
      <c r="AG503" s="2" t="inlineStr">
        <is>
          <t>https://app.parlamento.pt/webutils/docs/doc.pdf?path=6148523063484d364c793942556b356c6443397a6158526c63793959566b6c4a544556484c3039464c7a49774d6a59794d4449314d5441774f533951515338334f545932596d49344e6930794e444a694c5451784e544174596d51354d79316d4e3249305a6a68684d3259795a4459756347526d&amp;Fich=7966bb86-242b-4150-bd93-f7b4f8a3f2d6.pdf&amp;Inline=true</t>
        </is>
      </c>
      <c r="AH503" s="3" t="n">
        <v>46321.77847222222</v>
      </c>
      <c r="AI503" s="3" t="n">
        <v>46321.78055555555</v>
      </c>
      <c r="AJ503" s="2" t="inlineStr"/>
    </row>
    <row r="504">
      <c r="A504" s="2" t="n">
        <v>503</v>
      </c>
      <c r="B504" s="2" t="inlineStr">
        <is>
          <t>461C</t>
        </is>
      </c>
      <c r="C504" s="3" t="n">
        <v>45965.80763888889</v>
      </c>
      <c r="D504" s="2" t="inlineStr">
        <is>
          <t>Original</t>
        </is>
      </c>
      <c r="E504" s="2" t="inlineStr">
        <is>
          <t>PCP</t>
        </is>
      </c>
      <c r="F504" s="2" t="inlineStr">
        <is>
          <t>Alfredo Maia; Paula Santos; Paulo Raimundo</t>
        </is>
      </c>
      <c r="G504" s="2" t="inlineStr">
        <is>
          <t>Art. 128.º-A (aditamento)</t>
        </is>
      </c>
      <c r="H504" s="2" t="n"/>
      <c r="I504" s="2" t="n"/>
      <c r="J504" s="2" t="n"/>
      <c r="K504" s="2" t="n"/>
      <c r="L504" s="2" t="inlineStr">
        <is>
          <t>Artigo 128.º-A (Alargamento da oferta pública de habitação)</t>
        </is>
      </c>
      <c r="M504" s="4" t="n"/>
      <c r="N504" s="4" t="n"/>
      <c r="O504" s="2" t="n"/>
      <c r="P504" s="2" t="n"/>
      <c r="Q504" s="2" t="n"/>
      <c r="R504" s="2" t="n"/>
      <c r="S504" s="2" t="inlineStr">
        <is>
          <t>Rejeitado(a) em Comissão</t>
        </is>
      </c>
      <c r="T504" s="2" t="inlineStr">
        <is>
          <t>Rejeitada</t>
        </is>
      </c>
      <c r="U504" s="2" t="inlineStr">
        <is>
          <t>Favor: L, PCP, BE, PAN; Contra: PSD, IL, CDS-PP; Abstenção: CH, PS</t>
        </is>
      </c>
      <c r="V504" s="3" t="n">
        <v>45985</v>
      </c>
      <c r="W504" s="2" t="inlineStr">
        <is>
          <t>AR: https://www.parlamento.pt/OrcamentoEstado/Paginas/DetalhePropostaAlteracao.aspx?BID=23675 PDF: https://app.parlamento.pt/webutils/docs/doc.pdf?path=6148523063484d364c793942556b356c6443397a6158526c63793959566b6c4a544556484c3039464c7a49774d6a59794d4449314d5441774f533951515338774e3255354d7a52694e6931694d54526c4c545268596d4974595442684f5330344e4755784f4455324f54517a5a5451756347526d&amp;Fich=07e934b6-b14e-4abb-a0a9-84e1856943e4.pdf&amp;Inline=true</t>
        </is>
      </c>
      <c r="X504" s="2" t="inlineStr">
        <is>
          <t>Infraestruturas, Mobilidade e Habitação</t>
        </is>
      </c>
      <c r="Y504" s="2" t="inlineStr">
        <is>
          <t>Articulado</t>
        </is>
      </c>
      <c r="Z504" s="2" t="inlineStr">
        <is>
          <t>Aditamento (Artigo PPL)</t>
        </is>
      </c>
      <c r="AA504" s="2" t="inlineStr">
        <is>
          <t>Rejeitado(a) em Comissão</t>
        </is>
      </c>
      <c r="AB504" s="2" t="inlineStr"/>
      <c r="AC504" s="2" t="inlineStr"/>
      <c r="AD504" s="2" t="inlineStr">
        <is>
          <t>1</t>
        </is>
      </c>
      <c r="AE504" s="2" t="inlineStr">
        <is>
          <t>23675</t>
        </is>
      </c>
      <c r="AF504" s="2" t="inlineStr">
        <is>
          <t>https://www.parlamento.pt/OrcamentoEstado/Paginas/DetalhePropostaAlteracao.aspx?BID=23675</t>
        </is>
      </c>
      <c r="AG504" s="2" t="inlineStr">
        <is>
          <t>https://app.parlamento.pt/webutils/docs/doc.pdf?path=6148523063484d364c793942556b356c6443397a6158526c63793959566b6c4a544556484c3039464c7a49774d6a59794d4449314d5441774f533951515338774e3255354d7a52694e6931694d54526c4c545268596d4974595442684f5330344e4755784f4455324f54517a5a5451756347526d&amp;Fich=07e934b6-b14e-4abb-a0a9-84e1856943e4.pdf&amp;Inline=true</t>
        </is>
      </c>
      <c r="AH504" s="3" t="n">
        <v>46321.77847222222</v>
      </c>
      <c r="AI504" s="3" t="n">
        <v>46321.78055555555</v>
      </c>
      <c r="AJ504" s="2" t="inlineStr"/>
    </row>
    <row r="505">
      <c r="A505" s="2" t="n">
        <v>504</v>
      </c>
      <c r="B505" s="2" t="inlineStr">
        <is>
          <t>462C</t>
        </is>
      </c>
      <c r="C505" s="3" t="n">
        <v>45965.80833333333</v>
      </c>
      <c r="D505" s="2" t="inlineStr">
        <is>
          <t>Original</t>
        </is>
      </c>
      <c r="E505" s="2" t="inlineStr">
        <is>
          <t>PCP</t>
        </is>
      </c>
      <c r="F505" s="2" t="inlineStr">
        <is>
          <t>Alfredo Maia; Paula Santos; Paulo Raimundo</t>
        </is>
      </c>
      <c r="G505" s="2" t="inlineStr">
        <is>
          <t>Art. 136.º-A (aditamento)</t>
        </is>
      </c>
      <c r="H505" s="2" t="n"/>
      <c r="I505" s="2" t="n"/>
      <c r="J505" s="2" t="n"/>
      <c r="K505" s="2" t="n"/>
      <c r="L505" s="2" t="inlineStr">
        <is>
          <t>Artigo 136.º-A (Direito de preferência relativo a prédios ou frações autónomas devolutas)</t>
        </is>
      </c>
      <c r="M505" s="4" t="n"/>
      <c r="N505" s="4" t="n"/>
      <c r="O505" s="2" t="n"/>
      <c r="P505" s="2" t="n"/>
      <c r="Q505" s="2" t="n"/>
      <c r="R505" s="2" t="n"/>
      <c r="S505" s="2" t="inlineStr">
        <is>
          <t>Rejeitado(a) em Comissão</t>
        </is>
      </c>
      <c r="T505" s="2" t="inlineStr">
        <is>
          <t>Rejeitada</t>
        </is>
      </c>
      <c r="U505" s="2" t="inlineStr">
        <is>
          <t>Favor: L, PCP, BE; Contra: PSD, CH, PS, IL, CDS-PP, PAN</t>
        </is>
      </c>
      <c r="V505" s="3" t="n">
        <v>45987</v>
      </c>
      <c r="W505" s="2" t="inlineStr">
        <is>
          <t>AR: https://www.parlamento.pt/OrcamentoEstado/Paginas/DetalhePropostaAlteracao.aspx?BID=23676 PDF: https://app.parlamento.pt/webutils/docs/doc.pdf?path=6148523063484d364c793942556b356c6443397a6158526c63793959566b6c4a544556484c3039464c7a49774d6a59794d4449314d5441774f533951515338355a4745775a444a694d5330314f5455304c5451784d6d55744f544e6d4d69316d4e7a4e6b5a6d59774d3259324e6d59756347526d&amp;Fich=9da0d2b1-5954-412e-93f2-f73dff03f66f.pdf&amp;Inline=true</t>
        </is>
      </c>
      <c r="X505" s="2" t="inlineStr">
        <is>
          <t>Infraestruturas, Mobilidade e Habitação</t>
        </is>
      </c>
      <c r="Y505" s="2" t="inlineStr">
        <is>
          <t>Articulado</t>
        </is>
      </c>
      <c r="Z505" s="2" t="inlineStr">
        <is>
          <t>Aditamento (Artigo PPL)</t>
        </is>
      </c>
      <c r="AA505" s="2" t="inlineStr">
        <is>
          <t>Rejeitado(a) em Comissão</t>
        </is>
      </c>
      <c r="AB505" s="2" t="inlineStr"/>
      <c r="AC505" s="2" t="inlineStr"/>
      <c r="AD505" s="2" t="inlineStr">
        <is>
          <t>1</t>
        </is>
      </c>
      <c r="AE505" s="2" t="inlineStr">
        <is>
          <t>23676</t>
        </is>
      </c>
      <c r="AF505" s="2" t="inlineStr">
        <is>
          <t>https://www.parlamento.pt/OrcamentoEstado/Paginas/DetalhePropostaAlteracao.aspx?BID=23676</t>
        </is>
      </c>
      <c r="AG505" s="2" t="inlineStr">
        <is>
          <t>https://app.parlamento.pt/webutils/docs/doc.pdf?path=6148523063484d364c793942556b356c6443397a6158526c63793959566b6c4a544556484c3039464c7a49774d6a59794d4449314d5441774f533951515338355a4745775a444a694d5330314f5455304c5451784d6d55744f544e6d4d69316d4e7a4e6b5a6d59774d3259324e6d59756347526d&amp;Fich=9da0d2b1-5954-412e-93f2-f73dff03f66f.pdf&amp;Inline=true</t>
        </is>
      </c>
      <c r="AH505" s="3" t="n">
        <v>46321.77847222222</v>
      </c>
      <c r="AI505" s="3" t="n">
        <v>46321.78055555555</v>
      </c>
      <c r="AJ505" s="2" t="inlineStr"/>
    </row>
    <row r="506">
      <c r="A506" s="2" t="n">
        <v>505</v>
      </c>
      <c r="B506" s="2" t="inlineStr">
        <is>
          <t>463C</t>
        </is>
      </c>
      <c r="C506" s="3" t="n">
        <v>45965.81041666667</v>
      </c>
      <c r="D506" s="2" t="inlineStr">
        <is>
          <t>Original</t>
        </is>
      </c>
      <c r="E506" s="2" t="inlineStr">
        <is>
          <t>PCP</t>
        </is>
      </c>
      <c r="F506" s="2" t="inlineStr">
        <is>
          <t>Alfredo Maia; Paula Santos; Paulo Raimundo</t>
        </is>
      </c>
      <c r="G506" s="2" t="inlineStr">
        <is>
          <t>Art. 7.º (aditamento)</t>
        </is>
      </c>
      <c r="H506" s="2" t="n"/>
      <c r="I506" s="2" t="n"/>
      <c r="J506" s="2" t="n"/>
      <c r="K506" s="2" t="n"/>
      <c r="L506" s="2" t="inlineStr">
        <is>
          <t>Nova Verba 36, Mapa de alterações e transferências orçamentais, Artigo 7.º</t>
        </is>
      </c>
      <c r="M506" s="4" t="n"/>
      <c r="N506" s="4" t="n"/>
      <c r="O506" s="2" t="n"/>
      <c r="P506" s="2" t="n"/>
      <c r="Q506" s="2" t="n"/>
      <c r="R506" s="2" t="n"/>
      <c r="S506" s="2" t="inlineStr">
        <is>
          <t>Rejeitado(a) em Comissão</t>
        </is>
      </c>
      <c r="T506" s="2" t="inlineStr">
        <is>
          <t>Rejeitada</t>
        </is>
      </c>
      <c r="U506" s="2" t="inlineStr">
        <is>
          <t>Favor: CH, L, PCP, BE, PAN; Contra: PSD, CDS-PP; Abstenção: PS, IL</t>
        </is>
      </c>
      <c r="V506" s="3" t="n">
        <v>45987</v>
      </c>
      <c r="W506" s="2" t="inlineStr">
        <is>
          <t>AR: https://www.parlamento.pt/OrcamentoEstado/Paginas/DetalhePropostaAlteracao.aspx?BID=23677 PDF: https://app.parlamento.pt/webutils/docs/doc.pdf?path=6148523063484d364c793942556b356c6443397a6158526c63793959566b6c4a544556484c3039464c7a49774d6a59794d4449314d5441774f533951515338314d5755354e6d593059793032597a51784c5451354d6d5574596a55344d5330354d6a526c4d6a59314d4752685a4445756347526d&amp;Fich=51e96f4c-6c41-492e-b581-924e2650dad1.pdf&amp;Inline=true</t>
        </is>
      </c>
      <c r="X506" s="2" t="inlineStr">
        <is>
          <t>Infraestruturas, Mobilidade e Habitação</t>
        </is>
      </c>
      <c r="Y506" s="2" t="inlineStr">
        <is>
          <t>Articulado</t>
        </is>
      </c>
      <c r="Z506" s="2" t="inlineStr">
        <is>
          <t>Aditamento (Números e Alíneas)</t>
        </is>
      </c>
      <c r="AA506" s="2" t="inlineStr">
        <is>
          <t>Rejeitado(a) em Comissão</t>
        </is>
      </c>
      <c r="AB506" s="2" t="inlineStr"/>
      <c r="AC506" s="2" t="inlineStr"/>
      <c r="AD506" s="2" t="inlineStr">
        <is>
          <t>1</t>
        </is>
      </c>
      <c r="AE506" s="2" t="inlineStr">
        <is>
          <t>23677</t>
        </is>
      </c>
      <c r="AF506" s="2" t="inlineStr">
        <is>
          <t>https://www.parlamento.pt/OrcamentoEstado/Paginas/DetalhePropostaAlteracao.aspx?BID=23677</t>
        </is>
      </c>
      <c r="AG506" s="2" t="inlineStr">
        <is>
          <t>https://app.parlamento.pt/webutils/docs/doc.pdf?path=6148523063484d364c793942556b356c6443397a6158526c63793959566b6c4a544556484c3039464c7a49774d6a59794d4449314d5441774f533951515338314d5755354e6d593059793032597a51784c5451354d6d5574596a55344d5330354d6a526c4d6a59314d4752685a4445756347526d&amp;Fich=51e96f4c-6c41-492e-b581-924e2650dad1.pdf&amp;Inline=true</t>
        </is>
      </c>
      <c r="AH506" s="3" t="n">
        <v>46321.77847222222</v>
      </c>
      <c r="AI506" s="3" t="n">
        <v>46321.78055555555</v>
      </c>
      <c r="AJ506" s="2" t="inlineStr"/>
    </row>
    <row r="507">
      <c r="A507" s="2" t="n">
        <v>506</v>
      </c>
      <c r="B507" s="2" t="inlineStr">
        <is>
          <t>464C</t>
        </is>
      </c>
      <c r="C507" s="3" t="n">
        <v>45965.81041666667</v>
      </c>
      <c r="D507" s="2" t="inlineStr">
        <is>
          <t>Retirada</t>
        </is>
      </c>
      <c r="E507" s="2" t="inlineStr">
        <is>
          <t>PSD</t>
        </is>
      </c>
      <c r="F507" s="2" t="inlineStr">
        <is>
          <t>Paulo Neves; Pedro Coelho; Vânia Jesus</t>
        </is>
      </c>
      <c r="G507" s="2" t="inlineStr">
        <is>
          <t>Articulado (aditamento)</t>
        </is>
      </c>
      <c r="H507" s="2" t="n"/>
      <c r="I507" s="2" t="n"/>
      <c r="J507" s="2" t="n"/>
      <c r="K507" s="2" t="n"/>
      <c r="L507" s="2" t="inlineStr">
        <is>
          <t>N.º 4, Artigo 111.º</t>
        </is>
      </c>
      <c r="M507" s="4" t="n"/>
      <c r="N507" s="4" t="n"/>
      <c r="O507" s="2" t="n"/>
      <c r="P507" s="2" t="n"/>
      <c r="Q507" s="2" t="n"/>
      <c r="R507" s="2" t="n"/>
      <c r="S507" s="2" t="inlineStr">
        <is>
          <t>Retirado(a)</t>
        </is>
      </c>
      <c r="T507" s="2" t="inlineStr">
        <is>
          <t>Retirada</t>
        </is>
      </c>
      <c r="U507" s="2" t="inlineStr"/>
      <c r="V507" s="3" t="n"/>
      <c r="W507" s="2" t="inlineStr">
        <is>
          <t>AR: https://www.parlamento.pt/OrcamentoEstado/Paginas/DetalhePropostaAlteracao.aspx?BID=23678 PDF: https://app.parlamento.pt/webutils/docs/doc.pdf?path=6148523063484d364c793942556b356c6443397a6158526c63793959566b6c4a544556484c3039464c7a49774d6a59794d4449314d5441774f5339515153396a4d4759774f5449324e693030596a646a4c5451314d44637459545a694e5330354d445268596d566a597a4932597a63756347526d&amp;Fich=c0f09266-4b7c-4507-a6b5-904abecc26c7.pdf&amp;Inline=true</t>
        </is>
      </c>
      <c r="X507" s="2" t="inlineStr">
        <is>
          <t>Orçamento, Finanças e Administração Pública</t>
        </is>
      </c>
      <c r="Y507" s="2" t="inlineStr">
        <is>
          <t>Articulado</t>
        </is>
      </c>
      <c r="Z507" s="2" t="inlineStr">
        <is>
          <t>Aditamento (Números e Alíneas)</t>
        </is>
      </c>
      <c r="AA507" s="2" t="inlineStr">
        <is>
          <t>Retirado(a)</t>
        </is>
      </c>
      <c r="AB507" s="2" t="inlineStr"/>
      <c r="AC507" s="2" t="inlineStr"/>
      <c r="AD507" s="2" t="inlineStr">
        <is>
          <t>0</t>
        </is>
      </c>
      <c r="AE507" s="2" t="inlineStr">
        <is>
          <t>23678</t>
        </is>
      </c>
      <c r="AF507" s="2" t="inlineStr">
        <is>
          <t>https://www.parlamento.pt/OrcamentoEstado/Paginas/DetalhePropostaAlteracao.aspx?BID=23678</t>
        </is>
      </c>
      <c r="AG507" s="2" t="inlineStr">
        <is>
          <t>https://app.parlamento.pt/webutils/docs/doc.pdf?path=6148523063484d364c793942556b356c6443397a6158526c63793959566b6c4a544556484c3039464c7a49774d6a59794d4449314d5441774f5339515153396a4d4759774f5449324e693030596a646a4c5451314d44637459545a694e5330354d445268596d566a597a4932597a63756347526d&amp;Fich=c0f09266-4b7c-4507-a6b5-904abecc26c7.pdf&amp;Inline=true</t>
        </is>
      </c>
      <c r="AH507" s="3" t="n">
        <v>46321.77847222222</v>
      </c>
      <c r="AI507" s="3" t="n">
        <v>46321.78055555555</v>
      </c>
      <c r="AJ507" s="2" t="inlineStr"/>
    </row>
    <row r="508">
      <c r="A508" s="2" t="n">
        <v>507</v>
      </c>
      <c r="B508" s="2" t="inlineStr">
        <is>
          <t>465C</t>
        </is>
      </c>
      <c r="C508" s="3" t="n">
        <v>45965.81111111111</v>
      </c>
      <c r="D508" s="2" t="inlineStr">
        <is>
          <t>Original</t>
        </is>
      </c>
      <c r="E508" s="2" t="inlineStr">
        <is>
          <t>PCP</t>
        </is>
      </c>
      <c r="F508" s="2" t="inlineStr">
        <is>
          <t>Alfredo Maia; Paula Santos; Paulo Raimundo</t>
        </is>
      </c>
      <c r="G508" s="2" t="inlineStr">
        <is>
          <t>Art. 60.º (substituição)</t>
        </is>
      </c>
      <c r="H508" s="2" t="n"/>
      <c r="I508" s="2" t="n"/>
      <c r="J508" s="2" t="n"/>
      <c r="K508" s="2" t="n"/>
      <c r="L508" s="2" t="inlineStr">
        <is>
          <t>Alínea b), Alínea c), Alínea d), N.º 1, Alínea a), Alínea b), N.º 5, Artigo 78.º-E do Código do IRS</t>
        </is>
      </c>
      <c r="M508" s="4" t="n"/>
      <c r="N508" s="4" t="n"/>
      <c r="O508" s="2" t="n"/>
      <c r="P508" s="2" t="n"/>
      <c r="Q508" s="2" t="n"/>
      <c r="R508" s="2" t="n"/>
      <c r="S508" s="2" t="inlineStr">
        <is>
          <t>Rejeitado(a) em Comissão</t>
        </is>
      </c>
      <c r="T508" s="2" t="inlineStr">
        <is>
          <t>Rejeitada</t>
        </is>
      </c>
      <c r="U508" s="2" t="inlineStr">
        <is>
          <t>Favor: CH, IL, L, PCP, BE, PAN; Contra: PSD, CDS-PP; Abstenção: PS</t>
        </is>
      </c>
      <c r="V508" s="3" t="n">
        <v>45981</v>
      </c>
      <c r="W508" s="2" t="inlineStr">
        <is>
          <t>AR: https://www.parlamento.pt/OrcamentoEstado/Paginas/DetalhePropostaAlteracao.aspx?BID=23679 PDF: https://app.parlamento.pt/webutils/docs/doc.pdf?path=6148523063484d364c793942556b356c6443397a6158526c63793959566b6c4a544556484c3039464c7a49774d6a59794d4449314d5441774f5339515153387a4f544532596a51314e6930354f574e6b4c5452684e6d5574596a5a684d5330305a5749354e7a49324d325577593251756347526d&amp;Fich=3916b456-99cd-4a6e-b6a1-4eb97263e0cd.pdf&amp;Inline=true</t>
        </is>
      </c>
      <c r="X508" s="2" t="inlineStr">
        <is>
          <t>Infraestruturas, Mobilidade e Habitação; Orçamento, Finanças e Administração Pública</t>
        </is>
      </c>
      <c r="Y508" s="2" t="inlineStr">
        <is>
          <t>Articulado</t>
        </is>
      </c>
      <c r="Z508" s="2" t="inlineStr">
        <is>
          <t>Substituição</t>
        </is>
      </c>
      <c r="AA508" s="2" t="inlineStr">
        <is>
          <t>Rejeitado(a) em Comissão</t>
        </is>
      </c>
      <c r="AB508" s="2" t="inlineStr"/>
      <c r="AC508" s="2" t="inlineStr"/>
      <c r="AD508" s="2" t="inlineStr">
        <is>
          <t>2</t>
        </is>
      </c>
      <c r="AE508" s="2" t="inlineStr">
        <is>
          <t>23679</t>
        </is>
      </c>
      <c r="AF508" s="2" t="inlineStr">
        <is>
          <t>https://www.parlamento.pt/OrcamentoEstado/Paginas/DetalhePropostaAlteracao.aspx?BID=23679</t>
        </is>
      </c>
      <c r="AG508" s="2" t="inlineStr">
        <is>
          <t>https://app.parlamento.pt/webutils/docs/doc.pdf?path=6148523063484d364c793942556b356c6443397a6158526c63793959566b6c4a544556484c3039464c7a49774d6a59794d4449314d5441774f5339515153387a4f544532596a51314e6930354f574e6b4c5452684e6d5574596a5a684d5330305a5749354e7a49324d325577593251756347526d&amp;Fich=3916b456-99cd-4a6e-b6a1-4eb97263e0cd.pdf&amp;Inline=true</t>
        </is>
      </c>
      <c r="AH508" s="3" t="n">
        <v>46321.77847222222</v>
      </c>
      <c r="AI508" s="3" t="n">
        <v>46321.78055555555</v>
      </c>
      <c r="AJ508" s="2" t="inlineStr"/>
    </row>
    <row r="509">
      <c r="A509" s="2" t="n">
        <v>508</v>
      </c>
      <c r="B509" s="2" t="inlineStr">
        <is>
          <t>466C</t>
        </is>
      </c>
      <c r="C509" s="3" t="n">
        <v>45965.82083333333</v>
      </c>
      <c r="D509" s="2" t="inlineStr">
        <is>
          <t>Original</t>
        </is>
      </c>
      <c r="E509" s="2" t="inlineStr">
        <is>
          <t>PSD</t>
        </is>
      </c>
      <c r="F509" s="2" t="inlineStr">
        <is>
          <t>Paulo Neves; Pedro Coelho; Vânia Jesus</t>
        </is>
      </c>
      <c r="G509" s="2" t="inlineStr">
        <is>
          <t>Art. 51.º (substituição)</t>
        </is>
      </c>
      <c r="H509" s="2" t="n"/>
      <c r="I509" s="2" t="n"/>
      <c r="J509" s="2" t="n"/>
      <c r="K509" s="2" t="n"/>
      <c r="L509" s="2" t="inlineStr">
        <is>
          <t>N.º 8, Artigo 51.º</t>
        </is>
      </c>
      <c r="M509" s="4" t="n"/>
      <c r="N509" s="4" t="n"/>
      <c r="O509" s="2" t="n"/>
      <c r="P509" s="2" t="n"/>
      <c r="Q509" s="2" t="n"/>
      <c r="R509" s="2" t="n"/>
      <c r="S509" s="2" t="inlineStr">
        <is>
          <t>Aprovado(a) em Comissão</t>
        </is>
      </c>
      <c r="T509" s="2" t="inlineStr">
        <is>
          <t>Aprovada</t>
        </is>
      </c>
      <c r="U509" s="2" t="inlineStr">
        <is>
          <t>Favor: PSD, PCP, CDS-PP, PAN; Contra: IL; Abstenção: CH, PS, L, BE</t>
        </is>
      </c>
      <c r="V509" s="3" t="n">
        <v>45987</v>
      </c>
      <c r="W509" s="2" t="inlineStr">
        <is>
          <t>AR: https://www.parlamento.pt/OrcamentoEstado/Paginas/DetalhePropostaAlteracao.aspx?BID=23680 PDF: https://app.parlamento.pt/webutils/docs/doc.pdf?path=6148523063484d364c793942556b356c6443397a6158526c63793959566b6c4a544556484c3039464c7a49774d6a59794d4449314d5441774f53395151533968597a42695a474d305a53316a4d7a49324c54526d4d6d4d744f5449315a433169596d4532597a6c6d5a5459314e474d756347526d&amp;Fich=ac0bdc4e-c326-4f2c-925d-bba6c9fe654c.pdf&amp;Inline=true</t>
        </is>
      </c>
      <c r="X509" s="2" t="inlineStr">
        <is>
          <t>Orçamento, Finanças e Administração Pública</t>
        </is>
      </c>
      <c r="Y509" s="2" t="inlineStr">
        <is>
          <t>Articulado</t>
        </is>
      </c>
      <c r="Z509" s="2" t="inlineStr">
        <is>
          <t>Substituição</t>
        </is>
      </c>
      <c r="AA509" s="2" t="inlineStr">
        <is>
          <t>Aprovado(a) em Comissão</t>
        </is>
      </c>
      <c r="AB509" s="2" t="inlineStr"/>
      <c r="AC509" s="2" t="inlineStr"/>
      <c r="AD509" s="2" t="inlineStr">
        <is>
          <t>1</t>
        </is>
      </c>
      <c r="AE509" s="2" t="inlineStr">
        <is>
          <t>23680</t>
        </is>
      </c>
      <c r="AF509" s="2" t="inlineStr">
        <is>
          <t>https://www.parlamento.pt/OrcamentoEstado/Paginas/DetalhePropostaAlteracao.aspx?BID=23680</t>
        </is>
      </c>
      <c r="AG509" s="2" t="inlineStr">
        <is>
          <t>https://app.parlamento.pt/webutils/docs/doc.pdf?path=6148523063484d364c793942556b356c6443397a6158526c63793959566b6c4a544556484c3039464c7a49774d6a59794d4449314d5441774f53395151533968597a42695a474d305a53316a4d7a49324c54526d4d6d4d744f5449315a433169596d4532597a6c6d5a5459314e474d756347526d&amp;Fich=ac0bdc4e-c326-4f2c-925d-bba6c9fe654c.pdf&amp;Inline=true</t>
        </is>
      </c>
      <c r="AH509" s="3" t="n">
        <v>46321.77847222222</v>
      </c>
      <c r="AI509" s="3" t="n">
        <v>46321.78055555555</v>
      </c>
      <c r="AJ509" s="2" t="inlineStr"/>
    </row>
    <row r="510">
      <c r="A510" s="2" t="n">
        <v>509</v>
      </c>
      <c r="B510" s="2" t="inlineStr">
        <is>
          <t>467C</t>
        </is>
      </c>
      <c r="C510" s="3" t="n">
        <v>45965.83611111111</v>
      </c>
      <c r="D510" s="2" t="inlineStr">
        <is>
          <t>Original</t>
        </is>
      </c>
      <c r="E510" s="2" t="inlineStr">
        <is>
          <t>L</t>
        </is>
      </c>
      <c r="F510" s="2" t="inlineStr">
        <is>
          <t>Filipa Pinto; Isabel Mendes Lopes; Jorge Pinto; Patrícia Gonçalves; Paulo Muacho; Rui Tavares</t>
        </is>
      </c>
      <c r="G510" s="2" t="inlineStr">
        <is>
          <t>Art. 126.º-A (aditamento)</t>
        </is>
      </c>
      <c r="H510" s="2" t="n"/>
      <c r="I510" s="2" t="n"/>
      <c r="J510" s="2" t="n"/>
      <c r="K510" s="2" t="n"/>
      <c r="L510" s="2" t="inlineStr">
        <is>
          <t>Artigo 126.º-A (Recolha seletiva de resíduos têxteis)</t>
        </is>
      </c>
      <c r="M510" s="4" t="n"/>
      <c r="N510" s="4" t="n"/>
      <c r="O510" s="2" t="n"/>
      <c r="P510" s="2" t="n"/>
      <c r="Q510" s="2" t="n"/>
      <c r="R510" s="2" t="n"/>
      <c r="S510" s="2" t="inlineStr">
        <is>
          <t>Rejeitado(a) em Comissão</t>
        </is>
      </c>
      <c r="T510" s="2" t="inlineStr">
        <is>
          <t>Rejeitada</t>
        </is>
      </c>
      <c r="U510" s="2" t="inlineStr">
        <is>
          <t>Favor: L, BE, PAN; Contra: PSD, CH, CDS-PP; Abstenção: PS, IL, PCP</t>
        </is>
      </c>
      <c r="V510" s="3" t="n">
        <v>45985</v>
      </c>
      <c r="W510" s="2" t="inlineStr">
        <is>
          <t>AR: https://www.parlamento.pt/OrcamentoEstado/Paginas/DetalhePropostaAlteracao.aspx?BID=23681 PDF: https://app.parlamento.pt/webutils/docs/doc.pdf?path=6148523063484d364c793942556b356c6443397a6158526c63793959566b6c4a544556484c3039464c7a49774d6a59794d4449314d5441774f5339515153396d4e5759344d4446694e69316c5a6a686c4c54517a4d7a4974596a55794f433031596a52694d57466c4e3255795a4451756347526d&amp;Fich=f5f801b6-ef8e-4332-b528-5b4b1ae7e2d4.pdf&amp;Inline=true</t>
        </is>
      </c>
      <c r="X510" s="2" t="inlineStr">
        <is>
          <t>Ambiente e Energia; Orçamento, Finanças e Administração Pública</t>
        </is>
      </c>
      <c r="Y510" s="2" t="inlineStr">
        <is>
          <t>Articulado</t>
        </is>
      </c>
      <c r="Z510" s="2" t="inlineStr">
        <is>
          <t>Aditamento (Artigo PPL)</t>
        </is>
      </c>
      <c r="AA510" s="2" t="inlineStr">
        <is>
          <t>Rejeitado(a) em Comissão</t>
        </is>
      </c>
      <c r="AB510" s="2" t="inlineStr"/>
      <c r="AC510" s="2" t="inlineStr"/>
      <c r="AD510" s="2" t="inlineStr">
        <is>
          <t>1</t>
        </is>
      </c>
      <c r="AE510" s="2" t="inlineStr">
        <is>
          <t>23681</t>
        </is>
      </c>
      <c r="AF510" s="2" t="inlineStr">
        <is>
          <t>https://www.parlamento.pt/OrcamentoEstado/Paginas/DetalhePropostaAlteracao.aspx?BID=23681</t>
        </is>
      </c>
      <c r="AG510" s="2" t="inlineStr">
        <is>
          <t>https://app.parlamento.pt/webutils/docs/doc.pdf?path=6148523063484d364c793942556b356c6443397a6158526c63793959566b6c4a544556484c3039464c7a49774d6a59794d4449314d5441774f5339515153396d4e5759344d4446694e69316c5a6a686c4c54517a4d7a4974596a55794f433031596a52694d57466c4e3255795a4451756347526d&amp;Fich=f5f801b6-ef8e-4332-b528-5b4b1ae7e2d4.pdf&amp;Inline=true</t>
        </is>
      </c>
      <c r="AH510" s="3" t="n">
        <v>46321.77847222222</v>
      </c>
      <c r="AI510" s="3" t="n">
        <v>46321.78055555555</v>
      </c>
      <c r="AJ510" s="2" t="inlineStr"/>
    </row>
    <row r="511">
      <c r="A511" s="2" t="n">
        <v>510</v>
      </c>
      <c r="B511" s="2" t="inlineStr">
        <is>
          <t>468C</t>
        </is>
      </c>
      <c r="C511" s="3" t="n">
        <v>45965.84305555555</v>
      </c>
      <c r="D511" s="2" t="inlineStr">
        <is>
          <t>Original</t>
        </is>
      </c>
      <c r="E511" s="2" t="inlineStr">
        <is>
          <t>L</t>
        </is>
      </c>
      <c r="F511" s="2" t="inlineStr">
        <is>
          <t>Filipa Pinto; Isabel Mendes Lopes; Jorge Pinto; Patrícia Gonçalves; Paulo Muacho; Rui Tavares</t>
        </is>
      </c>
      <c r="G511" s="2" t="inlineStr">
        <is>
          <t>Art. 126.º-A (aditamento)</t>
        </is>
      </c>
      <c r="H511" s="2" t="n"/>
      <c r="I511" s="2" t="n"/>
      <c r="J511" s="2" t="n"/>
      <c r="K511" s="2" t="n"/>
      <c r="L511" s="2" t="inlineStr">
        <is>
          <t>Artigo 126.º-A (Rede Nacional de Cafés Reparação)</t>
        </is>
      </c>
      <c r="M511" s="4" t="n"/>
      <c r="N511" s="4" t="n"/>
      <c r="O511" s="2" t="n"/>
      <c r="P511" s="2" t="n"/>
      <c r="Q511" s="2" t="n"/>
      <c r="R511" s="2" t="n"/>
      <c r="S511" s="2" t="inlineStr">
        <is>
          <t>Rejeitado(a) em Comissão</t>
        </is>
      </c>
      <c r="T511" s="2" t="inlineStr">
        <is>
          <t>Rejeitada</t>
        </is>
      </c>
      <c r="U511" s="2" t="inlineStr">
        <is>
          <t>Favor: L, PCP, BE, PAN; Contra: PSD, CH, IL, CDS-PP; Abstenção: PS</t>
        </is>
      </c>
      <c r="V511" s="3" t="n">
        <v>45985</v>
      </c>
      <c r="W511" s="2" t="inlineStr">
        <is>
          <t>AR: https://www.parlamento.pt/OrcamentoEstado/Paginas/DetalhePropostaAlteracao.aspx?BID=23682 PDF: https://app.parlamento.pt/webutils/docs/doc.pdf?path=6148523063484d364c793942556b356c6443397a6158526c63793959566b6c4a544556484c3039464c7a49774d6a59794d4449314d5441774f5339515153387a4e324d77595745334f53316d596a46694c54526d4e6a4974596d56695979316a4d6d5a6c4e4463344e574e6c4f5449756347526d&amp;Fich=37c0aa79-fb1b-4f62-bebc-c2fe4785ce92.pdf&amp;Inline=true</t>
        </is>
      </c>
      <c r="X511" s="2" t="inlineStr">
        <is>
          <t>Ambiente e Energia</t>
        </is>
      </c>
      <c r="Y511" s="2" t="inlineStr">
        <is>
          <t>Articulado</t>
        </is>
      </c>
      <c r="Z511" s="2" t="inlineStr">
        <is>
          <t>Aditamento (Artigo PPL)</t>
        </is>
      </c>
      <c r="AA511" s="2" t="inlineStr">
        <is>
          <t>Rejeitado(a) em Comissão</t>
        </is>
      </c>
      <c r="AB511" s="2" t="inlineStr"/>
      <c r="AC511" s="2" t="inlineStr"/>
      <c r="AD511" s="2" t="inlineStr">
        <is>
          <t>1</t>
        </is>
      </c>
      <c r="AE511" s="2" t="inlineStr">
        <is>
          <t>23682</t>
        </is>
      </c>
      <c r="AF511" s="2" t="inlineStr">
        <is>
          <t>https://www.parlamento.pt/OrcamentoEstado/Paginas/DetalhePropostaAlteracao.aspx?BID=23682</t>
        </is>
      </c>
      <c r="AG511" s="2" t="inlineStr">
        <is>
          <t>https://app.parlamento.pt/webutils/docs/doc.pdf?path=6148523063484d364c793942556b356c6443397a6158526c63793959566b6c4a544556484c3039464c7a49774d6a59794d4449314d5441774f5339515153387a4e324d77595745334f53316d596a46694c54526d4e6a4974596d56695979316a4d6d5a6c4e4463344e574e6c4f5449756347526d&amp;Fich=37c0aa79-fb1b-4f62-bebc-c2fe4785ce92.pdf&amp;Inline=true</t>
        </is>
      </c>
      <c r="AH511" s="3" t="n">
        <v>46321.77847222222</v>
      </c>
      <c r="AI511" s="3" t="n">
        <v>46321.78055555555</v>
      </c>
      <c r="AJ511" s="2" t="inlineStr"/>
    </row>
    <row r="512">
      <c r="A512" s="2" t="n">
        <v>511</v>
      </c>
      <c r="B512" s="2" t="inlineStr">
        <is>
          <t>469C</t>
        </is>
      </c>
      <c r="C512" s="3" t="n">
        <v>45965.87013888889</v>
      </c>
      <c r="D512" s="2" t="inlineStr">
        <is>
          <t>Original</t>
        </is>
      </c>
      <c r="E512" s="2" t="inlineStr">
        <is>
          <t>L</t>
        </is>
      </c>
      <c r="F512" s="2" t="inlineStr">
        <is>
          <t>Filipa Pinto; Isabel Mendes Lopes; Jorge Pinto; Patrícia Gonçalves; Paulo Muacho; Rui Tavares</t>
        </is>
      </c>
      <c r="G512" s="2" t="inlineStr">
        <is>
          <t>Art. 126.º-A (aditamento)</t>
        </is>
      </c>
      <c r="H512" s="2" t="n"/>
      <c r="I512" s="2" t="n"/>
      <c r="J512" s="2" t="n"/>
      <c r="K512" s="2" t="n"/>
      <c r="L512" s="2" t="inlineStr">
        <is>
          <t>Artigo 126.º-A (Refúgios climáticos)</t>
        </is>
      </c>
      <c r="M512" s="4" t="n"/>
      <c r="N512" s="4" t="n"/>
      <c r="O512" s="2" t="n"/>
      <c r="P512" s="2" t="n"/>
      <c r="Q512" s="2" t="n"/>
      <c r="R512" s="2" t="n"/>
      <c r="S512" s="2" t="inlineStr">
        <is>
          <t>Rejeitado(a) em Comissão</t>
        </is>
      </c>
      <c r="T512" s="2" t="inlineStr">
        <is>
          <t>Rejeitada</t>
        </is>
      </c>
      <c r="U512" s="2" t="inlineStr">
        <is>
          <t>Favor: L, PCP, BE, PAN; Contra: PSD, CH, IL, CDS-PP; Abstenção: PS</t>
        </is>
      </c>
      <c r="V512" s="3" t="n">
        <v>45985</v>
      </c>
      <c r="W512" s="2" t="inlineStr">
        <is>
          <t>AR: https://www.parlamento.pt/OrcamentoEstado/Paginas/DetalhePropostaAlteracao.aspx?BID=23683 PDF: https://app.parlamento.pt/webutils/docs/doc.pdf?path=6148523063484d364c793942556b356c6443397a6158526c63793959566b6c4a544556484c3039464c7a49774d6a59794d4449314d5441774f53395151533832596a67304d32566a4d533034597a68684c5451314e3251744f546869596930795a544d785a545669597a5a684d5745756347526d&amp;Fich=6b843ec1-8c8a-457d-98bb-2e31e5bc6a1a.pdf&amp;Inline=true</t>
        </is>
      </c>
      <c r="X512" s="2" t="inlineStr">
        <is>
          <t>Ambiente e Energia</t>
        </is>
      </c>
      <c r="Y512" s="2" t="inlineStr">
        <is>
          <t>Articulado</t>
        </is>
      </c>
      <c r="Z512" s="2" t="inlineStr">
        <is>
          <t>Aditamento (Artigo PPL)</t>
        </is>
      </c>
      <c r="AA512" s="2" t="inlineStr">
        <is>
          <t>Rejeitado(a) em Comissão</t>
        </is>
      </c>
      <c r="AB512" s="2" t="inlineStr"/>
      <c r="AC512" s="2" t="inlineStr"/>
      <c r="AD512" s="2" t="inlineStr">
        <is>
          <t>1</t>
        </is>
      </c>
      <c r="AE512" s="2" t="inlineStr">
        <is>
          <t>23683</t>
        </is>
      </c>
      <c r="AF512" s="2" t="inlineStr">
        <is>
          <t>https://www.parlamento.pt/OrcamentoEstado/Paginas/DetalhePropostaAlteracao.aspx?BID=23683</t>
        </is>
      </c>
      <c r="AG512" s="2" t="inlineStr">
        <is>
          <t>https://app.parlamento.pt/webutils/docs/doc.pdf?path=6148523063484d364c793942556b356c6443397a6158526c63793959566b6c4a544556484c3039464c7a49774d6a59794d4449314d5441774f53395151533832596a67304d32566a4d533034597a68684c5451314e3251744f546869596930795a544d785a545669597a5a684d5745756347526d&amp;Fich=6b843ec1-8c8a-457d-98bb-2e31e5bc6a1a.pdf&amp;Inline=true</t>
        </is>
      </c>
      <c r="AH512" s="3" t="n">
        <v>46321.77847222222</v>
      </c>
      <c r="AI512" s="3" t="n">
        <v>46321.78055555555</v>
      </c>
      <c r="AJ512" s="2" t="inlineStr"/>
    </row>
    <row r="513">
      <c r="A513" s="2" t="n">
        <v>512</v>
      </c>
      <c r="B513" s="2" t="inlineStr">
        <is>
          <t>470C</t>
        </is>
      </c>
      <c r="C513" s="3" t="n">
        <v>45965.87847222222</v>
      </c>
      <c r="D513" s="2" t="inlineStr">
        <is>
          <t>Original</t>
        </is>
      </c>
      <c r="E513" s="2" t="inlineStr">
        <is>
          <t>L</t>
        </is>
      </c>
      <c r="F513" s="2" t="inlineStr">
        <is>
          <t>Filipa Pinto; Isabel Mendes Lopes; Jorge Pinto; Patrícia Gonçalves; Paulo Muacho; Rui Tavares</t>
        </is>
      </c>
      <c r="G513" s="2" t="inlineStr">
        <is>
          <t>Art. 63.º (substituição)</t>
        </is>
      </c>
      <c r="H513" s="2" t="n"/>
      <c r="I513" s="2" t="n"/>
      <c r="J513" s="2" t="n"/>
      <c r="K513" s="2" t="n"/>
      <c r="L513" s="2" t="inlineStr">
        <is>
          <t>Verba 2.36, Lista I anexa ao Código do IVA</t>
        </is>
      </c>
      <c r="M513" s="4" t="n"/>
      <c r="N513" s="4" t="n"/>
      <c r="O513" s="2" t="n"/>
      <c r="P513" s="2" t="n"/>
      <c r="Q513" s="2" t="n"/>
      <c r="R513" s="2" t="n"/>
      <c r="S513" s="2" t="inlineStr">
        <is>
          <t>Rejeitado(a) em Comissão</t>
        </is>
      </c>
      <c r="T513" s="2" t="inlineStr">
        <is>
          <t>Rejeitada</t>
        </is>
      </c>
      <c r="U513" s="2" t="inlineStr">
        <is>
          <t>Favor: IL, L, PCP, BE, PAN; Contra: PSD, CDS-PP; Abstenção: CH, PS</t>
        </is>
      </c>
      <c r="V513" s="3" t="n">
        <v>45982</v>
      </c>
      <c r="W513" s="2" t="inlineStr">
        <is>
          <t>AR: https://www.parlamento.pt/OrcamentoEstado/Paginas/DetalhePropostaAlteracao.aspx?BID=23684 PDF: https://app.parlamento.pt/webutils/docs/doc.pdf?path=6148523063484d364c793942556b356c6443397a6158526c63793959566b6c4a544556484c3039464c7a49774d6a59794d4449314d5441774f533951515338335a474a6a5954526c5969307a4e6a41774c5451774e546774596a67785a533078595459324f5751784e7a4a6b5a6a67756347526d&amp;Fich=7dbca4eb-3600-4058-b81e-1a669d172df8.pdf&amp;Inline=true</t>
        </is>
      </c>
      <c r="X513" s="2" t="inlineStr">
        <is>
          <t>Orçamento, Finanças e Administração Pública</t>
        </is>
      </c>
      <c r="Y513" s="2" t="inlineStr">
        <is>
          <t>Articulado</t>
        </is>
      </c>
      <c r="Z513" s="2" t="inlineStr">
        <is>
          <t>Substituição</t>
        </is>
      </c>
      <c r="AA513" s="2" t="inlineStr">
        <is>
          <t>Rejeitado(a) em Comissão</t>
        </is>
      </c>
      <c r="AB513" s="2" t="inlineStr"/>
      <c r="AC513" s="2" t="inlineStr"/>
      <c r="AD513" s="2" t="inlineStr">
        <is>
          <t>1</t>
        </is>
      </c>
      <c r="AE513" s="2" t="inlineStr">
        <is>
          <t>23684</t>
        </is>
      </c>
      <c r="AF513" s="2" t="inlineStr">
        <is>
          <t>https://www.parlamento.pt/OrcamentoEstado/Paginas/DetalhePropostaAlteracao.aspx?BID=23684</t>
        </is>
      </c>
      <c r="AG513" s="2" t="inlineStr">
        <is>
          <t>https://app.parlamento.pt/webutils/docs/doc.pdf?path=6148523063484d364c793942556b356c6443397a6158526c63793959566b6c4a544556484c3039464c7a49774d6a59794d4449314d5441774f533951515338335a474a6a5954526c5969307a4e6a41774c5451774e546774596a67785a533078595459324f5751784e7a4a6b5a6a67756347526d&amp;Fich=7dbca4eb-3600-4058-b81e-1a669d172df8.pdf&amp;Inline=true</t>
        </is>
      </c>
      <c r="AH513" s="3" t="n">
        <v>46321.77847222222</v>
      </c>
      <c r="AI513" s="3" t="n">
        <v>46321.78055555555</v>
      </c>
      <c r="AJ513" s="2" t="inlineStr"/>
    </row>
    <row r="514">
      <c r="A514" s="2" t="n">
        <v>513</v>
      </c>
      <c r="B514" s="2" t="inlineStr">
        <is>
          <t>471C</t>
        </is>
      </c>
      <c r="C514" s="3" t="n">
        <v>45965.8875</v>
      </c>
      <c r="D514" s="2" t="inlineStr">
        <is>
          <t>Original</t>
        </is>
      </c>
      <c r="E514" s="2" t="inlineStr">
        <is>
          <t>L</t>
        </is>
      </c>
      <c r="F514" s="2" t="inlineStr">
        <is>
          <t>Filipa Pinto; Isabel Mendes Lopes; Jorge Pinto; Patrícia Gonçalves; Paulo Muacho; Rui Tavares</t>
        </is>
      </c>
      <c r="G514" s="2" t="inlineStr">
        <is>
          <t>Art. 126.º-A (aditamento)</t>
        </is>
      </c>
      <c r="H514" s="2" t="n"/>
      <c r="I514" s="2" t="n"/>
      <c r="J514" s="2" t="n"/>
      <c r="K514" s="2" t="n"/>
      <c r="L514" s="2" t="inlineStr">
        <is>
          <t>Artigo 126.º-A (Promoção da utilização de fraldas reutilizáveis)</t>
        </is>
      </c>
      <c r="M514" s="4" t="n"/>
      <c r="N514" s="4" t="n"/>
      <c r="O514" s="2" t="n"/>
      <c r="P514" s="2" t="n"/>
      <c r="Q514" s="2" t="n"/>
      <c r="R514" s="2" t="n"/>
      <c r="S514" s="2" t="inlineStr">
        <is>
          <t>Rejeitado(a) em Comissão</t>
        </is>
      </c>
      <c r="T514" s="2" t="inlineStr">
        <is>
          <t>Rejeitada</t>
        </is>
      </c>
      <c r="U514" s="2" t="inlineStr">
        <is>
          <t>Favor: L, BE, PAN; Contra: PSD, IL, CDS-PP; Abstenção: CH, PS, PCP</t>
        </is>
      </c>
      <c r="V514" s="3" t="n">
        <v>45985</v>
      </c>
      <c r="W514" s="2" t="inlineStr">
        <is>
          <t>AR: https://www.parlamento.pt/OrcamentoEstado/Paginas/DetalhePropostaAlteracao.aspx?BID=23685 PDF: https://app.parlamento.pt/webutils/docs/doc.pdf?path=6148523063484d364c793942556b356c6443397a6158526c63793959566b6c4a544556484c3039464c7a49774d6a59794d4449314d5441774f533951515338314d5468695a474e6c4d4330344e5449354c5451314f446774596a5a694d5330354d3255784e4467775a6a4d334f5441756347526d&amp;Fich=518bdce0-8529-4588-b6b1-93e1480f3790.pdf&amp;Inline=true</t>
        </is>
      </c>
      <c r="X514" s="2" t="inlineStr">
        <is>
          <t>Ambiente e Energia</t>
        </is>
      </c>
      <c r="Y514" s="2" t="inlineStr">
        <is>
          <t>Articulado</t>
        </is>
      </c>
      <c r="Z514" s="2" t="inlineStr">
        <is>
          <t>Aditamento (Artigo PPL)</t>
        </is>
      </c>
      <c r="AA514" s="2" t="inlineStr">
        <is>
          <t>Rejeitado(a) em Comissão</t>
        </is>
      </c>
      <c r="AB514" s="2" t="inlineStr"/>
      <c r="AC514" s="2" t="inlineStr"/>
      <c r="AD514" s="2" t="inlineStr">
        <is>
          <t>1</t>
        </is>
      </c>
      <c r="AE514" s="2" t="inlineStr">
        <is>
          <t>23685</t>
        </is>
      </c>
      <c r="AF514" s="2" t="inlineStr">
        <is>
          <t>https://www.parlamento.pt/OrcamentoEstado/Paginas/DetalhePropostaAlteracao.aspx?BID=23685</t>
        </is>
      </c>
      <c r="AG514" s="2" t="inlineStr">
        <is>
          <t>https://app.parlamento.pt/webutils/docs/doc.pdf?path=6148523063484d364c793942556b356c6443397a6158526c63793959566b6c4a544556484c3039464c7a49774d6a59794d4449314d5441774f533951515338314d5468695a474e6c4d4330344e5449354c5451314f446774596a5a694d5330354d3255784e4467775a6a4d334f5441756347526d&amp;Fich=518bdce0-8529-4588-b6b1-93e1480f3790.pdf&amp;Inline=true</t>
        </is>
      </c>
      <c r="AH514" s="3" t="n">
        <v>46321.77847222222</v>
      </c>
      <c r="AI514" s="3" t="n">
        <v>46321.78055555555</v>
      </c>
      <c r="AJ514" s="2" t="inlineStr"/>
    </row>
    <row r="515">
      <c r="A515" s="2" t="n">
        <v>514</v>
      </c>
      <c r="B515" s="2" t="inlineStr">
        <is>
          <t>472C</t>
        </is>
      </c>
      <c r="C515" s="3" t="n">
        <v>45965.89305555556</v>
      </c>
      <c r="D515" s="2" t="inlineStr">
        <is>
          <t>Original</t>
        </is>
      </c>
      <c r="E515" s="2" t="inlineStr">
        <is>
          <t>L</t>
        </is>
      </c>
      <c r="F515" s="2" t="inlineStr">
        <is>
          <t>Filipa Pinto; Isabel Mendes Lopes; Jorge Pinto; Patrícia Gonçalves; Paulo Muacho; Rui Tavares</t>
        </is>
      </c>
      <c r="G515" s="2" t="inlineStr">
        <is>
          <t>Art. 7.º (aditamento)</t>
        </is>
      </c>
      <c r="H515" s="2" t="n"/>
      <c r="I515" s="2" t="n"/>
      <c r="J515" s="2" t="n"/>
      <c r="K515" s="2" t="n"/>
      <c r="L515" s="2" t="inlineStr">
        <is>
          <t>Nova Verba 28, Mapa de alterações e transferências orçamentais, Artigo 7.º</t>
        </is>
      </c>
      <c r="M515" s="4" t="n"/>
      <c r="N515" s="4" t="n"/>
      <c r="O515" s="2" t="n"/>
      <c r="P515" s="2" t="n"/>
      <c r="Q515" s="2" t="n"/>
      <c r="R515" s="2" t="n"/>
      <c r="S515" s="2" t="inlineStr">
        <is>
          <t>Rejeitado(a) em Comissão</t>
        </is>
      </c>
      <c r="T515" s="2" t="inlineStr">
        <is>
          <t>Rejeitada</t>
        </is>
      </c>
      <c r="U515" s="2" t="inlineStr">
        <is>
          <t>Favor: L, PAN; Contra: PSD, CH, IL, PCP, CDS-PP, BE; Abstenção: PS</t>
        </is>
      </c>
      <c r="V515" s="3" t="n">
        <v>45987</v>
      </c>
      <c r="W515" s="2" t="inlineStr">
        <is>
          <t>AR: https://www.parlamento.pt/OrcamentoEstado/Paginas/DetalhePropostaAlteracao.aspx?BID=23686 PDF: https://app.parlamento.pt/webutils/docs/doc.pdf?path=6148523063484d364c793942556b356c6443397a6158526c63793959566b6c4a544556484c3039464c7a49774d6a59794d4449314d5441774f533951515339685a6a4d34597a6734595330784e3251794c5452694e3251744f5449314e7930324f54566b5a5756684e5745784d6d4d756347526d&amp;Fich=af38c88a-17d2-4b7d-9257-695deea5a12c.pdf&amp;Inline=true</t>
        </is>
      </c>
      <c r="X515" s="2" t="inlineStr">
        <is>
          <t>Ambiente e Energia</t>
        </is>
      </c>
      <c r="Y515" s="2" t="inlineStr">
        <is>
          <t>Mapas</t>
        </is>
      </c>
      <c r="Z515" s="2" t="inlineStr">
        <is>
          <t>Aditamento (Números e Alíneas)</t>
        </is>
      </c>
      <c r="AA515" s="2" t="inlineStr">
        <is>
          <t>Rejeitado(a) em Comissão</t>
        </is>
      </c>
      <c r="AB515" s="2" t="inlineStr"/>
      <c r="AC515" s="2" t="inlineStr"/>
      <c r="AD515" s="2" t="inlineStr">
        <is>
          <t>1</t>
        </is>
      </c>
      <c r="AE515" s="2" t="inlineStr">
        <is>
          <t>23686</t>
        </is>
      </c>
      <c r="AF515" s="2" t="inlineStr">
        <is>
          <t>https://www.parlamento.pt/OrcamentoEstado/Paginas/DetalhePropostaAlteracao.aspx?BID=23686</t>
        </is>
      </c>
      <c r="AG515" s="2" t="inlineStr">
        <is>
          <t>https://app.parlamento.pt/webutils/docs/doc.pdf?path=6148523063484d364c793942556b356c6443397a6158526c63793959566b6c4a544556484c3039464c7a49774d6a59794d4449314d5441774f533951515339685a6a4d34597a6734595330784e3251794c5452694e3251744f5449314e7930324f54566b5a5756684e5745784d6d4d756347526d&amp;Fich=af38c88a-17d2-4b7d-9257-695deea5a12c.pdf&amp;Inline=true</t>
        </is>
      </c>
      <c r="AH515" s="3" t="n">
        <v>46321.77847222222</v>
      </c>
      <c r="AI515" s="3" t="n">
        <v>46321.78055555555</v>
      </c>
      <c r="AJ515" s="2" t="inlineStr"/>
    </row>
    <row r="516">
      <c r="A516" s="2" t="n">
        <v>515</v>
      </c>
      <c r="B516" s="2" t="inlineStr">
        <is>
          <t>473C</t>
        </is>
      </c>
      <c r="C516" s="3" t="n">
        <v>45965.90625</v>
      </c>
      <c r="D516" s="2" t="inlineStr">
        <is>
          <t>Original</t>
        </is>
      </c>
      <c r="E516" s="2" t="inlineStr">
        <is>
          <t>L</t>
        </is>
      </c>
      <c r="F516" s="2" t="inlineStr">
        <is>
          <t>Filipa Pinto; Isabel Mendes Lopes; Jorge Pinto; Patrícia Gonçalves; Paulo Muacho; Rui Tavares</t>
        </is>
      </c>
      <c r="G516" s="2" t="inlineStr">
        <is>
          <t>Art. 7.º (substituição)</t>
        </is>
      </c>
      <c r="H516" s="2" t="n"/>
      <c r="I516" s="2" t="n"/>
      <c r="J516" s="2" t="n"/>
      <c r="K516" s="2" t="n"/>
      <c r="L516" s="2" t="inlineStr">
        <is>
          <t>Verba 29, Mapa de alterações e transferências orçamentais, Artigo 7.º</t>
        </is>
      </c>
      <c r="M516" s="4" t="n"/>
      <c r="N516" s="4" t="n"/>
      <c r="O516" s="2" t="n"/>
      <c r="P516" s="2" t="n"/>
      <c r="Q516" s="2" t="n"/>
      <c r="R516" s="2" t="n"/>
      <c r="S516" s="2" t="inlineStr">
        <is>
          <t>Rejeitado(a) em Comissão</t>
        </is>
      </c>
      <c r="T516" s="2" t="inlineStr">
        <is>
          <t>Rejeitada</t>
        </is>
      </c>
      <c r="U516" s="2" t="inlineStr">
        <is>
          <t>Favor: L, PCP, BE, PAN; Contra: PSD, CH, IL, CDS-PP; Abstenção: PS</t>
        </is>
      </c>
      <c r="V516" s="3" t="n">
        <v>45987</v>
      </c>
      <c r="W516" s="2" t="inlineStr">
        <is>
          <t>AR: https://www.parlamento.pt/OrcamentoEstado/Paginas/DetalhePropostaAlteracao.aspx?BID=23687 PDF: https://app.parlamento.pt/webutils/docs/doc.pdf?path=6148523063484d364c793942556b356c6443397a6158526c63793959566b6c4a544556484c3039464c7a49774d6a59794d4449314d5441774f533951515338784d5755314e444e6d5979316a5a6a45344c545133597a51744f4467775a69316859546b774d7a45334d44526a4e4463756347526d&amp;Fich=11e543fc-cf18-47c4-880f-aa9031704c47.pdf&amp;Inline=true</t>
        </is>
      </c>
      <c r="X516" s="2" t="inlineStr">
        <is>
          <t>Ambiente e Energia</t>
        </is>
      </c>
      <c r="Y516" s="2" t="inlineStr">
        <is>
          <t>Mapas</t>
        </is>
      </c>
      <c r="Z516" s="2" t="inlineStr">
        <is>
          <t>Substituição</t>
        </is>
      </c>
      <c r="AA516" s="2" t="inlineStr">
        <is>
          <t>Rejeitado(a) em Comissão</t>
        </is>
      </c>
      <c r="AB516" s="2" t="inlineStr"/>
      <c r="AC516" s="2" t="inlineStr"/>
      <c r="AD516" s="2" t="inlineStr">
        <is>
          <t>1</t>
        </is>
      </c>
      <c r="AE516" s="2" t="inlineStr">
        <is>
          <t>23687</t>
        </is>
      </c>
      <c r="AF516" s="2" t="inlineStr">
        <is>
          <t>https://www.parlamento.pt/OrcamentoEstado/Paginas/DetalhePropostaAlteracao.aspx?BID=23687</t>
        </is>
      </c>
      <c r="AG516" s="2" t="inlineStr">
        <is>
          <t>https://app.parlamento.pt/webutils/docs/doc.pdf?path=6148523063484d364c793942556b356c6443397a6158526c63793959566b6c4a544556484c3039464c7a49774d6a59794d4449314d5441774f533951515338784d5755314e444e6d5979316a5a6a45344c545133597a51744f4467775a69316859546b774d7a45334d44526a4e4463756347526d&amp;Fich=11e543fc-cf18-47c4-880f-aa9031704c47.pdf&amp;Inline=true</t>
        </is>
      </c>
      <c r="AH516" s="3" t="n">
        <v>46321.77847222222</v>
      </c>
      <c r="AI516" s="3" t="n">
        <v>46321.78055555555</v>
      </c>
      <c r="AJ516" s="2" t="inlineStr"/>
    </row>
    <row r="517">
      <c r="A517" s="2" t="n">
        <v>516</v>
      </c>
      <c r="B517" s="2" t="inlineStr">
        <is>
          <t>474C</t>
        </is>
      </c>
      <c r="C517" s="3" t="n">
        <v>45965.90902777778</v>
      </c>
      <c r="D517" s="2" t="inlineStr">
        <is>
          <t>Original</t>
        </is>
      </c>
      <c r="E517" s="2" t="inlineStr">
        <is>
          <t>L</t>
        </is>
      </c>
      <c r="F517" s="2" t="inlineStr">
        <is>
          <t>Filipa Pinto; Isabel Mendes Lopes; Jorge Pinto; Patrícia Gonçalves; Paulo Muacho; Rui Tavares</t>
        </is>
      </c>
      <c r="G517" s="2" t="inlineStr">
        <is>
          <t>Art. 63.º (aditamento)</t>
        </is>
      </c>
      <c r="H517" s="2" t="n"/>
      <c r="I517" s="2" t="n"/>
      <c r="J517" s="2" t="n"/>
      <c r="K517" s="2" t="n"/>
      <c r="L517" s="2" t="inlineStr">
        <is>
          <t>Verba 2.42, Lista I anexa ao Código do IVA</t>
        </is>
      </c>
      <c r="M517" s="4" t="n"/>
      <c r="N517" s="4" t="n"/>
      <c r="O517" s="2" t="n"/>
      <c r="P517" s="2" t="n"/>
      <c r="Q517" s="2" t="n"/>
      <c r="R517" s="2" t="n"/>
      <c r="S517" s="2" t="inlineStr">
        <is>
          <t>Rejeitado(a) em Comissão</t>
        </is>
      </c>
      <c r="T517" s="2" t="inlineStr">
        <is>
          <t>Rejeitada</t>
        </is>
      </c>
      <c r="U517" s="2" t="inlineStr">
        <is>
          <t>Favor: L, PCP, BE, PAN; Contra: PSD, CDS-PP; Abstenção: CH, PS, IL</t>
        </is>
      </c>
      <c r="V517" s="3" t="n">
        <v>45982</v>
      </c>
      <c r="W517" s="2" t="inlineStr">
        <is>
          <t>AR: https://www.parlamento.pt/OrcamentoEstado/Paginas/DetalhePropostaAlteracao.aspx?BID=23688 PDF: https://app.parlamento.pt/webutils/docs/doc.pdf?path=6148523063484d364c793942556b356c6443397a6158526c63793959566b6c4a544556484c3039464c7a49774d6a59794d4449314d5441774f533951515338784e6a686b5a6a55334f43307a595755324c5451324e474574596a6b7959533031596a6b344e4756694e6d5178596a41756347526d&amp;Fich=168df578-3ae6-464a-b92a-5b984eb6d1b0.pdf&amp;Inline=true</t>
        </is>
      </c>
      <c r="X517" s="2" t="inlineStr">
        <is>
          <t>Orçamento, Finanças e Administração Pública</t>
        </is>
      </c>
      <c r="Y517" s="2" t="inlineStr">
        <is>
          <t>Articulado</t>
        </is>
      </c>
      <c r="Z517" s="2" t="inlineStr">
        <is>
          <t>Aditamento (Números e Alíneas)</t>
        </is>
      </c>
      <c r="AA517" s="2" t="inlineStr">
        <is>
          <t>Rejeitado(a) em Comissão</t>
        </is>
      </c>
      <c r="AB517" s="2" t="inlineStr"/>
      <c r="AC517" s="2" t="inlineStr"/>
      <c r="AD517" s="2" t="inlineStr">
        <is>
          <t>1</t>
        </is>
      </c>
      <c r="AE517" s="2" t="inlineStr">
        <is>
          <t>23688</t>
        </is>
      </c>
      <c r="AF517" s="2" t="inlineStr">
        <is>
          <t>https://www.parlamento.pt/OrcamentoEstado/Paginas/DetalhePropostaAlteracao.aspx?BID=23688</t>
        </is>
      </c>
      <c r="AG517" s="2" t="inlineStr">
        <is>
          <t>https://app.parlamento.pt/webutils/docs/doc.pdf?path=6148523063484d364c793942556b356c6443397a6158526c63793959566b6c4a544556484c3039464c7a49774d6a59794d4449314d5441774f533951515338784e6a686b5a6a55334f43307a595755324c5451324e474574596a6b7959533031596a6b344e4756694e6d5178596a41756347526d&amp;Fich=168df578-3ae6-464a-b92a-5b984eb6d1b0.pdf&amp;Inline=true</t>
        </is>
      </c>
      <c r="AH517" s="3" t="n">
        <v>46321.77847222222</v>
      </c>
      <c r="AI517" s="3" t="n">
        <v>46321.78055555555</v>
      </c>
      <c r="AJ517" s="2" t="inlineStr"/>
    </row>
    <row r="518">
      <c r="A518" s="2" t="n">
        <v>517</v>
      </c>
      <c r="B518" s="2" t="inlineStr">
        <is>
          <t>475C</t>
        </is>
      </c>
      <c r="C518" s="3" t="n">
        <v>45965.91666666666</v>
      </c>
      <c r="D518" s="2" t="inlineStr">
        <is>
          <t>Original</t>
        </is>
      </c>
      <c r="E518" s="2" t="inlineStr">
        <is>
          <t>L</t>
        </is>
      </c>
      <c r="F518" s="2" t="inlineStr">
        <is>
          <t>Filipa Pinto; Isabel Mendes Lopes; Jorge Pinto; Patrícia Gonçalves; Paulo Muacho; Rui Tavares</t>
        </is>
      </c>
      <c r="G518" s="2" t="inlineStr">
        <is>
          <t>Art. 127.º-A (aditamento)</t>
        </is>
      </c>
      <c r="H518" s="2" t="n"/>
      <c r="I518" s="2" t="n"/>
      <c r="J518" s="2" t="n"/>
      <c r="K518" s="2" t="n"/>
      <c r="L518" s="2" t="inlineStr">
        <is>
          <t>Artigo 127.º-A (Recurso próprio baseado no plástico)</t>
        </is>
      </c>
      <c r="M518" s="4" t="n"/>
      <c r="N518" s="4" t="n"/>
      <c r="O518" s="2" t="n"/>
      <c r="P518" s="2" t="n"/>
      <c r="Q518" s="2" t="n"/>
      <c r="R518" s="2" t="n"/>
      <c r="S518" s="2" t="inlineStr">
        <is>
          <t>Rejeitado(a) em Comissão</t>
        </is>
      </c>
      <c r="T518" s="2" t="inlineStr">
        <is>
          <t>Rejeitada</t>
        </is>
      </c>
      <c r="U518" s="2" t="inlineStr">
        <is>
          <t>Favor: L, BE, PAN; Contra: PSD, CH, IL, PCP, CDS-PP; Abstenção: PS</t>
        </is>
      </c>
      <c r="V518" s="3" t="n">
        <v>45985</v>
      </c>
      <c r="W518" s="2" t="inlineStr">
        <is>
          <t>AR: https://www.parlamento.pt/OrcamentoEstado/Paginas/DetalhePropostaAlteracao.aspx?BID=23689 PDF: https://app.parlamento.pt/webutils/docs/doc.pdf?path=6148523063484d364c793942556b356c6443397a6158526c63793959566b6c4a544556484c3039464c7a49774d6a59794d4449314d5441774f533951515338784e6d4d775954633059793168597a41784c5451355a4745744f5755344d43316d5a546b7a595745324d3245784f5455756347526d&amp;Fich=16c0a74c-ac01-49da-9e80-fe93aa63a195.pdf&amp;Inline=true</t>
        </is>
      </c>
      <c r="X518" s="2" t="inlineStr">
        <is>
          <t>Ambiente e Energia; Orçamento, Finanças e Administração Pública</t>
        </is>
      </c>
      <c r="Y518" s="2" t="inlineStr">
        <is>
          <t>Articulado</t>
        </is>
      </c>
      <c r="Z518" s="2" t="inlineStr">
        <is>
          <t>Aditamento (Artigo PPL)</t>
        </is>
      </c>
      <c r="AA518" s="2" t="inlineStr">
        <is>
          <t>Rejeitado(a) em Comissão</t>
        </is>
      </c>
      <c r="AB518" s="2" t="inlineStr"/>
      <c r="AC518" s="2" t="inlineStr"/>
      <c r="AD518" s="2" t="inlineStr">
        <is>
          <t>1</t>
        </is>
      </c>
      <c r="AE518" s="2" t="inlineStr">
        <is>
          <t>23689</t>
        </is>
      </c>
      <c r="AF518" s="2" t="inlineStr">
        <is>
          <t>https://www.parlamento.pt/OrcamentoEstado/Paginas/DetalhePropostaAlteracao.aspx?BID=23689</t>
        </is>
      </c>
      <c r="AG518" s="2" t="inlineStr">
        <is>
          <t>https://app.parlamento.pt/webutils/docs/doc.pdf?path=6148523063484d364c793942556b356c6443397a6158526c63793959566b6c4a544556484c3039464c7a49774d6a59794d4449314d5441774f533951515338784e6d4d775954633059793168597a41784c5451355a4745744f5755344d43316d5a546b7a595745324d3245784f5455756347526d&amp;Fich=16c0a74c-ac01-49da-9e80-fe93aa63a195.pdf&amp;Inline=true</t>
        </is>
      </c>
      <c r="AH518" s="3" t="n">
        <v>46321.77847222222</v>
      </c>
      <c r="AI518" s="3" t="n">
        <v>46321.78055555555</v>
      </c>
      <c r="AJ518" s="2" t="inlineStr"/>
    </row>
    <row r="519">
      <c r="A519" s="2" t="n">
        <v>518</v>
      </c>
      <c r="B519" s="2" t="inlineStr">
        <is>
          <t>476C</t>
        </is>
      </c>
      <c r="C519" s="3" t="n">
        <v>45966.39375</v>
      </c>
      <c r="D519" s="2" t="inlineStr">
        <is>
          <t>Original</t>
        </is>
      </c>
      <c r="E519" s="2" t="inlineStr">
        <is>
          <t>CH</t>
        </is>
      </c>
      <c r="F51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19" s="2" t="inlineStr">
        <is>
          <t>Art. 19.º-A (aditamento)</t>
        </is>
      </c>
      <c r="H519" s="2" t="n"/>
      <c r="I519" s="2" t="n"/>
      <c r="J519" s="2" t="n"/>
      <c r="K519" s="2" t="n"/>
      <c r="L519" s="2" t="inlineStr">
        <is>
          <t>Artigo 19.º-A (Reforço de verbas para obras de reabilitação nos estabelecimentos do Montijo e de Setúbal)</t>
        </is>
      </c>
      <c r="M519" s="4" t="n"/>
      <c r="N519" s="4" t="n"/>
      <c r="O519" s="2" t="n"/>
      <c r="P519" s="2" t="n"/>
      <c r="Q519" s="2" t="n"/>
      <c r="R519" s="2" t="n"/>
      <c r="S519" s="2" t="inlineStr">
        <is>
          <t>Rejeitado(a) em Comissão</t>
        </is>
      </c>
      <c r="T519" s="2" t="inlineStr">
        <is>
          <t>Rejeitada</t>
        </is>
      </c>
      <c r="U519" s="2" t="inlineStr">
        <is>
          <t>Favor: CH, IL, BE, PAN; Contra: PSD, CDS-PP; Abstenção: PS, L, PCP</t>
        </is>
      </c>
      <c r="V519" s="3" t="n">
        <v>45981</v>
      </c>
      <c r="W519" s="2" t="inlineStr">
        <is>
          <t>AR: https://www.parlamento.pt/OrcamentoEstado/Paginas/DetalhePropostaAlteracao.aspx?BID=23690 PDF: https://app.parlamento.pt/webutils/docs/doc.pdf?path=6148523063484d364c793942556b356c6443397a6158526c63793959566b6c4a544556484c3039464c7a49774d6a59794d4449314d5441774f5339515153387a5a44466a4f44526959693032596a6b784c5451774e6d49744f4759775a4331694d5451774e5745784d6a646b597a41756347526d&amp;Fich=3d1c84bb-6b91-406b-8f0d-b1405a127dc0.pdf&amp;Inline=true</t>
        </is>
      </c>
      <c r="X519" s="2" t="inlineStr">
        <is>
          <t>Assuntos Constitucionais, Direitos, Liberdades e Garantias</t>
        </is>
      </c>
      <c r="Y519" s="2" t="inlineStr">
        <is>
          <t>Articulado</t>
        </is>
      </c>
      <c r="Z519" s="2" t="inlineStr">
        <is>
          <t>Aditamento (Artigo PPL)</t>
        </is>
      </c>
      <c r="AA519" s="2" t="inlineStr">
        <is>
          <t>Rejeitado(a) em Comissão</t>
        </is>
      </c>
      <c r="AB519" s="2" t="inlineStr"/>
      <c r="AC519" s="2" t="inlineStr"/>
      <c r="AD519" s="2" t="inlineStr">
        <is>
          <t>1</t>
        </is>
      </c>
      <c r="AE519" s="2" t="inlineStr">
        <is>
          <t>23690</t>
        </is>
      </c>
      <c r="AF519" s="2" t="inlineStr">
        <is>
          <t>https://www.parlamento.pt/OrcamentoEstado/Paginas/DetalhePropostaAlteracao.aspx?BID=23690</t>
        </is>
      </c>
      <c r="AG519" s="2" t="inlineStr">
        <is>
          <t>https://app.parlamento.pt/webutils/docs/doc.pdf?path=6148523063484d364c793942556b356c6443397a6158526c63793959566b6c4a544556484c3039464c7a49774d6a59794d4449314d5441774f5339515153387a5a44466a4f44526959693032596a6b784c5451774e6d49744f4759775a4331694d5451774e5745784d6a646b597a41756347526d&amp;Fich=3d1c84bb-6b91-406b-8f0d-b1405a127dc0.pdf&amp;Inline=true</t>
        </is>
      </c>
      <c r="AH519" s="3" t="n">
        <v>46321.77847222222</v>
      </c>
      <c r="AI519" s="3" t="n">
        <v>46321.78055555555</v>
      </c>
      <c r="AJ519" s="2" t="inlineStr"/>
    </row>
    <row r="520">
      <c r="A520" s="2" t="n">
        <v>519</v>
      </c>
      <c r="B520" s="2" t="inlineStr">
        <is>
          <t>477C</t>
        </is>
      </c>
      <c r="C520" s="3" t="n">
        <v>45966.39444444444</v>
      </c>
      <c r="D520" s="2" t="inlineStr">
        <is>
          <t>Original</t>
        </is>
      </c>
      <c r="E520" s="2" t="inlineStr">
        <is>
          <t>CH</t>
        </is>
      </c>
      <c r="F52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20" s="2" t="inlineStr">
        <is>
          <t>Art. 19.º-A (aditamento)</t>
        </is>
      </c>
      <c r="H520" s="2" t="n"/>
      <c r="I520" s="2" t="n"/>
      <c r="J520" s="2" t="n"/>
      <c r="K520" s="2" t="n"/>
      <c r="L520" s="2" t="inlineStr">
        <is>
          <t>Artigo 19.º-A (Construção da nova Esquadra da PSP de Machico)</t>
        </is>
      </c>
      <c r="M520" s="4" t="n"/>
      <c r="N520" s="4" t="n"/>
      <c r="O520" s="2" t="n"/>
      <c r="P520" s="2" t="n"/>
      <c r="Q520" s="2" t="n"/>
      <c r="R520" s="2" t="n"/>
      <c r="S520" s="2" t="inlineStr">
        <is>
          <t>Rejeitado(a) em Comissão</t>
        </is>
      </c>
      <c r="T520" s="2" t="inlineStr">
        <is>
          <t>Rejeitada</t>
        </is>
      </c>
      <c r="U520" s="2" t="inlineStr">
        <is>
          <t>Favor: CH, BE, PAN; Contra: PSD, CDS-PP; Abstenção: PS, IL, L, PCP</t>
        </is>
      </c>
      <c r="V520" s="3" t="n">
        <v>45981</v>
      </c>
      <c r="W520" s="2" t="inlineStr">
        <is>
          <t>AR: https://www.parlamento.pt/OrcamentoEstado/Paginas/DetalhePropostaAlteracao.aspx?BID=23691 PDF: https://app.parlamento.pt/webutils/docs/doc.pdf?path=6148523063484d364c793942556b356c6443397a6158526c63793959566b6c4a544556484c3039464c7a49774d6a59794d4449314d5441774f5339515153396b5a6d466b59545a6c596930795a6a417a4c54526c4f4445744f546b354d6930334e4468685a6a67314f57526c596d45756347526d&amp;Fich=dfada6eb-2f03-4e81-9992-748af859deba.pdf&amp;Inline=true</t>
        </is>
      </c>
      <c r="X520" s="2" t="inlineStr">
        <is>
          <t>Assuntos Constitucionais, Direitos, Liberdades e Garantias</t>
        </is>
      </c>
      <c r="Y520" s="2" t="inlineStr">
        <is>
          <t>Articulado</t>
        </is>
      </c>
      <c r="Z520" s="2" t="inlineStr">
        <is>
          <t>Aditamento (Artigo PPL)</t>
        </is>
      </c>
      <c r="AA520" s="2" t="inlineStr">
        <is>
          <t>Rejeitado(a) em Comissão</t>
        </is>
      </c>
      <c r="AB520" s="2" t="inlineStr"/>
      <c r="AC520" s="2" t="inlineStr"/>
      <c r="AD520" s="2" t="inlineStr">
        <is>
          <t>1</t>
        </is>
      </c>
      <c r="AE520" s="2" t="inlineStr">
        <is>
          <t>23691</t>
        </is>
      </c>
      <c r="AF520" s="2" t="inlineStr">
        <is>
          <t>https://www.parlamento.pt/OrcamentoEstado/Paginas/DetalhePropostaAlteracao.aspx?BID=23691</t>
        </is>
      </c>
      <c r="AG520" s="2" t="inlineStr">
        <is>
          <t>https://app.parlamento.pt/webutils/docs/doc.pdf?path=6148523063484d364c793942556b356c6443397a6158526c63793959566b6c4a544556484c3039464c7a49774d6a59794d4449314d5441774f5339515153396b5a6d466b59545a6c596930795a6a417a4c54526c4f4445744f546b354d6930334e4468685a6a67314f57526c596d45756347526d&amp;Fich=dfada6eb-2f03-4e81-9992-748af859deba.pdf&amp;Inline=true</t>
        </is>
      </c>
      <c r="AH520" s="3" t="n">
        <v>46321.77847222222</v>
      </c>
      <c r="AI520" s="3" t="n">
        <v>46321.78055555555</v>
      </c>
      <c r="AJ520" s="2" t="inlineStr"/>
    </row>
    <row r="521">
      <c r="A521" s="2" t="n">
        <v>520</v>
      </c>
      <c r="B521" s="2" t="inlineStr">
        <is>
          <t>478C</t>
        </is>
      </c>
      <c r="C521" s="3" t="n">
        <v>45966.39583333334</v>
      </c>
      <c r="D521" s="2" t="inlineStr">
        <is>
          <t>Original</t>
        </is>
      </c>
      <c r="E521" s="2" t="inlineStr">
        <is>
          <t>CH</t>
        </is>
      </c>
      <c r="F52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21" s="2" t="inlineStr">
        <is>
          <t>Art. 19.º-A (aditamento)</t>
        </is>
      </c>
      <c r="H521" s="2" t="n"/>
      <c r="I521" s="2" t="n"/>
      <c r="J521" s="2" t="n"/>
      <c r="K521" s="2" t="n"/>
      <c r="L521" s="2" t="inlineStr">
        <is>
          <t>Artigo 19.º-A (Instalação de um Subdestacamento da GNR em Boliqueime)</t>
        </is>
      </c>
      <c r="M521" s="4" t="n"/>
      <c r="N521" s="4" t="n"/>
      <c r="O521" s="2" t="n"/>
      <c r="P521" s="2" t="n"/>
      <c r="Q521" s="2" t="n"/>
      <c r="R521" s="2" t="n"/>
      <c r="S521" s="2" t="inlineStr">
        <is>
          <t>Rejeitado(a) em Comissão</t>
        </is>
      </c>
      <c r="T521" s="2" t="inlineStr">
        <is>
          <t>Rejeitada</t>
        </is>
      </c>
      <c r="U521" s="2" t="inlineStr">
        <is>
          <t>Favor: CH, BE; Contra: PSD, CDS-PP; Abstenção: PS, IL, L, PCP</t>
        </is>
      </c>
      <c r="V521" s="3" t="n">
        <v>45981</v>
      </c>
      <c r="W521" s="2" t="inlineStr">
        <is>
          <t>AR: https://www.parlamento.pt/OrcamentoEstado/Paginas/DetalhePropostaAlteracao.aspx?BID=23692 PDF: https://app.parlamento.pt/webutils/docs/doc.pdf?path=6148523063484d364c793942556b356c6443397a6158526c63793959566b6c4a544556484c3039464c7a49774d6a59794d4449314d5441774f533951515339684f54466c4e47557a5a5330795a446c684c5451324e7a4d744f5464694d433035595746684e6a51324f5459794d6a51756347526d&amp;Fich=a91e4e3e-2d9a-4673-97b0-9aaa64696224.pdf&amp;Inline=true</t>
        </is>
      </c>
      <c r="X521" s="2" t="inlineStr">
        <is>
          <t>Assuntos Constitucionais, Direitos, Liberdades e Garantias</t>
        </is>
      </c>
      <c r="Y521" s="2" t="inlineStr">
        <is>
          <t>Articulado</t>
        </is>
      </c>
      <c r="Z521" s="2" t="inlineStr">
        <is>
          <t>Aditamento (Artigo PPL)</t>
        </is>
      </c>
      <c r="AA521" s="2" t="inlineStr">
        <is>
          <t>Rejeitado(a) em Comissão</t>
        </is>
      </c>
      <c r="AB521" s="2" t="inlineStr"/>
      <c r="AC521" s="2" t="inlineStr"/>
      <c r="AD521" s="2" t="inlineStr">
        <is>
          <t>1</t>
        </is>
      </c>
      <c r="AE521" s="2" t="inlineStr">
        <is>
          <t>23692</t>
        </is>
      </c>
      <c r="AF521" s="2" t="inlineStr">
        <is>
          <t>https://www.parlamento.pt/OrcamentoEstado/Paginas/DetalhePropostaAlteracao.aspx?BID=23692</t>
        </is>
      </c>
      <c r="AG521" s="2" t="inlineStr">
        <is>
          <t>https://app.parlamento.pt/webutils/docs/doc.pdf?path=6148523063484d364c793942556b356c6443397a6158526c63793959566b6c4a544556484c3039464c7a49774d6a59794d4449314d5441774f533951515339684f54466c4e47557a5a5330795a446c684c5451324e7a4d744f5464694d433035595746684e6a51324f5459794d6a51756347526d&amp;Fich=a91e4e3e-2d9a-4673-97b0-9aaa64696224.pdf&amp;Inline=true</t>
        </is>
      </c>
      <c r="AH521" s="3" t="n">
        <v>46321.77847222222</v>
      </c>
      <c r="AI521" s="3" t="n">
        <v>46321.78055555555</v>
      </c>
      <c r="AJ521" s="2" t="inlineStr"/>
    </row>
    <row r="522">
      <c r="A522" s="2" t="n">
        <v>521</v>
      </c>
      <c r="B522" s="2" t="inlineStr">
        <is>
          <t>479C</t>
        </is>
      </c>
      <c r="C522" s="3" t="n">
        <v>45966.39652777778</v>
      </c>
      <c r="D522" s="2" t="inlineStr">
        <is>
          <t>Original</t>
        </is>
      </c>
      <c r="E522" s="2" t="inlineStr">
        <is>
          <t>CH</t>
        </is>
      </c>
      <c r="F52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22" s="2" t="inlineStr">
        <is>
          <t>Art. 19.º-A (aditamento)</t>
        </is>
      </c>
      <c r="H522" s="2" t="n"/>
      <c r="I522" s="2" t="n"/>
      <c r="J522" s="2" t="n"/>
      <c r="K522" s="2" t="n"/>
      <c r="L522" s="2" t="inlineStr">
        <is>
          <t>Artigo 19.º-A (Requalificação do Posto territorial da GNR de Vendas Novas)</t>
        </is>
      </c>
      <c r="M522" s="4" t="n"/>
      <c r="N522" s="4" t="n"/>
      <c r="O522" s="2" t="n"/>
      <c r="P522" s="2" t="n"/>
      <c r="Q522" s="2" t="n"/>
      <c r="R522" s="2" t="n"/>
      <c r="S522" s="2" t="inlineStr">
        <is>
          <t>Rejeitado(a) em Comissão</t>
        </is>
      </c>
      <c r="T522" s="2" t="inlineStr">
        <is>
          <t>Rejeitada</t>
        </is>
      </c>
      <c r="U522" s="2" t="inlineStr">
        <is>
          <t>Favor: CH, BE, PAN; Contra: PSD, CDS-PP; Abstenção: PS, IL, L, PCP</t>
        </is>
      </c>
      <c r="V522" s="3" t="n">
        <v>45981</v>
      </c>
      <c r="W522" s="2" t="inlineStr">
        <is>
          <t>AR: https://www.parlamento.pt/OrcamentoEstado/Paginas/DetalhePropostaAlteracao.aspx?BID=23693 PDF: https://app.parlamento.pt/webutils/docs/doc.pdf?path=6148523063484d364c793942556b356c6443397a6158526c63793959566b6c4a544556484c3039464c7a49774d6a59794d4449314d5441774f5339515153387a59546b785a47526a4e7930304e4446694c5451344d5759745954566c4d69307a5a5442694e6a45344d6d45774d444d756347526d&amp;Fich=3a91ddc7-441b-481f-a5e2-3e0b6182a003.pdf&amp;Inline=true</t>
        </is>
      </c>
      <c r="X522" s="2" t="inlineStr">
        <is>
          <t>Assuntos Constitucionais, Direitos, Liberdades e Garantias</t>
        </is>
      </c>
      <c r="Y522" s="2" t="inlineStr">
        <is>
          <t>Articulado</t>
        </is>
      </c>
      <c r="Z522" s="2" t="inlineStr">
        <is>
          <t>Aditamento (Artigo PPL)</t>
        </is>
      </c>
      <c r="AA522" s="2" t="inlineStr">
        <is>
          <t>Rejeitado(a) em Comissão</t>
        </is>
      </c>
      <c r="AB522" s="2" t="inlineStr"/>
      <c r="AC522" s="2" t="inlineStr"/>
      <c r="AD522" s="2" t="inlineStr">
        <is>
          <t>1</t>
        </is>
      </c>
      <c r="AE522" s="2" t="inlineStr">
        <is>
          <t>23693</t>
        </is>
      </c>
      <c r="AF522" s="2" t="inlineStr">
        <is>
          <t>https://www.parlamento.pt/OrcamentoEstado/Paginas/DetalhePropostaAlteracao.aspx?BID=23693</t>
        </is>
      </c>
      <c r="AG522" s="2" t="inlineStr">
        <is>
          <t>https://app.parlamento.pt/webutils/docs/doc.pdf?path=6148523063484d364c793942556b356c6443397a6158526c63793959566b6c4a544556484c3039464c7a49774d6a59794d4449314d5441774f5339515153387a59546b785a47526a4e7930304e4446694c5451344d5759745954566c4d69307a5a5442694e6a45344d6d45774d444d756347526d&amp;Fich=3a91ddc7-441b-481f-a5e2-3e0b6182a003.pdf&amp;Inline=true</t>
        </is>
      </c>
      <c r="AH522" s="3" t="n">
        <v>46321.77847222222</v>
      </c>
      <c r="AI522" s="3" t="n">
        <v>46321.78055555555</v>
      </c>
      <c r="AJ522" s="2" t="inlineStr"/>
    </row>
    <row r="523">
      <c r="A523" s="2" t="n">
        <v>522</v>
      </c>
      <c r="B523" s="2" t="inlineStr">
        <is>
          <t>480C</t>
        </is>
      </c>
      <c r="C523" s="3" t="n">
        <v>45966.39791666667</v>
      </c>
      <c r="D523" s="2" t="inlineStr">
        <is>
          <t>Original</t>
        </is>
      </c>
      <c r="E523" s="2" t="inlineStr">
        <is>
          <t>CH</t>
        </is>
      </c>
      <c r="F52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23" s="2" t="inlineStr">
        <is>
          <t>Art. 28.º-A (aditamento)</t>
        </is>
      </c>
      <c r="H523" s="2" t="n"/>
      <c r="I523" s="2" t="n"/>
      <c r="J523" s="2" t="n"/>
      <c r="K523" s="2" t="n"/>
      <c r="L523" s="2" t="inlineStr">
        <is>
          <t>Artigo 28.º-A (Abono de Representação para a Carreira Diplomática)</t>
        </is>
      </c>
      <c r="M523" s="4" t="n"/>
      <c r="N523" s="4" t="n"/>
      <c r="O523" s="2" t="n"/>
      <c r="P523" s="2" t="n"/>
      <c r="Q523" s="2" t="n"/>
      <c r="R523" s="2" t="n"/>
      <c r="S523" s="2" t="inlineStr">
        <is>
          <t>Rejeitado(a) em Comissão</t>
        </is>
      </c>
      <c r="T523" s="2" t="inlineStr">
        <is>
          <t>Rejeitada</t>
        </is>
      </c>
      <c r="U523" s="2" t="inlineStr">
        <is>
          <t>Favor: CH, BE, PAN; Contra: PSD, CDS-PP; Abstenção: PS, IL, L, PCP</t>
        </is>
      </c>
      <c r="V523" s="3" t="n">
        <v>45981</v>
      </c>
      <c r="W523" s="2" t="inlineStr">
        <is>
          <t>AR: https://www.parlamento.pt/OrcamentoEstado/Paginas/DetalhePropostaAlteracao.aspx?BID=23694 PDF: https://app.parlamento.pt/webutils/docs/doc.pdf?path=6148523063484d364c793942556b356c6443397a6158526c63793959566b6c4a544556484c3039464c7a49774d6a59794d4449314d5441774f533951515339685a4751315a5449794e4330334d3252684c54526c597a4d74596a4d34596931684e6a45314d7a4d354d475269597a63756347526d&amp;Fich=add5e224-73da-4ec3-b38b-a6153390dbc7.pdf&amp;Inline=true</t>
        </is>
      </c>
      <c r="X523" s="2" t="inlineStr">
        <is>
          <t>Negócios Estrangeiros e Comunidades Portuguesas</t>
        </is>
      </c>
      <c r="Y523" s="2" t="inlineStr">
        <is>
          <t>Articulado</t>
        </is>
      </c>
      <c r="Z523" s="2" t="inlineStr">
        <is>
          <t>Aditamento (Artigo PPL)</t>
        </is>
      </c>
      <c r="AA523" s="2" t="inlineStr">
        <is>
          <t>Rejeitado(a) em Comissão</t>
        </is>
      </c>
      <c r="AB523" s="2" t="inlineStr"/>
      <c r="AC523" s="2" t="inlineStr"/>
      <c r="AD523" s="2" t="inlineStr">
        <is>
          <t>1</t>
        </is>
      </c>
      <c r="AE523" s="2" t="inlineStr">
        <is>
          <t>23694</t>
        </is>
      </c>
      <c r="AF523" s="2" t="inlineStr">
        <is>
          <t>https://www.parlamento.pt/OrcamentoEstado/Paginas/DetalhePropostaAlteracao.aspx?BID=23694</t>
        </is>
      </c>
      <c r="AG523" s="2" t="inlineStr">
        <is>
          <t>https://app.parlamento.pt/webutils/docs/doc.pdf?path=6148523063484d364c793942556b356c6443397a6158526c63793959566b6c4a544556484c3039464c7a49774d6a59794d4449314d5441774f533951515339685a4751315a5449794e4330334d3252684c54526c597a4d74596a4d34596931684e6a45314d7a4d354d475269597a63756347526d&amp;Fich=add5e224-73da-4ec3-b38b-a6153390dbc7.pdf&amp;Inline=true</t>
        </is>
      </c>
      <c r="AH523" s="3" t="n">
        <v>46321.77847222222</v>
      </c>
      <c r="AI523" s="3" t="n">
        <v>46321.78055555555</v>
      </c>
      <c r="AJ523" s="2" t="inlineStr"/>
    </row>
    <row r="524">
      <c r="A524" s="2" t="n">
        <v>523</v>
      </c>
      <c r="B524" s="2" t="inlineStr">
        <is>
          <t>481C</t>
        </is>
      </c>
      <c r="C524" s="3" t="n">
        <v>45966.4</v>
      </c>
      <c r="D524" s="2" t="inlineStr">
        <is>
          <t>Original</t>
        </is>
      </c>
      <c r="E524" s="2" t="inlineStr">
        <is>
          <t>CH</t>
        </is>
      </c>
      <c r="F52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24" s="2" t="inlineStr">
        <is>
          <t>Art. 28.º-A (aditamento)</t>
        </is>
      </c>
      <c r="H524" s="2" t="n"/>
      <c r="I524" s="2" t="n"/>
      <c r="J524" s="2" t="n"/>
      <c r="K524" s="2" t="n"/>
      <c r="L524" s="2" t="inlineStr">
        <is>
          <t>Artigo 28.º-A (Atribuição de subsídio de fixação às carreiras especiais da Polícia Judiciária)</t>
        </is>
      </c>
      <c r="M524" s="4" t="n"/>
      <c r="N524" s="4" t="n"/>
      <c r="O524" s="2" t="n"/>
      <c r="P524" s="2" t="n"/>
      <c r="Q524" s="2" t="n"/>
      <c r="R524" s="2" t="n"/>
      <c r="S524" s="2" t="inlineStr">
        <is>
          <t>Rejeitado(a) em Comissão</t>
        </is>
      </c>
      <c r="T524" s="2" t="inlineStr">
        <is>
          <t>Rejeitada</t>
        </is>
      </c>
      <c r="U524" s="2" t="inlineStr">
        <is>
          <t>Favor: CH, BE, PAN; Contra: PSD, IL, CDS-PP; Abstenção: PS, L, PCP</t>
        </is>
      </c>
      <c r="V524" s="3" t="n">
        <v>45981</v>
      </c>
      <c r="W524" s="2" t="inlineStr">
        <is>
          <t>AR: https://www.parlamento.pt/OrcamentoEstado/Paginas/DetalhePropostaAlteracao.aspx?BID=23695 PDF: https://app.parlamento.pt/webutils/docs/doc.pdf?path=6148523063484d364c793942556b356c6443397a6158526c63793959566b6c4a544556484c3039464c7a49774d6a59794d4449314d5441774f53395151533835597a63784e6a51325953307a4d6a63784c54526c595755744f4456695a43316959574a694d6a466c597a566a4f4745756347526d&amp;Fich=9c71646a-3271-4eae-85bd-babb21ec5c8a.pdf&amp;Inline=true</t>
        </is>
      </c>
      <c r="X524" s="2" t="inlineStr">
        <is>
          <t>Assuntos Constitucionais, Direitos, Liberdades e Garantias</t>
        </is>
      </c>
      <c r="Y524" s="2" t="inlineStr">
        <is>
          <t>Articulado</t>
        </is>
      </c>
      <c r="Z524" s="2" t="inlineStr">
        <is>
          <t>Aditamento (Artigo PPL)</t>
        </is>
      </c>
      <c r="AA524" s="2" t="inlineStr">
        <is>
          <t>Rejeitado(a) em Comissão</t>
        </is>
      </c>
      <c r="AB524" s="2" t="inlineStr"/>
      <c r="AC524" s="2" t="inlineStr"/>
      <c r="AD524" s="2" t="inlineStr">
        <is>
          <t>1</t>
        </is>
      </c>
      <c r="AE524" s="2" t="inlineStr">
        <is>
          <t>23695</t>
        </is>
      </c>
      <c r="AF524" s="2" t="inlineStr">
        <is>
          <t>https://www.parlamento.pt/OrcamentoEstado/Paginas/DetalhePropostaAlteracao.aspx?BID=23695</t>
        </is>
      </c>
      <c r="AG524" s="2" t="inlineStr">
        <is>
          <t>https://app.parlamento.pt/webutils/docs/doc.pdf?path=6148523063484d364c793942556b356c6443397a6158526c63793959566b6c4a544556484c3039464c7a49774d6a59794d4449314d5441774f53395151533835597a63784e6a51325953307a4d6a63784c54526c595755744f4456695a43316959574a694d6a466c597a566a4f4745756347526d&amp;Fich=9c71646a-3271-4eae-85bd-babb21ec5c8a.pdf&amp;Inline=true</t>
        </is>
      </c>
      <c r="AH524" s="3" t="n">
        <v>46321.77847222222</v>
      </c>
      <c r="AI524" s="3" t="n">
        <v>46321.78055555555</v>
      </c>
      <c r="AJ524" s="2" t="inlineStr"/>
    </row>
    <row r="525">
      <c r="A525" s="2" t="n">
        <v>524</v>
      </c>
      <c r="B525" s="2" t="inlineStr">
        <is>
          <t>482C</t>
        </is>
      </c>
      <c r="C525" s="3" t="n">
        <v>45966.40416666667</v>
      </c>
      <c r="D525" s="2" t="inlineStr">
        <is>
          <t>Original</t>
        </is>
      </c>
      <c r="E525" s="2" t="inlineStr">
        <is>
          <t>CH</t>
        </is>
      </c>
      <c r="F52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25" s="2" t="inlineStr">
        <is>
          <t>Art. 43.º-A (aditamento)</t>
        </is>
      </c>
      <c r="H525" s="2" t="n"/>
      <c r="I525" s="2" t="n"/>
      <c r="J525" s="2" t="n"/>
      <c r="K525" s="2" t="n"/>
      <c r="L525" s="2" t="inlineStr">
        <is>
          <t>Artigo 43.º-A (Parcerias de formação e empregabilidade)</t>
        </is>
      </c>
      <c r="M525" s="4" t="n"/>
      <c r="N525" s="4" t="n"/>
      <c r="O525" s="2" t="n"/>
      <c r="P525" s="2" t="n"/>
      <c r="Q525" s="2" t="n"/>
      <c r="R525" s="2" t="n"/>
      <c r="S525" s="2" t="inlineStr">
        <is>
          <t>Rejeitado(a) em Comissão</t>
        </is>
      </c>
      <c r="T525" s="2" t="inlineStr">
        <is>
          <t>Rejeitada</t>
        </is>
      </c>
      <c r="U525" s="2" t="inlineStr">
        <is>
          <t>Favor: CH, IL; Contra: PSD, PS, L, PCP, CDS-PP, BE; Abstenção: PAN</t>
        </is>
      </c>
      <c r="V525" s="3" t="n">
        <v>45981</v>
      </c>
      <c r="W525" s="2" t="inlineStr">
        <is>
          <t>AR: https://www.parlamento.pt/OrcamentoEstado/Paginas/DetalhePropostaAlteracao.aspx?BID=23696 PDF: https://app.parlamento.pt/webutils/docs/doc.pdf?path=6148523063484d364c793942556b356c6443397a6158526c63793959566b6c4a544556484c3039464c7a49774d6a59794d4449314d5441774f533951515338324d574e685a6a41774d69307a5a4751794c54526b5a4463744f5751775a4330775a6d49774d4751784d4459354e7a4d756347526d&amp;Fich=61caf002-3dd2-4dd7-9d0d-0fb00d106973.pdf&amp;Inline=true</t>
        </is>
      </c>
      <c r="X525" s="2" t="inlineStr">
        <is>
          <t>Trabalho, Segurança Social e Inclusão</t>
        </is>
      </c>
      <c r="Y525" s="2" t="inlineStr">
        <is>
          <t>Articulado</t>
        </is>
      </c>
      <c r="Z525" s="2" t="inlineStr">
        <is>
          <t>Aditamento (Artigo PPL)</t>
        </is>
      </c>
      <c r="AA525" s="2" t="inlineStr">
        <is>
          <t>Rejeitado(a) em Comissão</t>
        </is>
      </c>
      <c r="AB525" s="2" t="inlineStr"/>
      <c r="AC525" s="2" t="inlineStr"/>
      <c r="AD525" s="2" t="inlineStr">
        <is>
          <t>1</t>
        </is>
      </c>
      <c r="AE525" s="2" t="inlineStr">
        <is>
          <t>23696</t>
        </is>
      </c>
      <c r="AF525" s="2" t="inlineStr">
        <is>
          <t>https://www.parlamento.pt/OrcamentoEstado/Paginas/DetalhePropostaAlteracao.aspx?BID=23696</t>
        </is>
      </c>
      <c r="AG525" s="2" t="inlineStr">
        <is>
          <t>https://app.parlamento.pt/webutils/docs/doc.pdf?path=6148523063484d364c793942556b356c6443397a6158526c63793959566b6c4a544556484c3039464c7a49774d6a59794d4449314d5441774f533951515338324d574e685a6a41774d69307a5a4751794c54526b5a4463744f5751775a4330775a6d49774d4751784d4459354e7a4d756347526d&amp;Fich=61caf002-3dd2-4dd7-9d0d-0fb00d106973.pdf&amp;Inline=true</t>
        </is>
      </c>
      <c r="AH525" s="3" t="n">
        <v>46321.77847222222</v>
      </c>
      <c r="AI525" s="3" t="n">
        <v>46321.78055555555</v>
      </c>
      <c r="AJ525" s="2" t="inlineStr"/>
    </row>
    <row r="526">
      <c r="A526" s="2" t="n">
        <v>525</v>
      </c>
      <c r="B526" s="2" t="inlineStr">
        <is>
          <t>483C</t>
        </is>
      </c>
      <c r="C526" s="3" t="n">
        <v>45966.40833333333</v>
      </c>
      <c r="D526" s="2" t="inlineStr">
        <is>
          <t>Original</t>
        </is>
      </c>
      <c r="E526" s="2" t="inlineStr">
        <is>
          <t>CH</t>
        </is>
      </c>
      <c r="F52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26" s="2" t="inlineStr">
        <is>
          <t>Art. 43.º-A (aditamento)</t>
        </is>
      </c>
      <c r="H526" s="2" t="n"/>
      <c r="I526" s="2" t="n"/>
      <c r="J526" s="2" t="n"/>
      <c r="K526" s="2" t="n"/>
      <c r="L526" s="2" t="inlineStr">
        <is>
          <t>Artigo 43.º-A (Criação de um Centro Técnico de formação profissional qualificado em Mira (embrião de uma futura Escola Profissional) - Concelho de Mira)</t>
        </is>
      </c>
      <c r="M526" s="4" t="n"/>
      <c r="N526" s="4" t="n"/>
      <c r="O526" s="2" t="n"/>
      <c r="P526" s="2" t="n"/>
      <c r="Q526" s="2" t="n"/>
      <c r="R526" s="2" t="n"/>
      <c r="S526" s="2" t="inlineStr">
        <is>
          <t>Rejeitado(a) em Comissão</t>
        </is>
      </c>
      <c r="T526" s="2" t="inlineStr">
        <is>
          <t>Rejeitada</t>
        </is>
      </c>
      <c r="U526" s="2" t="inlineStr">
        <is>
          <t>Favor: CH, BE; Contra: PSD, PS, IL, CDS-PP; Abstenção: L, PCP, PAN</t>
        </is>
      </c>
      <c r="V526" s="3" t="n">
        <v>45981</v>
      </c>
      <c r="W526" s="2" t="inlineStr">
        <is>
          <t>AR: https://www.parlamento.pt/OrcamentoEstado/Paginas/DetalhePropostaAlteracao.aspx?BID=23697 PDF: https://app.parlamento.pt/webutils/docs/doc.pdf?path=6148523063484d364c793942556b356c6443397a6158526c63793959566b6c4a544556484c3039464c7a49774d6a59794d4449314d5441774f533951515338794f5756695957597a4d6930314e6d52694c54526d4d5751744f5449325a693077596a49774d57526a4e7a55785a4759756347526d&amp;Fich=29ebaf32-56db-4f1d-926f-0b201dc751df.pdf&amp;Inline=true</t>
        </is>
      </c>
      <c r="X526" s="2" t="inlineStr">
        <is>
          <t>Trabalho, Segurança Social e Inclusão</t>
        </is>
      </c>
      <c r="Y526" s="2" t="inlineStr">
        <is>
          <t>Articulado</t>
        </is>
      </c>
      <c r="Z526" s="2" t="inlineStr">
        <is>
          <t>Aditamento (Artigo PPL)</t>
        </is>
      </c>
      <c r="AA526" s="2" t="inlineStr">
        <is>
          <t>Rejeitado(a) em Comissão</t>
        </is>
      </c>
      <c r="AB526" s="2" t="inlineStr"/>
      <c r="AC526" s="2" t="inlineStr"/>
      <c r="AD526" s="2" t="inlineStr">
        <is>
          <t>1</t>
        </is>
      </c>
      <c r="AE526" s="2" t="inlineStr">
        <is>
          <t>23697</t>
        </is>
      </c>
      <c r="AF526" s="2" t="inlineStr">
        <is>
          <t>https://www.parlamento.pt/OrcamentoEstado/Paginas/DetalhePropostaAlteracao.aspx?BID=23697</t>
        </is>
      </c>
      <c r="AG526" s="2" t="inlineStr">
        <is>
          <t>https://app.parlamento.pt/webutils/docs/doc.pdf?path=6148523063484d364c793942556b356c6443397a6158526c63793959566b6c4a544556484c3039464c7a49774d6a59794d4449314d5441774f533951515338794f5756695957597a4d6930314e6d52694c54526d4d5751744f5449325a693077596a49774d57526a4e7a55785a4759756347526d&amp;Fich=29ebaf32-56db-4f1d-926f-0b201dc751df.pdf&amp;Inline=true</t>
        </is>
      </c>
      <c r="AH526" s="3" t="n">
        <v>46321.77847222222</v>
      </c>
      <c r="AI526" s="3" t="n">
        <v>46321.78055555555</v>
      </c>
      <c r="AJ526" s="2" t="inlineStr"/>
    </row>
    <row r="527">
      <c r="A527" s="2" t="n">
        <v>526</v>
      </c>
      <c r="B527" s="2" t="inlineStr">
        <is>
          <t>484C</t>
        </is>
      </c>
      <c r="C527" s="3" t="n">
        <v>45966.41319444445</v>
      </c>
      <c r="D527" s="2" t="inlineStr">
        <is>
          <t>Original</t>
        </is>
      </c>
      <c r="E527" s="2" t="inlineStr">
        <is>
          <t>CH</t>
        </is>
      </c>
      <c r="F52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27" s="2" t="inlineStr">
        <is>
          <t>Art. 44.º-A (aditamento)</t>
        </is>
      </c>
      <c r="H527" s="2" t="n"/>
      <c r="I527" s="2" t="n"/>
      <c r="J527" s="2" t="n"/>
      <c r="K527" s="2" t="n"/>
      <c r="L527" s="2" t="inlineStr">
        <is>
          <t>Artigo 44.º-A (Alteração à Lei n.º 110/2009, de 16 de setembro)</t>
        </is>
      </c>
      <c r="M527" s="4" t="n"/>
      <c r="N527" s="4" t="n"/>
      <c r="O527" s="2" t="n"/>
      <c r="P527" s="2" t="n"/>
      <c r="Q527" s="2" t="n"/>
      <c r="R527" s="2" t="n"/>
      <c r="S527" s="2" t="inlineStr">
        <is>
          <t>Rejeitado(a) em Comissão</t>
        </is>
      </c>
      <c r="T527" s="2" t="inlineStr">
        <is>
          <t>Rejeitada</t>
        </is>
      </c>
      <c r="U527" s="2" t="inlineStr">
        <is>
          <t>Favor: CH, PAN; Contra: PSD, PS, CDS-PP, BE; Abstenção: IL, L, PCP</t>
        </is>
      </c>
      <c r="V527" s="3" t="n">
        <v>45981</v>
      </c>
      <c r="W527" s="2" t="inlineStr">
        <is>
          <t>AR: https://www.parlamento.pt/OrcamentoEstado/Paginas/DetalhePropostaAlteracao.aspx?BID=23698 PDF: https://app.parlamento.pt/webutils/docs/doc.pdf?path=6148523063484d364c793942556b356c6443397a6158526c63793959566b6c4a544556484c3039464c7a49774d6a59794d4449314d5441774f533951515338354e6a6b334f444d304d5330774e5755304c545133596d5574596a67784e53316b4e5455325a6a4933596a426d4e4755756347526d&amp;Fich=96978341-05e4-47be-b815-d556f27b0f4e.pdf&amp;Inline=true</t>
        </is>
      </c>
      <c r="X527" s="2" t="inlineStr">
        <is>
          <t>Trabalho, Segurança Social e Inclusão</t>
        </is>
      </c>
      <c r="Y527" s="2" t="inlineStr">
        <is>
          <t>Articulado</t>
        </is>
      </c>
      <c r="Z527" s="2" t="inlineStr">
        <is>
          <t>Aditamento (Artigo PPL)</t>
        </is>
      </c>
      <c r="AA527" s="2" t="inlineStr">
        <is>
          <t>Rejeitado(a) em Comissão</t>
        </is>
      </c>
      <c r="AB527" s="2" t="inlineStr"/>
      <c r="AC527" s="2" t="inlineStr"/>
      <c r="AD527" s="2" t="inlineStr">
        <is>
          <t>1</t>
        </is>
      </c>
      <c r="AE527" s="2" t="inlineStr">
        <is>
          <t>23698</t>
        </is>
      </c>
      <c r="AF527" s="2" t="inlineStr">
        <is>
          <t>https://www.parlamento.pt/OrcamentoEstado/Paginas/DetalhePropostaAlteracao.aspx?BID=23698</t>
        </is>
      </c>
      <c r="AG527" s="2" t="inlineStr">
        <is>
          <t>https://app.parlamento.pt/webutils/docs/doc.pdf?path=6148523063484d364c793942556b356c6443397a6158526c63793959566b6c4a544556484c3039464c7a49774d6a59794d4449314d5441774f533951515338354e6a6b334f444d304d5330774e5755304c545133596d5574596a67784e53316b4e5455325a6a4933596a426d4e4755756347526d&amp;Fich=96978341-05e4-47be-b815-d556f27b0f4e.pdf&amp;Inline=true</t>
        </is>
      </c>
      <c r="AH527" s="3" t="n">
        <v>46321.77847222222</v>
      </c>
      <c r="AI527" s="3" t="n">
        <v>46321.78055555555</v>
      </c>
      <c r="AJ527" s="2" t="inlineStr"/>
    </row>
    <row r="528">
      <c r="A528" s="2" t="n">
        <v>527</v>
      </c>
      <c r="B528" s="2" t="inlineStr">
        <is>
          <t>485C</t>
        </is>
      </c>
      <c r="C528" s="3" t="n">
        <v>45966.42013888889</v>
      </c>
      <c r="D528" s="2" t="inlineStr">
        <is>
          <t>Original</t>
        </is>
      </c>
      <c r="E528" s="2" t="inlineStr">
        <is>
          <t>CH</t>
        </is>
      </c>
      <c r="F52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28" s="2" t="inlineStr">
        <is>
          <t>Art. 46.º-A (aditamento)</t>
        </is>
      </c>
      <c r="H528" s="2" t="n"/>
      <c r="I528" s="2" t="n"/>
      <c r="J528" s="2" t="n"/>
      <c r="K528" s="2" t="n"/>
      <c r="L528" s="2" t="inlineStr">
        <is>
          <t>Artigo 46.º-A (Alteração ao Decreto-Lei n.º 18/2023, de 3 de março)</t>
        </is>
      </c>
      <c r="M528" s="4" t="n"/>
      <c r="N528" s="4" t="n"/>
      <c r="O528" s="2" t="n"/>
      <c r="P528" s="2" t="n"/>
      <c r="Q528" s="2" t="n"/>
      <c r="R528" s="2" t="n"/>
      <c r="S528" s="2" t="inlineStr">
        <is>
          <t>Rejeitado(a) em Comissão</t>
        </is>
      </c>
      <c r="T528" s="2" t="inlineStr">
        <is>
          <t>Rejeitada</t>
        </is>
      </c>
      <c r="U528" s="2" t="inlineStr">
        <is>
          <t>Favor: CH, PAN; Contra: PSD, IL, CDS-PP; Abstenção: PS, L, PCP, BE</t>
        </is>
      </c>
      <c r="V528" s="3" t="n">
        <v>45981</v>
      </c>
      <c r="W528" s="2" t="inlineStr">
        <is>
          <t>AR: https://www.parlamento.pt/OrcamentoEstado/Paginas/DetalhePropostaAlteracao.aspx?BID=23699 PDF: https://app.parlamento.pt/webutils/docs/doc.pdf?path=6148523063484d364c793942556b356c6443397a6158526c63793959566b6c4a544556484c3039464c7a49774d6a59794d4449314d5441774f5339515153396c4d3256694f4441794d4330354f574e694c54526b5a544d74596d4a6d4e6931694e6a4a694e32466a596a68685a546b756347526d&amp;Fich=e3eb8020-99cb-4de3-bbf6-b62b7acb8ae9.pdf&amp;Inline=true</t>
        </is>
      </c>
      <c r="X528" s="2" t="inlineStr">
        <is>
          <t>Trabalho, Segurança Social e Inclusão</t>
        </is>
      </c>
      <c r="Y528" s="2" t="inlineStr">
        <is>
          <t>Articulado</t>
        </is>
      </c>
      <c r="Z528" s="2" t="inlineStr">
        <is>
          <t>Aditamento (Artigo PPL)</t>
        </is>
      </c>
      <c r="AA528" s="2" t="inlineStr">
        <is>
          <t>Rejeitado(a) em Comissão</t>
        </is>
      </c>
      <c r="AB528" s="2" t="inlineStr"/>
      <c r="AC528" s="2" t="inlineStr"/>
      <c r="AD528" s="2" t="inlineStr">
        <is>
          <t>1</t>
        </is>
      </c>
      <c r="AE528" s="2" t="inlineStr">
        <is>
          <t>23699</t>
        </is>
      </c>
      <c r="AF528" s="2" t="inlineStr">
        <is>
          <t>https://www.parlamento.pt/OrcamentoEstado/Paginas/DetalhePropostaAlteracao.aspx?BID=23699</t>
        </is>
      </c>
      <c r="AG528" s="2" t="inlineStr">
        <is>
          <t>https://app.parlamento.pt/webutils/docs/doc.pdf?path=6148523063484d364c793942556b356c6443397a6158526c63793959566b6c4a544556484c3039464c7a49774d6a59794d4449314d5441774f5339515153396c4d3256694f4441794d4330354f574e694c54526b5a544d74596d4a6d4e6931694e6a4a694e32466a596a68685a546b756347526d&amp;Fich=e3eb8020-99cb-4de3-bbf6-b62b7acb8ae9.pdf&amp;Inline=true</t>
        </is>
      </c>
      <c r="AH528" s="3" t="n">
        <v>46321.77847222222</v>
      </c>
      <c r="AI528" s="3" t="n">
        <v>46321.78055555555</v>
      </c>
      <c r="AJ528" s="2" t="inlineStr"/>
    </row>
    <row r="529">
      <c r="A529" s="2" t="n">
        <v>528</v>
      </c>
      <c r="B529" s="2" t="inlineStr">
        <is>
          <t>486C</t>
        </is>
      </c>
      <c r="C529" s="3" t="n">
        <v>45966.42152777778</v>
      </c>
      <c r="D529" s="2" t="inlineStr">
        <is>
          <t>Original</t>
        </is>
      </c>
      <c r="E529" s="2" t="inlineStr">
        <is>
          <t>CH</t>
        </is>
      </c>
      <c r="F52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29" s="2" t="inlineStr">
        <is>
          <t>Art. 46.º-A (aditamento)</t>
        </is>
      </c>
      <c r="H529" s="2" t="n"/>
      <c r="I529" s="2" t="n"/>
      <c r="J529" s="2" t="n"/>
      <c r="K529" s="2" t="n"/>
      <c r="L529" s="2" t="inlineStr">
        <is>
          <t>Artigo 46.º-A (Alteração ao Decreto-Lei n.º 91/2009, de 9 de Abril)</t>
        </is>
      </c>
      <c r="M529" s="4" t="n"/>
      <c r="N529" s="4" t="n"/>
      <c r="O529" s="2" t="n"/>
      <c r="P529" s="2" t="n"/>
      <c r="Q529" s="2" t="n"/>
      <c r="R529" s="2" t="n"/>
      <c r="S529" s="2" t="inlineStr">
        <is>
          <t>Aprovado(a) Parcialmente em Comissão</t>
        </is>
      </c>
      <c r="T529" s="2" t="inlineStr">
        <is>
          <t>Aprovada parcialmente</t>
        </is>
      </c>
      <c r="U529" s="2" t="inlineStr">
        <is>
          <t>Favor: PSD, CH, IL, CDS-PP, BE, PAN; Abstenção: PS, L, PCP</t>
        </is>
      </c>
      <c r="V529" s="3" t="n">
        <v>45981</v>
      </c>
      <c r="W529" s="2" t="inlineStr">
        <is>
          <t>AR: https://www.parlamento.pt/OrcamentoEstado/Paginas/DetalhePropostaAlteracao.aspx?BID=23700 PDF: https://app.parlamento.pt/webutils/docs/doc.pdf?path=6148523063484d364c793942556b356c6443397a6158526c63793959566b6c4a544556484c3039464c7a49774d6a59794d4449314d5441774f533951515339694e324d31596a59315a693031597a45344c5451774e325174595755785969316a4e4441355932566b4e6a64695a5445756347526d&amp;Fich=b7c5b65f-5c18-407d-ae1b-c409ced67be1.pdf&amp;Inline=true</t>
        </is>
      </c>
      <c r="X529" s="2" t="inlineStr">
        <is>
          <t>Trabalho, Segurança Social e Inclusão</t>
        </is>
      </c>
      <c r="Y529" s="2" t="inlineStr">
        <is>
          <t>Articulado</t>
        </is>
      </c>
      <c r="Z529" s="2" t="inlineStr">
        <is>
          <t>Aditamento (Artigo PPL)</t>
        </is>
      </c>
      <c r="AA529" s="2" t="inlineStr">
        <is>
          <t>Aprovado(a) Parcialmente em Comissão</t>
        </is>
      </c>
      <c r="AB529" s="2" t="inlineStr"/>
      <c r="AC529" s="2" t="inlineStr"/>
      <c r="AD529" s="2" t="inlineStr">
        <is>
          <t>1</t>
        </is>
      </c>
      <c r="AE529" s="2" t="inlineStr">
        <is>
          <t>23700</t>
        </is>
      </c>
      <c r="AF529" s="2" t="inlineStr">
        <is>
          <t>https://www.parlamento.pt/OrcamentoEstado/Paginas/DetalhePropostaAlteracao.aspx?BID=23700</t>
        </is>
      </c>
      <c r="AG529" s="2" t="inlineStr">
        <is>
          <t>https://app.parlamento.pt/webutils/docs/doc.pdf?path=6148523063484d364c793942556b356c6443397a6158526c63793959566b6c4a544556484c3039464c7a49774d6a59794d4449314d5441774f533951515339694e324d31596a59315a693031597a45344c5451774e325174595755785969316a4e4441355932566b4e6a64695a5445756347526d&amp;Fich=b7c5b65f-5c18-407d-ae1b-c409ced67be1.pdf&amp;Inline=true</t>
        </is>
      </c>
      <c r="AH529" s="3" t="n">
        <v>46321.77847222222</v>
      </c>
      <c r="AI529" s="3" t="n">
        <v>46321.78055555555</v>
      </c>
      <c r="AJ529" s="2" t="inlineStr"/>
    </row>
    <row r="530">
      <c r="A530" s="2" t="n">
        <v>529</v>
      </c>
      <c r="B530" s="2" t="inlineStr">
        <is>
          <t>487C</t>
        </is>
      </c>
      <c r="C530" s="3" t="n">
        <v>45966.42569444444</v>
      </c>
      <c r="D530" s="2" t="inlineStr">
        <is>
          <t>Original</t>
        </is>
      </c>
      <c r="E530" s="2" t="inlineStr">
        <is>
          <t>CH</t>
        </is>
      </c>
      <c r="F53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30" s="2" t="inlineStr">
        <is>
          <t>Art. 46.º-A (aditamento)</t>
        </is>
      </c>
      <c r="H530" s="2" t="n"/>
      <c r="I530" s="2" t="n"/>
      <c r="J530" s="2" t="n"/>
      <c r="K530" s="2" t="n"/>
      <c r="L530" s="2" t="inlineStr">
        <is>
          <t>Artigo 46.º-A (Alteração à Lei n.º 100/2019, de 6 de setembro)</t>
        </is>
      </c>
      <c r="M530" s="4" t="n"/>
      <c r="N530" s="4" t="n"/>
      <c r="O530" s="2" t="n"/>
      <c r="P530" s="2" t="n"/>
      <c r="Q530" s="2" t="n"/>
      <c r="R530" s="2" t="n"/>
      <c r="S530" s="2" t="inlineStr">
        <is>
          <t>Rejeitado(a) em Comissão</t>
        </is>
      </c>
      <c r="T530" s="2" t="inlineStr">
        <is>
          <t>Rejeitada</t>
        </is>
      </c>
      <c r="U530" s="2" t="inlineStr">
        <is>
          <t>Favor: CH; Contra: PSD, IL, L, PCP, CDS-PP; Abstenção: PS, BE, PAN</t>
        </is>
      </c>
      <c r="V530" s="3" t="n">
        <v>45981</v>
      </c>
      <c r="W530" s="2" t="inlineStr">
        <is>
          <t>AR: https://www.parlamento.pt/OrcamentoEstado/Paginas/DetalhePropostaAlteracao.aspx?BID=23701 PDF: https://app.parlamento.pt/webutils/docs/doc.pdf?path=6148523063484d364c793942556b356c6443397a6158526c63793959566b6c4a544556484c3039464c7a49774d6a59794d4449314d5441774f5339515153387959574e6c4e4467304d53316c4d7a56694c5451334e4459744f544530595330314e7a55334d7a5135597a55325a474d756347526d&amp;Fich=2ace4841-e35b-4746-914a-5757349c56dc.pdf&amp;Inline=true</t>
        </is>
      </c>
      <c r="X530" s="2" t="inlineStr">
        <is>
          <t>Trabalho, Segurança Social e Inclusão</t>
        </is>
      </c>
      <c r="Y530" s="2" t="inlineStr">
        <is>
          <t>Articulado</t>
        </is>
      </c>
      <c r="Z530" s="2" t="inlineStr">
        <is>
          <t>Aditamento (Artigo PPL)</t>
        </is>
      </c>
      <c r="AA530" s="2" t="inlineStr">
        <is>
          <t>Rejeitado(a) em Comissão</t>
        </is>
      </c>
      <c r="AB530" s="2" t="inlineStr"/>
      <c r="AC530" s="2" t="inlineStr"/>
      <c r="AD530" s="2" t="inlineStr">
        <is>
          <t>1</t>
        </is>
      </c>
      <c r="AE530" s="2" t="inlineStr">
        <is>
          <t>23701</t>
        </is>
      </c>
      <c r="AF530" s="2" t="inlineStr">
        <is>
          <t>https://www.parlamento.pt/OrcamentoEstado/Paginas/DetalhePropostaAlteracao.aspx?BID=23701</t>
        </is>
      </c>
      <c r="AG530" s="2" t="inlineStr">
        <is>
          <t>https://app.parlamento.pt/webutils/docs/doc.pdf?path=6148523063484d364c793942556b356c6443397a6158526c63793959566b6c4a544556484c3039464c7a49774d6a59794d4449314d5441774f5339515153387959574e6c4e4467304d53316c4d7a56694c5451334e4459744f544530595330314e7a55334d7a5135597a55325a474d756347526d&amp;Fich=2ace4841-e35b-4746-914a-5757349c56dc.pdf&amp;Inline=true</t>
        </is>
      </c>
      <c r="AH530" s="3" t="n">
        <v>46321.77847222222</v>
      </c>
      <c r="AI530" s="3" t="n">
        <v>46321.78055555555</v>
      </c>
      <c r="AJ530" s="2" t="inlineStr"/>
    </row>
    <row r="531">
      <c r="A531" s="2" t="n">
        <v>530</v>
      </c>
      <c r="B531" s="2" t="inlineStr">
        <is>
          <t>488C</t>
        </is>
      </c>
      <c r="C531" s="3" t="n">
        <v>45966.42638888889</v>
      </c>
      <c r="D531" s="2" t="inlineStr">
        <is>
          <t>Original</t>
        </is>
      </c>
      <c r="E531" s="2" t="inlineStr">
        <is>
          <t>CH</t>
        </is>
      </c>
      <c r="F53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31" s="2" t="inlineStr">
        <is>
          <t>Art. 63.º (aditamento)</t>
        </is>
      </c>
      <c r="H531" s="2" t="n"/>
      <c r="I531" s="2" t="n"/>
      <c r="J531" s="2" t="n"/>
      <c r="K531" s="2" t="n"/>
      <c r="L531" s="2" t="inlineStr">
        <is>
          <t>Verba 1.6.6, Lista I anexa ao Código do IVA</t>
        </is>
      </c>
      <c r="M531" s="4" t="n"/>
      <c r="N531" s="4" t="n"/>
      <c r="O531" s="2" t="n"/>
      <c r="P531" s="2" t="n"/>
      <c r="Q531" s="2" t="n"/>
      <c r="R531" s="2" t="n"/>
      <c r="S531" s="2" t="inlineStr">
        <is>
          <t>Rejeitado(a) em Comissão</t>
        </is>
      </c>
      <c r="T531" s="2" t="inlineStr">
        <is>
          <t>Rejeitada</t>
        </is>
      </c>
      <c r="U531" s="2" t="inlineStr">
        <is>
          <t>Favor: CH, IL, BE, PAN; Contra: PSD, CDS-PP; Abstenção: PS, L, PCP</t>
        </is>
      </c>
      <c r="V531" s="3" t="n">
        <v>45982</v>
      </c>
      <c r="W531" s="2" t="inlineStr">
        <is>
          <t>AR: https://www.parlamento.pt/OrcamentoEstado/Paginas/DetalhePropostaAlteracao.aspx?BID=23702 PDF: https://app.parlamento.pt/webutils/docs/doc.pdf?path=6148523063484d364c793942556b356c6443397a6158526c63793959566b6c4a544556484c3039464c7a49774d6a59794d4449314d5441774f5339515153396c4f57566d5a6a5a6859693169595445784c5452695a545974596a6c6d4d7931694e7a55335a6a41314d44426a596d59756347526d&amp;Fich=e9eff6ab-ba11-4be6-b9f3-b757f0500cbf.pdf&amp;Inline=true</t>
        </is>
      </c>
      <c r="X531" s="2" t="inlineStr">
        <is>
          <t>Orçamento, Finanças e Administração Pública</t>
        </is>
      </c>
      <c r="Y531" s="2" t="inlineStr">
        <is>
          <t>Articulado</t>
        </is>
      </c>
      <c r="Z531" s="2" t="inlineStr">
        <is>
          <t>Aditamento (Números e Alíneas)</t>
        </is>
      </c>
      <c r="AA531" s="2" t="inlineStr">
        <is>
          <t>Rejeitado(a) em Comissão</t>
        </is>
      </c>
      <c r="AB531" s="2" t="inlineStr"/>
      <c r="AC531" s="2" t="inlineStr"/>
      <c r="AD531" s="2" t="inlineStr">
        <is>
          <t>1</t>
        </is>
      </c>
      <c r="AE531" s="2" t="inlineStr">
        <is>
          <t>23702</t>
        </is>
      </c>
      <c r="AF531" s="2" t="inlineStr">
        <is>
          <t>https://www.parlamento.pt/OrcamentoEstado/Paginas/DetalhePropostaAlteracao.aspx?BID=23702</t>
        </is>
      </c>
      <c r="AG531" s="2" t="inlineStr">
        <is>
          <t>https://app.parlamento.pt/webutils/docs/doc.pdf?path=6148523063484d364c793942556b356c6443397a6158526c63793959566b6c4a544556484c3039464c7a49774d6a59794d4449314d5441774f5339515153396c4f57566d5a6a5a6859693169595445784c5452695a545974596a6c6d4d7931694e7a55335a6a41314d44426a596d59756347526d&amp;Fich=e9eff6ab-ba11-4be6-b9f3-b757f0500cbf.pdf&amp;Inline=true</t>
        </is>
      </c>
      <c r="AH531" s="3" t="n">
        <v>46321.77847222222</v>
      </c>
      <c r="AI531" s="3" t="n">
        <v>46321.78055555555</v>
      </c>
      <c r="AJ531" s="2" t="inlineStr"/>
    </row>
    <row r="532">
      <c r="A532" s="2" t="n">
        <v>531</v>
      </c>
      <c r="B532" s="2" t="inlineStr">
        <is>
          <t>489C</t>
        </is>
      </c>
      <c r="C532" s="3" t="n">
        <v>45966.42777777778</v>
      </c>
      <c r="D532" s="2" t="inlineStr">
        <is>
          <t>Original</t>
        </is>
      </c>
      <c r="E532" s="2" t="inlineStr">
        <is>
          <t>CH</t>
        </is>
      </c>
      <c r="F53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32" s="2" t="inlineStr">
        <is>
          <t>Art. 63.º (substituição)</t>
        </is>
      </c>
      <c r="H532" s="2" t="n"/>
      <c r="I532" s="2" t="n"/>
      <c r="J532" s="2" t="n"/>
      <c r="K532" s="2" t="n"/>
      <c r="L532" s="2" t="inlineStr">
        <is>
          <t>Verba 3.1, Lista II anexa ao Código do IVA</t>
        </is>
      </c>
      <c r="M532" s="4" t="n"/>
      <c r="N532" s="4" t="n"/>
      <c r="O532" s="2" t="n"/>
      <c r="P532" s="2" t="n"/>
      <c r="Q532" s="2" t="n"/>
      <c r="R532" s="2" t="n"/>
      <c r="S532" s="2" t="inlineStr">
        <is>
          <t>Rejeitado(a) em Plenário</t>
        </is>
      </c>
      <c r="T532" s="2" t="inlineStr">
        <is>
          <t>Rejeitada</t>
        </is>
      </c>
      <c r="U532" s="2" t="inlineStr">
        <is>
          <t>Favor: CH, IL, BE; Contra: PSD, L, CDS-PP; Abstenção: PS, PCP, PAN, JPP</t>
        </is>
      </c>
      <c r="V532" s="3" t="n">
        <v>45985</v>
      </c>
      <c r="W532" s="2" t="inlineStr">
        <is>
          <t>Avocada a Plenário. AR: https://www.parlamento.pt/OrcamentoEstado/Paginas/DetalhePropostaAlteracao.aspx?BID=23703 PDF: https://app.parlamento.pt/webutils/docs/doc.pdf?path=6148523063484d364c793942556b356c6443397a6158526c63793959566b6c4a544556484c3039464c7a49774d6a59794d4449314d5441774f5339515153396b597a41794f57466a596930784e7a646a4c54526b4d4749744f444d334f53316b4d7a566b4d7a6c684d6a63794f4451756347526d&amp;Fich=dc029acb-177c-4d0b-8379-d35d39a27284.pdf&amp;Inline=true</t>
        </is>
      </c>
      <c r="X532" s="2" t="inlineStr">
        <is>
          <t>Orçamento, Finanças e Administração Pública</t>
        </is>
      </c>
      <c r="Y532" s="2" t="inlineStr">
        <is>
          <t>Articulado</t>
        </is>
      </c>
      <c r="Z532" s="2" t="inlineStr">
        <is>
          <t>Substituição</t>
        </is>
      </c>
      <c r="AA532" s="2" t="inlineStr">
        <is>
          <t>Rejeitado(a) em Plenário</t>
        </is>
      </c>
      <c r="AB532" s="2" t="inlineStr">
        <is>
          <t>S</t>
        </is>
      </c>
      <c r="AC532" s="2" t="inlineStr"/>
      <c r="AD532" s="2" t="inlineStr">
        <is>
          <t>2</t>
        </is>
      </c>
      <c r="AE532" s="2" t="inlineStr">
        <is>
          <t>23703</t>
        </is>
      </c>
      <c r="AF532" s="2" t="inlineStr">
        <is>
          <t>https://www.parlamento.pt/OrcamentoEstado/Paginas/DetalhePropostaAlteracao.aspx?BID=23703</t>
        </is>
      </c>
      <c r="AG532" s="2" t="inlineStr">
        <is>
          <t>https://app.parlamento.pt/webutils/docs/doc.pdf?path=6148523063484d364c793942556b356c6443397a6158526c63793959566b6c4a544556484c3039464c7a49774d6a59794d4449314d5441774f5339515153396b597a41794f57466a596930784e7a646a4c54526b4d4749744f444d334f53316b4d7a566b4d7a6c684d6a63794f4451756347526d&amp;Fich=dc029acb-177c-4d0b-8379-d35d39a27284.pdf&amp;Inline=true</t>
        </is>
      </c>
      <c r="AH532" s="3" t="n">
        <v>46321.77847222222</v>
      </c>
      <c r="AI532" s="3" t="n">
        <v>46321.78055555555</v>
      </c>
      <c r="AJ532" s="2" t="inlineStr"/>
    </row>
    <row r="533">
      <c r="A533" s="2" t="n">
        <v>532</v>
      </c>
      <c r="B533" s="2" t="inlineStr">
        <is>
          <t>490C</t>
        </is>
      </c>
      <c r="C533" s="3" t="n">
        <v>45966.42986111111</v>
      </c>
      <c r="D533" s="2" t="inlineStr">
        <is>
          <t>Original</t>
        </is>
      </c>
      <c r="E533" s="2" t="inlineStr">
        <is>
          <t>CH</t>
        </is>
      </c>
      <c r="F53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33" s="2" t="inlineStr">
        <is>
          <t>Art. 63.º-A (aditamento)</t>
        </is>
      </c>
      <c r="H533" s="2" t="n"/>
      <c r="I533" s="2" t="n"/>
      <c r="J533" s="2" t="n"/>
      <c r="K533" s="2" t="n"/>
      <c r="L533" s="2" t="inlineStr">
        <is>
          <t>Artigo 63.º-A (Alteração ao Decreto-Lei n.º 84/2017, de 21 de julho)</t>
        </is>
      </c>
      <c r="M533" s="4" t="n"/>
      <c r="N533" s="4" t="n"/>
      <c r="O533" s="2" t="n"/>
      <c r="P533" s="2" t="n"/>
      <c r="Q533" s="2" t="n"/>
      <c r="R533" s="2" t="n"/>
      <c r="S533" s="2" t="inlineStr">
        <is>
          <t>Rejeitado(a) em Comissão</t>
        </is>
      </c>
      <c r="T533" s="2" t="inlineStr">
        <is>
          <t>Rejeitada</t>
        </is>
      </c>
      <c r="U533" s="2" t="inlineStr">
        <is>
          <t>Favor: CH, IL, BE, PAN; Contra: PSD, CDS-PP; Abstenção: PS, L, PCP</t>
        </is>
      </c>
      <c r="V533" s="3" t="n">
        <v>45982</v>
      </c>
      <c r="W533" s="2" t="inlineStr">
        <is>
          <t>AR: https://www.parlamento.pt/OrcamentoEstado/Paginas/DetalhePropostaAlteracao.aspx?BID=23704 PDF: https://app.parlamento.pt/webutils/docs/doc.pdf?path=6148523063484d364c793942556b356c6443397a6158526c63793959566b6c4a544556484c3039464c7a49774d6a59794d4449314d5441774f5339515153387a596a4e6a593255795a5330774e44426b4c5452684d6d55744f574a694d43316b4d5751334e6d466a4d446b79595445756347526d&amp;Fich=3b3cce2e-040d-4a2e-9bb0-d1d76ac092a1.pdf&amp;Inline=true</t>
        </is>
      </c>
      <c r="X533" s="2" t="inlineStr">
        <is>
          <t>Reforma do Estado e Poder Local</t>
        </is>
      </c>
      <c r="Y533" s="2" t="inlineStr">
        <is>
          <t>Articulado</t>
        </is>
      </c>
      <c r="Z533" s="2" t="inlineStr">
        <is>
          <t>Aditamento (Artigo PPL)</t>
        </is>
      </c>
      <c r="AA533" s="2" t="inlineStr">
        <is>
          <t>Rejeitado(a) em Comissão</t>
        </is>
      </c>
      <c r="AB533" s="2" t="inlineStr"/>
      <c r="AC533" s="2" t="inlineStr"/>
      <c r="AD533" s="2" t="inlineStr">
        <is>
          <t>1</t>
        </is>
      </c>
      <c r="AE533" s="2" t="inlineStr">
        <is>
          <t>23704</t>
        </is>
      </c>
      <c r="AF533" s="2" t="inlineStr">
        <is>
          <t>https://www.parlamento.pt/OrcamentoEstado/Paginas/DetalhePropostaAlteracao.aspx?BID=23704</t>
        </is>
      </c>
      <c r="AG533" s="2" t="inlineStr">
        <is>
          <t>https://app.parlamento.pt/webutils/docs/doc.pdf?path=6148523063484d364c793942556b356c6443397a6158526c63793959566b6c4a544556484c3039464c7a49774d6a59794d4449314d5441774f5339515153387a596a4e6a593255795a5330774e44426b4c5452684d6d55744f574a694d43316b4d5751334e6d466a4d446b79595445756347526d&amp;Fich=3b3cce2e-040d-4a2e-9bb0-d1d76ac092a1.pdf&amp;Inline=true</t>
        </is>
      </c>
      <c r="AH533" s="3" t="n">
        <v>46321.77847222222</v>
      </c>
      <c r="AI533" s="3" t="n">
        <v>46321.78055555555</v>
      </c>
      <c r="AJ533" s="2" t="inlineStr"/>
    </row>
    <row r="534">
      <c r="A534" s="2" t="n">
        <v>533</v>
      </c>
      <c r="B534" s="2" t="inlineStr">
        <is>
          <t>491C</t>
        </is>
      </c>
      <c r="C534" s="3" t="n">
        <v>45966.43125</v>
      </c>
      <c r="D534" s="2" t="inlineStr">
        <is>
          <t>Original</t>
        </is>
      </c>
      <c r="E534" s="2" t="inlineStr">
        <is>
          <t>CH</t>
        </is>
      </c>
      <c r="F53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34" s="2" t="inlineStr">
        <is>
          <t>Art. 83.º-A (aditamento)</t>
        </is>
      </c>
      <c r="H534" s="2" t="n"/>
      <c r="I534" s="2" t="n"/>
      <c r="J534" s="2" t="n"/>
      <c r="K534" s="2" t="n"/>
      <c r="L534" s="2" t="inlineStr">
        <is>
          <t>Artigo 83.º-A (Aplicação transitória e temporária de isenção de IVA a certos produtos alimentares)</t>
        </is>
      </c>
      <c r="M534" s="4" t="n"/>
      <c r="N534" s="4" t="n"/>
      <c r="O534" s="2" t="n"/>
      <c r="P534" s="2" t="n"/>
      <c r="Q534" s="2" t="n"/>
      <c r="R534" s="2" t="n"/>
      <c r="S534" s="2" t="inlineStr">
        <is>
          <t>Rejeitado(a) em Comissão</t>
        </is>
      </c>
      <c r="T534" s="2" t="inlineStr">
        <is>
          <t>Rejeitada</t>
        </is>
      </c>
      <c r="U534" s="2" t="inlineStr">
        <is>
          <t>Favor: CH, PAN; Contra: PSD, IL, PCP, CDS-PP; Abstenção: PS, L, BE</t>
        </is>
      </c>
      <c r="V534" s="3" t="n">
        <v>45982</v>
      </c>
      <c r="W534" s="2" t="inlineStr">
        <is>
          <t>AR: https://www.parlamento.pt/OrcamentoEstado/Paginas/DetalhePropostaAlteracao.aspx?BID=23705 PDF: https://app.parlamento.pt/webutils/docs/doc.pdf?path=6148523063484d364c793942556b356c6443397a6158526c63793959566b6c4a544556484c3039464c7a49774d6a59794d4449314d5441774f533951515338354d4755334d6d4d775a433168597a67344c54526a4e7a5174595459344d69307a597a6331596a646b4e7a51784e6d59756347526d&amp;Fich=90e72c0d-ac88-4c74-a682-3c75b7d7416f.pdf&amp;Inline=true</t>
        </is>
      </c>
      <c r="X534" s="2" t="inlineStr">
        <is>
          <t>Orçamento, Finanças e Administração Pública</t>
        </is>
      </c>
      <c r="Y534" s="2" t="inlineStr">
        <is>
          <t>Articulado</t>
        </is>
      </c>
      <c r="Z534" s="2" t="inlineStr">
        <is>
          <t>Aditamento (Artigo PPL)</t>
        </is>
      </c>
      <c r="AA534" s="2" t="inlineStr">
        <is>
          <t>Rejeitado(a) em Comissão</t>
        </is>
      </c>
      <c r="AB534" s="2" t="inlineStr"/>
      <c r="AC534" s="2" t="inlineStr"/>
      <c r="AD534" s="2" t="inlineStr">
        <is>
          <t>1</t>
        </is>
      </c>
      <c r="AE534" s="2" t="inlineStr">
        <is>
          <t>23705</t>
        </is>
      </c>
      <c r="AF534" s="2" t="inlineStr">
        <is>
          <t>https://www.parlamento.pt/OrcamentoEstado/Paginas/DetalhePropostaAlteracao.aspx?BID=23705</t>
        </is>
      </c>
      <c r="AG534" s="2" t="inlineStr">
        <is>
          <t>https://app.parlamento.pt/webutils/docs/doc.pdf?path=6148523063484d364c793942556b356c6443397a6158526c63793959566b6c4a544556484c3039464c7a49774d6a59794d4449314d5441774f533951515338354d4755334d6d4d775a433168597a67344c54526a4e7a5174595459344d69307a597a6331596a646b4e7a51784e6d59756347526d&amp;Fich=90e72c0d-ac88-4c74-a682-3c75b7d7416f.pdf&amp;Inline=true</t>
        </is>
      </c>
      <c r="AH534" s="3" t="n">
        <v>46321.77847222222</v>
      </c>
      <c r="AI534" s="3" t="n">
        <v>46321.78055555555</v>
      </c>
      <c r="AJ534" s="2" t="inlineStr"/>
    </row>
    <row r="535">
      <c r="A535" s="2" t="n">
        <v>534</v>
      </c>
      <c r="B535" s="2" t="inlineStr">
        <is>
          <t>492C</t>
        </is>
      </c>
      <c r="C535" s="3" t="n">
        <v>45966.43263888889</v>
      </c>
      <c r="D535" s="2" t="inlineStr">
        <is>
          <t>Original</t>
        </is>
      </c>
      <c r="E535" s="2" t="inlineStr">
        <is>
          <t>CH</t>
        </is>
      </c>
      <c r="F53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35" s="2" t="inlineStr">
        <is>
          <t>Art. 83.º-A (aditamento)</t>
        </is>
      </c>
      <c r="H535" s="2" t="n"/>
      <c r="I535" s="2" t="n"/>
      <c r="J535" s="2" t="n"/>
      <c r="K535" s="2" t="n"/>
      <c r="L535" s="2" t="inlineStr">
        <is>
          <t>Artigo 83.º-A (Alteração à Lei n.º 82-D/2014, de 31 de dezembro)</t>
        </is>
      </c>
      <c r="M535" s="4" t="n"/>
      <c r="N535" s="4" t="n"/>
      <c r="O535" s="2" t="n"/>
      <c r="P535" s="2" t="n"/>
      <c r="Q535" s="2" t="n"/>
      <c r="R535" s="2" t="n"/>
      <c r="S535" s="2" t="inlineStr">
        <is>
          <t>Rejeitado(a) em Comissão</t>
        </is>
      </c>
      <c r="T535" s="2" t="inlineStr">
        <is>
          <t>Rejeitada</t>
        </is>
      </c>
      <c r="U535" s="2" t="inlineStr">
        <is>
          <t>Favor: CH, IL; Contra: PSD, PS, L, CDS-PP, PAN; Abstenção: PCP, BE</t>
        </is>
      </c>
      <c r="V535" s="3" t="n">
        <v>45982</v>
      </c>
      <c r="W535" s="2" t="inlineStr">
        <is>
          <t>AR: https://www.parlamento.pt/OrcamentoEstado/Paginas/DetalhePropostaAlteracao.aspx?BID=23706 PDF: https://app.parlamento.pt/webutils/docs/doc.pdf?path=6148523063484d364c793942556b356c6443397a6158526c63793959566b6c4a544556484c3039464c7a49774d6a59794d4449314d5441774f533951515338774f574e6a595745344e69316a596d45304c5451784f5745744f4751324d5330324d5467324e6d4e695a5759334f4751756347526d&amp;Fich=09ccaa86-cba4-419a-8d61-61866cbef78d.pdf&amp;Inline=true</t>
        </is>
      </c>
      <c r="X535" s="2" t="inlineStr">
        <is>
          <t>Orçamento, Finanças e Administração Pública</t>
        </is>
      </c>
      <c r="Y535" s="2" t="inlineStr">
        <is>
          <t>Articulado</t>
        </is>
      </c>
      <c r="Z535" s="2" t="inlineStr">
        <is>
          <t>Aditamento (Artigo PPL)</t>
        </is>
      </c>
      <c r="AA535" s="2" t="inlineStr">
        <is>
          <t>Rejeitado(a) em Comissão</t>
        </is>
      </c>
      <c r="AB535" s="2" t="inlineStr"/>
      <c r="AC535" s="2" t="inlineStr"/>
      <c r="AD535" s="2" t="inlineStr">
        <is>
          <t>1</t>
        </is>
      </c>
      <c r="AE535" s="2" t="inlineStr">
        <is>
          <t>23706</t>
        </is>
      </c>
      <c r="AF535" s="2" t="inlineStr">
        <is>
          <t>https://www.parlamento.pt/OrcamentoEstado/Paginas/DetalhePropostaAlteracao.aspx?BID=23706</t>
        </is>
      </c>
      <c r="AG535" s="2" t="inlineStr">
        <is>
          <t>https://app.parlamento.pt/webutils/docs/doc.pdf?path=6148523063484d364c793942556b356c6443397a6158526c63793959566b6c4a544556484c3039464c7a49774d6a59794d4449314d5441774f533951515338774f574e6a595745344e69316a596d45304c5451784f5745744f4751324d5330324d5467324e6d4e695a5759334f4751756347526d&amp;Fich=09ccaa86-cba4-419a-8d61-61866cbef78d.pdf&amp;Inline=true</t>
        </is>
      </c>
      <c r="AH535" s="3" t="n">
        <v>46321.77847222222</v>
      </c>
      <c r="AI535" s="3" t="n">
        <v>46321.78055555555</v>
      </c>
      <c r="AJ535" s="2" t="inlineStr"/>
    </row>
    <row r="536">
      <c r="A536" s="2" t="n">
        <v>535</v>
      </c>
      <c r="B536" s="2" t="inlineStr">
        <is>
          <t>493C</t>
        </is>
      </c>
      <c r="C536" s="3" t="n">
        <v>45966.43402777778</v>
      </c>
      <c r="D536" s="2" t="inlineStr">
        <is>
          <t>Original</t>
        </is>
      </c>
      <c r="E536" s="2" t="inlineStr">
        <is>
          <t>CH</t>
        </is>
      </c>
      <c r="F53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36" s="2" t="inlineStr">
        <is>
          <t>Art. 83.º-A (aditamento)</t>
        </is>
      </c>
      <c r="H536" s="2" t="n"/>
      <c r="I536" s="2" t="n"/>
      <c r="J536" s="2" t="n"/>
      <c r="K536" s="2" t="n"/>
      <c r="L536" s="2" t="inlineStr">
        <is>
          <t>Artigo 83.º-A (Abolição da Contribuição extraordinária para as pequenas empresas de tecnologias da saúde)</t>
        </is>
      </c>
      <c r="M536" s="4" t="n"/>
      <c r="N536" s="4" t="n"/>
      <c r="O536" s="2" t="n"/>
      <c r="P536" s="2" t="n"/>
      <c r="Q536" s="2" t="n"/>
      <c r="R536" s="2" t="n"/>
      <c r="S536" s="2" t="inlineStr">
        <is>
          <t>Rejeitado(a) em Comissão</t>
        </is>
      </c>
      <c r="T536" s="2" t="inlineStr">
        <is>
          <t>Rejeitada</t>
        </is>
      </c>
      <c r="U536" s="2" t="inlineStr">
        <is>
          <t>Favor: CH; Contra: PSD, PS, CDS-PP, PAN; Abstenção: IL, L, PCP, BE</t>
        </is>
      </c>
      <c r="V536" s="3" t="n">
        <v>45982</v>
      </c>
      <c r="W536" s="2" t="inlineStr">
        <is>
          <t>AR: https://www.parlamento.pt/OrcamentoEstado/Paginas/DetalhePropostaAlteracao.aspx?BID=23707 PDF: https://app.parlamento.pt/webutils/docs/doc.pdf?path=6148523063484d364c793942556b356c6443397a6158526c63793959566b6c4a544556484c3039464c7a49774d6a59794d4449314d5441774f533951515338314d6a526a4e47466c4d7930794d6a63354c5451344d546b74596a6c6b5969316d4d5441774e444e6a5954597a4f5459756347526d&amp;Fich=524c4ae3-2279-4819-b9db-f10043ca6396.pdf&amp;Inline=true</t>
        </is>
      </c>
      <c r="X536" s="2" t="inlineStr">
        <is>
          <t>Saúde</t>
        </is>
      </c>
      <c r="Y536" s="2" t="inlineStr">
        <is>
          <t>Articulado</t>
        </is>
      </c>
      <c r="Z536" s="2" t="inlineStr">
        <is>
          <t>Aditamento (Artigo PPL)</t>
        </is>
      </c>
      <c r="AA536" s="2" t="inlineStr">
        <is>
          <t>Rejeitado(a) em Comissão</t>
        </is>
      </c>
      <c r="AB536" s="2" t="inlineStr"/>
      <c r="AC536" s="2" t="inlineStr"/>
      <c r="AD536" s="2" t="inlineStr">
        <is>
          <t>1</t>
        </is>
      </c>
      <c r="AE536" s="2" t="inlineStr">
        <is>
          <t>23707</t>
        </is>
      </c>
      <c r="AF536" s="2" t="inlineStr">
        <is>
          <t>https://www.parlamento.pt/OrcamentoEstado/Paginas/DetalhePropostaAlteracao.aspx?BID=23707</t>
        </is>
      </c>
      <c r="AG536" s="2" t="inlineStr">
        <is>
          <t>https://app.parlamento.pt/webutils/docs/doc.pdf?path=6148523063484d364c793942556b356c6443397a6158526c63793959566b6c4a544556484c3039464c7a49774d6a59794d4449314d5441774f533951515338314d6a526a4e47466c4d7930794d6a63354c5451344d546b74596a6c6b5969316d4d5441774e444e6a5954597a4f5459756347526d&amp;Fich=524c4ae3-2279-4819-b9db-f10043ca6396.pdf&amp;Inline=true</t>
        </is>
      </c>
      <c r="AH536" s="3" t="n">
        <v>46321.77847222222</v>
      </c>
      <c r="AI536" s="3" t="n">
        <v>46321.78055555555</v>
      </c>
      <c r="AJ536" s="2" t="inlineStr"/>
    </row>
    <row r="537">
      <c r="A537" s="2" t="n">
        <v>536</v>
      </c>
      <c r="B537" s="2" t="inlineStr">
        <is>
          <t>494C</t>
        </is>
      </c>
      <c r="C537" s="3" t="n">
        <v>45966.43611111111</v>
      </c>
      <c r="D537" s="2" t="inlineStr">
        <is>
          <t>Original</t>
        </is>
      </c>
      <c r="E537" s="2" t="inlineStr">
        <is>
          <t>CH</t>
        </is>
      </c>
      <c r="F53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37" s="2" t="inlineStr">
        <is>
          <t>Art. 109.º-A (aditamento)</t>
        </is>
      </c>
      <c r="H537" s="2" t="n"/>
      <c r="I537" s="2" t="n"/>
      <c r="J537" s="2" t="n"/>
      <c r="K537" s="2" t="n"/>
      <c r="L537" s="2" t="inlineStr">
        <is>
          <t>Artigo 109.º-A (Construção de Lota na Praia da Tocha)</t>
        </is>
      </c>
      <c r="M537" s="4" t="n"/>
      <c r="N537" s="4" t="n"/>
      <c r="O537" s="2" t="n"/>
      <c r="P537" s="2" t="n"/>
      <c r="Q537" s="2" t="n"/>
      <c r="R537" s="2" t="n"/>
      <c r="S537" s="2" t="inlineStr">
        <is>
          <t>Rejeitado(a) em Comissão</t>
        </is>
      </c>
      <c r="T537" s="2" t="inlineStr">
        <is>
          <t>Rejeitada</t>
        </is>
      </c>
      <c r="U537" s="2" t="inlineStr">
        <is>
          <t>Favor: CH, BE; Contra: PSD, IL, CDS-PP, PAN; Abstenção: PS, L, PCP</t>
        </is>
      </c>
      <c r="V537" s="3" t="n">
        <v>45982</v>
      </c>
      <c r="W537" s="2" t="inlineStr">
        <is>
          <t>AR: https://www.parlamento.pt/OrcamentoEstado/Paginas/DetalhePropostaAlteracao.aspx?BID=23708 PDF: https://app.parlamento.pt/webutils/docs/doc.pdf?path=6148523063484d364c793942556b356c6443397a6158526c63793959566b6c4a544556484c3039464c7a49774d6a59794d4449314d5441774f533951515338345a475a694d5463304f4330315a5755304c5451354d3255744f44686d4e79316d4f574a6a4d7a6b33596d45784d4751756347526d&amp;Fich=8dfb1748-5ee4-493e-88f7-f9bc397ba10d.pdf&amp;Inline=true</t>
        </is>
      </c>
      <c r="X537" s="2" t="inlineStr">
        <is>
          <t>Agricultura e Pescas</t>
        </is>
      </c>
      <c r="Y537" s="2" t="inlineStr">
        <is>
          <t>Articulado</t>
        </is>
      </c>
      <c r="Z537" s="2" t="inlineStr">
        <is>
          <t>Aditamento (Artigo PPL)</t>
        </is>
      </c>
      <c r="AA537" s="2" t="inlineStr">
        <is>
          <t>Rejeitado(a) em Comissão</t>
        </is>
      </c>
      <c r="AB537" s="2" t="inlineStr"/>
      <c r="AC537" s="2" t="inlineStr"/>
      <c r="AD537" s="2" t="inlineStr">
        <is>
          <t>1</t>
        </is>
      </c>
      <c r="AE537" s="2" t="inlineStr">
        <is>
          <t>23708</t>
        </is>
      </c>
      <c r="AF537" s="2" t="inlineStr">
        <is>
          <t>https://www.parlamento.pt/OrcamentoEstado/Paginas/DetalhePropostaAlteracao.aspx?BID=23708</t>
        </is>
      </c>
      <c r="AG537" s="2" t="inlineStr">
        <is>
          <t>https://app.parlamento.pt/webutils/docs/doc.pdf?path=6148523063484d364c793942556b356c6443397a6158526c63793959566b6c4a544556484c3039464c7a49774d6a59794d4449314d5441774f533951515338345a475a694d5463304f4330315a5755304c5451354d3255744f44686d4e79316d4f574a6a4d7a6b33596d45784d4751756347526d&amp;Fich=8dfb1748-5ee4-493e-88f7-f9bc397ba10d.pdf&amp;Inline=true</t>
        </is>
      </c>
      <c r="AH537" s="3" t="n">
        <v>46321.77847222222</v>
      </c>
      <c r="AI537" s="3" t="n">
        <v>46321.78055555555</v>
      </c>
      <c r="AJ537" s="2" t="inlineStr"/>
    </row>
    <row r="538">
      <c r="A538" s="2" t="n">
        <v>537</v>
      </c>
      <c r="B538" s="2" t="inlineStr">
        <is>
          <t>495C</t>
        </is>
      </c>
      <c r="C538" s="3" t="n">
        <v>45966.4375</v>
      </c>
      <c r="D538" s="2" t="inlineStr">
        <is>
          <t>Original</t>
        </is>
      </c>
      <c r="E538" s="2" t="inlineStr">
        <is>
          <t>CH</t>
        </is>
      </c>
      <c r="F53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38" s="2" t="inlineStr">
        <is>
          <t>Art. 109.º-A (aditamento)</t>
        </is>
      </c>
      <c r="H538" s="2" t="n"/>
      <c r="I538" s="2" t="n"/>
      <c r="J538" s="2" t="n"/>
      <c r="K538" s="2" t="n"/>
      <c r="L538" s="2" t="inlineStr">
        <is>
          <t>Artigo 109.º-A (Apoio à aquisição de sistemas de videovigilância pelos municípios)</t>
        </is>
      </c>
      <c r="M538" s="4" t="n"/>
      <c r="N538" s="4" t="n"/>
      <c r="O538" s="2" t="n"/>
      <c r="P538" s="2" t="n"/>
      <c r="Q538" s="2" t="n"/>
      <c r="R538" s="2" t="n"/>
      <c r="S538" s="2" t="inlineStr">
        <is>
          <t>Rejeitado(a) em Comissão</t>
        </is>
      </c>
      <c r="T538" s="2" t="inlineStr">
        <is>
          <t>Rejeitada</t>
        </is>
      </c>
      <c r="U538" s="2" t="inlineStr">
        <is>
          <t>Favor: CH; Contra: PSD, IL, L, PCP, CDS-PP, BE, PAN; Abstenção: PS</t>
        </is>
      </c>
      <c r="V538" s="3" t="n">
        <v>45982</v>
      </c>
      <c r="W538" s="2" t="inlineStr">
        <is>
          <t>AR: https://www.parlamento.pt/OrcamentoEstado/Paginas/DetalhePropostaAlteracao.aspx?BID=23709 PDF: https://app.parlamento.pt/webutils/docs/doc.pdf?path=6148523063484d364c793942556b356c6443397a6158526c63793959566b6c4a544556484c3039464c7a49774d6a59794d4449314d5441774f533951515338334f47566c4d6d59785a5330334d5441354c54513259575574596d55335a6930334d3259345a4467794e444d7a5a6a51756347526d&amp;Fich=78ee2f1e-7109-46ae-be7f-73f8d82433f4.pdf&amp;Inline=true</t>
        </is>
      </c>
      <c r="X538" s="2" t="inlineStr">
        <is>
          <t>Reforma do Estado e Poder Local</t>
        </is>
      </c>
      <c r="Y538" s="2" t="inlineStr">
        <is>
          <t>Articulado</t>
        </is>
      </c>
      <c r="Z538" s="2" t="inlineStr">
        <is>
          <t>Aditamento (Artigo PPL)</t>
        </is>
      </c>
      <c r="AA538" s="2" t="inlineStr">
        <is>
          <t>Rejeitado(a) em Comissão</t>
        </is>
      </c>
      <c r="AB538" s="2" t="inlineStr"/>
      <c r="AC538" s="2" t="inlineStr"/>
      <c r="AD538" s="2" t="inlineStr">
        <is>
          <t>1</t>
        </is>
      </c>
      <c r="AE538" s="2" t="inlineStr">
        <is>
          <t>23709</t>
        </is>
      </c>
      <c r="AF538" s="2" t="inlineStr">
        <is>
          <t>https://www.parlamento.pt/OrcamentoEstado/Paginas/DetalhePropostaAlteracao.aspx?BID=23709</t>
        </is>
      </c>
      <c r="AG538" s="2" t="inlineStr">
        <is>
          <t>https://app.parlamento.pt/webutils/docs/doc.pdf?path=6148523063484d364c793942556b356c6443397a6158526c63793959566b6c4a544556484c3039464c7a49774d6a59794d4449314d5441774f533951515338334f47566c4d6d59785a5330334d5441354c54513259575574596d55335a6930334d3259345a4467794e444d7a5a6a51756347526d&amp;Fich=78ee2f1e-7109-46ae-be7f-73f8d82433f4.pdf&amp;Inline=true</t>
        </is>
      </c>
      <c r="AH538" s="3" t="n">
        <v>46321.77847222222</v>
      </c>
      <c r="AI538" s="3" t="n">
        <v>46321.78055555555</v>
      </c>
      <c r="AJ538" s="2" t="inlineStr"/>
    </row>
    <row r="539">
      <c r="A539" s="2" t="n">
        <v>538</v>
      </c>
      <c r="B539" s="2" t="inlineStr">
        <is>
          <t>496C</t>
        </is>
      </c>
      <c r="C539" s="3" t="n">
        <v>45966.44027777778</v>
      </c>
      <c r="D539" s="2" t="inlineStr">
        <is>
          <t>Original</t>
        </is>
      </c>
      <c r="E539" s="2" t="inlineStr">
        <is>
          <t>PCP</t>
        </is>
      </c>
      <c r="F539" s="2" t="inlineStr">
        <is>
          <t>Alfredo Maia; Paula Santos; Paulo Raimundo</t>
        </is>
      </c>
      <c r="G539" s="2" t="inlineStr">
        <is>
          <t>Art. 62.º-A (aditamento)</t>
        </is>
      </c>
      <c r="H539" s="2" t="n"/>
      <c r="I539" s="2" t="n"/>
      <c r="J539" s="2" t="n"/>
      <c r="K539" s="2" t="n"/>
      <c r="L539" s="2" t="inlineStr">
        <is>
          <t>Artigo 62.º-A (Alteração ao Código do Imposto sobre o Valor Acrescentado)</t>
        </is>
      </c>
      <c r="M539" s="4" t="n"/>
      <c r="N539" s="4" t="n"/>
      <c r="O539" s="2" t="n"/>
      <c r="P539" s="2" t="n"/>
      <c r="Q539" s="2" t="n"/>
      <c r="R539" s="2" t="n"/>
      <c r="S539" s="2" t="inlineStr">
        <is>
          <t>Rejeitado(a) em Comissão</t>
        </is>
      </c>
      <c r="T539" s="2" t="inlineStr">
        <is>
          <t>Rejeitada</t>
        </is>
      </c>
      <c r="U539" s="2" t="inlineStr">
        <is>
          <t>Favor: IL, L, PCP, BE; Contra: PSD, CDS-PP; Abstenção: CH, PS, PAN</t>
        </is>
      </c>
      <c r="V539" s="3" t="n">
        <v>45981</v>
      </c>
      <c r="W539" s="2" t="inlineStr">
        <is>
          <t>AR: https://www.parlamento.pt/OrcamentoEstado/Paginas/DetalhePropostaAlteracao.aspx?BID=23710 PDF: https://app.parlamento.pt/webutils/docs/doc.pdf?path=6148523063484d364c793942556b356c6443397a6158526c63793959566b6c4a544556484c3039464c7a49774d6a59794d4449314d5441774f53395151533832597a4e685a6a46684f5330794d7a59324c5451774d7a4d745954597a4d5330775a5449344d4749344d574e6b4f474d756347526d&amp;Fich=6c3af1a9-2366-4033-a631-0e280b81cd8c.pdf&amp;Inline=true</t>
        </is>
      </c>
      <c r="X539" s="2" t="inlineStr">
        <is>
          <t>Comissão de Economia e Coesão Territorial; Orçamento, Finanças e Administração Pública</t>
        </is>
      </c>
      <c r="Y539" s="2" t="inlineStr">
        <is>
          <t>Articulado</t>
        </is>
      </c>
      <c r="Z539" s="2" t="inlineStr">
        <is>
          <t>Aditamento (Artigo PPL)</t>
        </is>
      </c>
      <c r="AA539" s="2" t="inlineStr">
        <is>
          <t>Rejeitado(a) em Comissão</t>
        </is>
      </c>
      <c r="AB539" s="2" t="inlineStr"/>
      <c r="AC539" s="2" t="inlineStr"/>
      <c r="AD539" s="2" t="inlineStr">
        <is>
          <t>1</t>
        </is>
      </c>
      <c r="AE539" s="2" t="inlineStr">
        <is>
          <t>23710</t>
        </is>
      </c>
      <c r="AF539" s="2" t="inlineStr">
        <is>
          <t>https://www.parlamento.pt/OrcamentoEstado/Paginas/DetalhePropostaAlteracao.aspx?BID=23710</t>
        </is>
      </c>
      <c r="AG539" s="2" t="inlineStr">
        <is>
          <t>https://app.parlamento.pt/webutils/docs/doc.pdf?path=6148523063484d364c793942556b356c6443397a6158526c63793959566b6c4a544556484c3039464c7a49774d6a59794d4449314d5441774f53395151533832597a4e685a6a46684f5330794d7a59324c5451774d7a4d745954597a4d5330775a5449344d4749344d574e6b4f474d756347526d&amp;Fich=6c3af1a9-2366-4033-a631-0e280b81cd8c.pdf&amp;Inline=true</t>
        </is>
      </c>
      <c r="AH539" s="3" t="n">
        <v>46321.77847222222</v>
      </c>
      <c r="AI539" s="3" t="n">
        <v>46321.78055555555</v>
      </c>
      <c r="AJ539" s="2" t="inlineStr"/>
    </row>
    <row r="540">
      <c r="A540" s="2" t="n">
        <v>539</v>
      </c>
      <c r="B540" s="2" t="inlineStr">
        <is>
          <t>497C</t>
        </is>
      </c>
      <c r="C540" s="3" t="n">
        <v>45966.44097222222</v>
      </c>
      <c r="D540" s="2" t="inlineStr">
        <is>
          <t>Original</t>
        </is>
      </c>
      <c r="E540" s="2" t="inlineStr">
        <is>
          <t>CH</t>
        </is>
      </c>
      <c r="F54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40" s="2" t="inlineStr">
        <is>
          <t>Art. 113.º-A (aditamento)</t>
        </is>
      </c>
      <c r="H540" s="2" t="n"/>
      <c r="I540" s="2" t="n"/>
      <c r="J540" s="2" t="n"/>
      <c r="K540" s="2" t="n"/>
      <c r="L540" s="2" t="inlineStr">
        <is>
          <t>Artigo 113.º-A (Dívidas e pagamentos às Associações Humanitárias de Bombeiros)</t>
        </is>
      </c>
      <c r="M540" s="4" t="n"/>
      <c r="N540" s="4" t="n"/>
      <c r="O540" s="2" t="n"/>
      <c r="P540" s="2" t="n"/>
      <c r="Q540" s="2" t="n"/>
      <c r="R540" s="2" t="n"/>
      <c r="S540" s="2" t="inlineStr">
        <is>
          <t>Rejeitado(a) em Comissão</t>
        </is>
      </c>
      <c r="T540" s="2" t="inlineStr">
        <is>
          <t>Rejeitada</t>
        </is>
      </c>
      <c r="U540" s="2" t="inlineStr">
        <is>
          <t>Favor: CH, BE, PAN; Contra: PSD, CDS-PP; Abstenção: PS, IL, L, PCP</t>
        </is>
      </c>
      <c r="V540" s="3" t="n">
        <v>45985</v>
      </c>
      <c r="W540" s="2" t="inlineStr">
        <is>
          <t>AR: https://www.parlamento.pt/OrcamentoEstado/Paginas/DetalhePropostaAlteracao.aspx?BID=23711 PDF: https://app.parlamento.pt/webutils/docs/doc.pdf?path=6148523063484d364c793942556b356c6443397a6158526c63793959566b6c4a544556484c3039464c7a49774d6a59794d4449314d5441774f53395151533877595759795a6d56684f4330355a546c6d4c5451345a445174596a45314f5330344e6d59324f5467784e7a686b4d4745756347526d&amp;Fich=0af2fea8-9e9f-48d4-b159-86f698178d0a.pdf&amp;Inline=true</t>
        </is>
      </c>
      <c r="X540" s="2" t="inlineStr">
        <is>
          <t>Assuntos Constitucionais, Direitos, Liberdades e Garantias</t>
        </is>
      </c>
      <c r="Y540" s="2" t="inlineStr">
        <is>
          <t>Articulado</t>
        </is>
      </c>
      <c r="Z540" s="2" t="inlineStr">
        <is>
          <t>Aditamento (Artigo PPL)</t>
        </is>
      </c>
      <c r="AA540" s="2" t="inlineStr">
        <is>
          <t>Rejeitado(a) em Comissão</t>
        </is>
      </c>
      <c r="AB540" s="2" t="inlineStr"/>
      <c r="AC540" s="2" t="inlineStr"/>
      <c r="AD540" s="2" t="inlineStr">
        <is>
          <t>1</t>
        </is>
      </c>
      <c r="AE540" s="2" t="inlineStr">
        <is>
          <t>23711</t>
        </is>
      </c>
      <c r="AF540" s="2" t="inlineStr">
        <is>
          <t>https://www.parlamento.pt/OrcamentoEstado/Paginas/DetalhePropostaAlteracao.aspx?BID=23711</t>
        </is>
      </c>
      <c r="AG540" s="2" t="inlineStr">
        <is>
          <t>https://app.parlamento.pt/webutils/docs/doc.pdf?path=6148523063484d364c793942556b356c6443397a6158526c63793959566b6c4a544556484c3039464c7a49774d6a59794d4449314d5441774f53395151533877595759795a6d56684f4330355a546c6d4c5451345a445174596a45314f5330344e6d59324f5467784e7a686b4d4745756347526d&amp;Fich=0af2fea8-9e9f-48d4-b159-86f698178d0a.pdf&amp;Inline=true</t>
        </is>
      </c>
      <c r="AH540" s="3" t="n">
        <v>46321.77847222222</v>
      </c>
      <c r="AI540" s="3" t="n">
        <v>46321.78055555555</v>
      </c>
      <c r="AJ540" s="2" t="inlineStr"/>
    </row>
    <row r="541">
      <c r="A541" s="2" t="n">
        <v>540</v>
      </c>
      <c r="B541" s="2" t="inlineStr">
        <is>
          <t>498C</t>
        </is>
      </c>
      <c r="C541" s="3" t="n">
        <v>45966.44097222222</v>
      </c>
      <c r="D541" s="2" t="inlineStr">
        <is>
          <t>Original</t>
        </is>
      </c>
      <c r="E541" s="2" t="inlineStr">
        <is>
          <t>PCP</t>
        </is>
      </c>
      <c r="F541" s="2" t="inlineStr">
        <is>
          <t>Alfredo Maia; Paula Santos; Paulo Raimundo</t>
        </is>
      </c>
      <c r="G541" s="2" t="inlineStr">
        <is>
          <t>Art. 128.º-A (aditamento)</t>
        </is>
      </c>
      <c r="H541" s="2" t="n"/>
      <c r="I541" s="2" t="n"/>
      <c r="J541" s="2" t="n"/>
      <c r="K541" s="2" t="n"/>
      <c r="L541" s="2" t="inlineStr">
        <is>
          <t>Artigo 128.º-A (Fundo de apoio à tesouraria das micro e pequenas empresas)</t>
        </is>
      </c>
      <c r="M541" s="4" t="n"/>
      <c r="N541" s="4" t="n"/>
      <c r="O541" s="2" t="n"/>
      <c r="P541" s="2" t="n"/>
      <c r="Q541" s="2" t="n"/>
      <c r="R541" s="2" t="n"/>
      <c r="S541" s="2" t="inlineStr">
        <is>
          <t>Rejeitado(a) em Comissão</t>
        </is>
      </c>
      <c r="T541" s="2" t="inlineStr">
        <is>
          <t>Rejeitada</t>
        </is>
      </c>
      <c r="U541" s="2" t="inlineStr">
        <is>
          <t>Favor: L, PCP, BE, PAN; Contra: PSD, IL, CDS-PP; Abstenção: CH, PS</t>
        </is>
      </c>
      <c r="V541" s="3" t="n">
        <v>45985</v>
      </c>
      <c r="W541" s="2" t="inlineStr">
        <is>
          <t>AR: https://www.parlamento.pt/OrcamentoEstado/Paginas/DetalhePropostaAlteracao.aspx?BID=23712 PDF: https://app.parlamento.pt/webutils/docs/doc.pdf?path=6148523063484d364c793942556b356c6443397a6158526c63793959566b6c4a544556484c3039464c7a49774d6a59794d4449314d5441774f533951515338334e4449785a6a5a6b596930784e7a55354c5452684f44517459574d355a5330345954637a5a544e6a4d4745794f4441756347526d&amp;Fich=7421f6db-1759-4a84-ac9e-8a73e3c0a280.pdf&amp;Inline=true</t>
        </is>
      </c>
      <c r="X541" s="2" t="inlineStr">
        <is>
          <t>Comissão de Economia e Coesão Territorial</t>
        </is>
      </c>
      <c r="Y541" s="2" t="inlineStr">
        <is>
          <t>Articulado</t>
        </is>
      </c>
      <c r="Z541" s="2" t="inlineStr">
        <is>
          <t>Aditamento (Artigo PPL)</t>
        </is>
      </c>
      <c r="AA541" s="2" t="inlineStr">
        <is>
          <t>Rejeitado(a) em Comissão</t>
        </is>
      </c>
      <c r="AB541" s="2" t="inlineStr"/>
      <c r="AC541" s="2" t="inlineStr"/>
      <c r="AD541" s="2" t="inlineStr">
        <is>
          <t>1</t>
        </is>
      </c>
      <c r="AE541" s="2" t="inlineStr">
        <is>
          <t>23712</t>
        </is>
      </c>
      <c r="AF541" s="2" t="inlineStr">
        <is>
          <t>https://www.parlamento.pt/OrcamentoEstado/Paginas/DetalhePropostaAlteracao.aspx?BID=23712</t>
        </is>
      </c>
      <c r="AG541" s="2" t="inlineStr">
        <is>
          <t>https://app.parlamento.pt/webutils/docs/doc.pdf?path=6148523063484d364c793942556b356c6443397a6158526c63793959566b6c4a544556484c3039464c7a49774d6a59794d4449314d5441774f533951515338334e4449785a6a5a6b596930784e7a55354c5452684f44517459574d355a5330345954637a5a544e6a4d4745794f4441756347526d&amp;Fich=7421f6db-1759-4a84-ac9e-8a73e3c0a280.pdf&amp;Inline=true</t>
        </is>
      </c>
      <c r="AH541" s="3" t="n">
        <v>46321.77847222222</v>
      </c>
      <c r="AI541" s="3" t="n">
        <v>46321.78055555555</v>
      </c>
      <c r="AJ541" s="2" t="inlineStr"/>
    </row>
    <row r="542">
      <c r="A542" s="2" t="n">
        <v>541</v>
      </c>
      <c r="B542" s="2" t="inlineStr">
        <is>
          <t>499C</t>
        </is>
      </c>
      <c r="C542" s="3" t="n">
        <v>45966.44236111111</v>
      </c>
      <c r="D542" s="2" t="inlineStr">
        <is>
          <t>Original</t>
        </is>
      </c>
      <c r="E542" s="2" t="inlineStr">
        <is>
          <t>CH</t>
        </is>
      </c>
      <c r="F54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42" s="2" t="inlineStr">
        <is>
          <t>Art. 117.º-A (aditamento)</t>
        </is>
      </c>
      <c r="H542" s="2" t="n"/>
      <c r="I542" s="2" t="n"/>
      <c r="J542" s="2" t="n"/>
      <c r="K542" s="2" t="n"/>
      <c r="L542" s="2" t="inlineStr">
        <is>
          <t>Artigo 117.º-A (Alteração ao Decreto-Lei nº 176/2003, de 10 de Novembro)</t>
        </is>
      </c>
      <c r="M542" s="4" t="n"/>
      <c r="N542" s="4" t="n"/>
      <c r="O542" s="2" t="n"/>
      <c r="P542" s="2" t="n"/>
      <c r="Q542" s="2" t="n"/>
      <c r="R542" s="2" t="n"/>
      <c r="S542" s="2" t="inlineStr">
        <is>
          <t>Rejeitado(a) em Comissão</t>
        </is>
      </c>
      <c r="T542" s="2" t="inlineStr">
        <is>
          <t>Rejeitada</t>
        </is>
      </c>
      <c r="U542" s="2" t="inlineStr">
        <is>
          <t>Favor: CH, PAN; Contra: PSD, PS, IL, L, PCP, CDS-PP, BE</t>
        </is>
      </c>
      <c r="V542" s="3" t="n">
        <v>45985</v>
      </c>
      <c r="W542" s="2" t="inlineStr">
        <is>
          <t>AR: https://www.parlamento.pt/OrcamentoEstado/Paginas/DetalhePropostaAlteracao.aspx?BID=23715 PDF: https://app.parlamento.pt/webutils/docs/doc.pdf?path=6148523063484d364c793942556b356c6443397a6158526c63793959566b6c4a544556484c3039464c7a49774d6a59794d4449314d5441774f533951515339694f47526a4e3255354d7930795a4756694c54526a4e7a41744f5745794e4331695a6a55314f4749334d446b344f4449756347526d&amp;Fich=b8dc7e93-2deb-4c70-9a24-bf558b709882.pdf&amp;Inline=true</t>
        </is>
      </c>
      <c r="X542" s="2" t="inlineStr">
        <is>
          <t>Educação e Ciência</t>
        </is>
      </c>
      <c r="Y542" s="2" t="inlineStr">
        <is>
          <t>Articulado</t>
        </is>
      </c>
      <c r="Z542" s="2" t="inlineStr">
        <is>
          <t>Aditamento (Artigo PPL)</t>
        </is>
      </c>
      <c r="AA542" s="2" t="inlineStr">
        <is>
          <t>Rejeitado(a) em Comissão</t>
        </is>
      </c>
      <c r="AB542" s="2" t="inlineStr"/>
      <c r="AC542" s="2" t="inlineStr"/>
      <c r="AD542" s="2" t="inlineStr">
        <is>
          <t>1</t>
        </is>
      </c>
      <c r="AE542" s="2" t="inlineStr">
        <is>
          <t>23715</t>
        </is>
      </c>
      <c r="AF542" s="2" t="inlineStr">
        <is>
          <t>https://www.parlamento.pt/OrcamentoEstado/Paginas/DetalhePropostaAlteracao.aspx?BID=23715</t>
        </is>
      </c>
      <c r="AG542" s="2" t="inlineStr">
        <is>
          <t>https://app.parlamento.pt/webutils/docs/doc.pdf?path=6148523063484d364c793942556b356c6443397a6158526c63793959566b6c4a544556484c3039464c7a49774d6a59794d4449314d5441774f533951515339694f47526a4e3255354d7930795a4756694c54526a4e7a41744f5745794e4331695a6a55314f4749334d446b344f4449756347526d&amp;Fich=b8dc7e93-2deb-4c70-9a24-bf558b709882.pdf&amp;Inline=true</t>
        </is>
      </c>
      <c r="AH542" s="3" t="n">
        <v>46321.77847222222</v>
      </c>
      <c r="AI542" s="3" t="n">
        <v>46321.78055555555</v>
      </c>
      <c r="AJ542" s="2" t="inlineStr"/>
    </row>
    <row r="543">
      <c r="A543" s="2" t="n">
        <v>542</v>
      </c>
      <c r="B543" s="2" t="inlineStr">
        <is>
          <t>500C</t>
        </is>
      </c>
      <c r="C543" s="3" t="n">
        <v>45966.44236111111</v>
      </c>
      <c r="D543" s="2" t="inlineStr">
        <is>
          <t>Original</t>
        </is>
      </c>
      <c r="E543" s="2" t="inlineStr">
        <is>
          <t>PCP</t>
        </is>
      </c>
      <c r="F543" s="2" t="inlineStr">
        <is>
          <t>Alfredo Maia; Paula Santos; Paulo Raimundo</t>
        </is>
      </c>
      <c r="G543" s="2" t="inlineStr">
        <is>
          <t>Art. 136.º-A (aditamento)</t>
        </is>
      </c>
      <c r="H543" s="2" t="n"/>
      <c r="I543" s="2" t="n"/>
      <c r="J543" s="2" t="n"/>
      <c r="K543" s="2" t="n"/>
      <c r="L543" s="2" t="inlineStr">
        <is>
          <t>Artigo 136.º-A (Alteração à Lei n.º 82-D/2014, de 31 de dezembro)</t>
        </is>
      </c>
      <c r="M543" s="4" t="n"/>
      <c r="N543" s="4" t="n"/>
      <c r="O543" s="2" t="n"/>
      <c r="P543" s="2" t="n"/>
      <c r="Q543" s="2" t="n"/>
      <c r="R543" s="2" t="n"/>
      <c r="S543" s="2" t="inlineStr">
        <is>
          <t>Rejeitado(a) em Comissão</t>
        </is>
      </c>
      <c r="T543" s="2" t="inlineStr">
        <is>
          <t>Rejeitada</t>
        </is>
      </c>
      <c r="U543" s="2" t="inlineStr">
        <is>
          <t>Favor: CH, IL, PCP; Contra: PSD, PS, L, CDS-PP, BE, PAN</t>
        </is>
      </c>
      <c r="V543" s="3" t="n">
        <v>45987</v>
      </c>
      <c r="W543" s="2" t="inlineStr">
        <is>
          <t>AR: https://www.parlamento.pt/OrcamentoEstado/Paginas/DetalhePropostaAlteracao.aspx?BID=23716 PDF: https://app.parlamento.pt/webutils/docs/doc.pdf?path=6148523063484d364c793942556b356c6443397a6158526c63793959566b6c4a544556484c3039464c7a49774d6a59794d4449314d5441774f5339515153396a5a6d526c4e4745344e4330304d44686b4c54526c4d474574595446694f53316d596a56685a54566b4f546c6a4e4459756347526d&amp;Fich=cfde4a84-408d-4e0a-a1b9-fb5ae5d99c46.pdf&amp;Inline=true</t>
        </is>
      </c>
      <c r="X543" s="2" t="inlineStr">
        <is>
          <t>Comissão de Economia e Coesão Territorial; Orçamento, Finanças e Administração Pública</t>
        </is>
      </c>
      <c r="Y543" s="2" t="inlineStr">
        <is>
          <t>Articulado</t>
        </is>
      </c>
      <c r="Z543" s="2" t="inlineStr">
        <is>
          <t>Aditamento (Artigo PPL)</t>
        </is>
      </c>
      <c r="AA543" s="2" t="inlineStr">
        <is>
          <t>Rejeitado(a) em Comissão</t>
        </is>
      </c>
      <c r="AB543" s="2" t="inlineStr"/>
      <c r="AC543" s="2" t="inlineStr"/>
      <c r="AD543" s="2" t="inlineStr">
        <is>
          <t>1</t>
        </is>
      </c>
      <c r="AE543" s="2" t="inlineStr">
        <is>
          <t>23716</t>
        </is>
      </c>
      <c r="AF543" s="2" t="inlineStr">
        <is>
          <t>https://www.parlamento.pt/OrcamentoEstado/Paginas/DetalhePropostaAlteracao.aspx?BID=23716</t>
        </is>
      </c>
      <c r="AG543" s="2" t="inlineStr">
        <is>
          <t>https://app.parlamento.pt/webutils/docs/doc.pdf?path=6148523063484d364c793942556b356c6443397a6158526c63793959566b6c4a544556484c3039464c7a49774d6a59794d4449314d5441774f5339515153396a5a6d526c4e4745344e4330304d44686b4c54526c4d474574595446694f53316d596a56685a54566b4f546c6a4e4459756347526d&amp;Fich=cfde4a84-408d-4e0a-a1b9-fb5ae5d99c46.pdf&amp;Inline=true</t>
        </is>
      </c>
      <c r="AH543" s="3" t="n">
        <v>46321.77847222222</v>
      </c>
      <c r="AI543" s="3" t="n">
        <v>46321.78055555555</v>
      </c>
      <c r="AJ543" s="2" t="inlineStr"/>
    </row>
    <row r="544">
      <c r="A544" s="2" t="n">
        <v>543</v>
      </c>
      <c r="B544" s="2" t="inlineStr">
        <is>
          <t>501C</t>
        </is>
      </c>
      <c r="C544" s="3" t="n">
        <v>45966.44375</v>
      </c>
      <c r="D544" s="2" t="inlineStr">
        <is>
          <t>Original</t>
        </is>
      </c>
      <c r="E544" s="2" t="inlineStr">
        <is>
          <t>CH</t>
        </is>
      </c>
      <c r="F54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44" s="2" t="inlineStr">
        <is>
          <t>Art. 118.º-A (aditamento)</t>
        </is>
      </c>
      <c r="H544" s="2" t="n"/>
      <c r="I544" s="2" t="n"/>
      <c r="J544" s="2" t="n"/>
      <c r="K544" s="2" t="n"/>
      <c r="L544" s="2" t="inlineStr">
        <is>
          <t>Artigo 118.º-A (Reabilitação do Património Edificado Público para alojamento de estudantes)</t>
        </is>
      </c>
      <c r="M544" s="4" t="n"/>
      <c r="N544" s="4" t="n"/>
      <c r="O544" s="2" t="n"/>
      <c r="P544" s="2" t="n"/>
      <c r="Q544" s="2" t="n"/>
      <c r="R544" s="2" t="n"/>
      <c r="S544" s="2" t="inlineStr">
        <is>
          <t>Rejeitado(a) em Comissão</t>
        </is>
      </c>
      <c r="T544" s="2" t="inlineStr">
        <is>
          <t>Rejeitada</t>
        </is>
      </c>
      <c r="U544" s="2" t="inlineStr">
        <is>
          <t>Favor: CH, IL, BE, PAN; Contra: PSD, PCP, CDS-PP; Abstenção: PS, L</t>
        </is>
      </c>
      <c r="V544" s="3" t="n">
        <v>45985</v>
      </c>
      <c r="W544" s="2" t="inlineStr">
        <is>
          <t>AR: https://www.parlamento.pt/OrcamentoEstado/Paginas/DetalhePropostaAlteracao.aspx?BID=23717 PDF: https://app.parlamento.pt/webutils/docs/doc.pdf?path=6148523063484d364c793942556b356c6443397a6158526c63793959566b6c4a544556484c3039464c7a49774d6a59794d4449314d5441774f53395151533830593245784e5451354e5330314e7a42684c545269595449744f5755774e5330314e7a566c4e6d5a6a4d5446694e6a6b756347526d&amp;Fich=4ca15495-570a-4ba2-9e05-575e6fc11b69.pdf&amp;Inline=true</t>
        </is>
      </c>
      <c r="X544" s="2" t="inlineStr">
        <is>
          <t>Educação e Ciência</t>
        </is>
      </c>
      <c r="Y544" s="2" t="inlineStr">
        <is>
          <t>Articulado</t>
        </is>
      </c>
      <c r="Z544" s="2" t="inlineStr">
        <is>
          <t>Aditamento (Artigo PPL)</t>
        </is>
      </c>
      <c r="AA544" s="2" t="inlineStr">
        <is>
          <t>Rejeitado(a) em Comissão</t>
        </is>
      </c>
      <c r="AB544" s="2" t="inlineStr"/>
      <c r="AC544" s="2" t="inlineStr"/>
      <c r="AD544" s="2" t="inlineStr">
        <is>
          <t>1</t>
        </is>
      </c>
      <c r="AE544" s="2" t="inlineStr">
        <is>
          <t>23717</t>
        </is>
      </c>
      <c r="AF544" s="2" t="inlineStr">
        <is>
          <t>https://www.parlamento.pt/OrcamentoEstado/Paginas/DetalhePropostaAlteracao.aspx?BID=23717</t>
        </is>
      </c>
      <c r="AG544" s="2" t="inlineStr">
        <is>
          <t>https://app.parlamento.pt/webutils/docs/doc.pdf?path=6148523063484d364c793942556b356c6443397a6158526c63793959566b6c4a544556484c3039464c7a49774d6a59794d4449314d5441774f53395151533830593245784e5451354e5330314e7a42684c545269595449744f5755774e5330314e7a566c4e6d5a6a4d5446694e6a6b756347526d&amp;Fich=4ca15495-570a-4ba2-9e05-575e6fc11b69.pdf&amp;Inline=true</t>
        </is>
      </c>
      <c r="AH544" s="3" t="n">
        <v>46321.77847222222</v>
      </c>
      <c r="AI544" s="3" t="n">
        <v>46321.78055555555</v>
      </c>
      <c r="AJ544" s="2" t="inlineStr"/>
    </row>
    <row r="545">
      <c r="A545" s="2" t="n">
        <v>544</v>
      </c>
      <c r="B545" s="2" t="inlineStr">
        <is>
          <t>502C</t>
        </is>
      </c>
      <c r="C545" s="3" t="n">
        <v>45966.44444444445</v>
      </c>
      <c r="D545" s="2" t="inlineStr">
        <is>
          <t>Original</t>
        </is>
      </c>
      <c r="E545" s="2" t="inlineStr">
        <is>
          <t>PCP</t>
        </is>
      </c>
      <c r="F545" s="2" t="inlineStr">
        <is>
          <t>Alfredo Maia; Paula Santos; Paulo Raimundo</t>
        </is>
      </c>
      <c r="G545" s="2" t="inlineStr">
        <is>
          <t>Art. 136.º-A (aditamento)</t>
        </is>
      </c>
      <c r="H545" s="2" t="n"/>
      <c r="I545" s="2" t="n"/>
      <c r="J545" s="2" t="n"/>
      <c r="K545" s="2" t="n"/>
      <c r="L545" s="2" t="inlineStr">
        <is>
          <t>Artigo 136.º-A (Alteração ao Decreto-Lei n.º 71/2013, de 30 de maio)</t>
        </is>
      </c>
      <c r="M545" s="4" t="n"/>
      <c r="N545" s="4" t="n"/>
      <c r="O545" s="2" t="n"/>
      <c r="P545" s="2" t="n"/>
      <c r="Q545" s="2" t="n"/>
      <c r="R545" s="2" t="n"/>
      <c r="S545" s="2" t="inlineStr">
        <is>
          <t>Rejeitado(a) em Comissão</t>
        </is>
      </c>
      <c r="T545" s="2" t="inlineStr">
        <is>
          <t>Rejeitada</t>
        </is>
      </c>
      <c r="U545" s="2" t="inlineStr">
        <is>
          <t>Favor: IL, L, PCP, BE, PAN; Contra: PSD, PS, CDS-PP; Abstenção: CH</t>
        </is>
      </c>
      <c r="V545" s="3" t="n">
        <v>45987</v>
      </c>
      <c r="W545" s="2" t="inlineStr">
        <is>
          <t>AR: https://www.parlamento.pt/OrcamentoEstado/Paginas/DetalhePropostaAlteracao.aspx?BID=23718 PDF: https://app.parlamento.pt/webutils/docs/doc.pdf?path=6148523063484d364c793942556b356c6443397a6158526c63793959566b6c4a544556484c3039464c7a49774d6a59794d4449314d5441774f5339515153396a5a5455334d6d55795a43316d4f4749354c54526b4f4751744f445a6b4e79316c4e5759785a574e6b4d44566d4d4755756347526d&amp;Fich=ce572e2d-f8b9-4d8d-86d7-e5f1ecd05f0e.pdf&amp;Inline=true</t>
        </is>
      </c>
      <c r="X545" s="2" t="inlineStr">
        <is>
          <t>Comissão de Economia e Coesão Territorial; Orçamento, Finanças e Administração Pública</t>
        </is>
      </c>
      <c r="Y545" s="2" t="inlineStr">
        <is>
          <t>Articulado</t>
        </is>
      </c>
      <c r="Z545" s="2" t="inlineStr">
        <is>
          <t>Aditamento (Artigo PPL)</t>
        </is>
      </c>
      <c r="AA545" s="2" t="inlineStr">
        <is>
          <t>Rejeitado(a) em Comissão</t>
        </is>
      </c>
      <c r="AB545" s="2" t="inlineStr"/>
      <c r="AC545" s="2" t="inlineStr"/>
      <c r="AD545" s="2" t="inlineStr">
        <is>
          <t>1</t>
        </is>
      </c>
      <c r="AE545" s="2" t="inlineStr">
        <is>
          <t>23718</t>
        </is>
      </c>
      <c r="AF545" s="2" t="inlineStr">
        <is>
          <t>https://www.parlamento.pt/OrcamentoEstado/Paginas/DetalhePropostaAlteracao.aspx?BID=23718</t>
        </is>
      </c>
      <c r="AG545" s="2" t="inlineStr">
        <is>
          <t>https://app.parlamento.pt/webutils/docs/doc.pdf?path=6148523063484d364c793942556b356c6443397a6158526c63793959566b6c4a544556484c3039464c7a49774d6a59794d4449314d5441774f5339515153396a5a5455334d6d55795a43316d4f4749354c54526b4f4751744f445a6b4e79316c4e5759785a574e6b4d44566d4d4755756347526d&amp;Fich=ce572e2d-f8b9-4d8d-86d7-e5f1ecd05f0e.pdf&amp;Inline=true</t>
        </is>
      </c>
      <c r="AH545" s="3" t="n">
        <v>46321.77847222222</v>
      </c>
      <c r="AI545" s="3" t="n">
        <v>46321.78055555555</v>
      </c>
      <c r="AJ545" s="2" t="inlineStr"/>
    </row>
    <row r="546">
      <c r="A546" s="2" t="n">
        <v>545</v>
      </c>
      <c r="B546" s="2" t="inlineStr">
        <is>
          <t>503C</t>
        </is>
      </c>
      <c r="C546" s="3" t="n">
        <v>45966.44513888889</v>
      </c>
      <c r="D546" s="2" t="inlineStr">
        <is>
          <t>Original</t>
        </is>
      </c>
      <c r="E546" s="2" t="inlineStr">
        <is>
          <t>PCP</t>
        </is>
      </c>
      <c r="F546" s="2" t="inlineStr">
        <is>
          <t>Alfredo Maia; Paula Santos; Paulo Raimundo</t>
        </is>
      </c>
      <c r="G546" s="2" t="inlineStr">
        <is>
          <t>Art. 138.º (aditamento)</t>
        </is>
      </c>
      <c r="H546" s="2" t="n"/>
      <c r="I546" s="2" t="n"/>
      <c r="J546" s="2" t="n"/>
      <c r="K546" s="2" t="n"/>
      <c r="L546" s="2" t="inlineStr">
        <is>
          <t>Alínea c), Artigo 138.º</t>
        </is>
      </c>
      <c r="M546" s="4" t="n"/>
      <c r="N546" s="4" t="n"/>
      <c r="O546" s="2" t="n"/>
      <c r="P546" s="2" t="n"/>
      <c r="Q546" s="2" t="n"/>
      <c r="R546" s="2" t="n"/>
      <c r="S546" s="2" t="inlineStr">
        <is>
          <t>Rejeitado(a) em Comissão</t>
        </is>
      </c>
      <c r="T546" s="2" t="inlineStr">
        <is>
          <t>Rejeitada</t>
        </is>
      </c>
      <c r="U546" s="2" t="inlineStr">
        <is>
          <t>Favor: L, PCP, BE, PAN; Contra: PSD, CH, IL, CDS-PP; Abstenção: PS</t>
        </is>
      </c>
      <c r="V546" s="3" t="n">
        <v>45987</v>
      </c>
      <c r="W546" s="2" t="inlineStr">
        <is>
          <t>AR: https://www.parlamento.pt/OrcamentoEstado/Paginas/DetalhePropostaAlteracao.aspx?BID=23719 PDF: https://app.parlamento.pt/webutils/docs/doc.pdf?path=6148523063484d364c793942556b356c6443397a6158526c63793959566b6c4a544556484c3039464c7a49774d6a59794d4449314d5441774f5339515153396d4d6a6b77596d59774e43316b4d44637a4c54517859324d744f575a685a6931694e7a566a595459334f5745345a6d4d756347526d&amp;Fich=f290bf04-d073-41cc-9faf-b75ca679a8fc.pdf&amp;Inline=true</t>
        </is>
      </c>
      <c r="X546" s="2" t="inlineStr">
        <is>
          <t>Comissão de Economia e Coesão Territorial</t>
        </is>
      </c>
      <c r="Y546" s="2" t="inlineStr">
        <is>
          <t>Articulado</t>
        </is>
      </c>
      <c r="Z546" s="2" t="inlineStr">
        <is>
          <t>Aditamento (Números e Alíneas)</t>
        </is>
      </c>
      <c r="AA546" s="2" t="inlineStr">
        <is>
          <t>Rejeitado(a) em Comissão</t>
        </is>
      </c>
      <c r="AB546" s="2" t="inlineStr"/>
      <c r="AC546" s="2" t="inlineStr"/>
      <c r="AD546" s="2" t="inlineStr">
        <is>
          <t>1</t>
        </is>
      </c>
      <c r="AE546" s="2" t="inlineStr">
        <is>
          <t>23719</t>
        </is>
      </c>
      <c r="AF546" s="2" t="inlineStr">
        <is>
          <t>https://www.parlamento.pt/OrcamentoEstado/Paginas/DetalhePropostaAlteracao.aspx?BID=23719</t>
        </is>
      </c>
      <c r="AG546" s="2" t="inlineStr">
        <is>
          <t>https://app.parlamento.pt/webutils/docs/doc.pdf?path=6148523063484d364c793942556b356c6443397a6158526c63793959566b6c4a544556484c3039464c7a49774d6a59794d4449314d5441774f5339515153396d4d6a6b77596d59774e43316b4d44637a4c54517859324d744f575a685a6931694e7a566a595459334f5745345a6d4d756347526d&amp;Fich=f290bf04-d073-41cc-9faf-b75ca679a8fc.pdf&amp;Inline=true</t>
        </is>
      </c>
      <c r="AH546" s="3" t="n">
        <v>46321.77847222222</v>
      </c>
      <c r="AI546" s="3" t="n">
        <v>46321.78055555555</v>
      </c>
      <c r="AJ546" s="2" t="inlineStr"/>
    </row>
    <row r="547">
      <c r="A547" s="2" t="n">
        <v>546</v>
      </c>
      <c r="B547" s="2" t="inlineStr">
        <is>
          <t>504C</t>
        </is>
      </c>
      <c r="C547" s="3" t="n">
        <v>45966.44513888889</v>
      </c>
      <c r="D547" s="2" t="inlineStr">
        <is>
          <t>Original</t>
        </is>
      </c>
      <c r="E547" s="2" t="inlineStr">
        <is>
          <t>CH</t>
        </is>
      </c>
      <c r="F54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47" s="2" t="inlineStr">
        <is>
          <t>Art. 118.º-A (aditamento)</t>
        </is>
      </c>
      <c r="H547" s="2" t="n"/>
      <c r="I547" s="2" t="n"/>
      <c r="J547" s="2" t="n"/>
      <c r="K547" s="2" t="n"/>
      <c r="L547" s="2" t="inlineStr">
        <is>
          <t>Artigo 118.º-A (Profissionalização em serviço para professores contratados)</t>
        </is>
      </c>
      <c r="M547" s="4" t="n"/>
      <c r="N547" s="4" t="n"/>
      <c r="O547" s="2" t="n"/>
      <c r="P547" s="2" t="n"/>
      <c r="Q547" s="2" t="n"/>
      <c r="R547" s="2" t="n"/>
      <c r="S547" s="2" t="inlineStr">
        <is>
          <t>Rejeitado(a) em Comissão</t>
        </is>
      </c>
      <c r="T547" s="2" t="inlineStr">
        <is>
          <t>Rejeitada</t>
        </is>
      </c>
      <c r="U547" s="2" t="inlineStr">
        <is>
          <t>Favor: CH, BE, PAN; Contra: PSD, CDS-PP; Abstenção: PS, IL, L, PCP</t>
        </is>
      </c>
      <c r="V547" s="3" t="n">
        <v>45985</v>
      </c>
      <c r="W547" s="2" t="inlineStr">
        <is>
          <t>AR: https://www.parlamento.pt/OrcamentoEstado/Paginas/DetalhePropostaAlteracao.aspx?BID=23720 PDF: https://app.parlamento.pt/webutils/docs/doc.pdf?path=6148523063484d364c793942556b356c6443397a6158526c63793959566b6c4a544556484c3039464c7a49774d6a59794d4449314d5441774f5339515153396c5a4441785a6a517a595330354f47466a4c5451794e7a5174595756694d7931695957566d4e7a59795a4745355a6a6b756347526d&amp;Fich=ed01f43a-98ac-4274-aeb3-baef762da9f9.pdf&amp;Inline=true</t>
        </is>
      </c>
      <c r="X547" s="2" t="inlineStr">
        <is>
          <t>Educação e Ciência</t>
        </is>
      </c>
      <c r="Y547" s="2" t="inlineStr">
        <is>
          <t>Articulado</t>
        </is>
      </c>
      <c r="Z547" s="2" t="inlineStr">
        <is>
          <t>Aditamento (Artigo PPL)</t>
        </is>
      </c>
      <c r="AA547" s="2" t="inlineStr">
        <is>
          <t>Rejeitado(a) em Comissão</t>
        </is>
      </c>
      <c r="AB547" s="2" t="inlineStr"/>
      <c r="AC547" s="2" t="inlineStr"/>
      <c r="AD547" s="2" t="inlineStr">
        <is>
          <t>1</t>
        </is>
      </c>
      <c r="AE547" s="2" t="inlineStr">
        <is>
          <t>23720</t>
        </is>
      </c>
      <c r="AF547" s="2" t="inlineStr">
        <is>
          <t>https://www.parlamento.pt/OrcamentoEstado/Paginas/DetalhePropostaAlteracao.aspx?BID=23720</t>
        </is>
      </c>
      <c r="AG547" s="2" t="inlineStr">
        <is>
          <t>https://app.parlamento.pt/webutils/docs/doc.pdf?path=6148523063484d364c793942556b356c6443397a6158526c63793959566b6c4a544556484c3039464c7a49774d6a59794d4449314d5441774f5339515153396c5a4441785a6a517a595330354f47466a4c5451794e7a5174595756694d7931695957566d4e7a59795a4745355a6a6b756347526d&amp;Fich=ed01f43a-98ac-4274-aeb3-baef762da9f9.pdf&amp;Inline=true</t>
        </is>
      </c>
      <c r="AH547" s="3" t="n">
        <v>46321.77847222222</v>
      </c>
      <c r="AI547" s="3" t="n">
        <v>46321.78055555555</v>
      </c>
      <c r="AJ547" s="2" t="inlineStr"/>
    </row>
    <row r="548">
      <c r="A548" s="2" t="n">
        <v>547</v>
      </c>
      <c r="B548" s="2" t="inlineStr">
        <is>
          <t>505C</t>
        </is>
      </c>
      <c r="C548" s="3" t="n">
        <v>45966.44583333333</v>
      </c>
      <c r="D548" s="2" t="inlineStr">
        <is>
          <t>Original</t>
        </is>
      </c>
      <c r="E548" s="2" t="inlineStr">
        <is>
          <t>PCP</t>
        </is>
      </c>
      <c r="F548" s="2" t="inlineStr">
        <is>
          <t>Alfredo Maia; Paula Santos; Paulo Raimundo</t>
        </is>
      </c>
      <c r="G548" s="2" t="inlineStr">
        <is>
          <t>Art. 127.º (eliminação)</t>
        </is>
      </c>
      <c r="H548" s="2" t="n"/>
      <c r="I548" s="2" t="n"/>
      <c r="J548" s="2" t="n"/>
      <c r="K548" s="2" t="n"/>
      <c r="L548" s="2" t="inlineStr">
        <is>
          <t>Artigo 127.º</t>
        </is>
      </c>
      <c r="M548" s="4" t="n"/>
      <c r="N548" s="4" t="n"/>
      <c r="O548" s="2" t="n"/>
      <c r="P548" s="2" t="n"/>
      <c r="Q548" s="2" t="n"/>
      <c r="R548" s="2" t="n"/>
      <c r="S548" s="2" t="inlineStr">
        <is>
          <t>Rejeitado(a) em Comissão</t>
        </is>
      </c>
      <c r="T548" s="2" t="inlineStr">
        <is>
          <t>Rejeitada</t>
        </is>
      </c>
      <c r="U548" s="2" t="inlineStr">
        <is>
          <t>Favor: IL, PCP, BE; Contra: PSD, L, CDS-PP, PAN; Abstenção: CH, PS</t>
        </is>
      </c>
      <c r="V548" s="3" t="n">
        <v>45985</v>
      </c>
      <c r="W548" s="2" t="inlineStr">
        <is>
          <t>AR: https://www.parlamento.pt/OrcamentoEstado/Paginas/DetalhePropostaAlteracao.aspx?BID=23721 PDF: https://app.parlamento.pt/webutils/docs/doc.pdf?path=6148523063484d364c793942556b356c6443397a6158526c63793959566b6c4a544556484c3039464c7a49774d6a59794d4449314d5441774f533951515339684f4441345a544e6a5a43316a4e4755354c54526a4d546b744f445530595331694d6d466b4e7a67774d4751774d446b756347526d&amp;Fich=a808e3cd-c4e9-4c19-854a-b2ad7800d009.pdf&amp;Inline=true</t>
        </is>
      </c>
      <c r="X548" s="2" t="inlineStr">
        <is>
          <t>Comissão de Economia e Coesão Territorial</t>
        </is>
      </c>
      <c r="Y548" s="2" t="inlineStr">
        <is>
          <t>Articulado</t>
        </is>
      </c>
      <c r="Z548" s="2" t="inlineStr">
        <is>
          <t>Eliminação</t>
        </is>
      </c>
      <c r="AA548" s="2" t="inlineStr">
        <is>
          <t>Rejeitado(a) em Comissão</t>
        </is>
      </c>
      <c r="AB548" s="2" t="inlineStr"/>
      <c r="AC548" s="2" t="inlineStr"/>
      <c r="AD548" s="2" t="inlineStr">
        <is>
          <t>1</t>
        </is>
      </c>
      <c r="AE548" s="2" t="inlineStr">
        <is>
          <t>23721</t>
        </is>
      </c>
      <c r="AF548" s="2" t="inlineStr">
        <is>
          <t>https://www.parlamento.pt/OrcamentoEstado/Paginas/DetalhePropostaAlteracao.aspx?BID=23721</t>
        </is>
      </c>
      <c r="AG548" s="2" t="inlineStr">
        <is>
          <t>https://app.parlamento.pt/webutils/docs/doc.pdf?path=6148523063484d364c793942556b356c6443397a6158526c63793959566b6c4a544556484c3039464c7a49774d6a59794d4449314d5441774f533951515339684f4441345a544e6a5a43316a4e4755354c54526a4d546b744f445530595331694d6d466b4e7a67774d4751774d446b756347526d&amp;Fich=a808e3cd-c4e9-4c19-854a-b2ad7800d009.pdf&amp;Inline=true</t>
        </is>
      </c>
      <c r="AH548" s="3" t="n">
        <v>46321.77847222222</v>
      </c>
      <c r="AI548" s="3" t="n">
        <v>46321.78055555555</v>
      </c>
      <c r="AJ548" s="2" t="inlineStr"/>
    </row>
    <row r="549">
      <c r="A549" s="2" t="n">
        <v>548</v>
      </c>
      <c r="B549" s="2" t="inlineStr">
        <is>
          <t>506C</t>
        </is>
      </c>
      <c r="C549" s="3" t="n">
        <v>45966.44583333333</v>
      </c>
      <c r="D549" s="2" t="inlineStr">
        <is>
          <t>Original</t>
        </is>
      </c>
      <c r="E549" s="2" t="inlineStr">
        <is>
          <t>CH</t>
        </is>
      </c>
      <c r="F54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49" s="2" t="inlineStr">
        <is>
          <t>Art. 118.º-A (aditamento)</t>
        </is>
      </c>
      <c r="H549" s="2" t="n"/>
      <c r="I549" s="2" t="n"/>
      <c r="J549" s="2" t="n"/>
      <c r="K549" s="2" t="n"/>
      <c r="L549" s="2" t="inlineStr">
        <is>
          <t>Artigo 118.º-A (Apoio a professores e alunos no acesso a serviços de internet móvel)</t>
        </is>
      </c>
      <c r="M549" s="4" t="n"/>
      <c r="N549" s="4" t="n"/>
      <c r="O549" s="2" t="n"/>
      <c r="P549" s="2" t="n"/>
      <c r="Q549" s="2" t="n"/>
      <c r="R549" s="2" t="n"/>
      <c r="S549" s="2" t="inlineStr">
        <is>
          <t>Rejeitado(a) em Comissão</t>
        </is>
      </c>
      <c r="T549" s="2" t="inlineStr">
        <is>
          <t>Rejeitada</t>
        </is>
      </c>
      <c r="U549" s="2" t="inlineStr">
        <is>
          <t>Favor: CH, BE, PAN; Contra: PSD, CDS-PP; Abstenção: PS, IL, L, PCP</t>
        </is>
      </c>
      <c r="V549" s="3" t="n">
        <v>45985</v>
      </c>
      <c r="W549" s="2" t="inlineStr">
        <is>
          <t>AR: https://www.parlamento.pt/OrcamentoEstado/Paginas/DetalhePropostaAlteracao.aspx?BID=23722 PDF: https://app.parlamento.pt/webutils/docs/doc.pdf?path=6148523063484d364c793942556b356c6443397a6158526c63793959566b6c4a544556484c3039464c7a49774d6a59794d4449314d5441774f5339515153396c4e7a6c6d4f4467334e43316a4e57466a4c5451354d7a4974595756685953316c5a6a45324f5446684e4467304e5467756347526d&amp;Fich=e79f8874-c5ac-4932-aeaa-ef1691a48458.pdf&amp;Inline=true</t>
        </is>
      </c>
      <c r="X549" s="2" t="inlineStr">
        <is>
          <t>Educação e Ciência</t>
        </is>
      </c>
      <c r="Y549" s="2" t="inlineStr">
        <is>
          <t>Articulado</t>
        </is>
      </c>
      <c r="Z549" s="2" t="inlineStr">
        <is>
          <t>Aditamento (Artigo PPL)</t>
        </is>
      </c>
      <c r="AA549" s="2" t="inlineStr">
        <is>
          <t>Rejeitado(a) em Comissão</t>
        </is>
      </c>
      <c r="AB549" s="2" t="inlineStr"/>
      <c r="AC549" s="2" t="inlineStr"/>
      <c r="AD549" s="2" t="inlineStr">
        <is>
          <t>1</t>
        </is>
      </c>
      <c r="AE549" s="2" t="inlineStr">
        <is>
          <t>23722</t>
        </is>
      </c>
      <c r="AF549" s="2" t="inlineStr">
        <is>
          <t>https://www.parlamento.pt/OrcamentoEstado/Paginas/DetalhePropostaAlteracao.aspx?BID=23722</t>
        </is>
      </c>
      <c r="AG549" s="2" t="inlineStr">
        <is>
          <t>https://app.parlamento.pt/webutils/docs/doc.pdf?path=6148523063484d364c793942556b356c6443397a6158526c63793959566b6c4a544556484c3039464c7a49774d6a59794d4449314d5441774f5339515153396c4e7a6c6d4f4467334e43316a4e57466a4c5451354d7a4974595756685953316c5a6a45324f5446684e4467304e5467756347526d&amp;Fich=e79f8874-c5ac-4932-aeaa-ef1691a48458.pdf&amp;Inline=true</t>
        </is>
      </c>
      <c r="AH549" s="3" t="n">
        <v>46321.77847222222</v>
      </c>
      <c r="AI549" s="3" t="n">
        <v>46321.78055555555</v>
      </c>
      <c r="AJ549" s="2" t="inlineStr"/>
    </row>
    <row r="550">
      <c r="A550" s="2" t="n">
        <v>549</v>
      </c>
      <c r="B550" s="2" t="inlineStr">
        <is>
          <t>507C</t>
        </is>
      </c>
      <c r="C550" s="3" t="n">
        <v>45966.44722222222</v>
      </c>
      <c r="D550" s="2" t="inlineStr">
        <is>
          <t>Original</t>
        </is>
      </c>
      <c r="E550" s="2" t="inlineStr">
        <is>
          <t>CH</t>
        </is>
      </c>
      <c r="F55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50" s="2" t="inlineStr">
        <is>
          <t>Art. 119.º-A (aditamento)</t>
        </is>
      </c>
      <c r="H550" s="2" t="n"/>
      <c r="I550" s="2" t="n"/>
      <c r="J550" s="2" t="n"/>
      <c r="K550" s="2" t="n"/>
      <c r="L550" s="2" t="inlineStr">
        <is>
          <t>Artigo 119.º-A (Programa de reforço da Proteção dos Pais em caso de Perda Gestacional)</t>
        </is>
      </c>
      <c r="M550" s="4" t="n"/>
      <c r="N550" s="4" t="n"/>
      <c r="O550" s="2" t="n"/>
      <c r="P550" s="2" t="n"/>
      <c r="Q550" s="2" t="n"/>
      <c r="R550" s="2" t="n"/>
      <c r="S550" s="2" t="inlineStr">
        <is>
          <t>Rejeitado(a) em Comissão</t>
        </is>
      </c>
      <c r="T550" s="2" t="inlineStr">
        <is>
          <t>Rejeitada</t>
        </is>
      </c>
      <c r="U550" s="2" t="inlineStr">
        <is>
          <t>Favor: CH, IL, BE, PAN; Contra: PSD; Abstenção: PS, L, PCP, CDS-PP</t>
        </is>
      </c>
      <c r="V550" s="3" t="n">
        <v>45985</v>
      </c>
      <c r="W550" s="2" t="inlineStr">
        <is>
          <t>AR: https://www.parlamento.pt/OrcamentoEstado/Paginas/DetalhePropostaAlteracao.aspx?BID=23723 PDF: https://app.parlamento.pt/webutils/docs/doc.pdf?path=6148523063484d364c793942556b356c6443397a6158526c63793959566b6c4a544556484c3039464c7a49774d6a59794d4449314d5441774f533951515339694f44557a4f47566a4d5330775a446b304c5451345a545174596a67775969307a4d575530596a63344e474930593259756347526d&amp;Fich=b8538ec1-0d94-48e4-b80b-31e4b784b4cf.pdf&amp;Inline=true</t>
        </is>
      </c>
      <c r="X550" s="2" t="inlineStr">
        <is>
          <t>Saúde</t>
        </is>
      </c>
      <c r="Y550" s="2" t="inlineStr">
        <is>
          <t>Articulado</t>
        </is>
      </c>
      <c r="Z550" s="2" t="inlineStr">
        <is>
          <t>Aditamento (Artigo PPL)</t>
        </is>
      </c>
      <c r="AA550" s="2" t="inlineStr">
        <is>
          <t>Rejeitado(a) em Comissão</t>
        </is>
      </c>
      <c r="AB550" s="2" t="inlineStr"/>
      <c r="AC550" s="2" t="inlineStr"/>
      <c r="AD550" s="2" t="inlineStr">
        <is>
          <t>1</t>
        </is>
      </c>
      <c r="AE550" s="2" t="inlineStr">
        <is>
          <t>23723</t>
        </is>
      </c>
      <c r="AF550" s="2" t="inlineStr">
        <is>
          <t>https://www.parlamento.pt/OrcamentoEstado/Paginas/DetalhePropostaAlteracao.aspx?BID=23723</t>
        </is>
      </c>
      <c r="AG550" s="2" t="inlineStr">
        <is>
          <t>https://app.parlamento.pt/webutils/docs/doc.pdf?path=6148523063484d364c793942556b356c6443397a6158526c63793959566b6c4a544556484c3039464c7a49774d6a59794d4449314d5441774f533951515339694f44557a4f47566a4d5330775a446b304c5451345a545174596a67775969307a4d575530596a63344e474930593259756347526d&amp;Fich=b8538ec1-0d94-48e4-b80b-31e4b784b4cf.pdf&amp;Inline=true</t>
        </is>
      </c>
      <c r="AH550" s="3" t="n">
        <v>46321.77847222222</v>
      </c>
      <c r="AI550" s="3" t="n">
        <v>46321.78055555555</v>
      </c>
      <c r="AJ550" s="2" t="inlineStr"/>
    </row>
    <row r="551">
      <c r="A551" s="2" t="n">
        <v>550</v>
      </c>
      <c r="B551" s="2" t="inlineStr">
        <is>
          <t>508C</t>
        </is>
      </c>
      <c r="C551" s="3" t="n">
        <v>45966.44791666666</v>
      </c>
      <c r="D551" s="2" t="inlineStr">
        <is>
          <t>Original</t>
        </is>
      </c>
      <c r="E551" s="2" t="inlineStr">
        <is>
          <t>CH</t>
        </is>
      </c>
      <c r="F55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51" s="2" t="inlineStr">
        <is>
          <t>Art. 119.º-A (aditamento)</t>
        </is>
      </c>
      <c r="H551" s="2" t="n"/>
      <c r="I551" s="2" t="n"/>
      <c r="J551" s="2" t="n"/>
      <c r="K551" s="2" t="n"/>
      <c r="L551" s="2" t="inlineStr">
        <is>
          <t>Artigo 119.º-A (Prevenção e combate à violência sobre profissionais de saúde)</t>
        </is>
      </c>
      <c r="M551" s="4" t="n"/>
      <c r="N551" s="4" t="n"/>
      <c r="O551" s="2" t="n"/>
      <c r="P551" s="2" t="n"/>
      <c r="Q551" s="2" t="n"/>
      <c r="R551" s="2" t="n"/>
      <c r="S551" s="2" t="inlineStr">
        <is>
          <t>Rejeitado(a) em Comissão</t>
        </is>
      </c>
      <c r="T551" s="2" t="inlineStr">
        <is>
          <t>Rejeitada</t>
        </is>
      </c>
      <c r="U551" s="2" t="inlineStr">
        <is>
          <t>Favor: CH, BE, PAN; Contra: PSD, CDS-PP; Abstenção: PS, IL, L, PCP</t>
        </is>
      </c>
      <c r="V551" s="3" t="n">
        <v>45985</v>
      </c>
      <c r="W551" s="2" t="inlineStr">
        <is>
          <t>AR: https://www.parlamento.pt/OrcamentoEstado/Paginas/DetalhePropostaAlteracao.aspx?BID=23724 PDF: https://app.parlamento.pt/webutils/docs/doc.pdf?path=6148523063484d364c793942556b356c6443397a6158526c63793959566b6c4a544556484c3039464c7a49774d6a59794d4449314d5441774f533951515338354e6a466d4e324d7a4f53316d4d7a457a4c5451345a6a5174595749345a5330324e5441794e6d4d78595459324f5463756347526d&amp;Fich=961f7c39-f313-48f4-ab8e-65026c1a6697.pdf&amp;Inline=true</t>
        </is>
      </c>
      <c r="X551" s="2" t="inlineStr">
        <is>
          <t>Saúde</t>
        </is>
      </c>
      <c r="Y551" s="2" t="inlineStr">
        <is>
          <t>Articulado</t>
        </is>
      </c>
      <c r="Z551" s="2" t="inlineStr">
        <is>
          <t>Aditamento (Artigo PPL)</t>
        </is>
      </c>
      <c r="AA551" s="2" t="inlineStr">
        <is>
          <t>Rejeitado(a) em Comissão</t>
        </is>
      </c>
      <c r="AB551" s="2" t="inlineStr"/>
      <c r="AC551" s="2" t="inlineStr"/>
      <c r="AD551" s="2" t="inlineStr">
        <is>
          <t>1</t>
        </is>
      </c>
      <c r="AE551" s="2" t="inlineStr">
        <is>
          <t>23724</t>
        </is>
      </c>
      <c r="AF551" s="2" t="inlineStr">
        <is>
          <t>https://www.parlamento.pt/OrcamentoEstado/Paginas/DetalhePropostaAlteracao.aspx?BID=23724</t>
        </is>
      </c>
      <c r="AG551" s="2" t="inlineStr">
        <is>
          <t>https://app.parlamento.pt/webutils/docs/doc.pdf?path=6148523063484d364c793942556b356c6443397a6158526c63793959566b6c4a544556484c3039464c7a49774d6a59794d4449314d5441774f533951515338354e6a466d4e324d7a4f53316d4d7a457a4c5451345a6a5174595749345a5330324e5441794e6d4d78595459324f5463756347526d&amp;Fich=961f7c39-f313-48f4-ab8e-65026c1a6697.pdf&amp;Inline=true</t>
        </is>
      </c>
      <c r="AH551" s="3" t="n">
        <v>46321.77847222222</v>
      </c>
      <c r="AI551" s="3" t="n">
        <v>46321.78055555555</v>
      </c>
      <c r="AJ551" s="2" t="inlineStr"/>
    </row>
    <row r="552">
      <c r="A552" s="2" t="n">
        <v>551</v>
      </c>
      <c r="B552" s="2" t="inlineStr">
        <is>
          <t>509C</t>
        </is>
      </c>
      <c r="C552" s="3" t="n">
        <v>45966.44930555556</v>
      </c>
      <c r="D552" s="2" t="inlineStr">
        <is>
          <t>Original</t>
        </is>
      </c>
      <c r="E552" s="2" t="inlineStr">
        <is>
          <t>CH</t>
        </is>
      </c>
      <c r="F55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52" s="2" t="inlineStr">
        <is>
          <t>Art. 121.º-A (aditamento)</t>
        </is>
      </c>
      <c r="H552" s="2" t="n"/>
      <c r="I552" s="2" t="n"/>
      <c r="J552" s="2" t="n"/>
      <c r="K552" s="2" t="n"/>
      <c r="L552" s="2" t="inlineStr">
        <is>
          <t>Artigo 121.º-A (Construção do Novo Hospital do Montijo)</t>
        </is>
      </c>
      <c r="M552" s="4" t="n"/>
      <c r="N552" s="4" t="n"/>
      <c r="O552" s="2" t="n"/>
      <c r="P552" s="2" t="n"/>
      <c r="Q552" s="2" t="n"/>
      <c r="R552" s="2" t="n"/>
      <c r="S552" s="2" t="inlineStr">
        <is>
          <t>Rejeitado(a) em Comissão</t>
        </is>
      </c>
      <c r="T552" s="2" t="inlineStr">
        <is>
          <t>Rejeitada</t>
        </is>
      </c>
      <c r="U552" s="2" t="inlineStr">
        <is>
          <t>Favor: CH, BE, PAN; Contra: PSD, CDS-PP; Abstenção: PS, IL, L, PCP</t>
        </is>
      </c>
      <c r="V552" s="3" t="n">
        <v>45985</v>
      </c>
      <c r="W552" s="2" t="inlineStr">
        <is>
          <t>AR: https://www.parlamento.pt/OrcamentoEstado/Paginas/DetalhePropostaAlteracao.aspx?BID=23725 PDF: https://app.parlamento.pt/webutils/docs/doc.pdf?path=6148523063484d364c793942556b356c6443397a6158526c63793959566b6c4a544556484c3039464c7a49774d6a59794d4449314d5441774f533951515338774e4455314f5752694f5330324e4467324c5451324e44557459545a6d4e7931694e7a51304d6a4177596d49345a6a63756347526d&amp;Fich=04559db9-6486-4645-a6f7-b744200bb8f7.pdf&amp;Inline=true</t>
        </is>
      </c>
      <c r="X552" s="2" t="inlineStr">
        <is>
          <t>Saúde</t>
        </is>
      </c>
      <c r="Y552" s="2" t="inlineStr">
        <is>
          <t>Articulado</t>
        </is>
      </c>
      <c r="Z552" s="2" t="inlineStr">
        <is>
          <t>Aditamento (Artigo PPL)</t>
        </is>
      </c>
      <c r="AA552" s="2" t="inlineStr">
        <is>
          <t>Rejeitado(a) em Comissão</t>
        </is>
      </c>
      <c r="AB552" s="2" t="inlineStr"/>
      <c r="AC552" s="2" t="inlineStr"/>
      <c r="AD552" s="2" t="inlineStr">
        <is>
          <t>1</t>
        </is>
      </c>
      <c r="AE552" s="2" t="inlineStr">
        <is>
          <t>23725</t>
        </is>
      </c>
      <c r="AF552" s="2" t="inlineStr">
        <is>
          <t>https://www.parlamento.pt/OrcamentoEstado/Paginas/DetalhePropostaAlteracao.aspx?BID=23725</t>
        </is>
      </c>
      <c r="AG552" s="2" t="inlineStr">
        <is>
          <t>https://app.parlamento.pt/webutils/docs/doc.pdf?path=6148523063484d364c793942556b356c6443397a6158526c63793959566b6c4a544556484c3039464c7a49774d6a59794d4449314d5441774f533951515338774e4455314f5752694f5330324e4467324c5451324e44557459545a6d4e7931694e7a51304d6a4177596d49345a6a63756347526d&amp;Fich=04559db9-6486-4645-a6f7-b744200bb8f7.pdf&amp;Inline=true</t>
        </is>
      </c>
      <c r="AH552" s="3" t="n">
        <v>46321.77847222222</v>
      </c>
      <c r="AI552" s="3" t="n">
        <v>46321.78055555555</v>
      </c>
      <c r="AJ552" s="2" t="inlineStr"/>
    </row>
    <row r="553">
      <c r="A553" s="2" t="n">
        <v>552</v>
      </c>
      <c r="B553" s="2" t="inlineStr">
        <is>
          <t>510C</t>
        </is>
      </c>
      <c r="C553" s="3" t="n">
        <v>45966.45138888889</v>
      </c>
      <c r="D553" s="2" t="inlineStr">
        <is>
          <t>Original</t>
        </is>
      </c>
      <c r="E553" s="2" t="inlineStr">
        <is>
          <t>CH</t>
        </is>
      </c>
      <c r="F55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53" s="2" t="inlineStr">
        <is>
          <t>Art. 121.º-A (aditamento)</t>
        </is>
      </c>
      <c r="H553" s="2" t="n"/>
      <c r="I553" s="2" t="n"/>
      <c r="J553" s="2" t="n"/>
      <c r="K553" s="2" t="n"/>
      <c r="L553" s="2" t="inlineStr">
        <is>
          <t>Artigo 121.º-A (Ampliação do Hospital Infante D. Pedro, Aveiro)</t>
        </is>
      </c>
      <c r="M553" s="4" t="n"/>
      <c r="N553" s="4" t="n"/>
      <c r="O553" s="2" t="n"/>
      <c r="P553" s="2" t="n"/>
      <c r="Q553" s="2" t="n"/>
      <c r="R553" s="2" t="n"/>
      <c r="S553" s="2" t="inlineStr">
        <is>
          <t>Rejeitado(a) em Comissão</t>
        </is>
      </c>
      <c r="T553" s="2" t="inlineStr">
        <is>
          <t>Rejeitada</t>
        </is>
      </c>
      <c r="U553" s="2" t="inlineStr">
        <is>
          <t>Favor: CH, BE, PAN; Contra: PSD, CDS-PP; Abstenção: PS, IL, L, PCP</t>
        </is>
      </c>
      <c r="V553" s="3" t="n">
        <v>45985</v>
      </c>
      <c r="W553" s="2" t="inlineStr">
        <is>
          <t>AR: https://www.parlamento.pt/OrcamentoEstado/Paginas/DetalhePropostaAlteracao.aspx?BID=23726 PDF: https://app.parlamento.pt/webutils/docs/doc.pdf?path=6148523063484d364c793942556b356c6443397a6158526c63793959566b6c4a544556484c3039464c7a49774d6a59794d4449314d5441774f533951515338324d7a46685a544d304f43316c5a6a526b4c54517a4f575974595463794d7930335a6d566b4e4752684f445578596a67756347526d&amp;Fich=631ae348-ef4d-439f-a723-7fed4da851b8.pdf&amp;Inline=true</t>
        </is>
      </c>
      <c r="X553" s="2" t="inlineStr">
        <is>
          <t>Saúde</t>
        </is>
      </c>
      <c r="Y553" s="2" t="inlineStr">
        <is>
          <t>Articulado</t>
        </is>
      </c>
      <c r="Z553" s="2" t="inlineStr">
        <is>
          <t>Aditamento (Artigo PPL)</t>
        </is>
      </c>
      <c r="AA553" s="2" t="inlineStr">
        <is>
          <t>Rejeitado(a) em Comissão</t>
        </is>
      </c>
      <c r="AB553" s="2" t="inlineStr"/>
      <c r="AC553" s="2" t="inlineStr"/>
      <c r="AD553" s="2" t="inlineStr">
        <is>
          <t>1</t>
        </is>
      </c>
      <c r="AE553" s="2" t="inlineStr">
        <is>
          <t>23726</t>
        </is>
      </c>
      <c r="AF553" s="2" t="inlineStr">
        <is>
          <t>https://www.parlamento.pt/OrcamentoEstado/Paginas/DetalhePropostaAlteracao.aspx?BID=23726</t>
        </is>
      </c>
      <c r="AG553" s="2" t="inlineStr">
        <is>
          <t>https://app.parlamento.pt/webutils/docs/doc.pdf?path=6148523063484d364c793942556b356c6443397a6158526c63793959566b6c4a544556484c3039464c7a49774d6a59794d4449314d5441774f533951515338324d7a46685a544d304f43316c5a6a526b4c54517a4f575974595463794d7930335a6d566b4e4752684f445578596a67756347526d&amp;Fich=631ae348-ef4d-439f-a723-7fed4da851b8.pdf&amp;Inline=true</t>
        </is>
      </c>
      <c r="AH553" s="3" t="n">
        <v>46321.77847222222</v>
      </c>
      <c r="AI553" s="3" t="n">
        <v>46321.78055555555</v>
      </c>
      <c r="AJ553" s="2" t="inlineStr"/>
    </row>
    <row r="554">
      <c r="A554" s="2" t="n">
        <v>553</v>
      </c>
      <c r="B554" s="2" t="inlineStr">
        <is>
          <t>511C</t>
        </is>
      </c>
      <c r="C554" s="3" t="n">
        <v>45966.45277777778</v>
      </c>
      <c r="D554" s="2" t="inlineStr">
        <is>
          <t>Original</t>
        </is>
      </c>
      <c r="E554" s="2" t="inlineStr">
        <is>
          <t>JPP</t>
        </is>
      </c>
      <c r="F554" s="2" t="inlineStr">
        <is>
          <t>Filipe Sousa</t>
        </is>
      </c>
      <c r="G554" s="2" t="inlineStr">
        <is>
          <t>Art. 136.º-A (aditamento)</t>
        </is>
      </c>
      <c r="H554" s="2" t="n"/>
      <c r="I554" s="2" t="n"/>
      <c r="J554" s="2" t="n"/>
      <c r="K554" s="2" t="n"/>
      <c r="L554" s="2" t="inlineStr">
        <is>
          <t>Artigo 136.º-A (Aditamento à Lei n.º 45/2018, de 10 de agosto)</t>
        </is>
      </c>
      <c r="M554" s="4" t="n"/>
      <c r="N554" s="4" t="n"/>
      <c r="O554" s="2" t="n"/>
      <c r="P554" s="2" t="n"/>
      <c r="Q554" s="2" t="n"/>
      <c r="R554" s="2" t="n"/>
      <c r="S554" s="2" t="inlineStr">
        <is>
          <t>Rejeitado(a) em Comissão</t>
        </is>
      </c>
      <c r="T554" s="2" t="inlineStr">
        <is>
          <t>Rejeitada</t>
        </is>
      </c>
      <c r="U554" s="2" t="inlineStr">
        <is>
          <t>Favor: BE, PAN; Contra: PSD, CH, IL, CDS-PP; Abstenção: PS, L, PCP</t>
        </is>
      </c>
      <c r="V554" s="3" t="n">
        <v>45987</v>
      </c>
      <c r="W554" s="2" t="inlineStr">
        <is>
          <t>AR: https://www.parlamento.pt/OrcamentoEstado/Paginas/DetalhePropostaAlteracao.aspx?BID=23727 PDF: https://app.parlamento.pt/webutils/docs/doc.pdf?path=6148523063484d364c793942556b356c6443397a6158526c63793959566b6c4a544556484c3039464c7a49774d6a59794d4449314d5441774f5339515153387a4f44417a4f5749314d7930304d5445344c5451354d7a6774595455315a4331694d3245775a6a41314e5756694d6a67756347526d&amp;Fich=38039b53-4118-4938-a55d-b3a0f055eb28.pdf&amp;Inline=true</t>
        </is>
      </c>
      <c r="X554" s="2" t="inlineStr">
        <is>
          <t>Infraestruturas, Mobilidade e Habitação</t>
        </is>
      </c>
      <c r="Y554" s="2" t="inlineStr">
        <is>
          <t>Articulado</t>
        </is>
      </c>
      <c r="Z554" s="2" t="inlineStr">
        <is>
          <t>Aditamento (Artigo PPL)</t>
        </is>
      </c>
      <c r="AA554" s="2" t="inlineStr">
        <is>
          <t>Rejeitado(a) em Comissão</t>
        </is>
      </c>
      <c r="AB554" s="2" t="inlineStr"/>
      <c r="AC554" s="2" t="inlineStr"/>
      <c r="AD554" s="2" t="inlineStr">
        <is>
          <t>1</t>
        </is>
      </c>
      <c r="AE554" s="2" t="inlineStr">
        <is>
          <t>23727</t>
        </is>
      </c>
      <c r="AF554" s="2" t="inlineStr">
        <is>
          <t>https://www.parlamento.pt/OrcamentoEstado/Paginas/DetalhePropostaAlteracao.aspx?BID=23727</t>
        </is>
      </c>
      <c r="AG554" s="2" t="inlineStr">
        <is>
          <t>https://app.parlamento.pt/webutils/docs/doc.pdf?path=6148523063484d364c793942556b356c6443397a6158526c63793959566b6c4a544556484c3039464c7a49774d6a59794d4449314d5441774f5339515153387a4f44417a4f5749314d7930304d5445344c5451354d7a6774595455315a4331694d3245775a6a41314e5756694d6a67756347526d&amp;Fich=38039b53-4118-4938-a55d-b3a0f055eb28.pdf&amp;Inline=true</t>
        </is>
      </c>
      <c r="AH554" s="3" t="n">
        <v>46321.77847222222</v>
      </c>
      <c r="AI554" s="3" t="n">
        <v>46321.78055555555</v>
      </c>
      <c r="AJ554" s="2" t="inlineStr"/>
    </row>
    <row r="555">
      <c r="A555" s="2" t="n">
        <v>554</v>
      </c>
      <c r="B555" s="2" t="inlineStr">
        <is>
          <t>512C</t>
        </is>
      </c>
      <c r="C555" s="3" t="n">
        <v>45966.45347222222</v>
      </c>
      <c r="D555" s="2" t="inlineStr">
        <is>
          <t>Original</t>
        </is>
      </c>
      <c r="E555" s="2" t="inlineStr">
        <is>
          <t>CH</t>
        </is>
      </c>
      <c r="F55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55" s="2" t="inlineStr">
        <is>
          <t>Art. 123.º-A (aditamento)</t>
        </is>
      </c>
      <c r="H555" s="2" t="n"/>
      <c r="I555" s="2" t="n"/>
      <c r="J555" s="2" t="n"/>
      <c r="K555" s="2" t="n"/>
      <c r="L555" s="2" t="inlineStr">
        <is>
          <t>Artigo 123.º-A (Acessibilidade nos transportes públicos)</t>
        </is>
      </c>
      <c r="M555" s="4" t="n"/>
      <c r="N555" s="4" t="n"/>
      <c r="O555" s="2" t="n"/>
      <c r="P555" s="2" t="n"/>
      <c r="Q555" s="2" t="n"/>
      <c r="R555" s="2" t="n"/>
      <c r="S555" s="2" t="inlineStr">
        <is>
          <t>Rejeitado(a) em Comissão</t>
        </is>
      </c>
      <c r="T555" s="2" t="inlineStr">
        <is>
          <t>Rejeitada</t>
        </is>
      </c>
      <c r="U555" s="2" t="inlineStr">
        <is>
          <t>Favor: CH, IL, BE, PAN; Contra: PSD, CDS-PP; Abstenção: PS, L, PCP</t>
        </is>
      </c>
      <c r="V555" s="3" t="n">
        <v>45985</v>
      </c>
      <c r="W555" s="2" t="inlineStr">
        <is>
          <t>AR: https://www.parlamento.pt/OrcamentoEstado/Paginas/DetalhePropostaAlteracao.aspx?BID=23728 PDF: https://app.parlamento.pt/webutils/docs/doc.pdf?path=6148523063484d364c793942556b356c6443397a6158526c63793959566b6c4a544556484c3039464c7a49774d6a59794d4449314d5441774f533951515338795a5451354e6a4e6b5a433032597a41354c5451784f446774595745335a43307a4f44526959546b304d5751785a444d756347526d&amp;Fich=2e4963dd-6c09-4188-aa7d-384ba941d1d3.pdf&amp;Inline=true</t>
        </is>
      </c>
      <c r="X555" s="2" t="inlineStr">
        <is>
          <t>Trabalho, Segurança Social e Inclusão</t>
        </is>
      </c>
      <c r="Y555" s="2" t="inlineStr">
        <is>
          <t>Articulado</t>
        </is>
      </c>
      <c r="Z555" s="2" t="inlineStr">
        <is>
          <t>Aditamento (Artigo PPL)</t>
        </is>
      </c>
      <c r="AA555" s="2" t="inlineStr">
        <is>
          <t>Rejeitado(a) em Comissão</t>
        </is>
      </c>
      <c r="AB555" s="2" t="inlineStr"/>
      <c r="AC555" s="2" t="inlineStr"/>
      <c r="AD555" s="2" t="inlineStr">
        <is>
          <t>1</t>
        </is>
      </c>
      <c r="AE555" s="2" t="inlineStr">
        <is>
          <t>23728</t>
        </is>
      </c>
      <c r="AF555" s="2" t="inlineStr">
        <is>
          <t>https://www.parlamento.pt/OrcamentoEstado/Paginas/DetalhePropostaAlteracao.aspx?BID=23728</t>
        </is>
      </c>
      <c r="AG555" s="2" t="inlineStr">
        <is>
          <t>https://app.parlamento.pt/webutils/docs/doc.pdf?path=6148523063484d364c793942556b356c6443397a6158526c63793959566b6c4a544556484c3039464c7a49774d6a59794d4449314d5441774f533951515338795a5451354e6a4e6b5a433032597a41354c5451784f446774595745335a43307a4f44526959546b304d5751785a444d756347526d&amp;Fich=2e4963dd-6c09-4188-aa7d-384ba941d1d3.pdf&amp;Inline=true</t>
        </is>
      </c>
      <c r="AH555" s="3" t="n">
        <v>46321.77847222222</v>
      </c>
      <c r="AI555" s="3" t="n">
        <v>46321.78055555555</v>
      </c>
      <c r="AJ555" s="2" t="inlineStr"/>
    </row>
    <row r="556">
      <c r="A556" s="2" t="n">
        <v>555</v>
      </c>
      <c r="B556" s="2" t="inlineStr">
        <is>
          <t>513C</t>
        </is>
      </c>
      <c r="C556" s="3" t="n">
        <v>45966.45486111111</v>
      </c>
      <c r="D556" s="2" t="inlineStr">
        <is>
          <t>Original</t>
        </is>
      </c>
      <c r="E556" s="2" t="inlineStr">
        <is>
          <t>PCP</t>
        </is>
      </c>
      <c r="F556" s="2" t="inlineStr">
        <is>
          <t>Alfredo Maia; Paula Santos; Paulo Raimundo</t>
        </is>
      </c>
      <c r="G556" s="2" t="inlineStr">
        <is>
          <t>Art. 63.º-A (aditamento)</t>
        </is>
      </c>
      <c r="H556" s="2" t="n"/>
      <c r="I556" s="2" t="n"/>
      <c r="J556" s="2" t="n"/>
      <c r="K556" s="2" t="n"/>
      <c r="L556" s="2" t="inlineStr">
        <is>
          <t>Artigo 63.º-A (Alteração à lista II anexa ao Código do Imposto sobre o Valor Acrescentado)</t>
        </is>
      </c>
      <c r="M556" s="4" t="n"/>
      <c r="N556" s="4" t="n"/>
      <c r="O556" s="2" t="n"/>
      <c r="P556" s="2" t="n"/>
      <c r="Q556" s="2" t="n"/>
      <c r="R556" s="2" t="n"/>
      <c r="S556" s="2" t="inlineStr">
        <is>
          <t>Rejeitado(a) em Comissão</t>
        </is>
      </c>
      <c r="T556" s="2" t="inlineStr">
        <is>
          <t>Rejeitada</t>
        </is>
      </c>
      <c r="U556" s="2" t="inlineStr">
        <is>
          <t>Favor: CH, IL, PCP, BE; Contra: PSD, L, CDS-PP; Abstenção: PS, PAN</t>
        </is>
      </c>
      <c r="V556" s="3" t="n">
        <v>45982</v>
      </c>
      <c r="W556" s="2" t="inlineStr">
        <is>
          <t>AR: https://www.parlamento.pt/OrcamentoEstado/Paginas/DetalhePropostaAlteracao.aspx?BID=23729 PDF: https://app.parlamento.pt/webutils/docs/doc.pdf?path=6148523063484d364c793942556b356c6443397a6158526c63793959566b6c4a544556484c3039464c7a49774d6a59794d4449314d5441774f5339515153387a5a47566a4d6d59354d4330784e475a684c5452694e47517459546731596930794e7a6735597a41325a47566a4d4467756347526d&amp;Fich=3dec2f90-14fa-4b4d-a85b-2789c06dec08.pdf&amp;Inline=true</t>
        </is>
      </c>
      <c r="X556" s="2" t="inlineStr">
        <is>
          <t>Comissão de Economia e Coesão Territorial; Orçamento, Finanças e Administração Pública</t>
        </is>
      </c>
      <c r="Y556" s="2" t="inlineStr">
        <is>
          <t>Articulado</t>
        </is>
      </c>
      <c r="Z556" s="2" t="inlineStr">
        <is>
          <t>Aditamento (Artigo PPL)</t>
        </is>
      </c>
      <c r="AA556" s="2" t="inlineStr">
        <is>
          <t>Rejeitado(a) em Comissão</t>
        </is>
      </c>
      <c r="AB556" s="2" t="inlineStr"/>
      <c r="AC556" s="2" t="inlineStr"/>
      <c r="AD556" s="2" t="inlineStr">
        <is>
          <t>1</t>
        </is>
      </c>
      <c r="AE556" s="2" t="inlineStr">
        <is>
          <t>23729</t>
        </is>
      </c>
      <c r="AF556" s="2" t="inlineStr">
        <is>
          <t>https://www.parlamento.pt/OrcamentoEstado/Paginas/DetalhePropostaAlteracao.aspx?BID=23729</t>
        </is>
      </c>
      <c r="AG556" s="2" t="inlineStr">
        <is>
          <t>https://app.parlamento.pt/webutils/docs/doc.pdf?path=6148523063484d364c793942556b356c6443397a6158526c63793959566b6c4a544556484c3039464c7a49774d6a59794d4449314d5441774f5339515153387a5a47566a4d6d59354d4330784e475a684c5452694e47517459546731596930794e7a6735597a41325a47566a4d4467756347526d&amp;Fich=3dec2f90-14fa-4b4d-a85b-2789c06dec08.pdf&amp;Inline=true</t>
        </is>
      </c>
      <c r="AH556" s="3" t="n">
        <v>46321.77847222222</v>
      </c>
      <c r="AI556" s="3" t="n">
        <v>46321.78055555555</v>
      </c>
      <c r="AJ556" s="2" t="inlineStr"/>
    </row>
    <row r="557">
      <c r="A557" s="2" t="n">
        <v>556</v>
      </c>
      <c r="B557" s="2" t="inlineStr">
        <is>
          <t>514C</t>
        </is>
      </c>
      <c r="C557" s="3" t="n">
        <v>45966.45972222222</v>
      </c>
      <c r="D557" s="2" t="inlineStr">
        <is>
          <t>Original</t>
        </is>
      </c>
      <c r="E557" s="2" t="inlineStr">
        <is>
          <t>PAN</t>
        </is>
      </c>
      <c r="F557" s="2" t="inlineStr">
        <is>
          <t>Inês de Sousa Real</t>
        </is>
      </c>
      <c r="G557" s="2" t="inlineStr">
        <is>
          <t>Art. 113.º-A (aditamento)</t>
        </is>
      </c>
      <c r="H557" s="2" t="n"/>
      <c r="I557" s="2" t="n"/>
      <c r="J557" s="2" t="n"/>
      <c r="K557" s="2" t="n"/>
      <c r="L557" s="2" t="inlineStr">
        <is>
          <t>Artigo 113.º-A (Alteração ao Decreto-Lei n.º 80-A/2022, de 25 de novembro)</t>
        </is>
      </c>
      <c r="M557" s="4" t="n"/>
      <c r="N557" s="4" t="n"/>
      <c r="O557" s="2" t="n"/>
      <c r="P557" s="2" t="n"/>
      <c r="Q557" s="2" t="n"/>
      <c r="R557" s="2" t="n"/>
      <c r="S557" s="2" t="inlineStr">
        <is>
          <t>Rejeitado(a) em Comissão</t>
        </is>
      </c>
      <c r="T557" s="2" t="inlineStr">
        <is>
          <t>Rejeitada</t>
        </is>
      </c>
      <c r="U557" s="2" t="inlineStr">
        <is>
          <t>Favor: CH, L, PCP, BE, PAN; Contra: PSD, IL, CDS-PP; Abstenção: PS</t>
        </is>
      </c>
      <c r="V557" s="3" t="n">
        <v>45985</v>
      </c>
      <c r="W557" s="2" t="inlineStr">
        <is>
          <t>AR: https://www.parlamento.pt/OrcamentoEstado/Paginas/DetalhePropostaAlteracao.aspx?BID=23730 PDF: https://app.parlamento.pt/webutils/docs/doc.pdf?path=6148523063484d364c793942556b356c6443397a6158526c63793959566b6c4a544556484c3039464c7a49774d6a59794d4449314d5441774f53395151533835597a51334e6a466b5a53316c4d7a526d4c5451354e7a4d744f4459355953303259324d324d7a5531597a49795a4755756347526d&amp;Fich=9c4761de-e34f-4973-869a-6cc6355c22de.pdf&amp;Inline=true</t>
        </is>
      </c>
      <c r="X557" s="2" t="inlineStr">
        <is>
          <t>Orçamento, Finanças e Administração Pública</t>
        </is>
      </c>
      <c r="Y557" s="2" t="inlineStr">
        <is>
          <t>Articulado</t>
        </is>
      </c>
      <c r="Z557" s="2" t="inlineStr">
        <is>
          <t>Aditamento (Artigo PPL)</t>
        </is>
      </c>
      <c r="AA557" s="2" t="inlineStr">
        <is>
          <t>Rejeitado(a) em Comissão</t>
        </is>
      </c>
      <c r="AB557" s="2" t="inlineStr"/>
      <c r="AC557" s="2" t="inlineStr"/>
      <c r="AD557" s="2" t="inlineStr">
        <is>
          <t>1</t>
        </is>
      </c>
      <c r="AE557" s="2" t="inlineStr">
        <is>
          <t>23730</t>
        </is>
      </c>
      <c r="AF557" s="2" t="inlineStr">
        <is>
          <t>https://www.parlamento.pt/OrcamentoEstado/Paginas/DetalhePropostaAlteracao.aspx?BID=23730</t>
        </is>
      </c>
      <c r="AG557" s="2" t="inlineStr">
        <is>
          <t>https://app.parlamento.pt/webutils/docs/doc.pdf?path=6148523063484d364c793942556b356c6443397a6158526c63793959566b6c4a544556484c3039464c7a49774d6a59794d4449314d5441774f53395151533835597a51334e6a466b5a53316c4d7a526d4c5451354e7a4d744f4459355953303259324d324d7a5531597a49795a4755756347526d&amp;Fich=9c4761de-e34f-4973-869a-6cc6355c22de.pdf&amp;Inline=true</t>
        </is>
      </c>
      <c r="AH557" s="3" t="n">
        <v>46321.77847222222</v>
      </c>
      <c r="AI557" s="3" t="n">
        <v>46321.78055555555</v>
      </c>
      <c r="AJ557" s="2" t="inlineStr"/>
    </row>
    <row r="558">
      <c r="A558" s="2" t="n">
        <v>557</v>
      </c>
      <c r="B558" s="2" t="inlineStr">
        <is>
          <t>515C</t>
        </is>
      </c>
      <c r="C558" s="3" t="n">
        <v>45966.46111111111</v>
      </c>
      <c r="D558" s="2" t="inlineStr">
        <is>
          <t>Original</t>
        </is>
      </c>
      <c r="E558" s="2" t="inlineStr">
        <is>
          <t>PAN</t>
        </is>
      </c>
      <c r="F558" s="2" t="inlineStr">
        <is>
          <t>Inês de Sousa Real</t>
        </is>
      </c>
      <c r="G558" s="2" t="inlineStr">
        <is>
          <t>Art. 137.º (aditamento)</t>
        </is>
      </c>
      <c r="H558" s="2" t="n"/>
      <c r="I558" s="2" t="n"/>
      <c r="J558" s="2" t="n"/>
      <c r="K558" s="2" t="n"/>
      <c r="L558" s="2" t="inlineStr">
        <is>
          <t>Alínea a), Alínea b), Corpo, N.º 4, Artigo 137.º</t>
        </is>
      </c>
      <c r="M558" s="4" t="n"/>
      <c r="N558" s="4" t="n"/>
      <c r="O558" s="2" t="n"/>
      <c r="P558" s="2" t="n"/>
      <c r="Q558" s="2" t="n"/>
      <c r="R558" s="2" t="n"/>
      <c r="S558" s="2" t="inlineStr">
        <is>
          <t>Rejeitado(a) em Comissão</t>
        </is>
      </c>
      <c r="T558" s="2" t="inlineStr">
        <is>
          <t>Rejeitada</t>
        </is>
      </c>
      <c r="U558" s="2" t="inlineStr">
        <is>
          <t>Favor: CH, IL, L, PCP, BE, PAN; Contra: PSD, CDS-PP; Abstenção: PS</t>
        </is>
      </c>
      <c r="V558" s="3" t="n">
        <v>45987</v>
      </c>
      <c r="W558" s="2" t="inlineStr">
        <is>
          <t>AR: https://www.parlamento.pt/OrcamentoEstado/Paginas/DetalhePropostaAlteracao.aspx?BID=23731 PDF: https://app.parlamento.pt/webutils/docs/doc.pdf?path=6148523063484d364c793942556b356c6443397a6158526c63793959566b6c4a544556484c3039464c7a49774d6a59794d4449314d5441774f5339515153396b5a5451794d5746684d6931684d6d4d784c5452694d5745744f54637a4e69307a4d544d7a5954686b59325930595745756347526d&amp;Fich=de421aa2-a2c1-4b1a-9736-3133a8dcf4aa.pdf&amp;Inline=true</t>
        </is>
      </c>
      <c r="X558" s="2" t="inlineStr">
        <is>
          <t>Orçamento, Finanças e Administração Pública</t>
        </is>
      </c>
      <c r="Y558" s="2" t="inlineStr">
        <is>
          <t>Articulado</t>
        </is>
      </c>
      <c r="Z558" s="2" t="inlineStr">
        <is>
          <t>Aditamento (Números e Alíneas)</t>
        </is>
      </c>
      <c r="AA558" s="2" t="inlineStr">
        <is>
          <t>Rejeitado(a) em Comissão</t>
        </is>
      </c>
      <c r="AB558" s="2" t="inlineStr"/>
      <c r="AC558" s="2" t="inlineStr"/>
      <c r="AD558" s="2" t="inlineStr">
        <is>
          <t>1</t>
        </is>
      </c>
      <c r="AE558" s="2" t="inlineStr">
        <is>
          <t>23731</t>
        </is>
      </c>
      <c r="AF558" s="2" t="inlineStr">
        <is>
          <t>https://www.parlamento.pt/OrcamentoEstado/Paginas/DetalhePropostaAlteracao.aspx?BID=23731</t>
        </is>
      </c>
      <c r="AG558" s="2" t="inlineStr">
        <is>
          <t>https://app.parlamento.pt/webutils/docs/doc.pdf?path=6148523063484d364c793942556b356c6443397a6158526c63793959566b6c4a544556484c3039464c7a49774d6a59794d4449314d5441774f5339515153396b5a5451794d5746684d6931684d6d4d784c5452694d5745744f54637a4e69307a4d544d7a5954686b59325930595745756347526d&amp;Fich=de421aa2-a2c1-4b1a-9736-3133a8dcf4aa.pdf&amp;Inline=true</t>
        </is>
      </c>
      <c r="AH558" s="3" t="n">
        <v>46321.77847222222</v>
      </c>
      <c r="AI558" s="3" t="n">
        <v>46321.78055555555</v>
      </c>
      <c r="AJ558" s="2" t="inlineStr"/>
    </row>
    <row r="559">
      <c r="A559" s="2" t="n">
        <v>558</v>
      </c>
      <c r="B559" s="2" t="inlineStr">
        <is>
          <t>516C</t>
        </is>
      </c>
      <c r="C559" s="3" t="n">
        <v>45966.46875</v>
      </c>
      <c r="D559" s="2" t="inlineStr">
        <is>
          <t>Original</t>
        </is>
      </c>
      <c r="E559" s="2" t="inlineStr">
        <is>
          <t>PCP</t>
        </is>
      </c>
      <c r="F559" s="2" t="inlineStr">
        <is>
          <t>Alfredo Maia; Paula Santos; Paulo Raimundo</t>
        </is>
      </c>
      <c r="G559" s="2" t="inlineStr">
        <is>
          <t>Art. 7.º (aditamento)</t>
        </is>
      </c>
      <c r="H559" s="2" t="n"/>
      <c r="I559" s="2" t="n"/>
      <c r="J559" s="2" t="n"/>
      <c r="K559" s="2" t="n"/>
      <c r="L559" s="2" t="inlineStr">
        <is>
          <t>Nova Verba 74, Mapa de alterações e transferências orçamentais, Artigo 7.º</t>
        </is>
      </c>
      <c r="M559" s="4" t="n"/>
      <c r="N559" s="4" t="n"/>
      <c r="O559" s="2" t="n"/>
      <c r="P559" s="2" t="n"/>
      <c r="Q559" s="2" t="n"/>
      <c r="R559" s="2" t="n"/>
      <c r="S559" s="2" t="inlineStr">
        <is>
          <t>Rejeitado(a) em Comissão</t>
        </is>
      </c>
      <c r="T559" s="2" t="inlineStr">
        <is>
          <t>Rejeitada</t>
        </is>
      </c>
      <c r="U559" s="2" t="inlineStr">
        <is>
          <t>Favor: CH, L, PCP, BE, PAN; Contra: PSD, CDS-PP; Abstenção: PS, IL</t>
        </is>
      </c>
      <c r="V559" s="3" t="n">
        <v>45987</v>
      </c>
      <c r="W559" s="2" t="inlineStr">
        <is>
          <t>AR: https://www.parlamento.pt/OrcamentoEstado/Paginas/DetalhePropostaAlteracao.aspx?BID=23732 PDF: https://app.parlamento.pt/webutils/docs/doc.pdf?path=6148523063484d364c793942556b356c6443397a6158526c63793959566b6c4a544556484c3039464c7a49774d6a59794d4449314d5441774f5339515153396b596a6c6c4d7a67794e5330774d3256694c5452694d6d5174595759345a533032597a6335596d5a6a4d5745354e6a41756347526d&amp;Fich=db9e3825-03eb-4b2d-af8e-6c79bfc1a960.pdf&amp;Inline=true</t>
        </is>
      </c>
      <c r="X559" s="2" t="inlineStr">
        <is>
          <t>Assuntos Constitucionais, Direitos, Liberdades e Garantias</t>
        </is>
      </c>
      <c r="Y559" s="2" t="inlineStr">
        <is>
          <t>Articulado</t>
        </is>
      </c>
      <c r="Z559" s="2" t="inlineStr">
        <is>
          <t>Aditamento (Números e Alíneas)</t>
        </is>
      </c>
      <c r="AA559" s="2" t="inlineStr">
        <is>
          <t>Rejeitado(a) em Comissão</t>
        </is>
      </c>
      <c r="AB559" s="2" t="inlineStr"/>
      <c r="AC559" s="2" t="inlineStr"/>
      <c r="AD559" s="2" t="inlineStr">
        <is>
          <t>1</t>
        </is>
      </c>
      <c r="AE559" s="2" t="inlineStr">
        <is>
          <t>23732</t>
        </is>
      </c>
      <c r="AF559" s="2" t="inlineStr">
        <is>
          <t>https://www.parlamento.pt/OrcamentoEstado/Paginas/DetalhePropostaAlteracao.aspx?BID=23732</t>
        </is>
      </c>
      <c r="AG559" s="2" t="inlineStr">
        <is>
          <t>https://app.parlamento.pt/webutils/docs/doc.pdf?path=6148523063484d364c793942556b356c6443397a6158526c63793959566b6c4a544556484c3039464c7a49774d6a59794d4449314d5441774f5339515153396b596a6c6c4d7a67794e5330774d3256694c5452694d6d5174595759345a533032597a6335596d5a6a4d5745354e6a41756347526d&amp;Fich=db9e3825-03eb-4b2d-af8e-6c79bfc1a960.pdf&amp;Inline=true</t>
        </is>
      </c>
      <c r="AH559" s="3" t="n">
        <v>46321.77847222222</v>
      </c>
      <c r="AI559" s="3" t="n">
        <v>46321.78055555555</v>
      </c>
      <c r="AJ559" s="2" t="inlineStr"/>
    </row>
    <row r="560">
      <c r="A560" s="2" t="n">
        <v>559</v>
      </c>
      <c r="B560" s="2" t="inlineStr">
        <is>
          <t>517C</t>
        </is>
      </c>
      <c r="C560" s="3" t="n">
        <v>45966.47222222222</v>
      </c>
      <c r="D560" s="2" t="inlineStr">
        <is>
          <t>Original</t>
        </is>
      </c>
      <c r="E560" s="2" t="inlineStr">
        <is>
          <t>CH</t>
        </is>
      </c>
      <c r="F56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60" s="2" t="inlineStr">
        <is>
          <t>Art. 126.º-A (aditamento)</t>
        </is>
      </c>
      <c r="H560" s="2" t="n"/>
      <c r="I560" s="2" t="n"/>
      <c r="J560" s="2" t="n"/>
      <c r="K560" s="2" t="n"/>
      <c r="L560" s="2" t="inlineStr">
        <is>
          <t>Artigo 126.º-A (Atuação Responsável na Utilização da Água)</t>
        </is>
      </c>
      <c r="M560" s="4" t="n"/>
      <c r="N560" s="4" t="n"/>
      <c r="O560" s="2" t="n"/>
      <c r="P560" s="2" t="n"/>
      <c r="Q560" s="2" t="n"/>
      <c r="R560" s="2" t="n"/>
      <c r="S560" s="2" t="inlineStr">
        <is>
          <t>Rejeitado(a) em Comissão</t>
        </is>
      </c>
      <c r="T560" s="2" t="inlineStr">
        <is>
          <t>Rejeitada</t>
        </is>
      </c>
      <c r="U560" s="2" t="inlineStr">
        <is>
          <t>Favor: CH, IL, BE, PAN; Contra: PSD, CDS-PP; Abstenção: PS, L, PCP</t>
        </is>
      </c>
      <c r="V560" s="3" t="n">
        <v>45985</v>
      </c>
      <c r="W560" s="2" t="inlineStr">
        <is>
          <t>AR: https://www.parlamento.pt/OrcamentoEstado/Paginas/DetalhePropostaAlteracao.aspx?BID=23733 PDF: https://app.parlamento.pt/webutils/docs/doc.pdf?path=6148523063484d364c793942556b356c6443397a6158526c63793959566b6c4a544556484c3039464c7a49774d6a59794d4449314d5441774f5339515153387a4d6a41325a4451784d53307a4d546b7a4c5451794e5745744f4468694f53316a4e57557a5957466b4e3251315a5467756347526d&amp;Fich=3206d411-3193-425a-88b9-c5e3aad7d5e8.pdf&amp;Inline=true</t>
        </is>
      </c>
      <c r="X560" s="2" t="inlineStr">
        <is>
          <t>Ambiente e Energia</t>
        </is>
      </c>
      <c r="Y560" s="2" t="inlineStr">
        <is>
          <t>Articulado</t>
        </is>
      </c>
      <c r="Z560" s="2" t="inlineStr">
        <is>
          <t>Aditamento (Artigo PPL)</t>
        </is>
      </c>
      <c r="AA560" s="2" t="inlineStr">
        <is>
          <t>Rejeitado(a) em Comissão</t>
        </is>
      </c>
      <c r="AB560" s="2" t="inlineStr"/>
      <c r="AC560" s="2" t="inlineStr"/>
      <c r="AD560" s="2" t="inlineStr">
        <is>
          <t>1</t>
        </is>
      </c>
      <c r="AE560" s="2" t="inlineStr">
        <is>
          <t>23733</t>
        </is>
      </c>
      <c r="AF560" s="2" t="inlineStr">
        <is>
          <t>https://www.parlamento.pt/OrcamentoEstado/Paginas/DetalhePropostaAlteracao.aspx?BID=23733</t>
        </is>
      </c>
      <c r="AG560" s="2" t="inlineStr">
        <is>
          <t>https://app.parlamento.pt/webutils/docs/doc.pdf?path=6148523063484d364c793942556b356c6443397a6158526c63793959566b6c4a544556484c3039464c7a49774d6a59794d4449314d5441774f5339515153387a4d6a41325a4451784d53307a4d546b7a4c5451794e5745744f4468694f53316a4e57557a5957466b4e3251315a5467756347526d&amp;Fich=3206d411-3193-425a-88b9-c5e3aad7d5e8.pdf&amp;Inline=true</t>
        </is>
      </c>
      <c r="AH560" s="3" t="n">
        <v>46321.77847222222</v>
      </c>
      <c r="AI560" s="3" t="n">
        <v>46321.78055555555</v>
      </c>
      <c r="AJ560" s="2" t="inlineStr"/>
    </row>
    <row r="561">
      <c r="A561" s="2" t="n">
        <v>560</v>
      </c>
      <c r="B561" s="2" t="inlineStr">
        <is>
          <t>518C</t>
        </is>
      </c>
      <c r="C561" s="3" t="n">
        <v>45966.47361111111</v>
      </c>
      <c r="D561" s="2" t="inlineStr">
        <is>
          <t>Original</t>
        </is>
      </c>
      <c r="E561" s="2" t="inlineStr">
        <is>
          <t>PCP</t>
        </is>
      </c>
      <c r="F561" s="2" t="inlineStr">
        <is>
          <t>Alfredo Maia; Paula Santos; Paulo Raimundo</t>
        </is>
      </c>
      <c r="G561" s="2" t="inlineStr">
        <is>
          <t>Art. 7.º (aditamento)</t>
        </is>
      </c>
      <c r="H561" s="2" t="n"/>
      <c r="I561" s="2" t="n"/>
      <c r="J561" s="2" t="n"/>
      <c r="K561" s="2" t="n"/>
      <c r="L561" s="2" t="inlineStr">
        <is>
          <t>Nova Verba 92, Mapa de alterações e transferências orçamentais, Artigo 7.º</t>
        </is>
      </c>
      <c r="M561" s="4" t="n"/>
      <c r="N561" s="4" t="n"/>
      <c r="O561" s="2" t="n"/>
      <c r="P561" s="2" t="n"/>
      <c r="Q561" s="2" t="n"/>
      <c r="R561" s="2" t="n"/>
      <c r="S561" s="2" t="inlineStr">
        <is>
          <t>Rejeitado(a) em Comissão</t>
        </is>
      </c>
      <c r="T561" s="2" t="inlineStr">
        <is>
          <t>Rejeitada</t>
        </is>
      </c>
      <c r="U561" s="2" t="inlineStr">
        <is>
          <t>Favor: CH, L, PCP, BE, PAN; Contra: PSD, IL, CDS-PP; Abstenção: PS</t>
        </is>
      </c>
      <c r="V561" s="3" t="n">
        <v>45987</v>
      </c>
      <c r="W561" s="2" t="inlineStr">
        <is>
          <t>AR: https://www.parlamento.pt/OrcamentoEstado/Paginas/DetalhePropostaAlteracao.aspx?BID=23734 PDF: https://app.parlamento.pt/webutils/docs/doc.pdf?path=6148523063484d364c793942556b356c6443397a6158526c63793959566b6c4a544556484c3039464c7a49774d6a59794d4449314d5441774f5339515153396d4e6d526a4d7a4a6a4e533030596a41314c54526d5a5467744f4441334e6931684e7a67304d6a49304f575668595745756347526d&amp;Fich=f6dc32c5-4b05-4fe8-8076-a7842249eaaa.pdf&amp;Inline=true</t>
        </is>
      </c>
      <c r="X561" s="2" t="inlineStr">
        <is>
          <t>Assuntos Constitucionais, Direitos, Liberdades e Garantias</t>
        </is>
      </c>
      <c r="Y561" s="2" t="inlineStr">
        <is>
          <t>Articulado</t>
        </is>
      </c>
      <c r="Z561" s="2" t="inlineStr">
        <is>
          <t>Aditamento (Números e Alíneas)</t>
        </is>
      </c>
      <c r="AA561" s="2" t="inlineStr">
        <is>
          <t>Rejeitado(a) em Comissão</t>
        </is>
      </c>
      <c r="AB561" s="2" t="inlineStr"/>
      <c r="AC561" s="2" t="inlineStr"/>
      <c r="AD561" s="2" t="inlineStr">
        <is>
          <t>1</t>
        </is>
      </c>
      <c r="AE561" s="2" t="inlineStr">
        <is>
          <t>23734</t>
        </is>
      </c>
      <c r="AF561" s="2" t="inlineStr">
        <is>
          <t>https://www.parlamento.pt/OrcamentoEstado/Paginas/DetalhePropostaAlteracao.aspx?BID=23734</t>
        </is>
      </c>
      <c r="AG561" s="2" t="inlineStr">
        <is>
          <t>https://app.parlamento.pt/webutils/docs/doc.pdf?path=6148523063484d364c793942556b356c6443397a6158526c63793959566b6c4a544556484c3039464c7a49774d6a59794d4449314d5441774f5339515153396d4e6d526a4d7a4a6a4e533030596a41314c54526d5a5467744f4441334e6931684e7a67304d6a49304f575668595745756347526d&amp;Fich=f6dc32c5-4b05-4fe8-8076-a7842249eaaa.pdf&amp;Inline=true</t>
        </is>
      </c>
      <c r="AH561" s="3" t="n">
        <v>46321.77847222222</v>
      </c>
      <c r="AI561" s="3" t="n">
        <v>46321.78055555555</v>
      </c>
      <c r="AJ561" s="2" t="inlineStr"/>
    </row>
    <row r="562">
      <c r="A562" s="2" t="n">
        <v>561</v>
      </c>
      <c r="B562" s="2" t="inlineStr">
        <is>
          <t>519C</t>
        </is>
      </c>
      <c r="C562" s="3" t="n">
        <v>45966.47569444445</v>
      </c>
      <c r="D562" s="2" t="inlineStr">
        <is>
          <t>Original</t>
        </is>
      </c>
      <c r="E562" s="2" t="inlineStr">
        <is>
          <t>CH</t>
        </is>
      </c>
      <c r="F56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62" s="2" t="inlineStr">
        <is>
          <t>Art. 126.º-A (aditamento)</t>
        </is>
      </c>
      <c r="H562" s="2" t="n"/>
      <c r="I562" s="2" t="n"/>
      <c r="J562" s="2" t="n"/>
      <c r="K562" s="2" t="n"/>
      <c r="L562" s="2" t="inlineStr">
        <is>
          <t>Artigo 126.º-A (Auditoria à Agência Portuguesa do Ambiente, I.P)</t>
        </is>
      </c>
      <c r="M562" s="4" t="n"/>
      <c r="N562" s="4" t="n"/>
      <c r="O562" s="2" t="n"/>
      <c r="P562" s="2" t="n"/>
      <c r="Q562" s="2" t="n"/>
      <c r="R562" s="2" t="n"/>
      <c r="S562" s="2" t="inlineStr">
        <is>
          <t>Rejeitado(a) em Plenário</t>
        </is>
      </c>
      <c r="T562" s="2" t="inlineStr">
        <is>
          <t>Rejeitada</t>
        </is>
      </c>
      <c r="U562" s="2" t="inlineStr">
        <is>
          <t>Favor: CH, IL, BE, PAN, JPP; Contra: PSD, PS, L, PCP, CDS-PP</t>
        </is>
      </c>
      <c r="V562" s="3" t="n">
        <v>45987</v>
      </c>
      <c r="W562" s="2" t="inlineStr">
        <is>
          <t>Avocada a Plenário. AR: https://www.parlamento.pt/OrcamentoEstado/Paginas/DetalhePropostaAlteracao.aspx?BID=23736 PDF: https://app.parlamento.pt/webutils/docs/doc.pdf?path=6148523063484d364c793942556b356c6443397a6158526c63793959566b6c4a544556484c3039464c7a49774d6a59794d4449314d5441774f533951515339695a444e694d7a41795a43316d4f574a6b4c54526a4f44557459574d334d6931695a6a4934596a457a5a6a6b334d5467756347526d&amp;Fich=bd3b302d-f9bd-4c85-ac72-bf28b13f9718.pdf&amp;Inline=true</t>
        </is>
      </c>
      <c r="X562" s="2" t="inlineStr">
        <is>
          <t>Ambiente e Energia</t>
        </is>
      </c>
      <c r="Y562" s="2" t="inlineStr">
        <is>
          <t>Articulado</t>
        </is>
      </c>
      <c r="Z562" s="2" t="inlineStr">
        <is>
          <t>Aditamento (Artigo PPL)</t>
        </is>
      </c>
      <c r="AA562" s="2" t="inlineStr">
        <is>
          <t>Rejeitado(a) em Plenário</t>
        </is>
      </c>
      <c r="AB562" s="2" t="inlineStr">
        <is>
          <t>S</t>
        </is>
      </c>
      <c r="AC562" s="2" t="inlineStr"/>
      <c r="AD562" s="2" t="inlineStr">
        <is>
          <t>2</t>
        </is>
      </c>
      <c r="AE562" s="2" t="inlineStr">
        <is>
          <t>23736</t>
        </is>
      </c>
      <c r="AF562" s="2" t="inlineStr">
        <is>
          <t>https://www.parlamento.pt/OrcamentoEstado/Paginas/DetalhePropostaAlteracao.aspx?BID=23736</t>
        </is>
      </c>
      <c r="AG562" s="2" t="inlineStr">
        <is>
          <t>https://app.parlamento.pt/webutils/docs/doc.pdf?path=6148523063484d364c793942556b356c6443397a6158526c63793959566b6c4a544556484c3039464c7a49774d6a59794d4449314d5441774f533951515339695a444e694d7a41795a43316d4f574a6b4c54526a4f44557459574d334d6931695a6a4934596a457a5a6a6b334d5467756347526d&amp;Fich=bd3b302d-f9bd-4c85-ac72-bf28b13f9718.pdf&amp;Inline=true</t>
        </is>
      </c>
      <c r="AH562" s="3" t="n">
        <v>46321.77847222222</v>
      </c>
      <c r="AI562" s="3" t="n">
        <v>46321.78055555555</v>
      </c>
      <c r="AJ562" s="2" t="inlineStr"/>
    </row>
    <row r="563">
      <c r="A563" s="2" t="n">
        <v>562</v>
      </c>
      <c r="B563" s="2" t="inlineStr">
        <is>
          <t>520C</t>
        </is>
      </c>
      <c r="C563" s="3" t="n">
        <v>45966.47708333333</v>
      </c>
      <c r="D563" s="2" t="inlineStr">
        <is>
          <t>Original</t>
        </is>
      </c>
      <c r="E563" s="2" t="inlineStr">
        <is>
          <t>PCP</t>
        </is>
      </c>
      <c r="F563" s="2" t="inlineStr">
        <is>
          <t>Alfredo Maia; Paula Santos; Paulo Raimundo</t>
        </is>
      </c>
      <c r="G563" s="2" t="inlineStr">
        <is>
          <t>Art. 7.º (aditamento)</t>
        </is>
      </c>
      <c r="H563" s="2" t="n"/>
      <c r="I563" s="2" t="n"/>
      <c r="J563" s="2" t="n"/>
      <c r="K563" s="2" t="n"/>
      <c r="L563" s="2" t="inlineStr">
        <is>
          <t>Nova Verba 74, Mapa de alterações e transferências orçamentais, Artigo 7.º</t>
        </is>
      </c>
      <c r="M563" s="4" t="n"/>
      <c r="N563" s="4" t="n"/>
      <c r="O563" s="2" t="n"/>
      <c r="P563" s="2" t="n"/>
      <c r="Q563" s="2" t="n"/>
      <c r="R563" s="2" t="n"/>
      <c r="S563" s="2" t="inlineStr">
        <is>
          <t>Rejeitado(a) em Comissão</t>
        </is>
      </c>
      <c r="T563" s="2" t="inlineStr">
        <is>
          <t>Rejeitada</t>
        </is>
      </c>
      <c r="U563" s="2" t="inlineStr">
        <is>
          <t>Favor: CH, L, PCP, BE, PAN; Contra: PSD, CDS-PP; Abstenção: PS, IL</t>
        </is>
      </c>
      <c r="V563" s="3" t="n">
        <v>45987</v>
      </c>
      <c r="W563" s="2" t="inlineStr">
        <is>
          <t>AR: https://www.parlamento.pt/OrcamentoEstado/Paginas/DetalhePropostaAlteracao.aspx?BID=23737 PDF: https://app.parlamento.pt/webutils/docs/doc.pdf?path=6148523063484d364c793942556b356c6443397a6158526c63793959566b6c4a544556484c3039464c7a49774d6a59794d4449314d5441774f5339515153396a4e6d466c4e6a6c6a4f4331684e3251774c54526a4e6a51744f575a6a5a53316b5a575935596a67344f5451304e444d756347526d&amp;Fich=c6ae69c8-a7d0-4c64-9fce-def9b8894443.pdf&amp;Inline=true</t>
        </is>
      </c>
      <c r="X563" s="2" t="inlineStr">
        <is>
          <t>Assuntos Constitucionais, Direitos, Liberdades e Garantias</t>
        </is>
      </c>
      <c r="Y563" s="2" t="inlineStr">
        <is>
          <t>Articulado</t>
        </is>
      </c>
      <c r="Z563" s="2" t="inlineStr">
        <is>
          <t>Aditamento (Números e Alíneas)</t>
        </is>
      </c>
      <c r="AA563" s="2" t="inlineStr">
        <is>
          <t>Rejeitado(a) em Comissão</t>
        </is>
      </c>
      <c r="AB563" s="2" t="inlineStr"/>
      <c r="AC563" s="2" t="inlineStr"/>
      <c r="AD563" s="2" t="inlineStr">
        <is>
          <t>1</t>
        </is>
      </c>
      <c r="AE563" s="2" t="inlineStr">
        <is>
          <t>23737</t>
        </is>
      </c>
      <c r="AF563" s="2" t="inlineStr">
        <is>
          <t>https://www.parlamento.pt/OrcamentoEstado/Paginas/DetalhePropostaAlteracao.aspx?BID=23737</t>
        </is>
      </c>
      <c r="AG563" s="2" t="inlineStr">
        <is>
          <t>https://app.parlamento.pt/webutils/docs/doc.pdf?path=6148523063484d364c793942556b356c6443397a6158526c63793959566b6c4a544556484c3039464c7a49774d6a59794d4449314d5441774f5339515153396a4e6d466c4e6a6c6a4f4331684e3251774c54526a4e6a51744f575a6a5a53316b5a575935596a67344f5451304e444d756347526d&amp;Fich=c6ae69c8-a7d0-4c64-9fce-def9b8894443.pdf&amp;Inline=true</t>
        </is>
      </c>
      <c r="AH563" s="3" t="n">
        <v>46321.77847222222</v>
      </c>
      <c r="AI563" s="3" t="n">
        <v>46321.78055555555</v>
      </c>
      <c r="AJ563" s="2" t="inlineStr"/>
    </row>
    <row r="564">
      <c r="A564" s="2" t="n">
        <v>563</v>
      </c>
      <c r="B564" s="2" t="inlineStr">
        <is>
          <t>521C</t>
        </is>
      </c>
      <c r="C564" s="3" t="n">
        <v>45966.47777777778</v>
      </c>
      <c r="D564" s="2" t="inlineStr">
        <is>
          <t>Original</t>
        </is>
      </c>
      <c r="E564" s="2" t="inlineStr">
        <is>
          <t>PCP</t>
        </is>
      </c>
      <c r="F564" s="2" t="inlineStr">
        <is>
          <t>Alfredo Maia; Paula Santos; Paulo Raimundo</t>
        </is>
      </c>
      <c r="G564" s="2" t="inlineStr">
        <is>
          <t>Art. 28.º-A (aditamento)</t>
        </is>
      </c>
      <c r="H564" s="2" t="n"/>
      <c r="I564" s="2" t="n"/>
      <c r="J564" s="2" t="n"/>
      <c r="K564" s="2" t="n"/>
      <c r="L564" s="2" t="inlineStr">
        <is>
          <t>Artigo 28.º-A (Abono para falhas no IRN)</t>
        </is>
      </c>
      <c r="M564" s="4" t="n"/>
      <c r="N564" s="4" t="n"/>
      <c r="O564" s="2" t="n"/>
      <c r="P564" s="2" t="n"/>
      <c r="Q564" s="2" t="n"/>
      <c r="R564" s="2" t="n"/>
      <c r="S564" s="2" t="inlineStr">
        <is>
          <t>Rejeitado(a) em Comissão</t>
        </is>
      </c>
      <c r="T564" s="2" t="inlineStr">
        <is>
          <t>Rejeitada</t>
        </is>
      </c>
      <c r="U564" s="2" t="inlineStr">
        <is>
          <t>Favor: CH, L, PCP, BE, PAN; Contra: PSD, CDS-PP; Abstenção: PS, IL</t>
        </is>
      </c>
      <c r="V564" s="3" t="n">
        <v>45981</v>
      </c>
      <c r="W564" s="2" t="inlineStr">
        <is>
          <t>AR: https://www.parlamento.pt/OrcamentoEstado/Paginas/DetalhePropostaAlteracao.aspx?BID=23740 PDF: https://app.parlamento.pt/webutils/docs/doc.pdf?path=6148523063484d364c793942556b356c6443397a6158526c63793959566b6c4a544556484c3039464c7a49774d6a59794d4449314d5441774f533951515338304f544a6c4f5745344d7930774d7a68684c5451355a57517459544d795a6930785a544535593255795a544a6b4e4751756347526d&amp;Fich=492e9a83-038a-49ed-a32f-1e19ce2e2d4d.pdf&amp;Inline=true</t>
        </is>
      </c>
      <c r="X564" s="2" t="inlineStr">
        <is>
          <t>Assuntos Constitucionais, Direitos, Liberdades e Garantias</t>
        </is>
      </c>
      <c r="Y564" s="2" t="inlineStr">
        <is>
          <t>Articulado</t>
        </is>
      </c>
      <c r="Z564" s="2" t="inlineStr">
        <is>
          <t>Aditamento (Artigo PPL)</t>
        </is>
      </c>
      <c r="AA564" s="2" t="inlineStr">
        <is>
          <t>Rejeitado(a) em Comissão</t>
        </is>
      </c>
      <c r="AB564" s="2" t="inlineStr"/>
      <c r="AC564" s="2" t="inlineStr"/>
      <c r="AD564" s="2" t="inlineStr">
        <is>
          <t>1</t>
        </is>
      </c>
      <c r="AE564" s="2" t="inlineStr">
        <is>
          <t>23740</t>
        </is>
      </c>
      <c r="AF564" s="2" t="inlineStr">
        <is>
          <t>https://www.parlamento.pt/OrcamentoEstado/Paginas/DetalhePropostaAlteracao.aspx?BID=23740</t>
        </is>
      </c>
      <c r="AG564" s="2" t="inlineStr">
        <is>
          <t>https://app.parlamento.pt/webutils/docs/doc.pdf?path=6148523063484d364c793942556b356c6443397a6158526c63793959566b6c4a544556484c3039464c7a49774d6a59794d4449314d5441774f533951515338304f544a6c4f5745344d7930774d7a68684c5451355a57517459544d795a6930785a544535593255795a544a6b4e4751756347526d&amp;Fich=492e9a83-038a-49ed-a32f-1e19ce2e2d4d.pdf&amp;Inline=true</t>
        </is>
      </c>
      <c r="AH564" s="3" t="n">
        <v>46321.77847222222</v>
      </c>
      <c r="AI564" s="3" t="n">
        <v>46321.78055555555</v>
      </c>
      <c r="AJ564" s="2" t="inlineStr"/>
    </row>
    <row r="565">
      <c r="A565" s="2" t="n">
        <v>564</v>
      </c>
      <c r="B565" s="2" t="inlineStr">
        <is>
          <t>522C</t>
        </is>
      </c>
      <c r="C565" s="3" t="n">
        <v>45966.47847222222</v>
      </c>
      <c r="D565" s="2" t="inlineStr">
        <is>
          <t>Original</t>
        </is>
      </c>
      <c r="E565" s="2" t="inlineStr">
        <is>
          <t>PCP</t>
        </is>
      </c>
      <c r="F565" s="2" t="inlineStr">
        <is>
          <t>Alfredo Maia; Paula Santos; Paulo Raimundo</t>
        </is>
      </c>
      <c r="G565" s="2" t="inlineStr">
        <is>
          <t>Art. 28.º-A (aditamento)</t>
        </is>
      </c>
      <c r="H565" s="2" t="n"/>
      <c r="I565" s="2" t="n"/>
      <c r="J565" s="2" t="n"/>
      <c r="K565" s="2" t="n"/>
      <c r="L565" s="2" t="inlineStr">
        <is>
          <t>Artigo 28.º-A (Assessores especializados para os tribunais)</t>
        </is>
      </c>
      <c r="M565" s="4" t="n"/>
      <c r="N565" s="4" t="n"/>
      <c r="O565" s="2" t="n"/>
      <c r="P565" s="2" t="n"/>
      <c r="Q565" s="2" t="n"/>
      <c r="R565" s="2" t="n"/>
      <c r="S565" s="2" t="inlineStr">
        <is>
          <t>Rejeitado(a) em Comissão</t>
        </is>
      </c>
      <c r="T565" s="2" t="inlineStr">
        <is>
          <t>Rejeitada</t>
        </is>
      </c>
      <c r="U565" s="2" t="inlineStr">
        <is>
          <t>Favor: CH, L, PCP, BE, PAN; Contra: PSD, IL, CDS-PP; Abstenção: PS</t>
        </is>
      </c>
      <c r="V565" s="3" t="n">
        <v>45981</v>
      </c>
      <c r="W565" s="2" t="inlineStr">
        <is>
          <t>AR: https://www.parlamento.pt/OrcamentoEstado/Paginas/DetalhePropostaAlteracao.aspx?BID=23741 PDF: https://app.parlamento.pt/webutils/docs/doc.pdf?path=6148523063484d364c793942556b356c6443397a6158526c63793959566b6c4a544556484c3039464c7a49774d6a59794d4449314d5441774f5339515153396d4f446731596a68684f4330784f54637a4c5451344d4441744f47526d4d5330314d32466a5a444d794e6d4577595755756347526d&amp;Fich=f885b8a8-1973-4800-8df1-53acd326a0ae.pdf&amp;Inline=true</t>
        </is>
      </c>
      <c r="X565" s="2" t="inlineStr">
        <is>
          <t>Assuntos Constitucionais, Direitos, Liberdades e Garantias</t>
        </is>
      </c>
      <c r="Y565" s="2" t="inlineStr">
        <is>
          <t>Articulado</t>
        </is>
      </c>
      <c r="Z565" s="2" t="inlineStr">
        <is>
          <t>Aditamento (Artigo PPL)</t>
        </is>
      </c>
      <c r="AA565" s="2" t="inlineStr">
        <is>
          <t>Rejeitado(a) em Comissão</t>
        </is>
      </c>
      <c r="AB565" s="2" t="inlineStr"/>
      <c r="AC565" s="2" t="inlineStr"/>
      <c r="AD565" s="2" t="inlineStr">
        <is>
          <t>1</t>
        </is>
      </c>
      <c r="AE565" s="2" t="inlineStr">
        <is>
          <t>23741</t>
        </is>
      </c>
      <c r="AF565" s="2" t="inlineStr">
        <is>
          <t>https://www.parlamento.pt/OrcamentoEstado/Paginas/DetalhePropostaAlteracao.aspx?BID=23741</t>
        </is>
      </c>
      <c r="AG565" s="2" t="inlineStr">
        <is>
          <t>https://app.parlamento.pt/webutils/docs/doc.pdf?path=6148523063484d364c793942556b356c6443397a6158526c63793959566b6c4a544556484c3039464c7a49774d6a59794d4449314d5441774f5339515153396d4f446731596a68684f4330784f54637a4c5451344d4441744f47526d4d5330314d32466a5a444d794e6d4577595755756347526d&amp;Fich=f885b8a8-1973-4800-8df1-53acd326a0ae.pdf&amp;Inline=true</t>
        </is>
      </c>
      <c r="AH565" s="3" t="n">
        <v>46321.77847222222</v>
      </c>
      <c r="AI565" s="3" t="n">
        <v>46321.78055555555</v>
      </c>
      <c r="AJ565" s="2" t="inlineStr"/>
    </row>
    <row r="566">
      <c r="A566" s="2" t="n">
        <v>565</v>
      </c>
      <c r="B566" s="2" t="inlineStr">
        <is>
          <t>523C</t>
        </is>
      </c>
      <c r="C566" s="3" t="n">
        <v>45966.47916666666</v>
      </c>
      <c r="D566" s="2" t="inlineStr">
        <is>
          <t>Original</t>
        </is>
      </c>
      <c r="E566" s="2" t="inlineStr">
        <is>
          <t>CH</t>
        </is>
      </c>
      <c r="F56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66" s="2" t="inlineStr">
        <is>
          <t>Art. 126.º-A (aditamento)</t>
        </is>
      </c>
      <c r="H566" s="2" t="n"/>
      <c r="I566" s="2" t="n"/>
      <c r="J566" s="2" t="n"/>
      <c r="K566" s="2" t="n"/>
      <c r="L566" s="2" t="inlineStr">
        <is>
          <t>Artigo 126.º-A (Estudo técnico-económico para a prospeção e exploração de gás natural em território nacional)</t>
        </is>
      </c>
      <c r="M566" s="4" t="n"/>
      <c r="N566" s="4" t="n"/>
      <c r="O566" s="2" t="n"/>
      <c r="P566" s="2" t="n"/>
      <c r="Q566" s="2" t="n"/>
      <c r="R566" s="2" t="n"/>
      <c r="S566" s="2" t="inlineStr">
        <is>
          <t>Rejeitado(a) em Comissão</t>
        </is>
      </c>
      <c r="T566" s="2" t="inlineStr">
        <is>
          <t>Rejeitada</t>
        </is>
      </c>
      <c r="U566" s="2" t="inlineStr">
        <is>
          <t>Favor: CH, IL; Contra: PSD, PS, L, CDS-PP, BE, PAN; Abstenção: PCP</t>
        </is>
      </c>
      <c r="V566" s="3" t="n">
        <v>45985</v>
      </c>
      <c r="W566" s="2" t="inlineStr">
        <is>
          <t>AR: https://www.parlamento.pt/OrcamentoEstado/Paginas/DetalhePropostaAlteracao.aspx?BID=23742 PDF: https://app.parlamento.pt/webutils/docs/doc.pdf?path=6148523063484d364c793942556b356c6443397a6158526c63793959566b6c4a544556484c3039464c7a49774d6a59794d4449314d5441774f53395151533835593259304d444e694d79316b5a6d46684c54526d4d6a51744f4755774e4331695954417859545a6d4e474d355a4449756347526d&amp;Fich=9cf403b3-dfaa-4f24-8e04-ba01a6f4c9d2.pdf&amp;Inline=true</t>
        </is>
      </c>
      <c r="X566" s="2" t="inlineStr">
        <is>
          <t>Ambiente e Energia</t>
        </is>
      </c>
      <c r="Y566" s="2" t="inlineStr">
        <is>
          <t>Articulado</t>
        </is>
      </c>
      <c r="Z566" s="2" t="inlineStr">
        <is>
          <t>Aditamento (Artigo PPL)</t>
        </is>
      </c>
      <c r="AA566" s="2" t="inlineStr">
        <is>
          <t>Rejeitado(a) em Comissão</t>
        </is>
      </c>
      <c r="AB566" s="2" t="inlineStr"/>
      <c r="AC566" s="2" t="inlineStr"/>
      <c r="AD566" s="2" t="inlineStr">
        <is>
          <t>1</t>
        </is>
      </c>
      <c r="AE566" s="2" t="inlineStr">
        <is>
          <t>23742</t>
        </is>
      </c>
      <c r="AF566" s="2" t="inlineStr">
        <is>
          <t>https://www.parlamento.pt/OrcamentoEstado/Paginas/DetalhePropostaAlteracao.aspx?BID=23742</t>
        </is>
      </c>
      <c r="AG566" s="2" t="inlineStr">
        <is>
          <t>https://app.parlamento.pt/webutils/docs/doc.pdf?path=6148523063484d364c793942556b356c6443397a6158526c63793959566b6c4a544556484c3039464c7a49774d6a59794d4449314d5441774f53395151533835593259304d444e694d79316b5a6d46684c54526d4d6a51744f4755774e4331695954417859545a6d4e474d355a4449756347526d&amp;Fich=9cf403b3-dfaa-4f24-8e04-ba01a6f4c9d2.pdf&amp;Inline=true</t>
        </is>
      </c>
      <c r="AH566" s="3" t="n">
        <v>46321.77847222222</v>
      </c>
      <c r="AI566" s="3" t="n">
        <v>46321.78055555555</v>
      </c>
      <c r="AJ566" s="2" t="inlineStr"/>
    </row>
    <row r="567">
      <c r="A567" s="2" t="n">
        <v>566</v>
      </c>
      <c r="B567" s="2" t="inlineStr">
        <is>
          <t>524C</t>
        </is>
      </c>
      <c r="C567" s="3" t="n">
        <v>45966.47986111111</v>
      </c>
      <c r="D567" s="2" t="inlineStr">
        <is>
          <t>Original</t>
        </is>
      </c>
      <c r="E567" s="2" t="inlineStr">
        <is>
          <t>PCP</t>
        </is>
      </c>
      <c r="F567" s="2" t="inlineStr">
        <is>
          <t>Alfredo Maia; Paula Santos; Paulo Raimundo</t>
        </is>
      </c>
      <c r="G567" s="2" t="inlineStr">
        <is>
          <t>Art. 28.º-A (aditamento)</t>
        </is>
      </c>
      <c r="H567" s="2" t="n"/>
      <c r="I567" s="2" t="n"/>
      <c r="J567" s="2" t="n"/>
      <c r="K567" s="2" t="n"/>
      <c r="L567" s="2" t="inlineStr">
        <is>
          <t>Artigo 28.º-A (Carreira de técnico de reinserção)</t>
        </is>
      </c>
      <c r="M567" s="4" t="n"/>
      <c r="N567" s="4" t="n"/>
      <c r="O567" s="2" t="n"/>
      <c r="P567" s="2" t="n"/>
      <c r="Q567" s="2" t="n"/>
      <c r="R567" s="2" t="n"/>
      <c r="S567" s="2" t="inlineStr">
        <is>
          <t>Rejeitado(a) em Comissão</t>
        </is>
      </c>
      <c r="T567" s="2" t="inlineStr">
        <is>
          <t>Rejeitada</t>
        </is>
      </c>
      <c r="U567" s="2" t="inlineStr">
        <is>
          <t>Favor: CH, L, PCP, BE, PAN; Contra: PSD, CDS-PP; Abstenção: PS, IL</t>
        </is>
      </c>
      <c r="V567" s="3" t="n">
        <v>45981</v>
      </c>
      <c r="W567" s="2" t="inlineStr">
        <is>
          <t>AR: https://www.parlamento.pt/OrcamentoEstado/Paginas/DetalhePropostaAlteracao.aspx?BID=23743 PDF: https://app.parlamento.pt/webutils/docs/doc.pdf?path=6148523063484d364c793942556b356c6443397a6158526c63793959566b6c4a544556484c3039464c7a49774d6a59794d4449314d5441774f533951515339694d7a497a596a466a4d69316c4e6a55324c5452694e3259745954497959793031593252684d324d7a4d475a6d595463756347526d&amp;Fich=b323b1c2-e656-4b7f-a22c-5cda3c30ffa7.pdf&amp;Inline=true</t>
        </is>
      </c>
      <c r="X567" s="2" t="inlineStr">
        <is>
          <t>Assuntos Constitucionais, Direitos, Liberdades e Garantias</t>
        </is>
      </c>
      <c r="Y567" s="2" t="inlineStr">
        <is>
          <t>Articulado</t>
        </is>
      </c>
      <c r="Z567" s="2" t="inlineStr">
        <is>
          <t>Aditamento (Artigo PPL)</t>
        </is>
      </c>
      <c r="AA567" s="2" t="inlineStr">
        <is>
          <t>Rejeitado(a) em Comissão</t>
        </is>
      </c>
      <c r="AB567" s="2" t="inlineStr"/>
      <c r="AC567" s="2" t="inlineStr"/>
      <c r="AD567" s="2" t="inlineStr">
        <is>
          <t>1</t>
        </is>
      </c>
      <c r="AE567" s="2" t="inlineStr">
        <is>
          <t>23743</t>
        </is>
      </c>
      <c r="AF567" s="2" t="inlineStr">
        <is>
          <t>https://www.parlamento.pt/OrcamentoEstado/Paginas/DetalhePropostaAlteracao.aspx?BID=23743</t>
        </is>
      </c>
      <c r="AG567" s="2" t="inlineStr">
        <is>
          <t>https://app.parlamento.pt/webutils/docs/doc.pdf?path=6148523063484d364c793942556b356c6443397a6158526c63793959566b6c4a544556484c3039464c7a49774d6a59794d4449314d5441774f533951515339694d7a497a596a466a4d69316c4e6a55324c5452694e3259745954497959793031593252684d324d7a4d475a6d595463756347526d&amp;Fich=b323b1c2-e656-4b7f-a22c-5cda3c30ffa7.pdf&amp;Inline=true</t>
        </is>
      </c>
      <c r="AH567" s="3" t="n">
        <v>46321.77847222222</v>
      </c>
      <c r="AI567" s="3" t="n">
        <v>46321.78055555555</v>
      </c>
      <c r="AJ567" s="2" t="inlineStr"/>
    </row>
    <row r="568">
      <c r="A568" s="2" t="n">
        <v>567</v>
      </c>
      <c r="B568" s="2" t="inlineStr">
        <is>
          <t>525C</t>
        </is>
      </c>
      <c r="C568" s="3" t="n">
        <v>45966.48125</v>
      </c>
      <c r="D568" s="2" t="inlineStr">
        <is>
          <t>Original</t>
        </is>
      </c>
      <c r="E568" s="2" t="inlineStr">
        <is>
          <t>CH</t>
        </is>
      </c>
      <c r="F56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68" s="2" t="inlineStr">
        <is>
          <t>Art. 126.º-A (aditamento)</t>
        </is>
      </c>
      <c r="H568" s="2" t="n"/>
      <c r="I568" s="2" t="n"/>
      <c r="J568" s="2" t="n"/>
      <c r="K568" s="2" t="n"/>
      <c r="L568" s="2" t="inlineStr">
        <is>
          <t>Artigo 126.º-A (Produção de Energia Renovável em Corredores Rodoviários Existentes)</t>
        </is>
      </c>
      <c r="M568" s="4" t="n"/>
      <c r="N568" s="4" t="n"/>
      <c r="O568" s="2" t="n"/>
      <c r="P568" s="2" t="n"/>
      <c r="Q568" s="2" t="n"/>
      <c r="R568" s="2" t="n"/>
      <c r="S568" s="2" t="inlineStr">
        <is>
          <t>Rejeitado(a) em Comissão</t>
        </is>
      </c>
      <c r="T568" s="2" t="inlineStr">
        <is>
          <t>Rejeitada</t>
        </is>
      </c>
      <c r="U568" s="2" t="inlineStr">
        <is>
          <t>Favor: CH, PAN; Contra: PSD, IL, CDS-PP; Abstenção: PS, L, PCP, BE</t>
        </is>
      </c>
      <c r="V568" s="3" t="n">
        <v>45985</v>
      </c>
      <c r="W568" s="2" t="inlineStr">
        <is>
          <t>AR: https://www.parlamento.pt/OrcamentoEstado/Paginas/DetalhePropostaAlteracao.aspx?BID=23744 PDF: https://app.parlamento.pt/webutils/docs/doc.pdf?path=6148523063484d364c793942556b356c6443397a6158526c63793959566b6c4a544556484c3039464c7a49774d6a59794d4449314d5441774f533951515338334f5745314d4759354d79307a5a6d49784c54526b4e4755744f4759794e43316c4e44646c4e4759355a6a67774e3255756347526d&amp;Fich=79a50f93-3fb1-4d4e-8f24-e47e4f9f807e.pdf&amp;Inline=true</t>
        </is>
      </c>
      <c r="X568" s="2" t="inlineStr">
        <is>
          <t>Ambiente e Energia</t>
        </is>
      </c>
      <c r="Y568" s="2" t="inlineStr">
        <is>
          <t>Articulado</t>
        </is>
      </c>
      <c r="Z568" s="2" t="inlineStr">
        <is>
          <t>Aditamento (Artigo PPL)</t>
        </is>
      </c>
      <c r="AA568" s="2" t="inlineStr">
        <is>
          <t>Rejeitado(a) em Comissão</t>
        </is>
      </c>
      <c r="AB568" s="2" t="inlineStr"/>
      <c r="AC568" s="2" t="inlineStr"/>
      <c r="AD568" s="2" t="inlineStr">
        <is>
          <t>1</t>
        </is>
      </c>
      <c r="AE568" s="2" t="inlineStr">
        <is>
          <t>23744</t>
        </is>
      </c>
      <c r="AF568" s="2" t="inlineStr">
        <is>
          <t>https://www.parlamento.pt/OrcamentoEstado/Paginas/DetalhePropostaAlteracao.aspx?BID=23744</t>
        </is>
      </c>
      <c r="AG568" s="2" t="inlineStr">
        <is>
          <t>https://app.parlamento.pt/webutils/docs/doc.pdf?path=6148523063484d364c793942556b356c6443397a6158526c63793959566b6c4a544556484c3039464c7a49774d6a59794d4449314d5441774f533951515338334f5745314d4759354d79307a5a6d49784c54526b4e4755744f4759794e43316c4e44646c4e4759355a6a67774e3255756347526d&amp;Fich=79a50f93-3fb1-4d4e-8f24-e47e4f9f807e.pdf&amp;Inline=true</t>
        </is>
      </c>
      <c r="AH568" s="3" t="n">
        <v>46321.77847222222</v>
      </c>
      <c r="AI568" s="3" t="n">
        <v>46321.78055555555</v>
      </c>
      <c r="AJ568" s="2" t="inlineStr"/>
    </row>
    <row r="569">
      <c r="A569" s="2" t="n">
        <v>568</v>
      </c>
      <c r="B569" s="2" t="inlineStr">
        <is>
          <t>526C</t>
        </is>
      </c>
      <c r="C569" s="3" t="n">
        <v>45966.48194444444</v>
      </c>
      <c r="D569" s="2" t="inlineStr">
        <is>
          <t>Original</t>
        </is>
      </c>
      <c r="E569" s="2" t="inlineStr">
        <is>
          <t>PCP</t>
        </is>
      </c>
      <c r="F569" s="2" t="inlineStr">
        <is>
          <t>Alfredo Maia; Paula Santos; Paulo Raimundo</t>
        </is>
      </c>
      <c r="G569" s="2" t="inlineStr">
        <is>
          <t>Art. 28.º-A (aditamento)</t>
        </is>
      </c>
      <c r="H569" s="2" t="n"/>
      <c r="I569" s="2" t="n"/>
      <c r="J569" s="2" t="n"/>
      <c r="K569" s="2" t="n"/>
      <c r="L569" s="2" t="inlineStr">
        <is>
          <t>Artigo 28.º-A (Contratação de enfermeiros para os Estabelecimentos Prisionais)</t>
        </is>
      </c>
      <c r="M569" s="4" t="n"/>
      <c r="N569" s="4" t="n"/>
      <c r="O569" s="2" t="n"/>
      <c r="P569" s="2" t="n"/>
      <c r="Q569" s="2" t="n"/>
      <c r="R569" s="2" t="n"/>
      <c r="S569" s="2" t="inlineStr">
        <is>
          <t>Rejeitado(a) em Comissão</t>
        </is>
      </c>
      <c r="T569" s="2" t="inlineStr">
        <is>
          <t>Rejeitada</t>
        </is>
      </c>
      <c r="U569" s="2" t="inlineStr">
        <is>
          <t>Favor: CH, L, PCP, BE, PAN; Contra: PSD, CDS-PP; Abstenção: PS, IL</t>
        </is>
      </c>
      <c r="V569" s="3" t="n">
        <v>45981</v>
      </c>
      <c r="W569" s="2" t="inlineStr">
        <is>
          <t>AR: https://www.parlamento.pt/OrcamentoEstado/Paginas/DetalhePropostaAlteracao.aspx?BID=23745 PDF: https://app.parlamento.pt/webutils/docs/doc.pdf?path=6148523063484d364c793942556b356c6443397a6158526c63793959566b6c4a544556484c3039464c7a49774d6a59794d4449314d5441774f533951515338334d474d355a54526d4e4330305957466d4c54517a4d5751744f4749784e6930774e4749784e5756684d5467304d4445756347526d&amp;Fich=70c9e4f4-4aaf-431d-8b16-04b15ea18401.pdf&amp;Inline=true</t>
        </is>
      </c>
      <c r="X569" s="2" t="inlineStr">
        <is>
          <t>Assuntos Constitucionais, Direitos, Liberdades e Garantias</t>
        </is>
      </c>
      <c r="Y569" s="2" t="inlineStr">
        <is>
          <t>Articulado</t>
        </is>
      </c>
      <c r="Z569" s="2" t="inlineStr">
        <is>
          <t>Aditamento (Artigo PPL)</t>
        </is>
      </c>
      <c r="AA569" s="2" t="inlineStr">
        <is>
          <t>Rejeitado(a) em Comissão</t>
        </is>
      </c>
      <c r="AB569" s="2" t="inlineStr"/>
      <c r="AC569" s="2" t="inlineStr"/>
      <c r="AD569" s="2" t="inlineStr">
        <is>
          <t>1</t>
        </is>
      </c>
      <c r="AE569" s="2" t="inlineStr">
        <is>
          <t>23745</t>
        </is>
      </c>
      <c r="AF569" s="2" t="inlineStr">
        <is>
          <t>https://www.parlamento.pt/OrcamentoEstado/Paginas/DetalhePropostaAlteracao.aspx?BID=23745</t>
        </is>
      </c>
      <c r="AG569" s="2" t="inlineStr">
        <is>
          <t>https://app.parlamento.pt/webutils/docs/doc.pdf?path=6148523063484d364c793942556b356c6443397a6158526c63793959566b6c4a544556484c3039464c7a49774d6a59794d4449314d5441774f533951515338334d474d355a54526d4e4330305957466d4c54517a4d5751744f4749784e6930774e4749784e5756684d5467304d4445756347526d&amp;Fich=70c9e4f4-4aaf-431d-8b16-04b15ea18401.pdf&amp;Inline=true</t>
        </is>
      </c>
      <c r="AH569" s="3" t="n">
        <v>46321.77847222222</v>
      </c>
      <c r="AI569" s="3" t="n">
        <v>46321.78055555555</v>
      </c>
      <c r="AJ569" s="2" t="inlineStr"/>
    </row>
    <row r="570">
      <c r="A570" s="2" t="n">
        <v>569</v>
      </c>
      <c r="B570" s="2" t="inlineStr">
        <is>
          <t>527C</t>
        </is>
      </c>
      <c r="C570" s="3" t="n">
        <v>45966.48263888889</v>
      </c>
      <c r="D570" s="2" t="inlineStr">
        <is>
          <t>Original</t>
        </is>
      </c>
      <c r="E570" s="2" t="inlineStr">
        <is>
          <t>CH</t>
        </is>
      </c>
      <c r="F57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70" s="2" t="inlineStr">
        <is>
          <t>Art. 126.º-A (aditamento)</t>
        </is>
      </c>
      <c r="H570" s="2" t="n"/>
      <c r="I570" s="2" t="n"/>
      <c r="J570" s="2" t="n"/>
      <c r="K570" s="2" t="n"/>
      <c r="L570" s="2" t="inlineStr">
        <is>
          <t>Artigo 126.º-A (Implementação de programa de monitorização da fauna cinegética)</t>
        </is>
      </c>
      <c r="M570" s="4" t="n"/>
      <c r="N570" s="4" t="n"/>
      <c r="O570" s="2" t="n"/>
      <c r="P570" s="2" t="n"/>
      <c r="Q570" s="2" t="n"/>
      <c r="R570" s="2" t="n"/>
      <c r="S570" s="2" t="inlineStr">
        <is>
          <t>Rejeitado(a) em Comissão</t>
        </is>
      </c>
      <c r="T570" s="2" t="inlineStr">
        <is>
          <t>Rejeitada</t>
        </is>
      </c>
      <c r="U570" s="2" t="inlineStr">
        <is>
          <t>Favor: CH; Contra: PSD, PS, CDS-PP, PAN; Abstenção: IL, L, PCP, BE</t>
        </is>
      </c>
      <c r="V570" s="3" t="n">
        <v>45985</v>
      </c>
      <c r="W570" s="2" t="inlineStr">
        <is>
          <t>AR: https://www.parlamento.pt/OrcamentoEstado/Paginas/DetalhePropostaAlteracao.aspx?BID=23746 PDF: https://app.parlamento.pt/webutils/docs/doc.pdf?path=6148523063484d364c793942556b356c6443397a6158526c63793959566b6c4a544556484c3039464c7a49774d6a59794d4449314d5441774f533951515339695a5749324d575a685a5330324f4749774c5451324e7a63744f574a6b4f5330794d6d51784d7a6b31596a51784d3251756347526d&amp;Fich=beb61fae-68b0-4677-9bd9-22d1395b413d.pdf&amp;Inline=true</t>
        </is>
      </c>
      <c r="X570" s="2" t="inlineStr">
        <is>
          <t>Agricultura e Pescas</t>
        </is>
      </c>
      <c r="Y570" s="2" t="inlineStr">
        <is>
          <t>Articulado</t>
        </is>
      </c>
      <c r="Z570" s="2" t="inlineStr">
        <is>
          <t>Aditamento (Artigo PPL)</t>
        </is>
      </c>
      <c r="AA570" s="2" t="inlineStr">
        <is>
          <t>Rejeitado(a) em Comissão</t>
        </is>
      </c>
      <c r="AB570" s="2" t="inlineStr"/>
      <c r="AC570" s="2" t="inlineStr"/>
      <c r="AD570" s="2" t="inlineStr">
        <is>
          <t>1</t>
        </is>
      </c>
      <c r="AE570" s="2" t="inlineStr">
        <is>
          <t>23746</t>
        </is>
      </c>
      <c r="AF570" s="2" t="inlineStr">
        <is>
          <t>https://www.parlamento.pt/OrcamentoEstado/Paginas/DetalhePropostaAlteracao.aspx?BID=23746</t>
        </is>
      </c>
      <c r="AG570" s="2" t="inlineStr">
        <is>
          <t>https://app.parlamento.pt/webutils/docs/doc.pdf?path=6148523063484d364c793942556b356c6443397a6158526c63793959566b6c4a544556484c3039464c7a49774d6a59794d4449314d5441774f533951515339695a5749324d575a685a5330324f4749774c5451324e7a63744f574a6b4f5330794d6d51784d7a6b31596a51784d3251756347526d&amp;Fich=beb61fae-68b0-4677-9bd9-22d1395b413d.pdf&amp;Inline=true</t>
        </is>
      </c>
      <c r="AH570" s="3" t="n">
        <v>46321.77847222222</v>
      </c>
      <c r="AI570" s="3" t="n">
        <v>46321.78055555555</v>
      </c>
      <c r="AJ570" s="2" t="inlineStr"/>
    </row>
    <row r="571">
      <c r="A571" s="2" t="n">
        <v>570</v>
      </c>
      <c r="B571" s="2" t="inlineStr">
        <is>
          <t>528C</t>
        </is>
      </c>
      <c r="C571" s="3" t="n">
        <v>45966.48333333333</v>
      </c>
      <c r="D571" s="2" t="inlineStr">
        <is>
          <t>Original</t>
        </is>
      </c>
      <c r="E571" s="2" t="inlineStr">
        <is>
          <t>PCP</t>
        </is>
      </c>
      <c r="F571" s="2" t="inlineStr">
        <is>
          <t>Alfredo Maia; Paula Santos; Paulo Raimundo</t>
        </is>
      </c>
      <c r="G571" s="2" t="inlineStr">
        <is>
          <t>Art. 28.º-A (aditamento)</t>
        </is>
      </c>
      <c r="H571" s="2" t="n"/>
      <c r="I571" s="2" t="n"/>
      <c r="J571" s="2" t="n"/>
      <c r="K571" s="2" t="n"/>
      <c r="L571" s="2" t="inlineStr">
        <is>
          <t>Artigo 28.º-A (Contratação de psicólogos para os estabelecimentos prisionais)</t>
        </is>
      </c>
      <c r="M571" s="4" t="n"/>
      <c r="N571" s="4" t="n"/>
      <c r="O571" s="2" t="n"/>
      <c r="P571" s="2" t="n"/>
      <c r="Q571" s="2" t="n"/>
      <c r="R571" s="2" t="n"/>
      <c r="S571" s="2" t="inlineStr">
        <is>
          <t>Rejeitado(a) em Comissão</t>
        </is>
      </c>
      <c r="T571" s="2" t="inlineStr">
        <is>
          <t>Rejeitada</t>
        </is>
      </c>
      <c r="U571" s="2" t="inlineStr">
        <is>
          <t>Favor: CH, L, PCP, BE, PAN; Contra: PSD, CDS-PP; Abstenção: PS, IL</t>
        </is>
      </c>
      <c r="V571" s="3" t="n">
        <v>45981</v>
      </c>
      <c r="W571" s="2" t="inlineStr">
        <is>
          <t>AR: https://www.parlamento.pt/OrcamentoEstado/Paginas/DetalhePropostaAlteracao.aspx?BID=23747 PDF: https://app.parlamento.pt/webutils/docs/doc.pdf?path=6148523063484d364c793942556b356c6443397a6158526c63793959566b6c4a544556484c3039464c7a49774d6a59794d4449314d5441774f533951515339694d7a55785a4751354d4330774e4459334c54517a59574d744f445a6b4f4330774d544533595751325a6d49334d5467756347526d&amp;Fich=b351dd90-0467-43ac-86d8-0117ad6fb718.pdf&amp;Inline=true</t>
        </is>
      </c>
      <c r="X571" s="2" t="inlineStr">
        <is>
          <t>Assuntos Constitucionais, Direitos, Liberdades e Garantias</t>
        </is>
      </c>
      <c r="Y571" s="2" t="inlineStr">
        <is>
          <t>Articulado</t>
        </is>
      </c>
      <c r="Z571" s="2" t="inlineStr">
        <is>
          <t>Aditamento (Artigo PPL)</t>
        </is>
      </c>
      <c r="AA571" s="2" t="inlineStr">
        <is>
          <t>Rejeitado(a) em Comissão</t>
        </is>
      </c>
      <c r="AB571" s="2" t="inlineStr"/>
      <c r="AC571" s="2" t="inlineStr"/>
      <c r="AD571" s="2" t="inlineStr">
        <is>
          <t>1</t>
        </is>
      </c>
      <c r="AE571" s="2" t="inlineStr">
        <is>
          <t>23747</t>
        </is>
      </c>
      <c r="AF571" s="2" t="inlineStr">
        <is>
          <t>https://www.parlamento.pt/OrcamentoEstado/Paginas/DetalhePropostaAlteracao.aspx?BID=23747</t>
        </is>
      </c>
      <c r="AG571" s="2" t="inlineStr">
        <is>
          <t>https://app.parlamento.pt/webutils/docs/doc.pdf?path=6148523063484d364c793942556b356c6443397a6158526c63793959566b6c4a544556484c3039464c7a49774d6a59794d4449314d5441774f533951515339694d7a55785a4751354d4330774e4459334c54517a59574d744f445a6b4f4330774d544533595751325a6d49334d5467756347526d&amp;Fich=b351dd90-0467-43ac-86d8-0117ad6fb718.pdf&amp;Inline=true</t>
        </is>
      </c>
      <c r="AH571" s="3" t="n">
        <v>46321.77847222222</v>
      </c>
      <c r="AI571" s="3" t="n">
        <v>46321.78055555555</v>
      </c>
      <c r="AJ571" s="2" t="inlineStr"/>
    </row>
    <row r="572">
      <c r="A572" s="2" t="n">
        <v>571</v>
      </c>
      <c r="B572" s="2" t="inlineStr">
        <is>
          <t>529C</t>
        </is>
      </c>
      <c r="C572" s="3" t="n">
        <v>45966.48472222222</v>
      </c>
      <c r="D572" s="2" t="inlineStr">
        <is>
          <t>Original</t>
        </is>
      </c>
      <c r="E572" s="2" t="inlineStr">
        <is>
          <t>CH</t>
        </is>
      </c>
      <c r="F57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72" s="2" t="inlineStr">
        <is>
          <t>Art. 128.º-A (aditamento)</t>
        </is>
      </c>
      <c r="H572" s="2" t="n"/>
      <c r="I572" s="2" t="n"/>
      <c r="J572" s="2" t="n"/>
      <c r="K572" s="2" t="n"/>
      <c r="L572" s="2" t="inlineStr">
        <is>
          <t>Artigo 128.º-A (Fomento da produção biológica em territórios de baixa densidade populacional)</t>
        </is>
      </c>
      <c r="M572" s="4" t="n"/>
      <c r="N572" s="4" t="n"/>
      <c r="O572" s="2" t="n"/>
      <c r="P572" s="2" t="n"/>
      <c r="Q572" s="2" t="n"/>
      <c r="R572" s="2" t="n"/>
      <c r="S572" s="2" t="inlineStr">
        <is>
          <t>Rejeitado(a) em Comissão</t>
        </is>
      </c>
      <c r="T572" s="2" t="inlineStr">
        <is>
          <t>Rejeitada</t>
        </is>
      </c>
      <c r="U572" s="2" t="inlineStr">
        <is>
          <t>Favor: CH, BE, PAN; Contra: PSD, IL, PCP, CDS-PP; Abstenção: PS, L</t>
        </is>
      </c>
      <c r="V572" s="3" t="n">
        <v>45985</v>
      </c>
      <c r="W572" s="2" t="inlineStr">
        <is>
          <t>AR: https://www.parlamento.pt/OrcamentoEstado/Paginas/DetalhePropostaAlteracao.aspx?BID=23748 PDF: https://app.parlamento.pt/webutils/docs/doc.pdf?path=6148523063484d364c793942556b356c6443397a6158526c63793959566b6c4a544556484c3039464c7a49774d6a59794d4449314d5441774f5339515153396b596d526a4d7a637a597930314e5442694c5451794e6a59744f57526c4d69303359544a69597a417a59546c6d4f5755756347526d&amp;Fich=dbdc373c-550b-4266-9de2-7a2bc03a9f9e.pdf&amp;Inline=true</t>
        </is>
      </c>
      <c r="X572" s="2" t="inlineStr">
        <is>
          <t>Agricultura e Pescas</t>
        </is>
      </c>
      <c r="Y572" s="2" t="inlineStr">
        <is>
          <t>Articulado</t>
        </is>
      </c>
      <c r="Z572" s="2" t="inlineStr">
        <is>
          <t>Aditamento (Artigo PPL)</t>
        </is>
      </c>
      <c r="AA572" s="2" t="inlineStr">
        <is>
          <t>Rejeitado(a) em Comissão</t>
        </is>
      </c>
      <c r="AB572" s="2" t="inlineStr"/>
      <c r="AC572" s="2" t="inlineStr"/>
      <c r="AD572" s="2" t="inlineStr">
        <is>
          <t>1</t>
        </is>
      </c>
      <c r="AE572" s="2" t="inlineStr">
        <is>
          <t>23748</t>
        </is>
      </c>
      <c r="AF572" s="2" t="inlineStr">
        <is>
          <t>https://www.parlamento.pt/OrcamentoEstado/Paginas/DetalhePropostaAlteracao.aspx?BID=23748</t>
        </is>
      </c>
      <c r="AG572" s="2" t="inlineStr">
        <is>
          <t>https://app.parlamento.pt/webutils/docs/doc.pdf?path=6148523063484d364c793942556b356c6443397a6158526c63793959566b6c4a544556484c3039464c7a49774d6a59794d4449314d5441774f5339515153396b596d526a4d7a637a597930314e5442694c5451794e6a59744f57526c4d69303359544a69597a417a59546c6d4f5755756347526d&amp;Fich=dbdc373c-550b-4266-9de2-7a2bc03a9f9e.pdf&amp;Inline=true</t>
        </is>
      </c>
      <c r="AH572" s="3" t="n">
        <v>46321.77847222222</v>
      </c>
      <c r="AI572" s="3" t="n">
        <v>46321.78055555555</v>
      </c>
      <c r="AJ572" s="2" t="inlineStr"/>
    </row>
    <row r="573">
      <c r="A573" s="2" t="n">
        <v>572</v>
      </c>
      <c r="B573" s="2" t="inlineStr">
        <is>
          <t>530C</t>
        </is>
      </c>
      <c r="C573" s="3" t="n">
        <v>45966.48541666667</v>
      </c>
      <c r="D573" s="2" t="inlineStr">
        <is>
          <t>Original</t>
        </is>
      </c>
      <c r="E573" s="2" t="inlineStr">
        <is>
          <t>PCP</t>
        </is>
      </c>
      <c r="F573" s="2" t="inlineStr">
        <is>
          <t>Alfredo Maia; Paula Santos; Paulo Raimundo</t>
        </is>
      </c>
      <c r="G573" s="2" t="inlineStr">
        <is>
          <t>Art. 28.º-A (aditamento)</t>
        </is>
      </c>
      <c r="H573" s="2" t="n"/>
      <c r="I573" s="2" t="n"/>
      <c r="J573" s="2" t="n"/>
      <c r="K573" s="2" t="n"/>
      <c r="L573" s="2" t="inlineStr">
        <is>
          <t>Artigo 28.º-A (Contratação de Funcionários Judiciais)</t>
        </is>
      </c>
      <c r="M573" s="4" t="n"/>
      <c r="N573" s="4" t="n"/>
      <c r="O573" s="2" t="n"/>
      <c r="P573" s="2" t="n"/>
      <c r="Q573" s="2" t="n"/>
      <c r="R573" s="2" t="n"/>
      <c r="S573" s="2" t="inlineStr">
        <is>
          <t>Rejeitado(a) em Comissão</t>
        </is>
      </c>
      <c r="T573" s="2" t="inlineStr">
        <is>
          <t>Rejeitada</t>
        </is>
      </c>
      <c r="U573" s="2" t="inlineStr">
        <is>
          <t>Favor: CH, L, PCP, BE, PAN; Contra: PSD, CDS-PP; Abstenção: PS, IL</t>
        </is>
      </c>
      <c r="V573" s="3" t="n">
        <v>45981</v>
      </c>
      <c r="W573" s="2" t="inlineStr">
        <is>
          <t>AR: https://www.parlamento.pt/OrcamentoEstado/Paginas/DetalhePropostaAlteracao.aspx?BID=23749 PDF: https://app.parlamento.pt/webutils/docs/doc.pdf?path=6148523063484d364c793942556b356c6443397a6158526c63793959566b6c4a544556484c3039464c7a49774d6a59794d4449314d5441774f533951515338304d57557859324a6d5a4330785a44686d4c545131595463745957597a4e5330344d6a4978596a55354d4463334d6a41756347526d&amp;Fich=41e1cbfd-1d8f-45a7-af35-8221b5907720.pdf&amp;Inline=true</t>
        </is>
      </c>
      <c r="X573" s="2" t="inlineStr">
        <is>
          <t>Assuntos Constitucionais, Direitos, Liberdades e Garantias</t>
        </is>
      </c>
      <c r="Y573" s="2" t="inlineStr">
        <is>
          <t>Articulado</t>
        </is>
      </c>
      <c r="Z573" s="2" t="inlineStr">
        <is>
          <t>Aditamento (Artigo PPL)</t>
        </is>
      </c>
      <c r="AA573" s="2" t="inlineStr">
        <is>
          <t>Rejeitado(a) em Comissão</t>
        </is>
      </c>
      <c r="AB573" s="2" t="inlineStr"/>
      <c r="AC573" s="2" t="inlineStr"/>
      <c r="AD573" s="2" t="inlineStr">
        <is>
          <t>1</t>
        </is>
      </c>
      <c r="AE573" s="2" t="inlineStr">
        <is>
          <t>23749</t>
        </is>
      </c>
      <c r="AF573" s="2" t="inlineStr">
        <is>
          <t>https://www.parlamento.pt/OrcamentoEstado/Paginas/DetalhePropostaAlteracao.aspx?BID=23749</t>
        </is>
      </c>
      <c r="AG573" s="2" t="inlineStr">
        <is>
          <t>https://app.parlamento.pt/webutils/docs/doc.pdf?path=6148523063484d364c793942556b356c6443397a6158526c63793959566b6c4a544556484c3039464c7a49774d6a59794d4449314d5441774f533951515338304d57557859324a6d5a4330785a44686d4c545131595463745957597a4e5330344d6a4978596a55354d4463334d6a41756347526d&amp;Fich=41e1cbfd-1d8f-45a7-af35-8221b5907720.pdf&amp;Inline=true</t>
        </is>
      </c>
      <c r="AH573" s="3" t="n">
        <v>46321.77847222222</v>
      </c>
      <c r="AI573" s="3" t="n">
        <v>46321.78055555555</v>
      </c>
      <c r="AJ573" s="2" t="inlineStr"/>
    </row>
    <row r="574">
      <c r="A574" s="2" t="n">
        <v>573</v>
      </c>
      <c r="B574" s="2" t="inlineStr">
        <is>
          <t>531C</t>
        </is>
      </c>
      <c r="C574" s="3" t="n">
        <v>45966.48611111111</v>
      </c>
      <c r="D574" s="2" t="inlineStr">
        <is>
          <t>Original</t>
        </is>
      </c>
      <c r="E574" s="2" t="inlineStr">
        <is>
          <t>PCP</t>
        </is>
      </c>
      <c r="F574" s="2" t="inlineStr">
        <is>
          <t>Alfredo Maia; Paula Santos; Paulo Raimundo</t>
        </is>
      </c>
      <c r="G574" s="2" t="inlineStr">
        <is>
          <t>Art. 28.º-A (aditamento)</t>
        </is>
      </c>
      <c r="H574" s="2" t="n"/>
      <c r="I574" s="2" t="n"/>
      <c r="J574" s="2" t="n"/>
      <c r="K574" s="2" t="n"/>
      <c r="L574" s="2" t="inlineStr">
        <is>
          <t>Artigo 28.º-A (Contratação de efetivos para o Corpo da Guarda Prisional e Regulamentação do Estatuto do Pessoal do Corpo da Guarda Prisional)</t>
        </is>
      </c>
      <c r="M574" s="4" t="n"/>
      <c r="N574" s="4" t="n"/>
      <c r="O574" s="2" t="n"/>
      <c r="P574" s="2" t="n"/>
      <c r="Q574" s="2" t="n"/>
      <c r="R574" s="2" t="n"/>
      <c r="S574" s="2" t="inlineStr">
        <is>
          <t>Rejeitado(a) em Comissão</t>
        </is>
      </c>
      <c r="T574" s="2" t="inlineStr">
        <is>
          <t>Rejeitada</t>
        </is>
      </c>
      <c r="U574" s="2" t="inlineStr">
        <is>
          <t>Favor: CH, L, PCP, BE, PAN; Contra: PSD, CDS-PP; Abstenção: PS, IL</t>
        </is>
      </c>
      <c r="V574" s="3" t="n">
        <v>45981</v>
      </c>
      <c r="W574" s="2" t="inlineStr">
        <is>
          <t>AR: https://www.parlamento.pt/OrcamentoEstado/Paginas/DetalhePropostaAlteracao.aspx?BID=23750 PDF: https://app.parlamento.pt/webutils/docs/doc.pdf?path=6148523063484d364c793942556b356c6443397a6158526c63793959566b6c4a544556484c3039464c7a49774d6a59794d4449314d5441774f5339515153396d4d7a51354d544e694e79316d5a6a67344c54526c4e6a4d74596d4e694e53316c4e5759784d6d55325a4745324d444d756347526d&amp;Fich=f34913b7-ff88-4e63-bcb5-e5f12e6da603.pdf&amp;Inline=true</t>
        </is>
      </c>
      <c r="X574" s="2" t="inlineStr">
        <is>
          <t>Assuntos Constitucionais, Direitos, Liberdades e Garantias</t>
        </is>
      </c>
      <c r="Y574" s="2" t="inlineStr">
        <is>
          <t>Articulado</t>
        </is>
      </c>
      <c r="Z574" s="2" t="inlineStr">
        <is>
          <t>Aditamento (Artigo PPL)</t>
        </is>
      </c>
      <c r="AA574" s="2" t="inlineStr">
        <is>
          <t>Rejeitado(a) em Comissão</t>
        </is>
      </c>
      <c r="AB574" s="2" t="inlineStr"/>
      <c r="AC574" s="2" t="inlineStr"/>
      <c r="AD574" s="2" t="inlineStr">
        <is>
          <t>1</t>
        </is>
      </c>
      <c r="AE574" s="2" t="inlineStr">
        <is>
          <t>23750</t>
        </is>
      </c>
      <c r="AF574" s="2" t="inlineStr">
        <is>
          <t>https://www.parlamento.pt/OrcamentoEstado/Paginas/DetalhePropostaAlteracao.aspx?BID=23750</t>
        </is>
      </c>
      <c r="AG574" s="2" t="inlineStr">
        <is>
          <t>https://app.parlamento.pt/webutils/docs/doc.pdf?path=6148523063484d364c793942556b356c6443397a6158526c63793959566b6c4a544556484c3039464c7a49774d6a59794d4449314d5441774f5339515153396d4d7a51354d544e694e79316d5a6a67344c54526c4e6a4d74596d4e694e53316c4e5759784d6d55325a4745324d444d756347526d&amp;Fich=f34913b7-ff88-4e63-bcb5-e5f12e6da603.pdf&amp;Inline=true</t>
        </is>
      </c>
      <c r="AH574" s="3" t="n">
        <v>46321.77847222222</v>
      </c>
      <c r="AI574" s="3" t="n">
        <v>46321.78055555555</v>
      </c>
      <c r="AJ574" s="2" t="inlineStr"/>
    </row>
    <row r="575">
      <c r="A575" s="2" t="n">
        <v>574</v>
      </c>
      <c r="B575" s="2" t="inlineStr">
        <is>
          <t>532C</t>
        </is>
      </c>
      <c r="C575" s="3" t="n">
        <v>45966.48680555556</v>
      </c>
      <c r="D575" s="2" t="inlineStr">
        <is>
          <t>Original</t>
        </is>
      </c>
      <c r="E575" s="2" t="inlineStr">
        <is>
          <t>L</t>
        </is>
      </c>
      <c r="F575" s="2" t="inlineStr">
        <is>
          <t>Filipa Pinto; Isabel Mendes Lopes; Jorge Pinto; Patrícia Gonçalves; Paulo Muacho; Rui Tavares</t>
        </is>
      </c>
      <c r="G575" s="2" t="inlineStr">
        <is>
          <t>Art. 7.º (aditamento)</t>
        </is>
      </c>
      <c r="H575" s="2" t="n"/>
      <c r="I575" s="2" t="n"/>
      <c r="J575" s="2" t="n"/>
      <c r="K575" s="2" t="n"/>
      <c r="L575" s="2" t="inlineStr">
        <is>
          <t>Nova Verba 31, Mapa de alterações e transferências orçamentais, Artigo 7.º</t>
        </is>
      </c>
      <c r="M575" s="4" t="n"/>
      <c r="N575" s="4" t="n"/>
      <c r="O575" s="2" t="n"/>
      <c r="P575" s="2" t="n"/>
      <c r="Q575" s="2" t="n"/>
      <c r="R575" s="2" t="n"/>
      <c r="S575" s="2" t="inlineStr">
        <is>
          <t>Rejeitado(a) em Comissão</t>
        </is>
      </c>
      <c r="T575" s="2" t="inlineStr">
        <is>
          <t>Rejeitada</t>
        </is>
      </c>
      <c r="U575" s="2" t="inlineStr">
        <is>
          <t>Favor: CH, L, PCP, BE, PAN; Contra: PSD, CDS-PP; Abstenção: PS, IL</t>
        </is>
      </c>
      <c r="V575" s="3" t="n">
        <v>45987</v>
      </c>
      <c r="W575" s="2" t="inlineStr">
        <is>
          <t>AR: https://www.parlamento.pt/OrcamentoEstado/Paginas/DetalhePropostaAlteracao.aspx?BID=23751 PDF: https://app.parlamento.pt/webutils/docs/doc.pdf?path=6148523063484d364c793942556b356c6443397a6158526c63793959566b6c4a544556484c3039464c7a49774d6a59794d4449314d5441774f533951515338335a6a566c4e7a566d596930794d325a684c5452684e6a63744f5451794d53316c5a575531597a6b31597a686a4d6d45756347526d&amp;Fich=7f5e75fb-23fa-4a67-9421-eee5c95c8c2a.pdf&amp;Inline=true</t>
        </is>
      </c>
      <c r="X575" s="2" t="inlineStr">
        <is>
          <t>Agricultura e Pescas; Ambiente e Energia; Orçamento, Finanças e Administração Pública</t>
        </is>
      </c>
      <c r="Y575" s="2" t="inlineStr">
        <is>
          <t>Mapas</t>
        </is>
      </c>
      <c r="Z575" s="2" t="inlineStr">
        <is>
          <t>Aditamento (Números e Alíneas)</t>
        </is>
      </c>
      <c r="AA575" s="2" t="inlineStr">
        <is>
          <t>Rejeitado(a) em Comissão</t>
        </is>
      </c>
      <c r="AB575" s="2" t="inlineStr"/>
      <c r="AC575" s="2" t="inlineStr"/>
      <c r="AD575" s="2" t="inlineStr">
        <is>
          <t>1</t>
        </is>
      </c>
      <c r="AE575" s="2" t="inlineStr">
        <is>
          <t>23751</t>
        </is>
      </c>
      <c r="AF575" s="2" t="inlineStr">
        <is>
          <t>https://www.parlamento.pt/OrcamentoEstado/Paginas/DetalhePropostaAlteracao.aspx?BID=23751</t>
        </is>
      </c>
      <c r="AG575" s="2" t="inlineStr">
        <is>
          <t>https://app.parlamento.pt/webutils/docs/doc.pdf?path=6148523063484d364c793942556b356c6443397a6158526c63793959566b6c4a544556484c3039464c7a49774d6a59794d4449314d5441774f533951515338335a6a566c4e7a566d596930794d325a684c5452684e6a63744f5451794d53316c5a575531597a6b31597a686a4d6d45756347526d&amp;Fich=7f5e75fb-23fa-4a67-9421-eee5c95c8c2a.pdf&amp;Inline=true</t>
        </is>
      </c>
      <c r="AH575" s="3" t="n">
        <v>46321.77847222222</v>
      </c>
      <c r="AI575" s="3" t="n">
        <v>46321.78055555555</v>
      </c>
      <c r="AJ575" s="2" t="inlineStr"/>
    </row>
    <row r="576">
      <c r="A576" s="2" t="n">
        <v>575</v>
      </c>
      <c r="B576" s="2" t="inlineStr">
        <is>
          <t>533C</t>
        </is>
      </c>
      <c r="C576" s="3" t="n">
        <v>45966.4875</v>
      </c>
      <c r="D576" s="2" t="inlineStr">
        <is>
          <t>Original</t>
        </is>
      </c>
      <c r="E576" s="2" t="inlineStr">
        <is>
          <t>CH</t>
        </is>
      </c>
      <c r="F57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76" s="2" t="inlineStr">
        <is>
          <t>Art. 128.º-A (aditamento)</t>
        </is>
      </c>
      <c r="H576" s="2" t="n"/>
      <c r="I576" s="2" t="n"/>
      <c r="J576" s="2" t="n"/>
      <c r="K576" s="2" t="n"/>
      <c r="L576" s="2" t="inlineStr">
        <is>
          <t>Artigo 128.º-A (Compensação das quebras de rendimentos dos pescadores, relacionados com a manutenção e alargamento das RAMPA)</t>
        </is>
      </c>
      <c r="M576" s="4" t="n"/>
      <c r="N576" s="4" t="n"/>
      <c r="O576" s="2" t="n"/>
      <c r="P576" s="2" t="n"/>
      <c r="Q576" s="2" t="n"/>
      <c r="R576" s="2" t="n"/>
      <c r="S576" s="2" t="inlineStr">
        <is>
          <t>Rejeitado(a) em Comissão</t>
        </is>
      </c>
      <c r="T576" s="2" t="inlineStr">
        <is>
          <t>Rejeitada</t>
        </is>
      </c>
      <c r="U576" s="2" t="inlineStr">
        <is>
          <t>Favor: CH, BE; Contra: PSD, CDS-PP, PAN; Abstenção: PS, IL, L, PCP</t>
        </is>
      </c>
      <c r="V576" s="3" t="n">
        <v>45985</v>
      </c>
      <c r="W576" s="2" t="inlineStr">
        <is>
          <t>AR: https://www.parlamento.pt/OrcamentoEstado/Paginas/DetalhePropostaAlteracao.aspx?BID=23752 PDF: https://app.parlamento.pt/webutils/docs/doc.pdf?path=6148523063484d364c793942556b356c6443397a6158526c63793959566b6c4a544556484c3039464c7a49774d6a59794d4449314d5441774f533951515339694e57517a595751784d4330775a6d466a4c54526959544d744f5441784e4330315a6a55324e5745314d3245794e444d756347526d&amp;Fich=b5d3ad10-0fac-4ba3-9014-5f565a53a243.pdf&amp;Inline=true</t>
        </is>
      </c>
      <c r="X576" s="2" t="inlineStr">
        <is>
          <t>Agricultura e Pescas</t>
        </is>
      </c>
      <c r="Y576" s="2" t="inlineStr">
        <is>
          <t>Articulado</t>
        </is>
      </c>
      <c r="Z576" s="2" t="inlineStr">
        <is>
          <t>Aditamento (Artigo PPL)</t>
        </is>
      </c>
      <c r="AA576" s="2" t="inlineStr">
        <is>
          <t>Rejeitado(a) em Comissão</t>
        </is>
      </c>
      <c r="AB576" s="2" t="inlineStr"/>
      <c r="AC576" s="2" t="inlineStr"/>
      <c r="AD576" s="2" t="inlineStr">
        <is>
          <t>1</t>
        </is>
      </c>
      <c r="AE576" s="2" t="inlineStr">
        <is>
          <t>23752</t>
        </is>
      </c>
      <c r="AF576" s="2" t="inlineStr">
        <is>
          <t>https://www.parlamento.pt/OrcamentoEstado/Paginas/DetalhePropostaAlteracao.aspx?BID=23752</t>
        </is>
      </c>
      <c r="AG576" s="2" t="inlineStr">
        <is>
          <t>https://app.parlamento.pt/webutils/docs/doc.pdf?path=6148523063484d364c793942556b356c6443397a6158526c63793959566b6c4a544556484c3039464c7a49774d6a59794d4449314d5441774f533951515339694e57517a595751784d4330775a6d466a4c54526959544d744f5441784e4330315a6a55324e5745314d3245794e444d756347526d&amp;Fich=b5d3ad10-0fac-4ba3-9014-5f565a53a243.pdf&amp;Inline=true</t>
        </is>
      </c>
      <c r="AH576" s="3" t="n">
        <v>46321.77847222222</v>
      </c>
      <c r="AI576" s="3" t="n">
        <v>46321.78055555555</v>
      </c>
      <c r="AJ576" s="2" t="inlineStr"/>
    </row>
    <row r="577">
      <c r="A577" s="2" t="n">
        <v>576</v>
      </c>
      <c r="B577" s="2" t="inlineStr">
        <is>
          <t>534C</t>
        </is>
      </c>
      <c r="C577" s="3" t="n">
        <v>45966.4875</v>
      </c>
      <c r="D577" s="2" t="inlineStr">
        <is>
          <t>Original</t>
        </is>
      </c>
      <c r="E577" s="2" t="inlineStr">
        <is>
          <t>PCP</t>
        </is>
      </c>
      <c r="F577" s="2" t="inlineStr">
        <is>
          <t>Alfredo Maia; Paula Santos; Paulo Raimundo</t>
        </is>
      </c>
      <c r="G577" s="2" t="inlineStr">
        <is>
          <t>Art. 28.º-A (aditamento)</t>
        </is>
      </c>
      <c r="H577" s="2" t="n"/>
      <c r="I577" s="2" t="n"/>
      <c r="J577" s="2" t="n"/>
      <c r="K577" s="2" t="n"/>
      <c r="L577" s="2" t="inlineStr">
        <is>
          <t>Artigo 28.º-A (Recrutamento para a categoria de guarda principal da carreira de guarda prisional e chefe principal da carreira de chefe da guarda prisional)</t>
        </is>
      </c>
      <c r="M577" s="4" t="n"/>
      <c r="N577" s="4" t="n"/>
      <c r="O577" s="2" t="n"/>
      <c r="P577" s="2" t="n"/>
      <c r="Q577" s="2" t="n"/>
      <c r="R577" s="2" t="n"/>
      <c r="S577" s="2" t="inlineStr">
        <is>
          <t>Rejeitado(a) em Comissão</t>
        </is>
      </c>
      <c r="T577" s="2" t="inlineStr">
        <is>
          <t>Rejeitada</t>
        </is>
      </c>
      <c r="U577" s="2" t="inlineStr">
        <is>
          <t>Favor: CH, L, PCP, BE, PAN; Contra: PSD, CDS-PP; Abstenção: PS, IL</t>
        </is>
      </c>
      <c r="V577" s="3" t="n">
        <v>45981</v>
      </c>
      <c r="W577" s="2" t="inlineStr">
        <is>
          <t>AR: https://www.parlamento.pt/OrcamentoEstado/Paginas/DetalhePropostaAlteracao.aspx?BID=23754 PDF: https://app.parlamento.pt/webutils/docs/doc.pdf?path=6148523063484d364c793942556b356c6443397a6158526c63793959566b6c4a544556484c3039464c7a49774d6a59794d4449314d5441774f53395151533969597a5a6c4d4441334e53307a597a5a6b4c5452684e6a55744f446b775a53316b5a4445354e44526b595451314f5467756347526d&amp;Fich=bc6e0075-3c6d-4a65-890e-dd1944da4598.pdf&amp;Inline=true</t>
        </is>
      </c>
      <c r="X577" s="2" t="inlineStr">
        <is>
          <t>Assuntos Constitucionais, Direitos, Liberdades e Garantias</t>
        </is>
      </c>
      <c r="Y577" s="2" t="inlineStr">
        <is>
          <t>Articulado</t>
        </is>
      </c>
      <c r="Z577" s="2" t="inlineStr">
        <is>
          <t>Aditamento (Artigo PPL)</t>
        </is>
      </c>
      <c r="AA577" s="2" t="inlineStr">
        <is>
          <t>Rejeitado(a) em Comissão</t>
        </is>
      </c>
      <c r="AB577" s="2" t="inlineStr"/>
      <c r="AC577" s="2" t="inlineStr"/>
      <c r="AD577" s="2" t="inlineStr">
        <is>
          <t>1</t>
        </is>
      </c>
      <c r="AE577" s="2" t="inlineStr">
        <is>
          <t>23754</t>
        </is>
      </c>
      <c r="AF577" s="2" t="inlineStr">
        <is>
          <t>https://www.parlamento.pt/OrcamentoEstado/Paginas/DetalhePropostaAlteracao.aspx?BID=23754</t>
        </is>
      </c>
      <c r="AG577" s="2" t="inlineStr">
        <is>
          <t>https://app.parlamento.pt/webutils/docs/doc.pdf?path=6148523063484d364c793942556b356c6443397a6158526c63793959566b6c4a544556484c3039464c7a49774d6a59794d4449314d5441774f53395151533969597a5a6c4d4441334e53307a597a5a6b4c5452684e6a55744f446b775a53316b5a4445354e44526b595451314f5467756347526d&amp;Fich=bc6e0075-3c6d-4a65-890e-dd1944da4598.pdf&amp;Inline=true</t>
        </is>
      </c>
      <c r="AH577" s="3" t="n">
        <v>46321.77847222222</v>
      </c>
      <c r="AI577" s="3" t="n">
        <v>46321.78055555555</v>
      </c>
      <c r="AJ577" s="2" t="inlineStr"/>
    </row>
    <row r="578">
      <c r="A578" s="2" t="n">
        <v>577</v>
      </c>
      <c r="B578" s="2" t="inlineStr">
        <is>
          <t>535C</t>
        </is>
      </c>
      <c r="C578" s="3" t="n">
        <v>45966.48819444444</v>
      </c>
      <c r="D578" s="2" t="inlineStr">
        <is>
          <t>Original</t>
        </is>
      </c>
      <c r="E578" s="2" t="inlineStr">
        <is>
          <t>PCP</t>
        </is>
      </c>
      <c r="F578" s="2" t="inlineStr">
        <is>
          <t>Alfredo Maia; Paula Santos; Paulo Raimundo</t>
        </is>
      </c>
      <c r="G578" s="2" t="inlineStr">
        <is>
          <t>Art. 28.º-A (aditamento)</t>
        </is>
      </c>
      <c r="H578" s="2" t="n"/>
      <c r="I578" s="2" t="n"/>
      <c r="J578" s="2" t="n"/>
      <c r="K578" s="2" t="n"/>
      <c r="L578" s="2" t="inlineStr">
        <is>
          <t>Artigo 28.º-A (Recursos humanos no IRN e revisão do regime remuneratório dos registos e notariados)</t>
        </is>
      </c>
      <c r="M578" s="4" t="n"/>
      <c r="N578" s="4" t="n"/>
      <c r="O578" s="2" t="n"/>
      <c r="P578" s="2" t="n"/>
      <c r="Q578" s="2" t="n"/>
      <c r="R578" s="2" t="n"/>
      <c r="S578" s="2" t="inlineStr">
        <is>
          <t>Rejeitado(a) em Comissão</t>
        </is>
      </c>
      <c r="T578" s="2" t="inlineStr">
        <is>
          <t>Rejeitada</t>
        </is>
      </c>
      <c r="U578" s="2" t="inlineStr">
        <is>
          <t>Favor: CH, L, PCP, BE, PAN; Contra: PSD, CDS-PP; Abstenção: PS, IL</t>
        </is>
      </c>
      <c r="V578" s="3" t="n">
        <v>45981</v>
      </c>
      <c r="W578" s="2" t="inlineStr">
        <is>
          <t>AR: https://www.parlamento.pt/OrcamentoEstado/Paginas/DetalhePropostaAlteracao.aspx?BID=23755 PDF: https://app.parlamento.pt/webutils/docs/doc.pdf?path=6148523063484d364c793942556b356c6443397a6158526c63793959566b6c4a544556484c3039464c7a49774d6a59794d4449314d5441774f5339515153396a4f4751785a6a49784e6930304f4451344c545179597a4574596d466a5953316b4d7a56695a4745314d6a64694d4755756347526d&amp;Fich=c8d1f216-4848-42c1-baca-d35bda527b0e.pdf&amp;Inline=true</t>
        </is>
      </c>
      <c r="X578" s="2" t="inlineStr">
        <is>
          <t>Assuntos Constitucionais, Direitos, Liberdades e Garantias</t>
        </is>
      </c>
      <c r="Y578" s="2" t="inlineStr">
        <is>
          <t>Articulado</t>
        </is>
      </c>
      <c r="Z578" s="2" t="inlineStr">
        <is>
          <t>Aditamento (Artigo PPL)</t>
        </is>
      </c>
      <c r="AA578" s="2" t="inlineStr">
        <is>
          <t>Rejeitado(a) em Comissão</t>
        </is>
      </c>
      <c r="AB578" s="2" t="inlineStr"/>
      <c r="AC578" s="2" t="inlineStr"/>
      <c r="AD578" s="2" t="inlineStr">
        <is>
          <t>1</t>
        </is>
      </c>
      <c r="AE578" s="2" t="inlineStr">
        <is>
          <t>23755</t>
        </is>
      </c>
      <c r="AF578" s="2" t="inlineStr">
        <is>
          <t>https://www.parlamento.pt/OrcamentoEstado/Paginas/DetalhePropostaAlteracao.aspx?BID=23755</t>
        </is>
      </c>
      <c r="AG578" s="2" t="inlineStr">
        <is>
          <t>https://app.parlamento.pt/webutils/docs/doc.pdf?path=6148523063484d364c793942556b356c6443397a6158526c63793959566b6c4a544556484c3039464c7a49774d6a59794d4449314d5441774f5339515153396a4f4751785a6a49784e6930304f4451344c545179597a4574596d466a5953316b4d7a56695a4745314d6a64694d4755756347526d&amp;Fich=c8d1f216-4848-42c1-baca-d35bda527b0e.pdf&amp;Inline=true</t>
        </is>
      </c>
      <c r="AH578" s="3" t="n">
        <v>46321.77847222222</v>
      </c>
      <c r="AI578" s="3" t="n">
        <v>46321.78055555555</v>
      </c>
      <c r="AJ578" s="2" t="inlineStr"/>
    </row>
    <row r="579">
      <c r="A579" s="2" t="n">
        <v>578</v>
      </c>
      <c r="B579" s="2" t="inlineStr">
        <is>
          <t>536C</t>
        </is>
      </c>
      <c r="C579" s="3" t="n">
        <v>45966.48888888889</v>
      </c>
      <c r="D579" s="2" t="inlineStr">
        <is>
          <t>Original</t>
        </is>
      </c>
      <c r="E579" s="2" t="inlineStr">
        <is>
          <t>CH</t>
        </is>
      </c>
      <c r="F57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79" s="2" t="inlineStr">
        <is>
          <t>Art. 128.º-A (aditamento)</t>
        </is>
      </c>
      <c r="H579" s="2" t="n"/>
      <c r="I579" s="2" t="n"/>
      <c r="J579" s="2" t="n"/>
      <c r="K579" s="2" t="n"/>
      <c r="L579" s="2" t="inlineStr">
        <is>
          <t>Artigo 128.º-A (Bem-estar animal e condicionalidade nas explorações pecuárias)</t>
        </is>
      </c>
      <c r="M579" s="4" t="n"/>
      <c r="N579" s="4" t="n"/>
      <c r="O579" s="2" t="n"/>
      <c r="P579" s="2" t="n"/>
      <c r="Q579" s="2" t="n"/>
      <c r="R579" s="2" t="n"/>
      <c r="S579" s="2" t="inlineStr">
        <is>
          <t>Rejeitado(a) em Comissão</t>
        </is>
      </c>
      <c r="T579" s="2" t="inlineStr">
        <is>
          <t>Rejeitada</t>
        </is>
      </c>
      <c r="U579" s="2" t="inlineStr">
        <is>
          <t>Favor: CH, BE; Contra: PSD, CDS-PP, PAN; Abstenção: PS, IL, L, PCP</t>
        </is>
      </c>
      <c r="V579" s="3" t="n">
        <v>45985</v>
      </c>
      <c r="W579" s="2" t="inlineStr">
        <is>
          <t>AR: https://www.parlamento.pt/OrcamentoEstado/Paginas/DetalhePropostaAlteracao.aspx?BID=23756 PDF: https://app.parlamento.pt/webutils/docs/doc.pdf?path=6148523063484d364c793942556b356c6443397a6158526c63793959566b6c4a544556484c3039464c7a49774d6a59794d4449314d5441774f5339515153396b595449774e4463324e7930314e444e6b4c5451304e546b744f4459314d4330774e5759794d7a686b4f5451344e5751756347526d&amp;Fich=da204767-543d-4459-8650-05f238d9485d.pdf&amp;Inline=true</t>
        </is>
      </c>
      <c r="X579" s="2" t="inlineStr">
        <is>
          <t>Agricultura e Pescas</t>
        </is>
      </c>
      <c r="Y579" s="2" t="inlineStr">
        <is>
          <t>Articulado</t>
        </is>
      </c>
      <c r="Z579" s="2" t="inlineStr">
        <is>
          <t>Aditamento (Artigo PPL)</t>
        </is>
      </c>
      <c r="AA579" s="2" t="inlineStr">
        <is>
          <t>Rejeitado(a) em Comissão</t>
        </is>
      </c>
      <c r="AB579" s="2" t="inlineStr"/>
      <c r="AC579" s="2" t="inlineStr"/>
      <c r="AD579" s="2" t="inlineStr">
        <is>
          <t>1</t>
        </is>
      </c>
      <c r="AE579" s="2" t="inlineStr">
        <is>
          <t>23756</t>
        </is>
      </c>
      <c r="AF579" s="2" t="inlineStr">
        <is>
          <t>https://www.parlamento.pt/OrcamentoEstado/Paginas/DetalhePropostaAlteracao.aspx?BID=23756</t>
        </is>
      </c>
      <c r="AG579" s="2" t="inlineStr">
        <is>
          <t>https://app.parlamento.pt/webutils/docs/doc.pdf?path=6148523063484d364c793942556b356c6443397a6158526c63793959566b6c4a544556484c3039464c7a49774d6a59794d4449314d5441774f5339515153396b595449774e4463324e7930314e444e6b4c5451304e546b744f4459314d4330774e5759794d7a686b4f5451344e5751756347526d&amp;Fich=da204767-543d-4459-8650-05f238d9485d.pdf&amp;Inline=true</t>
        </is>
      </c>
      <c r="AH579" s="3" t="n">
        <v>46321.77847222222</v>
      </c>
      <c r="AI579" s="3" t="n">
        <v>46321.78055555555</v>
      </c>
      <c r="AJ579" s="2" t="inlineStr"/>
    </row>
    <row r="580">
      <c r="A580" s="2" t="n">
        <v>579</v>
      </c>
      <c r="B580" s="2" t="inlineStr">
        <is>
          <t>537C</t>
        </is>
      </c>
      <c r="C580" s="3" t="n">
        <v>45966.48888888889</v>
      </c>
      <c r="D580" s="2" t="inlineStr">
        <is>
          <t>Original</t>
        </is>
      </c>
      <c r="E580" s="2" t="inlineStr">
        <is>
          <t>PCP</t>
        </is>
      </c>
      <c r="F580" s="2" t="inlineStr">
        <is>
          <t>Alfredo Maia; Paula Santos; Paulo Raimundo</t>
        </is>
      </c>
      <c r="G580" s="2" t="inlineStr">
        <is>
          <t>Art. 28.º-A (aditamento)</t>
        </is>
      </c>
      <c r="H580" s="2" t="n"/>
      <c r="I580" s="2" t="n"/>
      <c r="J580" s="2" t="n"/>
      <c r="K580" s="2" t="n"/>
      <c r="L580" s="2" t="inlineStr">
        <is>
          <t>Artigo 28.º-A (Peritos, Tradutores e intérpretes nos Tribunais)</t>
        </is>
      </c>
      <c r="M580" s="4" t="n"/>
      <c r="N580" s="4" t="n"/>
      <c r="O580" s="2" t="n"/>
      <c r="P580" s="2" t="n"/>
      <c r="Q580" s="2" t="n"/>
      <c r="R580" s="2" t="n"/>
      <c r="S580" s="2" t="inlineStr">
        <is>
          <t>Rejeitado(a) em Comissão</t>
        </is>
      </c>
      <c r="T580" s="2" t="inlineStr">
        <is>
          <t>Rejeitada</t>
        </is>
      </c>
      <c r="U580" s="2" t="inlineStr">
        <is>
          <t>Favor: CH, L, PCP, BE, PAN; Contra: PSD, IL, CDS-PP; Abstenção: PS</t>
        </is>
      </c>
      <c r="V580" s="3" t="n">
        <v>45981</v>
      </c>
      <c r="W580" s="2" t="inlineStr">
        <is>
          <t>AR: https://www.parlamento.pt/OrcamentoEstado/Paginas/DetalhePropostaAlteracao.aspx?BID=23757 PDF: https://app.parlamento.pt/webutils/docs/doc.pdf?path=6148523063484d364c793942556b356c6443397a6158526c63793959566b6c4a544556484c3039464c7a49774d6a59794d4449314d5441774f5339515153396b4d4455354d6d4e6c5a53307a4e54566b4c5451784e54517459545a6d4e693078597a6778596a686d4d44497a4e4751756347526d&amp;Fich=d0592cee-355d-4154-a6f6-1c81b8f0234d.pdf&amp;Inline=true</t>
        </is>
      </c>
      <c r="X580" s="2" t="inlineStr">
        <is>
          <t>Assuntos Constitucionais, Direitos, Liberdades e Garantias</t>
        </is>
      </c>
      <c r="Y580" s="2" t="inlineStr">
        <is>
          <t>Articulado</t>
        </is>
      </c>
      <c r="Z580" s="2" t="inlineStr">
        <is>
          <t>Aditamento (Artigo PPL)</t>
        </is>
      </c>
      <c r="AA580" s="2" t="inlineStr">
        <is>
          <t>Rejeitado(a) em Comissão</t>
        </is>
      </c>
      <c r="AB580" s="2" t="inlineStr"/>
      <c r="AC580" s="2" t="inlineStr"/>
      <c r="AD580" s="2" t="inlineStr">
        <is>
          <t>1</t>
        </is>
      </c>
      <c r="AE580" s="2" t="inlineStr">
        <is>
          <t>23757</t>
        </is>
      </c>
      <c r="AF580" s="2" t="inlineStr">
        <is>
          <t>https://www.parlamento.pt/OrcamentoEstado/Paginas/DetalhePropostaAlteracao.aspx?BID=23757</t>
        </is>
      </c>
      <c r="AG580" s="2" t="inlineStr">
        <is>
          <t>https://app.parlamento.pt/webutils/docs/doc.pdf?path=6148523063484d364c793942556b356c6443397a6158526c63793959566b6c4a544556484c3039464c7a49774d6a59794d4449314d5441774f5339515153396b4d4455354d6d4e6c5a53307a4e54566b4c5451784e54517459545a6d4e693078597a6778596a686d4d44497a4e4751756347526d&amp;Fich=d0592cee-355d-4154-a6f6-1c81b8f0234d.pdf&amp;Inline=true</t>
        </is>
      </c>
      <c r="AH580" s="3" t="n">
        <v>46321.77847222222</v>
      </c>
      <c r="AI580" s="3" t="n">
        <v>46321.78055555555</v>
      </c>
      <c r="AJ580" s="2" t="inlineStr"/>
    </row>
    <row r="581">
      <c r="A581" s="2" t="n">
        <v>580</v>
      </c>
      <c r="B581" s="2" t="inlineStr">
        <is>
          <t>538C</t>
        </is>
      </c>
      <c r="C581" s="3" t="n">
        <v>45966.48958333334</v>
      </c>
      <c r="D581" s="2" t="inlineStr">
        <is>
          <t>Original</t>
        </is>
      </c>
      <c r="E581" s="2" t="inlineStr">
        <is>
          <t>PCP</t>
        </is>
      </c>
      <c r="F581" s="2" t="inlineStr">
        <is>
          <t>Alfredo Maia; Paula Santos; Paulo Raimundo</t>
        </is>
      </c>
      <c r="G581" s="2" t="inlineStr">
        <is>
          <t>Art. 134.º-A (aditamento)</t>
        </is>
      </c>
      <c r="H581" s="2" t="n"/>
      <c r="I581" s="2" t="n"/>
      <c r="J581" s="2" t="n"/>
      <c r="K581" s="2" t="n"/>
      <c r="L581" s="2" t="inlineStr">
        <is>
          <t>Artigo 134.º-A (Extinção das custas processuais)</t>
        </is>
      </c>
      <c r="M581" s="4" t="n"/>
      <c r="N581" s="4" t="n"/>
      <c r="O581" s="2" t="n"/>
      <c r="P581" s="2" t="n"/>
      <c r="Q581" s="2" t="n"/>
      <c r="R581" s="2" t="n"/>
      <c r="S581" s="2" t="inlineStr">
        <is>
          <t>Rejeitado(a) em Comissão</t>
        </is>
      </c>
      <c r="T581" s="2" t="inlineStr">
        <is>
          <t>Rejeitada</t>
        </is>
      </c>
      <c r="U581" s="2" t="inlineStr">
        <is>
          <t>Favor: PCP, BE; Contra: PSD, IL, L, CDS-PP, PAN; Abstenção: CH, PS</t>
        </is>
      </c>
      <c r="V581" s="3" t="n">
        <v>45985</v>
      </c>
      <c r="W581" s="2" t="inlineStr">
        <is>
          <t>AR: https://www.parlamento.pt/OrcamentoEstado/Paginas/DetalhePropostaAlteracao.aspx?BID=23758 PDF: https://app.parlamento.pt/webutils/docs/doc.pdf?path=6148523063484d364c793942556b356c6443397a6158526c63793959566b6c4a544556484c3039464c7a49774d6a59794d4449314d5441774f533951515338314e5751325a4449354d69316b597a55354c5451304f575574596a646b5969316c4d6d45314d325a694e57566c5a4749756347526d&amp;Fich=55d6d292-dc59-449e-b7db-e2a53fb5eedb.pdf&amp;Inline=true</t>
        </is>
      </c>
      <c r="X581" s="2" t="inlineStr">
        <is>
          <t>Assuntos Constitucionais, Direitos, Liberdades e Garantias</t>
        </is>
      </c>
      <c r="Y581" s="2" t="inlineStr">
        <is>
          <t>Articulado</t>
        </is>
      </c>
      <c r="Z581" s="2" t="inlineStr">
        <is>
          <t>Aditamento (Artigo PPL)</t>
        </is>
      </c>
      <c r="AA581" s="2" t="inlineStr">
        <is>
          <t>Rejeitado(a) em Comissão</t>
        </is>
      </c>
      <c r="AB581" s="2" t="inlineStr"/>
      <c r="AC581" s="2" t="inlineStr"/>
      <c r="AD581" s="2" t="inlineStr">
        <is>
          <t>1</t>
        </is>
      </c>
      <c r="AE581" s="2" t="inlineStr">
        <is>
          <t>23758</t>
        </is>
      </c>
      <c r="AF581" s="2" t="inlineStr">
        <is>
          <t>https://www.parlamento.pt/OrcamentoEstado/Paginas/DetalhePropostaAlteracao.aspx?BID=23758</t>
        </is>
      </c>
      <c r="AG581" s="2" t="inlineStr">
        <is>
          <t>https://app.parlamento.pt/webutils/docs/doc.pdf?path=6148523063484d364c793942556b356c6443397a6158526c63793959566b6c4a544556484c3039464c7a49774d6a59794d4449314d5441774f533951515338314e5751325a4449354d69316b597a55354c5451304f575574596a646b5969316c4d6d45314d325a694e57566c5a4749756347526d&amp;Fich=55d6d292-dc59-449e-b7db-e2a53fb5eedb.pdf&amp;Inline=true</t>
        </is>
      </c>
      <c r="AH581" s="3" t="n">
        <v>46321.77847222222</v>
      </c>
      <c r="AI581" s="3" t="n">
        <v>46321.78055555555</v>
      </c>
      <c r="AJ581" s="2" t="inlineStr"/>
    </row>
    <row r="582">
      <c r="A582" s="2" t="n">
        <v>581</v>
      </c>
      <c r="B582" s="2" t="inlineStr">
        <is>
          <t>539C</t>
        </is>
      </c>
      <c r="C582" s="3" t="n">
        <v>45966.49027777778</v>
      </c>
      <c r="D582" s="2" t="inlineStr">
        <is>
          <t>Original</t>
        </is>
      </c>
      <c r="E582" s="2" t="inlineStr">
        <is>
          <t>CH</t>
        </is>
      </c>
      <c r="F58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82" s="2" t="inlineStr">
        <is>
          <t>Art. 128.º-A (aditamento)</t>
        </is>
      </c>
      <c r="H582" s="2" t="n"/>
      <c r="I582" s="2" t="n"/>
      <c r="J582" s="2" t="n"/>
      <c r="K582" s="2" t="n"/>
      <c r="L582" s="2" t="inlineStr">
        <is>
          <t>Artigo 128.º-A (Expansão do Bloco de Rega de Alqueva - S. Bento)</t>
        </is>
      </c>
      <c r="M582" s="4" t="n"/>
      <c r="N582" s="4" t="n"/>
      <c r="O582" s="2" t="n"/>
      <c r="P582" s="2" t="n"/>
      <c r="Q582" s="2" t="n"/>
      <c r="R582" s="2" t="n"/>
      <c r="S582" s="2" t="inlineStr">
        <is>
          <t>Aprovado(a) em Comissão</t>
        </is>
      </c>
      <c r="T582" s="2" t="inlineStr">
        <is>
          <t>Aprovada</t>
        </is>
      </c>
      <c r="U582" s="2" t="inlineStr">
        <is>
          <t>Favor: CH, PS, IL; Contra: PSD, L, CDS-PP, BE, PAN; Abstenção: PCP</t>
        </is>
      </c>
      <c r="V582" s="3" t="n">
        <v>45985</v>
      </c>
      <c r="W582" s="2" t="inlineStr">
        <is>
          <t>AR: https://www.parlamento.pt/OrcamentoEstado/Paginas/DetalhePropostaAlteracao.aspx?BID=23759 PDF: https://app.parlamento.pt/webutils/docs/doc.pdf?path=6148523063484d364c793942556b356c6443397a6158526c63793959566b6c4a544556484c3039464c7a49774d6a59794d4449314d5441774f5339515153396b4d4759354f4749325a6930794f5451794c54526c4d4441744f546b334d79316d4d6a51784d546b314d6a6b34596a63756347526d&amp;Fich=d0f98b6f-2942-4e00-9973-f241195298b7.pdf&amp;Inline=true</t>
        </is>
      </c>
      <c r="X582" s="2" t="inlineStr">
        <is>
          <t>Agricultura e Pescas</t>
        </is>
      </c>
      <c r="Y582" s="2" t="inlineStr">
        <is>
          <t>Articulado</t>
        </is>
      </c>
      <c r="Z582" s="2" t="inlineStr">
        <is>
          <t>Aditamento (Artigo PPL)</t>
        </is>
      </c>
      <c r="AA582" s="2" t="inlineStr">
        <is>
          <t>Aprovado(a) em Comissão</t>
        </is>
      </c>
      <c r="AB582" s="2" t="inlineStr"/>
      <c r="AC582" s="2" t="inlineStr"/>
      <c r="AD582" s="2" t="inlineStr">
        <is>
          <t>1</t>
        </is>
      </c>
      <c r="AE582" s="2" t="inlineStr">
        <is>
          <t>23759</t>
        </is>
      </c>
      <c r="AF582" s="2" t="inlineStr">
        <is>
          <t>https://www.parlamento.pt/OrcamentoEstado/Paginas/DetalhePropostaAlteracao.aspx?BID=23759</t>
        </is>
      </c>
      <c r="AG582" s="2" t="inlineStr">
        <is>
          <t>https://app.parlamento.pt/webutils/docs/doc.pdf?path=6148523063484d364c793942556b356c6443397a6158526c63793959566b6c4a544556484c3039464c7a49774d6a59794d4449314d5441774f5339515153396b4d4759354f4749325a6930794f5451794c54526c4d4441744f546b334d79316d4d6a51784d546b314d6a6b34596a63756347526d&amp;Fich=d0f98b6f-2942-4e00-9973-f241195298b7.pdf&amp;Inline=true</t>
        </is>
      </c>
      <c r="AH582" s="3" t="n">
        <v>46321.77847222222</v>
      </c>
      <c r="AI582" s="3" t="n">
        <v>46321.78055555555</v>
      </c>
      <c r="AJ582" s="2" t="inlineStr"/>
    </row>
    <row r="583">
      <c r="A583" s="2" t="n">
        <v>582</v>
      </c>
      <c r="B583" s="2" t="inlineStr">
        <is>
          <t>540C</t>
        </is>
      </c>
      <c r="C583" s="3" t="n">
        <v>45966.49097222222</v>
      </c>
      <c r="D583" s="2" t="inlineStr">
        <is>
          <t>Original</t>
        </is>
      </c>
      <c r="E583" s="2" t="inlineStr">
        <is>
          <t>PCP</t>
        </is>
      </c>
      <c r="F583" s="2" t="inlineStr">
        <is>
          <t>Alfredo Maia; Paula Santos; Paulo Raimundo</t>
        </is>
      </c>
      <c r="G583" s="2" t="inlineStr">
        <is>
          <t>Art. 136.º-A (aditamento)</t>
        </is>
      </c>
      <c r="H583" s="2" t="n"/>
      <c r="I583" s="2" t="n"/>
      <c r="J583" s="2" t="n"/>
      <c r="K583" s="2" t="n"/>
      <c r="L583" s="2" t="inlineStr">
        <is>
          <t>Artigo 136.º-A (Proíbe o Estado de recorrer à arbitragem como forma de resolução de litígios em matéria administrativa e fiscal)</t>
        </is>
      </c>
      <c r="M583" s="4" t="n"/>
      <c r="N583" s="4" t="n"/>
      <c r="O583" s="2" t="n"/>
      <c r="P583" s="2" t="n"/>
      <c r="Q583" s="2" t="n"/>
      <c r="R583" s="2" t="n"/>
      <c r="S583" s="2" t="inlineStr">
        <is>
          <t>Rejeitado(a) em Comissão</t>
        </is>
      </c>
      <c r="T583" s="2" t="inlineStr">
        <is>
          <t>Rejeitada</t>
        </is>
      </c>
      <c r="U583" s="2" t="inlineStr">
        <is>
          <t>Favor: L, PCP, BE, PAN; Contra: PSD, PS, IL, CDS-PP; Abstenção: CH</t>
        </is>
      </c>
      <c r="V583" s="3" t="n">
        <v>45987</v>
      </c>
      <c r="W583" s="2" t="inlineStr">
        <is>
          <t>AR: https://www.parlamento.pt/OrcamentoEstado/Paginas/DetalhePropostaAlteracao.aspx?BID=23760 PDF: https://app.parlamento.pt/webutils/docs/doc.pdf?path=6148523063484d364c793942556b356c6443397a6158526c63793959566b6c4a544556484c3039464c7a49774d6a59794d4449314d5441774f533951515339695a545a6b4e57526b4f5330784d6a4d334c5451314f5745744f5463784d69316b4f4745324d446b324f4449794e5459756347526d&amp;Fich=be6d5dd9-1237-459a-9712-d8a609682256.pdf&amp;Inline=true</t>
        </is>
      </c>
      <c r="X583" s="2" t="inlineStr">
        <is>
          <t>Assuntos Constitucionais, Direitos, Liberdades e Garantias</t>
        </is>
      </c>
      <c r="Y583" s="2" t="inlineStr">
        <is>
          <t>Articulado</t>
        </is>
      </c>
      <c r="Z583" s="2" t="inlineStr">
        <is>
          <t>Aditamento (Artigo PPL)</t>
        </is>
      </c>
      <c r="AA583" s="2" t="inlineStr">
        <is>
          <t>Rejeitado(a) em Comissão</t>
        </is>
      </c>
      <c r="AB583" s="2" t="inlineStr"/>
      <c r="AC583" s="2" t="inlineStr"/>
      <c r="AD583" s="2" t="inlineStr">
        <is>
          <t>1</t>
        </is>
      </c>
      <c r="AE583" s="2" t="inlineStr">
        <is>
          <t>23760</t>
        </is>
      </c>
      <c r="AF583" s="2" t="inlineStr">
        <is>
          <t>https://www.parlamento.pt/OrcamentoEstado/Paginas/DetalhePropostaAlteracao.aspx?BID=23760</t>
        </is>
      </c>
      <c r="AG583" s="2" t="inlineStr">
        <is>
          <t>https://app.parlamento.pt/webutils/docs/doc.pdf?path=6148523063484d364c793942556b356c6443397a6158526c63793959566b6c4a544556484c3039464c7a49774d6a59794d4449314d5441774f533951515339695a545a6b4e57526b4f5330784d6a4d334c5451314f5745744f5463784d69316b4f4745324d446b324f4449794e5459756347526d&amp;Fich=be6d5dd9-1237-459a-9712-d8a609682256.pdf&amp;Inline=true</t>
        </is>
      </c>
      <c r="AH583" s="3" t="n">
        <v>46321.77847222222</v>
      </c>
      <c r="AI583" s="3" t="n">
        <v>46321.78055555555</v>
      </c>
      <c r="AJ583" s="2" t="inlineStr"/>
    </row>
    <row r="584">
      <c r="A584" s="2" t="n">
        <v>583</v>
      </c>
      <c r="B584" s="2" t="inlineStr">
        <is>
          <t>541C</t>
        </is>
      </c>
      <c r="C584" s="3" t="n">
        <v>45966.49236111111</v>
      </c>
      <c r="D584" s="2" t="inlineStr">
        <is>
          <t>Original</t>
        </is>
      </c>
      <c r="E584" s="2" t="inlineStr">
        <is>
          <t>CH</t>
        </is>
      </c>
      <c r="F58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84" s="2" t="inlineStr">
        <is>
          <t>Art. 128.º-A (aditamento)</t>
        </is>
      </c>
      <c r="H584" s="2" t="n"/>
      <c r="I584" s="2" t="n"/>
      <c r="J584" s="2" t="n"/>
      <c r="K584" s="2" t="n"/>
      <c r="L584" s="2" t="inlineStr">
        <is>
          <t>Artigo 128.º-A (Extensão dos apoios extraordinários previstos nas Portarias n.º 120-A/2023 e n.º120-B/2023, de 11 de maio às regiões autónomas da Madeira e dos Açores)</t>
        </is>
      </c>
      <c r="M584" s="4" t="n"/>
      <c r="N584" s="4" t="n"/>
      <c r="O584" s="2" t="n"/>
      <c r="P584" s="2" t="n"/>
      <c r="Q584" s="2" t="n"/>
      <c r="R584" s="2" t="n"/>
      <c r="S584" s="2" t="inlineStr">
        <is>
          <t>Rejeitado(a) em Comissão</t>
        </is>
      </c>
      <c r="T584" s="2" t="inlineStr">
        <is>
          <t>Rejeitada</t>
        </is>
      </c>
      <c r="U584" s="2" t="inlineStr">
        <is>
          <t>Favor: CH, BE; Contra: PSD, CDS-PP, PAN; Abstenção: PS, IL, L, PCP</t>
        </is>
      </c>
      <c r="V584" s="3" t="n">
        <v>45985</v>
      </c>
      <c r="W584" s="2" t="inlineStr">
        <is>
          <t>AR: https://www.parlamento.pt/OrcamentoEstado/Paginas/DetalhePropostaAlteracao.aspx?BID=23761 PDF: https://app.parlamento.pt/webutils/docs/doc.pdf?path=6148523063484d364c793942556b356c6443397a6158526c63793959566b6c4a544556484c3039464c7a49774d6a59794d4449314d5441774f5339515153396d4f446b344d7a5a6d4d7930354d4759324c5452694d6d4d74596a55304e6930335a544d32595455314f4441774d5463756347526d&amp;Fich=f89836f3-90f6-4b2c-b546-7e36a5580017.pdf&amp;Inline=true</t>
        </is>
      </c>
      <c r="X584" s="2" t="inlineStr">
        <is>
          <t>Agricultura e Pescas</t>
        </is>
      </c>
      <c r="Y584" s="2" t="inlineStr">
        <is>
          <t>Articulado</t>
        </is>
      </c>
      <c r="Z584" s="2" t="inlineStr">
        <is>
          <t>Aditamento (Artigo PPL)</t>
        </is>
      </c>
      <c r="AA584" s="2" t="inlineStr">
        <is>
          <t>Rejeitado(a) em Comissão</t>
        </is>
      </c>
      <c r="AB584" s="2" t="inlineStr"/>
      <c r="AC584" s="2" t="inlineStr"/>
      <c r="AD584" s="2" t="inlineStr">
        <is>
          <t>1</t>
        </is>
      </c>
      <c r="AE584" s="2" t="inlineStr">
        <is>
          <t>23761</t>
        </is>
      </c>
      <c r="AF584" s="2" t="inlineStr">
        <is>
          <t>https://www.parlamento.pt/OrcamentoEstado/Paginas/DetalhePropostaAlteracao.aspx?BID=23761</t>
        </is>
      </c>
      <c r="AG584" s="2" t="inlineStr">
        <is>
          <t>https://app.parlamento.pt/webutils/docs/doc.pdf?path=6148523063484d364c793942556b356c6443397a6158526c63793959566b6c4a544556484c3039464c7a49774d6a59794d4449314d5441774f5339515153396d4f446b344d7a5a6d4d7930354d4759324c5452694d6d4d74596a55304e6930335a544d32595455314f4441774d5463756347526d&amp;Fich=f89836f3-90f6-4b2c-b546-7e36a5580017.pdf&amp;Inline=true</t>
        </is>
      </c>
      <c r="AH584" s="3" t="n">
        <v>46321.77847222222</v>
      </c>
      <c r="AI584" s="3" t="n">
        <v>46321.78055555555</v>
      </c>
      <c r="AJ584" s="2" t="inlineStr"/>
    </row>
    <row r="585">
      <c r="A585" s="2" t="n">
        <v>584</v>
      </c>
      <c r="B585" s="2" t="inlineStr">
        <is>
          <t>542C</t>
        </is>
      </c>
      <c r="C585" s="3" t="n">
        <v>45966.49305555555</v>
      </c>
      <c r="D585" s="2" t="inlineStr">
        <is>
          <t>Original</t>
        </is>
      </c>
      <c r="E585" s="2" t="inlineStr">
        <is>
          <t>PCP</t>
        </is>
      </c>
      <c r="F585" s="2" t="inlineStr">
        <is>
          <t>Alfredo Maia; Paula Santos; Paulo Raimundo</t>
        </is>
      </c>
      <c r="G585" s="2" t="inlineStr">
        <is>
          <t>Art. 7.º (aditamento)</t>
        </is>
      </c>
      <c r="H585" s="2" t="n"/>
      <c r="I585" s="2" t="n"/>
      <c r="J585" s="2" t="n"/>
      <c r="K585" s="2" t="n"/>
      <c r="L585" s="2" t="inlineStr">
        <is>
          <t>Nova Verba 75, Mapa de alterações e transferências orçamentais, Artigo 7.º</t>
        </is>
      </c>
      <c r="M585" s="4" t="n"/>
      <c r="N585" s="4" t="n"/>
      <c r="O585" s="2" t="n"/>
      <c r="P585" s="2" t="n"/>
      <c r="Q585" s="2" t="n"/>
      <c r="R585" s="2" t="n"/>
      <c r="S585" s="2" t="inlineStr">
        <is>
          <t>Rejeitado(a) em Comissão</t>
        </is>
      </c>
      <c r="T585" s="2" t="inlineStr">
        <is>
          <t>Rejeitada</t>
        </is>
      </c>
      <c r="U585" s="2" t="inlineStr">
        <is>
          <t>Favor: CH, IL, L, PCP, BE, PAN; Contra: PSD, CDS-PP; Abstenção: PS</t>
        </is>
      </c>
      <c r="V585" s="3" t="n">
        <v>45987</v>
      </c>
      <c r="W585" s="2" t="inlineStr">
        <is>
          <t>AR: https://www.parlamento.pt/OrcamentoEstado/Paginas/DetalhePropostaAlteracao.aspx?BID=23762 PDF: https://app.parlamento.pt/webutils/docs/doc.pdf?path=6148523063484d364c793942556b356c6443397a6158526c63793959566b6c4a544556484c3039464c7a49774d6a59794d4449314d5441774f533951515338314f4755774e7a4a694e4330354e5455344c54517a4d44557459544a6d4d4331684f5746694e6d51304d5751345a5755756347526d&amp;Fich=58e072b4-9558-4305-a2f0-a9ab6d41d8ee.pdf&amp;Inline=true</t>
        </is>
      </c>
      <c r="X585" s="2" t="inlineStr">
        <is>
          <t>Assuntos Constitucionais, Direitos, Liberdades e Garantias</t>
        </is>
      </c>
      <c r="Y585" s="2" t="inlineStr">
        <is>
          <t>Articulado</t>
        </is>
      </c>
      <c r="Z585" s="2" t="inlineStr">
        <is>
          <t>Aditamento (Números e Alíneas)</t>
        </is>
      </c>
      <c r="AA585" s="2" t="inlineStr">
        <is>
          <t>Rejeitado(a) em Comissão</t>
        </is>
      </c>
      <c r="AB585" s="2" t="inlineStr"/>
      <c r="AC585" s="2" t="inlineStr"/>
      <c r="AD585" s="2" t="inlineStr">
        <is>
          <t>1</t>
        </is>
      </c>
      <c r="AE585" s="2" t="inlineStr">
        <is>
          <t>23762</t>
        </is>
      </c>
      <c r="AF585" s="2" t="inlineStr">
        <is>
          <t>https://www.parlamento.pt/OrcamentoEstado/Paginas/DetalhePropostaAlteracao.aspx?BID=23762</t>
        </is>
      </c>
      <c r="AG585" s="2" t="inlineStr">
        <is>
          <t>https://app.parlamento.pt/webutils/docs/doc.pdf?path=6148523063484d364c793942556b356c6443397a6158526c63793959566b6c4a544556484c3039464c7a49774d6a59794d4449314d5441774f533951515338314f4755774e7a4a694e4330354e5455344c54517a4d44557459544a6d4d4331684f5746694e6d51304d5751345a5755756347526d&amp;Fich=58e072b4-9558-4305-a2f0-a9ab6d41d8ee.pdf&amp;Inline=true</t>
        </is>
      </c>
      <c r="AH585" s="3" t="n">
        <v>46321.77847222222</v>
      </c>
      <c r="AI585" s="3" t="n">
        <v>46321.78055555555</v>
      </c>
      <c r="AJ585" s="2" t="inlineStr"/>
    </row>
    <row r="586">
      <c r="A586" s="2" t="n">
        <v>585</v>
      </c>
      <c r="B586" s="2" t="inlineStr">
        <is>
          <t>543C</t>
        </is>
      </c>
      <c r="C586" s="3" t="n">
        <v>45966.49375</v>
      </c>
      <c r="D586" s="2" t="inlineStr">
        <is>
          <t>Original</t>
        </is>
      </c>
      <c r="E586" s="2" t="inlineStr">
        <is>
          <t>PCP</t>
        </is>
      </c>
      <c r="F586" s="2" t="inlineStr">
        <is>
          <t>Alfredo Maia; Paula Santos; Paulo Raimundo</t>
        </is>
      </c>
      <c r="G586" s="2" t="inlineStr">
        <is>
          <t>Art. 28.º-A (aditamento)</t>
        </is>
      </c>
      <c r="H586" s="2" t="n"/>
      <c r="I586" s="2" t="n"/>
      <c r="J586" s="2" t="n"/>
      <c r="K586" s="2" t="n"/>
      <c r="L586" s="2" t="inlineStr">
        <is>
          <t>Artigo 28.º-A (Pagamento do trabalho suplementar Polícia Judiciária)</t>
        </is>
      </c>
      <c r="M586" s="4" t="n"/>
      <c r="N586" s="4" t="n"/>
      <c r="O586" s="2" t="n"/>
      <c r="P586" s="2" t="n"/>
      <c r="Q586" s="2" t="n"/>
      <c r="R586" s="2" t="n"/>
      <c r="S586" s="2" t="inlineStr">
        <is>
          <t>Rejeitado(a) em Comissão</t>
        </is>
      </c>
      <c r="T586" s="2" t="inlineStr">
        <is>
          <t>Rejeitada</t>
        </is>
      </c>
      <c r="U586" s="2" t="inlineStr">
        <is>
          <t>Favor: CH, L, PCP, BE, PAN; Contra: PSD, CDS-PP; Abstenção: PS, IL</t>
        </is>
      </c>
      <c r="V586" s="3" t="n">
        <v>45981</v>
      </c>
      <c r="W586" s="2" t="inlineStr">
        <is>
          <t>AR: https://www.parlamento.pt/OrcamentoEstado/Paginas/DetalhePropostaAlteracao.aspx?BID=23763 PDF: https://app.parlamento.pt/webutils/docs/doc.pdf?path=6148523063484d364c793942556b356c6443397a6158526c63793959566b6c4a544556484c3039464c7a49774d6a59794d4449314d5441774f533951515338324d444a6d4d32517a4e43316c4e5445334c5451794d6d4574596d457a4e79316b5a446c6b5a575a694f4463794d7a55756347526d&amp;Fich=602f3d34-e517-422a-ba37-dd9defb87235.pdf&amp;Inline=true</t>
        </is>
      </c>
      <c r="X586" s="2" t="inlineStr">
        <is>
          <t>Assuntos Constitucionais, Direitos, Liberdades e Garantias</t>
        </is>
      </c>
      <c r="Y586" s="2" t="inlineStr">
        <is>
          <t>Articulado</t>
        </is>
      </c>
      <c r="Z586" s="2" t="inlineStr">
        <is>
          <t>Aditamento (Artigo PPL)</t>
        </is>
      </c>
      <c r="AA586" s="2" t="inlineStr">
        <is>
          <t>Rejeitado(a) em Comissão</t>
        </is>
      </c>
      <c r="AB586" s="2" t="inlineStr"/>
      <c r="AC586" s="2" t="inlineStr"/>
      <c r="AD586" s="2" t="inlineStr">
        <is>
          <t>1</t>
        </is>
      </c>
      <c r="AE586" s="2" t="inlineStr">
        <is>
          <t>23763</t>
        </is>
      </c>
      <c r="AF586" s="2" t="inlineStr">
        <is>
          <t>https://www.parlamento.pt/OrcamentoEstado/Paginas/DetalhePropostaAlteracao.aspx?BID=23763</t>
        </is>
      </c>
      <c r="AG586" s="2" t="inlineStr">
        <is>
          <t>https://app.parlamento.pt/webutils/docs/doc.pdf?path=6148523063484d364c793942556b356c6443397a6158526c63793959566b6c4a544556484c3039464c7a49774d6a59794d4449314d5441774f533951515338324d444a6d4d32517a4e43316c4e5445334c5451794d6d4574596d457a4e79316b5a446c6b5a575a694f4463794d7a55756347526d&amp;Fich=602f3d34-e517-422a-ba37-dd9defb87235.pdf&amp;Inline=true</t>
        </is>
      </c>
      <c r="AH586" s="3" t="n">
        <v>46321.77847222222</v>
      </c>
      <c r="AI586" s="3" t="n">
        <v>46321.78055555555</v>
      </c>
      <c r="AJ586" s="2" t="inlineStr"/>
    </row>
    <row r="587">
      <c r="A587" s="2" t="n">
        <v>586</v>
      </c>
      <c r="B587" s="2" t="inlineStr">
        <is>
          <t>544C</t>
        </is>
      </c>
      <c r="C587" s="3" t="n">
        <v>45966.49444444444</v>
      </c>
      <c r="D587" s="2" t="inlineStr">
        <is>
          <t>Original</t>
        </is>
      </c>
      <c r="E587" s="2" t="inlineStr">
        <is>
          <t>CH</t>
        </is>
      </c>
      <c r="F58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87" s="2" t="inlineStr">
        <is>
          <t>Art. 128.º-A (aditamento)</t>
        </is>
      </c>
      <c r="H587" s="2" t="n"/>
      <c r="I587" s="2" t="n"/>
      <c r="J587" s="2" t="n"/>
      <c r="K587" s="2" t="n"/>
      <c r="L587" s="2" t="inlineStr">
        <is>
          <t>Artigo 128.º-A (Pagamento dos rateios aos agricultores dos Açores no âmbito do programa POSEI)</t>
        </is>
      </c>
      <c r="M587" s="4" t="n"/>
      <c r="N587" s="4" t="n"/>
      <c r="O587" s="2" t="n"/>
      <c r="P587" s="2" t="n"/>
      <c r="Q587" s="2" t="n"/>
      <c r="R587" s="2" t="n"/>
      <c r="S587" s="2" t="inlineStr">
        <is>
          <t>Rejeitado(a) em Comissão</t>
        </is>
      </c>
      <c r="T587" s="2" t="inlineStr">
        <is>
          <t>Rejeitada</t>
        </is>
      </c>
      <c r="U587" s="2" t="inlineStr">
        <is>
          <t>Favor: CH, BE; Contra: PSD, CDS-PP; Abstenção: PS, IL, L, PCP, PAN</t>
        </is>
      </c>
      <c r="V587" s="3" t="n">
        <v>45985</v>
      </c>
      <c r="W587" s="2" t="inlineStr">
        <is>
          <t>AR: https://www.parlamento.pt/OrcamentoEstado/Paginas/DetalhePropostaAlteracao.aspx?BID=23764 PDF: https://app.parlamento.pt/webutils/docs/doc.pdf?path=6148523063484d364c793942556b356c6443397a6158526c63793959566b6c4a544556484c3039464c7a49774d6a59794d4449314d5441774f533951515338344e5459334e5751794e79316d596d4d304c5452684d7a51744f44526c4e69316d596a4178596a52685a5451774e6d59756347526d&amp;Fich=85675d27-fbc4-4a34-84e6-fb01b4ae406f.pdf&amp;Inline=true</t>
        </is>
      </c>
      <c r="X587" s="2" t="inlineStr">
        <is>
          <t>Agricultura e Pescas</t>
        </is>
      </c>
      <c r="Y587" s="2" t="inlineStr">
        <is>
          <t>Articulado</t>
        </is>
      </c>
      <c r="Z587" s="2" t="inlineStr">
        <is>
          <t>Aditamento (Artigo PPL)</t>
        </is>
      </c>
      <c r="AA587" s="2" t="inlineStr">
        <is>
          <t>Rejeitado(a) em Comissão</t>
        </is>
      </c>
      <c r="AB587" s="2" t="inlineStr"/>
      <c r="AC587" s="2" t="inlineStr"/>
      <c r="AD587" s="2" t="inlineStr">
        <is>
          <t>1</t>
        </is>
      </c>
      <c r="AE587" s="2" t="inlineStr">
        <is>
          <t>23764</t>
        </is>
      </c>
      <c r="AF587" s="2" t="inlineStr">
        <is>
          <t>https://www.parlamento.pt/OrcamentoEstado/Paginas/DetalhePropostaAlteracao.aspx?BID=23764</t>
        </is>
      </c>
      <c r="AG587" s="2" t="inlineStr">
        <is>
          <t>https://app.parlamento.pt/webutils/docs/doc.pdf?path=6148523063484d364c793942556b356c6443397a6158526c63793959566b6c4a544556484c3039464c7a49774d6a59794d4449314d5441774f533951515338344e5459334e5751794e79316d596d4d304c5452684d7a51744f44526c4e69316d596a4178596a52685a5451774e6d59756347526d&amp;Fich=85675d27-fbc4-4a34-84e6-fb01b4ae406f.pdf&amp;Inline=true</t>
        </is>
      </c>
      <c r="AH587" s="3" t="n">
        <v>46321.77847222222</v>
      </c>
      <c r="AI587" s="3" t="n">
        <v>46321.78055555555</v>
      </c>
      <c r="AJ587" s="2" t="inlineStr"/>
    </row>
    <row r="588">
      <c r="A588" s="2" t="n">
        <v>587</v>
      </c>
      <c r="B588" s="2" t="inlineStr">
        <is>
          <t>545C</t>
        </is>
      </c>
      <c r="C588" s="3" t="n">
        <v>45966.49513888889</v>
      </c>
      <c r="D588" s="2" t="inlineStr">
        <is>
          <t>Original</t>
        </is>
      </c>
      <c r="E588" s="2" t="inlineStr">
        <is>
          <t>PCP</t>
        </is>
      </c>
      <c r="F588" s="2" t="inlineStr">
        <is>
          <t>Alfredo Maia; Paula Santos; Paulo Raimundo</t>
        </is>
      </c>
      <c r="G588" s="2" t="inlineStr">
        <is>
          <t>Art. 28.º-A (aditamento)</t>
        </is>
      </c>
      <c r="H588" s="2" t="n"/>
      <c r="I588" s="2" t="n"/>
      <c r="J588" s="2" t="n"/>
      <c r="K588" s="2" t="n"/>
      <c r="L588" s="2" t="inlineStr">
        <is>
          <t>Artigo 28.º-A (Regulamentação do Estatuto Profissional do Pessoal da Polícia Judiciária)</t>
        </is>
      </c>
      <c r="M588" s="4" t="n"/>
      <c r="N588" s="4" t="n"/>
      <c r="O588" s="2" t="n"/>
      <c r="P588" s="2" t="n"/>
      <c r="Q588" s="2" t="n"/>
      <c r="R588" s="2" t="n"/>
      <c r="S588" s="2" t="inlineStr">
        <is>
          <t>Rejeitado(a) em Comissão</t>
        </is>
      </c>
      <c r="T588" s="2" t="inlineStr">
        <is>
          <t>Rejeitada</t>
        </is>
      </c>
      <c r="U588" s="2" t="inlineStr">
        <is>
          <t>Favor: CH, PCP, BE, PAN; Contra: PSD, CDS-PP; Abstenção: PS, IL, L</t>
        </is>
      </c>
      <c r="V588" s="3" t="n">
        <v>45981</v>
      </c>
      <c r="W588" s="2" t="inlineStr">
        <is>
          <t>AR: https://www.parlamento.pt/OrcamentoEstado/Paginas/DetalhePropostaAlteracao.aspx?BID=23765 PDF: https://app.parlamento.pt/webutils/docs/doc.pdf?path=6148523063484d364c793942556b356c6443397a6158526c63793959566b6c4a544556484c3039464c7a49774d6a59794d4449314d5441774f533951515338774d6d5932595455344f4330354e5749344c5451334f4449744f4463794e7930795a475a6b4e444a685a4451775a6d55756347526d&amp;Fich=02f6a588-95b8-4782-8727-2dfd42ad40fe.pdf&amp;Inline=true</t>
        </is>
      </c>
      <c r="X588" s="2" t="inlineStr">
        <is>
          <t>Assuntos Constitucionais, Direitos, Liberdades e Garantias</t>
        </is>
      </c>
      <c r="Y588" s="2" t="inlineStr">
        <is>
          <t>Articulado</t>
        </is>
      </c>
      <c r="Z588" s="2" t="inlineStr">
        <is>
          <t>Aditamento (Artigo PPL)</t>
        </is>
      </c>
      <c r="AA588" s="2" t="inlineStr">
        <is>
          <t>Rejeitado(a) em Comissão</t>
        </is>
      </c>
      <c r="AB588" s="2" t="inlineStr"/>
      <c r="AC588" s="2" t="inlineStr"/>
      <c r="AD588" s="2" t="inlineStr">
        <is>
          <t>1</t>
        </is>
      </c>
      <c r="AE588" s="2" t="inlineStr">
        <is>
          <t>23765</t>
        </is>
      </c>
      <c r="AF588" s="2" t="inlineStr">
        <is>
          <t>https://www.parlamento.pt/OrcamentoEstado/Paginas/DetalhePropostaAlteracao.aspx?BID=23765</t>
        </is>
      </c>
      <c r="AG588" s="2" t="inlineStr">
        <is>
          <t>https://app.parlamento.pt/webutils/docs/doc.pdf?path=6148523063484d364c793942556b356c6443397a6158526c63793959566b6c4a544556484c3039464c7a49774d6a59794d4449314d5441774f533951515338774d6d5932595455344f4330354e5749344c5451334f4449744f4463794e7930795a475a6b4e444a685a4451775a6d55756347526d&amp;Fich=02f6a588-95b8-4782-8727-2dfd42ad40fe.pdf&amp;Inline=true</t>
        </is>
      </c>
      <c r="AH588" s="3" t="n">
        <v>46321.77847222222</v>
      </c>
      <c r="AI588" s="3" t="n">
        <v>46321.78055555555</v>
      </c>
      <c r="AJ588" s="2" t="inlineStr"/>
    </row>
    <row r="589">
      <c r="A589" s="2" t="n">
        <v>588</v>
      </c>
      <c r="B589" s="2" t="inlineStr">
        <is>
          <t>546C</t>
        </is>
      </c>
      <c r="C589" s="3" t="n">
        <v>45966.49583333333</v>
      </c>
      <c r="D589" s="2" t="inlineStr">
        <is>
          <t>Original</t>
        </is>
      </c>
      <c r="E589" s="2" t="inlineStr">
        <is>
          <t>PCP</t>
        </is>
      </c>
      <c r="F589" s="2" t="inlineStr">
        <is>
          <t>Alfredo Maia; Paula Santos; Paulo Raimundo</t>
        </is>
      </c>
      <c r="G589" s="2" t="inlineStr">
        <is>
          <t>Art. 136.º-A (aditamento)</t>
        </is>
      </c>
      <c r="H589" s="2" t="n"/>
      <c r="I589" s="2" t="n"/>
      <c r="J589" s="2" t="n"/>
      <c r="K589" s="2" t="n"/>
      <c r="L589" s="2" t="inlineStr">
        <is>
          <t>Artigo 136.º-A (Programa de construção e recuperação de instalações da Polícia Judiciária)</t>
        </is>
      </c>
      <c r="M589" s="4" t="n"/>
      <c r="N589" s="4" t="n"/>
      <c r="O589" s="2" t="n"/>
      <c r="P589" s="2" t="n"/>
      <c r="Q589" s="2" t="n"/>
      <c r="R589" s="2" t="n"/>
      <c r="S589" s="2" t="inlineStr">
        <is>
          <t>Rejeitado(a) em Comissão</t>
        </is>
      </c>
      <c r="T589" s="2" t="inlineStr">
        <is>
          <t>Rejeitada</t>
        </is>
      </c>
      <c r="U589" s="2" t="inlineStr">
        <is>
          <t>Favor: CH, L, PCP, BE, PAN; Contra: PSD, CDS-PP; Abstenção: PS, IL</t>
        </is>
      </c>
      <c r="V589" s="3" t="n">
        <v>45987</v>
      </c>
      <c r="W589" s="2" t="inlineStr">
        <is>
          <t>AR: https://www.parlamento.pt/OrcamentoEstado/Paginas/DetalhePropostaAlteracao.aspx?BID=23766 PDF: https://app.parlamento.pt/webutils/docs/doc.pdf?path=6148523063484d364c793942556b356c6443397a6158526c63793959566b6c4a544556484c3039464c7a49774d6a59794d4449314d5441774f5339515153396d4e444d7a4e7a633059793031596a45354c54526c596a6b74596d497a4e69316a4d3245784e7a466b4f475a694e4751756347526d&amp;Fich=f433774c-5b19-4eb9-bb36-c3a171d8fb4d.pdf&amp;Inline=true</t>
        </is>
      </c>
      <c r="X589" s="2" t="inlineStr">
        <is>
          <t>Assuntos Constitucionais, Direitos, Liberdades e Garantias</t>
        </is>
      </c>
      <c r="Y589" s="2" t="inlineStr">
        <is>
          <t>Articulado</t>
        </is>
      </c>
      <c r="Z589" s="2" t="inlineStr">
        <is>
          <t>Aditamento (Artigo PPL)</t>
        </is>
      </c>
      <c r="AA589" s="2" t="inlineStr">
        <is>
          <t>Rejeitado(a) em Comissão</t>
        </is>
      </c>
      <c r="AB589" s="2" t="inlineStr"/>
      <c r="AC589" s="2" t="inlineStr"/>
      <c r="AD589" s="2" t="inlineStr">
        <is>
          <t>1</t>
        </is>
      </c>
      <c r="AE589" s="2" t="inlineStr">
        <is>
          <t>23766</t>
        </is>
      </c>
      <c r="AF589" s="2" t="inlineStr">
        <is>
          <t>https://www.parlamento.pt/OrcamentoEstado/Paginas/DetalhePropostaAlteracao.aspx?BID=23766</t>
        </is>
      </c>
      <c r="AG589" s="2" t="inlineStr">
        <is>
          <t>https://app.parlamento.pt/webutils/docs/doc.pdf?path=6148523063484d364c793942556b356c6443397a6158526c63793959566b6c4a544556484c3039464c7a49774d6a59794d4449314d5441774f5339515153396d4e444d7a4e7a633059793031596a45354c54526c596a6b74596d497a4e69316a4d3245784e7a466b4f475a694e4751756347526d&amp;Fich=f433774c-5b19-4eb9-bb36-c3a171d8fb4d.pdf&amp;Inline=true</t>
        </is>
      </c>
      <c r="AH589" s="3" t="n">
        <v>46321.77847222222</v>
      </c>
      <c r="AI589" s="3" t="n">
        <v>46321.78055555555</v>
      </c>
      <c r="AJ589" s="2" t="inlineStr"/>
    </row>
    <row r="590">
      <c r="A590" s="2" t="n">
        <v>589</v>
      </c>
      <c r="B590" s="2" t="inlineStr">
        <is>
          <t>547C</t>
        </is>
      </c>
      <c r="C590" s="3" t="n">
        <v>45966.49583333333</v>
      </c>
      <c r="D590" s="2" t="inlineStr">
        <is>
          <t>Original</t>
        </is>
      </c>
      <c r="E590" s="2" t="inlineStr">
        <is>
          <t>CH</t>
        </is>
      </c>
      <c r="F59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90" s="2" t="inlineStr">
        <is>
          <t>Art. 132.º-A (aditamento)</t>
        </is>
      </c>
      <c r="H590" s="2" t="n"/>
      <c r="I590" s="2" t="n"/>
      <c r="J590" s="2" t="n"/>
      <c r="K590" s="2" t="n"/>
      <c r="L590" s="2" t="inlineStr">
        <is>
          <t>Artigo 132.º-A (Fiscalização de Baixas Fraudulentas na Segurança Social)</t>
        </is>
      </c>
      <c r="M590" s="4" t="n"/>
      <c r="N590" s="4" t="n"/>
      <c r="O590" s="2" t="n"/>
      <c r="P590" s="2" t="n"/>
      <c r="Q590" s="2" t="n"/>
      <c r="R590" s="2" t="n"/>
      <c r="S590" s="2" t="inlineStr">
        <is>
          <t>Rejeitado(a) em Plenário</t>
        </is>
      </c>
      <c r="T590" s="2" t="inlineStr">
        <is>
          <t>Rejeitada</t>
        </is>
      </c>
      <c r="U590" s="2" t="inlineStr">
        <is>
          <t>Favor: CH, JPP; Contra: PSD, PS, IL, L, PCP, CDS-PP, BE, PAN</t>
        </is>
      </c>
      <c r="V590" s="3" t="n">
        <v>45987</v>
      </c>
      <c r="W590" s="2" t="inlineStr">
        <is>
          <t>Avocada a Plenário. AR: https://www.parlamento.pt/OrcamentoEstado/Paginas/DetalhePropostaAlteracao.aspx?BID=23767 PDF: https://app.parlamento.pt/webutils/docs/doc.pdf?path=6148523063484d364c793942556b356c6443397a6158526c63793959566b6c4a544556484c3039464c7a49774d6a59794d4449314d5441774f533951515338324f44646a4f4464695969316c4d5749354c5451795a574574596a41794e5330784d546c6c4e3245794d7a55794e4751756347526d&amp;Fich=687c87bb-e1b9-42ea-b025-119e7a23524d.pdf&amp;Inline=true</t>
        </is>
      </c>
      <c r="X590" s="2" t="inlineStr">
        <is>
          <t>Trabalho, Segurança Social e Inclusão</t>
        </is>
      </c>
      <c r="Y590" s="2" t="inlineStr">
        <is>
          <t>Articulado</t>
        </is>
      </c>
      <c r="Z590" s="2" t="inlineStr">
        <is>
          <t>Aditamento (Artigo PPL)</t>
        </is>
      </c>
      <c r="AA590" s="2" t="inlineStr">
        <is>
          <t>Rejeitado(a) em Plenário</t>
        </is>
      </c>
      <c r="AB590" s="2" t="inlineStr">
        <is>
          <t>S</t>
        </is>
      </c>
      <c r="AC590" s="2" t="inlineStr"/>
      <c r="AD590" s="2" t="inlineStr">
        <is>
          <t>2</t>
        </is>
      </c>
      <c r="AE590" s="2" t="inlineStr">
        <is>
          <t>23767</t>
        </is>
      </c>
      <c r="AF590" s="2" t="inlineStr">
        <is>
          <t>https://www.parlamento.pt/OrcamentoEstado/Paginas/DetalhePropostaAlteracao.aspx?BID=23767</t>
        </is>
      </c>
      <c r="AG590" s="2" t="inlineStr">
        <is>
          <t>https://app.parlamento.pt/webutils/docs/doc.pdf?path=6148523063484d364c793942556b356c6443397a6158526c63793959566b6c4a544556484c3039464c7a49774d6a59794d4449314d5441774f533951515338324f44646a4f4464695969316c4d5749354c5451795a574574596a41794e5330784d546c6c4e3245794d7a55794e4751756347526d&amp;Fich=687c87bb-e1b9-42ea-b025-119e7a23524d.pdf&amp;Inline=true</t>
        </is>
      </c>
      <c r="AH590" s="3" t="n">
        <v>46321.77847222222</v>
      </c>
      <c r="AI590" s="3" t="n">
        <v>46321.78055555555</v>
      </c>
      <c r="AJ590" s="2" t="inlineStr"/>
    </row>
    <row r="591">
      <c r="A591" s="2" t="n">
        <v>590</v>
      </c>
      <c r="B591" s="2" t="inlineStr">
        <is>
          <t>548C</t>
        </is>
      </c>
      <c r="C591" s="3" t="n">
        <v>45966.49652777778</v>
      </c>
      <c r="D591" s="2" t="inlineStr">
        <is>
          <t>Original</t>
        </is>
      </c>
      <c r="E591" s="2" t="inlineStr">
        <is>
          <t>PCP</t>
        </is>
      </c>
      <c r="F591" s="2" t="inlineStr">
        <is>
          <t>Alfredo Maia; Paula Santos; Paulo Raimundo</t>
        </is>
      </c>
      <c r="G591" s="2" t="inlineStr">
        <is>
          <t>Art. 136.º-A (aditamento)</t>
        </is>
      </c>
      <c r="H591" s="2" t="n"/>
      <c r="I591" s="2" t="n"/>
      <c r="J591" s="2" t="n"/>
      <c r="K591" s="2" t="n"/>
      <c r="L591" s="2" t="inlineStr">
        <is>
          <t>Artigo 136.º-A (Alteração ao Decreto-Lei n.º 138/2019, de 13 de setembro)</t>
        </is>
      </c>
      <c r="M591" s="4" t="n"/>
      <c r="N591" s="4" t="n"/>
      <c r="O591" s="2" t="n"/>
      <c r="P591" s="2" t="n"/>
      <c r="Q591" s="2" t="n"/>
      <c r="R591" s="2" t="n"/>
      <c r="S591" s="2" t="inlineStr">
        <is>
          <t>Rejeitado(a) em Comissão</t>
        </is>
      </c>
      <c r="T591" s="2" t="inlineStr">
        <is>
          <t>Rejeitada</t>
        </is>
      </c>
      <c r="U591" s="2" t="inlineStr">
        <is>
          <t>Favor: CH, L, PCP, BE, PAN; Contra: PSD, CDS-PP; Abstenção: PS, IL</t>
        </is>
      </c>
      <c r="V591" s="3" t="n">
        <v>45987</v>
      </c>
      <c r="W591" s="2" t="inlineStr">
        <is>
          <t>AR: https://www.parlamento.pt/OrcamentoEstado/Paginas/DetalhePropostaAlteracao.aspx?BID=23768 PDF: https://app.parlamento.pt/webutils/docs/doc.pdf?path=6148523063484d364c793942556b356c6443397a6158526c63793959566b6c4a544556484c3039464c7a49774d6a59794d4449314d5441774f533951515339685a444e6a4d544e694d433169597a6b314c5451324d6a4574595749794e7930304d7a466b597a49335a5463325a6a55756347526d&amp;Fich=ad3c13b0-bc95-4621-ab27-431dc27e76f5.pdf&amp;Inline=true</t>
        </is>
      </c>
      <c r="X591" s="2" t="inlineStr">
        <is>
          <t>Assuntos Constitucionais, Direitos, Liberdades e Garantias</t>
        </is>
      </c>
      <c r="Y591" s="2" t="inlineStr">
        <is>
          <t>Articulado</t>
        </is>
      </c>
      <c r="Z591" s="2" t="inlineStr">
        <is>
          <t>Aditamento (Artigo PPL)</t>
        </is>
      </c>
      <c r="AA591" s="2" t="inlineStr">
        <is>
          <t>Rejeitado(a) em Comissão</t>
        </is>
      </c>
      <c r="AB591" s="2" t="inlineStr"/>
      <c r="AC591" s="2" t="inlineStr"/>
      <c r="AD591" s="2" t="inlineStr">
        <is>
          <t>1</t>
        </is>
      </c>
      <c r="AE591" s="2" t="inlineStr">
        <is>
          <t>23768</t>
        </is>
      </c>
      <c r="AF591" s="2" t="inlineStr">
        <is>
          <t>https://www.parlamento.pt/OrcamentoEstado/Paginas/DetalhePropostaAlteracao.aspx?BID=23768</t>
        </is>
      </c>
      <c r="AG591" s="2" t="inlineStr">
        <is>
          <t>https://app.parlamento.pt/webutils/docs/doc.pdf?path=6148523063484d364c793942556b356c6443397a6158526c63793959566b6c4a544556484c3039464c7a49774d6a59794d4449314d5441774f533951515339685a444e6a4d544e694d433169597a6b314c5451324d6a4574595749794e7930304d7a466b597a49335a5463325a6a55756347526d&amp;Fich=ad3c13b0-bc95-4621-ab27-431dc27e76f5.pdf&amp;Inline=true</t>
        </is>
      </c>
      <c r="AH591" s="3" t="n">
        <v>46321.77847222222</v>
      </c>
      <c r="AI591" s="3" t="n">
        <v>46321.78055555555</v>
      </c>
      <c r="AJ591" s="2" t="inlineStr"/>
    </row>
    <row r="592">
      <c r="A592" s="2" t="n">
        <v>591</v>
      </c>
      <c r="B592" s="2" t="inlineStr">
        <is>
          <t>549C</t>
        </is>
      </c>
      <c r="C592" s="3" t="n">
        <v>45966.50069444445</v>
      </c>
      <c r="D592" s="2" t="inlineStr">
        <is>
          <t>Original</t>
        </is>
      </c>
      <c r="E592" s="2" t="inlineStr">
        <is>
          <t>CH</t>
        </is>
      </c>
      <c r="F59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92" s="2" t="inlineStr">
        <is>
          <t>Art. 136.º-A (aditamento)</t>
        </is>
      </c>
      <c r="H592" s="2" t="n"/>
      <c r="I592" s="2" t="n"/>
      <c r="J592" s="2" t="n"/>
      <c r="K592" s="2" t="n"/>
      <c r="L592" s="2" t="inlineStr">
        <is>
          <t>Artigo 136.º-A (Rede de distribuição da albufeira de Odeleite para o barlavento algarvio)</t>
        </is>
      </c>
      <c r="M592" s="4" t="n"/>
      <c r="N592" s="4" t="n"/>
      <c r="O592" s="2" t="n"/>
      <c r="P592" s="2" t="n"/>
      <c r="Q592" s="2" t="n"/>
      <c r="R592" s="2" t="n"/>
      <c r="S592" s="2" t="inlineStr">
        <is>
          <t>Rejeitado(a) em Comissão</t>
        </is>
      </c>
      <c r="T592" s="2" t="inlineStr">
        <is>
          <t>Rejeitada</t>
        </is>
      </c>
      <c r="U592" s="2" t="inlineStr">
        <is>
          <t>Favor: CH, IL; Contra: PSD, L, CDS-PP; Abstenção: PS, PCP, BE, PAN</t>
        </is>
      </c>
      <c r="V592" s="3" t="n">
        <v>45987</v>
      </c>
      <c r="W592" s="2" t="inlineStr">
        <is>
          <t>AR: https://www.parlamento.pt/OrcamentoEstado/Paginas/DetalhePropostaAlteracao.aspx?BID=23769 PDF: https://app.parlamento.pt/webutils/docs/doc.pdf?path=6148523063484d364c793942556b356c6443397a6158526c63793959566b6c4a544556484c3039464c7a49774d6a59794d4449314d5441774f5339515153383559574e6d4d6a5934597930354d7a59354c5451324e7a6b744f5455334e53316c4d7a4a684e6d497a59544d345a4463756347526d&amp;Fich=9acf268c-9369-4679-9575-e32a6b3a38d7.pdf&amp;Inline=true</t>
        </is>
      </c>
      <c r="X592" s="2" t="inlineStr">
        <is>
          <t>Agricultura e Pescas; Ambiente e Energia</t>
        </is>
      </c>
      <c r="Y592" s="2" t="inlineStr">
        <is>
          <t>Articulado</t>
        </is>
      </c>
      <c r="Z592" s="2" t="inlineStr">
        <is>
          <t>Aditamento (Artigo PPL)</t>
        </is>
      </c>
      <c r="AA592" s="2" t="inlineStr">
        <is>
          <t>Rejeitado(a) em Comissão</t>
        </is>
      </c>
      <c r="AB592" s="2" t="inlineStr"/>
      <c r="AC592" s="2" t="inlineStr"/>
      <c r="AD592" s="2" t="inlineStr">
        <is>
          <t>1</t>
        </is>
      </c>
      <c r="AE592" s="2" t="inlineStr">
        <is>
          <t>23769</t>
        </is>
      </c>
      <c r="AF592" s="2" t="inlineStr">
        <is>
          <t>https://www.parlamento.pt/OrcamentoEstado/Paginas/DetalhePropostaAlteracao.aspx?BID=23769</t>
        </is>
      </c>
      <c r="AG592" s="2" t="inlineStr">
        <is>
          <t>https://app.parlamento.pt/webutils/docs/doc.pdf?path=6148523063484d364c793942556b356c6443397a6158526c63793959566b6c4a544556484c3039464c7a49774d6a59794d4449314d5441774f5339515153383559574e6d4d6a5934597930354d7a59354c5451324e7a6b744f5455334e53316c4d7a4a684e6d497a59544d345a4463756347526d&amp;Fich=9acf268c-9369-4679-9575-e32a6b3a38d7.pdf&amp;Inline=true</t>
        </is>
      </c>
      <c r="AH592" s="3" t="n">
        <v>46321.77847222222</v>
      </c>
      <c r="AI592" s="3" t="n">
        <v>46321.78055555555</v>
      </c>
      <c r="AJ592" s="2" t="inlineStr"/>
    </row>
    <row r="593">
      <c r="A593" s="2" t="n">
        <v>592</v>
      </c>
      <c r="B593" s="2" t="inlineStr">
        <is>
          <t>550C</t>
        </is>
      </c>
      <c r="C593" s="3" t="n">
        <v>45966.50277777778</v>
      </c>
      <c r="D593" s="2" t="inlineStr">
        <is>
          <t>Original</t>
        </is>
      </c>
      <c r="E593" s="2" t="inlineStr">
        <is>
          <t>CH</t>
        </is>
      </c>
      <c r="F59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93" s="2" t="inlineStr">
        <is>
          <t>Art. 136.º-A (aditamento)</t>
        </is>
      </c>
      <c r="H593" s="2" t="n"/>
      <c r="I593" s="2" t="n"/>
      <c r="J593" s="2" t="n"/>
      <c r="K593" s="2" t="n"/>
      <c r="L593" s="2" t="inlineStr">
        <is>
          <t>Artigo 136.º-A (Programa de Reabilitação e Disponibilização de Casas de Função para Profissionais Essenciais)</t>
        </is>
      </c>
      <c r="M593" s="4" t="n"/>
      <c r="N593" s="4" t="n"/>
      <c r="O593" s="2" t="n"/>
      <c r="P593" s="2" t="n"/>
      <c r="Q593" s="2" t="n"/>
      <c r="R593" s="2" t="n"/>
      <c r="S593" s="2" t="inlineStr">
        <is>
          <t>Rejeitado(a) em Comissão</t>
        </is>
      </c>
      <c r="T593" s="2" t="inlineStr">
        <is>
          <t>Rejeitada</t>
        </is>
      </c>
      <c r="U593" s="2" t="inlineStr">
        <is>
          <t>Favor: CH, BE, PAN; Contra: PSD, PCP, CDS-PP; Abstenção: PS, IL, L</t>
        </is>
      </c>
      <c r="V593" s="3" t="n">
        <v>45987</v>
      </c>
      <c r="W593" s="2" t="inlineStr">
        <is>
          <t>AR: https://www.parlamento.pt/OrcamentoEstado/Paginas/DetalhePropostaAlteracao.aspx?BID=23770 PDF: https://app.parlamento.pt/webutils/docs/doc.pdf?path=6148523063484d364c793942556b356c6443397a6158526c63793959566b6c4a544556484c3039464c7a49774d6a59794d4449314d5441774f533951515339684f444e6a5a6a4178595330774e4755354c5451325a6a45744f5467325a69316b5a445a6c5a474d314d57557a5a6a6b756347526d&amp;Fich=a83cf01a-04e9-46f1-986f-dd6edc51e3f9.pdf&amp;Inline=true</t>
        </is>
      </c>
      <c r="X593" s="2" t="inlineStr">
        <is>
          <t>Infraestruturas, Mobilidade e Habitação</t>
        </is>
      </c>
      <c r="Y593" s="2" t="inlineStr">
        <is>
          <t>Articulado</t>
        </is>
      </c>
      <c r="Z593" s="2" t="inlineStr">
        <is>
          <t>Aditamento (Artigo PPL)</t>
        </is>
      </c>
      <c r="AA593" s="2" t="inlineStr">
        <is>
          <t>Rejeitado(a) em Comissão</t>
        </is>
      </c>
      <c r="AB593" s="2" t="inlineStr"/>
      <c r="AC593" s="2" t="inlineStr"/>
      <c r="AD593" s="2" t="inlineStr">
        <is>
          <t>1</t>
        </is>
      </c>
      <c r="AE593" s="2" t="inlineStr">
        <is>
          <t>23770</t>
        </is>
      </c>
      <c r="AF593" s="2" t="inlineStr">
        <is>
          <t>https://www.parlamento.pt/OrcamentoEstado/Paginas/DetalhePropostaAlteracao.aspx?BID=23770</t>
        </is>
      </c>
      <c r="AG593" s="2" t="inlineStr">
        <is>
          <t>https://app.parlamento.pt/webutils/docs/doc.pdf?path=6148523063484d364c793942556b356c6443397a6158526c63793959566b6c4a544556484c3039464c7a49774d6a59794d4449314d5441774f533951515339684f444e6a5a6a4178595330774e4755354c5451325a6a45744f5467325a69316b5a445a6c5a474d314d57557a5a6a6b756347526d&amp;Fich=a83cf01a-04e9-46f1-986f-dd6edc51e3f9.pdf&amp;Inline=true</t>
        </is>
      </c>
      <c r="AH593" s="3" t="n">
        <v>46321.77847222222</v>
      </c>
      <c r="AI593" s="3" t="n">
        <v>46321.78055555555</v>
      </c>
      <c r="AJ593" s="2" t="inlineStr"/>
    </row>
    <row r="594">
      <c r="A594" s="2" t="n">
        <v>593</v>
      </c>
      <c r="B594" s="2" t="inlineStr">
        <is>
          <t>551C</t>
        </is>
      </c>
      <c r="C594" s="3" t="n">
        <v>45966.50486111111</v>
      </c>
      <c r="D594" s="2" t="inlineStr">
        <is>
          <t>Original</t>
        </is>
      </c>
      <c r="E594" s="2" t="inlineStr">
        <is>
          <t>CH</t>
        </is>
      </c>
      <c r="F59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594" s="2" t="inlineStr">
        <is>
          <t>Art. 136.º-A (aditamento)</t>
        </is>
      </c>
      <c r="H594" s="2" t="n"/>
      <c r="I594" s="2" t="n"/>
      <c r="J594" s="2" t="n"/>
      <c r="K594" s="2" t="n"/>
      <c r="L594" s="2" t="inlineStr">
        <is>
          <t>Artigo 136.º-A (Alteração do Decreto-Lei n.º 44/2024, de 10 de julho)</t>
        </is>
      </c>
      <c r="M594" s="4" t="n"/>
      <c r="N594" s="4" t="n"/>
      <c r="O594" s="2" t="n"/>
      <c r="P594" s="2" t="n"/>
      <c r="Q594" s="2" t="n"/>
      <c r="R594" s="2" t="n"/>
      <c r="S594" s="2" t="inlineStr">
        <is>
          <t>Rejeitado(a) em Comissão</t>
        </is>
      </c>
      <c r="T594" s="2" t="inlineStr">
        <is>
          <t>Rejeitada</t>
        </is>
      </c>
      <c r="U594" s="2" t="inlineStr">
        <is>
          <t>Favor: CH; Contra: PSD, L, PCP, CDS-PP; Abstenção: PS, IL, BE, PAN</t>
        </is>
      </c>
      <c r="V594" s="3" t="n">
        <v>45987</v>
      </c>
      <c r="W594" s="2" t="inlineStr">
        <is>
          <t>AR: https://www.parlamento.pt/OrcamentoEstado/Paginas/DetalhePropostaAlteracao.aspx?BID=23771 PDF: https://app.parlamento.pt/webutils/docs/doc.pdf?path=6148523063484d364c793942556b356c6443397a6158526c63793959566b6c4a544556484c3039464c7a49774d6a59794d4449314d5441774f533951515339684e4442694d44466b4d43316b4e6a566d4c5451794d7a4574596a686b4f53316a4d54466b4e4752684d57466c596d51756347526d&amp;Fich=a40b01d0-d65f-4231-b8d9-c11d4da1aebd.pdf&amp;Inline=true</t>
        </is>
      </c>
      <c r="X594" s="2" t="inlineStr">
        <is>
          <t>Infraestruturas, Mobilidade e Habitação</t>
        </is>
      </c>
      <c r="Y594" s="2" t="inlineStr">
        <is>
          <t>Articulado</t>
        </is>
      </c>
      <c r="Z594" s="2" t="inlineStr">
        <is>
          <t>Aditamento (Artigo PPL)</t>
        </is>
      </c>
      <c r="AA594" s="2" t="inlineStr">
        <is>
          <t>Rejeitado(a) em Comissão</t>
        </is>
      </c>
      <c r="AB594" s="2" t="inlineStr"/>
      <c r="AC594" s="2" t="inlineStr"/>
      <c r="AD594" s="2" t="inlineStr">
        <is>
          <t>1</t>
        </is>
      </c>
      <c r="AE594" s="2" t="inlineStr">
        <is>
          <t>23771</t>
        </is>
      </c>
      <c r="AF594" s="2" t="inlineStr">
        <is>
          <t>https://www.parlamento.pt/OrcamentoEstado/Paginas/DetalhePropostaAlteracao.aspx?BID=23771</t>
        </is>
      </c>
      <c r="AG594" s="2" t="inlineStr">
        <is>
          <t>https://app.parlamento.pt/webutils/docs/doc.pdf?path=6148523063484d364c793942556b356c6443397a6158526c63793959566b6c4a544556484c3039464c7a49774d6a59794d4449314d5441774f533951515339684e4442694d44466b4d43316b4e6a566d4c5451794d7a4574596a686b4f53316a4d54466b4e4752684d57466c596d51756347526d&amp;Fich=a40b01d0-d65f-4231-b8d9-c11d4da1aebd.pdf&amp;Inline=true</t>
        </is>
      </c>
      <c r="AH594" s="3" t="n">
        <v>46321.77847222222</v>
      </c>
      <c r="AI594" s="3" t="n">
        <v>46321.78055555555</v>
      </c>
      <c r="AJ594" s="2" t="inlineStr"/>
    </row>
    <row r="595">
      <c r="A595" s="2" t="n">
        <v>594</v>
      </c>
      <c r="B595" s="2" t="inlineStr">
        <is>
          <t>552C</t>
        </is>
      </c>
      <c r="C595" s="3" t="n">
        <v>45966.50555555556</v>
      </c>
      <c r="D595" s="2" t="inlineStr">
        <is>
          <t>Original</t>
        </is>
      </c>
      <c r="E595" s="2" t="inlineStr">
        <is>
          <t>PCP</t>
        </is>
      </c>
      <c r="F595" s="2" t="inlineStr">
        <is>
          <t>Alfredo Maia; Paula Santos; Paulo Raimundo</t>
        </is>
      </c>
      <c r="G595" s="2" t="inlineStr">
        <is>
          <t>Art. 113.º-A (aditamento)</t>
        </is>
      </c>
      <c r="H595" s="2" t="n"/>
      <c r="I595" s="2" t="n"/>
      <c r="J595" s="2" t="n"/>
      <c r="K595" s="2" t="n"/>
      <c r="L595" s="2" t="inlineStr">
        <is>
          <t>Artigo 113.º-A (Apoio à pesca local e costeira)</t>
        </is>
      </c>
      <c r="M595" s="4" t="n"/>
      <c r="N595" s="4" t="n"/>
      <c r="O595" s="2" t="n"/>
      <c r="P595" s="2" t="n"/>
      <c r="Q595" s="2" t="n"/>
      <c r="R595" s="2" t="n"/>
      <c r="S595" s="2" t="inlineStr">
        <is>
          <t>Rejeitado(a) em Comissão</t>
        </is>
      </c>
      <c r="T595" s="2" t="inlineStr">
        <is>
          <t>Rejeitada</t>
        </is>
      </c>
      <c r="U595" s="2" t="inlineStr">
        <is>
          <t>Favor: CH, L, PCP, BE; Contra: PSD, CDS-PP; Abstenção: PS, IL, PAN</t>
        </is>
      </c>
      <c r="V595" s="3" t="n">
        <v>45985</v>
      </c>
      <c r="W595" s="2" t="inlineStr">
        <is>
          <t>AR: https://www.parlamento.pt/OrcamentoEstado/Paginas/DetalhePropostaAlteracao.aspx?BID=23772 PDF: https://app.parlamento.pt/webutils/docs/doc.pdf?path=6148523063484d364c793942556b356c6443397a6158526c63793959566b6c4a544556484c3039464c7a49774d6a59794d4449314d5441774f533951515338774f5749774d4459354d7930784e7a4d304c5451314f4455744f544d7a4f533033593255314f474d305a6a63354f446b756347526d&amp;Fich=09b00693-1734-4585-9339-7ce58c4f7989.pdf&amp;Inline=true</t>
        </is>
      </c>
      <c r="X595" s="2" t="inlineStr">
        <is>
          <t>Agricultura e Pescas</t>
        </is>
      </c>
      <c r="Y595" s="2" t="inlineStr">
        <is>
          <t>Articulado</t>
        </is>
      </c>
      <c r="Z595" s="2" t="inlineStr">
        <is>
          <t>Aditamento (Artigo PPL)</t>
        </is>
      </c>
      <c r="AA595" s="2" t="inlineStr">
        <is>
          <t>Rejeitado(a) em Comissão</t>
        </is>
      </c>
      <c r="AB595" s="2" t="inlineStr"/>
      <c r="AC595" s="2" t="inlineStr"/>
      <c r="AD595" s="2" t="inlineStr">
        <is>
          <t>1</t>
        </is>
      </c>
      <c r="AE595" s="2" t="inlineStr">
        <is>
          <t>23772</t>
        </is>
      </c>
      <c r="AF595" s="2" t="inlineStr">
        <is>
          <t>https://www.parlamento.pt/OrcamentoEstado/Paginas/DetalhePropostaAlteracao.aspx?BID=23772</t>
        </is>
      </c>
      <c r="AG595" s="2" t="inlineStr">
        <is>
          <t>https://app.parlamento.pt/webutils/docs/doc.pdf?path=6148523063484d364c793942556b356c6443397a6158526c63793959566b6c4a544556484c3039464c7a49774d6a59794d4449314d5441774f533951515338774f5749774d4459354d7930784e7a4d304c5451314f4455744f544d7a4f533033593255314f474d305a6a63354f446b756347526d&amp;Fich=09b00693-1734-4585-9339-7ce58c4f7989.pdf&amp;Inline=true</t>
        </is>
      </c>
      <c r="AH595" s="3" t="n">
        <v>46321.77847222222</v>
      </c>
      <c r="AI595" s="3" t="n">
        <v>46321.78055555555</v>
      </c>
      <c r="AJ595" s="2" t="inlineStr"/>
    </row>
    <row r="596">
      <c r="A596" s="2" t="n">
        <v>595</v>
      </c>
      <c r="B596" s="2" t="inlineStr">
        <is>
          <t>553C</t>
        </is>
      </c>
      <c r="C596" s="3" t="n">
        <v>45966.50694444445</v>
      </c>
      <c r="D596" s="2" t="inlineStr">
        <is>
          <t>Original</t>
        </is>
      </c>
      <c r="E596" s="2" t="inlineStr">
        <is>
          <t>PCP</t>
        </is>
      </c>
      <c r="F596" s="2" t="inlineStr">
        <is>
          <t>Alfredo Maia; Paula Santos; Paulo Raimundo</t>
        </is>
      </c>
      <c r="G596" s="2" t="inlineStr">
        <is>
          <t>Art. 113.º-A (aditamento)</t>
        </is>
      </c>
      <c r="H596" s="2" t="n"/>
      <c r="I596" s="2" t="n"/>
      <c r="J596" s="2" t="n"/>
      <c r="K596" s="2" t="n"/>
      <c r="L596" s="2" t="inlineStr">
        <is>
          <t>Artigo 113.º-A (Apoio ao rendimento dos trabalhadores da pesca)</t>
        </is>
      </c>
      <c r="M596" s="4" t="n"/>
      <c r="N596" s="4" t="n"/>
      <c r="O596" s="2" t="n"/>
      <c r="P596" s="2" t="n"/>
      <c r="Q596" s="2" t="n"/>
      <c r="R596" s="2" t="n"/>
      <c r="S596" s="2" t="inlineStr">
        <is>
          <t>Rejeitado(a) em Comissão</t>
        </is>
      </c>
      <c r="T596" s="2" t="inlineStr">
        <is>
          <t>Rejeitada</t>
        </is>
      </c>
      <c r="U596" s="2" t="inlineStr">
        <is>
          <t>Favor: CH, L, PCP, BE; Contra: PSD, CDS-PP; Abstenção: PS, IL, PAN</t>
        </is>
      </c>
      <c r="V596" s="3" t="n">
        <v>45985</v>
      </c>
      <c r="W596" s="2" t="inlineStr">
        <is>
          <t>AR: https://www.parlamento.pt/OrcamentoEstado/Paginas/DetalhePropostaAlteracao.aspx?BID=23773 PDF: https://app.parlamento.pt/webutils/docs/doc.pdf?path=6148523063484d364c793942556b356c6443397a6158526c63793959566b6c4a544556484c3039464c7a49774d6a59794d4449314d5441774f5339515153396b5a5451774d7a49784f4330324d47566d4c54526d595751744f5449315979316a59574933597a55304d474e694e5445756347526d&amp;Fich=de403218-60ef-4fad-925c-cab7c540cb51.pdf&amp;Inline=true</t>
        </is>
      </c>
      <c r="X596" s="2" t="inlineStr">
        <is>
          <t>Agricultura e Pescas</t>
        </is>
      </c>
      <c r="Y596" s="2" t="inlineStr">
        <is>
          <t>Articulado</t>
        </is>
      </c>
      <c r="Z596" s="2" t="inlineStr">
        <is>
          <t>Aditamento (Artigo PPL)</t>
        </is>
      </c>
      <c r="AA596" s="2" t="inlineStr">
        <is>
          <t>Rejeitado(a) em Comissão</t>
        </is>
      </c>
      <c r="AB596" s="2" t="inlineStr"/>
      <c r="AC596" s="2" t="inlineStr"/>
      <c r="AD596" s="2" t="inlineStr">
        <is>
          <t>1</t>
        </is>
      </c>
      <c r="AE596" s="2" t="inlineStr">
        <is>
          <t>23773</t>
        </is>
      </c>
      <c r="AF596" s="2" t="inlineStr">
        <is>
          <t>https://www.parlamento.pt/OrcamentoEstado/Paginas/DetalhePropostaAlteracao.aspx?BID=23773</t>
        </is>
      </c>
      <c r="AG596" s="2" t="inlineStr">
        <is>
          <t>https://app.parlamento.pt/webutils/docs/doc.pdf?path=6148523063484d364c793942556b356c6443397a6158526c63793959566b6c4a544556484c3039464c7a49774d6a59794d4449314d5441774f5339515153396b5a5451774d7a49784f4330324d47566d4c54526d595751744f5449315979316a59574933597a55304d474e694e5445756347526d&amp;Fich=de403218-60ef-4fad-925c-cab7c540cb51.pdf&amp;Inline=true</t>
        </is>
      </c>
      <c r="AH596" s="3" t="n">
        <v>46321.77847222222</v>
      </c>
      <c r="AI596" s="3" t="n">
        <v>46321.78055555555</v>
      </c>
      <c r="AJ596" s="2" t="inlineStr"/>
    </row>
    <row r="597">
      <c r="A597" s="2" t="n">
        <v>596</v>
      </c>
      <c r="B597" s="2" t="inlineStr">
        <is>
          <t>554C</t>
        </is>
      </c>
      <c r="C597" s="3" t="n">
        <v>45966.50763888889</v>
      </c>
      <c r="D597" s="2" t="inlineStr">
        <is>
          <t>Original</t>
        </is>
      </c>
      <c r="E597" s="2" t="inlineStr">
        <is>
          <t>PCP</t>
        </is>
      </c>
      <c r="F597" s="2" t="inlineStr">
        <is>
          <t>Alfredo Maia; Paula Santos; Paulo Raimundo</t>
        </is>
      </c>
      <c r="G597" s="2" t="inlineStr">
        <is>
          <t>Art. 113.º-A (aditamento)</t>
        </is>
      </c>
      <c r="H597" s="2" t="n"/>
      <c r="I597" s="2" t="n"/>
      <c r="J597" s="2" t="n"/>
      <c r="K597" s="2" t="n"/>
      <c r="L597" s="2" t="inlineStr">
        <is>
          <t>Artigo 113.º-A (Criação da Empresa Pública de Dragagens)</t>
        </is>
      </c>
      <c r="M597" s="4" t="n"/>
      <c r="N597" s="4" t="n"/>
      <c r="O597" s="2" t="n"/>
      <c r="P597" s="2" t="n"/>
      <c r="Q597" s="2" t="n"/>
      <c r="R597" s="2" t="n"/>
      <c r="S597" s="2" t="inlineStr">
        <is>
          <t>Rejeitado(a) em Comissão</t>
        </is>
      </c>
      <c r="T597" s="2" t="inlineStr">
        <is>
          <t>Rejeitada</t>
        </is>
      </c>
      <c r="U597" s="2" t="inlineStr">
        <is>
          <t>Favor: PCP, BE; Contra: PSD, CH, IL, CDS-PP; Abstenção: PS, L, PAN</t>
        </is>
      </c>
      <c r="V597" s="3" t="n">
        <v>45985</v>
      </c>
      <c r="W597" s="2" t="inlineStr">
        <is>
          <t>AR: https://www.parlamento.pt/OrcamentoEstado/Paginas/DetalhePropostaAlteracao.aspx?BID=23774 PDF: https://app.parlamento.pt/webutils/docs/doc.pdf?path=6148523063484d364c793942556b356c6443397a6158526c63793959566b6c4a544556484c3039464c7a49774d6a59794d4449314d5441774f5339515153396c597a51775954566b4d79316c4d475a6a4c5451334d324d744f54566c5a5331694e6a59344d47566c5954526d596d55756347526d&amp;Fich=ec40a5d3-e0fc-473c-95ee-b6680eea4fbe.pdf&amp;Inline=true</t>
        </is>
      </c>
      <c r="X597" s="2" t="inlineStr">
        <is>
          <t>Agricultura e Pescas</t>
        </is>
      </c>
      <c r="Y597" s="2" t="inlineStr">
        <is>
          <t>Articulado</t>
        </is>
      </c>
      <c r="Z597" s="2" t="inlineStr">
        <is>
          <t>Aditamento (Artigo PPL)</t>
        </is>
      </c>
      <c r="AA597" s="2" t="inlineStr">
        <is>
          <t>Rejeitado(a) em Comissão</t>
        </is>
      </c>
      <c r="AB597" s="2" t="inlineStr"/>
      <c r="AC597" s="2" t="inlineStr"/>
      <c r="AD597" s="2" t="inlineStr">
        <is>
          <t>1</t>
        </is>
      </c>
      <c r="AE597" s="2" t="inlineStr">
        <is>
          <t>23774</t>
        </is>
      </c>
      <c r="AF597" s="2" t="inlineStr">
        <is>
          <t>https://www.parlamento.pt/OrcamentoEstado/Paginas/DetalhePropostaAlteracao.aspx?BID=23774</t>
        </is>
      </c>
      <c r="AG597" s="2" t="inlineStr">
        <is>
          <t>https://app.parlamento.pt/webutils/docs/doc.pdf?path=6148523063484d364c793942556b356c6443397a6158526c63793959566b6c4a544556484c3039464c7a49774d6a59794d4449314d5441774f5339515153396c597a51775954566b4d79316c4d475a6a4c5451334d324d744f54566c5a5331694e6a59344d47566c5954526d596d55756347526d&amp;Fich=ec40a5d3-e0fc-473c-95ee-b6680eea4fbe.pdf&amp;Inline=true</t>
        </is>
      </c>
      <c r="AH597" s="3" t="n">
        <v>46321.77847222222</v>
      </c>
      <c r="AI597" s="3" t="n">
        <v>46321.78055555555</v>
      </c>
      <c r="AJ597" s="2" t="inlineStr"/>
    </row>
    <row r="598">
      <c r="A598" s="2" t="n">
        <v>597</v>
      </c>
      <c r="B598" s="2" t="inlineStr">
        <is>
          <t>555C</t>
        </is>
      </c>
      <c r="C598" s="3" t="n">
        <v>45966.50833333333</v>
      </c>
      <c r="D598" s="2" t="inlineStr">
        <is>
          <t>Original</t>
        </is>
      </c>
      <c r="E598" s="2" t="inlineStr">
        <is>
          <t>PCP</t>
        </is>
      </c>
      <c r="F598" s="2" t="inlineStr">
        <is>
          <t>Alfredo Maia; Paula Santos; Paulo Raimundo</t>
        </is>
      </c>
      <c r="G598" s="2" t="inlineStr">
        <is>
          <t>Art. 113.º-A (aditamento)</t>
        </is>
      </c>
      <c r="H598" s="2" t="n"/>
      <c r="I598" s="2" t="n"/>
      <c r="J598" s="2" t="n"/>
      <c r="K598" s="2" t="n"/>
      <c r="L598" s="2" t="inlineStr">
        <is>
          <t>Artigo 113.º-A (Recursos BMar e Capitania Online+)</t>
        </is>
      </c>
      <c r="M598" s="4" t="n"/>
      <c r="N598" s="4" t="n"/>
      <c r="O598" s="2" t="n"/>
      <c r="P598" s="2" t="n"/>
      <c r="Q598" s="2" t="n"/>
      <c r="R598" s="2" t="n"/>
      <c r="S598" s="2" t="inlineStr">
        <is>
          <t>Rejeitado(a) em Comissão</t>
        </is>
      </c>
      <c r="T598" s="2" t="inlineStr">
        <is>
          <t>Rejeitada</t>
        </is>
      </c>
      <c r="U598" s="2" t="inlineStr">
        <is>
          <t>Favor: CH, L, PCP, BE; Contra: PSD, IL, CDS-PP; Abstenção: PS, PAN</t>
        </is>
      </c>
      <c r="V598" s="3" t="n">
        <v>45985</v>
      </c>
      <c r="W598" s="2" t="inlineStr">
        <is>
          <t>AR: https://www.parlamento.pt/OrcamentoEstado/Paginas/DetalhePropostaAlteracao.aspx?BID=23775 PDF: https://app.parlamento.pt/webutils/docs/doc.pdf?path=6148523063484d364c793942556b356c6443397a6158526c63793959566b6c4a544556484c3039464c7a49774d6a59794d4449314d5441774f5339515153396c4e7a49795a6d51784d6930784e6a67304c5451784e4745744f5467305a4331684e47557a4d324532596d4d32596a63756347526d&amp;Fich=e722fd12-1684-414a-984d-a4e33a6bc6b7.pdf&amp;Inline=true</t>
        </is>
      </c>
      <c r="X598" s="2" t="inlineStr">
        <is>
          <t>Agricultura e Pescas</t>
        </is>
      </c>
      <c r="Y598" s="2" t="inlineStr">
        <is>
          <t>Articulado</t>
        </is>
      </c>
      <c r="Z598" s="2" t="inlineStr">
        <is>
          <t>Aditamento (Artigo PPL)</t>
        </is>
      </c>
      <c r="AA598" s="2" t="inlineStr">
        <is>
          <t>Rejeitado(a) em Comissão</t>
        </is>
      </c>
      <c r="AB598" s="2" t="inlineStr"/>
      <c r="AC598" s="2" t="inlineStr"/>
      <c r="AD598" s="2" t="inlineStr">
        <is>
          <t>1</t>
        </is>
      </c>
      <c r="AE598" s="2" t="inlineStr">
        <is>
          <t>23775</t>
        </is>
      </c>
      <c r="AF598" s="2" t="inlineStr">
        <is>
          <t>https://www.parlamento.pt/OrcamentoEstado/Paginas/DetalhePropostaAlteracao.aspx?BID=23775</t>
        </is>
      </c>
      <c r="AG598" s="2" t="inlineStr">
        <is>
          <t>https://app.parlamento.pt/webutils/docs/doc.pdf?path=6148523063484d364c793942556b356c6443397a6158526c63793959566b6c4a544556484c3039464c7a49774d6a59794d4449314d5441774f5339515153396c4e7a49795a6d51784d6930784e6a67304c5451784e4745744f5467305a4331684e47557a4d324532596d4d32596a63756347526d&amp;Fich=e722fd12-1684-414a-984d-a4e33a6bc6b7.pdf&amp;Inline=true</t>
        </is>
      </c>
      <c r="AH598" s="3" t="n">
        <v>46321.77847222222</v>
      </c>
      <c r="AI598" s="3" t="n">
        <v>46321.78055555555</v>
      </c>
      <c r="AJ598" s="2" t="inlineStr"/>
    </row>
    <row r="599">
      <c r="A599" s="2" t="n">
        <v>598</v>
      </c>
      <c r="B599" s="2" t="inlineStr">
        <is>
          <t>556C</t>
        </is>
      </c>
      <c r="C599" s="3" t="n">
        <v>45966.51180555556</v>
      </c>
      <c r="D599" s="2" t="inlineStr">
        <is>
          <t>Original</t>
        </is>
      </c>
      <c r="E599" s="2" t="inlineStr">
        <is>
          <t>PCP</t>
        </is>
      </c>
      <c r="F599" s="2" t="inlineStr">
        <is>
          <t>Alfredo Maia; Paula Santos; Paulo Raimundo</t>
        </is>
      </c>
      <c r="G599" s="2" t="inlineStr">
        <is>
          <t>Art. 113.º-A (aditamento)</t>
        </is>
      </c>
      <c r="H599" s="2" t="n"/>
      <c r="I599" s="2" t="n"/>
      <c r="J599" s="2" t="n"/>
      <c r="K599" s="2" t="n"/>
      <c r="L599" s="2" t="inlineStr">
        <is>
          <t>Artigo 113.º-A (Autorização de despesa para a concretização dos investimentos previstos no âmbito do Programa “Água que Une”)</t>
        </is>
      </c>
      <c r="M599" s="4" t="n"/>
      <c r="N599" s="4" t="n"/>
      <c r="O599" s="2" t="n"/>
      <c r="P599" s="2" t="n"/>
      <c r="Q599" s="2" t="n"/>
      <c r="R599" s="2" t="n"/>
      <c r="S599" s="2" t="inlineStr">
        <is>
          <t>Rejeitado(a) em Comissão</t>
        </is>
      </c>
      <c r="T599" s="2" t="inlineStr">
        <is>
          <t>Rejeitada</t>
        </is>
      </c>
      <c r="U599" s="2" t="inlineStr">
        <is>
          <t>Favor: CH, IL, PCP; Contra: PSD, CDS-PP, BE; Abstenção: PS, L, PAN</t>
        </is>
      </c>
      <c r="V599" s="3" t="n">
        <v>45985</v>
      </c>
      <c r="W599" s="2" t="inlineStr">
        <is>
          <t>AR: https://www.parlamento.pt/OrcamentoEstado/Paginas/DetalhePropostaAlteracao.aspx?BID=23776 PDF: https://app.parlamento.pt/webutils/docs/doc.pdf?path=6148523063484d364c793942556b356c6443397a6158526c63793959566b6c4a544556484c3039464c7a49774d6a59794d4449314d5441774f533951515338784d44466859324d304d793031595755774c5451354d3245744f54457a597930334d32526c4e5451324e6d597a4e4745756347526d&amp;Fich=101acc43-5ae0-493a-913c-73de5466f34a.pdf&amp;Inline=true</t>
        </is>
      </c>
      <c r="X599" s="2" t="inlineStr">
        <is>
          <t>Agricultura e Pescas</t>
        </is>
      </c>
      <c r="Y599" s="2" t="inlineStr">
        <is>
          <t>Articulado</t>
        </is>
      </c>
      <c r="Z599" s="2" t="inlineStr">
        <is>
          <t>Aditamento (Artigo PPL)</t>
        </is>
      </c>
      <c r="AA599" s="2" t="inlineStr">
        <is>
          <t>Rejeitado(a) em Comissão</t>
        </is>
      </c>
      <c r="AB599" s="2" t="inlineStr"/>
      <c r="AC599" s="2" t="inlineStr"/>
      <c r="AD599" s="2" t="inlineStr">
        <is>
          <t>1</t>
        </is>
      </c>
      <c r="AE599" s="2" t="inlineStr">
        <is>
          <t>23776</t>
        </is>
      </c>
      <c r="AF599" s="2" t="inlineStr">
        <is>
          <t>https://www.parlamento.pt/OrcamentoEstado/Paginas/DetalhePropostaAlteracao.aspx?BID=23776</t>
        </is>
      </c>
      <c r="AG599" s="2" t="inlineStr">
        <is>
          <t>https://app.parlamento.pt/webutils/docs/doc.pdf?path=6148523063484d364c793942556b356c6443397a6158526c63793959566b6c4a544556484c3039464c7a49774d6a59794d4449314d5441774f533951515338784d44466859324d304d793031595755774c5451354d3245744f54457a597930334d32526c4e5451324e6d597a4e4745756347526d&amp;Fich=101acc43-5ae0-493a-913c-73de5466f34a.pdf&amp;Inline=true</t>
        </is>
      </c>
      <c r="AH599" s="3" t="n">
        <v>46321.77847222222</v>
      </c>
      <c r="AI599" s="3" t="n">
        <v>46321.78055555555</v>
      </c>
      <c r="AJ599" s="2" t="inlineStr"/>
    </row>
    <row r="600">
      <c r="A600" s="2" t="n">
        <v>599</v>
      </c>
      <c r="B600" s="2" t="inlineStr">
        <is>
          <t>557C</t>
        </is>
      </c>
      <c r="C600" s="3" t="n">
        <v>45966.5125</v>
      </c>
      <c r="D600" s="2" t="inlineStr">
        <is>
          <t>Original</t>
        </is>
      </c>
      <c r="E600" s="2" t="inlineStr">
        <is>
          <t>PCP</t>
        </is>
      </c>
      <c r="F600" s="2" t="inlineStr">
        <is>
          <t>Alfredo Maia; Paula Santos; Paulo Raimundo</t>
        </is>
      </c>
      <c r="G600" s="2" t="inlineStr">
        <is>
          <t>Art. 113.º-A (aditamento)</t>
        </is>
      </c>
      <c r="H600" s="2" t="n"/>
      <c r="I600" s="2" t="n"/>
      <c r="J600" s="2" t="n"/>
      <c r="K600" s="2" t="n"/>
      <c r="L600" s="2" t="inlineStr">
        <is>
          <t>Artigo 113.º-A (Indemnização a agricultores e produtores florestais por prejuízos causados por animais selvagens e assilvestrados e controlo das populações destes animais)</t>
        </is>
      </c>
      <c r="M600" s="4" t="n"/>
      <c r="N600" s="4" t="n"/>
      <c r="O600" s="2" t="n"/>
      <c r="P600" s="2" t="n"/>
      <c r="Q600" s="2" t="n"/>
      <c r="R600" s="2" t="n"/>
      <c r="S600" s="2" t="inlineStr">
        <is>
          <t>Rejeitado(a) em Comissão</t>
        </is>
      </c>
      <c r="T600" s="2" t="inlineStr">
        <is>
          <t>Rejeitada</t>
        </is>
      </c>
      <c r="U600" s="2" t="inlineStr">
        <is>
          <t>Favor: CH, L, PCP, BE; Contra: PSD, CDS-PP; Abstenção: PS, IL, PAN</t>
        </is>
      </c>
      <c r="V600" s="3" t="n">
        <v>45985</v>
      </c>
      <c r="W600" s="2" t="inlineStr">
        <is>
          <t>AR: https://www.parlamento.pt/OrcamentoEstado/Paginas/DetalhePropostaAlteracao.aspx?BID=23777 PDF: https://app.parlamento.pt/webutils/docs/doc.pdf?path=6148523063484d364c793942556b356c6443397a6158526c63793959566b6c4a544556484c3039464c7a49774d6a59794d4449314d5441774f533951515339694d6a4e6a4e444135597930774f4455304c54526a4d6a55744f4746695a6930784d444a6b4e444d324e7a51324e6a59756347526d&amp;Fich=b23c409c-0854-4c25-8abf-102d43674666.pdf&amp;Inline=true</t>
        </is>
      </c>
      <c r="X600" s="2" t="inlineStr">
        <is>
          <t>Agricultura e Pescas</t>
        </is>
      </c>
      <c r="Y600" s="2" t="inlineStr">
        <is>
          <t>Articulado</t>
        </is>
      </c>
      <c r="Z600" s="2" t="inlineStr">
        <is>
          <t>Aditamento (Artigo PPL)</t>
        </is>
      </c>
      <c r="AA600" s="2" t="inlineStr">
        <is>
          <t>Rejeitado(a) em Comissão</t>
        </is>
      </c>
      <c r="AB600" s="2" t="inlineStr"/>
      <c r="AC600" s="2" t="inlineStr"/>
      <c r="AD600" s="2" t="inlineStr">
        <is>
          <t>1</t>
        </is>
      </c>
      <c r="AE600" s="2" t="inlineStr">
        <is>
          <t>23777</t>
        </is>
      </c>
      <c r="AF600" s="2" t="inlineStr">
        <is>
          <t>https://www.parlamento.pt/OrcamentoEstado/Paginas/DetalhePropostaAlteracao.aspx?BID=23777</t>
        </is>
      </c>
      <c r="AG600" s="2" t="inlineStr">
        <is>
          <t>https://app.parlamento.pt/webutils/docs/doc.pdf?path=6148523063484d364c793942556b356c6443397a6158526c63793959566b6c4a544556484c3039464c7a49774d6a59794d4449314d5441774f533951515339694d6a4e6a4e444135597930774f4455304c54526a4d6a55744f4746695a6930784d444a6b4e444d324e7a51324e6a59756347526d&amp;Fich=b23c409c-0854-4c25-8abf-102d43674666.pdf&amp;Inline=true</t>
        </is>
      </c>
      <c r="AH600" s="3" t="n">
        <v>46321.77847222222</v>
      </c>
      <c r="AI600" s="3" t="n">
        <v>46321.78055555555</v>
      </c>
      <c r="AJ600" s="2" t="inlineStr"/>
    </row>
    <row r="601">
      <c r="A601" s="2" t="n">
        <v>600</v>
      </c>
      <c r="B601" s="2" t="inlineStr">
        <is>
          <t>558C</t>
        </is>
      </c>
      <c r="C601" s="3" t="n">
        <v>45966.51388888889</v>
      </c>
      <c r="D601" s="2" t="inlineStr">
        <is>
          <t>Original</t>
        </is>
      </c>
      <c r="E601" s="2" t="inlineStr">
        <is>
          <t>PCP</t>
        </is>
      </c>
      <c r="F601" s="2" t="inlineStr">
        <is>
          <t>Alfredo Maia; Paula Santos; Paulo Raimundo</t>
        </is>
      </c>
      <c r="G601" s="2" t="inlineStr">
        <is>
          <t>Art. 113.º-A (aditamento)</t>
        </is>
      </c>
      <c r="H601" s="2" t="n"/>
      <c r="I601" s="2" t="n"/>
      <c r="J601" s="2" t="n"/>
      <c r="K601" s="2" t="n"/>
      <c r="L601" s="2" t="inlineStr">
        <is>
          <t>Artigo 113.º-A (Apoios ao reforço da segurança na condução de máquinas agrícolas)</t>
        </is>
      </c>
      <c r="M601" s="4" t="n"/>
      <c r="N601" s="4" t="n"/>
      <c r="O601" s="2" t="n"/>
      <c r="P601" s="2" t="n"/>
      <c r="Q601" s="2" t="n"/>
      <c r="R601" s="2" t="n"/>
      <c r="S601" s="2" t="inlineStr">
        <is>
          <t>Rejeitado(a) em Comissão</t>
        </is>
      </c>
      <c r="T601" s="2" t="inlineStr">
        <is>
          <t>Rejeitada</t>
        </is>
      </c>
      <c r="U601" s="2" t="inlineStr">
        <is>
          <t>Favor: CH, L, PCP, BE, PAN; Contra: PSD, IL, CDS-PP; Abstenção: PS</t>
        </is>
      </c>
      <c r="V601" s="3" t="n">
        <v>45985</v>
      </c>
      <c r="W601" s="2" t="inlineStr">
        <is>
          <t>AR: https://www.parlamento.pt/OrcamentoEstado/Paginas/DetalhePropostaAlteracao.aspx?BID=23778 PDF: https://app.parlamento.pt/webutils/docs/doc.pdf?path=6148523063484d364c793942556b356c6443397a6158526c63793959566b6c4a544556484c3039464c7a49774d6a59794d4449314d5441774f533951515338354e474d794d6a59775a5330344e7a59344c5452694e6a5974595463354e4330355a6d45334e4751784d324a694d4455756347526d&amp;Fich=94c2260e-8768-4b66-a794-9fa74d13bb05.pdf&amp;Inline=true</t>
        </is>
      </c>
      <c r="X601" s="2" t="inlineStr">
        <is>
          <t>Agricultura e Pescas</t>
        </is>
      </c>
      <c r="Y601" s="2" t="inlineStr">
        <is>
          <t>Articulado</t>
        </is>
      </c>
      <c r="Z601" s="2" t="inlineStr">
        <is>
          <t>Aditamento (Artigo PPL)</t>
        </is>
      </c>
      <c r="AA601" s="2" t="inlineStr">
        <is>
          <t>Rejeitado(a) em Comissão</t>
        </is>
      </c>
      <c r="AB601" s="2" t="inlineStr"/>
      <c r="AC601" s="2" t="inlineStr"/>
      <c r="AD601" s="2" t="inlineStr">
        <is>
          <t>1</t>
        </is>
      </c>
      <c r="AE601" s="2" t="inlineStr">
        <is>
          <t>23778</t>
        </is>
      </c>
      <c r="AF601" s="2" t="inlineStr">
        <is>
          <t>https://www.parlamento.pt/OrcamentoEstado/Paginas/DetalhePropostaAlteracao.aspx?BID=23778</t>
        </is>
      </c>
      <c r="AG601" s="2" t="inlineStr">
        <is>
          <t>https://app.parlamento.pt/webutils/docs/doc.pdf?path=6148523063484d364c793942556b356c6443397a6158526c63793959566b6c4a544556484c3039464c7a49774d6a59794d4449314d5441774f533951515338354e474d794d6a59775a5330344e7a59344c5452694e6a5974595463354e4330355a6d45334e4751784d324a694d4455756347526d&amp;Fich=94c2260e-8768-4b66-a794-9fa74d13bb05.pdf&amp;Inline=true</t>
        </is>
      </c>
      <c r="AH601" s="3" t="n">
        <v>46321.77847222222</v>
      </c>
      <c r="AI601" s="3" t="n">
        <v>46321.78055555555</v>
      </c>
      <c r="AJ601" s="2" t="inlineStr"/>
    </row>
    <row r="602">
      <c r="A602" s="2" t="n">
        <v>601</v>
      </c>
      <c r="B602" s="2" t="inlineStr">
        <is>
          <t>559C</t>
        </is>
      </c>
      <c r="C602" s="3" t="n">
        <v>45966.51458333333</v>
      </c>
      <c r="D602" s="2" t="inlineStr">
        <is>
          <t>Original</t>
        </is>
      </c>
      <c r="E602" s="2" t="inlineStr">
        <is>
          <t>PCP</t>
        </is>
      </c>
      <c r="F602" s="2" t="inlineStr">
        <is>
          <t>Alfredo Maia; Paula Santos; Paulo Raimundo</t>
        </is>
      </c>
      <c r="G602" s="2" t="inlineStr">
        <is>
          <t>Art. 113.º-A (aditamento)</t>
        </is>
      </c>
      <c r="H602" s="2" t="n"/>
      <c r="I602" s="2" t="n"/>
      <c r="J602" s="2" t="n"/>
      <c r="K602" s="2" t="n"/>
      <c r="L602" s="2" t="inlineStr">
        <is>
          <t>Artigo 113.º-A (Apoios aos agricultores cujas explorações foram atingidas por doenças e pragas)</t>
        </is>
      </c>
      <c r="M602" s="4" t="n"/>
      <c r="N602" s="4" t="n"/>
      <c r="O602" s="2" t="n"/>
      <c r="P602" s="2" t="n"/>
      <c r="Q602" s="2" t="n"/>
      <c r="R602" s="2" t="n"/>
      <c r="S602" s="2" t="inlineStr">
        <is>
          <t>Rejeitado(a) em Comissão</t>
        </is>
      </c>
      <c r="T602" s="2" t="inlineStr">
        <is>
          <t>Rejeitada</t>
        </is>
      </c>
      <c r="U602" s="2" t="inlineStr">
        <is>
          <t>Favor: CH, L, PCP, BE; Contra: PSD, CDS-PP; Abstenção: PS, IL, PAN</t>
        </is>
      </c>
      <c r="V602" s="3" t="n">
        <v>45985</v>
      </c>
      <c r="W602" s="2" t="inlineStr">
        <is>
          <t>AR: https://www.parlamento.pt/OrcamentoEstado/Paginas/DetalhePropostaAlteracao.aspx?BID=23779 PDF: https://app.parlamento.pt/webutils/docs/doc.pdf?path=6148523063484d364c793942556b356c6443397a6158526c63793959566b6c4a544556484c3039464c7a49774d6a59794d4449314d5441774f53395151533879597a4a6b59546b324d7930305a544a6a4c5451344d7a6b74596a6c685953307a4f444d314e6d4e6a596d5a695a5455756347526d&amp;Fich=2c2da963-4e2c-4839-b9aa-38356ccbfbe5.pdf&amp;Inline=true</t>
        </is>
      </c>
      <c r="X602" s="2" t="inlineStr">
        <is>
          <t>Agricultura e Pescas</t>
        </is>
      </c>
      <c r="Y602" s="2" t="inlineStr">
        <is>
          <t>Articulado</t>
        </is>
      </c>
      <c r="Z602" s="2" t="inlineStr">
        <is>
          <t>Aditamento (Artigo PPL)</t>
        </is>
      </c>
      <c r="AA602" s="2" t="inlineStr">
        <is>
          <t>Rejeitado(a) em Comissão</t>
        </is>
      </c>
      <c r="AB602" s="2" t="inlineStr"/>
      <c r="AC602" s="2" t="inlineStr"/>
      <c r="AD602" s="2" t="inlineStr">
        <is>
          <t>1</t>
        </is>
      </c>
      <c r="AE602" s="2" t="inlineStr">
        <is>
          <t>23779</t>
        </is>
      </c>
      <c r="AF602" s="2" t="inlineStr">
        <is>
          <t>https://www.parlamento.pt/OrcamentoEstado/Paginas/DetalhePropostaAlteracao.aspx?BID=23779</t>
        </is>
      </c>
      <c r="AG602" s="2" t="inlineStr">
        <is>
          <t>https://app.parlamento.pt/webutils/docs/doc.pdf?path=6148523063484d364c793942556b356c6443397a6158526c63793959566b6c4a544556484c3039464c7a49774d6a59794d4449314d5441774f53395151533879597a4a6b59546b324d7930305a544a6a4c5451344d7a6b74596a6c685953307a4f444d314e6d4e6a596d5a695a5455756347526d&amp;Fich=2c2da963-4e2c-4839-b9aa-38356ccbfbe5.pdf&amp;Inline=true</t>
        </is>
      </c>
      <c r="AH602" s="3" t="n">
        <v>46321.77847222222</v>
      </c>
      <c r="AI602" s="3" t="n">
        <v>46321.78055555555</v>
      </c>
      <c r="AJ602" s="2" t="inlineStr"/>
    </row>
    <row r="603">
      <c r="A603" s="2" t="n">
        <v>602</v>
      </c>
      <c r="B603" s="2" t="inlineStr">
        <is>
          <t>560C</t>
        </is>
      </c>
      <c r="C603" s="3" t="n">
        <v>45966.51527777778</v>
      </c>
      <c r="D603" s="2" t="inlineStr">
        <is>
          <t>Original</t>
        </is>
      </c>
      <c r="E603" s="2" t="inlineStr">
        <is>
          <t>PCP</t>
        </is>
      </c>
      <c r="F603" s="2" t="inlineStr">
        <is>
          <t>Alfredo Maia; Paula Santos; Paulo Raimundo</t>
        </is>
      </c>
      <c r="G603" s="2" t="inlineStr">
        <is>
          <t>Art. 113.º-A (aditamento)</t>
        </is>
      </c>
      <c r="H603" s="2" t="n"/>
      <c r="I603" s="2" t="n"/>
      <c r="J603" s="2" t="n"/>
      <c r="K603" s="2" t="n"/>
      <c r="L603" s="2" t="inlineStr">
        <is>
          <t>Artigo 113.º-A (Aquisição de 15 mil pipas de vinho para atesto de preservação do património vínico da Casa do Douro)</t>
        </is>
      </c>
      <c r="M603" s="4" t="n"/>
      <c r="N603" s="4" t="n"/>
      <c r="O603" s="2" t="n"/>
      <c r="P603" s="2" t="n"/>
      <c r="Q603" s="2" t="n"/>
      <c r="R603" s="2" t="n"/>
      <c r="S603" s="2" t="inlineStr">
        <is>
          <t>Rejeitado(a) em Comissão</t>
        </is>
      </c>
      <c r="T603" s="2" t="inlineStr">
        <is>
          <t>Rejeitada</t>
        </is>
      </c>
      <c r="U603" s="2" t="inlineStr">
        <is>
          <t>Favor: PCP, BE; Contra: PSD, IL, CDS-PP, PAN; Abstenção: CH, PS, L</t>
        </is>
      </c>
      <c r="V603" s="3" t="n">
        <v>45985</v>
      </c>
      <c r="W603" s="2" t="inlineStr">
        <is>
          <t>AR: https://www.parlamento.pt/OrcamentoEstado/Paginas/DetalhePropostaAlteracao.aspx?BID=23780 PDF: https://app.parlamento.pt/webutils/docs/doc.pdf?path=6148523063484d364c793942556b356c6443397a6158526c63793959566b6c4a544556484c3039464c7a49774d6a59794d4449314d5441774f5339515153383459545535597a68695a6930325957497a4c5451774e4449744f4749324d79316a4f544e69596a55344e47466c4d5441756347526d&amp;Fich=8a59c8bf-6ab3-4042-8b63-c93bb584ae10.pdf&amp;Inline=true</t>
        </is>
      </c>
      <c r="X603" s="2" t="inlineStr">
        <is>
          <t>Agricultura e Pescas</t>
        </is>
      </c>
      <c r="Y603" s="2" t="inlineStr">
        <is>
          <t>Articulado</t>
        </is>
      </c>
      <c r="Z603" s="2" t="inlineStr">
        <is>
          <t>Aditamento (Artigo PPL)</t>
        </is>
      </c>
      <c r="AA603" s="2" t="inlineStr">
        <is>
          <t>Rejeitado(a) em Comissão</t>
        </is>
      </c>
      <c r="AB603" s="2" t="inlineStr"/>
      <c r="AC603" s="2" t="inlineStr"/>
      <c r="AD603" s="2" t="inlineStr">
        <is>
          <t>1</t>
        </is>
      </c>
      <c r="AE603" s="2" t="inlineStr">
        <is>
          <t>23780</t>
        </is>
      </c>
      <c r="AF603" s="2" t="inlineStr">
        <is>
          <t>https://www.parlamento.pt/OrcamentoEstado/Paginas/DetalhePropostaAlteracao.aspx?BID=23780</t>
        </is>
      </c>
      <c r="AG603" s="2" t="inlineStr">
        <is>
          <t>https://app.parlamento.pt/webutils/docs/doc.pdf?path=6148523063484d364c793942556b356c6443397a6158526c63793959566b6c4a544556484c3039464c7a49774d6a59794d4449314d5441774f5339515153383459545535597a68695a6930325957497a4c5451774e4449744f4749324d79316a4f544e69596a55344e47466c4d5441756347526d&amp;Fich=8a59c8bf-6ab3-4042-8b63-c93bb584ae10.pdf&amp;Inline=true</t>
        </is>
      </c>
      <c r="AH603" s="3" t="n">
        <v>46321.77847222222</v>
      </c>
      <c r="AI603" s="3" t="n">
        <v>46321.78055555555</v>
      </c>
      <c r="AJ603" s="2" t="inlineStr"/>
    </row>
    <row r="604">
      <c r="A604" s="2" t="n">
        <v>603</v>
      </c>
      <c r="B604" s="2" t="inlineStr">
        <is>
          <t>561C</t>
        </is>
      </c>
      <c r="C604" s="3" t="n">
        <v>45966.51666666667</v>
      </c>
      <c r="D604" s="2" t="inlineStr">
        <is>
          <t>Original</t>
        </is>
      </c>
      <c r="E604" s="2" t="inlineStr">
        <is>
          <t>PCP</t>
        </is>
      </c>
      <c r="F604" s="2" t="inlineStr">
        <is>
          <t>Alfredo Maia; Paula Santos; Paulo Raimundo</t>
        </is>
      </c>
      <c r="G604" s="2" t="inlineStr">
        <is>
          <t>Art. 113.º-A (aditamento)</t>
        </is>
      </c>
      <c r="H604" s="2" t="n"/>
      <c r="I604" s="2" t="n"/>
      <c r="J604" s="2" t="n"/>
      <c r="K604" s="2" t="n"/>
      <c r="L604" s="2" t="inlineStr">
        <is>
          <t>Artigo 113.º-A (Bem-estar Animal)</t>
        </is>
      </c>
      <c r="M604" s="4" t="n"/>
      <c r="N604" s="4" t="n"/>
      <c r="O604" s="2" t="n"/>
      <c r="P604" s="2" t="n"/>
      <c r="Q604" s="2" t="n"/>
      <c r="R604" s="2" t="n"/>
      <c r="S604" s="2" t="inlineStr">
        <is>
          <t>Rejeitado(a) em Comissão</t>
        </is>
      </c>
      <c r="T604" s="2" t="inlineStr">
        <is>
          <t>Rejeitada</t>
        </is>
      </c>
      <c r="U604" s="2" t="inlineStr">
        <is>
          <t>Favor: CH, L, PCP, BE; Contra: PSD, CDS-PP; Abstenção: PS, IL, PAN</t>
        </is>
      </c>
      <c r="V604" s="3" t="n">
        <v>45984</v>
      </c>
      <c r="W604" s="2" t="inlineStr">
        <is>
          <t>AR: https://www.parlamento.pt/OrcamentoEstado/Paginas/DetalhePropostaAlteracao.aspx?BID=23781 PDF: https://app.parlamento.pt/webutils/docs/doc.pdf?path=6148523063484d364c793942556b356c6443397a6158526c63793959566b6c4a544556484c3039464c7a49774d6a59794d4449314d5441774f533951515338324e544932596d597a4e6930795a5459334c54526d4e6a6b74595441785a4330315a4441785a5746685932497a5a4449756347526d&amp;Fich=6526bf36-2e67-4f69-a01d-5d01eaacb3d2.pdf&amp;Inline=true</t>
        </is>
      </c>
      <c r="X604" s="2" t="inlineStr">
        <is>
          <t>Agricultura e Pescas</t>
        </is>
      </c>
      <c r="Y604" s="2" t="inlineStr">
        <is>
          <t>Articulado</t>
        </is>
      </c>
      <c r="Z604" s="2" t="inlineStr">
        <is>
          <t>Aditamento (Artigo PPL)</t>
        </is>
      </c>
      <c r="AA604" s="2" t="inlineStr">
        <is>
          <t>Rejeitado(a) em Comissão</t>
        </is>
      </c>
      <c r="AB604" s="2" t="inlineStr"/>
      <c r="AC604" s="2" t="inlineStr"/>
      <c r="AD604" s="2" t="inlineStr">
        <is>
          <t>1</t>
        </is>
      </c>
      <c r="AE604" s="2" t="inlineStr">
        <is>
          <t>23781</t>
        </is>
      </c>
      <c r="AF604" s="2" t="inlineStr">
        <is>
          <t>https://www.parlamento.pt/OrcamentoEstado/Paginas/DetalhePropostaAlteracao.aspx?BID=23781</t>
        </is>
      </c>
      <c r="AG604" s="2" t="inlineStr">
        <is>
          <t>https://app.parlamento.pt/webutils/docs/doc.pdf?path=6148523063484d364c793942556b356c6443397a6158526c63793959566b6c4a544556484c3039464c7a49774d6a59794d4449314d5441774f533951515338324e544932596d597a4e6930795a5459334c54526d4e6a6b74595441785a4330315a4441785a5746685932497a5a4449756347526d&amp;Fich=6526bf36-2e67-4f69-a01d-5d01eaacb3d2.pdf&amp;Inline=true</t>
        </is>
      </c>
      <c r="AH604" s="3" t="n">
        <v>46321.77847222222</v>
      </c>
      <c r="AI604" s="3" t="n">
        <v>46321.78055555555</v>
      </c>
      <c r="AJ604" s="2" t="inlineStr"/>
    </row>
    <row r="605">
      <c r="A605" s="2" t="n">
        <v>604</v>
      </c>
      <c r="B605" s="2" t="inlineStr">
        <is>
          <t>562C</t>
        </is>
      </c>
      <c r="C605" s="3" t="n">
        <v>45966.51736111111</v>
      </c>
      <c r="D605" s="2" t="inlineStr">
        <is>
          <t>Original</t>
        </is>
      </c>
      <c r="E605" s="2" t="inlineStr">
        <is>
          <t>CH</t>
        </is>
      </c>
      <c r="F60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05" s="2" t="inlineStr">
        <is>
          <t>Art. 136.º-A (aditamento)</t>
        </is>
      </c>
      <c r="H605" s="2" t="n"/>
      <c r="I605" s="2" t="n"/>
      <c r="J605" s="2" t="n"/>
      <c r="K605" s="2" t="n"/>
      <c r="L605" s="2" t="inlineStr">
        <is>
          <t>Artigo 136.º-A (Atualizações das plataformas digitais em cada município)</t>
        </is>
      </c>
      <c r="M605" s="4" t="n"/>
      <c r="N605" s="4" t="n"/>
      <c r="O605" s="2" t="n"/>
      <c r="P605" s="2" t="n"/>
      <c r="Q605" s="2" t="n"/>
      <c r="R605" s="2" t="n"/>
      <c r="S605" s="2" t="inlineStr">
        <is>
          <t>Rejeitado(a) em Comissão</t>
        </is>
      </c>
      <c r="T605" s="2" t="inlineStr">
        <is>
          <t>Rejeitada</t>
        </is>
      </c>
      <c r="U605" s="2" t="inlineStr">
        <is>
          <t>Favor: CH, BE; Contra: PSD, IL, PCP, CDS-PP; Abstenção: PS, L, PAN</t>
        </is>
      </c>
      <c r="V605" s="3" t="n">
        <v>45987</v>
      </c>
      <c r="W605" s="2" t="inlineStr">
        <is>
          <t>AR: https://www.parlamento.pt/OrcamentoEstado/Paginas/DetalhePropostaAlteracao.aspx?BID=23782 PDF: https://app.parlamento.pt/webutils/docs/doc.pdf?path=6148523063484d364c793942556b356c6443397a6158526c63793959566b6c4a544556484c3039464c7a49774d6a59794d4449314d5441774f5339515153396c4d5464684d544d784d7930334e7a637a4c54526b4e4455744f47526b5a5330304f44646c4d446b345a6a566b4d5751756347526d&amp;Fich=e17a1313-7773-4d45-8dde-487e098f5d1d.pdf&amp;Inline=true</t>
        </is>
      </c>
      <c r="X605" s="2" t="inlineStr">
        <is>
          <t>Reforma do Estado e Poder Local</t>
        </is>
      </c>
      <c r="Y605" s="2" t="inlineStr">
        <is>
          <t>Articulado</t>
        </is>
      </c>
      <c r="Z605" s="2" t="inlineStr">
        <is>
          <t>Aditamento (Artigo PPL)</t>
        </is>
      </c>
      <c r="AA605" s="2" t="inlineStr">
        <is>
          <t>Rejeitado(a) em Comissão</t>
        </is>
      </c>
      <c r="AB605" s="2" t="inlineStr"/>
      <c r="AC605" s="2" t="inlineStr"/>
      <c r="AD605" s="2" t="inlineStr">
        <is>
          <t>1</t>
        </is>
      </c>
      <c r="AE605" s="2" t="inlineStr">
        <is>
          <t>23782</t>
        </is>
      </c>
      <c r="AF605" s="2" t="inlineStr">
        <is>
          <t>https://www.parlamento.pt/OrcamentoEstado/Paginas/DetalhePropostaAlteracao.aspx?BID=23782</t>
        </is>
      </c>
      <c r="AG605" s="2" t="inlineStr">
        <is>
          <t>https://app.parlamento.pt/webutils/docs/doc.pdf?path=6148523063484d364c793942556b356c6443397a6158526c63793959566b6c4a544556484c3039464c7a49774d6a59794d4449314d5441774f5339515153396c4d5464684d544d784d7930334e7a637a4c54526b4e4455744f47526b5a5330304f44646c4d446b345a6a566b4d5751756347526d&amp;Fich=e17a1313-7773-4d45-8dde-487e098f5d1d.pdf&amp;Inline=true</t>
        </is>
      </c>
      <c r="AH605" s="3" t="n">
        <v>46321.77847222222</v>
      </c>
      <c r="AI605" s="3" t="n">
        <v>46321.78055555555</v>
      </c>
      <c r="AJ605" s="2" t="inlineStr"/>
    </row>
    <row r="606">
      <c r="A606" s="2" t="n">
        <v>605</v>
      </c>
      <c r="B606" s="2" t="inlineStr">
        <is>
          <t>563C</t>
        </is>
      </c>
      <c r="C606" s="3" t="n">
        <v>45966.51736111111</v>
      </c>
      <c r="D606" s="2" t="inlineStr">
        <is>
          <t>Original</t>
        </is>
      </c>
      <c r="E606" s="2" t="inlineStr">
        <is>
          <t>L</t>
        </is>
      </c>
      <c r="F606" s="2" t="inlineStr">
        <is>
          <t>Filipa Pinto; Isabel Mendes Lopes; Jorge Pinto; Patrícia Gonçalves; Paulo Muacho; Rui Tavares</t>
        </is>
      </c>
      <c r="G606" s="2" t="inlineStr">
        <is>
          <t>Art. 126.º-A (aditamento)</t>
        </is>
      </c>
      <c r="H606" s="2" t="n"/>
      <c r="I606" s="2" t="n"/>
      <c r="J606" s="2" t="n"/>
      <c r="K606" s="2" t="n"/>
      <c r="L606" s="2" t="inlineStr">
        <is>
          <t>Artigo 126.º-A (Plano de Ação para a Conservação da Natureza e Biodiversidade 2030)</t>
        </is>
      </c>
      <c r="M606" s="4" t="n"/>
      <c r="N606" s="4" t="n"/>
      <c r="O606" s="2" t="n"/>
      <c r="P606" s="2" t="n"/>
      <c r="Q606" s="2" t="n"/>
      <c r="R606" s="2" t="n"/>
      <c r="S606" s="2" t="inlineStr">
        <is>
          <t>Rejeitado(a) em Comissão</t>
        </is>
      </c>
      <c r="T606" s="2" t="inlineStr">
        <is>
          <t>Rejeitada</t>
        </is>
      </c>
      <c r="U606" s="2" t="inlineStr">
        <is>
          <t>Favor: L, BE, PAN; Contra: PSD, IL, PCP, CDS-PP; Abstenção: CH, PS</t>
        </is>
      </c>
      <c r="V606" s="3" t="n">
        <v>45985</v>
      </c>
      <c r="W606" s="2" t="inlineStr">
        <is>
          <t>AR: https://www.parlamento.pt/OrcamentoEstado/Paginas/DetalhePropostaAlteracao.aspx?BID=23783 PDF: https://app.parlamento.pt/webutils/docs/doc.pdf?path=6148523063484d364c793942556b356c6443397a6158526c63793959566b6c4a544556484c3039464c7a49774d6a59794d4449314d5441774f533951515339694d5441354e54426d4d4330314e5749304c54526b4e474d74596a646d4f53303159544e694d6a41324f4456694f5755756347526d&amp;Fich=b10950f0-55b4-4d4c-b7f9-5a3b20685b9e.pdf&amp;Inline=true</t>
        </is>
      </c>
      <c r="X606" s="2" t="inlineStr">
        <is>
          <t>Ambiente e Energia</t>
        </is>
      </c>
      <c r="Y606" s="2" t="inlineStr">
        <is>
          <t>Articulado</t>
        </is>
      </c>
      <c r="Z606" s="2" t="inlineStr">
        <is>
          <t>Aditamento (Artigo PPL)</t>
        </is>
      </c>
      <c r="AA606" s="2" t="inlineStr">
        <is>
          <t>Rejeitado(a) em Comissão</t>
        </is>
      </c>
      <c r="AB606" s="2" t="inlineStr"/>
      <c r="AC606" s="2" t="inlineStr"/>
      <c r="AD606" s="2" t="inlineStr">
        <is>
          <t>1</t>
        </is>
      </c>
      <c r="AE606" s="2" t="inlineStr">
        <is>
          <t>23783</t>
        </is>
      </c>
      <c r="AF606" s="2" t="inlineStr">
        <is>
          <t>https://www.parlamento.pt/OrcamentoEstado/Paginas/DetalhePropostaAlteracao.aspx?BID=23783</t>
        </is>
      </c>
      <c r="AG606" s="2" t="inlineStr">
        <is>
          <t>https://app.parlamento.pt/webutils/docs/doc.pdf?path=6148523063484d364c793942556b356c6443397a6158526c63793959566b6c4a544556484c3039464c7a49774d6a59794d4449314d5441774f533951515339694d5441354e54426d4d4330314e5749304c54526b4e474d74596a646d4f53303159544e694d6a41324f4456694f5755756347526d&amp;Fich=b10950f0-55b4-4d4c-b7f9-5a3b20685b9e.pdf&amp;Inline=true</t>
        </is>
      </c>
      <c r="AH606" s="3" t="n">
        <v>46321.77847222222</v>
      </c>
      <c r="AI606" s="3" t="n">
        <v>46321.78055555555</v>
      </c>
      <c r="AJ606" s="2" t="inlineStr"/>
    </row>
    <row r="607">
      <c r="A607" s="2" t="n">
        <v>606</v>
      </c>
      <c r="B607" s="2" t="inlineStr">
        <is>
          <t>564C</t>
        </is>
      </c>
      <c r="C607" s="3" t="n">
        <v>45966.51805555556</v>
      </c>
      <c r="D607" s="2" t="inlineStr">
        <is>
          <t>Original</t>
        </is>
      </c>
      <c r="E607" s="2" t="inlineStr">
        <is>
          <t>PCP</t>
        </is>
      </c>
      <c r="F607" s="2" t="inlineStr">
        <is>
          <t>Alfredo Maia; Paula Santos; Paulo Raimundo</t>
        </is>
      </c>
      <c r="G607" s="2" t="inlineStr">
        <is>
          <t>Art. 102.º-A (aditamento)</t>
        </is>
      </c>
      <c r="H607" s="2" t="n"/>
      <c r="I607" s="2" t="n"/>
      <c r="J607" s="2" t="n"/>
      <c r="K607" s="2" t="n"/>
      <c r="L607" s="2" t="inlineStr">
        <is>
          <t>Artigo 102.º-A (Campanha Nacional de Esterilização de Animais Errantes)</t>
        </is>
      </c>
      <c r="M607" s="4" t="n"/>
      <c r="N607" s="4" t="n"/>
      <c r="O607" s="2" t="n"/>
      <c r="P607" s="2" t="n"/>
      <c r="Q607" s="2" t="n"/>
      <c r="R607" s="2" t="n"/>
      <c r="S607" s="2" t="inlineStr">
        <is>
          <t>Rejeitado(a) em Comissão</t>
        </is>
      </c>
      <c r="T607" s="2" t="inlineStr">
        <is>
          <t>Rejeitada</t>
        </is>
      </c>
      <c r="U607" s="2" t="inlineStr">
        <is>
          <t>Favor: CH, L, PCP, BE, PAN; Contra: PSD, CDS-PP; Abstenção: PS, IL</t>
        </is>
      </c>
      <c r="V607" s="3" t="n">
        <v>45982</v>
      </c>
      <c r="W607" s="2" t="inlineStr">
        <is>
          <t>AR: https://www.parlamento.pt/OrcamentoEstado/Paginas/DetalhePropostaAlteracao.aspx?BID=23784 PDF: https://app.parlamento.pt/webutils/docs/doc.pdf?path=6148523063484d364c793942556b356c6443397a6158526c63793959566b6c4a544556484c3039464c7a49774d6a59794d4449314d5441774f533951515338354d5755774e7a45304d4331695a6d466b4c54526b5a575574595442694d4330325a6a686d59574d794f545a69595445756347526d&amp;Fich=91e07140-bfad-4dee-a0b0-6f8fac296ba1.pdf&amp;Inline=true</t>
        </is>
      </c>
      <c r="X607" s="2" t="inlineStr">
        <is>
          <t>Agricultura e Pescas</t>
        </is>
      </c>
      <c r="Y607" s="2" t="inlineStr">
        <is>
          <t>Articulado</t>
        </is>
      </c>
      <c r="Z607" s="2" t="inlineStr">
        <is>
          <t>Aditamento (Artigo PPL)</t>
        </is>
      </c>
      <c r="AA607" s="2" t="inlineStr">
        <is>
          <t>Rejeitado(a) em Comissão</t>
        </is>
      </c>
      <c r="AB607" s="2" t="inlineStr"/>
      <c r="AC607" s="2" t="inlineStr"/>
      <c r="AD607" s="2" t="inlineStr">
        <is>
          <t>1</t>
        </is>
      </c>
      <c r="AE607" s="2" t="inlineStr">
        <is>
          <t>23784</t>
        </is>
      </c>
      <c r="AF607" s="2" t="inlineStr">
        <is>
          <t>https://www.parlamento.pt/OrcamentoEstado/Paginas/DetalhePropostaAlteracao.aspx?BID=23784</t>
        </is>
      </c>
      <c r="AG607" s="2" t="inlineStr">
        <is>
          <t>https://app.parlamento.pt/webutils/docs/doc.pdf?path=6148523063484d364c793942556b356c6443397a6158526c63793959566b6c4a544556484c3039464c7a49774d6a59794d4449314d5441774f533951515338354d5755774e7a45304d4331695a6d466b4c54526b5a575574595442694d4330325a6a686d59574d794f545a69595445756347526d&amp;Fich=91e07140-bfad-4dee-a0b0-6f8fac296ba1.pdf&amp;Inline=true</t>
        </is>
      </c>
      <c r="AH607" s="3" t="n">
        <v>46321.77847222222</v>
      </c>
      <c r="AI607" s="3" t="n">
        <v>46321.78055555555</v>
      </c>
      <c r="AJ607" s="2" t="inlineStr"/>
    </row>
    <row r="608">
      <c r="A608" s="2" t="n">
        <v>607</v>
      </c>
      <c r="B608" s="2" t="inlineStr">
        <is>
          <t>565C</t>
        </is>
      </c>
      <c r="C608" s="3" t="n">
        <v>45966.51805555556</v>
      </c>
      <c r="D608" s="2" t="inlineStr">
        <is>
          <t>Original</t>
        </is>
      </c>
      <c r="E608" s="2" t="inlineStr">
        <is>
          <t>CH</t>
        </is>
      </c>
      <c r="F60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08" s="2" t="inlineStr">
        <is>
          <t>Art. 136.º-A (aditamento)</t>
        </is>
      </c>
      <c r="H608" s="2" t="n"/>
      <c r="I608" s="2" t="n"/>
      <c r="J608" s="2" t="n"/>
      <c r="K608" s="2" t="n"/>
      <c r="L608" s="2" t="inlineStr">
        <is>
          <t>Artigo 136.º-A (Avaliação da implementação das Medidas de Autoproteção em edifícios escolares)</t>
        </is>
      </c>
      <c r="M608" s="4" t="n"/>
      <c r="N608" s="4" t="n"/>
      <c r="O608" s="2" t="n"/>
      <c r="P608" s="2" t="n"/>
      <c r="Q608" s="2" t="n"/>
      <c r="R608" s="2" t="n"/>
      <c r="S608" s="2" t="inlineStr">
        <is>
          <t>Rejeitado(a) em Comissão</t>
        </is>
      </c>
      <c r="T608" s="2" t="inlineStr">
        <is>
          <t>Rejeitada</t>
        </is>
      </c>
      <c r="U608" s="2" t="inlineStr">
        <is>
          <t>Favor: CH, IL, BE, PAN; Contra: PSD, CDS-PP; Abstenção: PS, L, PCP</t>
        </is>
      </c>
      <c r="V608" s="3" t="n">
        <v>45987</v>
      </c>
      <c r="W608" s="2" t="inlineStr">
        <is>
          <t>AR: https://www.parlamento.pt/OrcamentoEstado/Paginas/DetalhePropostaAlteracao.aspx?BID=23785 PDF: https://app.parlamento.pt/webutils/docs/doc.pdf?path=6148523063484d364c793942556b356c6443397a6158526c63793959566b6c4a544556484c3039464c7a49774d6a59794d4449314d5441774f533951515339694f4451304e6a67335a6930785a6d56684c5451305a474d744f444e6c4e43307a4e544e6d59545a6a4f57526a595759756347526d&amp;Fich=b844687f-1fea-44dc-83e4-353fa6c9dcaf.pdf&amp;Inline=true</t>
        </is>
      </c>
      <c r="X608" s="2" t="inlineStr">
        <is>
          <t>Educação e Ciência</t>
        </is>
      </c>
      <c r="Y608" s="2" t="inlineStr">
        <is>
          <t>Articulado</t>
        </is>
      </c>
      <c r="Z608" s="2" t="inlineStr">
        <is>
          <t>Aditamento (Artigo PPL)</t>
        </is>
      </c>
      <c r="AA608" s="2" t="inlineStr">
        <is>
          <t>Rejeitado(a) em Comissão</t>
        </is>
      </c>
      <c r="AB608" s="2" t="inlineStr"/>
      <c r="AC608" s="2" t="inlineStr"/>
      <c r="AD608" s="2" t="inlineStr">
        <is>
          <t>1</t>
        </is>
      </c>
      <c r="AE608" s="2" t="inlineStr">
        <is>
          <t>23785</t>
        </is>
      </c>
      <c r="AF608" s="2" t="inlineStr">
        <is>
          <t>https://www.parlamento.pt/OrcamentoEstado/Paginas/DetalhePropostaAlteracao.aspx?BID=23785</t>
        </is>
      </c>
      <c r="AG608" s="2" t="inlineStr">
        <is>
          <t>https://app.parlamento.pt/webutils/docs/doc.pdf?path=6148523063484d364c793942556b356c6443397a6158526c63793959566b6c4a544556484c3039464c7a49774d6a59794d4449314d5441774f533951515339694f4451304e6a67335a6930785a6d56684c5451305a474d744f444e6c4e43307a4e544e6d59545a6a4f57526a595759756347526d&amp;Fich=b844687f-1fea-44dc-83e4-353fa6c9dcaf.pdf&amp;Inline=true</t>
        </is>
      </c>
      <c r="AH608" s="3" t="n">
        <v>46321.77847222222</v>
      </c>
      <c r="AI608" s="3" t="n">
        <v>46321.78055555555</v>
      </c>
      <c r="AJ608" s="2" t="inlineStr"/>
    </row>
    <row r="609">
      <c r="A609" s="2" t="n">
        <v>608</v>
      </c>
      <c r="B609" s="2" t="inlineStr">
        <is>
          <t>566C</t>
        </is>
      </c>
      <c r="C609" s="3" t="n">
        <v>45966.51875</v>
      </c>
      <c r="D609" s="2" t="inlineStr">
        <is>
          <t>Original</t>
        </is>
      </c>
      <c r="E609" s="2" t="inlineStr">
        <is>
          <t>PCP</t>
        </is>
      </c>
      <c r="F609" s="2" t="inlineStr">
        <is>
          <t>Alfredo Maia; Paula Santos; Paulo Raimundo</t>
        </is>
      </c>
      <c r="G609" s="2" t="inlineStr">
        <is>
          <t>Art. 74.º-A (aditamento)</t>
        </is>
      </c>
      <c r="H609" s="2" t="n"/>
      <c r="I609" s="2" t="n"/>
      <c r="J609" s="2" t="n"/>
      <c r="K609" s="2" t="n"/>
      <c r="L609" s="2" t="inlineStr">
        <is>
          <t>Artigo 74.º-A (Contribuição especial para a conservação dos recursos florestais)</t>
        </is>
      </c>
      <c r="M609" s="4" t="n"/>
      <c r="N609" s="4" t="n"/>
      <c r="O609" s="2" t="n"/>
      <c r="P609" s="2" t="n"/>
      <c r="Q609" s="2" t="n"/>
      <c r="R609" s="2" t="n"/>
      <c r="S609" s="2" t="inlineStr">
        <is>
          <t>Rejeitado(a) em Comissão</t>
        </is>
      </c>
      <c r="T609" s="2" t="inlineStr">
        <is>
          <t>Rejeitada</t>
        </is>
      </c>
      <c r="U609" s="2" t="inlineStr">
        <is>
          <t>Favor: L, PCP, BE, PAN; Contra: PSD, CH, IL, CDS-PP; Abstenção: PS</t>
        </is>
      </c>
      <c r="V609" s="3" t="n">
        <v>45982</v>
      </c>
      <c r="W609" s="2" t="inlineStr">
        <is>
          <t>AR: https://www.parlamento.pt/OrcamentoEstado/Paginas/DetalhePropostaAlteracao.aspx?BID=23786 PDF: https://app.parlamento.pt/webutils/docs/doc.pdf?path=6148523063484d364c793942556b356c6443397a6158526c63793959566b6c4a544556484c3039464c7a49774d6a59794d4449314d5441774f533951515339684d5455774e57526d4f5330304d6d4e6c4c54517a4e575974595755774d793168595442684e7a6c6d596d59345a5441756347526d&amp;Fich=a1505df9-42ce-435f-ae03-aa0a79fbf8e0.pdf&amp;Inline=true</t>
        </is>
      </c>
      <c r="X609" s="2" t="inlineStr">
        <is>
          <t>Agricultura e Pescas</t>
        </is>
      </c>
      <c r="Y609" s="2" t="inlineStr">
        <is>
          <t>Articulado</t>
        </is>
      </c>
      <c r="Z609" s="2" t="inlineStr">
        <is>
          <t>Aditamento (Artigo PPL)</t>
        </is>
      </c>
      <c r="AA609" s="2" t="inlineStr">
        <is>
          <t>Rejeitado(a) em Comissão</t>
        </is>
      </c>
      <c r="AB609" s="2" t="inlineStr"/>
      <c r="AC609" s="2" t="inlineStr"/>
      <c r="AD609" s="2" t="inlineStr">
        <is>
          <t>1</t>
        </is>
      </c>
      <c r="AE609" s="2" t="inlineStr">
        <is>
          <t>23786</t>
        </is>
      </c>
      <c r="AF609" s="2" t="inlineStr">
        <is>
          <t>https://www.parlamento.pt/OrcamentoEstado/Paginas/DetalhePropostaAlteracao.aspx?BID=23786</t>
        </is>
      </c>
      <c r="AG609" s="2" t="inlineStr">
        <is>
          <t>https://app.parlamento.pt/webutils/docs/doc.pdf?path=6148523063484d364c793942556b356c6443397a6158526c63793959566b6c4a544556484c3039464c7a49774d6a59794d4449314d5441774f533951515339684d5455774e57526d4f5330304d6d4e6c4c54517a4e575974595755774d793168595442684e7a6c6d596d59345a5441756347526d&amp;Fich=a1505df9-42ce-435f-ae03-aa0a79fbf8e0.pdf&amp;Inline=true</t>
        </is>
      </c>
      <c r="AH609" s="3" t="n">
        <v>46321.77847222222</v>
      </c>
      <c r="AI609" s="3" t="n">
        <v>46321.78055555555</v>
      </c>
      <c r="AJ609" s="2" t="inlineStr"/>
    </row>
    <row r="610">
      <c r="A610" s="2" t="n">
        <v>609</v>
      </c>
      <c r="B610" s="2" t="inlineStr">
        <is>
          <t>567C</t>
        </is>
      </c>
      <c r="C610" s="3" t="n">
        <v>45966.51875</v>
      </c>
      <c r="D610" s="2" t="inlineStr">
        <is>
          <t>Original</t>
        </is>
      </c>
      <c r="E610" s="2" t="inlineStr">
        <is>
          <t>CH</t>
        </is>
      </c>
      <c r="F61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10" s="2" t="inlineStr">
        <is>
          <t>Art. 136.º-A (aditamento)</t>
        </is>
      </c>
      <c r="H610" s="2" t="n"/>
      <c r="I610" s="2" t="n"/>
      <c r="J610" s="2" t="n"/>
      <c r="K610" s="2" t="n"/>
      <c r="L610" s="2" t="inlineStr">
        <is>
          <t>Artigo 136.º-A (Programa de liquidação das dívidas do Estado à comunicação social regional e local)</t>
        </is>
      </c>
      <c r="M610" s="4" t="n"/>
      <c r="N610" s="4" t="n"/>
      <c r="O610" s="2" t="n"/>
      <c r="P610" s="2" t="n"/>
      <c r="Q610" s="2" t="n"/>
      <c r="R610" s="2" t="n"/>
      <c r="S610" s="2" t="inlineStr">
        <is>
          <t>Rejeitado(a) em Comissão</t>
        </is>
      </c>
      <c r="T610" s="2" t="inlineStr">
        <is>
          <t>Rejeitada</t>
        </is>
      </c>
      <c r="U610" s="2" t="inlineStr">
        <is>
          <t>Favor: CH, BE, PAN; Contra: PSD, CDS-PP; Abstenção: PS, IL, L, PCP</t>
        </is>
      </c>
      <c r="V610" s="3" t="n">
        <v>45987</v>
      </c>
      <c r="W610" s="2" t="inlineStr">
        <is>
          <t>AR: https://www.parlamento.pt/OrcamentoEstado/Paginas/DetalhePropostaAlteracao.aspx?BID=23787 PDF: https://app.parlamento.pt/webutils/docs/doc.pdf?path=6148523063484d364c793942556b356c6443397a6158526c63793959566b6c4a544556484c3039464c7a49774d6a59794d4449314d5441774f5339515153396d4e6a6379596a52695979316a4e5459304c5452684d3245744f5755794d43316d4e6d51354f545530597a56695a5463756347526d&amp;Fich=f672b4bc-c564-4a3a-9e20-f6d9954c5be7.pdf&amp;Inline=true</t>
        </is>
      </c>
      <c r="X610" s="2" t="inlineStr">
        <is>
          <t>Cultura, Comunicação, Juventude e Desporto</t>
        </is>
      </c>
      <c r="Y610" s="2" t="inlineStr">
        <is>
          <t>Articulado</t>
        </is>
      </c>
      <c r="Z610" s="2" t="inlineStr">
        <is>
          <t>Aditamento (Artigo PPL)</t>
        </is>
      </c>
      <c r="AA610" s="2" t="inlineStr">
        <is>
          <t>Rejeitado(a) em Comissão</t>
        </is>
      </c>
      <c r="AB610" s="2" t="inlineStr"/>
      <c r="AC610" s="2" t="inlineStr"/>
      <c r="AD610" s="2" t="inlineStr">
        <is>
          <t>1</t>
        </is>
      </c>
      <c r="AE610" s="2" t="inlineStr">
        <is>
          <t>23787</t>
        </is>
      </c>
      <c r="AF610" s="2" t="inlineStr">
        <is>
          <t>https://www.parlamento.pt/OrcamentoEstado/Paginas/DetalhePropostaAlteracao.aspx?BID=23787</t>
        </is>
      </c>
      <c r="AG610" s="2" t="inlineStr">
        <is>
          <t>https://app.parlamento.pt/webutils/docs/doc.pdf?path=6148523063484d364c793942556b356c6443397a6158526c63793959566b6c4a544556484c3039464c7a49774d6a59794d4449314d5441774f5339515153396d4e6a6379596a52695979316a4e5459304c5452684d3245744f5755794d43316d4e6d51354f545530597a56695a5463756347526d&amp;Fich=f672b4bc-c564-4a3a-9e20-f6d9954c5be7.pdf&amp;Inline=true</t>
        </is>
      </c>
      <c r="AH610" s="3" t="n">
        <v>46321.77847222222</v>
      </c>
      <c r="AI610" s="3" t="n">
        <v>46321.78055555555</v>
      </c>
      <c r="AJ610" s="2" t="inlineStr"/>
    </row>
    <row r="611">
      <c r="A611" s="2" t="n">
        <v>610</v>
      </c>
      <c r="B611" s="2" t="inlineStr">
        <is>
          <t>568C</t>
        </is>
      </c>
      <c r="C611" s="3" t="n">
        <v>45966.51944444444</v>
      </c>
      <c r="D611" s="2" t="inlineStr">
        <is>
          <t>Original</t>
        </is>
      </c>
      <c r="E611" s="2" t="inlineStr">
        <is>
          <t>PCP</t>
        </is>
      </c>
      <c r="F611" s="2" t="inlineStr">
        <is>
          <t>Alfredo Maia; Paula Santos; Paulo Raimundo</t>
        </is>
      </c>
      <c r="G611" s="2" t="inlineStr">
        <is>
          <t>Art. 3.º (aditamento)</t>
        </is>
      </c>
      <c r="H611" s="2" t="n"/>
      <c r="I611" s="2" t="n"/>
      <c r="J611" s="2" t="n"/>
      <c r="K611" s="2" t="n"/>
      <c r="L611" s="2" t="inlineStr">
        <is>
          <t>N.º 9, Artigo 3.º</t>
        </is>
      </c>
      <c r="M611" s="4" t="n"/>
      <c r="N611" s="4" t="n"/>
      <c r="O611" s="2" t="n"/>
      <c r="P611" s="2" t="n"/>
      <c r="Q611" s="2" t="n"/>
      <c r="R611" s="2" t="n"/>
      <c r="S611" s="2" t="inlineStr">
        <is>
          <t>Rejeitado(a) em Comissão</t>
        </is>
      </c>
      <c r="T611" s="2" t="inlineStr">
        <is>
          <t>Rejeitada</t>
        </is>
      </c>
      <c r="U611" s="2" t="inlineStr">
        <is>
          <t>Favor: CH, IL, L, PCP, BE; Contra: PSD, CDS-PP; Abstenção: PS, PAN</t>
        </is>
      </c>
      <c r="V611" s="3" t="n">
        <v>45981</v>
      </c>
      <c r="W611" s="2" t="inlineStr">
        <is>
          <t>AR: https://www.parlamento.pt/OrcamentoEstado/Paginas/DetalhePropostaAlteracao.aspx?BID=23788 PDF: https://app.parlamento.pt/webutils/docs/doc.pdf?path=6148523063484d364c793942556b356c6443397a6158526c63793959566b6c4a544556484c3039464c7a49774d6a59794d4449314d5441774f53395151533969597a686b596a45795a53316b4e6a4d354c54517a4e324574595745344e4330344d3259794e54426c5a6a6b354f4467756347526d&amp;Fich=bc8db12e-d639-437a-aa84-83f250ef9988.pdf&amp;Inline=true</t>
        </is>
      </c>
      <c r="X611" s="2" t="inlineStr">
        <is>
          <t>Agricultura e Pescas</t>
        </is>
      </c>
      <c r="Y611" s="2" t="inlineStr">
        <is>
          <t>Articulado</t>
        </is>
      </c>
      <c r="Z611" s="2" t="inlineStr">
        <is>
          <t>Aditamento (Números e Alíneas)</t>
        </is>
      </c>
      <c r="AA611" s="2" t="inlineStr">
        <is>
          <t>Rejeitado(a) em Comissão</t>
        </is>
      </c>
      <c r="AB611" s="2" t="inlineStr"/>
      <c r="AC611" s="2" t="inlineStr"/>
      <c r="AD611" s="2" t="inlineStr">
        <is>
          <t>1</t>
        </is>
      </c>
      <c r="AE611" s="2" t="inlineStr">
        <is>
          <t>23788</t>
        </is>
      </c>
      <c r="AF611" s="2" t="inlineStr">
        <is>
          <t>https://www.parlamento.pt/OrcamentoEstado/Paginas/DetalhePropostaAlteracao.aspx?BID=23788</t>
        </is>
      </c>
      <c r="AG611" s="2" t="inlineStr">
        <is>
          <t>https://app.parlamento.pt/webutils/docs/doc.pdf?path=6148523063484d364c793942556b356c6443397a6158526c63793959566b6c4a544556484c3039464c7a49774d6a59794d4449314d5441774f53395151533969597a686b596a45795a53316b4e6a4d354c54517a4e324574595745344e4330344d3259794e54426c5a6a6b354f4467756347526d&amp;Fich=bc8db12e-d639-437a-aa84-83f250ef9988.pdf&amp;Inline=true</t>
        </is>
      </c>
      <c r="AH611" s="3" t="n">
        <v>46321.77847222222</v>
      </c>
      <c r="AI611" s="3" t="n">
        <v>46321.78055555555</v>
      </c>
      <c r="AJ611" s="2" t="inlineStr"/>
    </row>
    <row r="612">
      <c r="A612" s="2" t="n">
        <v>611</v>
      </c>
      <c r="B612" s="2" t="inlineStr">
        <is>
          <t>569C</t>
        </is>
      </c>
      <c r="C612" s="3" t="n">
        <v>45966.52013888889</v>
      </c>
      <c r="D612" s="2" t="inlineStr">
        <is>
          <t>Original</t>
        </is>
      </c>
      <c r="E612" s="2" t="inlineStr">
        <is>
          <t>CH</t>
        </is>
      </c>
      <c r="F61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12" s="2" t="inlineStr">
        <is>
          <t>Art. 136.º-A (aditamento)</t>
        </is>
      </c>
      <c r="H612" s="2" t="n"/>
      <c r="I612" s="2" t="n"/>
      <c r="J612" s="2" t="n"/>
      <c r="K612" s="2" t="n"/>
      <c r="L612" s="2" t="inlineStr">
        <is>
          <t>Artigo 136.º-A (Reforço do financiamento do Fundo de Salvaguarda do Património Cultural)</t>
        </is>
      </c>
      <c r="M612" s="4" t="n"/>
      <c r="N612" s="4" t="n"/>
      <c r="O612" s="2" t="n"/>
      <c r="P612" s="2" t="n"/>
      <c r="Q612" s="2" t="n"/>
      <c r="R612" s="2" t="n"/>
      <c r="S612" s="2" t="inlineStr">
        <is>
          <t>Rejeitado(a) em Comissão</t>
        </is>
      </c>
      <c r="T612" s="2" t="inlineStr">
        <is>
          <t>Rejeitada</t>
        </is>
      </c>
      <c r="U612" s="2" t="inlineStr">
        <is>
          <t>Favor: CH, BE; Contra: PSD, CDS-PP, PAN; Abstenção: PS, IL, L, PCP</t>
        </is>
      </c>
      <c r="V612" s="3" t="n">
        <v>45987</v>
      </c>
      <c r="W612" s="2" t="inlineStr">
        <is>
          <t>AR: https://www.parlamento.pt/OrcamentoEstado/Paginas/DetalhePropostaAlteracao.aspx?BID=23789 PDF: https://app.parlamento.pt/webutils/docs/doc.pdf?path=6148523063484d364c793942556b356c6443397a6158526c63793959566b6c4a544556484c3039464c7a49774d6a59794d4449314d5441774f533951515338354e4751785a444a6b4e4330304e6a42694c5451344d325574596a566a5969316c5a474a6b5a545a6c593251315a6a55756347526d&amp;Fich=94d1d2d4-460b-483e-b5cb-edbde6ecd5f5.pdf&amp;Inline=true</t>
        </is>
      </c>
      <c r="X612" s="2" t="inlineStr">
        <is>
          <t>Cultura, Comunicação, Juventude e Desporto</t>
        </is>
      </c>
      <c r="Y612" s="2" t="inlineStr">
        <is>
          <t>Articulado</t>
        </is>
      </c>
      <c r="Z612" s="2" t="inlineStr">
        <is>
          <t>Aditamento (Artigo PPL)</t>
        </is>
      </c>
      <c r="AA612" s="2" t="inlineStr">
        <is>
          <t>Rejeitado(a) em Comissão</t>
        </is>
      </c>
      <c r="AB612" s="2" t="inlineStr"/>
      <c r="AC612" s="2" t="inlineStr"/>
      <c r="AD612" s="2" t="inlineStr">
        <is>
          <t>1</t>
        </is>
      </c>
      <c r="AE612" s="2" t="inlineStr">
        <is>
          <t>23789</t>
        </is>
      </c>
      <c r="AF612" s="2" t="inlineStr">
        <is>
          <t>https://www.parlamento.pt/OrcamentoEstado/Paginas/DetalhePropostaAlteracao.aspx?BID=23789</t>
        </is>
      </c>
      <c r="AG612" s="2" t="inlineStr">
        <is>
          <t>https://app.parlamento.pt/webutils/docs/doc.pdf?path=6148523063484d364c793942556b356c6443397a6158526c63793959566b6c4a544556484c3039464c7a49774d6a59794d4449314d5441774f533951515338354e4751785a444a6b4e4330304e6a42694c5451344d325574596a566a5969316c5a474a6b5a545a6c593251315a6a55756347526d&amp;Fich=94d1d2d4-460b-483e-b5cb-edbde6ecd5f5.pdf&amp;Inline=true</t>
        </is>
      </c>
      <c r="AH612" s="3" t="n">
        <v>46321.77847222222</v>
      </c>
      <c r="AI612" s="3" t="n">
        <v>46321.78055555555</v>
      </c>
      <c r="AJ612" s="2" t="inlineStr"/>
    </row>
    <row r="613">
      <c r="A613" s="2" t="n">
        <v>612</v>
      </c>
      <c r="B613" s="2" t="inlineStr">
        <is>
          <t>570C</t>
        </is>
      </c>
      <c r="C613" s="3" t="n">
        <v>45966.52013888889</v>
      </c>
      <c r="D613" s="2" t="inlineStr">
        <is>
          <t>Original</t>
        </is>
      </c>
      <c r="E613" s="2" t="inlineStr">
        <is>
          <t>PCP</t>
        </is>
      </c>
      <c r="F613" s="2" t="inlineStr">
        <is>
          <t>Alfredo Maia; Paula Santos; Paulo Raimundo</t>
        </is>
      </c>
      <c r="G613" s="2" t="inlineStr">
        <is>
          <t>Art. 113.º-A (aditamento)</t>
        </is>
      </c>
      <c r="H613" s="2" t="n"/>
      <c r="I613" s="2" t="n"/>
      <c r="J613" s="2" t="n"/>
      <c r="K613" s="2" t="n"/>
      <c r="L613" s="2" t="inlineStr">
        <is>
          <t>Artigo 113.º-A (Fundo Autónomo de Apoio à Agricultura Familiar)</t>
        </is>
      </c>
      <c r="M613" s="4" t="n"/>
      <c r="N613" s="4" t="n"/>
      <c r="O613" s="2" t="n"/>
      <c r="P613" s="2" t="n"/>
      <c r="Q613" s="2" t="n"/>
      <c r="R613" s="2" t="n"/>
      <c r="S613" s="2" t="inlineStr">
        <is>
          <t>Rejeitado(a) em Comissão</t>
        </is>
      </c>
      <c r="T613" s="2" t="inlineStr">
        <is>
          <t>Rejeitada</t>
        </is>
      </c>
      <c r="U613" s="2" t="inlineStr">
        <is>
          <t>Favor: L, PCP, BE, PAN; Contra: PSD, CH, IL, CDS-PP; Abstenção: PS</t>
        </is>
      </c>
      <c r="V613" s="3" t="n">
        <v>45985</v>
      </c>
      <c r="W613" s="2" t="inlineStr">
        <is>
          <t>AR: https://www.parlamento.pt/OrcamentoEstado/Paginas/DetalhePropostaAlteracao.aspx?BID=23790 PDF: https://app.parlamento.pt/webutils/docs/doc.pdf?path=6148523063484d364c793942556b356c6443397a6158526c63793959566b6c4a544556484c3039464c7a49774d6a59794d4449314d5441774f533951515339684d57597a4f575a6b4e4330354e6d56684c5451794f446b744f5449315a5330794e54566d4e6d5a6d5a6d566b5a5755756347526d&amp;Fich=a1f39fd4-96ea-4289-925e-255f6fffedee.pdf&amp;Inline=true</t>
        </is>
      </c>
      <c r="X613" s="2" t="inlineStr">
        <is>
          <t>Agricultura e Pescas</t>
        </is>
      </c>
      <c r="Y613" s="2" t="inlineStr">
        <is>
          <t>Articulado</t>
        </is>
      </c>
      <c r="Z613" s="2" t="inlineStr">
        <is>
          <t>Aditamento (Artigo PPL)</t>
        </is>
      </c>
      <c r="AA613" s="2" t="inlineStr">
        <is>
          <t>Rejeitado(a) em Comissão</t>
        </is>
      </c>
      <c r="AB613" s="2" t="inlineStr"/>
      <c r="AC613" s="2" t="inlineStr"/>
      <c r="AD613" s="2" t="inlineStr">
        <is>
          <t>1</t>
        </is>
      </c>
      <c r="AE613" s="2" t="inlineStr">
        <is>
          <t>23790</t>
        </is>
      </c>
      <c r="AF613" s="2" t="inlineStr">
        <is>
          <t>https://www.parlamento.pt/OrcamentoEstado/Paginas/DetalhePropostaAlteracao.aspx?BID=23790</t>
        </is>
      </c>
      <c r="AG613" s="2" t="inlineStr">
        <is>
          <t>https://app.parlamento.pt/webutils/docs/doc.pdf?path=6148523063484d364c793942556b356c6443397a6158526c63793959566b6c4a544556484c3039464c7a49774d6a59794d4449314d5441774f533951515339684d57597a4f575a6b4e4330354e6d56684c5451794f446b744f5449315a5330794e54566d4e6d5a6d5a6d566b5a5755756347526d&amp;Fich=a1f39fd4-96ea-4289-925e-255f6fffedee.pdf&amp;Inline=true</t>
        </is>
      </c>
      <c r="AH613" s="3" t="n">
        <v>46321.77847222222</v>
      </c>
      <c r="AI613" s="3" t="n">
        <v>46321.78055555555</v>
      </c>
      <c r="AJ613" s="2" t="inlineStr"/>
    </row>
    <row r="614">
      <c r="A614" s="2" t="n">
        <v>613</v>
      </c>
      <c r="B614" s="2" t="inlineStr">
        <is>
          <t>571C</t>
        </is>
      </c>
      <c r="C614" s="3" t="n">
        <v>45966.52083333334</v>
      </c>
      <c r="D614" s="2" t="inlineStr">
        <is>
          <t>Original</t>
        </is>
      </c>
      <c r="E614" s="2" t="inlineStr">
        <is>
          <t>CH</t>
        </is>
      </c>
      <c r="F61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14" s="2" t="inlineStr">
        <is>
          <t>Art. 136.º-A (aditamento)</t>
        </is>
      </c>
      <c r="H614" s="2" t="n"/>
      <c r="I614" s="2" t="n"/>
      <c r="J614" s="2" t="n"/>
      <c r="K614" s="2" t="n"/>
      <c r="L614" s="2" t="inlineStr">
        <is>
          <t>Artigo 136.º-A (Fundo Nacional de Apoio a Projetos de Empreendedorismo Jovem em Zonas Rurais)</t>
        </is>
      </c>
      <c r="M614" s="4" t="n"/>
      <c r="N614" s="4" t="n"/>
      <c r="O614" s="2" t="n"/>
      <c r="P614" s="2" t="n"/>
      <c r="Q614" s="2" t="n"/>
      <c r="R614" s="2" t="n"/>
      <c r="S614" s="2" t="inlineStr">
        <is>
          <t>Rejeitado(a) em Comissão</t>
        </is>
      </c>
      <c r="T614" s="2" t="inlineStr">
        <is>
          <t>Rejeitada</t>
        </is>
      </c>
      <c r="U614" s="2" t="inlineStr">
        <is>
          <t>Favor: CH, BE; Contra: PSD, IL, L, PCP, CDS-PP; Abstenção: PS, PAN</t>
        </is>
      </c>
      <c r="V614" s="3" t="n">
        <v>45987</v>
      </c>
      <c r="W614" s="2" t="inlineStr">
        <is>
          <t>AR: https://www.parlamento.pt/OrcamentoEstado/Paginas/DetalhePropostaAlteracao.aspx?BID=23791 PDF: https://app.parlamento.pt/webutils/docs/doc.pdf?path=6148523063484d364c793942556b356c6443397a6158526c63793959566b6c4a544556484c3039464c7a49774d6a59794d4449314d5441774f53395151533969597a6869597a42694e6930794d6a4d334c5452685a474d74595752685a53316d5a5749314e32466d596a457a4d6a41756347526d&amp;Fich=bc8bc0b6-2237-4adc-adae-feb57afb1320.pdf&amp;Inline=true</t>
        </is>
      </c>
      <c r="X614" s="2" t="inlineStr">
        <is>
          <t>Cultura, Comunicação, Juventude e Desporto</t>
        </is>
      </c>
      <c r="Y614" s="2" t="inlineStr">
        <is>
          <t>Articulado</t>
        </is>
      </c>
      <c r="Z614" s="2" t="inlineStr">
        <is>
          <t>Aditamento (Artigo PPL)</t>
        </is>
      </c>
      <c r="AA614" s="2" t="inlineStr">
        <is>
          <t>Rejeitado(a) em Comissão</t>
        </is>
      </c>
      <c r="AB614" s="2" t="inlineStr"/>
      <c r="AC614" s="2" t="inlineStr"/>
      <c r="AD614" s="2" t="inlineStr">
        <is>
          <t>1</t>
        </is>
      </c>
      <c r="AE614" s="2" t="inlineStr">
        <is>
          <t>23791</t>
        </is>
      </c>
      <c r="AF614" s="2" t="inlineStr">
        <is>
          <t>https://www.parlamento.pt/OrcamentoEstado/Paginas/DetalhePropostaAlteracao.aspx?BID=23791</t>
        </is>
      </c>
      <c r="AG614" s="2" t="inlineStr">
        <is>
          <t>https://app.parlamento.pt/webutils/docs/doc.pdf?path=6148523063484d364c793942556b356c6443397a6158526c63793959566b6c4a544556484c3039464c7a49774d6a59794d4449314d5441774f53395151533969597a6869597a42694e6930794d6a4d334c5452685a474d74595752685a53316d5a5749314e32466d596a457a4d6a41756347526d&amp;Fich=bc8bc0b6-2237-4adc-adae-feb57afb1320.pdf&amp;Inline=true</t>
        </is>
      </c>
      <c r="AH614" s="3" t="n">
        <v>46321.77847222222</v>
      </c>
      <c r="AI614" s="3" t="n">
        <v>46321.78055555555</v>
      </c>
      <c r="AJ614" s="2" t="inlineStr"/>
    </row>
    <row r="615">
      <c r="A615" s="2" t="n">
        <v>614</v>
      </c>
      <c r="B615" s="2" t="inlineStr">
        <is>
          <t>572C-1</t>
        </is>
      </c>
      <c r="C615" s="3" t="n">
        <v>45966.52152777778</v>
      </c>
      <c r="D615" s="2" t="inlineStr">
        <is>
          <t>Original</t>
        </is>
      </c>
      <c r="E615" s="2" t="inlineStr">
        <is>
          <t>PCP</t>
        </is>
      </c>
      <c r="F615" s="2" t="inlineStr">
        <is>
          <t>Alfredo Maia; Paula Santos; Paulo Raimundo</t>
        </is>
      </c>
      <c r="G615" s="2" t="inlineStr">
        <is>
          <t>Art. 128.º (substituição)</t>
        </is>
      </c>
      <c r="H615" s="2" t="n"/>
      <c r="I615" s="2" t="n"/>
      <c r="J615" s="2" t="n"/>
      <c r="K615" s="2" t="n"/>
      <c r="L615" s="2" t="inlineStr">
        <is>
          <t>N.º 1, N.º 2, Artigo 138.º</t>
        </is>
      </c>
      <c r="M615" s="4" t="n"/>
      <c r="N615" s="4" t="n"/>
      <c r="O615" s="2" t="n"/>
      <c r="P615" s="2" t="n"/>
      <c r="Q615" s="2" t="n"/>
      <c r="R615" s="2" t="n"/>
      <c r="S615" s="2" t="inlineStr">
        <is>
          <t>Rejeitado(a) em Comissão</t>
        </is>
      </c>
      <c r="T615" s="2" t="inlineStr">
        <is>
          <t>Rejeitada</t>
        </is>
      </c>
      <c r="U615" s="2" t="inlineStr">
        <is>
          <t>Favor: PCP, BE; Contra: PSD, IL, CDS-PP, PAN; Abstenção: CH, PS, L</t>
        </is>
      </c>
      <c r="V615" s="3" t="n">
        <v>45985</v>
      </c>
      <c r="W615" s="2" t="inlineStr">
        <is>
          <t>AR: https://www.parlamento.pt/OrcamentoEstado/Paginas/DetalhePropostaAlteracao.aspx?BID=23792 PDF: https://app.parlamento.pt/webutils/docs/doc.pdf?path=6148523063484d364c793942556b356c6443397a6158526c63793959566b6c4a544556484c3039464c7a49774d6a59794d4449314d5441774f533951515338324e6d5a684e5441794d4330334d445a684c545130596d597459546b304e53316d4e444d784e47526a5a4759314d7a67756347526d&amp;Fich=66fa5020-706a-44bf-a945-f4314dcdf538.pdf&amp;Inline=true</t>
        </is>
      </c>
      <c r="X615" s="2" t="inlineStr">
        <is>
          <t>Agricultura e Pescas</t>
        </is>
      </c>
      <c r="Y615" s="2" t="inlineStr">
        <is>
          <t>Articulado</t>
        </is>
      </c>
      <c r="Z615" s="2" t="inlineStr">
        <is>
          <t>Substituição</t>
        </is>
      </c>
      <c r="AA615" s="2" t="inlineStr">
        <is>
          <t>Rejeitado(a) em Comissão</t>
        </is>
      </c>
      <c r="AB615" s="2" t="inlineStr"/>
      <c r="AC615" s="2" t="inlineStr">
        <is>
          <t>1</t>
        </is>
      </c>
      <c r="AD615" s="2" t="inlineStr">
        <is>
          <t>2</t>
        </is>
      </c>
      <c r="AE615" s="2" t="inlineStr">
        <is>
          <t>23792</t>
        </is>
      </c>
      <c r="AF615" s="2" t="inlineStr">
        <is>
          <t>https://www.parlamento.pt/OrcamentoEstado/Paginas/DetalhePropostaAlteracao.aspx?BID=23792</t>
        </is>
      </c>
      <c r="AG615" s="2" t="inlineStr">
        <is>
          <t>https://app.parlamento.pt/webutils/docs/doc.pdf?path=6148523063484d364c793942556b356c6443397a6158526c63793959566b6c4a544556484c3039464c7a49774d6a59794d4449314d5441774f533951515338324e6d5a684e5441794d4330334d445a684c545130596d597459546b304e53316d4e444d784e47526a5a4759314d7a67756347526d&amp;Fich=66fa5020-706a-44bf-a945-f4314dcdf538.pdf&amp;Inline=true</t>
        </is>
      </c>
      <c r="AH615" s="3" t="n">
        <v>46321.77847222222</v>
      </c>
      <c r="AI615" s="3" t="n">
        <v>46321.78055555555</v>
      </c>
      <c r="AJ615" s="2" t="inlineStr"/>
    </row>
    <row r="616">
      <c r="A616" s="2" t="n">
        <v>615</v>
      </c>
      <c r="B616" s="2" t="inlineStr">
        <is>
          <t>572C-2</t>
        </is>
      </c>
      <c r="C616" s="3" t="n">
        <v>45966.52152777778</v>
      </c>
      <c r="D616" s="2" t="inlineStr">
        <is>
          <t>Original</t>
        </is>
      </c>
      <c r="E616" s="2" t="inlineStr">
        <is>
          <t>PCP</t>
        </is>
      </c>
      <c r="F616" s="2" t="inlineStr">
        <is>
          <t>Alfredo Maia; Paula Santos; Paulo Raimundo</t>
        </is>
      </c>
      <c r="G616" s="2" t="inlineStr">
        <is>
          <t>Art. 128.º (aditamento)</t>
        </is>
      </c>
      <c r="H616" s="2" t="n"/>
      <c r="I616" s="2" t="n"/>
      <c r="J616" s="2" t="n"/>
      <c r="K616" s="2" t="n"/>
      <c r="L616" s="2" t="inlineStr">
        <is>
          <t>N.º 5, Artigo 128.º</t>
        </is>
      </c>
      <c r="M616" s="4" t="n"/>
      <c r="N616" s="4" t="n"/>
      <c r="O616" s="2" t="n"/>
      <c r="P616" s="2" t="n"/>
      <c r="Q616" s="2" t="n"/>
      <c r="R616" s="2" t="n"/>
      <c r="S616" s="2" t="inlineStr">
        <is>
          <t>Rejeitado(a) em Comissão</t>
        </is>
      </c>
      <c r="T616" s="2" t="inlineStr">
        <is>
          <t>Rejeitada</t>
        </is>
      </c>
      <c r="U616" s="2" t="inlineStr">
        <is>
          <t>Favor: CH, PCP, BE; Contra: PSD, IL, CDS-PP, PAN; Abstenção: PS, L</t>
        </is>
      </c>
      <c r="V616" s="3" t="n">
        <v>45985</v>
      </c>
      <c r="W616" s="2" t="inlineStr">
        <is>
          <t>AR: https://www.parlamento.pt/OrcamentoEstado/Paginas/DetalhePropostaAlteracao.aspx?BID=24779 PDF: https://app.parlamento.pt/webutils/docs/doc.pdf?path=6148523063484d364c793942556b356c6443397a6158526c63793959566b6c4a544556484c3039464c7a49774d6a59794d4449314d5441774f5339515153396b4e4463794d3259355953307859544a6d4c545130597a4d74596a45345979316b4d6a6b30595751354e5745334e6a41756347526d&amp;Fich=d4723f9a-1a2f-44c3-b18c-d294ad95a760.pdf&amp;Inline=true</t>
        </is>
      </c>
      <c r="X616" s="2" t="inlineStr">
        <is>
          <t>Agricultura e Pescas</t>
        </is>
      </c>
      <c r="Y616" s="2" t="inlineStr">
        <is>
          <t>Articulado</t>
        </is>
      </c>
      <c r="Z616" s="2" t="inlineStr">
        <is>
          <t>Aditamento (Números e Alíneas)</t>
        </is>
      </c>
      <c r="AA616" s="2" t="inlineStr">
        <is>
          <t>Rejeitado(a) em Comissão</t>
        </is>
      </c>
      <c r="AB616" s="2" t="inlineStr"/>
      <c r="AC616" s="2" t="inlineStr">
        <is>
          <t>2</t>
        </is>
      </c>
      <c r="AD616" s="2" t="inlineStr">
        <is>
          <t>1</t>
        </is>
      </c>
      <c r="AE616" s="2" t="inlineStr">
        <is>
          <t>24779</t>
        </is>
      </c>
      <c r="AF616" s="2" t="inlineStr">
        <is>
          <t>https://www.parlamento.pt/OrcamentoEstado/Paginas/DetalhePropostaAlteracao.aspx?BID=24779</t>
        </is>
      </c>
      <c r="AG616" s="2" t="inlineStr">
        <is>
          <t>https://app.parlamento.pt/webutils/docs/doc.pdf?path=6148523063484d364c793942556b356c6443397a6158526c63793959566b6c4a544556484c3039464c7a49774d6a59794d4449314d5441774f5339515153396b4e4463794d3259355953307859544a6d4c545130597a4d74596a45345979316b4d6a6b30595751354e5745334e6a41756347526d&amp;Fich=d4723f9a-1a2f-44c3-b18c-d294ad95a760.pdf&amp;Inline=true</t>
        </is>
      </c>
      <c r="AH616" s="3" t="n">
        <v>46321.77847222222</v>
      </c>
      <c r="AI616" s="3" t="n">
        <v>46321.78055555555</v>
      </c>
      <c r="AJ616" s="2" t="inlineStr"/>
    </row>
    <row r="617">
      <c r="A617" s="2" t="n">
        <v>616</v>
      </c>
      <c r="B617" s="2" t="inlineStr">
        <is>
          <t>573C</t>
        </is>
      </c>
      <c r="C617" s="3" t="n">
        <v>45966.52430555555</v>
      </c>
      <c r="D617" s="2" t="inlineStr">
        <is>
          <t>Original</t>
        </is>
      </c>
      <c r="E617" s="2" t="inlineStr">
        <is>
          <t>PCP</t>
        </is>
      </c>
      <c r="F617" s="2" t="inlineStr">
        <is>
          <t>Alfredo Maia; Paula Santos; Paulo Raimundo</t>
        </is>
      </c>
      <c r="G617" s="2" t="inlineStr">
        <is>
          <t>Art. 113.º-A (aditamento)</t>
        </is>
      </c>
      <c r="H617" s="2" t="n"/>
      <c r="I617" s="2" t="n"/>
      <c r="J617" s="2" t="n"/>
      <c r="K617" s="2" t="n"/>
      <c r="L617" s="2" t="inlineStr">
        <is>
          <t>Artigo 113.º (Inclusão digital para o mundo rural)</t>
        </is>
      </c>
      <c r="M617" s="4" t="n"/>
      <c r="N617" s="4" t="n"/>
      <c r="O617" s="2" t="n"/>
      <c r="P617" s="2" t="n"/>
      <c r="Q617" s="2" t="n"/>
      <c r="R617" s="2" t="n"/>
      <c r="S617" s="2" t="inlineStr">
        <is>
          <t>Rejeitado(a) em Comissão</t>
        </is>
      </c>
      <c r="T617" s="2" t="inlineStr">
        <is>
          <t>Rejeitada</t>
        </is>
      </c>
      <c r="U617" s="2" t="inlineStr">
        <is>
          <t>Favor: L, PCP, BE; Contra: PSD, IL, CDS-PP; Abstenção: CH, PS, PAN</t>
        </is>
      </c>
      <c r="V617" s="3" t="n">
        <v>45985</v>
      </c>
      <c r="W617" s="2" t="inlineStr">
        <is>
          <t>AR: https://www.parlamento.pt/OrcamentoEstado/Paginas/DetalhePropostaAlteracao.aspx?BID=23793 PDF: https://app.parlamento.pt/webutils/docs/doc.pdf?path=6148523063484d364c793942556b356c6443397a6158526c63793959566b6c4a544556484c3039464c7a49774d6a59794d4449314d5441774f5339515153396a4d5456684e44417a595330334d444d324c5451324d4463744f44426d596930795a47557a4f4456694f44466d4d6d55756347526d&amp;Fich=c15a403a-7036-4607-80fb-2de385b81f2e.pdf&amp;Inline=true</t>
        </is>
      </c>
      <c r="X617" s="2" t="inlineStr">
        <is>
          <t>Agricultura e Pescas</t>
        </is>
      </c>
      <c r="Y617" s="2" t="inlineStr">
        <is>
          <t>Articulado</t>
        </is>
      </c>
      <c r="Z617" s="2" t="inlineStr">
        <is>
          <t>Aditamento (Artigo PPL)</t>
        </is>
      </c>
      <c r="AA617" s="2" t="inlineStr">
        <is>
          <t>Rejeitado(a) em Comissão</t>
        </is>
      </c>
      <c r="AB617" s="2" t="inlineStr"/>
      <c r="AC617" s="2" t="inlineStr"/>
      <c r="AD617" s="2" t="inlineStr">
        <is>
          <t>1</t>
        </is>
      </c>
      <c r="AE617" s="2" t="inlineStr">
        <is>
          <t>23793</t>
        </is>
      </c>
      <c r="AF617" s="2" t="inlineStr">
        <is>
          <t>https://www.parlamento.pt/OrcamentoEstado/Paginas/DetalhePropostaAlteracao.aspx?BID=23793</t>
        </is>
      </c>
      <c r="AG617" s="2" t="inlineStr">
        <is>
          <t>https://app.parlamento.pt/webutils/docs/doc.pdf?path=6148523063484d364c793942556b356c6443397a6158526c63793959566b6c4a544556484c3039464c7a49774d6a59794d4449314d5441774f5339515153396a4d5456684e44417a595330334d444d324c5451324d4463744f44426d596930795a47557a4f4456694f44466d4d6d55756347526d&amp;Fich=c15a403a-7036-4607-80fb-2de385b81f2e.pdf&amp;Inline=true</t>
        </is>
      </c>
      <c r="AH617" s="3" t="n">
        <v>46321.77847222222</v>
      </c>
      <c r="AI617" s="3" t="n">
        <v>46321.78055555555</v>
      </c>
      <c r="AJ617" s="2" t="inlineStr"/>
    </row>
    <row r="618">
      <c r="A618" s="2" t="n">
        <v>617</v>
      </c>
      <c r="B618" s="2" t="inlineStr">
        <is>
          <t>574C</t>
        </is>
      </c>
      <c r="C618" s="3" t="n">
        <v>45966.525</v>
      </c>
      <c r="D618" s="2" t="inlineStr">
        <is>
          <t>Original</t>
        </is>
      </c>
      <c r="E618" s="2" t="inlineStr">
        <is>
          <t>PCP</t>
        </is>
      </c>
      <c r="F618" s="2" t="inlineStr">
        <is>
          <t>Alfredo Maia; Paula Santos; Paulo Raimundo</t>
        </is>
      </c>
      <c r="G618" s="2" t="inlineStr">
        <is>
          <t>Art. 113.º-A (aditamento)</t>
        </is>
      </c>
      <c r="H618" s="2" t="n"/>
      <c r="I618" s="2" t="n"/>
      <c r="J618" s="2" t="n"/>
      <c r="K618" s="2" t="n"/>
      <c r="L618" s="2" t="inlineStr">
        <is>
          <t>Artigo 113.º-A (Apoio às Cooperativas Agrícolas, às Associações de Agricultores e Organizações de Produtores Agrícolas e Pecuários para capacitação técnica)</t>
        </is>
      </c>
      <c r="M618" s="4" t="n"/>
      <c r="N618" s="4" t="n"/>
      <c r="O618" s="2" t="n"/>
      <c r="P618" s="2" t="n"/>
      <c r="Q618" s="2" t="n"/>
      <c r="R618" s="2" t="n"/>
      <c r="S618" s="2" t="inlineStr">
        <is>
          <t>Rejeitado(a) em Comissão</t>
        </is>
      </c>
      <c r="T618" s="2" t="inlineStr">
        <is>
          <t>Rejeitada</t>
        </is>
      </c>
      <c r="U618" s="2" t="inlineStr">
        <is>
          <t>Favor: CH, L, PCP, BE; Contra: PSD, IL, CDS-PP, PAN; Abstenção: PS</t>
        </is>
      </c>
      <c r="V618" s="3" t="n">
        <v>45985</v>
      </c>
      <c r="W618" s="2" t="inlineStr">
        <is>
          <t>AR: https://www.parlamento.pt/OrcamentoEstado/Paginas/DetalhePropostaAlteracao.aspx?BID=23794 PDF: https://app.parlamento.pt/webutils/docs/doc.pdf?path=6148523063484d364c793942556b356c6443397a6158526c63793959566b6c4a544556484c3039464c7a49774d6a59794d4449314d5441774f533951515338334d32466d4e44566c4d5330334d3259794c5452694e474d744f5451314e4330314e32566b4d5749324d546b34596a63756347526d&amp;Fich=73af45e1-73f2-4b4c-9454-57ed1b6198b7.pdf&amp;Inline=true</t>
        </is>
      </c>
      <c r="X618" s="2" t="inlineStr">
        <is>
          <t>Agricultura e Pescas</t>
        </is>
      </c>
      <c r="Y618" s="2" t="inlineStr">
        <is>
          <t>Articulado</t>
        </is>
      </c>
      <c r="Z618" s="2" t="inlineStr">
        <is>
          <t>Aditamento (Artigo PPL)</t>
        </is>
      </c>
      <c r="AA618" s="2" t="inlineStr">
        <is>
          <t>Rejeitado(a) em Comissão</t>
        </is>
      </c>
      <c r="AB618" s="2" t="inlineStr"/>
      <c r="AC618" s="2" t="inlineStr"/>
      <c r="AD618" s="2" t="inlineStr">
        <is>
          <t>1</t>
        </is>
      </c>
      <c r="AE618" s="2" t="inlineStr">
        <is>
          <t>23794</t>
        </is>
      </c>
      <c r="AF618" s="2" t="inlineStr">
        <is>
          <t>https://www.parlamento.pt/OrcamentoEstado/Paginas/DetalhePropostaAlteracao.aspx?BID=23794</t>
        </is>
      </c>
      <c r="AG618" s="2" t="inlineStr">
        <is>
          <t>https://app.parlamento.pt/webutils/docs/doc.pdf?path=6148523063484d364c793942556b356c6443397a6158526c63793959566b6c4a544556484c3039464c7a49774d6a59794d4449314d5441774f533951515338334d32466d4e44566c4d5330334d3259794c5452694e474d744f5451314e4330314e32566b4d5749324d546b34596a63756347526d&amp;Fich=73af45e1-73f2-4b4c-9454-57ed1b6198b7.pdf&amp;Inline=true</t>
        </is>
      </c>
      <c r="AH618" s="3" t="n">
        <v>46321.77847222222</v>
      </c>
      <c r="AI618" s="3" t="n">
        <v>46321.78055555555</v>
      </c>
      <c r="AJ618" s="2" t="inlineStr"/>
    </row>
    <row r="619">
      <c r="A619" s="2" t="n">
        <v>618</v>
      </c>
      <c r="B619" s="2" t="inlineStr">
        <is>
          <t>575C</t>
        </is>
      </c>
      <c r="C619" s="3" t="n">
        <v>45966.52569444444</v>
      </c>
      <c r="D619" s="2" t="inlineStr">
        <is>
          <t>Original</t>
        </is>
      </c>
      <c r="E619" s="2" t="inlineStr">
        <is>
          <t>PCP</t>
        </is>
      </c>
      <c r="F619" s="2" t="inlineStr">
        <is>
          <t>Alfredo Maia; Paula Santos; Paulo Raimundo</t>
        </is>
      </c>
      <c r="G619" s="2" t="inlineStr">
        <is>
          <t>Art. 113.º-A (aditamento)</t>
        </is>
      </c>
      <c r="H619" s="2" t="n"/>
      <c r="I619" s="2" t="n"/>
      <c r="J619" s="2" t="n"/>
      <c r="K619" s="2" t="n"/>
      <c r="L619" s="2" t="inlineStr">
        <is>
          <t>Artigo 113.º-A (Programa de Defesa e Valorização da Floresta Nacional)</t>
        </is>
      </c>
      <c r="M619" s="4" t="n"/>
      <c r="N619" s="4" t="n"/>
      <c r="O619" s="2" t="n"/>
      <c r="P619" s="2" t="n"/>
      <c r="Q619" s="2" t="n"/>
      <c r="R619" s="2" t="n"/>
      <c r="S619" s="2" t="inlineStr">
        <is>
          <t>Rejeitado(a) em Comissão</t>
        </is>
      </c>
      <c r="T619" s="2" t="inlineStr">
        <is>
          <t>Rejeitada</t>
        </is>
      </c>
      <c r="U619" s="2" t="inlineStr">
        <is>
          <t>Favor: CH, L, PCP, BE, PAN; Contra: PSD, IL, CDS-PP; Abstenção: PS</t>
        </is>
      </c>
      <c r="V619" s="3" t="n">
        <v>45985</v>
      </c>
      <c r="W619" s="2" t="inlineStr">
        <is>
          <t>AR: https://www.parlamento.pt/OrcamentoEstado/Paginas/DetalhePropostaAlteracao.aspx?BID=23795 PDF: https://app.parlamento.pt/webutils/docs/doc.pdf?path=6148523063484d364c793942556b356c6443397a6158526c63793959566b6c4a544556484c3039464c7a49774d6a59794d4449314d5441774f533951515338784d6d56694f5459775a4330334e6a4e6a4c5451304e4751744f544535597930794f474e68596d466a596a55784e474d756347526d&amp;Fich=12eb960d-763c-444d-919c-28cabacb514c.pdf&amp;Inline=true</t>
        </is>
      </c>
      <c r="X619" s="2" t="inlineStr">
        <is>
          <t>Agricultura e Pescas</t>
        </is>
      </c>
      <c r="Y619" s="2" t="inlineStr">
        <is>
          <t>Articulado</t>
        </is>
      </c>
      <c r="Z619" s="2" t="inlineStr">
        <is>
          <t>Aditamento (Artigo PPL)</t>
        </is>
      </c>
      <c r="AA619" s="2" t="inlineStr">
        <is>
          <t>Rejeitado(a) em Comissão</t>
        </is>
      </c>
      <c r="AB619" s="2" t="inlineStr"/>
      <c r="AC619" s="2" t="inlineStr"/>
      <c r="AD619" s="2" t="inlineStr">
        <is>
          <t>1</t>
        </is>
      </c>
      <c r="AE619" s="2" t="inlineStr">
        <is>
          <t>23795</t>
        </is>
      </c>
      <c r="AF619" s="2" t="inlineStr">
        <is>
          <t>https://www.parlamento.pt/OrcamentoEstado/Paginas/DetalhePropostaAlteracao.aspx?BID=23795</t>
        </is>
      </c>
      <c r="AG619" s="2" t="inlineStr">
        <is>
          <t>https://app.parlamento.pt/webutils/docs/doc.pdf?path=6148523063484d364c793942556b356c6443397a6158526c63793959566b6c4a544556484c3039464c7a49774d6a59794d4449314d5441774f533951515338784d6d56694f5459775a4330334e6a4e6a4c5451304e4751744f544535597930794f474e68596d466a596a55784e474d756347526d&amp;Fich=12eb960d-763c-444d-919c-28cabacb514c.pdf&amp;Inline=true</t>
        </is>
      </c>
      <c r="AH619" s="3" t="n">
        <v>46321.77847222222</v>
      </c>
      <c r="AI619" s="3" t="n">
        <v>46321.78055555555</v>
      </c>
      <c r="AJ619" s="2" t="inlineStr"/>
    </row>
    <row r="620">
      <c r="A620" s="2" t="n">
        <v>619</v>
      </c>
      <c r="B620" s="2" t="inlineStr">
        <is>
          <t>576C</t>
        </is>
      </c>
      <c r="C620" s="3" t="n">
        <v>45966.52708333333</v>
      </c>
      <c r="D620" s="2" t="inlineStr">
        <is>
          <t>Original</t>
        </is>
      </c>
      <c r="E620" s="2" t="inlineStr">
        <is>
          <t>PCP</t>
        </is>
      </c>
      <c r="F620" s="2" t="inlineStr">
        <is>
          <t>Alfredo Maia; Paula Santos; Paulo Raimundo</t>
        </is>
      </c>
      <c r="G620" s="2" t="inlineStr">
        <is>
          <t>Art. 113.º-A (aditamento)</t>
        </is>
      </c>
      <c r="H620" s="2" t="n"/>
      <c r="I620" s="2" t="n"/>
      <c r="J620" s="2" t="n"/>
      <c r="K620" s="2" t="n"/>
      <c r="L620" s="2" t="inlineStr">
        <is>
          <t>Artigo 113.º-A (Programa Plurianual para a Soberania Alimentar Nacional)</t>
        </is>
      </c>
      <c r="M620" s="4" t="n"/>
      <c r="N620" s="4" t="n"/>
      <c r="O620" s="2" t="n"/>
      <c r="P620" s="2" t="n"/>
      <c r="Q620" s="2" t="n"/>
      <c r="R620" s="2" t="n"/>
      <c r="S620" s="2" t="inlineStr">
        <is>
          <t>Rejeitado(a) em Comissão</t>
        </is>
      </c>
      <c r="T620" s="2" t="inlineStr">
        <is>
          <t>Rejeitada</t>
        </is>
      </c>
      <c r="U620" s="2" t="inlineStr">
        <is>
          <t>Favor: CH, L, PCP, BE, PAN; Contra: PSD, IL, CDS-PP; Abstenção: PS</t>
        </is>
      </c>
      <c r="V620" s="3" t="n">
        <v>45985</v>
      </c>
      <c r="W620" s="2" t="inlineStr">
        <is>
          <t>AR: https://www.parlamento.pt/OrcamentoEstado/Paginas/DetalhePropostaAlteracao.aspx?BID=23796 PDF: https://app.parlamento.pt/webutils/docs/doc.pdf?path=6148523063484d364c793942556b356c6443397a6158526c63793959566b6c4a544556484c3039464c7a49774d6a59794d4449314d5441774f5339515153387a4d6d4e6d4f5745304e433168596a68694c5451784d6d51744f5759785a53316b5a6a41344e574a694d7a59314d4463756347526d&amp;Fich=32cf9a44-ab8b-412d-9f1e-df085bb36507.pdf&amp;Inline=true</t>
        </is>
      </c>
      <c r="X620" s="2" t="inlineStr">
        <is>
          <t>Agricultura e Pescas</t>
        </is>
      </c>
      <c r="Y620" s="2" t="inlineStr">
        <is>
          <t>Articulado</t>
        </is>
      </c>
      <c r="Z620" s="2" t="inlineStr">
        <is>
          <t>Aditamento (Artigo PPL)</t>
        </is>
      </c>
      <c r="AA620" s="2" t="inlineStr">
        <is>
          <t>Rejeitado(a) em Comissão</t>
        </is>
      </c>
      <c r="AB620" s="2" t="inlineStr"/>
      <c r="AC620" s="2" t="inlineStr"/>
      <c r="AD620" s="2" t="inlineStr">
        <is>
          <t>1</t>
        </is>
      </c>
      <c r="AE620" s="2" t="inlineStr">
        <is>
          <t>23796</t>
        </is>
      </c>
      <c r="AF620" s="2" t="inlineStr">
        <is>
          <t>https://www.parlamento.pt/OrcamentoEstado/Paginas/DetalhePropostaAlteracao.aspx?BID=23796</t>
        </is>
      </c>
      <c r="AG620" s="2" t="inlineStr">
        <is>
          <t>https://app.parlamento.pt/webutils/docs/doc.pdf?path=6148523063484d364c793942556b356c6443397a6158526c63793959566b6c4a544556484c3039464c7a49774d6a59794d4449314d5441774f5339515153387a4d6d4e6d4f5745304e433168596a68694c5451784d6d51744f5759785a53316b5a6a41344e574a694d7a59314d4463756347526d&amp;Fich=32cf9a44-ab8b-412d-9f1e-df085bb36507.pdf&amp;Inline=true</t>
        </is>
      </c>
      <c r="AH620" s="3" t="n">
        <v>46321.77847222222</v>
      </c>
      <c r="AI620" s="3" t="n">
        <v>46321.78055555555</v>
      </c>
      <c r="AJ620" s="2" t="inlineStr"/>
    </row>
    <row r="621">
      <c r="A621" s="2" t="n">
        <v>620</v>
      </c>
      <c r="B621" s="2" t="inlineStr">
        <is>
          <t>577C</t>
        </is>
      </c>
      <c r="C621" s="3" t="n">
        <v>45966.52847222222</v>
      </c>
      <c r="D621" s="2" t="inlineStr">
        <is>
          <t>Original</t>
        </is>
      </c>
      <c r="E621" s="2" t="inlineStr">
        <is>
          <t>PCP</t>
        </is>
      </c>
      <c r="F621" s="2" t="inlineStr">
        <is>
          <t>Alfredo Maia; Paula Santos; Paulo Raimundo</t>
        </is>
      </c>
      <c r="G621" s="2" t="inlineStr">
        <is>
          <t>Art. 18.º-A (aditamento)</t>
        </is>
      </c>
      <c r="H621" s="2" t="n"/>
      <c r="I621" s="2" t="n"/>
      <c r="J621" s="2" t="n"/>
      <c r="K621" s="2" t="n"/>
      <c r="L621" s="2" t="inlineStr">
        <is>
          <t>Artigo 18.º-A (Reconstituição das Direções Regionais de Agricultura e Pescas, com reforço de pessoal e meios)</t>
        </is>
      </c>
      <c r="M621" s="4" t="n"/>
      <c r="N621" s="4" t="n"/>
      <c r="O621" s="2" t="n"/>
      <c r="P621" s="2" t="n"/>
      <c r="Q621" s="2" t="n"/>
      <c r="R621" s="2" t="n"/>
      <c r="S621" s="2" t="inlineStr">
        <is>
          <t>Rejeitado(a) em Comissão</t>
        </is>
      </c>
      <c r="T621" s="2" t="inlineStr">
        <is>
          <t>Rejeitada</t>
        </is>
      </c>
      <c r="U621" s="2" t="inlineStr">
        <is>
          <t>Favor: CH, L, PCP, BE; Contra: PSD, PS, CDS-PP; Abstenção: IL, PAN</t>
        </is>
      </c>
      <c r="V621" s="3" t="n">
        <v>45981</v>
      </c>
      <c r="W621" s="2" t="inlineStr">
        <is>
          <t>AR: https://www.parlamento.pt/OrcamentoEstado/Paginas/DetalhePropostaAlteracao.aspx?BID=23797 PDF: https://app.parlamento.pt/webutils/docs/doc.pdf?path=6148523063484d364c793942556b356c6443397a6158526c63793959566b6c4a544556484c3039464c7a49774d6a59794d4449314d5441774f5339515153396b5a6a6b794d5745774d69316b4e4449354c545135596a59744f544d774d69307a5a444a6c4d544d794e3245335a5445756347526d&amp;Fich=df921a02-d429-49b6-9302-3d2e1327a7e1.pdf&amp;Inline=true</t>
        </is>
      </c>
      <c r="X621" s="2" t="inlineStr">
        <is>
          <t>Agricultura e Pescas</t>
        </is>
      </c>
      <c r="Y621" s="2" t="inlineStr">
        <is>
          <t>Articulado</t>
        </is>
      </c>
      <c r="Z621" s="2" t="inlineStr">
        <is>
          <t>Aditamento (Artigo PPL)</t>
        </is>
      </c>
      <c r="AA621" s="2" t="inlineStr">
        <is>
          <t>Rejeitado(a) em Comissão</t>
        </is>
      </c>
      <c r="AB621" s="2" t="inlineStr"/>
      <c r="AC621" s="2" t="inlineStr"/>
      <c r="AD621" s="2" t="inlineStr">
        <is>
          <t>1</t>
        </is>
      </c>
      <c r="AE621" s="2" t="inlineStr">
        <is>
          <t>23797</t>
        </is>
      </c>
      <c r="AF621" s="2" t="inlineStr">
        <is>
          <t>https://www.parlamento.pt/OrcamentoEstado/Paginas/DetalhePropostaAlteracao.aspx?BID=23797</t>
        </is>
      </c>
      <c r="AG621" s="2" t="inlineStr">
        <is>
          <t>https://app.parlamento.pt/webutils/docs/doc.pdf?path=6148523063484d364c793942556b356c6443397a6158526c63793959566b6c4a544556484c3039464c7a49774d6a59794d4449314d5441774f5339515153396b5a6a6b794d5745774d69316b4e4449354c545135596a59744f544d774d69307a5a444a6c4d544d794e3245335a5445756347526d&amp;Fich=df921a02-d429-49b6-9302-3d2e1327a7e1.pdf&amp;Inline=true</t>
        </is>
      </c>
      <c r="AH621" s="3" t="n">
        <v>46321.77847222222</v>
      </c>
      <c r="AI621" s="3" t="n">
        <v>46321.78055555555</v>
      </c>
      <c r="AJ621" s="2" t="inlineStr"/>
    </row>
    <row r="622">
      <c r="A622" s="2" t="n">
        <v>621</v>
      </c>
      <c r="B622" s="2" t="inlineStr">
        <is>
          <t>578C</t>
        </is>
      </c>
      <c r="C622" s="3" t="n">
        <v>45966.52916666667</v>
      </c>
      <c r="D622" s="2" t="inlineStr">
        <is>
          <t>Original</t>
        </is>
      </c>
      <c r="E622" s="2" t="inlineStr">
        <is>
          <t>PCP</t>
        </is>
      </c>
      <c r="F622" s="2" t="inlineStr">
        <is>
          <t>Alfredo Maia; Paula Santos; Paulo Raimundo</t>
        </is>
      </c>
      <c r="G622" s="2" t="inlineStr">
        <is>
          <t>Art. 18.º-A (aditamento)</t>
        </is>
      </c>
      <c r="H622" s="2" t="n"/>
      <c r="I622" s="2" t="n"/>
      <c r="J622" s="2" t="n"/>
      <c r="K622" s="2" t="n"/>
      <c r="L622" s="2" t="inlineStr">
        <is>
          <t>Artigo 18.º-A (Reforço de meios do ICNF)</t>
        </is>
      </c>
      <c r="M622" s="4" t="n"/>
      <c r="N622" s="4" t="n"/>
      <c r="O622" s="2" t="n"/>
      <c r="P622" s="2" t="n"/>
      <c r="Q622" s="2" t="n"/>
      <c r="R622" s="2" t="n"/>
      <c r="S622" s="2" t="inlineStr">
        <is>
          <t>Rejeitado(a) em Comissão</t>
        </is>
      </c>
      <c r="T622" s="2" t="inlineStr">
        <is>
          <t>Rejeitada</t>
        </is>
      </c>
      <c r="U622" s="2" t="inlineStr">
        <is>
          <t>Favor: CH, L, PCP, BE, PAN; Contra: PSD, IL, CDS-PP; Abstenção: PS</t>
        </is>
      </c>
      <c r="V622" s="3" t="n">
        <v>45981</v>
      </c>
      <c r="W622" s="2" t="inlineStr">
        <is>
          <t>AR: https://www.parlamento.pt/OrcamentoEstado/Paginas/DetalhePropostaAlteracao.aspx?BID=23798 PDF: https://app.parlamento.pt/webutils/docs/doc.pdf?path=6148523063484d364c793942556b356c6443397a6158526c63793959566b6c4a544556484c3039464c7a49774d6a59794d4449314d5441774f533951515338304d5751794f44466d4e6930784e6a55334c5452694e474574596d55324d793034597a67304d54526d4e6d466b4d5441756347526d&amp;Fich=41d281f6-1657-4b4a-be63-8c8414f6ad10.pdf&amp;Inline=true</t>
        </is>
      </c>
      <c r="X622" s="2" t="inlineStr">
        <is>
          <t>Agricultura e Pescas</t>
        </is>
      </c>
      <c r="Y622" s="2" t="inlineStr">
        <is>
          <t>Articulado</t>
        </is>
      </c>
      <c r="Z622" s="2" t="inlineStr">
        <is>
          <t>Aditamento (Artigo PPL)</t>
        </is>
      </c>
      <c r="AA622" s="2" t="inlineStr">
        <is>
          <t>Rejeitado(a) em Comissão</t>
        </is>
      </c>
      <c r="AB622" s="2" t="inlineStr"/>
      <c r="AC622" s="2" t="inlineStr"/>
      <c r="AD622" s="2" t="inlineStr">
        <is>
          <t>1</t>
        </is>
      </c>
      <c r="AE622" s="2" t="inlineStr">
        <is>
          <t>23798</t>
        </is>
      </c>
      <c r="AF622" s="2" t="inlineStr">
        <is>
          <t>https://www.parlamento.pt/OrcamentoEstado/Paginas/DetalhePropostaAlteracao.aspx?BID=23798</t>
        </is>
      </c>
      <c r="AG622" s="2" t="inlineStr">
        <is>
          <t>https://app.parlamento.pt/webutils/docs/doc.pdf?path=6148523063484d364c793942556b356c6443397a6158526c63793959566b6c4a544556484c3039464c7a49774d6a59794d4449314d5441774f533951515338304d5751794f44466d4e6930784e6a55334c5452694e474574596d55324d793034597a67304d54526d4e6d466b4d5441756347526d&amp;Fich=41d281f6-1657-4b4a-be63-8c8414f6ad10.pdf&amp;Inline=true</t>
        </is>
      </c>
      <c r="AH622" s="3" t="n">
        <v>46321.77847222222</v>
      </c>
      <c r="AI622" s="3" t="n">
        <v>46321.78055555555</v>
      </c>
      <c r="AJ622" s="2" t="inlineStr"/>
    </row>
    <row r="623">
      <c r="A623" s="2" t="n">
        <v>622</v>
      </c>
      <c r="B623" s="2" t="inlineStr">
        <is>
          <t>579C</t>
        </is>
      </c>
      <c r="C623" s="3" t="n">
        <v>45966.53125</v>
      </c>
      <c r="D623" s="2" t="inlineStr">
        <is>
          <t>Original</t>
        </is>
      </c>
      <c r="E623" s="2" t="inlineStr">
        <is>
          <t>PCP</t>
        </is>
      </c>
      <c r="F623" s="2" t="inlineStr">
        <is>
          <t>Alfredo Maia; Paula Santos; Paulo Raimundo</t>
        </is>
      </c>
      <c r="G623" s="2" t="inlineStr">
        <is>
          <t>Art. 113.º-A (aditamento)</t>
        </is>
      </c>
      <c r="H623" s="2" t="n"/>
      <c r="I623" s="2" t="n"/>
      <c r="J623" s="2" t="n"/>
      <c r="K623" s="2" t="n"/>
      <c r="L623" s="2" t="inlineStr">
        <is>
          <t>Artigo 113.º-A (Regime de controlo de preços sobre os produtos do cabaz alimentar essencial)</t>
        </is>
      </c>
      <c r="M623" s="4" t="n"/>
      <c r="N623" s="4" t="n"/>
      <c r="O623" s="2" t="n"/>
      <c r="P623" s="2" t="n"/>
      <c r="Q623" s="2" t="n"/>
      <c r="R623" s="2" t="n"/>
      <c r="S623" s="2" t="inlineStr">
        <is>
          <t>Rejeitado(a) em Comissão</t>
        </is>
      </c>
      <c r="T623" s="2" t="inlineStr">
        <is>
          <t>Rejeitada</t>
        </is>
      </c>
      <c r="U623" s="2" t="inlineStr">
        <is>
          <t>Favor: L, PCP, BE; Contra: PSD, CH, PS, IL, CDS-PP</t>
        </is>
      </c>
      <c r="V623" s="3" t="n">
        <v>45985</v>
      </c>
      <c r="W623" s="2" t="inlineStr">
        <is>
          <t>AR: https://www.parlamento.pt/OrcamentoEstado/Paginas/DetalhePropostaAlteracao.aspx?BID=23800 PDF: https://app.parlamento.pt/webutils/docs/doc.pdf?path=6148523063484d364c793942556b356c6443397a6158526c63793959566b6c4a544556484c3039464c7a49774d6a59794d4449314d5441774f5339515153387a597a6c6c5932593459693077596a526b4c5451795a6a637459575a685969316a4f4449774f5751334d57466c4e6d4d756347526d&amp;Fich=3c9ecf8b-0b4d-42f7-afab-c8209d71ae6c.pdf&amp;Inline=true</t>
        </is>
      </c>
      <c r="X623" s="2" t="inlineStr">
        <is>
          <t>Agricultura e Pescas</t>
        </is>
      </c>
      <c r="Y623" s="2" t="inlineStr">
        <is>
          <t>Articulado</t>
        </is>
      </c>
      <c r="Z623" s="2" t="inlineStr">
        <is>
          <t>Aditamento (Artigo PPL)</t>
        </is>
      </c>
      <c r="AA623" s="2" t="inlineStr">
        <is>
          <t>Rejeitado(a) em Comissão</t>
        </is>
      </c>
      <c r="AB623" s="2" t="inlineStr"/>
      <c r="AC623" s="2" t="inlineStr"/>
      <c r="AD623" s="2" t="inlineStr">
        <is>
          <t>1</t>
        </is>
      </c>
      <c r="AE623" s="2" t="inlineStr">
        <is>
          <t>23800</t>
        </is>
      </c>
      <c r="AF623" s="2" t="inlineStr">
        <is>
          <t>https://www.parlamento.pt/OrcamentoEstado/Paginas/DetalhePropostaAlteracao.aspx?BID=23800</t>
        </is>
      </c>
      <c r="AG623" s="2" t="inlineStr">
        <is>
          <t>https://app.parlamento.pt/webutils/docs/doc.pdf?path=6148523063484d364c793942556b356c6443397a6158526c63793959566b6c4a544556484c3039464c7a49774d6a59794d4449314d5441774f5339515153387a597a6c6c5932593459693077596a526b4c5451795a6a637459575a685969316a4f4449774f5751334d57466c4e6d4d756347526d&amp;Fich=3c9ecf8b-0b4d-42f7-afab-c8209d71ae6c.pdf&amp;Inline=true</t>
        </is>
      </c>
      <c r="AH623" s="3" t="n">
        <v>46321.77847222222</v>
      </c>
      <c r="AI623" s="3" t="n">
        <v>46321.78055555555</v>
      </c>
      <c r="AJ623" s="2" t="inlineStr"/>
    </row>
    <row r="624">
      <c r="A624" s="2" t="n">
        <v>623</v>
      </c>
      <c r="B624" s="2" t="inlineStr">
        <is>
          <t>580C</t>
        </is>
      </c>
      <c r="C624" s="3" t="n">
        <v>45966.53194444445</v>
      </c>
      <c r="D624" s="2" t="inlineStr">
        <is>
          <t>Original</t>
        </is>
      </c>
      <c r="E624" s="2" t="inlineStr">
        <is>
          <t>PCP</t>
        </is>
      </c>
      <c r="F624" s="2" t="inlineStr">
        <is>
          <t>Alfredo Maia; Paula Santos; Paulo Raimundo</t>
        </is>
      </c>
      <c r="G624" s="2" t="inlineStr">
        <is>
          <t>Art. 7.º (aditamento)</t>
        </is>
      </c>
      <c r="H624" s="2" t="n"/>
      <c r="I624" s="2" t="n"/>
      <c r="J624" s="2" t="n"/>
      <c r="K624" s="2" t="n"/>
      <c r="L624" s="2" t="inlineStr">
        <is>
          <t>Nova Verba 106, Mapa de alterações e transferências orçamentais, Artigo 7.º</t>
        </is>
      </c>
      <c r="M624" s="4" t="n"/>
      <c r="N624" s="4" t="n"/>
      <c r="O624" s="2" t="n"/>
      <c r="P624" s="2" t="n"/>
      <c r="Q624" s="2" t="n"/>
      <c r="R624" s="2" t="n"/>
      <c r="S624" s="2" t="inlineStr">
        <is>
          <t>Rejeitado(a) em Comissão</t>
        </is>
      </c>
      <c r="T624" s="2" t="inlineStr">
        <is>
          <t>Rejeitada</t>
        </is>
      </c>
      <c r="U624" s="2" t="inlineStr">
        <is>
          <t>Favor: CH, L, PCP, BE, PAN; Contra: PSD, CDS-PP; Abstenção: PS, IL</t>
        </is>
      </c>
      <c r="V624" s="3" t="n">
        <v>45987</v>
      </c>
      <c r="W624" s="2" t="inlineStr">
        <is>
          <t>AR: https://www.parlamento.pt/OrcamentoEstado/Paginas/DetalhePropostaAlteracao.aspx?BID=23801 PDF: https://app.parlamento.pt/webutils/docs/doc.pdf?path=6148523063484d364c793942556b356c6443397a6158526c63793959566b6c4a544556484c3039464c7a49774d6a59794d4449314d5441774f5339515153396b595441304d47597a595330304f4749774c54526d4f574d744f44646c5a433031595455334e444a6c596d566a4f4751756347526d&amp;Fich=da040f3a-48b0-4f9c-87ed-5a5742ebec8d.pdf&amp;Inline=true</t>
        </is>
      </c>
      <c r="X624" s="2" t="inlineStr">
        <is>
          <t>Agricultura e Pescas</t>
        </is>
      </c>
      <c r="Y624" s="2" t="inlineStr">
        <is>
          <t>Articulado</t>
        </is>
      </c>
      <c r="Z624" s="2" t="inlineStr">
        <is>
          <t>Aditamento (Números e Alíneas)</t>
        </is>
      </c>
      <c r="AA624" s="2" t="inlineStr">
        <is>
          <t>Rejeitado(a) em Comissão</t>
        </is>
      </c>
      <c r="AB624" s="2" t="inlineStr"/>
      <c r="AC624" s="2" t="inlineStr"/>
      <c r="AD624" s="2" t="inlineStr">
        <is>
          <t>1</t>
        </is>
      </c>
      <c r="AE624" s="2" t="inlineStr">
        <is>
          <t>23801</t>
        </is>
      </c>
      <c r="AF624" s="2" t="inlineStr">
        <is>
          <t>https://www.parlamento.pt/OrcamentoEstado/Paginas/DetalhePropostaAlteracao.aspx?BID=23801</t>
        </is>
      </c>
      <c r="AG624" s="2" t="inlineStr">
        <is>
          <t>https://app.parlamento.pt/webutils/docs/doc.pdf?path=6148523063484d364c793942556b356c6443397a6158526c63793959566b6c4a544556484c3039464c7a49774d6a59794d4449314d5441774f5339515153396b595441304d47597a595330304f4749774c54526d4f574d744f44646c5a433031595455334e444a6c596d566a4f4751756347526d&amp;Fich=da040f3a-48b0-4f9c-87ed-5a5742ebec8d.pdf&amp;Inline=true</t>
        </is>
      </c>
      <c r="AH624" s="3" t="n">
        <v>46321.77847222222</v>
      </c>
      <c r="AI624" s="3" t="n">
        <v>46321.78055555555</v>
      </c>
      <c r="AJ624" s="2" t="inlineStr"/>
    </row>
    <row r="625">
      <c r="A625" s="2" t="n">
        <v>624</v>
      </c>
      <c r="B625" s="2" t="inlineStr">
        <is>
          <t>581C</t>
        </is>
      </c>
      <c r="C625" s="3" t="n">
        <v>45966.53402777778</v>
      </c>
      <c r="D625" s="2" t="inlineStr">
        <is>
          <t>Original</t>
        </is>
      </c>
      <c r="E625" s="2" t="inlineStr">
        <is>
          <t>PCP</t>
        </is>
      </c>
      <c r="F625" s="2" t="inlineStr">
        <is>
          <t>Alfredo Maia; Paula Santos; Paulo Raimundo</t>
        </is>
      </c>
      <c r="G625" s="2" t="inlineStr">
        <is>
          <t>Art. 28.º-A (aditamento)</t>
        </is>
      </c>
      <c r="H625" s="2" t="n"/>
      <c r="I625" s="2" t="n"/>
      <c r="J625" s="2" t="n"/>
      <c r="K625" s="2" t="n"/>
      <c r="L625" s="2" t="inlineStr">
        <is>
          <t>Artigo 28.º-A (Disposições sobre trabalhadores do setor público administrativo)</t>
        </is>
      </c>
      <c r="M625" s="4" t="n"/>
      <c r="N625" s="4" t="n"/>
      <c r="O625" s="2" t="n"/>
      <c r="P625" s="2" t="n"/>
      <c r="Q625" s="2" t="n"/>
      <c r="R625" s="2" t="n"/>
      <c r="S625" s="2" t="inlineStr">
        <is>
          <t>Rejeitado(a) em Comissão</t>
        </is>
      </c>
      <c r="T625" s="2" t="inlineStr">
        <is>
          <t>Rejeitada</t>
        </is>
      </c>
      <c r="U625" s="2" t="inlineStr">
        <is>
          <t>Favor: CH, L, PCP, BE, PAN; Contra: PSD, CDS-PP; Abstenção: PS, IL</t>
        </is>
      </c>
      <c r="V625" s="3" t="n">
        <v>45981</v>
      </c>
      <c r="W625" s="2" t="inlineStr">
        <is>
          <t>AR: https://www.parlamento.pt/OrcamentoEstado/Paginas/DetalhePropostaAlteracao.aspx?BID=23802 PDF: https://app.parlamento.pt/webutils/docs/doc.pdf?path=6148523063484d364c793942556b356c6443397a6158526c63793959566b6c4a544556484c3039464c7a49774d6a59794d4449314d5441774f5339515153387a4e7a497a4d54566b596930784e3245354c54526b4f5755744f5746684e79316c4e6d45304d4445315a44457a4d7a55756347526d&amp;Fich=372315db-17a9-4d9e-9aa7-e6a4015d1335.pdf&amp;Inline=true</t>
        </is>
      </c>
      <c r="X625" s="2" t="inlineStr">
        <is>
          <t>Ambiente e Energia</t>
        </is>
      </c>
      <c r="Y625" s="2" t="inlineStr">
        <is>
          <t>Articulado</t>
        </is>
      </c>
      <c r="Z625" s="2" t="inlineStr">
        <is>
          <t>Aditamento (Artigo PPL)</t>
        </is>
      </c>
      <c r="AA625" s="2" t="inlineStr">
        <is>
          <t>Rejeitado(a) em Comissão</t>
        </is>
      </c>
      <c r="AB625" s="2" t="inlineStr"/>
      <c r="AC625" s="2" t="inlineStr"/>
      <c r="AD625" s="2" t="inlineStr">
        <is>
          <t>1</t>
        </is>
      </c>
      <c r="AE625" s="2" t="inlineStr">
        <is>
          <t>23802</t>
        </is>
      </c>
      <c r="AF625" s="2" t="inlineStr">
        <is>
          <t>https://www.parlamento.pt/OrcamentoEstado/Paginas/DetalhePropostaAlteracao.aspx?BID=23802</t>
        </is>
      </c>
      <c r="AG625" s="2" t="inlineStr">
        <is>
          <t>https://app.parlamento.pt/webutils/docs/doc.pdf?path=6148523063484d364c793942556b356c6443397a6158526c63793959566b6c4a544556484c3039464c7a49774d6a59794d4449314d5441774f5339515153387a4e7a497a4d54566b596930784e3245354c54526b4f5755744f5746684e79316c4e6d45304d4445315a44457a4d7a55756347526d&amp;Fich=372315db-17a9-4d9e-9aa7-e6a4015d1335.pdf&amp;Inline=true</t>
        </is>
      </c>
      <c r="AH625" s="3" t="n">
        <v>46321.77847222222</v>
      </c>
      <c r="AI625" s="3" t="n">
        <v>46321.78055555555</v>
      </c>
      <c r="AJ625" s="2" t="inlineStr"/>
    </row>
    <row r="626">
      <c r="A626" s="2" t="n">
        <v>625</v>
      </c>
      <c r="B626" s="2" t="inlineStr">
        <is>
          <t>582C</t>
        </is>
      </c>
      <c r="C626" s="3" t="n">
        <v>45966.53472222222</v>
      </c>
      <c r="D626" s="2" t="inlineStr">
        <is>
          <t>Original</t>
        </is>
      </c>
      <c r="E626" s="2" t="inlineStr">
        <is>
          <t>PCP</t>
        </is>
      </c>
      <c r="F626" s="2" t="inlineStr">
        <is>
          <t>Alfredo Maia; Paula Santos; Paulo Raimundo</t>
        </is>
      </c>
      <c r="G626" s="2" t="inlineStr">
        <is>
          <t>Art. 126.º-A (aditamento)</t>
        </is>
      </c>
      <c r="H626" s="2" t="n"/>
      <c r="I626" s="2" t="n"/>
      <c r="J626" s="2" t="n"/>
      <c r="K626" s="2" t="n"/>
      <c r="L626" s="2" t="inlineStr">
        <is>
          <t>Artigo 126.º-A (Promoção da durabilidade e garantia dos equipamentos para o combate à obsolescência programada)</t>
        </is>
      </c>
      <c r="M626" s="4" t="n"/>
      <c r="N626" s="4" t="n"/>
      <c r="O626" s="2" t="n"/>
      <c r="P626" s="2" t="n"/>
      <c r="Q626" s="2" t="n"/>
      <c r="R626" s="2" t="n"/>
      <c r="S626" s="2" t="inlineStr">
        <is>
          <t>Rejeitado(a) em Comissão</t>
        </is>
      </c>
      <c r="T626" s="2" t="inlineStr">
        <is>
          <t>Rejeitada</t>
        </is>
      </c>
      <c r="U626" s="2" t="inlineStr">
        <is>
          <t>Favor: L, PCP, BE, PAN; Contra: PSD, IL, CDS-PP; Abstenção: CH, PS</t>
        </is>
      </c>
      <c r="V626" s="3" t="n">
        <v>45985</v>
      </c>
      <c r="W626" s="2" t="inlineStr">
        <is>
          <t>AR: https://www.parlamento.pt/OrcamentoEstado/Paginas/DetalhePropostaAlteracao.aspx?BID=23803 PDF: https://app.parlamento.pt/webutils/docs/doc.pdf?path=6148523063484d364c793942556b356c6443397a6158526c63793959566b6c4a544556484c3039464c7a49774d6a59794d4449314d5441774f533951515339685954497a4e474a694f4330344d474e6c4c5451344f4467745957497a4d4330774f446b7a4f4449334e3249774e4463756347526d&amp;Fich=aa234bb8-80ce-4888-ab30-08938277b047.pdf&amp;Inline=true</t>
        </is>
      </c>
      <c r="X626" s="2" t="inlineStr">
        <is>
          <t>Ambiente e Energia</t>
        </is>
      </c>
      <c r="Y626" s="2" t="inlineStr">
        <is>
          <t>Articulado</t>
        </is>
      </c>
      <c r="Z626" s="2" t="inlineStr">
        <is>
          <t>Aditamento (Artigo PPL)</t>
        </is>
      </c>
      <c r="AA626" s="2" t="inlineStr">
        <is>
          <t>Rejeitado(a) em Comissão</t>
        </is>
      </c>
      <c r="AB626" s="2" t="inlineStr"/>
      <c r="AC626" s="2" t="inlineStr"/>
      <c r="AD626" s="2" t="inlineStr">
        <is>
          <t>1</t>
        </is>
      </c>
      <c r="AE626" s="2" t="inlineStr">
        <is>
          <t>23803</t>
        </is>
      </c>
      <c r="AF626" s="2" t="inlineStr">
        <is>
          <t>https://www.parlamento.pt/OrcamentoEstado/Paginas/DetalhePropostaAlteracao.aspx?BID=23803</t>
        </is>
      </c>
      <c r="AG626" s="2" t="inlineStr">
        <is>
          <t>https://app.parlamento.pt/webutils/docs/doc.pdf?path=6148523063484d364c793942556b356c6443397a6158526c63793959566b6c4a544556484c3039464c7a49774d6a59794d4449314d5441774f533951515339685954497a4e474a694f4330344d474e6c4c5451344f4467745957497a4d4330774f446b7a4f4449334e3249774e4463756347526d&amp;Fich=aa234bb8-80ce-4888-ab30-08938277b047.pdf&amp;Inline=true</t>
        </is>
      </c>
      <c r="AH626" s="3" t="n">
        <v>46321.77847222222</v>
      </c>
      <c r="AI626" s="3" t="n">
        <v>46321.78055555555</v>
      </c>
      <c r="AJ626" s="2" t="inlineStr"/>
    </row>
    <row r="627">
      <c r="A627" s="2" t="n">
        <v>626</v>
      </c>
      <c r="B627" s="2" t="inlineStr">
        <is>
          <t>583C</t>
        </is>
      </c>
      <c r="C627" s="3" t="n">
        <v>45966.53541666667</v>
      </c>
      <c r="D627" s="2" t="inlineStr">
        <is>
          <t>Original</t>
        </is>
      </c>
      <c r="E627" s="2" t="inlineStr">
        <is>
          <t>PCP</t>
        </is>
      </c>
      <c r="F627" s="2" t="inlineStr">
        <is>
          <t>Alfredo Maia; Paula Santos; Paulo Raimundo</t>
        </is>
      </c>
      <c r="G627" s="2" t="inlineStr">
        <is>
          <t>Art. 126.º-A (aditamento)</t>
        </is>
      </c>
      <c r="H627" s="2" t="n"/>
      <c r="I627" s="2" t="n"/>
      <c r="J627" s="2" t="n"/>
      <c r="K627" s="2" t="n"/>
      <c r="L627" s="2" t="inlineStr">
        <is>
          <t>Artigo 126.º-A (Controlo público dos sistemas de gestão de resíduos urbanos)</t>
        </is>
      </c>
      <c r="M627" s="4" t="n"/>
      <c r="N627" s="4" t="n"/>
      <c r="O627" s="2" t="n"/>
      <c r="P627" s="2" t="n"/>
      <c r="Q627" s="2" t="n"/>
      <c r="R627" s="2" t="n"/>
      <c r="S627" s="2" t="inlineStr">
        <is>
          <t>Rejeitado(a) em Comissão</t>
        </is>
      </c>
      <c r="T627" s="2" t="inlineStr">
        <is>
          <t>Rejeitada</t>
        </is>
      </c>
      <c r="U627" s="2" t="inlineStr">
        <is>
          <t>Favor: L, PCP, BE, PAN; Contra: PSD, CH, PS, IL, CDS-PP</t>
        </is>
      </c>
      <c r="V627" s="3" t="n">
        <v>45985</v>
      </c>
      <c r="W627" s="2" t="inlineStr">
        <is>
          <t>AR: https://www.parlamento.pt/OrcamentoEstado/Paginas/DetalhePropostaAlteracao.aspx?BID=23804 PDF: https://app.parlamento.pt/webutils/docs/doc.pdf?path=6148523063484d364c793942556b356c6443397a6158526c63793959566b6c4a544556484c3039464c7a49774d6a59794d4449314d5441774f5339515153396b4d44646b4e7a41335a69316a4e6d4e6b4c5451324e4451744f57466b4e69316b4e6a6c6c4d47526959574d774f4445756347526d&amp;Fich=d07d707f-c6cd-4644-9ad6-d69e0dbac081.pdf&amp;Inline=true</t>
        </is>
      </c>
      <c r="X627" s="2" t="inlineStr">
        <is>
          <t>Ambiente e Energia</t>
        </is>
      </c>
      <c r="Y627" s="2" t="inlineStr">
        <is>
          <t>Articulado</t>
        </is>
      </c>
      <c r="Z627" s="2" t="inlineStr">
        <is>
          <t>Aditamento (Artigo PPL)</t>
        </is>
      </c>
      <c r="AA627" s="2" t="inlineStr">
        <is>
          <t>Rejeitado(a) em Comissão</t>
        </is>
      </c>
      <c r="AB627" s="2" t="inlineStr"/>
      <c r="AC627" s="2" t="inlineStr"/>
      <c r="AD627" s="2" t="inlineStr">
        <is>
          <t>1</t>
        </is>
      </c>
      <c r="AE627" s="2" t="inlineStr">
        <is>
          <t>23804</t>
        </is>
      </c>
      <c r="AF627" s="2" t="inlineStr">
        <is>
          <t>https://www.parlamento.pt/OrcamentoEstado/Paginas/DetalhePropostaAlteracao.aspx?BID=23804</t>
        </is>
      </c>
      <c r="AG627" s="2" t="inlineStr">
        <is>
          <t>https://app.parlamento.pt/webutils/docs/doc.pdf?path=6148523063484d364c793942556b356c6443397a6158526c63793959566b6c4a544556484c3039464c7a49774d6a59794d4449314d5441774f5339515153396b4d44646b4e7a41335a69316a4e6d4e6b4c5451324e4451744f57466b4e69316b4e6a6c6c4d47526959574d774f4445756347526d&amp;Fich=d07d707f-c6cd-4644-9ad6-d69e0dbac081.pdf&amp;Inline=true</t>
        </is>
      </c>
      <c r="AH627" s="3" t="n">
        <v>46321.77847222222</v>
      </c>
      <c r="AI627" s="3" t="n">
        <v>46321.78055555555</v>
      </c>
      <c r="AJ627" s="2" t="inlineStr"/>
    </row>
    <row r="628">
      <c r="A628" s="2" t="n">
        <v>627</v>
      </c>
      <c r="B628" s="2" t="inlineStr">
        <is>
          <t>584C</t>
        </is>
      </c>
      <c r="C628" s="3" t="n">
        <v>45966.53680555556</v>
      </c>
      <c r="D628" s="2" t="inlineStr">
        <is>
          <t>Original</t>
        </is>
      </c>
      <c r="E628" s="2" t="inlineStr">
        <is>
          <t>PCP</t>
        </is>
      </c>
      <c r="F628" s="2" t="inlineStr">
        <is>
          <t>Alfredo Maia; Paula Santos; Paulo Raimundo</t>
        </is>
      </c>
      <c r="G628" s="2" t="inlineStr">
        <is>
          <t>Art. 126.º-A (aditamento)</t>
        </is>
      </c>
      <c r="H628" s="2" t="n"/>
      <c r="I628" s="2" t="n"/>
      <c r="J628" s="2" t="n"/>
      <c r="K628" s="2" t="n"/>
      <c r="L628" s="2" t="inlineStr">
        <is>
          <t>Artigo 126.º-A (Sistema de monitorização de recursos hídricos e defesa das massas de água)</t>
        </is>
      </c>
      <c r="M628" s="4" t="n"/>
      <c r="N628" s="4" t="n"/>
      <c r="O628" s="2" t="n"/>
      <c r="P628" s="2" t="n"/>
      <c r="Q628" s="2" t="n"/>
      <c r="R628" s="2" t="n"/>
      <c r="S628" s="2" t="inlineStr">
        <is>
          <t>Rejeitado(a) em Comissão</t>
        </is>
      </c>
      <c r="T628" s="2" t="inlineStr">
        <is>
          <t>Rejeitada</t>
        </is>
      </c>
      <c r="U628" s="2" t="inlineStr">
        <is>
          <t>Favor: CH, L, PCP, BE, PAN; Contra: PSD, IL, CDS-PP; Abstenção: PS</t>
        </is>
      </c>
      <c r="V628" s="3" t="n">
        <v>45985</v>
      </c>
      <c r="W628" s="2" t="inlineStr">
        <is>
          <t>AR: https://www.parlamento.pt/OrcamentoEstado/Paginas/DetalhePropostaAlteracao.aspx?BID=23805 PDF: https://app.parlamento.pt/webutils/docs/doc.pdf?path=6148523063484d364c793942556b356c6443397a6158526c63793959566b6c4a544556484c3039464c7a49774d6a59794d4449314d5441774f5339515153396a4e544a6c597a426b597930354e325a6b4c5451784d446b744f5751775a5330325a5459344d5459354d5759314e7a67756347526d&amp;Fich=c52ec0dc-97fd-4109-9d0e-6e681691f578.pdf&amp;Inline=true</t>
        </is>
      </c>
      <c r="X628" s="2" t="inlineStr">
        <is>
          <t>Ambiente e Energia</t>
        </is>
      </c>
      <c r="Y628" s="2" t="inlineStr">
        <is>
          <t>Articulado</t>
        </is>
      </c>
      <c r="Z628" s="2" t="inlineStr">
        <is>
          <t>Aditamento (Artigo PPL)</t>
        </is>
      </c>
      <c r="AA628" s="2" t="inlineStr">
        <is>
          <t>Rejeitado(a) em Comissão</t>
        </is>
      </c>
      <c r="AB628" s="2" t="inlineStr"/>
      <c r="AC628" s="2" t="inlineStr"/>
      <c r="AD628" s="2" t="inlineStr">
        <is>
          <t>1</t>
        </is>
      </c>
      <c r="AE628" s="2" t="inlineStr">
        <is>
          <t>23805</t>
        </is>
      </c>
      <c r="AF628" s="2" t="inlineStr">
        <is>
          <t>https://www.parlamento.pt/OrcamentoEstado/Paginas/DetalhePropostaAlteracao.aspx?BID=23805</t>
        </is>
      </c>
      <c r="AG628" s="2" t="inlineStr">
        <is>
          <t>https://app.parlamento.pt/webutils/docs/doc.pdf?path=6148523063484d364c793942556b356c6443397a6158526c63793959566b6c4a544556484c3039464c7a49774d6a59794d4449314d5441774f5339515153396a4e544a6c597a426b597930354e325a6b4c5451784d446b744f5751775a5330325a5459344d5459354d5759314e7a67756347526d&amp;Fich=c52ec0dc-97fd-4109-9d0e-6e681691f578.pdf&amp;Inline=true</t>
        </is>
      </c>
      <c r="AH628" s="3" t="n">
        <v>46321.77847222222</v>
      </c>
      <c r="AI628" s="3" t="n">
        <v>46321.78055555555</v>
      </c>
      <c r="AJ628" s="2" t="inlineStr"/>
    </row>
    <row r="629">
      <c r="A629" s="2" t="n">
        <v>628</v>
      </c>
      <c r="B629" s="2" t="inlineStr">
        <is>
          <t>585C</t>
        </is>
      </c>
      <c r="C629" s="3" t="n">
        <v>45966.5375</v>
      </c>
      <c r="D629" s="2" t="inlineStr">
        <is>
          <t>Original</t>
        </is>
      </c>
      <c r="E629" s="2" t="inlineStr">
        <is>
          <t>PCP</t>
        </is>
      </c>
      <c r="F629" s="2" t="inlineStr">
        <is>
          <t>Alfredo Maia; Paula Santos; Paulo Raimundo</t>
        </is>
      </c>
      <c r="G629" s="2" t="inlineStr">
        <is>
          <t>Art. 7.º (aditamento)</t>
        </is>
      </c>
      <c r="H629" s="2" t="n"/>
      <c r="I629" s="2" t="n"/>
      <c r="J629" s="2" t="n"/>
      <c r="K629" s="2" t="n"/>
      <c r="L629" s="2" t="inlineStr">
        <is>
          <t>Nova Verba 35, Mapa de alterações e transferências orçamentais, Artigo 7.º</t>
        </is>
      </c>
      <c r="M629" s="4" t="n"/>
      <c r="N629" s="4" t="n"/>
      <c r="O629" s="2" t="n"/>
      <c r="P629" s="2" t="n"/>
      <c r="Q629" s="2" t="n"/>
      <c r="R629" s="2" t="n"/>
      <c r="S629" s="2" t="inlineStr">
        <is>
          <t>Rejeitado(a) em Comissão</t>
        </is>
      </c>
      <c r="T629" s="2" t="inlineStr">
        <is>
          <t>Rejeitada</t>
        </is>
      </c>
      <c r="U629" s="2" t="inlineStr">
        <is>
          <t>Favor: CH, L, PCP, BE; Contra: PSD, CDS-PP; Abstenção: PS, IL, PAN</t>
        </is>
      </c>
      <c r="V629" s="3" t="n">
        <v>45987</v>
      </c>
      <c r="W629" s="2" t="inlineStr">
        <is>
          <t>AR: https://www.parlamento.pt/OrcamentoEstado/Paginas/DetalhePropostaAlteracao.aspx?BID=23806 PDF: https://app.parlamento.pt/webutils/docs/doc.pdf?path=6148523063484d364c793942556b356c6443397a6158526c63793959566b6c4a544556484c3039464c7a49774d6a59794d4449314d5441774f533951515338794d7a686c59545a694e53316d4d4441344c5451334d4451744f44597a4d533032596a5a6c4e3251794f544131596a41756347526d&amp;Fich=238ea6b5-f008-4704-8631-6b6e7d2905b0.pdf&amp;Inline=true</t>
        </is>
      </c>
      <c r="X629" s="2" t="inlineStr">
        <is>
          <t>Ambiente e Energia</t>
        </is>
      </c>
      <c r="Y629" s="2" t="inlineStr">
        <is>
          <t>Articulado</t>
        </is>
      </c>
      <c r="Z629" s="2" t="inlineStr">
        <is>
          <t>Aditamento (Números e Alíneas)</t>
        </is>
      </c>
      <c r="AA629" s="2" t="inlineStr">
        <is>
          <t>Rejeitado(a) em Comissão</t>
        </is>
      </c>
      <c r="AB629" s="2" t="inlineStr"/>
      <c r="AC629" s="2" t="inlineStr"/>
      <c r="AD629" s="2" t="inlineStr">
        <is>
          <t>1</t>
        </is>
      </c>
      <c r="AE629" s="2" t="inlineStr">
        <is>
          <t>23806</t>
        </is>
      </c>
      <c r="AF629" s="2" t="inlineStr">
        <is>
          <t>https://www.parlamento.pt/OrcamentoEstado/Paginas/DetalhePropostaAlteracao.aspx?BID=23806</t>
        </is>
      </c>
      <c r="AG629" s="2" t="inlineStr">
        <is>
          <t>https://app.parlamento.pt/webutils/docs/doc.pdf?path=6148523063484d364c793942556b356c6443397a6158526c63793959566b6c4a544556484c3039464c7a49774d6a59794d4449314d5441774f533951515338794d7a686c59545a694e53316d4d4441344c5451334d4451744f44597a4d533032596a5a6c4e3251794f544131596a41756347526d&amp;Fich=238ea6b5-f008-4704-8631-6b6e7d2905b0.pdf&amp;Inline=true</t>
        </is>
      </c>
      <c r="AH629" s="3" t="n">
        <v>46321.77847222222</v>
      </c>
      <c r="AI629" s="3" t="n">
        <v>46321.78055555555</v>
      </c>
      <c r="AJ629" s="2" t="inlineStr"/>
    </row>
    <row r="630">
      <c r="A630" s="2" t="n">
        <v>629</v>
      </c>
      <c r="B630" s="2" t="inlineStr">
        <is>
          <t>586C</t>
        </is>
      </c>
      <c r="C630" s="3" t="n">
        <v>45966.53819444445</v>
      </c>
      <c r="D630" s="2" t="inlineStr">
        <is>
          <t>Original</t>
        </is>
      </c>
      <c r="E630" s="2" t="inlineStr">
        <is>
          <t>PCP</t>
        </is>
      </c>
      <c r="F630" s="2" t="inlineStr">
        <is>
          <t>Alfredo Maia; Paula Santos; Paulo Raimundo</t>
        </is>
      </c>
      <c r="G630" s="2" t="inlineStr">
        <is>
          <t>Art. 126.º-A (aditamento)</t>
        </is>
      </c>
      <c r="H630" s="2" t="n"/>
      <c r="I630" s="2" t="n"/>
      <c r="J630" s="2" t="n"/>
      <c r="K630" s="2" t="n"/>
      <c r="L630" s="2" t="inlineStr">
        <is>
          <t>Artigo 126.º-A (Valorização do Parque Natural da Serra da Estrela)</t>
        </is>
      </c>
      <c r="M630" s="4" t="n"/>
      <c r="N630" s="4" t="n"/>
      <c r="O630" s="2" t="n"/>
      <c r="P630" s="2" t="n"/>
      <c r="Q630" s="2" t="n"/>
      <c r="R630" s="2" t="n"/>
      <c r="S630" s="2" t="inlineStr">
        <is>
          <t>Rejeitado(a) em Comissão</t>
        </is>
      </c>
      <c r="T630" s="2" t="inlineStr">
        <is>
          <t>Rejeitada</t>
        </is>
      </c>
      <c r="U630" s="2" t="inlineStr">
        <is>
          <t>Favor: L, PCP, BE, PAN; Contra: PSD, IL, CDS-PP; Abstenção: CH, PS</t>
        </is>
      </c>
      <c r="V630" s="3" t="n">
        <v>45985</v>
      </c>
      <c r="W630" s="2" t="inlineStr">
        <is>
          <t>AR: https://www.parlamento.pt/OrcamentoEstado/Paginas/DetalhePropostaAlteracao.aspx?BID=23807 PDF: https://app.parlamento.pt/webutils/docs/doc.pdf?path=6148523063484d364c793942556b356c6443397a6158526c63793959566b6c4a544556484c3039464c7a49774d6a59794d4449314d5441774f533951515338315a6a6b344e6a63784e5330315a6a46694c545135596d55745957526b4d4330344e7a637859574a6b5a5459334d574d756347526d&amp;Fich=5f986715-5f1b-49be-add0-8771abde671c.pdf&amp;Inline=true</t>
        </is>
      </c>
      <c r="X630" s="2" t="inlineStr">
        <is>
          <t>Ambiente e Energia</t>
        </is>
      </c>
      <c r="Y630" s="2" t="inlineStr">
        <is>
          <t>Articulado</t>
        </is>
      </c>
      <c r="Z630" s="2" t="inlineStr">
        <is>
          <t>Aditamento (Artigo PPL)</t>
        </is>
      </c>
      <c r="AA630" s="2" t="inlineStr">
        <is>
          <t>Rejeitado(a) em Comissão</t>
        </is>
      </c>
      <c r="AB630" s="2" t="inlineStr"/>
      <c r="AC630" s="2" t="inlineStr"/>
      <c r="AD630" s="2" t="inlineStr">
        <is>
          <t>1</t>
        </is>
      </c>
      <c r="AE630" s="2" t="inlineStr">
        <is>
          <t>23807</t>
        </is>
      </c>
      <c r="AF630" s="2" t="inlineStr">
        <is>
          <t>https://www.parlamento.pt/OrcamentoEstado/Paginas/DetalhePropostaAlteracao.aspx?BID=23807</t>
        </is>
      </c>
      <c r="AG630" s="2" t="inlineStr">
        <is>
          <t>https://app.parlamento.pt/webutils/docs/doc.pdf?path=6148523063484d364c793942556b356c6443397a6158526c63793959566b6c4a544556484c3039464c7a49774d6a59794d4449314d5441774f533951515338315a6a6b344e6a63784e5330315a6a46694c545135596d55745957526b4d4330344e7a637859574a6b5a5459334d574d756347526d&amp;Fich=5f986715-5f1b-49be-add0-8771abde671c.pdf&amp;Inline=true</t>
        </is>
      </c>
      <c r="AH630" s="3" t="n">
        <v>46321.77847222222</v>
      </c>
      <c r="AI630" s="3" t="n">
        <v>46321.78055555555</v>
      </c>
      <c r="AJ630" s="2" t="inlineStr"/>
    </row>
    <row r="631">
      <c r="A631" s="2" t="n">
        <v>630</v>
      </c>
      <c r="B631" s="2" t="inlineStr">
        <is>
          <t>587C</t>
        </is>
      </c>
      <c r="C631" s="3" t="n">
        <v>45966.53958333333</v>
      </c>
      <c r="D631" s="2" t="inlineStr">
        <is>
          <t>Original</t>
        </is>
      </c>
      <c r="E631" s="2" t="inlineStr">
        <is>
          <t>L</t>
        </is>
      </c>
      <c r="F631" s="2" t="inlineStr">
        <is>
          <t>Filipa Pinto; Isabel Mendes Lopes; Jorge Pinto; Patrícia Gonçalves; Paulo Muacho; Rui Tavares</t>
        </is>
      </c>
      <c r="G631" s="2" t="inlineStr">
        <is>
          <t>Art. 136.º-A (aditamento)</t>
        </is>
      </c>
      <c r="H631" s="2" t="n"/>
      <c r="I631" s="2" t="n"/>
      <c r="J631" s="2" t="n"/>
      <c r="K631" s="2" t="n"/>
      <c r="L631" s="2" t="inlineStr">
        <is>
          <t>Artigo 136.º-A (Aditamento ao Regulamento Geral do Ruído)</t>
        </is>
      </c>
      <c r="M631" s="4" t="n"/>
      <c r="N631" s="4" t="n"/>
      <c r="O631" s="2" t="n"/>
      <c r="P631" s="2" t="n"/>
      <c r="Q631" s="2" t="n"/>
      <c r="R631" s="2" t="n"/>
      <c r="S631" s="2" t="inlineStr">
        <is>
          <t>Rejeitado(a) em Comissão</t>
        </is>
      </c>
      <c r="T631" s="2" t="inlineStr">
        <is>
          <t>Rejeitada</t>
        </is>
      </c>
      <c r="U631" s="2" t="inlineStr">
        <is>
          <t>Favor: L, PCP, BE, PAN; Contra: PSD, CH, IL, CDS-PP; Abstenção: PS</t>
        </is>
      </c>
      <c r="V631" s="3" t="n">
        <v>45987</v>
      </c>
      <c r="W631" s="2" t="inlineStr">
        <is>
          <t>AR: https://www.parlamento.pt/OrcamentoEstado/Paginas/DetalhePropostaAlteracao.aspx?BID=23809 PDF: https://app.parlamento.pt/webutils/docs/doc.pdf?path=6148523063484d364c793942556b356c6443397a6158526c63793959566b6c4a544556484c3039464c7a49774d6a59794d4449314d5441774f533951515338355a446778596a466c4d69316a4e3245304c5452694f575974596a526a5a4330354d6a67774d47526c4d6d45335a6d4d756347526d&amp;Fich=9d81b1e2-c7a4-4b9f-b4cd-92800de2a7fc.pdf&amp;Inline=true</t>
        </is>
      </c>
      <c r="X631" s="2" t="inlineStr">
        <is>
          <t>Ambiente e Energia</t>
        </is>
      </c>
      <c r="Y631" s="2" t="inlineStr">
        <is>
          <t>Articulado</t>
        </is>
      </c>
      <c r="Z631" s="2" t="inlineStr">
        <is>
          <t>Aditamento (Artigo PPL)</t>
        </is>
      </c>
      <c r="AA631" s="2" t="inlineStr">
        <is>
          <t>Rejeitado(a) em Comissão</t>
        </is>
      </c>
      <c r="AB631" s="2" t="inlineStr"/>
      <c r="AC631" s="2" t="inlineStr"/>
      <c r="AD631" s="2" t="inlineStr">
        <is>
          <t>1</t>
        </is>
      </c>
      <c r="AE631" s="2" t="inlineStr">
        <is>
          <t>23809</t>
        </is>
      </c>
      <c r="AF631" s="2" t="inlineStr">
        <is>
          <t>https://www.parlamento.pt/OrcamentoEstado/Paginas/DetalhePropostaAlteracao.aspx?BID=23809</t>
        </is>
      </c>
      <c r="AG631" s="2" t="inlineStr">
        <is>
          <t>https://app.parlamento.pt/webutils/docs/doc.pdf?path=6148523063484d364c793942556b356c6443397a6158526c63793959566b6c4a544556484c3039464c7a49774d6a59794d4449314d5441774f533951515338355a446778596a466c4d69316a4e3245304c5452694f575974596a526a5a4330354d6a67774d47526c4d6d45335a6d4d756347526d&amp;Fich=9d81b1e2-c7a4-4b9f-b4cd-92800de2a7fc.pdf&amp;Inline=true</t>
        </is>
      </c>
      <c r="AH631" s="3" t="n">
        <v>46321.77847222222</v>
      </c>
      <c r="AI631" s="3" t="n">
        <v>46321.78055555555</v>
      </c>
      <c r="AJ631" s="2" t="inlineStr"/>
    </row>
    <row r="632">
      <c r="A632" s="2" t="n">
        <v>631</v>
      </c>
      <c r="B632" s="2" t="inlineStr">
        <is>
          <t>588C</t>
        </is>
      </c>
      <c r="C632" s="3" t="n">
        <v>45966.58402777778</v>
      </c>
      <c r="D632" s="2" t="inlineStr">
        <is>
          <t>Original</t>
        </is>
      </c>
      <c r="E632" s="2" t="inlineStr">
        <is>
          <t>L</t>
        </is>
      </c>
      <c r="F632" s="2" t="inlineStr">
        <is>
          <t>Filipa Pinto; Isabel Mendes Lopes; Jorge Pinto; Patrícia Gonçalves; Paulo Muacho; Rui Tavares</t>
        </is>
      </c>
      <c r="G632" s="2" t="inlineStr">
        <is>
          <t>Art. 126.º (aditamento)</t>
        </is>
      </c>
      <c r="H632" s="2" t="n"/>
      <c r="I632" s="2" t="n"/>
      <c r="J632" s="2" t="n"/>
      <c r="K632" s="2" t="n"/>
      <c r="L632" s="2" t="inlineStr">
        <is>
          <t>Artigo 126.º (Lista Vermelha de Habitats de Portugal)</t>
        </is>
      </c>
      <c r="M632" s="4" t="n"/>
      <c r="N632" s="4" t="n"/>
      <c r="O632" s="2" t="n"/>
      <c r="P632" s="2" t="n"/>
      <c r="Q632" s="2" t="n"/>
      <c r="R632" s="2" t="n"/>
      <c r="S632" s="2" t="inlineStr">
        <is>
          <t>Rejeitado(a) em Comissão</t>
        </is>
      </c>
      <c r="T632" s="2" t="inlineStr">
        <is>
          <t>Rejeitada</t>
        </is>
      </c>
      <c r="U632" s="2" t="inlineStr">
        <is>
          <t>Favor: IL, L, PCP, BE, PAN; Contra: PSD, CDS-PP; Abstenção: CH, PS</t>
        </is>
      </c>
      <c r="V632" s="3" t="n">
        <v>45985</v>
      </c>
      <c r="W632" s="2" t="inlineStr">
        <is>
          <t>AR: https://www.parlamento.pt/OrcamentoEstado/Paginas/DetalhePropostaAlteracao.aspx?BID=23810 PDF: https://app.parlamento.pt/webutils/docs/doc.pdf?path=6148523063484d364c793942556b356c6443397a6158526c63793959566b6c4a544556484c3039464c7a49774d6a59794d4449314d5441774f5339515153396d595442694d4441334d6931694e325a694c54517a4d7a4d74596a466c5a5330315a4749314d6a426959574e694f4459756347526d&amp;Fich=fa0b0072-b7fb-4333-b1ee-5db520bacb86.pdf&amp;Inline=true</t>
        </is>
      </c>
      <c r="X632" s="2" t="inlineStr">
        <is>
          <t>Ambiente e Energia</t>
        </is>
      </c>
      <c r="Y632" s="2" t="inlineStr">
        <is>
          <t>Articulado</t>
        </is>
      </c>
      <c r="Z632" s="2" t="inlineStr">
        <is>
          <t>Aditamento (Artigo PPL)</t>
        </is>
      </c>
      <c r="AA632" s="2" t="inlineStr">
        <is>
          <t>Rejeitado(a) em Comissão</t>
        </is>
      </c>
      <c r="AB632" s="2" t="inlineStr"/>
      <c r="AC632" s="2" t="inlineStr"/>
      <c r="AD632" s="2" t="inlineStr">
        <is>
          <t>1</t>
        </is>
      </c>
      <c r="AE632" s="2" t="inlineStr">
        <is>
          <t>23810</t>
        </is>
      </c>
      <c r="AF632" s="2" t="inlineStr">
        <is>
          <t>https://www.parlamento.pt/OrcamentoEstado/Paginas/DetalhePropostaAlteracao.aspx?BID=23810</t>
        </is>
      </c>
      <c r="AG632" s="2" t="inlineStr">
        <is>
          <t>https://app.parlamento.pt/webutils/docs/doc.pdf?path=6148523063484d364c793942556b356c6443397a6158526c63793959566b6c4a544556484c3039464c7a49774d6a59794d4449314d5441774f5339515153396d595442694d4441334d6931694e325a694c54517a4d7a4d74596a466c5a5330315a4749314d6a426959574e694f4459756347526d&amp;Fich=fa0b0072-b7fb-4333-b1ee-5db520bacb86.pdf&amp;Inline=true</t>
        </is>
      </c>
      <c r="AH632" s="3" t="n">
        <v>46321.77847222222</v>
      </c>
      <c r="AI632" s="3" t="n">
        <v>46321.78055555555</v>
      </c>
      <c r="AJ632" s="2" t="inlineStr"/>
    </row>
    <row r="633">
      <c r="A633" s="2" t="n">
        <v>632</v>
      </c>
      <c r="B633" s="2" t="inlineStr">
        <is>
          <t>589C</t>
        </is>
      </c>
      <c r="C633" s="3" t="n">
        <v>45966.6</v>
      </c>
      <c r="D633" s="2" t="inlineStr">
        <is>
          <t>Original</t>
        </is>
      </c>
      <c r="E633" s="2" t="inlineStr">
        <is>
          <t>L</t>
        </is>
      </c>
      <c r="F633" s="2" t="inlineStr">
        <is>
          <t>Filipa Pinto; Isabel Mendes Lopes; Jorge Pinto; Patrícia Gonçalves; Paulo Muacho; Rui Tavares</t>
        </is>
      </c>
      <c r="G633" s="2" t="inlineStr">
        <is>
          <t>Art. 127.º-A (aditamento)</t>
        </is>
      </c>
      <c r="H633" s="2" t="n"/>
      <c r="I633" s="2" t="n"/>
      <c r="J633" s="2" t="n"/>
      <c r="K633" s="2" t="n"/>
      <c r="L633" s="2" t="inlineStr">
        <is>
          <t>Artigo 127.º-A (Rede Nacional de Áreas Marinhas Protegidas)</t>
        </is>
      </c>
      <c r="M633" s="4" t="n"/>
      <c r="N633" s="4" t="n"/>
      <c r="O633" s="2" t="n"/>
      <c r="P633" s="2" t="n"/>
      <c r="Q633" s="2" t="n"/>
      <c r="R633" s="2" t="n"/>
      <c r="S633" s="2" t="inlineStr">
        <is>
          <t>Rejeitado(a) em Comissão</t>
        </is>
      </c>
      <c r="T633" s="2" t="inlineStr">
        <is>
          <t>Rejeitada</t>
        </is>
      </c>
      <c r="U633" s="2" t="inlineStr">
        <is>
          <t>Favor: PS, IL, L, BE, PAN; Contra: PSD, CDS-PP; Abstenção: CH, PCP</t>
        </is>
      </c>
      <c r="V633" s="3" t="n">
        <v>45985</v>
      </c>
      <c r="W633" s="2" t="inlineStr">
        <is>
          <t>AR: https://www.parlamento.pt/OrcamentoEstado/Paginas/DetalhePropostaAlteracao.aspx?BID=23811 PDF: https://app.parlamento.pt/webutils/docs/doc.pdf?path=6148523063484d364c793942556b356c6443397a6158526c63793959566b6c4a544556484c3039464c7a49774d6a59794d4449314d5441774f533951515339694f57557a4e5759784e53316c597a466d4c54526d4d7a4974595451774e79316d4f4751774f5745304d47566c4d7a67756347526d&amp;Fich=b9e35f15-ec1f-4f32-a407-f8d09a40ee38.pdf&amp;Inline=true</t>
        </is>
      </c>
      <c r="X633" s="2" t="inlineStr">
        <is>
          <t>Ambiente e Energia</t>
        </is>
      </c>
      <c r="Y633" s="2" t="inlineStr">
        <is>
          <t>Articulado</t>
        </is>
      </c>
      <c r="Z633" s="2" t="inlineStr">
        <is>
          <t>Aditamento (Artigo PPL)</t>
        </is>
      </c>
      <c r="AA633" s="2" t="inlineStr">
        <is>
          <t>Rejeitado(a) em Comissão</t>
        </is>
      </c>
      <c r="AB633" s="2" t="inlineStr"/>
      <c r="AC633" s="2" t="inlineStr"/>
      <c r="AD633" s="2" t="inlineStr">
        <is>
          <t>1</t>
        </is>
      </c>
      <c r="AE633" s="2" t="inlineStr">
        <is>
          <t>23811</t>
        </is>
      </c>
      <c r="AF633" s="2" t="inlineStr">
        <is>
          <t>https://www.parlamento.pt/OrcamentoEstado/Paginas/DetalhePropostaAlteracao.aspx?BID=23811</t>
        </is>
      </c>
      <c r="AG633" s="2" t="inlineStr">
        <is>
          <t>https://app.parlamento.pt/webutils/docs/doc.pdf?path=6148523063484d364c793942556b356c6443397a6158526c63793959566b6c4a544556484c3039464c7a49774d6a59794d4449314d5441774f533951515339694f57557a4e5759784e53316c597a466d4c54526d4d7a4974595451774e79316d4f4751774f5745304d47566c4d7a67756347526d&amp;Fich=b9e35f15-ec1f-4f32-a407-f8d09a40ee38.pdf&amp;Inline=true</t>
        </is>
      </c>
      <c r="AH633" s="3" t="n">
        <v>46321.77847222222</v>
      </c>
      <c r="AI633" s="3" t="n">
        <v>46321.78055555555</v>
      </c>
      <c r="AJ633" s="2" t="inlineStr"/>
    </row>
    <row r="634">
      <c r="A634" s="2" t="n">
        <v>633</v>
      </c>
      <c r="B634" s="2" t="inlineStr">
        <is>
          <t>590C</t>
        </is>
      </c>
      <c r="C634" s="3" t="n">
        <v>45966.60972222222</v>
      </c>
      <c r="D634" s="2" t="inlineStr">
        <is>
          <t>Original</t>
        </is>
      </c>
      <c r="E634" s="2" t="inlineStr">
        <is>
          <t>L</t>
        </is>
      </c>
      <c r="F634" s="2" t="inlineStr">
        <is>
          <t>Filipa Pinto; Isabel Mendes Lopes; Jorge Pinto; Patrícia Gonçalves; Paulo Muacho; Rui Tavares</t>
        </is>
      </c>
      <c r="G634" s="2" t="inlineStr">
        <is>
          <t>Art. 126.º-A (aditamento)</t>
        </is>
      </c>
      <c r="H634" s="2" t="n"/>
      <c r="I634" s="2" t="n"/>
      <c r="J634" s="2" t="n"/>
      <c r="K634" s="2" t="n"/>
      <c r="L634" s="2" t="inlineStr">
        <is>
          <t>Artigo 126.º-A (Plano de Ação Nacional para a gestão e conservação de tubarões, raias e quimeras)</t>
        </is>
      </c>
      <c r="M634" s="4" t="n"/>
      <c r="N634" s="4" t="n"/>
      <c r="O634" s="2" t="n"/>
      <c r="P634" s="2" t="n"/>
      <c r="Q634" s="2" t="n"/>
      <c r="R634" s="2" t="n"/>
      <c r="S634" s="2" t="inlineStr">
        <is>
          <t>Rejeitado(a) em Comissão</t>
        </is>
      </c>
      <c r="T634" s="2" t="inlineStr">
        <is>
          <t>Rejeitada</t>
        </is>
      </c>
      <c r="U634" s="2" t="inlineStr">
        <is>
          <t>Favor: IL, L, PCP, BE, PAN; Contra: PSD, CH, CDS-PP; Abstenção: PS</t>
        </is>
      </c>
      <c r="V634" s="3" t="n">
        <v>45985</v>
      </c>
      <c r="W634" s="2" t="inlineStr">
        <is>
          <t>AR: https://www.parlamento.pt/OrcamentoEstado/Paginas/DetalhePropostaAlteracao.aspx?BID=23812 PDF: https://app.parlamento.pt/webutils/docs/doc.pdf?path=6148523063484d364c793942556b356c6443397a6158526c63793959566b6c4a544556484c3039464c7a49774d6a59794d4449314d5441774f533951515338355a6a6c694d7a4d7a5a53316c4e4749304c54526b4d4467744f57566a596930774f54686b597a4934595451774d6a63756347526d&amp;Fich=9f9b333e-e4b4-4d08-9ecb-098dc28a4027.pdf&amp;Inline=true</t>
        </is>
      </c>
      <c r="X634" s="2" t="inlineStr">
        <is>
          <t>Ambiente e Energia</t>
        </is>
      </c>
      <c r="Y634" s="2" t="inlineStr">
        <is>
          <t>Articulado</t>
        </is>
      </c>
      <c r="Z634" s="2" t="inlineStr">
        <is>
          <t>Aditamento (Artigo PPL)</t>
        </is>
      </c>
      <c r="AA634" s="2" t="inlineStr">
        <is>
          <t>Rejeitado(a) em Comissão</t>
        </is>
      </c>
      <c r="AB634" s="2" t="inlineStr"/>
      <c r="AC634" s="2" t="inlineStr"/>
      <c r="AD634" s="2" t="inlineStr">
        <is>
          <t>1</t>
        </is>
      </c>
      <c r="AE634" s="2" t="inlineStr">
        <is>
          <t>23812</t>
        </is>
      </c>
      <c r="AF634" s="2" t="inlineStr">
        <is>
          <t>https://www.parlamento.pt/OrcamentoEstado/Paginas/DetalhePropostaAlteracao.aspx?BID=23812</t>
        </is>
      </c>
      <c r="AG634" s="2" t="inlineStr">
        <is>
          <t>https://app.parlamento.pt/webutils/docs/doc.pdf?path=6148523063484d364c793942556b356c6443397a6158526c63793959566b6c4a544556484c3039464c7a49774d6a59794d4449314d5441774f533951515338355a6a6c694d7a4d7a5a53316c4e4749304c54526b4d4467744f57566a596930774f54686b597a4934595451774d6a63756347526d&amp;Fich=9f9b333e-e4b4-4d08-9ecb-098dc28a4027.pdf&amp;Inline=true</t>
        </is>
      </c>
      <c r="AH634" s="3" t="n">
        <v>46321.77847222222</v>
      </c>
      <c r="AI634" s="3" t="n">
        <v>46321.78055555555</v>
      </c>
      <c r="AJ634" s="2" t="inlineStr"/>
    </row>
    <row r="635">
      <c r="A635" s="2" t="n">
        <v>634</v>
      </c>
      <c r="B635" s="2" t="inlineStr">
        <is>
          <t>591C</t>
        </is>
      </c>
      <c r="C635" s="3" t="n">
        <v>45966.61527777778</v>
      </c>
      <c r="D635" s="2" t="inlineStr">
        <is>
          <t>Original</t>
        </is>
      </c>
      <c r="E635" s="2" t="inlineStr">
        <is>
          <t>L</t>
        </is>
      </c>
      <c r="F635" s="2" t="inlineStr">
        <is>
          <t>Filipa Pinto; Isabel Mendes Lopes; Jorge Pinto; Patrícia Gonçalves; Paulo Muacho; Rui Tavares</t>
        </is>
      </c>
      <c r="G635" s="2" t="inlineStr">
        <is>
          <t>Art. 126.º-A (aditamento)</t>
        </is>
      </c>
      <c r="H635" s="2" t="n"/>
      <c r="I635" s="2" t="n"/>
      <c r="J635" s="2" t="n"/>
      <c r="K635" s="2" t="n"/>
      <c r="L635" s="2" t="inlineStr">
        <is>
          <t>Artigo 126.º-A (Plano de Ação para minimização das capturas acidentais de mamíferos, aves e répteis marinhos pela pesca)</t>
        </is>
      </c>
      <c r="M635" s="4" t="n"/>
      <c r="N635" s="4" t="n"/>
      <c r="O635" s="2" t="n"/>
      <c r="P635" s="2" t="n"/>
      <c r="Q635" s="2" t="n"/>
      <c r="R635" s="2" t="n"/>
      <c r="S635" s="2" t="inlineStr">
        <is>
          <t>Rejeitado(a) em Comissão</t>
        </is>
      </c>
      <c r="T635" s="2" t="inlineStr">
        <is>
          <t>Rejeitada</t>
        </is>
      </c>
      <c r="U635" s="2" t="inlineStr">
        <is>
          <t>Favor: L, PCP, BE, PAN; Contra: PSD, CDS-PP; Abstenção: CH, PS, IL</t>
        </is>
      </c>
      <c r="V635" s="3" t="n">
        <v>45985</v>
      </c>
      <c r="W635" s="2" t="inlineStr">
        <is>
          <t>AR: https://www.parlamento.pt/OrcamentoEstado/Paginas/DetalhePropostaAlteracao.aspx?BID=23814 PDF: https://app.parlamento.pt/webutils/docs/doc.pdf?path=6148523063484d364c793942556b356c6443397a6158526c63793959566b6c4a544556484c3039464c7a49774d6a59794d4449314d5441774f5339515153396a5a54526a4e4745315a693034596a56684c5451325a5759744f5455305a43316b4e474a684e5459354e44466b595451756347526d&amp;Fich=ce4c4a5f-8b5a-46ef-954d-d4ba56941da4.pdf&amp;Inline=true</t>
        </is>
      </c>
      <c r="X635" s="2" t="inlineStr">
        <is>
          <t>Agricultura e Pescas</t>
        </is>
      </c>
      <c r="Y635" s="2" t="inlineStr">
        <is>
          <t>Articulado</t>
        </is>
      </c>
      <c r="Z635" s="2" t="inlineStr">
        <is>
          <t>Aditamento (Artigo PPL)</t>
        </is>
      </c>
      <c r="AA635" s="2" t="inlineStr">
        <is>
          <t>Rejeitado(a) em Comissão</t>
        </is>
      </c>
      <c r="AB635" s="2" t="inlineStr"/>
      <c r="AC635" s="2" t="inlineStr"/>
      <c r="AD635" s="2" t="inlineStr">
        <is>
          <t>1</t>
        </is>
      </c>
      <c r="AE635" s="2" t="inlineStr">
        <is>
          <t>23814</t>
        </is>
      </c>
      <c r="AF635" s="2" t="inlineStr">
        <is>
          <t>https://www.parlamento.pt/OrcamentoEstado/Paginas/DetalhePropostaAlteracao.aspx?BID=23814</t>
        </is>
      </c>
      <c r="AG635" s="2" t="inlineStr">
        <is>
          <t>https://app.parlamento.pt/webutils/docs/doc.pdf?path=6148523063484d364c793942556b356c6443397a6158526c63793959566b6c4a544556484c3039464c7a49774d6a59794d4449314d5441774f5339515153396a5a54526a4e4745315a693034596a56684c5451325a5759744f5455305a43316b4e474a684e5459354e44466b595451756347526d&amp;Fich=ce4c4a5f-8b5a-46ef-954d-d4ba56941da4.pdf&amp;Inline=true</t>
        </is>
      </c>
      <c r="AH635" s="3" t="n">
        <v>46321.77847222222</v>
      </c>
      <c r="AI635" s="3" t="n">
        <v>46321.78055555555</v>
      </c>
      <c r="AJ635" s="2" t="inlineStr"/>
    </row>
    <row r="636">
      <c r="A636" s="2" t="n">
        <v>635</v>
      </c>
      <c r="B636" s="2" t="inlineStr">
        <is>
          <t>592C</t>
        </is>
      </c>
      <c r="C636" s="3" t="n">
        <v>45966.61805555555</v>
      </c>
      <c r="D636" s="2" t="inlineStr">
        <is>
          <t>Original</t>
        </is>
      </c>
      <c r="E636" s="2" t="inlineStr">
        <is>
          <t>L</t>
        </is>
      </c>
      <c r="F636" s="2" t="inlineStr">
        <is>
          <t>Filipa Pinto; Isabel Mendes Lopes; Jorge Pinto; Patrícia Gonçalves; Paulo Muacho; Rui Tavares</t>
        </is>
      </c>
      <c r="G636" s="2" t="inlineStr">
        <is>
          <t>Art. 126.º-A (aditamento)</t>
        </is>
      </c>
      <c r="H636" s="2" t="n"/>
      <c r="I636" s="2" t="n"/>
      <c r="J636" s="2" t="n"/>
      <c r="K636" s="2" t="n"/>
      <c r="L636" s="2" t="inlineStr">
        <is>
          <t>Artigo 126.º-A (Centro Experimental de Erosão de Solos de Vale Formoso)</t>
        </is>
      </c>
      <c r="M636" s="4" t="n"/>
      <c r="N636" s="4" t="n"/>
      <c r="O636" s="2" t="n"/>
      <c r="P636" s="2" t="n"/>
      <c r="Q636" s="2" t="n"/>
      <c r="R636" s="2" t="n"/>
      <c r="S636" s="2" t="inlineStr">
        <is>
          <t>Rejeitado(a) em Comissão</t>
        </is>
      </c>
      <c r="T636" s="2" t="inlineStr">
        <is>
          <t>Rejeitada</t>
        </is>
      </c>
      <c r="U636" s="2" t="inlineStr">
        <is>
          <t>Favor: L, PCP, BE, PAN; Contra: PSD, IL, CDS-PP; Abstenção: CH, PS</t>
        </is>
      </c>
      <c r="V636" s="3" t="n">
        <v>45985</v>
      </c>
      <c r="W636" s="2" t="inlineStr">
        <is>
          <t>AR: https://www.parlamento.pt/OrcamentoEstado/Paginas/DetalhePropostaAlteracao.aspx?BID=23815 PDF: https://app.parlamento.pt/webutils/docs/doc.pdf?path=6148523063484d364c793942556b356c6443397a6158526c63793959566b6c4a544556484c3039464c7a49774d6a59794d4449314d5441774f5339515153396d4e7a566b596a45774d69316c4f4441774c54526a4d4467744f544d354d6930324e6a6b344e6a526c4e4468694e324d756347526d&amp;Fich=f75db102-e800-4c08-9392-669864e48b7c.pdf&amp;Inline=true</t>
        </is>
      </c>
      <c r="X636" s="2" t="inlineStr">
        <is>
          <t>Agricultura e Pescas</t>
        </is>
      </c>
      <c r="Y636" s="2" t="inlineStr">
        <is>
          <t>Articulado</t>
        </is>
      </c>
      <c r="Z636" s="2" t="inlineStr">
        <is>
          <t>Aditamento (Artigo PPL)</t>
        </is>
      </c>
      <c r="AA636" s="2" t="inlineStr">
        <is>
          <t>Rejeitado(a) em Comissão</t>
        </is>
      </c>
      <c r="AB636" s="2" t="inlineStr"/>
      <c r="AC636" s="2" t="inlineStr"/>
      <c r="AD636" s="2" t="inlineStr">
        <is>
          <t>1</t>
        </is>
      </c>
      <c r="AE636" s="2" t="inlineStr">
        <is>
          <t>23815</t>
        </is>
      </c>
      <c r="AF636" s="2" t="inlineStr">
        <is>
          <t>https://www.parlamento.pt/OrcamentoEstado/Paginas/DetalhePropostaAlteracao.aspx?BID=23815</t>
        </is>
      </c>
      <c r="AG636" s="2" t="inlineStr">
        <is>
          <t>https://app.parlamento.pt/webutils/docs/doc.pdf?path=6148523063484d364c793942556b356c6443397a6158526c63793959566b6c4a544556484c3039464c7a49774d6a59794d4449314d5441774f5339515153396d4e7a566b596a45774d69316c4f4441774c54526a4d4467744f544d354d6930324e6a6b344e6a526c4e4468694e324d756347526d&amp;Fich=f75db102-e800-4c08-9392-669864e48b7c.pdf&amp;Inline=true</t>
        </is>
      </c>
      <c r="AH636" s="3" t="n">
        <v>46321.77847222222</v>
      </c>
      <c r="AI636" s="3" t="n">
        <v>46321.78055555555</v>
      </c>
      <c r="AJ636" s="2" t="inlineStr"/>
    </row>
    <row r="637">
      <c r="A637" s="2" t="n">
        <v>636</v>
      </c>
      <c r="B637" s="2" t="inlineStr">
        <is>
          <t>593C</t>
        </is>
      </c>
      <c r="C637" s="3" t="n">
        <v>45966.62152777778</v>
      </c>
      <c r="D637" s="2" t="inlineStr">
        <is>
          <t>Original</t>
        </is>
      </c>
      <c r="E637" s="2" t="inlineStr">
        <is>
          <t>L</t>
        </is>
      </c>
      <c r="F637" s="2" t="inlineStr">
        <is>
          <t>Filipa Pinto; Isabel Mendes Lopes; Jorge Pinto; Patrícia Gonçalves; Paulo Muacho; Rui Tavares</t>
        </is>
      </c>
      <c r="G637" s="2" t="inlineStr">
        <is>
          <t>Art. 7.º (substituição)</t>
        </is>
      </c>
      <c r="H637" s="2" t="n"/>
      <c r="I637" s="2" t="n"/>
      <c r="J637" s="2" t="n"/>
      <c r="K637" s="2" t="n"/>
      <c r="L637" s="2" t="inlineStr">
        <is>
          <t>Verba 28, Mapa de alterações e transferências orçamentais, Artigo 7.º</t>
        </is>
      </c>
      <c r="M637" s="4" t="n"/>
      <c r="N637" s="4" t="n"/>
      <c r="O637" s="2" t="n"/>
      <c r="P637" s="2" t="n"/>
      <c r="Q637" s="2" t="n"/>
      <c r="R637" s="2" t="n"/>
      <c r="S637" s="2" t="inlineStr">
        <is>
          <t>Rejeitado(a) em Comissão</t>
        </is>
      </c>
      <c r="T637" s="2" t="inlineStr">
        <is>
          <t>Rejeitada</t>
        </is>
      </c>
      <c r="U637" s="2" t="inlineStr">
        <is>
          <t>Favor: L, PCP, BE, PAN; Contra: PSD, IL, CDS-PP; Abstenção: CH, PS</t>
        </is>
      </c>
      <c r="V637" s="3" t="n">
        <v>45987</v>
      </c>
      <c r="W637" s="2" t="inlineStr">
        <is>
          <t>AR: https://www.parlamento.pt/OrcamentoEstado/Paginas/DetalhePropostaAlteracao.aspx?BID=23816 PDF: https://app.parlamento.pt/webutils/docs/doc.pdf?path=6148523063484d364c793942556b356c6443397a6158526c63793959566b6c4a544556484c3039464c7a49774d6a59794d4449314d5441774f53395151533879593251304e7a41774d53307a5a6a686b4c5451345a6d4d744f57566d4e69307a597a51345a575a6c4f54646c4d7a4d756347526d&amp;Fich=2cd47001-3f8d-48fc-9ef6-3c48efe97e33.pdf&amp;Inline=true</t>
        </is>
      </c>
      <c r="X637" s="2" t="inlineStr">
        <is>
          <t>Ambiente e Energia</t>
        </is>
      </c>
      <c r="Y637" s="2" t="inlineStr">
        <is>
          <t>Mapas</t>
        </is>
      </c>
      <c r="Z637" s="2" t="inlineStr">
        <is>
          <t>Substituição</t>
        </is>
      </c>
      <c r="AA637" s="2" t="inlineStr">
        <is>
          <t>Rejeitado(a) em Comissão</t>
        </is>
      </c>
      <c r="AB637" s="2" t="inlineStr"/>
      <c r="AC637" s="2" t="inlineStr"/>
      <c r="AD637" s="2" t="inlineStr">
        <is>
          <t>1</t>
        </is>
      </c>
      <c r="AE637" s="2" t="inlineStr">
        <is>
          <t>23816</t>
        </is>
      </c>
      <c r="AF637" s="2" t="inlineStr">
        <is>
          <t>https://www.parlamento.pt/OrcamentoEstado/Paginas/DetalhePropostaAlteracao.aspx?BID=23816</t>
        </is>
      </c>
      <c r="AG637" s="2" t="inlineStr">
        <is>
          <t>https://app.parlamento.pt/webutils/docs/doc.pdf?path=6148523063484d364c793942556b356c6443397a6158526c63793959566b6c4a544556484c3039464c7a49774d6a59794d4449314d5441774f53395151533879593251304e7a41774d53307a5a6a686b4c5451345a6d4d744f57566d4e69307a597a51345a575a6c4f54646c4d7a4d756347526d&amp;Fich=2cd47001-3f8d-48fc-9ef6-3c48efe97e33.pdf&amp;Inline=true</t>
        </is>
      </c>
      <c r="AH637" s="3" t="n">
        <v>46321.77847222222</v>
      </c>
      <c r="AI637" s="3" t="n">
        <v>46321.78055555555</v>
      </c>
      <c r="AJ637" s="2" t="inlineStr"/>
    </row>
    <row r="638">
      <c r="A638" s="2" t="n">
        <v>637</v>
      </c>
      <c r="B638" s="2" t="inlineStr">
        <is>
          <t>594C</t>
        </is>
      </c>
      <c r="C638" s="3" t="n">
        <v>45966.62361111111</v>
      </c>
      <c r="D638" s="2" t="inlineStr">
        <is>
          <t>Original</t>
        </is>
      </c>
      <c r="E638" s="2" t="inlineStr">
        <is>
          <t>L</t>
        </is>
      </c>
      <c r="F638" s="2" t="inlineStr">
        <is>
          <t>Filipa Pinto; Isabel Mendes Lopes; Jorge Pinto; Patrícia Gonçalves; Paulo Muacho; Rui Tavares</t>
        </is>
      </c>
      <c r="G638" s="2" t="inlineStr">
        <is>
          <t>Art. 127.º-A (aditamento)</t>
        </is>
      </c>
      <c r="H638" s="2" t="n"/>
      <c r="I638" s="2" t="n"/>
      <c r="J638" s="2" t="n"/>
      <c r="K638" s="2" t="n"/>
      <c r="L638" s="2" t="inlineStr">
        <is>
          <t>Artigo 127.º-A (Restauro de áreas ardidas)</t>
        </is>
      </c>
      <c r="M638" s="4" t="n"/>
      <c r="N638" s="4" t="n"/>
      <c r="O638" s="2" t="n"/>
      <c r="P638" s="2" t="n"/>
      <c r="Q638" s="2" t="n"/>
      <c r="R638" s="2" t="n"/>
      <c r="S638" s="2" t="inlineStr">
        <is>
          <t>Rejeitado(a) em Comissão</t>
        </is>
      </c>
      <c r="T638" s="2" t="inlineStr">
        <is>
          <t>Rejeitada</t>
        </is>
      </c>
      <c r="U638" s="2" t="inlineStr">
        <is>
          <t>Favor: CH, L, PCP, BE, PAN; Contra: PSD, CDS-PP; Abstenção: PS, IL</t>
        </is>
      </c>
      <c r="V638" s="3" t="n">
        <v>45985</v>
      </c>
      <c r="W638" s="2" t="inlineStr">
        <is>
          <t>AR: https://www.parlamento.pt/OrcamentoEstado/Paginas/DetalhePropostaAlteracao.aspx?BID=23817 PDF: https://app.parlamento.pt/webutils/docs/doc.pdf?path=6148523063484d364c793942556b356c6443397a6158526c63793959566b6c4a544556484c3039464c7a49774d6a59794d4449314d5441774f533951515339685a6a677a4f446c6d5a69316a4e4455784c5451355a6a5974595451774d53316d4e6d52695a54517a4d6a64694f4749756347526d&amp;Fich=af8389ff-c451-49f6-a401-f6dbe4327b8b.pdf&amp;Inline=true</t>
        </is>
      </c>
      <c r="X638" s="2" t="inlineStr">
        <is>
          <t>Ambiente e Energia</t>
        </is>
      </c>
      <c r="Y638" s="2" t="inlineStr">
        <is>
          <t>Articulado</t>
        </is>
      </c>
      <c r="Z638" s="2" t="inlineStr">
        <is>
          <t>Aditamento (Artigo PPL)</t>
        </is>
      </c>
      <c r="AA638" s="2" t="inlineStr">
        <is>
          <t>Rejeitado(a) em Comissão</t>
        </is>
      </c>
      <c r="AB638" s="2" t="inlineStr"/>
      <c r="AC638" s="2" t="inlineStr"/>
      <c r="AD638" s="2" t="inlineStr">
        <is>
          <t>1</t>
        </is>
      </c>
      <c r="AE638" s="2" t="inlineStr">
        <is>
          <t>23817</t>
        </is>
      </c>
      <c r="AF638" s="2" t="inlineStr">
        <is>
          <t>https://www.parlamento.pt/OrcamentoEstado/Paginas/DetalhePropostaAlteracao.aspx?BID=23817</t>
        </is>
      </c>
      <c r="AG638" s="2" t="inlineStr">
        <is>
          <t>https://app.parlamento.pt/webutils/docs/doc.pdf?path=6148523063484d364c793942556b356c6443397a6158526c63793959566b6c4a544556484c3039464c7a49774d6a59794d4449314d5441774f533951515339685a6a677a4f446c6d5a69316a4e4455784c5451355a6a5974595451774d53316d4e6d52695a54517a4d6a64694f4749756347526d&amp;Fich=af8389ff-c451-49f6-a401-f6dbe4327b8b.pdf&amp;Inline=true</t>
        </is>
      </c>
      <c r="AH638" s="3" t="n">
        <v>46321.77847222222</v>
      </c>
      <c r="AI638" s="3" t="n">
        <v>46321.78055555555</v>
      </c>
      <c r="AJ638" s="2" t="inlineStr"/>
    </row>
    <row r="639">
      <c r="A639" s="2" t="n">
        <v>638</v>
      </c>
      <c r="B639" s="2" t="inlineStr">
        <is>
          <t>595C</t>
        </is>
      </c>
      <c r="C639" s="3" t="n">
        <v>45966.62569444445</v>
      </c>
      <c r="D639" s="2" t="inlineStr">
        <is>
          <t>Original</t>
        </is>
      </c>
      <c r="E639" s="2" t="inlineStr">
        <is>
          <t>L</t>
        </is>
      </c>
      <c r="F639" s="2" t="inlineStr">
        <is>
          <t>Filipa Pinto; Isabel Mendes Lopes; Jorge Pinto; Patrícia Gonçalves; Paulo Muacho; Rui Tavares</t>
        </is>
      </c>
      <c r="G639" s="2" t="inlineStr">
        <is>
          <t>Art. 112.º-A (aditamento)</t>
        </is>
      </c>
      <c r="H639" s="2" t="n"/>
      <c r="I639" s="2" t="n"/>
      <c r="J639" s="2" t="n"/>
      <c r="K639" s="2" t="n"/>
      <c r="L639" s="2" t="inlineStr">
        <is>
          <t>Artigo 112.º-A (Cheque-livro)</t>
        </is>
      </c>
      <c r="M639" s="4" t="n"/>
      <c r="N639" s="4" t="n"/>
      <c r="O639" s="2" t="n"/>
      <c r="P639" s="2" t="n"/>
      <c r="Q639" s="2" t="n"/>
      <c r="R639" s="2" t="n"/>
      <c r="S639" s="2" t="inlineStr">
        <is>
          <t>Rejeitado(a) em Comissão</t>
        </is>
      </c>
      <c r="T639" s="2" t="inlineStr">
        <is>
          <t>Rejeitada</t>
        </is>
      </c>
      <c r="U639" s="2" t="inlineStr">
        <is>
          <t>Favor: L, PCP, BE, PAN; Contra: PSD, CH, IL, CDS-PP; Abstenção: PS</t>
        </is>
      </c>
      <c r="V639" s="3" t="n">
        <v>45982</v>
      </c>
      <c r="W639" s="2" t="inlineStr">
        <is>
          <t>AR: https://www.parlamento.pt/OrcamentoEstado/Paginas/DetalhePropostaAlteracao.aspx?BID=23818 PDF: https://app.parlamento.pt/webutils/docs/doc.pdf?path=6148523063484d364c793942556b356c6443397a6158526c63793959566b6c4a544556484c3039464c7a49774d6a59794d4449314d5441774f533951515338314d574d324e7a646d4d4330774d4445354c5451354e7a51744f5746694e6930794e6a6c6a593252685a6a51344e5455756347526d&amp;Fich=51c677f0-0019-4974-9ab6-269ccdaf4855.pdf&amp;Inline=true</t>
        </is>
      </c>
      <c r="X639" s="2" t="inlineStr">
        <is>
          <t>Cultura, Comunicação, Juventude e Desporto</t>
        </is>
      </c>
      <c r="Y639" s="2" t="inlineStr">
        <is>
          <t>Articulado</t>
        </is>
      </c>
      <c r="Z639" s="2" t="inlineStr">
        <is>
          <t>Aditamento (Artigo PPL)</t>
        </is>
      </c>
      <c r="AA639" s="2" t="inlineStr">
        <is>
          <t>Rejeitado(a) em Comissão</t>
        </is>
      </c>
      <c r="AB639" s="2" t="inlineStr"/>
      <c r="AC639" s="2" t="inlineStr"/>
      <c r="AD639" s="2" t="inlineStr">
        <is>
          <t>1</t>
        </is>
      </c>
      <c r="AE639" s="2" t="inlineStr">
        <is>
          <t>23818</t>
        </is>
      </c>
      <c r="AF639" s="2" t="inlineStr">
        <is>
          <t>https://www.parlamento.pt/OrcamentoEstado/Paginas/DetalhePropostaAlteracao.aspx?BID=23818</t>
        </is>
      </c>
      <c r="AG639" s="2" t="inlineStr">
        <is>
          <t>https://app.parlamento.pt/webutils/docs/doc.pdf?path=6148523063484d364c793942556b356c6443397a6158526c63793959566b6c4a544556484c3039464c7a49774d6a59794d4449314d5441774f533951515338314d574d324e7a646d4d4330774d4445354c5451354e7a51744f5746694e6930794e6a6c6a593252685a6a51344e5455756347526d&amp;Fich=51c677f0-0019-4974-9ab6-269ccdaf4855.pdf&amp;Inline=true</t>
        </is>
      </c>
      <c r="AH639" s="3" t="n">
        <v>46321.77847222222</v>
      </c>
      <c r="AI639" s="3" t="n">
        <v>46321.78055555555</v>
      </c>
      <c r="AJ639" s="2" t="inlineStr"/>
    </row>
    <row r="640">
      <c r="A640" s="2" t="n">
        <v>639</v>
      </c>
      <c r="B640" s="2" t="inlineStr">
        <is>
          <t>596C</t>
        </is>
      </c>
      <c r="C640" s="3" t="n">
        <v>45966.62777777778</v>
      </c>
      <c r="D640" s="2" t="inlineStr">
        <is>
          <t>Original</t>
        </is>
      </c>
      <c r="E640" s="2" t="inlineStr">
        <is>
          <t>L</t>
        </is>
      </c>
      <c r="F640" s="2" t="inlineStr">
        <is>
          <t>Filipa Pinto; Isabel Mendes Lopes; Jorge Pinto; Patrícia Gonçalves; Paulo Muacho; Rui Tavares</t>
        </is>
      </c>
      <c r="G640" s="2" t="inlineStr">
        <is>
          <t>Art. 112.º-A (aditamento)</t>
        </is>
      </c>
      <c r="H640" s="2" t="n"/>
      <c r="I640" s="2" t="n"/>
      <c r="J640" s="2" t="n"/>
      <c r="K640" s="2" t="n"/>
      <c r="L640" s="2" t="inlineStr">
        <is>
          <t>Artigo 112.º-A (Praça do Comércio como praça da Cultura, do Conhecimento e da Cidadania)</t>
        </is>
      </c>
      <c r="M640" s="4" t="n"/>
      <c r="N640" s="4" t="n"/>
      <c r="O640" s="2" t="n"/>
      <c r="P640" s="2" t="n"/>
      <c r="Q640" s="2" t="n"/>
      <c r="R640" s="2" t="n"/>
      <c r="S640" s="2" t="inlineStr">
        <is>
          <t>Rejeitado(a) em Comissão</t>
        </is>
      </c>
      <c r="T640" s="2" t="inlineStr">
        <is>
          <t>Rejeitada</t>
        </is>
      </c>
      <c r="U640" s="2" t="inlineStr">
        <is>
          <t>Favor: L, BE, PAN; Contra: PSD, CH, IL, CDS-PP; Abstenção: PS, PCP</t>
        </is>
      </c>
      <c r="V640" s="3" t="n">
        <v>45982</v>
      </c>
      <c r="W640" s="2" t="inlineStr">
        <is>
          <t>AR: https://www.parlamento.pt/OrcamentoEstado/Paginas/DetalhePropostaAlteracao.aspx?BID=23820 PDF: https://app.parlamento.pt/webutils/docs/doc.pdf?path=6148523063484d364c793942556b356c6443397a6158526c63793959566b6c4a544556484c3039464c7a49774d6a59794d4449314d5441774f533951515339685a47597a5a5449784d4330344f5455304c54517a4e6a4574596a59775953316c59325577596a4e68593259334e4449756347526d&amp;Fich=adf3e210-8954-4361-b60a-ece0b3acf742.pdf&amp;Inline=true</t>
        </is>
      </c>
      <c r="X640" s="2" t="inlineStr">
        <is>
          <t>Cultura, Comunicação, Juventude e Desporto</t>
        </is>
      </c>
      <c r="Y640" s="2" t="inlineStr">
        <is>
          <t>Articulado</t>
        </is>
      </c>
      <c r="Z640" s="2" t="inlineStr">
        <is>
          <t>Aditamento (Artigo PPL)</t>
        </is>
      </c>
      <c r="AA640" s="2" t="inlineStr">
        <is>
          <t>Rejeitado(a) em Comissão</t>
        </is>
      </c>
      <c r="AB640" s="2" t="inlineStr"/>
      <c r="AC640" s="2" t="inlineStr"/>
      <c r="AD640" s="2" t="inlineStr">
        <is>
          <t>1</t>
        </is>
      </c>
      <c r="AE640" s="2" t="inlineStr">
        <is>
          <t>23820</t>
        </is>
      </c>
      <c r="AF640" s="2" t="inlineStr">
        <is>
          <t>https://www.parlamento.pt/OrcamentoEstado/Paginas/DetalhePropostaAlteracao.aspx?BID=23820</t>
        </is>
      </c>
      <c r="AG640" s="2" t="inlineStr">
        <is>
          <t>https://app.parlamento.pt/webutils/docs/doc.pdf?path=6148523063484d364c793942556b356c6443397a6158526c63793959566b6c4a544556484c3039464c7a49774d6a59794d4449314d5441774f533951515339685a47597a5a5449784d4330344f5455304c54517a4e6a4574596a59775953316c59325577596a4e68593259334e4449756347526d&amp;Fich=adf3e210-8954-4361-b60a-ece0b3acf742.pdf&amp;Inline=true</t>
        </is>
      </c>
      <c r="AH640" s="3" t="n">
        <v>46321.77847222222</v>
      </c>
      <c r="AI640" s="3" t="n">
        <v>46321.78055555555</v>
      </c>
      <c r="AJ640" s="2" t="inlineStr"/>
    </row>
    <row r="641">
      <c r="A641" s="2" t="n">
        <v>640</v>
      </c>
      <c r="B641" s="2" t="inlineStr">
        <is>
          <t>597C</t>
        </is>
      </c>
      <c r="C641" s="3" t="n">
        <v>45966.62847222222</v>
      </c>
      <c r="D641" s="2" t="inlineStr">
        <is>
          <t>Original</t>
        </is>
      </c>
      <c r="E641" s="2" t="inlineStr">
        <is>
          <t>CH</t>
        </is>
      </c>
      <c r="F64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41" s="2" t="inlineStr">
        <is>
          <t>Art. 136.º-A (aditamento)</t>
        </is>
      </c>
      <c r="H641" s="2" t="n"/>
      <c r="I641" s="2" t="n"/>
      <c r="J641" s="2" t="n"/>
      <c r="K641" s="2" t="n"/>
      <c r="L641" s="2" t="inlineStr">
        <is>
          <t>Artigo 136.º-A (Programa nacional de mestres de ofício e transmissão dos saberes tradicionais)</t>
        </is>
      </c>
      <c r="M641" s="4" t="n"/>
      <c r="N641" s="4" t="n"/>
      <c r="O641" s="2" t="n"/>
      <c r="P641" s="2" t="n"/>
      <c r="Q641" s="2" t="n"/>
      <c r="R641" s="2" t="n"/>
      <c r="S641" s="2" t="inlineStr">
        <is>
          <t>Rejeitado(a) em Comissão</t>
        </is>
      </c>
      <c r="T641" s="2" t="inlineStr">
        <is>
          <t>Rejeitada</t>
        </is>
      </c>
      <c r="U641" s="2" t="inlineStr">
        <is>
          <t>Favor: CH, BE; Contra: PSD, PS, IL, CDS-PP, PAN; Abstenção: L, PCP</t>
        </is>
      </c>
      <c r="V641" s="3" t="n">
        <v>45987</v>
      </c>
      <c r="W641" s="2" t="inlineStr">
        <is>
          <t>AR: https://www.parlamento.pt/OrcamentoEstado/Paginas/DetalhePropostaAlteracao.aspx?BID=23821 PDF: https://app.parlamento.pt/webutils/docs/doc.pdf?path=6148523063484d364c793942556b356c6443397a6158526c63793959566b6c4a544556484c3039464c7a49774d6a59794d4449314d5441774f533951515338334d4759335a4745325a4331685a4755304c5451334f575974596a4d345a6931695a575a6c5a4751774d325a6b4f4455756347526d&amp;Fich=70f7da6d-ade4-479f-b38f-befedd03fd85.pdf&amp;Inline=true</t>
        </is>
      </c>
      <c r="X641" s="2" t="inlineStr">
        <is>
          <t>Cultura, Comunicação, Juventude e Desporto</t>
        </is>
      </c>
      <c r="Y641" s="2" t="inlineStr">
        <is>
          <t>Articulado</t>
        </is>
      </c>
      <c r="Z641" s="2" t="inlineStr">
        <is>
          <t>Aditamento (Artigo PPL)</t>
        </is>
      </c>
      <c r="AA641" s="2" t="inlineStr">
        <is>
          <t>Rejeitado(a) em Comissão</t>
        </is>
      </c>
      <c r="AB641" s="2" t="inlineStr"/>
      <c r="AC641" s="2" t="inlineStr"/>
      <c r="AD641" s="2" t="inlineStr">
        <is>
          <t>1</t>
        </is>
      </c>
      <c r="AE641" s="2" t="inlineStr">
        <is>
          <t>23821</t>
        </is>
      </c>
      <c r="AF641" s="2" t="inlineStr">
        <is>
          <t>https://www.parlamento.pt/OrcamentoEstado/Paginas/DetalhePropostaAlteracao.aspx?BID=23821</t>
        </is>
      </c>
      <c r="AG641" s="2" t="inlineStr">
        <is>
          <t>https://app.parlamento.pt/webutils/docs/doc.pdf?path=6148523063484d364c793942556b356c6443397a6158526c63793959566b6c4a544556484c3039464c7a49774d6a59794d4449314d5441774f533951515338334d4759335a4745325a4331685a4755304c5451334f575974596a4d345a6931695a575a6c5a4751774d325a6b4f4455756347526d&amp;Fich=70f7da6d-ade4-479f-b38f-befedd03fd85.pdf&amp;Inline=true</t>
        </is>
      </c>
      <c r="AH641" s="3" t="n">
        <v>46321.77847222222</v>
      </c>
      <c r="AI641" s="3" t="n">
        <v>46321.78055555555</v>
      </c>
      <c r="AJ641" s="2" t="inlineStr"/>
    </row>
    <row r="642">
      <c r="A642" s="2" t="n">
        <v>641</v>
      </c>
      <c r="B642" s="2" t="inlineStr">
        <is>
          <t>598C</t>
        </is>
      </c>
      <c r="C642" s="3" t="n">
        <v>45966.63055555556</v>
      </c>
      <c r="D642" s="2" t="inlineStr">
        <is>
          <t>Original</t>
        </is>
      </c>
      <c r="E642" s="2" t="inlineStr">
        <is>
          <t>CH</t>
        </is>
      </c>
      <c r="F64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42" s="2" t="inlineStr">
        <is>
          <t>Art. 136.º-A (aditamento)</t>
        </is>
      </c>
      <c r="H642" s="2" t="n"/>
      <c r="I642" s="2" t="n"/>
      <c r="J642" s="2" t="n"/>
      <c r="K642" s="2" t="n"/>
      <c r="L642" s="2" t="inlineStr">
        <is>
          <t>Artigo 136.º-A (Início de estudos para a criação de um Cluster de Indústrias de Defesa na Guarda)</t>
        </is>
      </c>
      <c r="M642" s="4" t="n"/>
      <c r="N642" s="4" t="n"/>
      <c r="O642" s="2" t="n"/>
      <c r="P642" s="2" t="n"/>
      <c r="Q642" s="2" t="n"/>
      <c r="R642" s="2" t="n"/>
      <c r="S642" s="2" t="inlineStr">
        <is>
          <t>Rejeitado(a) em Comissão</t>
        </is>
      </c>
      <c r="T642" s="2" t="inlineStr">
        <is>
          <t>Rejeitada</t>
        </is>
      </c>
      <c r="U642" s="2" t="inlineStr">
        <is>
          <t>Favor: CH, IL; Contra: PSD, PS, L, CDS-PP, BE, PAN; Abstenção: PCP</t>
        </is>
      </c>
      <c r="V642" s="3" t="n">
        <v>45987</v>
      </c>
      <c r="W642" s="2" t="inlineStr">
        <is>
          <t>AR: https://www.parlamento.pt/OrcamentoEstado/Paginas/DetalhePropostaAlteracao.aspx?BID=23822 PDF: https://app.parlamento.pt/webutils/docs/doc.pdf?path=6148523063484d364c793942556b356c6443397a6158526c63793959566b6c4a544556484c3039464c7a49774d6a59794d4449314d5441774f5339515153396c4e7a426a5a546b334e4330304d6d4e694c5451344d575174596a51774e6930355a474a6a595445354f5756684e7a41756347526d&amp;Fich=e70ce974-42cb-481d-b406-9dbca199ea70.pdf&amp;Inline=true</t>
        </is>
      </c>
      <c r="X642" s="2" t="inlineStr">
        <is>
          <t>Defesa Nacional</t>
        </is>
      </c>
      <c r="Y642" s="2" t="inlineStr">
        <is>
          <t>Articulado</t>
        </is>
      </c>
      <c r="Z642" s="2" t="inlineStr">
        <is>
          <t>Aditamento (Artigo PPL)</t>
        </is>
      </c>
      <c r="AA642" s="2" t="inlineStr">
        <is>
          <t>Rejeitado(a) em Comissão</t>
        </is>
      </c>
      <c r="AB642" s="2" t="inlineStr"/>
      <c r="AC642" s="2" t="inlineStr"/>
      <c r="AD642" s="2" t="inlineStr">
        <is>
          <t>1</t>
        </is>
      </c>
      <c r="AE642" s="2" t="inlineStr">
        <is>
          <t>23822</t>
        </is>
      </c>
      <c r="AF642" s="2" t="inlineStr">
        <is>
          <t>https://www.parlamento.pt/OrcamentoEstado/Paginas/DetalhePropostaAlteracao.aspx?BID=23822</t>
        </is>
      </c>
      <c r="AG642" s="2" t="inlineStr">
        <is>
          <t>https://app.parlamento.pt/webutils/docs/doc.pdf?path=6148523063484d364c793942556b356c6443397a6158526c63793959566b6c4a544556484c3039464c7a49774d6a59794d4449314d5441774f5339515153396c4e7a426a5a546b334e4330304d6d4e694c5451344d575174596a51774e6930355a474a6a595445354f5756684e7a41756347526d&amp;Fich=e70ce974-42cb-481d-b406-9dbca199ea70.pdf&amp;Inline=true</t>
        </is>
      </c>
      <c r="AH642" s="3" t="n">
        <v>46321.77847222222</v>
      </c>
      <c r="AI642" s="3" t="n">
        <v>46321.78055555555</v>
      </c>
      <c r="AJ642" s="2" t="inlineStr"/>
    </row>
    <row r="643">
      <c r="A643" s="2" t="n">
        <v>642</v>
      </c>
      <c r="B643" s="2" t="inlineStr">
        <is>
          <t>599C</t>
        </is>
      </c>
      <c r="C643" s="3" t="n">
        <v>45966.63125</v>
      </c>
      <c r="D643" s="2" t="inlineStr">
        <is>
          <t>Original</t>
        </is>
      </c>
      <c r="E643" s="2" t="inlineStr">
        <is>
          <t>CH</t>
        </is>
      </c>
      <c r="F64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43" s="2" t="inlineStr">
        <is>
          <t>Art. 136.º-A (aditamento)</t>
        </is>
      </c>
      <c r="H643" s="2" t="n"/>
      <c r="I643" s="2" t="n"/>
      <c r="J643" s="2" t="n"/>
      <c r="K643" s="2" t="n"/>
      <c r="L643" s="2" t="inlineStr">
        <is>
          <t>Artigo 136.º-A (Abolição da taxa de admissão de provas de doutoramento)</t>
        </is>
      </c>
      <c r="M643" s="4" t="n"/>
      <c r="N643" s="4" t="n"/>
      <c r="O643" s="2" t="n"/>
      <c r="P643" s="2" t="n"/>
      <c r="Q643" s="2" t="n"/>
      <c r="R643" s="2" t="n"/>
      <c r="S643" s="2" t="inlineStr">
        <is>
          <t>Rejeitado(a) em Comissão</t>
        </is>
      </c>
      <c r="T643" s="2" t="inlineStr">
        <is>
          <t>Rejeitada</t>
        </is>
      </c>
      <c r="U643" s="2" t="inlineStr">
        <is>
          <t>Favor: CH, BE, PAN; Contra: PSD, IL, CDS-PP; Abstenção: PS, L, PCP</t>
        </is>
      </c>
      <c r="V643" s="3" t="n">
        <v>45987</v>
      </c>
      <c r="W643" s="2" t="inlineStr">
        <is>
          <t>AR: https://www.parlamento.pt/OrcamentoEstado/Paginas/DetalhePropostaAlteracao.aspx?BID=23823 PDF: https://app.parlamento.pt/webutils/docs/doc.pdf?path=6148523063484d364c793942556b356c6443397a6158526c63793959566b6c4a544556484c3039464c7a49774d6a59794d4449314d5441774f533951515338324d7a4d324f44686c4e6930335a574e6b4c5451334f47597459574d354d6930795a445a6b4f5759314d474e68596a59756347526d&amp;Fich=633688e6-7ecd-478f-ac92-2d6d9f50cab6.pdf&amp;Inline=true</t>
        </is>
      </c>
      <c r="X643" s="2" t="inlineStr">
        <is>
          <t>Educação e Ciência</t>
        </is>
      </c>
      <c r="Y643" s="2" t="inlineStr">
        <is>
          <t>Articulado</t>
        </is>
      </c>
      <c r="Z643" s="2" t="inlineStr">
        <is>
          <t>Aditamento (Artigo PPL)</t>
        </is>
      </c>
      <c r="AA643" s="2" t="inlineStr">
        <is>
          <t>Rejeitado(a) em Comissão</t>
        </is>
      </c>
      <c r="AB643" s="2" t="inlineStr"/>
      <c r="AC643" s="2" t="inlineStr"/>
      <c r="AD643" s="2" t="inlineStr">
        <is>
          <t>1</t>
        </is>
      </c>
      <c r="AE643" s="2" t="inlineStr">
        <is>
          <t>23823</t>
        </is>
      </c>
      <c r="AF643" s="2" t="inlineStr">
        <is>
          <t>https://www.parlamento.pt/OrcamentoEstado/Paginas/DetalhePropostaAlteracao.aspx?BID=23823</t>
        </is>
      </c>
      <c r="AG643" s="2" t="inlineStr">
        <is>
          <t>https://app.parlamento.pt/webutils/docs/doc.pdf?path=6148523063484d364c793942556b356c6443397a6158526c63793959566b6c4a544556484c3039464c7a49774d6a59794d4449314d5441774f533951515338324d7a4d324f44686c4e6930335a574e6b4c5451334f47597459574d354d6930795a445a6b4f5759314d474e68596a59756347526d&amp;Fich=633688e6-7ecd-478f-ac92-2d6d9f50cab6.pdf&amp;Inline=true</t>
        </is>
      </c>
      <c r="AH643" s="3" t="n">
        <v>46321.77847222222</v>
      </c>
      <c r="AI643" s="3" t="n">
        <v>46321.78055555555</v>
      </c>
      <c r="AJ643" s="2" t="inlineStr"/>
    </row>
    <row r="644">
      <c r="A644" s="2" t="n">
        <v>643</v>
      </c>
      <c r="B644" s="2" t="inlineStr">
        <is>
          <t>600C</t>
        </is>
      </c>
      <c r="C644" s="3" t="n">
        <v>45966.63194444445</v>
      </c>
      <c r="D644" s="2" t="inlineStr">
        <is>
          <t>Original</t>
        </is>
      </c>
      <c r="E644" s="2" t="inlineStr">
        <is>
          <t>L</t>
        </is>
      </c>
      <c r="F644" s="2" t="inlineStr">
        <is>
          <t>Filipa Pinto; Isabel Mendes Lopes; Jorge Pinto; Patrícia Gonçalves; Paulo Muacho; Rui Tavares</t>
        </is>
      </c>
      <c r="G644" s="2" t="inlineStr">
        <is>
          <t>Art. 115.º-A (aditamento)</t>
        </is>
      </c>
      <c r="H644" s="2" t="n"/>
      <c r="I644" s="2" t="n"/>
      <c r="J644" s="2" t="n"/>
      <c r="K644" s="2" t="n"/>
      <c r="L644" s="2" t="inlineStr">
        <is>
          <t>Artigo 115.º-A (Linha Arquivo Performativo - Apoio à preservação, digitalização e difusão de arquivos das Artes Performativas)</t>
        </is>
      </c>
      <c r="M644" s="4" t="n"/>
      <c r="N644" s="4" t="n"/>
      <c r="O644" s="2" t="n"/>
      <c r="P644" s="2" t="n"/>
      <c r="Q644" s="2" t="n"/>
      <c r="R644" s="2" t="n"/>
      <c r="S644" s="2" t="inlineStr">
        <is>
          <t>Rejeitado(a) em Comissão</t>
        </is>
      </c>
      <c r="T644" s="2" t="inlineStr">
        <is>
          <t>Rejeitada</t>
        </is>
      </c>
      <c r="U644" s="2" t="inlineStr">
        <is>
          <t>Favor: PS, L, PCP, BE, PAN; Contra: PSD, IL, CDS-PP; Abstenção: CH</t>
        </is>
      </c>
      <c r="V644" s="3" t="n">
        <v>45985</v>
      </c>
      <c r="W644" s="2" t="inlineStr">
        <is>
          <t>AR: https://www.parlamento.pt/OrcamentoEstado/Paginas/DetalhePropostaAlteracao.aspx?BID=23824 PDF: https://app.parlamento.pt/webutils/docs/doc.pdf?path=6148523063484d364c793942556b356c6443397a6158526c63793959566b6c4a544556484c3039464c7a49774d6a59794d4449314d5441774f533951515339685a54466d4d6a59324e5331684f5459304c54517a596a4574595749304e79316c4e5464694e4459794e7a6b784e7a6b756347526d&amp;Fich=ae1f2665-a964-43b1-ab47-e57b46279179.pdf&amp;Inline=true</t>
        </is>
      </c>
      <c r="X644" s="2" t="inlineStr">
        <is>
          <t>Cultura, Comunicação, Juventude e Desporto</t>
        </is>
      </c>
      <c r="Y644" s="2" t="inlineStr">
        <is>
          <t>Articulado</t>
        </is>
      </c>
      <c r="Z644" s="2" t="inlineStr">
        <is>
          <t>Aditamento (Artigo PPL)</t>
        </is>
      </c>
      <c r="AA644" s="2" t="inlineStr">
        <is>
          <t>Rejeitado(a) em Comissão</t>
        </is>
      </c>
      <c r="AB644" s="2" t="inlineStr"/>
      <c r="AC644" s="2" t="inlineStr"/>
      <c r="AD644" s="2" t="inlineStr">
        <is>
          <t>1</t>
        </is>
      </c>
      <c r="AE644" s="2" t="inlineStr">
        <is>
          <t>23824</t>
        </is>
      </c>
      <c r="AF644" s="2" t="inlineStr">
        <is>
          <t>https://www.parlamento.pt/OrcamentoEstado/Paginas/DetalhePropostaAlteracao.aspx?BID=23824</t>
        </is>
      </c>
      <c r="AG644" s="2" t="inlineStr">
        <is>
          <t>https://app.parlamento.pt/webutils/docs/doc.pdf?path=6148523063484d364c793942556b356c6443397a6158526c63793959566b6c4a544556484c3039464c7a49774d6a59794d4449314d5441774f533951515339685a54466d4d6a59324e5331684f5459304c54517a596a4574595749304e79316c4e5464694e4459794e7a6b784e7a6b756347526d&amp;Fich=ae1f2665-a964-43b1-ab47-e57b46279179.pdf&amp;Inline=true</t>
        </is>
      </c>
      <c r="AH644" s="3" t="n">
        <v>46321.77847222222</v>
      </c>
      <c r="AI644" s="3" t="n">
        <v>46321.78055555555</v>
      </c>
      <c r="AJ644" s="2" t="inlineStr"/>
    </row>
    <row r="645">
      <c r="A645" s="2" t="n">
        <v>644</v>
      </c>
      <c r="B645" s="2" t="inlineStr">
        <is>
          <t>601C</t>
        </is>
      </c>
      <c r="C645" s="3" t="n">
        <v>45966.63472222222</v>
      </c>
      <c r="D645" s="2" t="inlineStr">
        <is>
          <t>Original</t>
        </is>
      </c>
      <c r="E645" s="2" t="inlineStr">
        <is>
          <t>CH</t>
        </is>
      </c>
      <c r="F64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45" s="2" t="inlineStr">
        <is>
          <t>Art. 136.º-A (aditamento)</t>
        </is>
      </c>
      <c r="H645" s="2" t="n"/>
      <c r="I645" s="2" t="n"/>
      <c r="J645" s="2" t="n"/>
      <c r="K645" s="2" t="n"/>
      <c r="L645" s="2" t="inlineStr">
        <is>
          <t>Artigo 136.º-A (Aumento no número de vagas nos Mestrados em Ensino)</t>
        </is>
      </c>
      <c r="M645" s="4" t="n"/>
      <c r="N645" s="4" t="n"/>
      <c r="O645" s="2" t="n"/>
      <c r="P645" s="2" t="n"/>
      <c r="Q645" s="2" t="n"/>
      <c r="R645" s="2" t="n"/>
      <c r="S645" s="2" t="inlineStr">
        <is>
          <t>Rejeitado(a) em Comissão</t>
        </is>
      </c>
      <c r="T645" s="2" t="inlineStr">
        <is>
          <t>Rejeitada</t>
        </is>
      </c>
      <c r="U645" s="2" t="inlineStr">
        <is>
          <t>Favor: CH, IL, BE, PAN; Contra: PSD, CDS-PP; Abstenção: PS, L, PCP</t>
        </is>
      </c>
      <c r="V645" s="3" t="n">
        <v>45987</v>
      </c>
      <c r="W645" s="2" t="inlineStr">
        <is>
          <t>AR: https://www.parlamento.pt/OrcamentoEstado/Paginas/DetalhePropostaAlteracao.aspx?BID=23826 PDF: https://app.parlamento.pt/webutils/docs/doc.pdf?path=6148523063484d364c793942556b356c6443397a6158526c63793959566b6c4a544556484c3039464c7a49774d6a59794d4449314d5441774f5339515153387a4d5749344d6a417a4f53316c4e4468694c545134595755744f5445344d53316b596a5a695957566d4f545132597a45756347526d&amp;Fich=31b82039-e48b-48ae-9181-db6baef946c1.pdf&amp;Inline=true</t>
        </is>
      </c>
      <c r="X645" s="2" t="inlineStr">
        <is>
          <t>Educação e Ciência</t>
        </is>
      </c>
      <c r="Y645" s="2" t="inlineStr">
        <is>
          <t>Articulado</t>
        </is>
      </c>
      <c r="Z645" s="2" t="inlineStr">
        <is>
          <t>Aditamento (Artigo PPL)</t>
        </is>
      </c>
      <c r="AA645" s="2" t="inlineStr">
        <is>
          <t>Rejeitado(a) em Comissão</t>
        </is>
      </c>
      <c r="AB645" s="2" t="inlineStr"/>
      <c r="AC645" s="2" t="inlineStr"/>
      <c r="AD645" s="2" t="inlineStr">
        <is>
          <t>1</t>
        </is>
      </c>
      <c r="AE645" s="2" t="inlineStr">
        <is>
          <t>23826</t>
        </is>
      </c>
      <c r="AF645" s="2" t="inlineStr">
        <is>
          <t>https://www.parlamento.pt/OrcamentoEstado/Paginas/DetalhePropostaAlteracao.aspx?BID=23826</t>
        </is>
      </c>
      <c r="AG645" s="2" t="inlineStr">
        <is>
          <t>https://app.parlamento.pt/webutils/docs/doc.pdf?path=6148523063484d364c793942556b356c6443397a6158526c63793959566b6c4a544556484c3039464c7a49774d6a59794d4449314d5441774f5339515153387a4d5749344d6a417a4f53316c4e4468694c545134595755744f5445344d53316b596a5a695957566d4f545132597a45756347526d&amp;Fich=31b82039-e48b-48ae-9181-db6baef946c1.pdf&amp;Inline=true</t>
        </is>
      </c>
      <c r="AH645" s="3" t="n">
        <v>46321.77847222222</v>
      </c>
      <c r="AI645" s="3" t="n">
        <v>46321.78055555555</v>
      </c>
      <c r="AJ645" s="2" t="inlineStr"/>
    </row>
    <row r="646">
      <c r="A646" s="2" t="n">
        <v>645</v>
      </c>
      <c r="B646" s="2" t="inlineStr">
        <is>
          <t>602C</t>
        </is>
      </c>
      <c r="C646" s="3" t="n">
        <v>45966.63611111111</v>
      </c>
      <c r="D646" s="2" t="inlineStr">
        <is>
          <t>Original</t>
        </is>
      </c>
      <c r="E646" s="2" t="inlineStr">
        <is>
          <t>L</t>
        </is>
      </c>
      <c r="F646" s="2" t="inlineStr">
        <is>
          <t>Filipa Pinto; Isabel Mendes Lopes; Jorge Pinto; Patrícia Gonçalves; Paulo Muacho; Rui Tavares</t>
        </is>
      </c>
      <c r="G646" s="2" t="inlineStr">
        <is>
          <t>Art. 112.º-A (aditamento)</t>
        </is>
      </c>
      <c r="H646" s="2" t="n"/>
      <c r="I646" s="2" t="n"/>
      <c r="J646" s="2" t="n"/>
      <c r="K646" s="2" t="n"/>
      <c r="L646" s="2" t="inlineStr">
        <is>
          <t>Artigo 112.º-A (Alargamento do Plano Nacional das Artes à Saúde e ao Bem-Estar)</t>
        </is>
      </c>
      <c r="M646" s="4" t="n"/>
      <c r="N646" s="4" t="n"/>
      <c r="O646" s="2" t="n"/>
      <c r="P646" s="2" t="n"/>
      <c r="Q646" s="2" t="n"/>
      <c r="R646" s="2" t="n"/>
      <c r="S646" s="2" t="inlineStr">
        <is>
          <t>Rejeitado(a) em Comissão</t>
        </is>
      </c>
      <c r="T646" s="2" t="inlineStr">
        <is>
          <t>Rejeitada</t>
        </is>
      </c>
      <c r="U646" s="2" t="inlineStr">
        <is>
          <t>Favor: L, BE, PAN; Contra: PSD, CH, IL, CDS-PP; Abstenção: PS, PCP</t>
        </is>
      </c>
      <c r="V646" s="3" t="n">
        <v>45982</v>
      </c>
      <c r="W646" s="2" t="inlineStr">
        <is>
          <t>AR: https://www.parlamento.pt/OrcamentoEstado/Paginas/DetalhePropostaAlteracao.aspx?BID=23827 PDF: https://app.parlamento.pt/webutils/docs/doc.pdf?path=6148523063484d364c793942556b356c6443397a6158526c63793959566b6c4a544556484c3039464c7a49774d6a59794d4449314d5441774f53395151533832595445324f4449784e4330344e544d354c5451774e4449744f5749355969307a5a6a68684f4755314d5449794f4745756347526d&amp;Fich=6a168214-8539-4042-9b9b-3f8a8e51228a.pdf&amp;Inline=true</t>
        </is>
      </c>
      <c r="X646" s="2" t="inlineStr">
        <is>
          <t>Cultura, Comunicação, Juventude e Desporto</t>
        </is>
      </c>
      <c r="Y646" s="2" t="inlineStr">
        <is>
          <t>Articulado</t>
        </is>
      </c>
      <c r="Z646" s="2" t="inlineStr">
        <is>
          <t>Aditamento (Artigo PPL)</t>
        </is>
      </c>
      <c r="AA646" s="2" t="inlineStr">
        <is>
          <t>Rejeitado(a) em Comissão</t>
        </is>
      </c>
      <c r="AB646" s="2" t="inlineStr"/>
      <c r="AC646" s="2" t="inlineStr"/>
      <c r="AD646" s="2" t="inlineStr">
        <is>
          <t>1</t>
        </is>
      </c>
      <c r="AE646" s="2" t="inlineStr">
        <is>
          <t>23827</t>
        </is>
      </c>
      <c r="AF646" s="2" t="inlineStr">
        <is>
          <t>https://www.parlamento.pt/OrcamentoEstado/Paginas/DetalhePropostaAlteracao.aspx?BID=23827</t>
        </is>
      </c>
      <c r="AG646" s="2" t="inlineStr">
        <is>
          <t>https://app.parlamento.pt/webutils/docs/doc.pdf?path=6148523063484d364c793942556b356c6443397a6158526c63793959566b6c4a544556484c3039464c7a49774d6a59794d4449314d5441774f53395151533832595445324f4449784e4330344e544d354c5451774e4449744f5749355969307a5a6a68684f4755314d5449794f4745756347526d&amp;Fich=6a168214-8539-4042-9b9b-3f8a8e51228a.pdf&amp;Inline=true</t>
        </is>
      </c>
      <c r="AH646" s="3" t="n">
        <v>46321.77847222222</v>
      </c>
      <c r="AI646" s="3" t="n">
        <v>46321.78055555555</v>
      </c>
      <c r="AJ646" s="2" t="inlineStr"/>
    </row>
    <row r="647">
      <c r="A647" s="2" t="n">
        <v>646</v>
      </c>
      <c r="B647" s="2" t="inlineStr">
        <is>
          <t>603C</t>
        </is>
      </c>
      <c r="C647" s="3" t="n">
        <v>45966.63680555556</v>
      </c>
      <c r="D647" s="2" t="inlineStr">
        <is>
          <t>Original</t>
        </is>
      </c>
      <c r="E647" s="2" t="inlineStr">
        <is>
          <t>CH</t>
        </is>
      </c>
      <c r="F64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47" s="2" t="inlineStr">
        <is>
          <t>Art. 136.º-A (aditamento)</t>
        </is>
      </c>
      <c r="H647" s="2" t="n"/>
      <c r="I647" s="2" t="n"/>
      <c r="J647" s="2" t="n"/>
      <c r="K647" s="2" t="n"/>
      <c r="L647" s="2" t="inlineStr">
        <is>
          <t>Artigo 136.º-A (Programa de atribuição de Bolsas de Estudo para Formação Artística no Exterior)</t>
        </is>
      </c>
      <c r="M647" s="4" t="n"/>
      <c r="N647" s="4" t="n"/>
      <c r="O647" s="2" t="n"/>
      <c r="P647" s="2" t="n"/>
      <c r="Q647" s="2" t="n"/>
      <c r="R647" s="2" t="n"/>
      <c r="S647" s="2" t="inlineStr">
        <is>
          <t>Rejeitado(a) em Comissão</t>
        </is>
      </c>
      <c r="T647" s="2" t="inlineStr">
        <is>
          <t>Rejeitada</t>
        </is>
      </c>
      <c r="U647" s="2" t="inlineStr">
        <is>
          <t>Favor: CH, BE, PAN; Contra: PSD, CDS-PP; Abstenção: PS, IL, L, PCP</t>
        </is>
      </c>
      <c r="V647" s="3" t="n">
        <v>45987</v>
      </c>
      <c r="W647" s="2" t="inlineStr">
        <is>
          <t>AR: https://www.parlamento.pt/OrcamentoEstado/Paginas/DetalhePropostaAlteracao.aspx?BID=23828 PDF: https://app.parlamento.pt/webutils/docs/doc.pdf?path=6148523063484d364c793942556b356c6443397a6158526c63793959566b6c4a544556484c3039464c7a49774d6a59794d4449314d5441774f533951515338784e7a6b344d6d56684d43316b593259794c54517a4e7a637459545a694f4330305a6a55355a44686a4e6a466b4f5445756347526d&amp;Fich=17982ea0-dcf2-4377-a6b8-4f59d8c61d91.pdf&amp;Inline=true</t>
        </is>
      </c>
      <c r="X647" s="2" t="inlineStr">
        <is>
          <t>Negócios Estrangeiros e Comunidades Portuguesas</t>
        </is>
      </c>
      <c r="Y647" s="2" t="inlineStr">
        <is>
          <t>Articulado</t>
        </is>
      </c>
      <c r="Z647" s="2" t="inlineStr">
        <is>
          <t>Aditamento (Artigo PPL)</t>
        </is>
      </c>
      <c r="AA647" s="2" t="inlineStr">
        <is>
          <t>Rejeitado(a) em Comissão</t>
        </is>
      </c>
      <c r="AB647" s="2" t="inlineStr"/>
      <c r="AC647" s="2" t="inlineStr"/>
      <c r="AD647" s="2" t="inlineStr">
        <is>
          <t>1</t>
        </is>
      </c>
      <c r="AE647" s="2" t="inlineStr">
        <is>
          <t>23828</t>
        </is>
      </c>
      <c r="AF647" s="2" t="inlineStr">
        <is>
          <t>https://www.parlamento.pt/OrcamentoEstado/Paginas/DetalhePropostaAlteracao.aspx?BID=23828</t>
        </is>
      </c>
      <c r="AG647" s="2" t="inlineStr">
        <is>
          <t>https://app.parlamento.pt/webutils/docs/doc.pdf?path=6148523063484d364c793942556b356c6443397a6158526c63793959566b6c4a544556484c3039464c7a49774d6a59794d4449314d5441774f533951515338784e7a6b344d6d56684d43316b593259794c54517a4e7a637459545a694f4330305a6a55355a44686a4e6a466b4f5445756347526d&amp;Fich=17982ea0-dcf2-4377-a6b8-4f59d8c61d91.pdf&amp;Inline=true</t>
        </is>
      </c>
      <c r="AH647" s="3" t="n">
        <v>46321.77847222222</v>
      </c>
      <c r="AI647" s="3" t="n">
        <v>46321.78055555555</v>
      </c>
      <c r="AJ647" s="2" t="inlineStr"/>
    </row>
    <row r="648">
      <c r="A648" s="2" t="n">
        <v>647</v>
      </c>
      <c r="B648" s="2" t="inlineStr">
        <is>
          <t>604C</t>
        </is>
      </c>
      <c r="C648" s="3" t="n">
        <v>45966.64444444444</v>
      </c>
      <c r="D648" s="2" t="inlineStr">
        <is>
          <t>Original</t>
        </is>
      </c>
      <c r="E648" s="2" t="inlineStr">
        <is>
          <t>CH</t>
        </is>
      </c>
      <c r="F64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48" s="2" t="inlineStr">
        <is>
          <t>Art. 136.º-A (aditamento)</t>
        </is>
      </c>
      <c r="H648" s="2" t="n"/>
      <c r="I648" s="2" t="n"/>
      <c r="J648" s="2" t="n"/>
      <c r="K648" s="2" t="n"/>
      <c r="L648" s="2" t="inlineStr">
        <is>
          <t>Artigo 136.º-A (Criação de Centros de Cultura e Tecnologia)</t>
        </is>
      </c>
      <c r="M648" s="4" t="n"/>
      <c r="N648" s="4" t="n"/>
      <c r="O648" s="2" t="n"/>
      <c r="P648" s="2" t="n"/>
      <c r="Q648" s="2" t="n"/>
      <c r="R648" s="2" t="n"/>
      <c r="S648" s="2" t="inlineStr">
        <is>
          <t>Rejeitado(a) em Comissão</t>
        </is>
      </c>
      <c r="T648" s="2" t="inlineStr">
        <is>
          <t>Rejeitada</t>
        </is>
      </c>
      <c r="U648" s="2" t="inlineStr">
        <is>
          <t>Favor: CH; Contra: PSD, IL, CDS-PP; Abstenção: PS, L, PCP, BE, PAN</t>
        </is>
      </c>
      <c r="V648" s="3" t="n">
        <v>45987</v>
      </c>
      <c r="W648" s="2" t="inlineStr">
        <is>
          <t>AR: https://www.parlamento.pt/OrcamentoEstado/Paginas/DetalhePropostaAlteracao.aspx?BID=23830 PDF: https://app.parlamento.pt/webutils/docs/doc.pdf?path=6148523063484d364c793942556b356c6443397a6158526c63793959566b6c4a544556484c3039464c7a49774d6a59794d4449314d5441774f5339515153396a4e6a5933597a466a4d43316a4d5759304c5452694e7a4d744f474e695a69316b4d324d334f446b335a4445325a5467756347526d&amp;Fich=c667c1c0-c1f4-4b73-8cbf-d3c7897d16e8.pdf&amp;Inline=true</t>
        </is>
      </c>
      <c r="X648" s="2" t="inlineStr">
        <is>
          <t>Educação e Ciência</t>
        </is>
      </c>
      <c r="Y648" s="2" t="inlineStr">
        <is>
          <t>Articulado</t>
        </is>
      </c>
      <c r="Z648" s="2" t="inlineStr">
        <is>
          <t>Aditamento (Artigo PPL)</t>
        </is>
      </c>
      <c r="AA648" s="2" t="inlineStr">
        <is>
          <t>Rejeitado(a) em Comissão</t>
        </is>
      </c>
      <c r="AB648" s="2" t="inlineStr"/>
      <c r="AC648" s="2" t="inlineStr"/>
      <c r="AD648" s="2" t="inlineStr">
        <is>
          <t>1</t>
        </is>
      </c>
      <c r="AE648" s="2" t="inlineStr">
        <is>
          <t>23830</t>
        </is>
      </c>
      <c r="AF648" s="2" t="inlineStr">
        <is>
          <t>https://www.parlamento.pt/OrcamentoEstado/Paginas/DetalhePropostaAlteracao.aspx?BID=23830</t>
        </is>
      </c>
      <c r="AG648" s="2" t="inlineStr">
        <is>
          <t>https://app.parlamento.pt/webutils/docs/doc.pdf?path=6148523063484d364c793942556b356c6443397a6158526c63793959566b6c4a544556484c3039464c7a49774d6a59794d4449314d5441774f5339515153396a4e6a5933597a466a4d43316a4d5759304c5452694e7a4d744f474e695a69316b4d324d334f446b335a4445325a5467756347526d&amp;Fich=c667c1c0-c1f4-4b73-8cbf-d3c7897d16e8.pdf&amp;Inline=true</t>
        </is>
      </c>
      <c r="AH648" s="3" t="n">
        <v>46321.77847222222</v>
      </c>
      <c r="AI648" s="3" t="n">
        <v>46321.78055555555</v>
      </c>
      <c r="AJ648" s="2" t="inlineStr"/>
    </row>
    <row r="649">
      <c r="A649" s="2" t="n">
        <v>648</v>
      </c>
      <c r="B649" s="2" t="inlineStr">
        <is>
          <t>605C</t>
        </is>
      </c>
      <c r="C649" s="3" t="n">
        <v>45966.64513888889</v>
      </c>
      <c r="D649" s="2" t="inlineStr">
        <is>
          <t>Original</t>
        </is>
      </c>
      <c r="E649" s="2" t="inlineStr">
        <is>
          <t>CH</t>
        </is>
      </c>
      <c r="F64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49" s="2" t="inlineStr">
        <is>
          <t>Art. 136.º-A (aditamento)</t>
        </is>
      </c>
      <c r="H649" s="2" t="n"/>
      <c r="I649" s="2" t="n"/>
      <c r="J649" s="2" t="n"/>
      <c r="K649" s="2" t="n"/>
      <c r="L649" s="2" t="inlineStr">
        <is>
          <t>Artigo 136.º-A (Garantia do acesso ao ensino secundário em todos os concelhos do país)</t>
        </is>
      </c>
      <c r="M649" s="4" t="n"/>
      <c r="N649" s="4" t="n"/>
      <c r="O649" s="2" t="n"/>
      <c r="P649" s="2" t="n"/>
      <c r="Q649" s="2" t="n"/>
      <c r="R649" s="2" t="n"/>
      <c r="S649" s="2" t="inlineStr">
        <is>
          <t>Rejeitado(a) em Comissão</t>
        </is>
      </c>
      <c r="T649" s="2" t="inlineStr">
        <is>
          <t>Rejeitada</t>
        </is>
      </c>
      <c r="U649" s="2" t="inlineStr">
        <is>
          <t>Favor: CH, BE, PAN; Contra: PSD, CDS-PP; Abstenção: PS, IL, L, PCP</t>
        </is>
      </c>
      <c r="V649" s="3" t="n">
        <v>45987</v>
      </c>
      <c r="W649" s="2" t="inlineStr">
        <is>
          <t>AR: https://www.parlamento.pt/OrcamentoEstado/Paginas/DetalhePropostaAlteracao.aspx?BID=23831 PDF: https://app.parlamento.pt/webutils/docs/doc.pdf?path=6148523063484d364c793942556b356c6443397a6158526c63793959566b6c4a544556484c3039464c7a49774d6a59794d4449314d5441774f533951515338794d7a513559546c6a4e6931694d475a6a4c5451314e7a45744f5752694d7930314e44426b5a4463354e6a51304e6d49756347526d&amp;Fich=2349a9c6-b0fc-4571-9db3-540dd796446b.pdf&amp;Inline=true</t>
        </is>
      </c>
      <c r="X649" s="2" t="inlineStr">
        <is>
          <t>Educação e Ciência</t>
        </is>
      </c>
      <c r="Y649" s="2" t="inlineStr">
        <is>
          <t>Articulado</t>
        </is>
      </c>
      <c r="Z649" s="2" t="inlineStr">
        <is>
          <t>Aditamento (Artigo PPL)</t>
        </is>
      </c>
      <c r="AA649" s="2" t="inlineStr">
        <is>
          <t>Rejeitado(a) em Comissão</t>
        </is>
      </c>
      <c r="AB649" s="2" t="inlineStr"/>
      <c r="AC649" s="2" t="inlineStr"/>
      <c r="AD649" s="2" t="inlineStr">
        <is>
          <t>1</t>
        </is>
      </c>
      <c r="AE649" s="2" t="inlineStr">
        <is>
          <t>23831</t>
        </is>
      </c>
      <c r="AF649" s="2" t="inlineStr">
        <is>
          <t>https://www.parlamento.pt/OrcamentoEstado/Paginas/DetalhePropostaAlteracao.aspx?BID=23831</t>
        </is>
      </c>
      <c r="AG649" s="2" t="inlineStr">
        <is>
          <t>https://app.parlamento.pt/webutils/docs/doc.pdf?path=6148523063484d364c793942556b356c6443397a6158526c63793959566b6c4a544556484c3039464c7a49774d6a59794d4449314d5441774f533951515338794d7a513559546c6a4e6931694d475a6a4c5451314e7a45744f5752694d7930314e44426b5a4463354e6a51304e6d49756347526d&amp;Fich=2349a9c6-b0fc-4571-9db3-540dd796446b.pdf&amp;Inline=true</t>
        </is>
      </c>
      <c r="AH649" s="3" t="n">
        <v>46321.77847222222</v>
      </c>
      <c r="AI649" s="3" t="n">
        <v>46321.78055555555</v>
      </c>
      <c r="AJ649" s="2" t="inlineStr"/>
    </row>
    <row r="650">
      <c r="A650" s="2" t="n">
        <v>649</v>
      </c>
      <c r="B650" s="2" t="inlineStr">
        <is>
          <t>606C</t>
        </is>
      </c>
      <c r="C650" s="3" t="n">
        <v>45966.64513888889</v>
      </c>
      <c r="D650" s="2" t="inlineStr">
        <is>
          <t>Original</t>
        </is>
      </c>
      <c r="E650" s="2" t="inlineStr">
        <is>
          <t>L</t>
        </is>
      </c>
      <c r="F650" s="2" t="inlineStr">
        <is>
          <t>Filipa Pinto; Isabel Mendes Lopes; Jorge Pinto; Patrícia Gonçalves; Paulo Muacho; Rui Tavares</t>
        </is>
      </c>
      <c r="G650" s="2" t="inlineStr">
        <is>
          <t>Art. 126.º-A (aditamento)</t>
        </is>
      </c>
      <c r="H650" s="2" t="n"/>
      <c r="I650" s="2" t="n"/>
      <c r="J650" s="2" t="n"/>
      <c r="K650" s="2" t="n"/>
      <c r="L650" s="2" t="inlineStr">
        <is>
          <t>Artigo 126.º-A (Restauro e valorização da biodiversidade e dos serviços dos ecossistemas)</t>
        </is>
      </c>
      <c r="M650" s="4" t="n"/>
      <c r="N650" s="4" t="n"/>
      <c r="O650" s="2" t="n"/>
      <c r="P650" s="2" t="n"/>
      <c r="Q650" s="2" t="n"/>
      <c r="R650" s="2" t="n"/>
      <c r="S650" s="2" t="inlineStr">
        <is>
          <t>Rejeitado(a) em Comissão</t>
        </is>
      </c>
      <c r="T650" s="2" t="inlineStr">
        <is>
          <t>Rejeitada</t>
        </is>
      </c>
      <c r="U650" s="2" t="inlineStr">
        <is>
          <t>Favor: L, BE, PAN; Contra: PSD, CH, IL, CDS-PP; Abstenção: PS, PCP</t>
        </is>
      </c>
      <c r="V650" s="3" t="n">
        <v>45985</v>
      </c>
      <c r="W650" s="2" t="inlineStr">
        <is>
          <t>AR: https://www.parlamento.pt/OrcamentoEstado/Paginas/DetalhePropostaAlteracao.aspx?BID=23832 PDF: https://app.parlamento.pt/webutils/docs/doc.pdf?path=6148523063484d364c793942556b356c6443397a6158526c63793959566b6c4a544556484c3039464c7a49774d6a59794d4449314d5441774f5339515153396c597a646a4e57466b5a4330784e3251354c545179597a41744f44466b4e43316c5a6d55305a47597a4e6a6c694f5751756347526d&amp;Fich=ec7c5add-17d9-42c0-81d4-efe4df369b9d.pdf&amp;Inline=true</t>
        </is>
      </c>
      <c r="X650" s="2" t="inlineStr">
        <is>
          <t>Ambiente e Energia</t>
        </is>
      </c>
      <c r="Y650" s="2" t="inlineStr">
        <is>
          <t>Articulado</t>
        </is>
      </c>
      <c r="Z650" s="2" t="inlineStr">
        <is>
          <t>Aditamento (Artigo PPL)</t>
        </is>
      </c>
      <c r="AA650" s="2" t="inlineStr">
        <is>
          <t>Rejeitado(a) em Comissão</t>
        </is>
      </c>
      <c r="AB650" s="2" t="inlineStr"/>
      <c r="AC650" s="2" t="inlineStr"/>
      <c r="AD650" s="2" t="inlineStr">
        <is>
          <t>1</t>
        </is>
      </c>
      <c r="AE650" s="2" t="inlineStr">
        <is>
          <t>23832</t>
        </is>
      </c>
      <c r="AF650" s="2" t="inlineStr">
        <is>
          <t>https://www.parlamento.pt/OrcamentoEstado/Paginas/DetalhePropostaAlteracao.aspx?BID=23832</t>
        </is>
      </c>
      <c r="AG650" s="2" t="inlineStr">
        <is>
          <t>https://app.parlamento.pt/webutils/docs/doc.pdf?path=6148523063484d364c793942556b356c6443397a6158526c63793959566b6c4a544556484c3039464c7a49774d6a59794d4449314d5441774f5339515153396c597a646a4e57466b5a4330784e3251354c545179597a41744f44466b4e43316c5a6d55305a47597a4e6a6c694f5751756347526d&amp;Fich=ec7c5add-17d9-42c0-81d4-efe4df369b9d.pdf&amp;Inline=true</t>
        </is>
      </c>
      <c r="AH650" s="3" t="n">
        <v>46321.77847222222</v>
      </c>
      <c r="AI650" s="3" t="n">
        <v>46321.78055555555</v>
      </c>
      <c r="AJ650" s="2" t="inlineStr"/>
    </row>
    <row r="651">
      <c r="A651" s="2" t="n">
        <v>650</v>
      </c>
      <c r="B651" s="2" t="inlineStr">
        <is>
          <t>607C</t>
        </is>
      </c>
      <c r="C651" s="3" t="n">
        <v>45966.64722222222</v>
      </c>
      <c r="D651" s="2" t="inlineStr">
        <is>
          <t>Original</t>
        </is>
      </c>
      <c r="E651" s="2" t="inlineStr">
        <is>
          <t>CH</t>
        </is>
      </c>
      <c r="F65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51" s="2" t="inlineStr">
        <is>
          <t>Art. 136.º-A (aditamento)</t>
        </is>
      </c>
      <c r="H651" s="2" t="n"/>
      <c r="I651" s="2" t="n"/>
      <c r="J651" s="2" t="n"/>
      <c r="K651" s="2" t="n"/>
      <c r="L651" s="2" t="inlineStr">
        <is>
          <t>Artigo 136.º-A (Programa de mobilidade interna)</t>
        </is>
      </c>
      <c r="M651" s="4" t="n"/>
      <c r="N651" s="4" t="n"/>
      <c r="O651" s="2" t="n"/>
      <c r="P651" s="2" t="n"/>
      <c r="Q651" s="2" t="n"/>
      <c r="R651" s="2" t="n"/>
      <c r="S651" s="2" t="inlineStr">
        <is>
          <t>Rejeitado(a) em Comissão</t>
        </is>
      </c>
      <c r="T651" s="2" t="inlineStr">
        <is>
          <t>Rejeitada</t>
        </is>
      </c>
      <c r="U651" s="2" t="inlineStr">
        <is>
          <t>Favor: CH, IL, BE, PAN; Contra: PSD, CDS-PP; Abstenção: PS, L, PCP</t>
        </is>
      </c>
      <c r="V651" s="3" t="n">
        <v>45987</v>
      </c>
      <c r="W651" s="2" t="inlineStr">
        <is>
          <t>AR: https://www.parlamento.pt/OrcamentoEstado/Paginas/DetalhePropostaAlteracao.aspx?BID=23833 PDF: https://app.parlamento.pt/webutils/docs/doc.pdf?path=6148523063484d364c793942556b356c6443397a6158526c63793959566b6c4a544556484c3039464c7a49774d6a59794d4449314d5441774f533951515338314e5459784d4456685a43316c4f54686b4c5451784e7a557459574a6b59693077597a49314e444e6b5a4451314e5755756347526d&amp;Fich=556105ad-e98d-4175-abdb-0c2543dd455e.pdf&amp;Inline=true</t>
        </is>
      </c>
      <c r="X651" s="2" t="inlineStr">
        <is>
          <t>Educação e Ciência</t>
        </is>
      </c>
      <c r="Y651" s="2" t="inlineStr">
        <is>
          <t>Articulado</t>
        </is>
      </c>
      <c r="Z651" s="2" t="inlineStr">
        <is>
          <t>Aditamento (Artigo PPL)</t>
        </is>
      </c>
      <c r="AA651" s="2" t="inlineStr">
        <is>
          <t>Rejeitado(a) em Comissão</t>
        </is>
      </c>
      <c r="AB651" s="2" t="inlineStr"/>
      <c r="AC651" s="2" t="inlineStr"/>
      <c r="AD651" s="2" t="inlineStr">
        <is>
          <t>1</t>
        </is>
      </c>
      <c r="AE651" s="2" t="inlineStr">
        <is>
          <t>23833</t>
        </is>
      </c>
      <c r="AF651" s="2" t="inlineStr">
        <is>
          <t>https://www.parlamento.pt/OrcamentoEstado/Paginas/DetalhePropostaAlteracao.aspx?BID=23833</t>
        </is>
      </c>
      <c r="AG651" s="2" t="inlineStr">
        <is>
          <t>https://app.parlamento.pt/webutils/docs/doc.pdf?path=6148523063484d364c793942556b356c6443397a6158526c63793959566b6c4a544556484c3039464c7a49774d6a59794d4449314d5441774f533951515338314e5459784d4456685a43316c4f54686b4c5451784e7a557459574a6b59693077597a49314e444e6b5a4451314e5755756347526d&amp;Fich=556105ad-e98d-4175-abdb-0c2543dd455e.pdf&amp;Inline=true</t>
        </is>
      </c>
      <c r="AH651" s="3" t="n">
        <v>46321.77847222222</v>
      </c>
      <c r="AI651" s="3" t="n">
        <v>46321.78055555555</v>
      </c>
      <c r="AJ651" s="2" t="inlineStr"/>
    </row>
    <row r="652">
      <c r="A652" s="2" t="n">
        <v>651</v>
      </c>
      <c r="B652" s="2" t="inlineStr">
        <is>
          <t>608C</t>
        </is>
      </c>
      <c r="C652" s="3" t="n">
        <v>45966.64791666667</v>
      </c>
      <c r="D652" s="2" t="inlineStr">
        <is>
          <t>Original</t>
        </is>
      </c>
      <c r="E652" s="2" t="inlineStr">
        <is>
          <t>L</t>
        </is>
      </c>
      <c r="F652" s="2" t="inlineStr">
        <is>
          <t>Filipa Pinto; Isabel Mendes Lopes; Jorge Pinto; Patrícia Gonçalves; Paulo Muacho; Rui Tavares</t>
        </is>
      </c>
      <c r="G652" s="2" t="inlineStr">
        <is>
          <t>Art. 126.º-A (aditamento)</t>
        </is>
      </c>
      <c r="H652" s="2" t="n"/>
      <c r="I652" s="2" t="n"/>
      <c r="J652" s="2" t="n"/>
      <c r="K652" s="2" t="n"/>
      <c r="L652" s="2" t="inlineStr">
        <is>
          <t>Artigo 126.º-A (Programa de gestão de combustível e modelação de paisagem na Serra da Estrela)</t>
        </is>
      </c>
      <c r="M652" s="4" t="n"/>
      <c r="N652" s="4" t="n"/>
      <c r="O652" s="2" t="n"/>
      <c r="P652" s="2" t="n"/>
      <c r="Q652" s="2" t="n"/>
      <c r="R652" s="2" t="n"/>
      <c r="S652" s="2" t="inlineStr">
        <is>
          <t>Rejeitado(a) em Comissão</t>
        </is>
      </c>
      <c r="T652" s="2" t="inlineStr">
        <is>
          <t>Rejeitada</t>
        </is>
      </c>
      <c r="U652" s="2" t="inlineStr">
        <is>
          <t>Favor: L, BE, PAN; Contra: PSD, PCP, CDS-PP; Abstenção: CH, PS, IL</t>
        </is>
      </c>
      <c r="V652" s="3" t="n">
        <v>45985</v>
      </c>
      <c r="W652" s="2" t="inlineStr">
        <is>
          <t>AR: https://www.parlamento.pt/OrcamentoEstado/Paginas/DetalhePropostaAlteracao.aspx?BID=23834 PDF: https://app.parlamento.pt/webutils/docs/doc.pdf?path=6148523063484d364c793942556b356c6443397a6158526c63793959566b6c4a544556484c3039464c7a49774d6a59794d4449314d5441774f533951515338305a6a5a694d474a6d4d7930324e6a51304c54517a4e444d744f57466d5a4330315a544a6c4f444d335a4445314d5749756347526d&amp;Fich=4f6b0bf3-6644-4343-9afd-5e2e837d151b.pdf&amp;Inline=true</t>
        </is>
      </c>
      <c r="X652" s="2" t="inlineStr">
        <is>
          <t>Ambiente e Energia</t>
        </is>
      </c>
      <c r="Y652" s="2" t="inlineStr">
        <is>
          <t>Articulado</t>
        </is>
      </c>
      <c r="Z652" s="2" t="inlineStr">
        <is>
          <t>Aditamento (Artigo PPL)</t>
        </is>
      </c>
      <c r="AA652" s="2" t="inlineStr">
        <is>
          <t>Rejeitado(a) em Comissão</t>
        </is>
      </c>
      <c r="AB652" s="2" t="inlineStr"/>
      <c r="AC652" s="2" t="inlineStr"/>
      <c r="AD652" s="2" t="inlineStr">
        <is>
          <t>1</t>
        </is>
      </c>
      <c r="AE652" s="2" t="inlineStr">
        <is>
          <t>23834</t>
        </is>
      </c>
      <c r="AF652" s="2" t="inlineStr">
        <is>
          <t>https://www.parlamento.pt/OrcamentoEstado/Paginas/DetalhePropostaAlteracao.aspx?BID=23834</t>
        </is>
      </c>
      <c r="AG652" s="2" t="inlineStr">
        <is>
          <t>https://app.parlamento.pt/webutils/docs/doc.pdf?path=6148523063484d364c793942556b356c6443397a6158526c63793959566b6c4a544556484c3039464c7a49774d6a59794d4449314d5441774f533951515338305a6a5a694d474a6d4d7930324e6a51304c54517a4e444d744f57466d5a4330315a544a6c4f444d335a4445314d5749756347526d&amp;Fich=4f6b0bf3-6644-4343-9afd-5e2e837d151b.pdf&amp;Inline=true</t>
        </is>
      </c>
      <c r="AH652" s="3" t="n">
        <v>46321.77847222222</v>
      </c>
      <c r="AI652" s="3" t="n">
        <v>46321.78055555555</v>
      </c>
      <c r="AJ652" s="2" t="inlineStr"/>
    </row>
    <row r="653">
      <c r="A653" s="2" t="n">
        <v>652</v>
      </c>
      <c r="B653" s="2" t="inlineStr">
        <is>
          <t>609C</t>
        </is>
      </c>
      <c r="C653" s="3" t="n">
        <v>45966.64791666667</v>
      </c>
      <c r="D653" s="2" t="inlineStr">
        <is>
          <t>Original</t>
        </is>
      </c>
      <c r="E653" s="2" t="inlineStr">
        <is>
          <t>CH</t>
        </is>
      </c>
      <c r="F65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53" s="2" t="inlineStr">
        <is>
          <t>Art. 136.º-A (aditamento)</t>
        </is>
      </c>
      <c r="H653" s="2" t="n"/>
      <c r="I653" s="2" t="n"/>
      <c r="J653" s="2" t="n"/>
      <c r="K653" s="2" t="n"/>
      <c r="L653" s="2" t="inlineStr">
        <is>
          <t>Artigo 136.º-A (Reformulação do Cálculo das pensões de Reforma dos Militares do Quadro Permanente das Forças Armadas)</t>
        </is>
      </c>
      <c r="M653" s="4" t="n"/>
      <c r="N653" s="4" t="n"/>
      <c r="O653" s="2" t="n"/>
      <c r="P653" s="2" t="n"/>
      <c r="Q653" s="2" t="n"/>
      <c r="R653" s="2" t="n"/>
      <c r="S653" s="2" t="inlineStr">
        <is>
          <t>Rejeitado(a) em Comissão</t>
        </is>
      </c>
      <c r="T653" s="2" t="inlineStr">
        <is>
          <t>Rejeitada</t>
        </is>
      </c>
      <c r="U653" s="2" t="inlineStr">
        <is>
          <t>Favor: CH, BE, PAN; Contra: PSD, PS, IL, CDS-PP; Abstenção: L, PCP</t>
        </is>
      </c>
      <c r="V653" s="3" t="n">
        <v>45987</v>
      </c>
      <c r="W653" s="2" t="inlineStr">
        <is>
          <t>AR: https://www.parlamento.pt/OrcamentoEstado/Paginas/DetalhePropostaAlteracao.aspx?BID=23835 PDF: https://app.parlamento.pt/webutils/docs/doc.pdf?path=6148523063484d364c793942556b356c6443397a6158526c63793959566b6c4a544556484c3039464c7a49774d6a59794d4449314d5441774f5339515153396b4f5745304d5451344e79316d59325a6b4c5452694f444d744f57597a597930314e6d49335a47597a4e7a4935596d49756347526d&amp;Fich=d9a41487-fcfd-4b83-9f3c-56b7df3729bb.pdf&amp;Inline=true</t>
        </is>
      </c>
      <c r="X653" s="2" t="inlineStr">
        <is>
          <t>Defesa Nacional</t>
        </is>
      </c>
      <c r="Y653" s="2" t="inlineStr">
        <is>
          <t>Articulado</t>
        </is>
      </c>
      <c r="Z653" s="2" t="inlineStr">
        <is>
          <t>Aditamento (Artigo PPL)</t>
        </is>
      </c>
      <c r="AA653" s="2" t="inlineStr">
        <is>
          <t>Rejeitado(a) em Comissão</t>
        </is>
      </c>
      <c r="AB653" s="2" t="inlineStr"/>
      <c r="AC653" s="2" t="inlineStr"/>
      <c r="AD653" s="2" t="inlineStr">
        <is>
          <t>1</t>
        </is>
      </c>
      <c r="AE653" s="2" t="inlineStr">
        <is>
          <t>23835</t>
        </is>
      </c>
      <c r="AF653" s="2" t="inlineStr">
        <is>
          <t>https://www.parlamento.pt/OrcamentoEstado/Paginas/DetalhePropostaAlteracao.aspx?BID=23835</t>
        </is>
      </c>
      <c r="AG653" s="2" t="inlineStr">
        <is>
          <t>https://app.parlamento.pt/webutils/docs/doc.pdf?path=6148523063484d364c793942556b356c6443397a6158526c63793959566b6c4a544556484c3039464c7a49774d6a59794d4449314d5441774f5339515153396b4f5745304d5451344e79316d59325a6b4c5452694f444d744f57597a597930314e6d49335a47597a4e7a4935596d49756347526d&amp;Fich=d9a41487-fcfd-4b83-9f3c-56b7df3729bb.pdf&amp;Inline=true</t>
        </is>
      </c>
      <c r="AH653" s="3" t="n">
        <v>46321.77847222222</v>
      </c>
      <c r="AI653" s="3" t="n">
        <v>46321.78055555555</v>
      </c>
      <c r="AJ653" s="2" t="inlineStr"/>
    </row>
    <row r="654">
      <c r="A654" s="2" t="n">
        <v>653</v>
      </c>
      <c r="B654" s="2" t="inlineStr">
        <is>
          <t>610C</t>
        </is>
      </c>
      <c r="C654" s="3" t="n">
        <v>45966.64861111111</v>
      </c>
      <c r="D654" s="2" t="inlineStr">
        <is>
          <t>Original</t>
        </is>
      </c>
      <c r="E654" s="2" t="inlineStr">
        <is>
          <t>CH</t>
        </is>
      </c>
      <c r="F65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54" s="2" t="inlineStr">
        <is>
          <t>Art. 136.º-A (aditamento)</t>
        </is>
      </c>
      <c r="H654" s="2" t="n"/>
      <c r="I654" s="2" t="n"/>
      <c r="J654" s="2" t="n"/>
      <c r="K654" s="2" t="n"/>
      <c r="L654" s="2" t="inlineStr">
        <is>
          <t>Artigo 136.º-A (Mecanismo Extraordinário de Garantia de Proteção Social Para Trabalhadores dos Serviços Periféricos Externos do Ministério dos Negócios Estrangeiros)</t>
        </is>
      </c>
      <c r="M654" s="4" t="n"/>
      <c r="N654" s="4" t="n"/>
      <c r="O654" s="2" t="n"/>
      <c r="P654" s="2" t="n"/>
      <c r="Q654" s="2" t="n"/>
      <c r="R654" s="2" t="n"/>
      <c r="S654" s="2" t="inlineStr">
        <is>
          <t>Rejeitado(a) em Comissão</t>
        </is>
      </c>
      <c r="T654" s="2" t="inlineStr">
        <is>
          <t>Rejeitada</t>
        </is>
      </c>
      <c r="U654" s="2" t="inlineStr">
        <is>
          <t>Favor: CH, BE, PAN; Contra: PSD, CDS-PP; Abstenção: PS, IL, L, PCP</t>
        </is>
      </c>
      <c r="V654" s="3" t="n">
        <v>45987</v>
      </c>
      <c r="W654" s="2" t="inlineStr">
        <is>
          <t>AR: https://www.parlamento.pt/OrcamentoEstado/Paginas/DetalhePropostaAlteracao.aspx?BID=23836 PDF: https://app.parlamento.pt/webutils/docs/doc.pdf?path=6148523063484d364c793942556b356c6443397a6158526c63793959566b6c4a544556484c3039464c7a49774d6a59794d4449314d5441774f533951515338304d5445774e325579597930795a6a4e6b4c5451344e546b744f444e6a4e69316a4d7a557a597a5a6b4e574e694d4751756347526d&amp;Fich=41107e2c-2f3d-4859-83c6-c353c6d5cb0d.pdf&amp;Inline=true</t>
        </is>
      </c>
      <c r="X654" s="2" t="inlineStr">
        <is>
          <t>Negócios Estrangeiros e Comunidades Portuguesas</t>
        </is>
      </c>
      <c r="Y654" s="2" t="inlineStr">
        <is>
          <t>Articulado</t>
        </is>
      </c>
      <c r="Z654" s="2" t="inlineStr">
        <is>
          <t>Aditamento (Artigo PPL)</t>
        </is>
      </c>
      <c r="AA654" s="2" t="inlineStr">
        <is>
          <t>Rejeitado(a) em Comissão</t>
        </is>
      </c>
      <c r="AB654" s="2" t="inlineStr"/>
      <c r="AC654" s="2" t="inlineStr"/>
      <c r="AD654" s="2" t="inlineStr">
        <is>
          <t>1</t>
        </is>
      </c>
      <c r="AE654" s="2" t="inlineStr">
        <is>
          <t>23836</t>
        </is>
      </c>
      <c r="AF654" s="2" t="inlineStr">
        <is>
          <t>https://www.parlamento.pt/OrcamentoEstado/Paginas/DetalhePropostaAlteracao.aspx?BID=23836</t>
        </is>
      </c>
      <c r="AG654" s="2" t="inlineStr">
        <is>
          <t>https://app.parlamento.pt/webutils/docs/doc.pdf?path=6148523063484d364c793942556b356c6443397a6158526c63793959566b6c4a544556484c3039464c7a49774d6a59794d4449314d5441774f533951515338304d5445774e325579597930795a6a4e6b4c5451344e546b744f444e6a4e69316a4d7a557a597a5a6b4e574e694d4751756347526d&amp;Fich=41107e2c-2f3d-4859-83c6-c353c6d5cb0d.pdf&amp;Inline=true</t>
        </is>
      </c>
      <c r="AH654" s="3" t="n">
        <v>46321.77847222222</v>
      </c>
      <c r="AI654" s="3" t="n">
        <v>46321.78055555555</v>
      </c>
      <c r="AJ654" s="2" t="inlineStr"/>
    </row>
    <row r="655">
      <c r="A655" s="2" t="n">
        <v>654</v>
      </c>
      <c r="B655" s="2" t="inlineStr">
        <is>
          <t>611C</t>
        </is>
      </c>
      <c r="C655" s="3" t="n">
        <v>45966.65972222222</v>
      </c>
      <c r="D655" s="2" t="inlineStr">
        <is>
          <t>Original</t>
        </is>
      </c>
      <c r="E655" s="2" t="inlineStr">
        <is>
          <t>L</t>
        </is>
      </c>
      <c r="F655" s="2" t="inlineStr">
        <is>
          <t>Filipa Pinto; Isabel Mendes Lopes; Jorge Pinto; Patrícia Gonçalves; Paulo Muacho; Rui Tavares</t>
        </is>
      </c>
      <c r="G655" s="2" t="inlineStr">
        <is>
          <t>Art. 126.º-A (aditamento)</t>
        </is>
      </c>
      <c r="H655" s="2" t="n"/>
      <c r="I655" s="2" t="n"/>
      <c r="J655" s="2" t="n"/>
      <c r="K655" s="2" t="n"/>
      <c r="L655" s="2" t="inlineStr">
        <is>
          <t>Artigo 126.º-A (Conservação do gato-bravo europeu no Parque Natural de Montesinho)</t>
        </is>
      </c>
      <c r="M655" s="4" t="n"/>
      <c r="N655" s="4" t="n"/>
      <c r="O655" s="2" t="n"/>
      <c r="P655" s="2" t="n"/>
      <c r="Q655" s="2" t="n"/>
      <c r="R655" s="2" t="n"/>
      <c r="S655" s="2" t="inlineStr">
        <is>
          <t>Rejeitado(a) em Comissão</t>
        </is>
      </c>
      <c r="T655" s="2" t="inlineStr">
        <is>
          <t>Rejeitada</t>
        </is>
      </c>
      <c r="U655" s="2" t="inlineStr">
        <is>
          <t>Favor: IL, L, PCP, BE, PAN; Contra: PSD, CDS-PP; Abstenção: CH, PS</t>
        </is>
      </c>
      <c r="V655" s="3" t="n">
        <v>45985</v>
      </c>
      <c r="W655" s="2" t="inlineStr">
        <is>
          <t>AR: https://www.parlamento.pt/OrcamentoEstado/Paginas/DetalhePropostaAlteracao.aspx?BID=23837 PDF: https://app.parlamento.pt/webutils/docs/doc.pdf?path=6148523063484d364c793942556b356c6443397a6158526c63793959566b6c4a544556484c3039464c7a49774d6a59794d4449314d5441774f533951515338314e3245774f4751794d6930794d6a45344c5451304f4467744f4751784d533078595445334d7a4d795a47566a4f5455756347526d&amp;Fich=57a08d22-2218-4488-8d11-1a17332dec95.pdf&amp;Inline=true</t>
        </is>
      </c>
      <c r="X655" s="2" t="inlineStr">
        <is>
          <t>Ambiente e Energia</t>
        </is>
      </c>
      <c r="Y655" s="2" t="inlineStr">
        <is>
          <t>Articulado</t>
        </is>
      </c>
      <c r="Z655" s="2" t="inlineStr">
        <is>
          <t>Aditamento (Artigo PPL)</t>
        </is>
      </c>
      <c r="AA655" s="2" t="inlineStr">
        <is>
          <t>Rejeitado(a) em Comissão</t>
        </is>
      </c>
      <c r="AB655" s="2" t="inlineStr"/>
      <c r="AC655" s="2" t="inlineStr"/>
      <c r="AD655" s="2" t="inlineStr">
        <is>
          <t>1</t>
        </is>
      </c>
      <c r="AE655" s="2" t="inlineStr">
        <is>
          <t>23837</t>
        </is>
      </c>
      <c r="AF655" s="2" t="inlineStr">
        <is>
          <t>https://www.parlamento.pt/OrcamentoEstado/Paginas/DetalhePropostaAlteracao.aspx?BID=23837</t>
        </is>
      </c>
      <c r="AG655" s="2" t="inlineStr">
        <is>
          <t>https://app.parlamento.pt/webutils/docs/doc.pdf?path=6148523063484d364c793942556b356c6443397a6158526c63793959566b6c4a544556484c3039464c7a49774d6a59794d4449314d5441774f533951515338314e3245774f4751794d6930794d6a45344c5451304f4467744f4751784d533078595445334d7a4d795a47566a4f5455756347526d&amp;Fich=57a08d22-2218-4488-8d11-1a17332dec95.pdf&amp;Inline=true</t>
        </is>
      </c>
      <c r="AH655" s="3" t="n">
        <v>46321.77847222222</v>
      </c>
      <c r="AI655" s="3" t="n">
        <v>46321.78055555555</v>
      </c>
      <c r="AJ655" s="2" t="inlineStr"/>
    </row>
    <row r="656">
      <c r="A656" s="2" t="n">
        <v>655</v>
      </c>
      <c r="B656" s="2" t="inlineStr">
        <is>
          <t>612C</t>
        </is>
      </c>
      <c r="C656" s="3" t="n">
        <v>45966.66458333333</v>
      </c>
      <c r="D656" s="2" t="inlineStr">
        <is>
          <t>Original</t>
        </is>
      </c>
      <c r="E656" s="2" t="inlineStr">
        <is>
          <t>L</t>
        </is>
      </c>
      <c r="F656" s="2" t="inlineStr">
        <is>
          <t>Filipa Pinto; Isabel Mendes Lopes; Jorge Pinto; Patrícia Gonçalves; Paulo Muacho; Rui Tavares</t>
        </is>
      </c>
      <c r="G656" s="2" t="inlineStr">
        <is>
          <t>Art. 46.º-A (aditamento)</t>
        </is>
      </c>
      <c r="H656" s="2" t="n"/>
      <c r="I656" s="2" t="n"/>
      <c r="J656" s="2" t="n"/>
      <c r="K656" s="2" t="n"/>
      <c r="L656" s="2" t="inlineStr">
        <is>
          <t>Artigo 46.º-A (Alteração à Lei n.º 34/2004, de 29 de Julho)</t>
        </is>
      </c>
      <c r="M656" s="4" t="n"/>
      <c r="N656" s="4" t="n"/>
      <c r="O656" s="2" t="n"/>
      <c r="P656" s="2" t="n"/>
      <c r="Q656" s="2" t="n"/>
      <c r="R656" s="2" t="n"/>
      <c r="S656" s="2" t="inlineStr">
        <is>
          <t>Rejeitado(a) em Comissão</t>
        </is>
      </c>
      <c r="T656" s="2" t="inlineStr">
        <is>
          <t>Rejeitada</t>
        </is>
      </c>
      <c r="U656" s="2" t="inlineStr">
        <is>
          <t>Favor: L, PCP, BE, PAN; Contra: PSD, IL, CDS-PP; Abstenção: CH, PS</t>
        </is>
      </c>
      <c r="V656" s="3" t="n">
        <v>45981</v>
      </c>
      <c r="W656" s="2" t="inlineStr">
        <is>
          <t>AR: https://www.parlamento.pt/OrcamentoEstado/Paginas/DetalhePropostaAlteracao.aspx?BID=23838 PDF: https://app.parlamento.pt/webutils/docs/doc.pdf?path=6148523063484d364c793942556b356c6443397a6158526c63793959566b6c4a544556484c3039464c7a49774d6a59794d4449314d5441774f5339515153387a4e544e694e7a51325a533168596d46684c54526d5a6d5974596d466a4e69307a5a6a557a4d444d32596d55355a4459756347526d&amp;Fich=353b746e-abaa-4fff-bac6-3f53036be9d6.pdf&amp;Inline=true</t>
        </is>
      </c>
      <c r="X656" s="2" t="inlineStr">
        <is>
          <t>Assuntos Constitucionais, Direitos, Liberdades e Garantias</t>
        </is>
      </c>
      <c r="Y656" s="2" t="inlineStr">
        <is>
          <t>Articulado</t>
        </is>
      </c>
      <c r="Z656" s="2" t="inlineStr">
        <is>
          <t>Aditamento (Artigo PPL)</t>
        </is>
      </c>
      <c r="AA656" s="2" t="inlineStr">
        <is>
          <t>Rejeitado(a) em Comissão</t>
        </is>
      </c>
      <c r="AB656" s="2" t="inlineStr"/>
      <c r="AC656" s="2" t="inlineStr"/>
      <c r="AD656" s="2" t="inlineStr">
        <is>
          <t>1</t>
        </is>
      </c>
      <c r="AE656" s="2" t="inlineStr">
        <is>
          <t>23838</t>
        </is>
      </c>
      <c r="AF656" s="2" t="inlineStr">
        <is>
          <t>https://www.parlamento.pt/OrcamentoEstado/Paginas/DetalhePropostaAlteracao.aspx?BID=23838</t>
        </is>
      </c>
      <c r="AG656" s="2" t="inlineStr">
        <is>
          <t>https://app.parlamento.pt/webutils/docs/doc.pdf?path=6148523063484d364c793942556b356c6443397a6158526c63793959566b6c4a544556484c3039464c7a49774d6a59794d4449314d5441774f5339515153387a4e544e694e7a51325a533168596d46684c54526d5a6d5974596d466a4e69307a5a6a557a4d444d32596d55355a4459756347526d&amp;Fich=353b746e-abaa-4fff-bac6-3f53036be9d6.pdf&amp;Inline=true</t>
        </is>
      </c>
      <c r="AH656" s="3" t="n">
        <v>46321.77847222222</v>
      </c>
      <c r="AI656" s="3" t="n">
        <v>46321.78055555555</v>
      </c>
      <c r="AJ656" s="2" t="inlineStr"/>
    </row>
    <row r="657">
      <c r="A657" s="2" t="n">
        <v>656</v>
      </c>
      <c r="B657" s="2" t="inlineStr">
        <is>
          <t>613C</t>
        </is>
      </c>
      <c r="C657" s="3" t="n">
        <v>45966.66736111111</v>
      </c>
      <c r="D657" s="2" t="inlineStr">
        <is>
          <t>Original</t>
        </is>
      </c>
      <c r="E657" s="2" t="inlineStr">
        <is>
          <t>L</t>
        </is>
      </c>
      <c r="F657" s="2" t="inlineStr">
        <is>
          <t>Filipa Pinto; Isabel Mendes Lopes; Jorge Pinto; Patrícia Gonçalves; Paulo Muacho; Rui Tavares</t>
        </is>
      </c>
      <c r="G657" s="2" t="inlineStr">
        <is>
          <t>Art. 136.º-A (aditamento)</t>
        </is>
      </c>
      <c r="H657" s="2" t="n"/>
      <c r="I657" s="2" t="n"/>
      <c r="J657" s="2" t="n"/>
      <c r="K657" s="2" t="n"/>
      <c r="L657" s="2" t="inlineStr">
        <is>
          <t>Artigo 136.º-A (Estudo sobre a resistência do sistema jurídico português contra um choque autoritário)</t>
        </is>
      </c>
      <c r="M657" s="4" t="n"/>
      <c r="N657" s="4" t="n"/>
      <c r="O657" s="2" t="n"/>
      <c r="P657" s="2" t="n"/>
      <c r="Q657" s="2" t="n"/>
      <c r="R657" s="2" t="n"/>
      <c r="S657" s="2" t="inlineStr">
        <is>
          <t>Rejeitado(a) em Comissão</t>
        </is>
      </c>
      <c r="T657" s="2" t="inlineStr">
        <is>
          <t>Rejeitada</t>
        </is>
      </c>
      <c r="U657" s="2" t="inlineStr">
        <is>
          <t>Favor: L, PAN; Contra: PSD, CH, IL, PCP, CDS-PP; Abstenção: PS, BE</t>
        </is>
      </c>
      <c r="V657" s="3" t="n">
        <v>45987</v>
      </c>
      <c r="W657" s="2" t="inlineStr">
        <is>
          <t>AR: https://www.parlamento.pt/OrcamentoEstado/Paginas/DetalhePropostaAlteracao.aspx?BID=23839 PDF: https://app.parlamento.pt/webutils/docs/doc.pdf?path=6148523063484d364c793942556b356c6443397a6158526c63793959566b6c4a544556484c3039464c7a49774d6a59794d4449314d5441774f533951515339684e6a51354d4745344e43316a596a4a684c545133595755744f5445784f5331685a474d7a5a444d7a4f4463324d6d49756347526d&amp;Fich=a6490a84-cb2a-47ae-9119-adc3d338762b.pdf&amp;Inline=true</t>
        </is>
      </c>
      <c r="X657" s="2" t="inlineStr">
        <is>
          <t>Assuntos Constitucionais, Direitos, Liberdades e Garantias</t>
        </is>
      </c>
      <c r="Y657" s="2" t="inlineStr">
        <is>
          <t>Articulado</t>
        </is>
      </c>
      <c r="Z657" s="2" t="inlineStr">
        <is>
          <t>Aditamento (Artigo PPL)</t>
        </is>
      </c>
      <c r="AA657" s="2" t="inlineStr">
        <is>
          <t>Rejeitado(a) em Comissão</t>
        </is>
      </c>
      <c r="AB657" s="2" t="inlineStr"/>
      <c r="AC657" s="2" t="inlineStr"/>
      <c r="AD657" s="2" t="inlineStr">
        <is>
          <t>1</t>
        </is>
      </c>
      <c r="AE657" s="2" t="inlineStr">
        <is>
          <t>23839</t>
        </is>
      </c>
      <c r="AF657" s="2" t="inlineStr">
        <is>
          <t>https://www.parlamento.pt/OrcamentoEstado/Paginas/DetalhePropostaAlteracao.aspx?BID=23839</t>
        </is>
      </c>
      <c r="AG657" s="2" t="inlineStr">
        <is>
          <t>https://app.parlamento.pt/webutils/docs/doc.pdf?path=6148523063484d364c793942556b356c6443397a6158526c63793959566b6c4a544556484c3039464c7a49774d6a59794d4449314d5441774f533951515339684e6a51354d4745344e43316a596a4a684c545133595755744f5445784f5331685a474d7a5a444d7a4f4463324d6d49756347526d&amp;Fich=a6490a84-cb2a-47ae-9119-adc3d338762b.pdf&amp;Inline=true</t>
        </is>
      </c>
      <c r="AH657" s="3" t="n">
        <v>46321.77847222222</v>
      </c>
      <c r="AI657" s="3" t="n">
        <v>46321.78055555555</v>
      </c>
      <c r="AJ657" s="2" t="inlineStr"/>
    </row>
    <row r="658">
      <c r="A658" s="2" t="n">
        <v>657</v>
      </c>
      <c r="B658" s="2" t="inlineStr">
        <is>
          <t>614C</t>
        </is>
      </c>
      <c r="C658" s="3" t="n">
        <v>45966.67638888889</v>
      </c>
      <c r="D658" s="2" t="inlineStr">
        <is>
          <t>Original</t>
        </is>
      </c>
      <c r="E658" s="2" t="inlineStr">
        <is>
          <t>L</t>
        </is>
      </c>
      <c r="F658" s="2" t="inlineStr">
        <is>
          <t>Filipa Pinto; Isabel Mendes Lopes; Jorge Pinto; Patrícia Gonçalves; Paulo Muacho; Rui Tavares</t>
        </is>
      </c>
      <c r="G658" s="2" t="inlineStr">
        <is>
          <t>Art. 89.º-A (aditamento)</t>
        </is>
      </c>
      <c r="H658" s="2" t="n"/>
      <c r="I658" s="2" t="n"/>
      <c r="J658" s="2" t="n"/>
      <c r="K658" s="2" t="n"/>
      <c r="L658" s="2" t="inlineStr">
        <is>
          <t>Artigo 89.º-A (Rede de Bibliotecas Móveis)</t>
        </is>
      </c>
      <c r="M658" s="4" t="n"/>
      <c r="N658" s="4" t="n"/>
      <c r="O658" s="2" t="n"/>
      <c r="P658" s="2" t="n"/>
      <c r="Q658" s="2" t="n"/>
      <c r="R658" s="2" t="n"/>
      <c r="S658" s="2" t="inlineStr">
        <is>
          <t>Rejeitado(a) em Comissão</t>
        </is>
      </c>
      <c r="T658" s="2" t="inlineStr">
        <is>
          <t>Rejeitada</t>
        </is>
      </c>
      <c r="U658" s="2" t="inlineStr">
        <is>
          <t>Favor: L, PCP, BE, PAN; Contra: PSD, CDS-PP; Abstenção: CH, PS, IL</t>
        </is>
      </c>
      <c r="V658" s="3" t="n">
        <v>45982</v>
      </c>
      <c r="W658" s="2" t="inlineStr">
        <is>
          <t>AR: https://www.parlamento.pt/OrcamentoEstado/Paginas/DetalhePropostaAlteracao.aspx?BID=23840 PDF: https://app.parlamento.pt/webutils/docs/doc.pdf?path=6148523063484d364c793942556b356c6443397a6158526c63793959566b6c4a544556484c3039464c7a49774d6a59794d4449314d5441774f5339515153396d4d6a46684e544a6a4d53316c4d57457a4c54526b5a4441744f54686c4d69316b4d6a4d774f5446695a544e6c4d6a63756347526d&amp;Fich=f21a52c1-e1a3-4dd0-98e2-d23091be3e27.pdf&amp;Inline=true</t>
        </is>
      </c>
      <c r="X658" s="2" t="inlineStr">
        <is>
          <t>Cultura, Comunicação, Juventude e Desporto</t>
        </is>
      </c>
      <c r="Y658" s="2" t="inlineStr">
        <is>
          <t>Articulado</t>
        </is>
      </c>
      <c r="Z658" s="2" t="inlineStr">
        <is>
          <t>Aditamento (Artigo PPL)</t>
        </is>
      </c>
      <c r="AA658" s="2" t="inlineStr">
        <is>
          <t>Rejeitado(a) em Comissão</t>
        </is>
      </c>
      <c r="AB658" s="2" t="inlineStr"/>
      <c r="AC658" s="2" t="inlineStr"/>
      <c r="AD658" s="2" t="inlineStr">
        <is>
          <t>1</t>
        </is>
      </c>
      <c r="AE658" s="2" t="inlineStr">
        <is>
          <t>23840</t>
        </is>
      </c>
      <c r="AF658" s="2" t="inlineStr">
        <is>
          <t>https://www.parlamento.pt/OrcamentoEstado/Paginas/DetalhePropostaAlteracao.aspx?BID=23840</t>
        </is>
      </c>
      <c r="AG658" s="2" t="inlineStr">
        <is>
          <t>https://app.parlamento.pt/webutils/docs/doc.pdf?path=6148523063484d364c793942556b356c6443397a6158526c63793959566b6c4a544556484c3039464c7a49774d6a59794d4449314d5441774f5339515153396d4d6a46684e544a6a4d53316c4d57457a4c54526b5a4441744f54686c4d69316b4d6a4d774f5446695a544e6c4d6a63756347526d&amp;Fich=f21a52c1-e1a3-4dd0-98e2-d23091be3e27.pdf&amp;Inline=true</t>
        </is>
      </c>
      <c r="AH658" s="3" t="n">
        <v>46321.77847222222</v>
      </c>
      <c r="AI658" s="3" t="n">
        <v>46321.78055555555</v>
      </c>
      <c r="AJ658" s="2" t="inlineStr"/>
    </row>
    <row r="659">
      <c r="A659" s="2" t="n">
        <v>658</v>
      </c>
      <c r="B659" s="2" t="inlineStr">
        <is>
          <t>615C</t>
        </is>
      </c>
      <c r="C659" s="3" t="n">
        <v>45966.67986111111</v>
      </c>
      <c r="D659" s="2" t="inlineStr">
        <is>
          <t>Original</t>
        </is>
      </c>
      <c r="E659" s="2" t="inlineStr">
        <is>
          <t>L</t>
        </is>
      </c>
      <c r="F659" s="2" t="inlineStr">
        <is>
          <t>Filipa Pinto; Isabel Mendes Lopes; Jorge Pinto; Patrícia Gonçalves; Paulo Muacho; Rui Tavares</t>
        </is>
      </c>
      <c r="G659" s="2" t="inlineStr">
        <is>
          <t>Art. 128.º-A (aditamento)</t>
        </is>
      </c>
      <c r="H659" s="2" t="n"/>
      <c r="I659" s="2" t="n"/>
      <c r="J659" s="2" t="n"/>
      <c r="K659" s="2" t="n"/>
      <c r="L659" s="2" t="inlineStr">
        <is>
          <t>Artigo 128.º-A (Combate à Poluição Luminosa)</t>
        </is>
      </c>
      <c r="M659" s="4" t="n"/>
      <c r="N659" s="4" t="n"/>
      <c r="O659" s="2" t="n"/>
      <c r="P659" s="2" t="n"/>
      <c r="Q659" s="2" t="n"/>
      <c r="R659" s="2" t="n"/>
      <c r="S659" s="2" t="inlineStr">
        <is>
          <t>Rejeitado(a) em Comissão</t>
        </is>
      </c>
      <c r="T659" s="2" t="inlineStr">
        <is>
          <t>Rejeitada</t>
        </is>
      </c>
      <c r="U659" s="2" t="inlineStr">
        <is>
          <t>Favor: L, PCP, BE, PAN; Contra: PSD, CH, IL, CDS-PP; Abstenção: PS</t>
        </is>
      </c>
      <c r="V659" s="3" t="n">
        <v>45985</v>
      </c>
      <c r="W659" s="2" t="inlineStr">
        <is>
          <t>AR: https://www.parlamento.pt/OrcamentoEstado/Paginas/DetalhePropostaAlteracao.aspx?BID=23841 PDF: https://app.parlamento.pt/webutils/docs/doc.pdf?path=6148523063484d364c793942556b356c6443397a6158526c63793959566b6c4a544556484c3039464c7a49774d6a59794d4449314d5441774f533951515338775a5441784d6a5531595330334d5449304c5452684d325974596a4d354e79316d4f446b785a6a597a4e4445345a4463756347526d&amp;Fich=0e01255a-7124-4a3f-b397-f891f63418d7.pdf&amp;Inline=true</t>
        </is>
      </c>
      <c r="X659" s="2" t="inlineStr">
        <is>
          <t>Ambiente e Energia</t>
        </is>
      </c>
      <c r="Y659" s="2" t="inlineStr">
        <is>
          <t>Articulado</t>
        </is>
      </c>
      <c r="Z659" s="2" t="inlineStr">
        <is>
          <t>Aditamento (Artigo PPL)</t>
        </is>
      </c>
      <c r="AA659" s="2" t="inlineStr">
        <is>
          <t>Rejeitado(a) em Comissão</t>
        </is>
      </c>
      <c r="AB659" s="2" t="inlineStr"/>
      <c r="AC659" s="2" t="inlineStr"/>
      <c r="AD659" s="2" t="inlineStr">
        <is>
          <t>1</t>
        </is>
      </c>
      <c r="AE659" s="2" t="inlineStr">
        <is>
          <t>23841</t>
        </is>
      </c>
      <c r="AF659" s="2" t="inlineStr">
        <is>
          <t>https://www.parlamento.pt/OrcamentoEstado/Paginas/DetalhePropostaAlteracao.aspx?BID=23841</t>
        </is>
      </c>
      <c r="AG659" s="2" t="inlineStr">
        <is>
          <t>https://app.parlamento.pt/webutils/docs/doc.pdf?path=6148523063484d364c793942556b356c6443397a6158526c63793959566b6c4a544556484c3039464c7a49774d6a59794d4449314d5441774f533951515338775a5441784d6a5531595330334d5449304c5452684d325974596a4d354e79316d4f446b785a6a597a4e4445345a4463756347526d&amp;Fich=0e01255a-7124-4a3f-b397-f891f63418d7.pdf&amp;Inline=true</t>
        </is>
      </c>
      <c r="AH659" s="3" t="n">
        <v>46321.77847222222</v>
      </c>
      <c r="AI659" s="3" t="n">
        <v>46321.78055555555</v>
      </c>
      <c r="AJ659" s="2" t="inlineStr"/>
    </row>
    <row r="660">
      <c r="A660" s="2" t="n">
        <v>659</v>
      </c>
      <c r="B660" s="2" t="inlineStr">
        <is>
          <t>616C</t>
        </is>
      </c>
      <c r="C660" s="3" t="n">
        <v>45966.68611111111</v>
      </c>
      <c r="D660" s="2" t="inlineStr">
        <is>
          <t>Original</t>
        </is>
      </c>
      <c r="E660" s="2" t="inlineStr">
        <is>
          <t>L</t>
        </is>
      </c>
      <c r="F660" s="2" t="inlineStr">
        <is>
          <t>Filipa Pinto; Isabel Mendes Lopes; Jorge Pinto; Patrícia Gonçalves; Paulo Muacho; Rui Tavares</t>
        </is>
      </c>
      <c r="G660" s="2" t="inlineStr">
        <is>
          <t>Art. 119.º-A (aditamento)</t>
        </is>
      </c>
      <c r="H660" s="2" t="n"/>
      <c r="I660" s="2" t="n"/>
      <c r="J660" s="2" t="n"/>
      <c r="K660" s="2" t="n"/>
      <c r="L660" s="2" t="inlineStr">
        <is>
          <t>Artigo 119.º-A (Implementação da Estratégia de Saúde para as pessoas LGBTI)</t>
        </is>
      </c>
      <c r="M660" s="4" t="n"/>
      <c r="N660" s="4" t="n"/>
      <c r="O660" s="2" t="n"/>
      <c r="P660" s="2" t="n"/>
      <c r="Q660" s="2" t="n"/>
      <c r="R660" s="2" t="n"/>
      <c r="S660" s="2" t="inlineStr">
        <is>
          <t>Rejeitado(a) em Comissão</t>
        </is>
      </c>
      <c r="T660" s="2" t="inlineStr">
        <is>
          <t>Rejeitada</t>
        </is>
      </c>
      <c r="U660" s="2" t="inlineStr">
        <is>
          <t>Favor: L, PCP, BE, PAN; Contra: PSD, CH, CDS-PP; Abstenção: PS, IL</t>
        </is>
      </c>
      <c r="V660" s="3" t="n">
        <v>45985</v>
      </c>
      <c r="W660" s="2" t="inlineStr">
        <is>
          <t>AR: https://www.parlamento.pt/OrcamentoEstado/Paginas/DetalhePropostaAlteracao.aspx?BID=23842 PDF: https://app.parlamento.pt/webutils/docs/doc.pdf?path=6148523063484d364c793942556b356c6443397a6158526c63793959566b6c4a544556484c3039464c7a49774d6a59794d4449314d5441774f533951515338314e6a49344f47466d596931684e7a67354c5451344e7a41744f4467305969316b4e5749304d6a6c6b59545532596d4d756347526d&amp;Fich=56288afb-a789-4870-884b-d5b429da56bc.pdf&amp;Inline=true</t>
        </is>
      </c>
      <c r="X660" s="2" t="inlineStr">
        <is>
          <t>Saúde</t>
        </is>
      </c>
      <c r="Y660" s="2" t="inlineStr">
        <is>
          <t>Articulado</t>
        </is>
      </c>
      <c r="Z660" s="2" t="inlineStr">
        <is>
          <t>Aditamento (Artigo PPL)</t>
        </is>
      </c>
      <c r="AA660" s="2" t="inlineStr">
        <is>
          <t>Rejeitado(a) em Comissão</t>
        </is>
      </c>
      <c r="AB660" s="2" t="inlineStr"/>
      <c r="AC660" s="2" t="inlineStr"/>
      <c r="AD660" s="2" t="inlineStr">
        <is>
          <t>1</t>
        </is>
      </c>
      <c r="AE660" s="2" t="inlineStr">
        <is>
          <t>23842</t>
        </is>
      </c>
      <c r="AF660" s="2" t="inlineStr">
        <is>
          <t>https://www.parlamento.pt/OrcamentoEstado/Paginas/DetalhePropostaAlteracao.aspx?BID=23842</t>
        </is>
      </c>
      <c r="AG660" s="2" t="inlineStr">
        <is>
          <t>https://app.parlamento.pt/webutils/docs/doc.pdf?path=6148523063484d364c793942556b356c6443397a6158526c63793959566b6c4a544556484c3039464c7a49774d6a59794d4449314d5441774f533951515338314e6a49344f47466d596931684e7a67354c5451344e7a41744f4467305969316b4e5749304d6a6c6b59545532596d4d756347526d&amp;Fich=56288afb-a789-4870-884b-d5b429da56bc.pdf&amp;Inline=true</t>
        </is>
      </c>
      <c r="AH660" s="3" t="n">
        <v>46321.77847222222</v>
      </c>
      <c r="AI660" s="3" t="n">
        <v>46321.78055555555</v>
      </c>
      <c r="AJ660" s="2" t="inlineStr"/>
    </row>
    <row r="661">
      <c r="A661" s="2" t="n">
        <v>660</v>
      </c>
      <c r="B661" s="2" t="inlineStr">
        <is>
          <t>617C</t>
        </is>
      </c>
      <c r="C661" s="3" t="n">
        <v>45966.6875</v>
      </c>
      <c r="D661" s="2" t="inlineStr">
        <is>
          <t>Original</t>
        </is>
      </c>
      <c r="E661" s="2" t="inlineStr">
        <is>
          <t>CH</t>
        </is>
      </c>
      <c r="F66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61" s="2" t="inlineStr">
        <is>
          <t>Art. 136.º-A (aditamento)</t>
        </is>
      </c>
      <c r="H661" s="2" t="n"/>
      <c r="I661" s="2" t="n"/>
      <c r="J661" s="2" t="n"/>
      <c r="K661" s="2" t="n"/>
      <c r="L661" s="2" t="inlineStr">
        <is>
          <t>Artigo 136.º-A (Programa destinado ao fomento da relação entre estudantes emigrantes e de origem portuguesa e o país)</t>
        </is>
      </c>
      <c r="M661" s="4" t="n"/>
      <c r="N661" s="4" t="n"/>
      <c r="O661" s="2" t="n"/>
      <c r="P661" s="2" t="n"/>
      <c r="Q661" s="2" t="n"/>
      <c r="R661" s="2" t="n"/>
      <c r="S661" s="2" t="inlineStr">
        <is>
          <t>Rejeitado(a) em Comissão</t>
        </is>
      </c>
      <c r="T661" s="2" t="inlineStr">
        <is>
          <t>Rejeitada</t>
        </is>
      </c>
      <c r="U661" s="2" t="inlineStr">
        <is>
          <t>Favor: CH; Contra: PSD, CDS-PP, PAN; Abstenção: PS, IL, L, PCP, BE</t>
        </is>
      </c>
      <c r="V661" s="3" t="n">
        <v>45987</v>
      </c>
      <c r="W661" s="2" t="inlineStr">
        <is>
          <t>AR: https://www.parlamento.pt/OrcamentoEstado/Paginas/DetalhePropostaAlteracao.aspx?BID=23843 PDF: https://app.parlamento.pt/webutils/docs/doc.pdf?path=6148523063484d364c793942556b356c6443397a6158526c63793959566b6c4a544556484c3039464c7a49774d6a59794d4449314d5441774f533951515339694f4745334f5452694e5330304e446b324c5451354e546374596a497a5a5330334e544a684e44646b4f544a6c4e6d59756347526d&amp;Fich=b8a794b5-4496-4957-b23e-752a47d92e6f.pdf&amp;Inline=true</t>
        </is>
      </c>
      <c r="X661" s="2" t="inlineStr">
        <is>
          <t>Educação e Ciência; Negócios Estrangeiros e Comunidades Portuguesas</t>
        </is>
      </c>
      <c r="Y661" s="2" t="inlineStr">
        <is>
          <t>Articulado</t>
        </is>
      </c>
      <c r="Z661" s="2" t="inlineStr">
        <is>
          <t>Aditamento (Artigo PPL)</t>
        </is>
      </c>
      <c r="AA661" s="2" t="inlineStr">
        <is>
          <t>Rejeitado(a) em Comissão</t>
        </is>
      </c>
      <c r="AB661" s="2" t="inlineStr"/>
      <c r="AC661" s="2" t="inlineStr"/>
      <c r="AD661" s="2" t="inlineStr">
        <is>
          <t>1</t>
        </is>
      </c>
      <c r="AE661" s="2" t="inlineStr">
        <is>
          <t>23843</t>
        </is>
      </c>
      <c r="AF661" s="2" t="inlineStr">
        <is>
          <t>https://www.parlamento.pt/OrcamentoEstado/Paginas/DetalhePropostaAlteracao.aspx?BID=23843</t>
        </is>
      </c>
      <c r="AG661" s="2" t="inlineStr">
        <is>
          <t>https://app.parlamento.pt/webutils/docs/doc.pdf?path=6148523063484d364c793942556b356c6443397a6158526c63793959566b6c4a544556484c3039464c7a49774d6a59794d4449314d5441774f533951515339694f4745334f5452694e5330304e446b324c5451354e546374596a497a5a5330334e544a684e44646b4f544a6c4e6d59756347526d&amp;Fich=b8a794b5-4496-4957-b23e-752a47d92e6f.pdf&amp;Inline=true</t>
        </is>
      </c>
      <c r="AH661" s="3" t="n">
        <v>46321.77847222222</v>
      </c>
      <c r="AI661" s="3" t="n">
        <v>46321.78055555555</v>
      </c>
      <c r="AJ661" s="2" t="inlineStr"/>
    </row>
    <row r="662">
      <c r="A662" s="2" t="n">
        <v>661</v>
      </c>
      <c r="B662" s="2" t="inlineStr">
        <is>
          <t>618C</t>
        </is>
      </c>
      <c r="C662" s="3" t="n">
        <v>45966.69027777778</v>
      </c>
      <c r="D662" s="2" t="inlineStr">
        <is>
          <t>Original</t>
        </is>
      </c>
      <c r="E662" s="2" t="inlineStr">
        <is>
          <t>CH</t>
        </is>
      </c>
      <c r="F66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62" s="2" t="inlineStr">
        <is>
          <t>Art. 136.º-A (aditamento)</t>
        </is>
      </c>
      <c r="H662" s="2" t="n"/>
      <c r="I662" s="2" t="n"/>
      <c r="J662" s="2" t="n"/>
      <c r="K662" s="2" t="n"/>
      <c r="L662" s="2" t="inlineStr">
        <is>
          <t>Artigo 136.º-A (Criação de um fundo para reabilitar vias rodoviárias em territórios de baixa densidade, para reforçar a economia local, a coesão territorial e a conetividade)</t>
        </is>
      </c>
      <c r="M662" s="4" t="n"/>
      <c r="N662" s="4" t="n"/>
      <c r="O662" s="2" t="n"/>
      <c r="P662" s="2" t="n"/>
      <c r="Q662" s="2" t="n"/>
      <c r="R662" s="2" t="n"/>
      <c r="S662" s="2" t="inlineStr">
        <is>
          <t>Rejeitado(a) em Comissão</t>
        </is>
      </c>
      <c r="T662" s="2" t="inlineStr">
        <is>
          <t>Rejeitada</t>
        </is>
      </c>
      <c r="U662" s="2" t="inlineStr">
        <is>
          <t>Favor: CH, BE; Contra: PSD, IL, CDS-PP; Abstenção: PS, L, PCP, PAN</t>
        </is>
      </c>
      <c r="V662" s="3" t="n">
        <v>45987</v>
      </c>
      <c r="W662" s="2" t="inlineStr">
        <is>
          <t>AR: https://www.parlamento.pt/OrcamentoEstado/Paginas/DetalhePropostaAlteracao.aspx?BID=23844 PDF: https://app.parlamento.pt/webutils/docs/doc.pdf?path=6148523063484d364c793942556b356c6443397a6158526c63793959566b6c4a544556484c3039464c7a49774d6a59794d4449314d5441774f5339515153396b4e6a6c68596a63794d5330354f5752694c5451774d4467744f474d304d5330334e446b775932566d5a475935596d55756347526d&amp;Fich=d69ab721-99db-4008-8c41-7490cefdf9be.pdf&amp;Inline=true</t>
        </is>
      </c>
      <c r="X662" s="2" t="inlineStr">
        <is>
          <t>Infraestruturas, Mobilidade e Habitação; Orçamento, Finanças e Administração Pública</t>
        </is>
      </c>
      <c r="Y662" s="2" t="inlineStr">
        <is>
          <t>Articulado</t>
        </is>
      </c>
      <c r="Z662" s="2" t="inlineStr">
        <is>
          <t>Aditamento (Artigo PPL)</t>
        </is>
      </c>
      <c r="AA662" s="2" t="inlineStr">
        <is>
          <t>Rejeitado(a) em Comissão</t>
        </is>
      </c>
      <c r="AB662" s="2" t="inlineStr"/>
      <c r="AC662" s="2" t="inlineStr"/>
      <c r="AD662" s="2" t="inlineStr">
        <is>
          <t>1</t>
        </is>
      </c>
      <c r="AE662" s="2" t="inlineStr">
        <is>
          <t>23844</t>
        </is>
      </c>
      <c r="AF662" s="2" t="inlineStr">
        <is>
          <t>https://www.parlamento.pt/OrcamentoEstado/Paginas/DetalhePropostaAlteracao.aspx?BID=23844</t>
        </is>
      </c>
      <c r="AG662" s="2" t="inlineStr">
        <is>
          <t>https://app.parlamento.pt/webutils/docs/doc.pdf?path=6148523063484d364c793942556b356c6443397a6158526c63793959566b6c4a544556484c3039464c7a49774d6a59794d4449314d5441774f5339515153396b4e6a6c68596a63794d5330354f5752694c5451774d4467744f474d304d5330334e446b775932566d5a475935596d55756347526d&amp;Fich=d69ab721-99db-4008-8c41-7490cefdf9be.pdf&amp;Inline=true</t>
        </is>
      </c>
      <c r="AH662" s="3" t="n">
        <v>46321.77847222222</v>
      </c>
      <c r="AI662" s="3" t="n">
        <v>46321.78055555555</v>
      </c>
      <c r="AJ662" s="2" t="inlineStr"/>
    </row>
    <row r="663">
      <c r="A663" s="2" t="n">
        <v>662</v>
      </c>
      <c r="B663" s="2" t="inlineStr">
        <is>
          <t>619C</t>
        </is>
      </c>
      <c r="C663" s="3" t="n">
        <v>45966.69027777778</v>
      </c>
      <c r="D663" s="2" t="inlineStr">
        <is>
          <t>Original</t>
        </is>
      </c>
      <c r="E663" s="2" t="inlineStr">
        <is>
          <t>L</t>
        </is>
      </c>
      <c r="F663" s="2" t="inlineStr">
        <is>
          <t>Filipa Pinto; Isabel Mendes Lopes; Jorge Pinto; Patrícia Gonçalves; Paulo Muacho; Rui Tavares</t>
        </is>
      </c>
      <c r="G663" s="2" t="inlineStr">
        <is>
          <t>Art. 19.º-A (aditamento)</t>
        </is>
      </c>
      <c r="H663" s="2" t="n"/>
      <c r="I663" s="2" t="n"/>
      <c r="J663" s="2" t="n"/>
      <c r="K663" s="2" t="n"/>
      <c r="L663" s="2" t="inlineStr">
        <is>
          <t>Artigo 19.º-A (Aumento salarial na carreira docente)</t>
        </is>
      </c>
      <c r="M663" s="4" t="n"/>
      <c r="N663" s="4" t="n"/>
      <c r="O663" s="2" t="n"/>
      <c r="P663" s="2" t="n"/>
      <c r="Q663" s="2" t="n"/>
      <c r="R663" s="2" t="n"/>
      <c r="S663" s="2" t="inlineStr">
        <is>
          <t>Rejeitado(a) em Comissão</t>
        </is>
      </c>
      <c r="T663" s="2" t="inlineStr">
        <is>
          <t>Rejeitada</t>
        </is>
      </c>
      <c r="U663" s="2" t="inlineStr">
        <is>
          <t>Favor: CH, L, PCP, BE, PAN; Contra: PSD, IL, CDS-PP; Abstenção: PS</t>
        </is>
      </c>
      <c r="V663" s="3" t="n">
        <v>45981</v>
      </c>
      <c r="W663" s="2" t="inlineStr">
        <is>
          <t>AR: https://www.parlamento.pt/OrcamentoEstado/Paginas/DetalhePropostaAlteracao.aspx?BID=23845 PDF: https://app.parlamento.pt/webutils/docs/doc.pdf?path=6148523063484d364c793942556b356c6443397a6158526c63793959566b6c4a544556484c3039464c7a49774d6a59794d4449314d5441774f5339515153396d4f4451334d3256694e43316d4d6a4e6b4c5451324e474574596a41324e69316c4f546c684e6a59304e6d566a4e6a41756347526d&amp;Fich=f8473eb4-f23d-464a-b066-e99a6646ec60.pdf&amp;Inline=true</t>
        </is>
      </c>
      <c r="X663" s="2" t="inlineStr">
        <is>
          <t>Orçamento, Finanças e Administração Pública</t>
        </is>
      </c>
      <c r="Y663" s="2" t="inlineStr">
        <is>
          <t>Articulado</t>
        </is>
      </c>
      <c r="Z663" s="2" t="inlineStr">
        <is>
          <t>Aditamento (Artigo PPL)</t>
        </is>
      </c>
      <c r="AA663" s="2" t="inlineStr">
        <is>
          <t>Rejeitado(a) em Comissão</t>
        </is>
      </c>
      <c r="AB663" s="2" t="inlineStr"/>
      <c r="AC663" s="2" t="inlineStr"/>
      <c r="AD663" s="2" t="inlineStr">
        <is>
          <t>1</t>
        </is>
      </c>
      <c r="AE663" s="2" t="inlineStr">
        <is>
          <t>23845</t>
        </is>
      </c>
      <c r="AF663" s="2" t="inlineStr">
        <is>
          <t>https://www.parlamento.pt/OrcamentoEstado/Paginas/DetalhePropostaAlteracao.aspx?BID=23845</t>
        </is>
      </c>
      <c r="AG663" s="2" t="inlineStr">
        <is>
          <t>https://app.parlamento.pt/webutils/docs/doc.pdf?path=6148523063484d364c793942556b356c6443397a6158526c63793959566b6c4a544556484c3039464c7a49774d6a59794d4449314d5441774f5339515153396d4f4451334d3256694e43316d4d6a4e6b4c5451324e474574596a41324e69316c4f546c684e6a59304e6d566a4e6a41756347526d&amp;Fich=f8473eb4-f23d-464a-b066-e99a6646ec60.pdf&amp;Inline=true</t>
        </is>
      </c>
      <c r="AH663" s="3" t="n">
        <v>46321.77847222222</v>
      </c>
      <c r="AI663" s="3" t="n">
        <v>46321.78055555555</v>
      </c>
      <c r="AJ663" s="2" t="inlineStr"/>
    </row>
    <row r="664">
      <c r="A664" s="2" t="n">
        <v>663</v>
      </c>
      <c r="B664" s="2" t="inlineStr">
        <is>
          <t>620C</t>
        </is>
      </c>
      <c r="C664" s="3" t="n">
        <v>45966.69097222222</v>
      </c>
      <c r="D664" s="2" t="inlineStr">
        <is>
          <t>Original</t>
        </is>
      </c>
      <c r="E664" s="2" t="inlineStr">
        <is>
          <t>CH</t>
        </is>
      </c>
      <c r="F66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64" s="2" t="inlineStr">
        <is>
          <t>Art. 136.º-A (aditamento)</t>
        </is>
      </c>
      <c r="H664" s="2" t="n"/>
      <c r="I664" s="2" t="n"/>
      <c r="J664" s="2" t="n"/>
      <c r="K664" s="2" t="n"/>
      <c r="L664" s="2" t="inlineStr">
        <is>
          <t>Artigo 136.º-A (Atualização e Consolidação do Programa Nacional de Prevenção e Controlo da Dor com Enfoque na Dor Crónica)</t>
        </is>
      </c>
      <c r="M664" s="4" t="n"/>
      <c r="N664" s="4" t="n"/>
      <c r="O664" s="2" t="n"/>
      <c r="P664" s="2" t="n"/>
      <c r="Q664" s="2" t="n"/>
      <c r="R664" s="2" t="n"/>
      <c r="S664" s="2" t="inlineStr">
        <is>
          <t>Rejeitado(a) em Comissão</t>
        </is>
      </c>
      <c r="T664" s="2" t="inlineStr">
        <is>
          <t>Rejeitada</t>
        </is>
      </c>
      <c r="U664" s="2" t="inlineStr">
        <is>
          <t>Favor: CH, IL, BE, PAN; Contra: PSD, CDS-PP; Abstenção: PS, L, PCP</t>
        </is>
      </c>
      <c r="V664" s="3" t="n">
        <v>45987</v>
      </c>
      <c r="W664" s="2" t="inlineStr">
        <is>
          <t>AR: https://www.parlamento.pt/OrcamentoEstado/Paginas/DetalhePropostaAlteracao.aspx?BID=23846 PDF: https://app.parlamento.pt/webutils/docs/doc.pdf?path=6148523063484d364c793942556b356c6443397a6158526c63793959566b6c4a544556484c3039464c7a49774d6a59794d4449314d5441774f533951515338344d7a6c684e5451315a4330304f544e6d4c5451335a6a4574596a6b795a4330334e44466a596a6b354d57526c4f4445756347526d&amp;Fich=839a545d-493f-47f1-b92d-741cb991de81.pdf&amp;Inline=true</t>
        </is>
      </c>
      <c r="X664" s="2" t="inlineStr">
        <is>
          <t>Saúde</t>
        </is>
      </c>
      <c r="Y664" s="2" t="inlineStr">
        <is>
          <t>Articulado</t>
        </is>
      </c>
      <c r="Z664" s="2" t="inlineStr">
        <is>
          <t>Aditamento (Artigo PPL)</t>
        </is>
      </c>
      <c r="AA664" s="2" t="inlineStr">
        <is>
          <t>Rejeitado(a) em Comissão</t>
        </is>
      </c>
      <c r="AB664" s="2" t="inlineStr"/>
      <c r="AC664" s="2" t="inlineStr"/>
      <c r="AD664" s="2" t="inlineStr">
        <is>
          <t>1</t>
        </is>
      </c>
      <c r="AE664" s="2" t="inlineStr">
        <is>
          <t>23846</t>
        </is>
      </c>
      <c r="AF664" s="2" t="inlineStr">
        <is>
          <t>https://www.parlamento.pt/OrcamentoEstado/Paginas/DetalhePropostaAlteracao.aspx?BID=23846</t>
        </is>
      </c>
      <c r="AG664" s="2" t="inlineStr">
        <is>
          <t>https://app.parlamento.pt/webutils/docs/doc.pdf?path=6148523063484d364c793942556b356c6443397a6158526c63793959566b6c4a544556484c3039464c7a49774d6a59794d4449314d5441774f533951515338344d7a6c684e5451315a4330304f544e6d4c5451335a6a4574596a6b795a4330334e44466a596a6b354d57526c4f4445756347526d&amp;Fich=839a545d-493f-47f1-b92d-741cb991de81.pdf&amp;Inline=true</t>
        </is>
      </c>
      <c r="AH664" s="3" t="n">
        <v>46321.77847222222</v>
      </c>
      <c r="AI664" s="3" t="n">
        <v>46321.78055555555</v>
      </c>
      <c r="AJ664" s="2" t="inlineStr"/>
    </row>
    <row r="665">
      <c r="A665" s="2" t="n">
        <v>664</v>
      </c>
      <c r="B665" s="2" t="inlineStr">
        <is>
          <t>621C</t>
        </is>
      </c>
      <c r="C665" s="3" t="n">
        <v>45966.69236111111</v>
      </c>
      <c r="D665" s="2" t="inlineStr">
        <is>
          <t>Original</t>
        </is>
      </c>
      <c r="E665" s="2" t="inlineStr">
        <is>
          <t>CH</t>
        </is>
      </c>
      <c r="F66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65" s="2" t="inlineStr">
        <is>
          <t>Art. 136.º-A (aditamento)</t>
        </is>
      </c>
      <c r="H665" s="2" t="n"/>
      <c r="I665" s="2" t="n"/>
      <c r="J665" s="2" t="n"/>
      <c r="K665" s="2" t="n"/>
      <c r="L665" s="2" t="inlineStr">
        <is>
          <t>Artigo 136.º-A (Campus Saúde Portalegre)</t>
        </is>
      </c>
      <c r="M665" s="4" t="n"/>
      <c r="N665" s="4" t="n"/>
      <c r="O665" s="2" t="n"/>
      <c r="P665" s="2" t="n"/>
      <c r="Q665" s="2" t="n"/>
      <c r="R665" s="2" t="n"/>
      <c r="S665" s="2" t="inlineStr">
        <is>
          <t>Rejeitado(a) em Comissão</t>
        </is>
      </c>
      <c r="T665" s="2" t="inlineStr">
        <is>
          <t>Rejeitada</t>
        </is>
      </c>
      <c r="U665" s="2" t="inlineStr">
        <is>
          <t>Favor: CH, BE, PAN; Contra: PSD, CDS-PP; Abstenção: PS, IL, L, PCP</t>
        </is>
      </c>
      <c r="V665" s="3" t="n">
        <v>45987</v>
      </c>
      <c r="W665" s="2" t="inlineStr">
        <is>
          <t>AR: https://www.parlamento.pt/OrcamentoEstado/Paginas/DetalhePropostaAlteracao.aspx?BID=23847 PDF: https://app.parlamento.pt/webutils/docs/doc.pdf?path=6148523063484d364c793942556b356c6443397a6158526c63793959566b6c4a544556484c3039464c7a49774d6a59794d4449314d5441774f533951515338334e7a4d345a6d5579597930304d544a6d4c54526a5a445974596a4a685953316859544d324e4445784f575a694e546b756347526d&amp;Fich=7738fe2c-412f-4cd6-b2aa-aa364119fb59.pdf&amp;Inline=true</t>
        </is>
      </c>
      <c r="X665" s="2" t="inlineStr">
        <is>
          <t>Saúde</t>
        </is>
      </c>
      <c r="Y665" s="2" t="inlineStr">
        <is>
          <t>Articulado</t>
        </is>
      </c>
      <c r="Z665" s="2" t="inlineStr">
        <is>
          <t>Aditamento (Artigo PPL)</t>
        </is>
      </c>
      <c r="AA665" s="2" t="inlineStr">
        <is>
          <t>Rejeitado(a) em Comissão</t>
        </is>
      </c>
      <c r="AB665" s="2" t="inlineStr"/>
      <c r="AC665" s="2" t="inlineStr"/>
      <c r="AD665" s="2" t="inlineStr">
        <is>
          <t>1</t>
        </is>
      </c>
      <c r="AE665" s="2" t="inlineStr">
        <is>
          <t>23847</t>
        </is>
      </c>
      <c r="AF665" s="2" t="inlineStr">
        <is>
          <t>https://www.parlamento.pt/OrcamentoEstado/Paginas/DetalhePropostaAlteracao.aspx?BID=23847</t>
        </is>
      </c>
      <c r="AG665" s="2" t="inlineStr">
        <is>
          <t>https://app.parlamento.pt/webutils/docs/doc.pdf?path=6148523063484d364c793942556b356c6443397a6158526c63793959566b6c4a544556484c3039464c7a49774d6a59794d4449314d5441774f533951515338334e7a4d345a6d5579597930304d544a6d4c54526a5a445974596a4a685953316859544d324e4445784f575a694e546b756347526d&amp;Fich=7738fe2c-412f-4cd6-b2aa-aa364119fb59.pdf&amp;Inline=true</t>
        </is>
      </c>
      <c r="AH665" s="3" t="n">
        <v>46321.77847222222</v>
      </c>
      <c r="AI665" s="3" t="n">
        <v>46321.78055555555</v>
      </c>
      <c r="AJ665" s="2" t="inlineStr"/>
    </row>
    <row r="666">
      <c r="A666" s="2" t="n">
        <v>665</v>
      </c>
      <c r="B666" s="2" t="inlineStr">
        <is>
          <t>622C</t>
        </is>
      </c>
      <c r="C666" s="3" t="n">
        <v>45966.69375</v>
      </c>
      <c r="D666" s="2" t="inlineStr">
        <is>
          <t>Original</t>
        </is>
      </c>
      <c r="E666" s="2" t="inlineStr">
        <is>
          <t>CH</t>
        </is>
      </c>
      <c r="F66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66" s="2" t="inlineStr">
        <is>
          <t>Art. 136.º-A (aditamento)</t>
        </is>
      </c>
      <c r="H666" s="2" t="n"/>
      <c r="I666" s="2" t="n"/>
      <c r="J666" s="2" t="n"/>
      <c r="K666" s="2" t="n"/>
      <c r="L666" s="2" t="inlineStr">
        <is>
          <t>Artigo 136.º-A (Culturas de Biocombustível em Áreas Abandonadas de Potencial Agrícola)</t>
        </is>
      </c>
      <c r="M666" s="4" t="n"/>
      <c r="N666" s="4" t="n"/>
      <c r="O666" s="2" t="n"/>
      <c r="P666" s="2" t="n"/>
      <c r="Q666" s="2" t="n"/>
      <c r="R666" s="2" t="n"/>
      <c r="S666" s="2" t="inlineStr">
        <is>
          <t>Rejeitado(a) em Comissão</t>
        </is>
      </c>
      <c r="T666" s="2" t="inlineStr">
        <is>
          <t>Rejeitada</t>
        </is>
      </c>
      <c r="U666" s="2" t="inlineStr">
        <is>
          <t>Favor: CH, BE; Contra: PSD, PS, IL, L, PCP, CDS-PP; Abstenção: PAN</t>
        </is>
      </c>
      <c r="V666" s="3" t="n">
        <v>45987</v>
      </c>
      <c r="W666" s="2" t="inlineStr">
        <is>
          <t>AR: https://www.parlamento.pt/OrcamentoEstado/Paginas/DetalhePropostaAlteracao.aspx?BID=23848 PDF: https://app.parlamento.pt/webutils/docs/doc.pdf?path=6148523063484d364c793942556b356c6443397a6158526c63793959566b6c4a544556484c3039464c7a49774d6a59794d4449314d5441774f533951515338774d6a5a684e6a637a5969316a4f4464694c545179596a5574596a46684d43316b595745314e44517a5a544534596a6b756347526d&amp;Fich=026a673b-c87b-42b5-b1a0-daa5443e18b9.pdf&amp;Inline=true</t>
        </is>
      </c>
      <c r="X666" s="2" t="inlineStr">
        <is>
          <t>Agricultura e Pescas; Ambiente e Energia</t>
        </is>
      </c>
      <c r="Y666" s="2" t="inlineStr">
        <is>
          <t>Articulado</t>
        </is>
      </c>
      <c r="Z666" s="2" t="inlineStr">
        <is>
          <t>Aditamento (Artigo PPL)</t>
        </is>
      </c>
      <c r="AA666" s="2" t="inlineStr">
        <is>
          <t>Rejeitado(a) em Comissão</t>
        </is>
      </c>
      <c r="AB666" s="2" t="inlineStr"/>
      <c r="AC666" s="2" t="inlineStr"/>
      <c r="AD666" s="2" t="inlineStr">
        <is>
          <t>1</t>
        </is>
      </c>
      <c r="AE666" s="2" t="inlineStr">
        <is>
          <t>23848</t>
        </is>
      </c>
      <c r="AF666" s="2" t="inlineStr">
        <is>
          <t>https://www.parlamento.pt/OrcamentoEstado/Paginas/DetalhePropostaAlteracao.aspx?BID=23848</t>
        </is>
      </c>
      <c r="AG666" s="2" t="inlineStr">
        <is>
          <t>https://app.parlamento.pt/webutils/docs/doc.pdf?path=6148523063484d364c793942556b356c6443397a6158526c63793959566b6c4a544556484c3039464c7a49774d6a59794d4449314d5441774f533951515338774d6a5a684e6a637a5969316a4f4464694c545179596a5574596a46684d43316b595745314e44517a5a544534596a6b756347526d&amp;Fich=026a673b-c87b-42b5-b1a0-daa5443e18b9.pdf&amp;Inline=true</t>
        </is>
      </c>
      <c r="AH666" s="3" t="n">
        <v>46321.77847222222</v>
      </c>
      <c r="AI666" s="3" t="n">
        <v>46321.78055555555</v>
      </c>
      <c r="AJ666" s="2" t="inlineStr"/>
    </row>
    <row r="667">
      <c r="A667" s="2" t="n">
        <v>666</v>
      </c>
      <c r="B667" s="2" t="inlineStr">
        <is>
          <t>623C</t>
        </is>
      </c>
      <c r="C667" s="3" t="n">
        <v>45966.69652777778</v>
      </c>
      <c r="D667" s="2" t="inlineStr">
        <is>
          <t>Original</t>
        </is>
      </c>
      <c r="E667" s="2" t="inlineStr">
        <is>
          <t>CH</t>
        </is>
      </c>
      <c r="F66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67" s="2" t="inlineStr">
        <is>
          <t>Art. 136.º-A (aditamento)</t>
        </is>
      </c>
      <c r="H667" s="2" t="n"/>
      <c r="I667" s="2" t="n"/>
      <c r="J667" s="2" t="n"/>
      <c r="K667" s="2" t="n"/>
      <c r="L667" s="2" t="inlineStr">
        <is>
          <t>Artigo 136.º-A (Dotação das autarquias com meios para a prevenção e combate dos atestados de residência fraudulentos)</t>
        </is>
      </c>
      <c r="M667" s="4" t="n"/>
      <c r="N667" s="4" t="n"/>
      <c r="O667" s="2" t="n"/>
      <c r="P667" s="2" t="n"/>
      <c r="Q667" s="2" t="n"/>
      <c r="R667" s="2" t="n"/>
      <c r="S667" s="2" t="inlineStr">
        <is>
          <t>Rejeitado(a) em Comissão</t>
        </is>
      </c>
      <c r="T667" s="2" t="inlineStr">
        <is>
          <t>Rejeitada</t>
        </is>
      </c>
      <c r="U667" s="2" t="inlineStr">
        <is>
          <t>Favor: CH, IL; Contra: PSD, PS, L, PCP, BE, PAN; Abstenção: CDS-PP</t>
        </is>
      </c>
      <c r="V667" s="3" t="n">
        <v>45987</v>
      </c>
      <c r="W667" s="2" t="inlineStr">
        <is>
          <t>AR: https://www.parlamento.pt/OrcamentoEstado/Paginas/DetalhePropostaAlteracao.aspx?BID=23849 PDF: https://app.parlamento.pt/webutils/docs/doc.pdf?path=6148523063484d364c793942556b356c6443397a6158526c63793959566b6c4a544556484c3039464c7a49774d6a59794d4449314d5441774f5339515153387a4e544135596a4a694f5330325932526a4c545135595759744f4449334f5330795a6d4a69595749344e7a646959324d756347526d&amp;Fich=3509b2b9-6cdc-49af-8279-2fbbab877bcc.pdf&amp;Inline=true</t>
        </is>
      </c>
      <c r="X667" s="2" t="inlineStr">
        <is>
          <t>Orçamento, Finanças e Administração Pública; Reforma do Estado e Poder Local</t>
        </is>
      </c>
      <c r="Y667" s="2" t="inlineStr">
        <is>
          <t>Articulado</t>
        </is>
      </c>
      <c r="Z667" s="2" t="inlineStr">
        <is>
          <t>Aditamento (Artigo PPL)</t>
        </is>
      </c>
      <c r="AA667" s="2" t="inlineStr">
        <is>
          <t>Rejeitado(a) em Comissão</t>
        </is>
      </c>
      <c r="AB667" s="2" t="inlineStr"/>
      <c r="AC667" s="2" t="inlineStr"/>
      <c r="AD667" s="2" t="inlineStr">
        <is>
          <t>1</t>
        </is>
      </c>
      <c r="AE667" s="2" t="inlineStr">
        <is>
          <t>23849</t>
        </is>
      </c>
      <c r="AF667" s="2" t="inlineStr">
        <is>
          <t>https://www.parlamento.pt/OrcamentoEstado/Paginas/DetalhePropostaAlteracao.aspx?BID=23849</t>
        </is>
      </c>
      <c r="AG667" s="2" t="inlineStr">
        <is>
          <t>https://app.parlamento.pt/webutils/docs/doc.pdf?path=6148523063484d364c793942556b356c6443397a6158526c63793959566b6c4a544556484c3039464c7a49774d6a59794d4449314d5441774f5339515153387a4e544135596a4a694f5330325932526a4c545135595759744f4449334f5330795a6d4a69595749344e7a646959324d756347526d&amp;Fich=3509b2b9-6cdc-49af-8279-2fbbab877bcc.pdf&amp;Inline=true</t>
        </is>
      </c>
      <c r="AH667" s="3" t="n">
        <v>46321.77847222222</v>
      </c>
      <c r="AI667" s="3" t="n">
        <v>46321.78055555555</v>
      </c>
      <c r="AJ667" s="2" t="inlineStr"/>
    </row>
    <row r="668">
      <c r="A668" s="2" t="n">
        <v>667</v>
      </c>
      <c r="B668" s="2" t="inlineStr">
        <is>
          <t>624C</t>
        </is>
      </c>
      <c r="C668" s="3" t="n">
        <v>45966.69722222222</v>
      </c>
      <c r="D668" s="2" t="inlineStr">
        <is>
          <t>Original</t>
        </is>
      </c>
      <c r="E668" s="2" t="inlineStr">
        <is>
          <t>CH</t>
        </is>
      </c>
      <c r="F66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68" s="2" t="inlineStr">
        <is>
          <t>Art. 136.º-A (aditamento)</t>
        </is>
      </c>
      <c r="H668" s="2" t="n"/>
      <c r="I668" s="2" t="n"/>
      <c r="J668" s="2" t="n"/>
      <c r="K668" s="2" t="n"/>
      <c r="L668" s="2" t="inlineStr">
        <is>
          <t>Artigo 136.º-A (Estabelece um Fundo Autónomo de Apoio à Agricultura de Pequena Escala)</t>
        </is>
      </c>
      <c r="M668" s="4" t="n"/>
      <c r="N668" s="4" t="n"/>
      <c r="O668" s="2" t="n"/>
      <c r="P668" s="2" t="n"/>
      <c r="Q668" s="2" t="n"/>
      <c r="R668" s="2" t="n"/>
      <c r="S668" s="2" t="inlineStr">
        <is>
          <t>Rejeitado(a) em Comissão</t>
        </is>
      </c>
      <c r="T668" s="2" t="inlineStr">
        <is>
          <t>Rejeitada</t>
        </is>
      </c>
      <c r="U668" s="2" t="inlineStr">
        <is>
          <t>Favor: CH, IL, BE; Contra: PSD, CDS-PP; Abstenção: PS, L, PCP, PAN</t>
        </is>
      </c>
      <c r="V668" s="3" t="n">
        <v>45987</v>
      </c>
      <c r="W668" s="2" t="inlineStr">
        <is>
          <t>AR: https://www.parlamento.pt/OrcamentoEstado/Paginas/DetalhePropostaAlteracao.aspx?BID=23850 PDF: https://app.parlamento.pt/webutils/docs/doc.pdf?path=6148523063484d364c793942556b356c6443397a6158526c63793959566b6c4a544556484c3039464c7a49774d6a59794d4449314d5441774f5339515153396d4d7a51794e4463334f5330774e5441794c5451304e6d45745954686d4e43316c4f5463305a4463304d4441334f574d756347526d&amp;Fich=f3424779-0502-446a-a8f4-e974d740079c.pdf&amp;Inline=true</t>
        </is>
      </c>
      <c r="X668" s="2" t="inlineStr">
        <is>
          <t>Agricultura e Pescas</t>
        </is>
      </c>
      <c r="Y668" s="2" t="inlineStr">
        <is>
          <t>Articulado</t>
        </is>
      </c>
      <c r="Z668" s="2" t="inlineStr">
        <is>
          <t>Aditamento (Artigo PPL)</t>
        </is>
      </c>
      <c r="AA668" s="2" t="inlineStr">
        <is>
          <t>Rejeitado(a) em Comissão</t>
        </is>
      </c>
      <c r="AB668" s="2" t="inlineStr"/>
      <c r="AC668" s="2" t="inlineStr"/>
      <c r="AD668" s="2" t="inlineStr">
        <is>
          <t>1</t>
        </is>
      </c>
      <c r="AE668" s="2" t="inlineStr">
        <is>
          <t>23850</t>
        </is>
      </c>
      <c r="AF668" s="2" t="inlineStr">
        <is>
          <t>https://www.parlamento.pt/OrcamentoEstado/Paginas/DetalhePropostaAlteracao.aspx?BID=23850</t>
        </is>
      </c>
      <c r="AG668" s="2" t="inlineStr">
        <is>
          <t>https://app.parlamento.pt/webutils/docs/doc.pdf?path=6148523063484d364c793942556b356c6443397a6158526c63793959566b6c4a544556484c3039464c7a49774d6a59794d4449314d5441774f5339515153396d4d7a51794e4463334f5330774e5441794c5451304e6d45745954686d4e43316c4f5463305a4463304d4441334f574d756347526d&amp;Fich=f3424779-0502-446a-a8f4-e974d740079c.pdf&amp;Inline=true</t>
        </is>
      </c>
      <c r="AH668" s="3" t="n">
        <v>46321.77847222222</v>
      </c>
      <c r="AI668" s="3" t="n">
        <v>46321.78055555555</v>
      </c>
      <c r="AJ668" s="2" t="inlineStr"/>
    </row>
    <row r="669">
      <c r="A669" s="2" t="n">
        <v>668</v>
      </c>
      <c r="B669" s="2" t="inlineStr">
        <is>
          <t>625C</t>
        </is>
      </c>
      <c r="C669" s="3" t="n">
        <v>45966.69861111111</v>
      </c>
      <c r="D669" s="2" t="inlineStr">
        <is>
          <t>Original</t>
        </is>
      </c>
      <c r="E669" s="2" t="inlineStr">
        <is>
          <t>CH</t>
        </is>
      </c>
      <c r="F66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69" s="2" t="inlineStr">
        <is>
          <t>Art. 136.º-A (aditamento)</t>
        </is>
      </c>
      <c r="H669" s="2" t="n"/>
      <c r="I669" s="2" t="n"/>
      <c r="J669" s="2" t="n"/>
      <c r="K669" s="2" t="n"/>
      <c r="L669" s="2" t="inlineStr">
        <is>
          <t>Artigo 136.º-A (Modernização e ligação da estação ferroviária à cidade de Portalegre)</t>
        </is>
      </c>
      <c r="M669" s="4" t="n"/>
      <c r="N669" s="4" t="n"/>
      <c r="O669" s="2" t="n"/>
      <c r="P669" s="2" t="n"/>
      <c r="Q669" s="2" t="n"/>
      <c r="R669" s="2" t="n"/>
      <c r="S669" s="2" t="inlineStr">
        <is>
          <t>Rejeitado(a) em Comissão</t>
        </is>
      </c>
      <c r="T669" s="2" t="inlineStr">
        <is>
          <t>Rejeitada</t>
        </is>
      </c>
      <c r="U669" s="2" t="inlineStr">
        <is>
          <t>Favor: CH, IL, BE, PAN; Contra: PSD, CDS-PP; Abstenção: PS, L, PCP</t>
        </is>
      </c>
      <c r="V669" s="3" t="n">
        <v>45987</v>
      </c>
      <c r="W669" s="2" t="inlineStr">
        <is>
          <t>AR: https://www.parlamento.pt/OrcamentoEstado/Paginas/DetalhePropostaAlteracao.aspx?BID=23851 PDF: https://app.parlamento.pt/webutils/docs/doc.pdf?path=6148523063484d364c793942556b356c6443397a6158526c63793959566b6c4a544556484c3039464c7a49774d6a59794d4449314d5441774f533951515338304e32517a4e475a68595330794d324e694c54526b4d44677459575534596930334d324e6b4d7a5131597a59304d6d45756347526d&amp;Fich=47d34faa-23cb-4d08-ae8b-73cd345c642a.pdf&amp;Inline=true</t>
        </is>
      </c>
      <c r="X669" s="2" t="inlineStr">
        <is>
          <t>Infraestruturas, Mobilidade e Habitação</t>
        </is>
      </c>
      <c r="Y669" s="2" t="inlineStr">
        <is>
          <t>Articulado</t>
        </is>
      </c>
      <c r="Z669" s="2" t="inlineStr">
        <is>
          <t>Aditamento (Artigo PPL)</t>
        </is>
      </c>
      <c r="AA669" s="2" t="inlineStr">
        <is>
          <t>Rejeitado(a) em Comissão</t>
        </is>
      </c>
      <c r="AB669" s="2" t="inlineStr"/>
      <c r="AC669" s="2" t="inlineStr"/>
      <c r="AD669" s="2" t="inlineStr">
        <is>
          <t>1</t>
        </is>
      </c>
      <c r="AE669" s="2" t="inlineStr">
        <is>
          <t>23851</t>
        </is>
      </c>
      <c r="AF669" s="2" t="inlineStr">
        <is>
          <t>https://www.parlamento.pt/OrcamentoEstado/Paginas/DetalhePropostaAlteracao.aspx?BID=23851</t>
        </is>
      </c>
      <c r="AG669" s="2" t="inlineStr">
        <is>
          <t>https://app.parlamento.pt/webutils/docs/doc.pdf?path=6148523063484d364c793942556b356c6443397a6158526c63793959566b6c4a544556484c3039464c7a49774d6a59794d4449314d5441774f533951515338304e32517a4e475a68595330794d324e694c54526b4d44677459575534596930334d324e6b4d7a5131597a59304d6d45756347526d&amp;Fich=47d34faa-23cb-4d08-ae8b-73cd345c642a.pdf&amp;Inline=true</t>
        </is>
      </c>
      <c r="AH669" s="3" t="n">
        <v>46321.77847222222</v>
      </c>
      <c r="AI669" s="3" t="n">
        <v>46321.78055555555</v>
      </c>
      <c r="AJ669" s="2" t="inlineStr"/>
    </row>
    <row r="670">
      <c r="A670" s="2" t="n">
        <v>669</v>
      </c>
      <c r="B670" s="2" t="inlineStr">
        <is>
          <t>626C</t>
        </is>
      </c>
      <c r="C670" s="3" t="n">
        <v>45966.69930555556</v>
      </c>
      <c r="D670" s="2" t="inlineStr">
        <is>
          <t>Original</t>
        </is>
      </c>
      <c r="E670" s="2" t="inlineStr">
        <is>
          <t>CH</t>
        </is>
      </c>
      <c r="F67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70" s="2" t="inlineStr">
        <is>
          <t>Art. 136.º-A (aditamento)</t>
        </is>
      </c>
      <c r="H670" s="2" t="n"/>
      <c r="I670" s="2" t="n"/>
      <c r="J670" s="2" t="n"/>
      <c r="K670" s="2" t="n"/>
      <c r="L670" s="2" t="inlineStr">
        <is>
          <t>Artigo 136.º-A (Plano de Formação de Pescadores)</t>
        </is>
      </c>
      <c r="M670" s="4" t="n"/>
      <c r="N670" s="4" t="n"/>
      <c r="O670" s="2" t="n"/>
      <c r="P670" s="2" t="n"/>
      <c r="Q670" s="2" t="n"/>
      <c r="R670" s="2" t="n"/>
      <c r="S670" s="2" t="inlineStr">
        <is>
          <t>Rejeitado(a) em Comissão</t>
        </is>
      </c>
      <c r="T670" s="2" t="inlineStr">
        <is>
          <t>Rejeitada</t>
        </is>
      </c>
      <c r="U670" s="2" t="inlineStr">
        <is>
          <t>Favor: CH, BE; Contra: PSD, IL, CDS-PP, PAN; Abstenção: PS, L, PCP</t>
        </is>
      </c>
      <c r="V670" s="3" t="n">
        <v>45987</v>
      </c>
      <c r="W670" s="2" t="inlineStr">
        <is>
          <t>AR: https://www.parlamento.pt/OrcamentoEstado/Paginas/DetalhePropostaAlteracao.aspx?BID=23852 PDF: https://app.parlamento.pt/webutils/docs/doc.pdf?path=6148523063484d364c793942556b356c6443397a6158526c63793959566b6c4a544556484c3039464c7a49774d6a59794d4449314d5441774f5339515153396b4e44566b4e5463775a693031597a41314c54517a597a63744f44526c5a433033596a67774e44646d59574e6d4e3255756347526d&amp;Fich=d45d570f-5c05-43c7-84ed-7b8047facf7e.pdf&amp;Inline=true</t>
        </is>
      </c>
      <c r="X670" s="2" t="inlineStr">
        <is>
          <t>Agricultura e Pescas</t>
        </is>
      </c>
      <c r="Y670" s="2" t="inlineStr">
        <is>
          <t>Articulado</t>
        </is>
      </c>
      <c r="Z670" s="2" t="inlineStr">
        <is>
          <t>Aditamento (Artigo PPL)</t>
        </is>
      </c>
      <c r="AA670" s="2" t="inlineStr">
        <is>
          <t>Rejeitado(a) em Comissão</t>
        </is>
      </c>
      <c r="AB670" s="2" t="inlineStr"/>
      <c r="AC670" s="2" t="inlineStr"/>
      <c r="AD670" s="2" t="inlineStr">
        <is>
          <t>1</t>
        </is>
      </c>
      <c r="AE670" s="2" t="inlineStr">
        <is>
          <t>23852</t>
        </is>
      </c>
      <c r="AF670" s="2" t="inlineStr">
        <is>
          <t>https://www.parlamento.pt/OrcamentoEstado/Paginas/DetalhePropostaAlteracao.aspx?BID=23852</t>
        </is>
      </c>
      <c r="AG670" s="2" t="inlineStr">
        <is>
          <t>https://app.parlamento.pt/webutils/docs/doc.pdf?path=6148523063484d364c793942556b356c6443397a6158526c63793959566b6c4a544556484c3039464c7a49774d6a59794d4449314d5441774f5339515153396b4e44566b4e5463775a693031597a41314c54517a597a63744f44526c5a433033596a67774e44646d59574e6d4e3255756347526d&amp;Fich=d45d570f-5c05-43c7-84ed-7b8047facf7e.pdf&amp;Inline=true</t>
        </is>
      </c>
      <c r="AH670" s="3" t="n">
        <v>46321.77847222222</v>
      </c>
      <c r="AI670" s="3" t="n">
        <v>46321.78055555555</v>
      </c>
      <c r="AJ670" s="2" t="inlineStr"/>
    </row>
    <row r="671">
      <c r="A671" s="2" t="n">
        <v>670</v>
      </c>
      <c r="B671" s="2" t="inlineStr">
        <is>
          <t>627C</t>
        </is>
      </c>
      <c r="C671" s="3" t="n">
        <v>45966.69930555556</v>
      </c>
      <c r="D671" s="2" t="inlineStr">
        <is>
          <t>Original</t>
        </is>
      </c>
      <c r="E671" s="2" t="inlineStr">
        <is>
          <t>L</t>
        </is>
      </c>
      <c r="F671" s="2" t="inlineStr">
        <is>
          <t>Filipa Pinto; Isabel Mendes Lopes; Jorge Pinto; Patrícia Gonçalves; Paulo Muacho; Rui Tavares</t>
        </is>
      </c>
      <c r="G671" s="2" t="inlineStr">
        <is>
          <t>Art. 117.º-A (aditamento)</t>
        </is>
      </c>
      <c r="H671" s="2" t="n"/>
      <c r="I671" s="2" t="n"/>
      <c r="J671" s="2" t="n"/>
      <c r="K671" s="2" t="n"/>
      <c r="L671" s="2" t="inlineStr">
        <is>
          <t>Artigo 117.º-A (Combate à desinformação e reforço da literacia mediática)</t>
        </is>
      </c>
      <c r="M671" s="4" t="n"/>
      <c r="N671" s="4" t="n"/>
      <c r="O671" s="2" t="n"/>
      <c r="P671" s="2" t="n"/>
      <c r="Q671" s="2" t="n"/>
      <c r="R671" s="2" t="n"/>
      <c r="S671" s="2" t="inlineStr">
        <is>
          <t>Rejeitado(a) em Comissão</t>
        </is>
      </c>
      <c r="T671" s="2" t="inlineStr">
        <is>
          <t>Rejeitada</t>
        </is>
      </c>
      <c r="U671" s="2" t="inlineStr">
        <is>
          <t>Favor: L, BE, PAN; Contra: PSD, CH, CDS-PP; Abstenção: PS, IL, PCP</t>
        </is>
      </c>
      <c r="V671" s="3" t="n">
        <v>45985</v>
      </c>
      <c r="W671" s="2" t="inlineStr">
        <is>
          <t>AR: https://www.parlamento.pt/OrcamentoEstado/Paginas/DetalhePropostaAlteracao.aspx?BID=23853 PDF: https://app.parlamento.pt/webutils/docs/doc.pdf?path=6148523063484d364c793942556b356c6443397a6158526c63793959566b6c4a544556484c3039464c7a49774d6a59794d4449314d5441774f533951515338354e54466b4e7a4a6d4f4331694d5751774c5452684d444574596a4a6d4d4331694d7a646b5a444a6d5932517a4e5455756347526d&amp;Fich=951d72f8-b1d0-4a01-b2f0-b37dd2fcd355.pdf&amp;Inline=true</t>
        </is>
      </c>
      <c r="X671" s="2" t="inlineStr">
        <is>
          <t>Cultura, Comunicação, Juventude e Desporto</t>
        </is>
      </c>
      <c r="Y671" s="2" t="inlineStr">
        <is>
          <t>Articulado</t>
        </is>
      </c>
      <c r="Z671" s="2" t="inlineStr">
        <is>
          <t>Aditamento (Artigo PPL)</t>
        </is>
      </c>
      <c r="AA671" s="2" t="inlineStr">
        <is>
          <t>Rejeitado(a) em Comissão</t>
        </is>
      </c>
      <c r="AB671" s="2" t="inlineStr"/>
      <c r="AC671" s="2" t="inlineStr"/>
      <c r="AD671" s="2" t="inlineStr">
        <is>
          <t>1</t>
        </is>
      </c>
      <c r="AE671" s="2" t="inlineStr">
        <is>
          <t>23853</t>
        </is>
      </c>
      <c r="AF671" s="2" t="inlineStr">
        <is>
          <t>https://www.parlamento.pt/OrcamentoEstado/Paginas/DetalhePropostaAlteracao.aspx?BID=23853</t>
        </is>
      </c>
      <c r="AG671" s="2" t="inlineStr">
        <is>
          <t>https://app.parlamento.pt/webutils/docs/doc.pdf?path=6148523063484d364c793942556b356c6443397a6158526c63793959566b6c4a544556484c3039464c7a49774d6a59794d4449314d5441774f533951515338354e54466b4e7a4a6d4f4331694d5751774c5452684d444574596a4a6d4d4331694d7a646b5a444a6d5932517a4e5455756347526d&amp;Fich=951d72f8-b1d0-4a01-b2f0-b37dd2fcd355.pdf&amp;Inline=true</t>
        </is>
      </c>
      <c r="AH671" s="3" t="n">
        <v>46321.77847222222</v>
      </c>
      <c r="AI671" s="3" t="n">
        <v>46321.78055555555</v>
      </c>
      <c r="AJ671" s="2" t="inlineStr"/>
    </row>
    <row r="672">
      <c r="A672" s="2" t="n">
        <v>671</v>
      </c>
      <c r="B672" s="2" t="inlineStr">
        <is>
          <t>628C</t>
        </is>
      </c>
      <c r="C672" s="3" t="n">
        <v>45966.70069444444</v>
      </c>
      <c r="D672" s="2" t="inlineStr">
        <is>
          <t>Original</t>
        </is>
      </c>
      <c r="E672" s="2" t="inlineStr">
        <is>
          <t>CH</t>
        </is>
      </c>
      <c r="F67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72" s="2" t="inlineStr">
        <is>
          <t>Art. 136.º-A (aditamento)</t>
        </is>
      </c>
      <c r="H672" s="2" t="n"/>
      <c r="I672" s="2" t="n"/>
      <c r="J672" s="2" t="n"/>
      <c r="K672" s="2" t="n"/>
      <c r="L672" s="2" t="inlineStr">
        <is>
          <t>Artigo 136.º-A (Requalificação da Estrada Nacional 4, incluindo a construção da Variante Rodoviária de Montemor-o-Novo, no Distrito de Évora)</t>
        </is>
      </c>
      <c r="M672" s="4" t="n"/>
      <c r="N672" s="4" t="n"/>
      <c r="O672" s="2" t="n"/>
      <c r="P672" s="2" t="n"/>
      <c r="Q672" s="2" t="n"/>
      <c r="R672" s="2" t="n"/>
      <c r="S672" s="2" t="inlineStr">
        <is>
          <t>Rejeitado(a) em Comissão</t>
        </is>
      </c>
      <c r="T672" s="2" t="inlineStr">
        <is>
          <t>Rejeitada</t>
        </is>
      </c>
      <c r="U672" s="2" t="inlineStr">
        <is>
          <t>Favor: CH, BE; Contra: PSD, CDS-PP; Abstenção: PS, IL, L, PCP, PAN</t>
        </is>
      </c>
      <c r="V672" s="3" t="n">
        <v>45987</v>
      </c>
      <c r="W672" s="2" t="inlineStr">
        <is>
          <t>AR: https://www.parlamento.pt/OrcamentoEstado/Paginas/DetalhePropostaAlteracao.aspx?BID=23854 PDF: https://app.parlamento.pt/webutils/docs/doc.pdf?path=6148523063484d364c793942556b356c6443397a6158526c63793959566b6c4a544556484c3039464c7a49774d6a59794d4449314d5441774f5339515153396b593255775a57557a595331694d574a694c5451345a5449744f5451304d43316c4d7a45314d7a51334d445a6d597a63756347526d&amp;Fich=dce0ee3a-b1bb-48e2-9440-e31534706fc7.pdf&amp;Inline=true</t>
        </is>
      </c>
      <c r="X672" s="2" t="inlineStr">
        <is>
          <t>Infraestruturas, Mobilidade e Habitação; Reforma do Estado e Poder Local</t>
        </is>
      </c>
      <c r="Y672" s="2" t="inlineStr">
        <is>
          <t>Articulado</t>
        </is>
      </c>
      <c r="Z672" s="2" t="inlineStr">
        <is>
          <t>Aditamento (Artigo PPL)</t>
        </is>
      </c>
      <c r="AA672" s="2" t="inlineStr">
        <is>
          <t>Rejeitado(a) em Comissão</t>
        </is>
      </c>
      <c r="AB672" s="2" t="inlineStr"/>
      <c r="AC672" s="2" t="inlineStr"/>
      <c r="AD672" s="2" t="inlineStr">
        <is>
          <t>1</t>
        </is>
      </c>
      <c r="AE672" s="2" t="inlineStr">
        <is>
          <t>23854</t>
        </is>
      </c>
      <c r="AF672" s="2" t="inlineStr">
        <is>
          <t>https://www.parlamento.pt/OrcamentoEstado/Paginas/DetalhePropostaAlteracao.aspx?BID=23854</t>
        </is>
      </c>
      <c r="AG672" s="2" t="inlineStr">
        <is>
          <t>https://app.parlamento.pt/webutils/docs/doc.pdf?path=6148523063484d364c793942556b356c6443397a6158526c63793959566b6c4a544556484c3039464c7a49774d6a59794d4449314d5441774f5339515153396b593255775a57557a595331694d574a694c5451345a5449744f5451304d43316c4d7a45314d7a51334d445a6d597a63756347526d&amp;Fich=dce0ee3a-b1bb-48e2-9440-e31534706fc7.pdf&amp;Inline=true</t>
        </is>
      </c>
      <c r="AH672" s="3" t="n">
        <v>46321.77847222222</v>
      </c>
      <c r="AI672" s="3" t="n">
        <v>46321.78055555555</v>
      </c>
      <c r="AJ672" s="2" t="inlineStr"/>
    </row>
    <row r="673">
      <c r="A673" s="2" t="n">
        <v>672</v>
      </c>
      <c r="B673" s="2" t="inlineStr">
        <is>
          <t>629C</t>
        </is>
      </c>
      <c r="C673" s="3" t="n">
        <v>45966.70138888889</v>
      </c>
      <c r="D673" s="2" t="inlineStr">
        <is>
          <t>Original</t>
        </is>
      </c>
      <c r="E673" s="2" t="inlineStr">
        <is>
          <t>CH</t>
        </is>
      </c>
      <c r="F67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73" s="2" t="inlineStr">
        <is>
          <t>Art. 136.º-A (aditamento)</t>
        </is>
      </c>
      <c r="H673" s="2" t="n"/>
      <c r="I673" s="2" t="n"/>
      <c r="J673" s="2" t="n"/>
      <c r="K673" s="2" t="n"/>
      <c r="L673" s="2" t="inlineStr">
        <is>
          <t>Artigo 136.º-A (Programa de incentivo à fixação de jovens em territórios despovoados)</t>
        </is>
      </c>
      <c r="M673" s="4" t="n"/>
      <c r="N673" s="4" t="n"/>
      <c r="O673" s="2" t="n"/>
      <c r="P673" s="2" t="n"/>
      <c r="Q673" s="2" t="n"/>
      <c r="R673" s="2" t="n"/>
      <c r="S673" s="2" t="inlineStr">
        <is>
          <t>Rejeitado(a) em Comissão</t>
        </is>
      </c>
      <c r="T673" s="2" t="inlineStr">
        <is>
          <t>Rejeitada</t>
        </is>
      </c>
      <c r="U673" s="2" t="inlineStr">
        <is>
          <t>Favor: CH, PAN; Contra: PSD, L, PCP, CDS-PP; Abstenção: PS, IL, BE</t>
        </is>
      </c>
      <c r="V673" s="3" t="n">
        <v>45987</v>
      </c>
      <c r="W673" s="2" t="inlineStr">
        <is>
          <t>AR: https://www.parlamento.pt/OrcamentoEstado/Paginas/DetalhePropostaAlteracao.aspx?BID=23855 PDF: https://app.parlamento.pt/webutils/docs/doc.pdf?path=6148523063484d364c793942556b356c6443397a6158526c63793959566b6c4a544556484c3039464c7a49774d6a59794d4449314d5441774f5339515153396c5a5745795a4755304f4330344d7a646a4c5451775932557459544e695a5330354d7a5a6c5a5746684f4756694f5463756347526d&amp;Fich=eea2de48-837c-40ce-a3be-936eeaa8eb97.pdf&amp;Inline=true</t>
        </is>
      </c>
      <c r="X673" s="2" t="inlineStr">
        <is>
          <t>Comissão de Economia e Coesão Territorial; Orçamento, Finanças e Administração Pública</t>
        </is>
      </c>
      <c r="Y673" s="2" t="inlineStr">
        <is>
          <t>Articulado</t>
        </is>
      </c>
      <c r="Z673" s="2" t="inlineStr">
        <is>
          <t>Aditamento (Artigo PPL)</t>
        </is>
      </c>
      <c r="AA673" s="2" t="inlineStr">
        <is>
          <t>Rejeitado(a) em Comissão</t>
        </is>
      </c>
      <c r="AB673" s="2" t="inlineStr"/>
      <c r="AC673" s="2" t="inlineStr"/>
      <c r="AD673" s="2" t="inlineStr">
        <is>
          <t>1</t>
        </is>
      </c>
      <c r="AE673" s="2" t="inlineStr">
        <is>
          <t>23855</t>
        </is>
      </c>
      <c r="AF673" s="2" t="inlineStr">
        <is>
          <t>https://www.parlamento.pt/OrcamentoEstado/Paginas/DetalhePropostaAlteracao.aspx?BID=23855</t>
        </is>
      </c>
      <c r="AG673" s="2" t="inlineStr">
        <is>
          <t>https://app.parlamento.pt/webutils/docs/doc.pdf?path=6148523063484d364c793942556b356c6443397a6158526c63793959566b6c4a544556484c3039464c7a49774d6a59794d4449314d5441774f5339515153396c5a5745795a4755304f4330344d7a646a4c5451775932557459544e695a5330354d7a5a6c5a5746684f4756694f5463756347526d&amp;Fich=eea2de48-837c-40ce-a3be-936eeaa8eb97.pdf&amp;Inline=true</t>
        </is>
      </c>
      <c r="AH673" s="3" t="n">
        <v>46321.77847222222</v>
      </c>
      <c r="AI673" s="3" t="n">
        <v>46321.78055555555</v>
      </c>
      <c r="AJ673" s="2" t="inlineStr"/>
    </row>
    <row r="674">
      <c r="A674" s="2" t="n">
        <v>673</v>
      </c>
      <c r="B674" s="2" t="inlineStr">
        <is>
          <t>630C</t>
        </is>
      </c>
      <c r="C674" s="3" t="n">
        <v>45966.70347222222</v>
      </c>
      <c r="D674" s="2" t="inlineStr">
        <is>
          <t>Original</t>
        </is>
      </c>
      <c r="E674" s="2" t="inlineStr">
        <is>
          <t>CH</t>
        </is>
      </c>
      <c r="F67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74" s="2" t="inlineStr">
        <is>
          <t>Art. 136.º-A (aditamento)</t>
        </is>
      </c>
      <c r="H674" s="2" t="n"/>
      <c r="I674" s="2" t="n"/>
      <c r="J674" s="2" t="n"/>
      <c r="K674" s="2" t="n"/>
      <c r="L674" s="2" t="inlineStr">
        <is>
          <t>Artigo 136.º-A (Programa Nacional de Agricultura Hidropónica para Reaproveitamento de Calor Industrial)</t>
        </is>
      </c>
      <c r="M674" s="4" t="n"/>
      <c r="N674" s="4" t="n"/>
      <c r="O674" s="2" t="n"/>
      <c r="P674" s="2" t="n"/>
      <c r="Q674" s="2" t="n"/>
      <c r="R674" s="2" t="n"/>
      <c r="S674" s="2" t="inlineStr">
        <is>
          <t>Rejeitado(a) em Comissão</t>
        </is>
      </c>
      <c r="T674" s="2" t="inlineStr">
        <is>
          <t>Rejeitada</t>
        </is>
      </c>
      <c r="U674" s="2" t="inlineStr">
        <is>
          <t>Favor: CH, PAN; Contra: PSD, PCP, CDS-PP; Abstenção: PS, IL, L, BE</t>
        </is>
      </c>
      <c r="V674" s="3" t="n">
        <v>45987</v>
      </c>
      <c r="W674" s="2" t="inlineStr">
        <is>
          <t>AR: https://www.parlamento.pt/OrcamentoEstado/Paginas/DetalhePropostaAlteracao.aspx?BID=23856 PDF: https://app.parlamento.pt/webutils/docs/doc.pdf?path=6148523063484d364c793942556b356c6443397a6158526c63793959566b6c4a544556484c3039464c7a49774d6a59794d4449314d5441774f53395151533834597a4a6a4e474e6c4e69316a4e325a6b4c5451344e6d49744f546c6c4d7930784f4751774f444a6a4e6a566d5a5455756347526d&amp;Fich=8c2c4ce6-c7fd-486b-99e3-18d082c65fe5.pdf&amp;Inline=true</t>
        </is>
      </c>
      <c r="X674" s="2" t="inlineStr">
        <is>
          <t>Agricultura e Pescas; Ambiente e Energia</t>
        </is>
      </c>
      <c r="Y674" s="2" t="inlineStr">
        <is>
          <t>Articulado</t>
        </is>
      </c>
      <c r="Z674" s="2" t="inlineStr">
        <is>
          <t>Aditamento (Artigo PPL)</t>
        </is>
      </c>
      <c r="AA674" s="2" t="inlineStr">
        <is>
          <t>Rejeitado(a) em Comissão</t>
        </is>
      </c>
      <c r="AB674" s="2" t="inlineStr"/>
      <c r="AC674" s="2" t="inlineStr"/>
      <c r="AD674" s="2" t="inlineStr">
        <is>
          <t>1</t>
        </is>
      </c>
      <c r="AE674" s="2" t="inlineStr">
        <is>
          <t>23856</t>
        </is>
      </c>
      <c r="AF674" s="2" t="inlineStr">
        <is>
          <t>https://www.parlamento.pt/OrcamentoEstado/Paginas/DetalhePropostaAlteracao.aspx?BID=23856</t>
        </is>
      </c>
      <c r="AG674" s="2" t="inlineStr">
        <is>
          <t>https://app.parlamento.pt/webutils/docs/doc.pdf?path=6148523063484d364c793942556b356c6443397a6158526c63793959566b6c4a544556484c3039464c7a49774d6a59794d4449314d5441774f53395151533834597a4a6a4e474e6c4e69316a4e325a6b4c5451344e6d49744f546c6c4d7930784f4751774f444a6a4e6a566d5a5455756347526d&amp;Fich=8c2c4ce6-c7fd-486b-99e3-18d082c65fe5.pdf&amp;Inline=true</t>
        </is>
      </c>
      <c r="AH674" s="3" t="n">
        <v>46321.77847222222</v>
      </c>
      <c r="AI674" s="3" t="n">
        <v>46321.78055555555</v>
      </c>
      <c r="AJ674" s="2" t="inlineStr"/>
    </row>
    <row r="675">
      <c r="A675" s="2" t="n">
        <v>674</v>
      </c>
      <c r="B675" s="2" t="inlineStr">
        <is>
          <t>631C</t>
        </is>
      </c>
      <c r="C675" s="3" t="n">
        <v>45966.70486111111</v>
      </c>
      <c r="D675" s="2" t="inlineStr">
        <is>
          <t>Retirada</t>
        </is>
      </c>
      <c r="E675" s="2" t="inlineStr">
        <is>
          <t>CH</t>
        </is>
      </c>
      <c r="F67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75" s="2" t="inlineStr">
        <is>
          <t>Art. 136.º-A (aditamento)</t>
        </is>
      </c>
      <c r="H675" s="2" t="n"/>
      <c r="I675" s="2" t="n"/>
      <c r="J675" s="2" t="n"/>
      <c r="K675" s="2" t="n"/>
      <c r="L675" s="2" t="inlineStr">
        <is>
          <t>Artigo 136.º-A (Reabilitação do Património Edificado Público para Alojamento Estudantil)</t>
        </is>
      </c>
      <c r="M675" s="4" t="n"/>
      <c r="N675" s="4" t="n"/>
      <c r="O675" s="2" t="n"/>
      <c r="P675" s="2" t="n"/>
      <c r="Q675" s="2" t="n"/>
      <c r="R675" s="2" t="n"/>
      <c r="S675" s="2" t="inlineStr">
        <is>
          <t>Retirado(a)</t>
        </is>
      </c>
      <c r="T675" s="2" t="inlineStr">
        <is>
          <t>Retirada</t>
        </is>
      </c>
      <c r="U675" s="2" t="inlineStr"/>
      <c r="V675" s="3" t="n"/>
      <c r="W675" s="2" t="inlineStr">
        <is>
          <t>AR: https://www.parlamento.pt/OrcamentoEstado/Paginas/DetalhePropostaAlteracao.aspx?BID=23857 PDF: https://app.parlamento.pt/webutils/docs/doc.pdf?path=6148523063484d364c793942556b356c6443397a6158526c63793959566b6c4a544556484c3039464c7a49774d6a59794d4449314d5441774f533951515338775954497a5a6a45344e43316b4f444e6a4c5451795a5745745954426a4e5330324e4451775a6a6c6c4e4759334f4449756347526d&amp;Fich=0a23f184-d83c-42ea-a0c5-6440f9e4f782.pdf&amp;Inline=true</t>
        </is>
      </c>
      <c r="X675" s="2" t="inlineStr">
        <is>
          <t>Educação e Ciência; Infraestruturas, Mobilidade e Habitação</t>
        </is>
      </c>
      <c r="Y675" s="2" t="inlineStr">
        <is>
          <t>Articulado</t>
        </is>
      </c>
      <c r="Z675" s="2" t="inlineStr">
        <is>
          <t>Aditamento (Artigo PPL)</t>
        </is>
      </c>
      <c r="AA675" s="2" t="inlineStr">
        <is>
          <t>Retirado(a)</t>
        </is>
      </c>
      <c r="AB675" s="2" t="inlineStr"/>
      <c r="AC675" s="2" t="inlineStr"/>
      <c r="AD675" s="2" t="inlineStr">
        <is>
          <t>0</t>
        </is>
      </c>
      <c r="AE675" s="2" t="inlineStr">
        <is>
          <t>23857</t>
        </is>
      </c>
      <c r="AF675" s="2" t="inlineStr">
        <is>
          <t>https://www.parlamento.pt/OrcamentoEstado/Paginas/DetalhePropostaAlteracao.aspx?BID=23857</t>
        </is>
      </c>
      <c r="AG675" s="2" t="inlineStr">
        <is>
          <t>https://app.parlamento.pt/webutils/docs/doc.pdf?path=6148523063484d364c793942556b356c6443397a6158526c63793959566b6c4a544556484c3039464c7a49774d6a59794d4449314d5441774f533951515338775954497a5a6a45344e43316b4f444e6a4c5451795a5745745954426a4e5330324e4451775a6a6c6c4e4759334f4449756347526d&amp;Fich=0a23f184-d83c-42ea-a0c5-6440f9e4f782.pdf&amp;Inline=true</t>
        </is>
      </c>
      <c r="AH675" s="3" t="n">
        <v>46321.77847222222</v>
      </c>
      <c r="AI675" s="3" t="n">
        <v>46321.78055555555</v>
      </c>
      <c r="AJ675" s="2" t="inlineStr"/>
    </row>
    <row r="676">
      <c r="A676" s="2" t="n">
        <v>675</v>
      </c>
      <c r="B676" s="2" t="inlineStr">
        <is>
          <t>632C</t>
        </is>
      </c>
      <c r="C676" s="3" t="n">
        <v>45966.70555555556</v>
      </c>
      <c r="D676" s="2" t="inlineStr">
        <is>
          <t>Original</t>
        </is>
      </c>
      <c r="E676" s="2" t="inlineStr">
        <is>
          <t>CH</t>
        </is>
      </c>
      <c r="F67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76" s="2" t="inlineStr">
        <is>
          <t>Art. 136.º-A (aditamento)</t>
        </is>
      </c>
      <c r="H676" s="2" t="n"/>
      <c r="I676" s="2" t="n"/>
      <c r="J676" s="2" t="n"/>
      <c r="K676" s="2" t="n"/>
      <c r="L676" s="2" t="inlineStr">
        <is>
          <t>Artigo 136.º-A (Reposição da redução do vencimento dos titulares de cargos políticos)</t>
        </is>
      </c>
      <c r="M676" s="4" t="n"/>
      <c r="N676" s="4" t="n"/>
      <c r="O676" s="2" t="n"/>
      <c r="P676" s="2" t="n"/>
      <c r="Q676" s="2" t="n"/>
      <c r="R676" s="2" t="n"/>
      <c r="S676" s="2" t="inlineStr">
        <is>
          <t>Rejeitado(a) em Comissão</t>
        </is>
      </c>
      <c r="T676" s="2" t="inlineStr">
        <is>
          <t>Rejeitada</t>
        </is>
      </c>
      <c r="U676" s="2" t="inlineStr">
        <is>
          <t>Favor: CH; Contra: PSD, PS, IL, L, PCP, CDS-PP, PAN; Abstenção: BE</t>
        </is>
      </c>
      <c r="V676" s="3" t="n">
        <v>45987</v>
      </c>
      <c r="W676" s="2" t="inlineStr">
        <is>
          <t>AR: https://www.parlamento.pt/OrcamentoEstado/Paginas/DetalhePropostaAlteracao.aspx?BID=23858 PDF: https://app.parlamento.pt/webutils/docs/doc.pdf?path=6148523063484d364c793942556b356c6443397a6158526c63793959566b6c4a544556484c3039464c7a49774d6a59794d4449314d5441774f533951515338774e54417a4d544e6a4e6930345a6a51774c54526b595745744f5452695979307959575a6a4e6d4d304d57466a4d4445756347526d&amp;Fich=050313c6-8f40-4daa-94bc-2afc6c41ac01.pdf&amp;Inline=true</t>
        </is>
      </c>
      <c r="X676" s="2" t="inlineStr">
        <is>
          <t>Assuntos Constitucionais, Direitos, Liberdades e Garantias; Orçamento, Finanças e Administração Pública</t>
        </is>
      </c>
      <c r="Y676" s="2" t="inlineStr">
        <is>
          <t>Articulado</t>
        </is>
      </c>
      <c r="Z676" s="2" t="inlineStr">
        <is>
          <t>Aditamento (Artigo PPL)</t>
        </is>
      </c>
      <c r="AA676" s="2" t="inlineStr">
        <is>
          <t>Rejeitado(a) em Comissão</t>
        </is>
      </c>
      <c r="AB676" s="2" t="inlineStr"/>
      <c r="AC676" s="2" t="inlineStr"/>
      <c r="AD676" s="2" t="inlineStr">
        <is>
          <t>1</t>
        </is>
      </c>
      <c r="AE676" s="2" t="inlineStr">
        <is>
          <t>23858</t>
        </is>
      </c>
      <c r="AF676" s="2" t="inlineStr">
        <is>
          <t>https://www.parlamento.pt/OrcamentoEstado/Paginas/DetalhePropostaAlteracao.aspx?BID=23858</t>
        </is>
      </c>
      <c r="AG676" s="2" t="inlineStr">
        <is>
          <t>https://app.parlamento.pt/webutils/docs/doc.pdf?path=6148523063484d364c793942556b356c6443397a6158526c63793959566b6c4a544556484c3039464c7a49774d6a59794d4449314d5441774f533951515338774e54417a4d544e6a4e6930345a6a51774c54526b595745744f5452695979307959575a6a4e6d4d304d57466a4d4445756347526d&amp;Fich=050313c6-8f40-4daa-94bc-2afc6c41ac01.pdf&amp;Inline=true</t>
        </is>
      </c>
      <c r="AH676" s="3" t="n">
        <v>46321.77847222222</v>
      </c>
      <c r="AI676" s="3" t="n">
        <v>46321.78055555555</v>
      </c>
      <c r="AJ676" s="2" t="inlineStr"/>
    </row>
    <row r="677">
      <c r="A677" s="2" t="n">
        <v>676</v>
      </c>
      <c r="B677" s="2" t="inlineStr">
        <is>
          <t>633C</t>
        </is>
      </c>
      <c r="C677" s="3" t="n">
        <v>45966.70625</v>
      </c>
      <c r="D677" s="2" t="inlineStr">
        <is>
          <t>Original</t>
        </is>
      </c>
      <c r="E677" s="2" t="inlineStr">
        <is>
          <t>CH</t>
        </is>
      </c>
      <c r="F67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77" s="2" t="inlineStr">
        <is>
          <t>Art. 136.º-A (aditamento)</t>
        </is>
      </c>
      <c r="H677" s="2" t="n"/>
      <c r="I677" s="2" t="n"/>
      <c r="J677" s="2" t="n"/>
      <c r="K677" s="2" t="n"/>
      <c r="L677" s="2" t="inlineStr">
        <is>
          <t>Artigo 136.º-A (Reforço da verba para a sanidade animal)</t>
        </is>
      </c>
      <c r="M677" s="4" t="n"/>
      <c r="N677" s="4" t="n"/>
      <c r="O677" s="2" t="n"/>
      <c r="P677" s="2" t="n"/>
      <c r="Q677" s="2" t="n"/>
      <c r="R677" s="2" t="n"/>
      <c r="S677" s="2" t="inlineStr">
        <is>
          <t>Rejeitado(a) em Comissão</t>
        </is>
      </c>
      <c r="T677" s="2" t="inlineStr">
        <is>
          <t>Rejeitada</t>
        </is>
      </c>
      <c r="U677" s="2" t="inlineStr">
        <is>
          <t>Favor: CH, IL, BE, PAN; Contra: PSD, CDS-PP; Abstenção: PS, L, PCP</t>
        </is>
      </c>
      <c r="V677" s="3" t="n">
        <v>45987</v>
      </c>
      <c r="W677" s="2" t="inlineStr">
        <is>
          <t>AR: https://www.parlamento.pt/OrcamentoEstado/Paginas/DetalhePropostaAlteracao.aspx?BID=23859 PDF: https://app.parlamento.pt/webutils/docs/doc.pdf?path=6148523063484d364c793942556b356c6443397a6158526c63793959566b6c4a544556484c3039464c7a49774d6a59794d4449314d5441774f533951515338314d6a526d595449795979316c596d51304c5451775a6a6b744f4445344e43316b4e7a59314e546b334e7a566a5a544d756347526d&amp;Fich=524fa22c-ebd4-40f9-8184-d76559775ce3.pdf&amp;Inline=true</t>
        </is>
      </c>
      <c r="X677" s="2" t="inlineStr">
        <is>
          <t>Agricultura e Pescas</t>
        </is>
      </c>
      <c r="Y677" s="2" t="inlineStr">
        <is>
          <t>Articulado</t>
        </is>
      </c>
      <c r="Z677" s="2" t="inlineStr">
        <is>
          <t>Aditamento (Artigo PPL)</t>
        </is>
      </c>
      <c r="AA677" s="2" t="inlineStr">
        <is>
          <t>Rejeitado(a) em Comissão</t>
        </is>
      </c>
      <c r="AB677" s="2" t="inlineStr"/>
      <c r="AC677" s="2" t="inlineStr"/>
      <c r="AD677" s="2" t="inlineStr">
        <is>
          <t>1</t>
        </is>
      </c>
      <c r="AE677" s="2" t="inlineStr">
        <is>
          <t>23859</t>
        </is>
      </c>
      <c r="AF677" s="2" t="inlineStr">
        <is>
          <t>https://www.parlamento.pt/OrcamentoEstado/Paginas/DetalhePropostaAlteracao.aspx?BID=23859</t>
        </is>
      </c>
      <c r="AG677" s="2" t="inlineStr">
        <is>
          <t>https://app.parlamento.pt/webutils/docs/doc.pdf?path=6148523063484d364c793942556b356c6443397a6158526c63793959566b6c4a544556484c3039464c7a49774d6a59794d4449314d5441774f533951515338314d6a526d595449795979316c596d51304c5451775a6a6b744f4445344e43316b4e7a59314e546b334e7a566a5a544d756347526d&amp;Fich=524fa22c-ebd4-40f9-8184-d76559775ce3.pdf&amp;Inline=true</t>
        </is>
      </c>
      <c r="AH677" s="3" t="n">
        <v>46321.77847222222</v>
      </c>
      <c r="AI677" s="3" t="n">
        <v>46321.78055555555</v>
      </c>
      <c r="AJ677" s="2" t="inlineStr"/>
    </row>
    <row r="678">
      <c r="A678" s="2" t="n">
        <v>677</v>
      </c>
      <c r="B678" s="2" t="inlineStr">
        <is>
          <t>634C</t>
        </is>
      </c>
      <c r="C678" s="3" t="n">
        <v>45966.70763888889</v>
      </c>
      <c r="D678" s="2" t="inlineStr">
        <is>
          <t>Original</t>
        </is>
      </c>
      <c r="E678" s="2" t="inlineStr">
        <is>
          <t>CH</t>
        </is>
      </c>
      <c r="F67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78" s="2" t="inlineStr">
        <is>
          <t>Art. 136.º-A (aditamento)</t>
        </is>
      </c>
      <c r="H678" s="2" t="n"/>
      <c r="I678" s="2" t="n"/>
      <c r="J678" s="2" t="n"/>
      <c r="K678" s="2" t="n"/>
      <c r="L678" s="2" t="inlineStr">
        <is>
          <t>Artigo 136.º-A (Requalificação da EN17 entre Celorico da Beira e Coimbra)</t>
        </is>
      </c>
      <c r="M678" s="4" t="n"/>
      <c r="N678" s="4" t="n"/>
      <c r="O678" s="2" t="n"/>
      <c r="P678" s="2" t="n"/>
      <c r="Q678" s="2" t="n"/>
      <c r="R678" s="2" t="n"/>
      <c r="S678" s="2" t="inlineStr">
        <is>
          <t>Rejeitado(a) em Comissão</t>
        </is>
      </c>
      <c r="T678" s="2" t="inlineStr">
        <is>
          <t>Rejeitada</t>
        </is>
      </c>
      <c r="U678" s="2" t="inlineStr">
        <is>
          <t>Favor: CH, BE; Contra: PSD, CDS-PP; Abstenção: PS, IL, L, PCP, PAN</t>
        </is>
      </c>
      <c r="V678" s="3" t="n">
        <v>45987</v>
      </c>
      <c r="W678" s="2" t="inlineStr">
        <is>
          <t>AR: https://www.parlamento.pt/OrcamentoEstado/Paginas/DetalhePropostaAlteracao.aspx?BID=23860 PDF: https://app.parlamento.pt/webutils/docs/doc.pdf?path=6148523063484d364c793942556b356c6443397a6158526c63793959566b6c4a544556484c3039464c7a49774d6a59794d4449314d5441774f533951515339684f446b774d7a4a6b4e4331684f5755344c54517a4d6d45745954517a5953307a4d7a5a6a597a41344f5467774d7a49756347526d&amp;Fich=a89032d4-a9e8-432a-a43a-336cc0898032.pdf&amp;Inline=true</t>
        </is>
      </c>
      <c r="X678" s="2" t="inlineStr">
        <is>
          <t>Infraestruturas, Mobilidade e Habitação</t>
        </is>
      </c>
      <c r="Y678" s="2" t="inlineStr">
        <is>
          <t>Articulado</t>
        </is>
      </c>
      <c r="Z678" s="2" t="inlineStr">
        <is>
          <t>Aditamento (Artigo PPL)</t>
        </is>
      </c>
      <c r="AA678" s="2" t="inlineStr">
        <is>
          <t>Rejeitado(a) em Comissão</t>
        </is>
      </c>
      <c r="AB678" s="2" t="inlineStr"/>
      <c r="AC678" s="2" t="inlineStr"/>
      <c r="AD678" s="2" t="inlineStr">
        <is>
          <t>1</t>
        </is>
      </c>
      <c r="AE678" s="2" t="inlineStr">
        <is>
          <t>23860</t>
        </is>
      </c>
      <c r="AF678" s="2" t="inlineStr">
        <is>
          <t>https://www.parlamento.pt/OrcamentoEstado/Paginas/DetalhePropostaAlteracao.aspx?BID=23860</t>
        </is>
      </c>
      <c r="AG678" s="2" t="inlineStr">
        <is>
          <t>https://app.parlamento.pt/webutils/docs/doc.pdf?path=6148523063484d364c793942556b356c6443397a6158526c63793959566b6c4a544556484c3039464c7a49774d6a59794d4449314d5441774f533951515339684f446b774d7a4a6b4e4331684f5755344c54517a4d6d45745954517a5953307a4d7a5a6a597a41344f5467774d7a49756347526d&amp;Fich=a89032d4-a9e8-432a-a43a-336cc0898032.pdf&amp;Inline=true</t>
        </is>
      </c>
      <c r="AH678" s="3" t="n">
        <v>46321.77847222222</v>
      </c>
      <c r="AI678" s="3" t="n">
        <v>46321.78055555555</v>
      </c>
      <c r="AJ678" s="2" t="inlineStr"/>
    </row>
    <row r="679">
      <c r="A679" s="2" t="n">
        <v>678</v>
      </c>
      <c r="B679" s="2" t="inlineStr">
        <is>
          <t>635C-1</t>
        </is>
      </c>
      <c r="C679" s="3" t="n">
        <v>45966.71736111111</v>
      </c>
      <c r="D679" s="2" t="inlineStr">
        <is>
          <t>Original</t>
        </is>
      </c>
      <c r="E679" s="2" t="inlineStr">
        <is>
          <t>IL</t>
        </is>
      </c>
      <c r="F679" s="2" t="inlineStr">
        <is>
          <t>Angélique Da Teresa; Carlos Guimarães Pinto; Joana Cordeiro; Jorge Miguel Teixeira; Mariana Leitão; Mário Amorim Lopes; Miguel Rangel; Rodrigo Saraiva; Rui Rocha</t>
        </is>
      </c>
      <c r="G679" s="2" t="inlineStr">
        <is>
          <t>Art. 61.º (substituição)</t>
        </is>
      </c>
      <c r="H679" s="2" t="n"/>
      <c r="I679" s="2" t="n"/>
      <c r="J679" s="2" t="n"/>
      <c r="K679" s="2" t="n"/>
      <c r="L679" s="2" t="inlineStr">
        <is>
          <t>N.º1 e do N.º5 do Artigo 87.º do Código do IRC</t>
        </is>
      </c>
      <c r="M679" s="4" t="n"/>
      <c r="N679" s="4" t="n"/>
      <c r="O679" s="2" t="n"/>
      <c r="P679" s="2" t="n"/>
      <c r="Q679" s="2" t="n"/>
      <c r="R679" s="2" t="n"/>
      <c r="S679" s="2" t="inlineStr">
        <is>
          <t>Rejeitado(a) em Comissão</t>
        </is>
      </c>
      <c r="T679" s="2" t="inlineStr">
        <is>
          <t>Rejeitada</t>
        </is>
      </c>
      <c r="U679" s="2" t="inlineStr">
        <is>
          <t>Favor: CH, IL; Contra: PSD, PS, L, PCP, CDS-PP, BE, PAN</t>
        </is>
      </c>
      <c r="V679" s="3" t="n">
        <v>45981</v>
      </c>
      <c r="W679" s="2" t="inlineStr">
        <is>
          <t>AR: https://www.parlamento.pt/OrcamentoEstado/Paginas/DetalhePropostaAlteracao.aspx?BID=23861 PDF: https://app.parlamento.pt/webutils/docs/doc.pdf?path=6148523063484d364c793942556b356c6443397a6158526c63793959566b6c4a544556484c3039464c7a49774d6a59794d4449314d5441774f533951515339695932466a59324a6c4d7930305a5468694c5451794f545174596d526b4e7930344d546b304d6a686b4f5445784d4467756347526d&amp;Fich=bcaccbe3-4e8b-4294-bdd7-819428d91108.pdf&amp;Inline=true</t>
        </is>
      </c>
      <c r="X679" s="2" t="inlineStr">
        <is>
          <t>Orçamento, Finanças e Administração Pública</t>
        </is>
      </c>
      <c r="Y679" s="2" t="inlineStr">
        <is>
          <t>Articulado</t>
        </is>
      </c>
      <c r="Z679" s="2" t="inlineStr">
        <is>
          <t>Substituição</t>
        </is>
      </c>
      <c r="AA679" s="2" t="inlineStr">
        <is>
          <t>Rejeitado(a) em Comissão</t>
        </is>
      </c>
      <c r="AB679" s="2" t="inlineStr"/>
      <c r="AC679" s="2" t="inlineStr">
        <is>
          <t>1</t>
        </is>
      </c>
      <c r="AD679" s="2" t="inlineStr">
        <is>
          <t>1</t>
        </is>
      </c>
      <c r="AE679" s="2" t="inlineStr">
        <is>
          <t>23861</t>
        </is>
      </c>
      <c r="AF679" s="2" t="inlineStr">
        <is>
          <t>https://www.parlamento.pt/OrcamentoEstado/Paginas/DetalhePropostaAlteracao.aspx?BID=23861</t>
        </is>
      </c>
      <c r="AG679" s="2" t="inlineStr">
        <is>
          <t>https://app.parlamento.pt/webutils/docs/doc.pdf?path=6148523063484d364c793942556b356c6443397a6158526c63793959566b6c4a544556484c3039464c7a49774d6a59794d4449314d5441774f533951515339695932466a59324a6c4d7930305a5468694c5451794f545174596d526b4e7930344d546b304d6a686b4f5445784d4467756347526d&amp;Fich=bcaccbe3-4e8b-4294-bdd7-819428d91108.pdf&amp;Inline=true</t>
        </is>
      </c>
      <c r="AH679" s="3" t="n">
        <v>46321.77847222222</v>
      </c>
      <c r="AI679" s="3" t="n">
        <v>46321.78055555555</v>
      </c>
      <c r="AJ679" s="2" t="inlineStr"/>
    </row>
    <row r="680">
      <c r="A680" s="2" t="n">
        <v>679</v>
      </c>
      <c r="B680" s="2" t="inlineStr">
        <is>
          <t>635C-2</t>
        </is>
      </c>
      <c r="C680" s="3" t="n">
        <v>45966.71736111111</v>
      </c>
      <c r="D680" s="2" t="inlineStr">
        <is>
          <t>Retirada</t>
        </is>
      </c>
      <c r="E680" s="2" t="inlineStr">
        <is>
          <t>IL</t>
        </is>
      </c>
      <c r="F680" s="2" t="inlineStr">
        <is>
          <t>Angélique Da Teresa; Carlos Guimarães Pinto; Joana Cordeiro; Jorge Miguel Teixeira; Mariana Leitão; Mário Amorim Lopes; Miguel Rangel; Rodrigo Saraiva; Rui Rocha</t>
        </is>
      </c>
      <c r="G680" s="2" t="inlineStr">
        <is>
          <t>Art. 138.º (aditamento)</t>
        </is>
      </c>
      <c r="H680" s="2" t="n"/>
      <c r="I680" s="2" t="n"/>
      <c r="J680" s="2" t="n"/>
      <c r="K680" s="2" t="n"/>
      <c r="L680" s="2" t="inlineStr">
        <is>
          <t>Alínea c) do Artigo 138.º</t>
        </is>
      </c>
      <c r="M680" s="4" t="n"/>
      <c r="N680" s="4" t="n"/>
      <c r="O680" s="2" t="n"/>
      <c r="P680" s="2" t="n"/>
      <c r="Q680" s="2" t="n"/>
      <c r="R680" s="2" t="n"/>
      <c r="S680" s="2" t="inlineStr">
        <is>
          <t>Retirado(a)</t>
        </is>
      </c>
      <c r="T680" s="2" t="inlineStr">
        <is>
          <t>Retirada</t>
        </is>
      </c>
      <c r="U680" s="2" t="inlineStr"/>
      <c r="V680" s="3" t="n"/>
      <c r="W680" s="2" t="inlineStr">
        <is>
          <t>AR: https://www.parlamento.pt/OrcamentoEstado/Paginas/DetalhePropostaAlteracao.aspx?BID=24039 PDF: https://app.parlamento.pt/webutils/docs/doc.pdf?path=6148523063484d364c793942556b356c6443397a6158526c63793959566b6c4a544556484c3039464c7a49774d6a59794d4449314d5441774f533951515338334d444e684d6a4d304e69316c4f474a6d4c545269596a67744f4451314d6930354d446779596a59304d5445774d5445756347526d&amp;Fich=703a2346-e8bf-4bb8-8452-9082b6411011.pdf&amp;Inline=true</t>
        </is>
      </c>
      <c r="X680" s="2" t="inlineStr">
        <is>
          <t>Orçamento, Finanças e Administração Pública</t>
        </is>
      </c>
      <c r="Y680" s="2" t="inlineStr">
        <is>
          <t>Articulado</t>
        </is>
      </c>
      <c r="Z680" s="2" t="inlineStr">
        <is>
          <t>Aditamento (Números e Alíneas)</t>
        </is>
      </c>
      <c r="AA680" s="2" t="inlineStr">
        <is>
          <t>Retirado(a)</t>
        </is>
      </c>
      <c r="AB680" s="2" t="inlineStr"/>
      <c r="AC680" s="2" t="inlineStr">
        <is>
          <t>2</t>
        </is>
      </c>
      <c r="AD680" s="2" t="inlineStr">
        <is>
          <t>0</t>
        </is>
      </c>
      <c r="AE680" s="2" t="inlineStr">
        <is>
          <t>24039</t>
        </is>
      </c>
      <c r="AF680" s="2" t="inlineStr">
        <is>
          <t>https://www.parlamento.pt/OrcamentoEstado/Paginas/DetalhePropostaAlteracao.aspx?BID=24039</t>
        </is>
      </c>
      <c r="AG680" s="2" t="inlineStr">
        <is>
          <t>https://app.parlamento.pt/webutils/docs/doc.pdf?path=6148523063484d364c793942556b356c6443397a6158526c63793959566b6c4a544556484c3039464c7a49774d6a59794d4449314d5441774f533951515338334d444e684d6a4d304e69316c4f474a6d4c545269596a67744f4451314d6930354d446779596a59304d5445774d5445756347526d&amp;Fich=703a2346-e8bf-4bb8-8452-9082b6411011.pdf&amp;Inline=true</t>
        </is>
      </c>
      <c r="AH680" s="3" t="n">
        <v>46321.77847222222</v>
      </c>
      <c r="AI680" s="3" t="n">
        <v>46321.78055555555</v>
      </c>
      <c r="AJ680" s="2" t="inlineStr"/>
    </row>
    <row r="681">
      <c r="A681" s="2" t="n">
        <v>680</v>
      </c>
      <c r="B681" s="2" t="inlineStr">
        <is>
          <t>636C</t>
        </is>
      </c>
      <c r="C681" s="3" t="n">
        <v>45966.71944444445</v>
      </c>
      <c r="D681" s="2" t="inlineStr">
        <is>
          <t>Original</t>
        </is>
      </c>
      <c r="E681" s="2" t="inlineStr">
        <is>
          <t>CH</t>
        </is>
      </c>
      <c r="F68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81" s="2" t="inlineStr">
        <is>
          <t>Art. 136.º-A (aditamento)</t>
        </is>
      </c>
      <c r="H681" s="2" t="n"/>
      <c r="I681" s="2" t="n"/>
      <c r="J681" s="2" t="n"/>
      <c r="K681" s="2" t="n"/>
      <c r="L681" s="2" t="inlineStr">
        <is>
          <t>Artigo 136.º-A (Adesão de Portugal como observador ao programa de caça de sexta geração GCAP (Global Combar Air Programme)</t>
        </is>
      </c>
      <c r="M681" s="4" t="n"/>
      <c r="N681" s="4" t="n"/>
      <c r="O681" s="2" t="n"/>
      <c r="P681" s="2" t="n"/>
      <c r="Q681" s="2" t="n"/>
      <c r="R681" s="2" t="n"/>
      <c r="S681" s="2" t="inlineStr">
        <is>
          <t>Rejeitado(a) em Comissão</t>
        </is>
      </c>
      <c r="T681" s="2" t="inlineStr">
        <is>
          <t>Rejeitada</t>
        </is>
      </c>
      <c r="U681" s="2" t="inlineStr">
        <is>
          <t>Favor: CH, IL; Contra: PSD, L, PCP, CDS-PP, BE, PAN; Abstenção: PS</t>
        </is>
      </c>
      <c r="V681" s="3" t="n">
        <v>45987</v>
      </c>
      <c r="W681" s="2" t="inlineStr">
        <is>
          <t>AR: https://www.parlamento.pt/OrcamentoEstado/Paginas/DetalhePropostaAlteracao.aspx?BID=23862 PDF: https://app.parlamento.pt/webutils/docs/doc.pdf?path=6148523063484d364c793942556b356c6443397a6158526c63793959566b6c4a544556484c3039464c7a49774d6a59794d4449314d5441774f5339515153396d4d6d55344e5449344d7930784e4455344c5451354d474d74595455774e43316b5932526a4e44426c4d7a426859546b756347526d&amp;Fich=f2e85283-1458-490c-a504-dcdc40e30aa9.pdf&amp;Inline=true</t>
        </is>
      </c>
      <c r="X681" s="2" t="inlineStr">
        <is>
          <t>Agricultura e Pescas; Orçamento, Finanças e Administração Pública</t>
        </is>
      </c>
      <c r="Y681" s="2" t="inlineStr">
        <is>
          <t>Articulado</t>
        </is>
      </c>
      <c r="Z681" s="2" t="inlineStr">
        <is>
          <t>Aditamento (Artigo PPL)</t>
        </is>
      </c>
      <c r="AA681" s="2" t="inlineStr">
        <is>
          <t>Rejeitado(a) em Comissão</t>
        </is>
      </c>
      <c r="AB681" s="2" t="inlineStr"/>
      <c r="AC681" s="2" t="inlineStr"/>
      <c r="AD681" s="2" t="inlineStr">
        <is>
          <t>1</t>
        </is>
      </c>
      <c r="AE681" s="2" t="inlineStr">
        <is>
          <t>23862</t>
        </is>
      </c>
      <c r="AF681" s="2" t="inlineStr">
        <is>
          <t>https://www.parlamento.pt/OrcamentoEstado/Paginas/DetalhePropostaAlteracao.aspx?BID=23862</t>
        </is>
      </c>
      <c r="AG681" s="2" t="inlineStr">
        <is>
          <t>https://app.parlamento.pt/webutils/docs/doc.pdf?path=6148523063484d364c793942556b356c6443397a6158526c63793959566b6c4a544556484c3039464c7a49774d6a59794d4449314d5441774f5339515153396d4d6d55344e5449344d7930784e4455344c5451354d474d74595455774e43316b5932526a4e44426c4d7a426859546b756347526d&amp;Fich=f2e85283-1458-490c-a504-dcdc40e30aa9.pdf&amp;Inline=true</t>
        </is>
      </c>
      <c r="AH681" s="3" t="n">
        <v>46321.77847222222</v>
      </c>
      <c r="AI681" s="3" t="n">
        <v>46321.78055555555</v>
      </c>
      <c r="AJ681" s="2" t="inlineStr"/>
    </row>
    <row r="682">
      <c r="A682" s="2" t="n">
        <v>681</v>
      </c>
      <c r="B682" s="2" t="inlineStr">
        <is>
          <t>637C</t>
        </is>
      </c>
      <c r="C682" s="3" t="n">
        <v>45966.72083333333</v>
      </c>
      <c r="D682" s="2" t="inlineStr">
        <is>
          <t>Original</t>
        </is>
      </c>
      <c r="E682" s="2" t="inlineStr">
        <is>
          <t>CH</t>
        </is>
      </c>
      <c r="F68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82" s="2" t="inlineStr">
        <is>
          <t>Art. 136.º-A (aditamento)</t>
        </is>
      </c>
      <c r="H682" s="2" t="n"/>
      <c r="I682" s="2" t="n"/>
      <c r="J682" s="2" t="n"/>
      <c r="K682" s="2" t="n"/>
      <c r="L682" s="2" t="inlineStr">
        <is>
          <t>Artigo 136.º-A (Reconhecimento dos Deficientes das Forças Armadas com incapacidade inferior a 30%)</t>
        </is>
      </c>
      <c r="M682" s="4" t="n"/>
      <c r="N682" s="4" t="n"/>
      <c r="O682" s="2" t="n"/>
      <c r="P682" s="2" t="n"/>
      <c r="Q682" s="2" t="n"/>
      <c r="R682" s="2" t="n"/>
      <c r="S682" s="2" t="inlineStr">
        <is>
          <t>Rejeitado(a) em Comissão</t>
        </is>
      </c>
      <c r="T682" s="2" t="inlineStr">
        <is>
          <t>Rejeitada</t>
        </is>
      </c>
      <c r="U682" s="2" t="inlineStr">
        <is>
          <t>Favor: CH, BE, PAN; Contra: PSD, CDS-PP; Abstenção: PS, IL, L, PCP</t>
        </is>
      </c>
      <c r="V682" s="3" t="n">
        <v>45987</v>
      </c>
      <c r="W682" s="2" t="inlineStr">
        <is>
          <t>AR: https://www.parlamento.pt/OrcamentoEstado/Paginas/DetalhePropostaAlteracao.aspx?BID=23863 PDF: https://app.parlamento.pt/webutils/docs/doc.pdf?path=6148523063484d364c793942556b356c6443397a6158526c63793959566b6c4a544556484c3039464c7a49774d6a59794d4449314d5441774f533951515338345a446b774d3255314f43316b596a4e684c5451325a4745744f475268595330325a5459324e474e6d4e546b345a6d49756347526d&amp;Fich=8d903e58-db3a-46da-8daa-6e664cf598fb.pdf&amp;Inline=true</t>
        </is>
      </c>
      <c r="X682" s="2" t="inlineStr">
        <is>
          <t>Defesa Nacional; Trabalho, Segurança Social e Inclusão</t>
        </is>
      </c>
      <c r="Y682" s="2" t="inlineStr">
        <is>
          <t>Articulado</t>
        </is>
      </c>
      <c r="Z682" s="2" t="inlineStr">
        <is>
          <t>Aditamento (Artigo PPL)</t>
        </is>
      </c>
      <c r="AA682" s="2" t="inlineStr">
        <is>
          <t>Rejeitado(a) em Comissão</t>
        </is>
      </c>
      <c r="AB682" s="2" t="inlineStr"/>
      <c r="AC682" s="2" t="inlineStr"/>
      <c r="AD682" s="2" t="inlineStr">
        <is>
          <t>1</t>
        </is>
      </c>
      <c r="AE682" s="2" t="inlineStr">
        <is>
          <t>23863</t>
        </is>
      </c>
      <c r="AF682" s="2" t="inlineStr">
        <is>
          <t>https://www.parlamento.pt/OrcamentoEstado/Paginas/DetalhePropostaAlteracao.aspx?BID=23863</t>
        </is>
      </c>
      <c r="AG682" s="2" t="inlineStr">
        <is>
          <t>https://app.parlamento.pt/webutils/docs/doc.pdf?path=6148523063484d364c793942556b356c6443397a6158526c63793959566b6c4a544556484c3039464c7a49774d6a59794d4449314d5441774f533951515338345a446b774d3255314f43316b596a4e684c5451325a4745744f475268595330325a5459324e474e6d4e546b345a6d49756347526d&amp;Fich=8d903e58-db3a-46da-8daa-6e664cf598fb.pdf&amp;Inline=true</t>
        </is>
      </c>
      <c r="AH682" s="3" t="n">
        <v>46321.77847222222</v>
      </c>
      <c r="AI682" s="3" t="n">
        <v>46321.78055555555</v>
      </c>
      <c r="AJ682" s="2" t="inlineStr"/>
    </row>
    <row r="683">
      <c r="A683" s="2" t="n">
        <v>682</v>
      </c>
      <c r="B683" s="2" t="inlineStr">
        <is>
          <t>638C</t>
        </is>
      </c>
      <c r="C683" s="3" t="n">
        <v>45966.72152777778</v>
      </c>
      <c r="D683" s="2" t="inlineStr">
        <is>
          <t>Original</t>
        </is>
      </c>
      <c r="E683" s="2" t="inlineStr">
        <is>
          <t>CH</t>
        </is>
      </c>
      <c r="F68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83" s="2" t="inlineStr">
        <is>
          <t>Art. 21.º (aditamento)</t>
        </is>
      </c>
      <c r="H683" s="2" t="n"/>
      <c r="I683" s="2" t="n"/>
      <c r="J683" s="2" t="n"/>
      <c r="K683" s="2" t="n"/>
      <c r="L683" s="2" t="inlineStr">
        <is>
          <t>N.º 6, Artigo 136.º-A</t>
        </is>
      </c>
      <c r="M683" s="4" t="n"/>
      <c r="N683" s="4" t="n"/>
      <c r="O683" s="2" t="n"/>
      <c r="P683" s="2" t="n"/>
      <c r="Q683" s="2" t="n"/>
      <c r="R683" s="2" t="n"/>
      <c r="S683" s="2" t="inlineStr">
        <is>
          <t>Rejeitado(a) em Comissão</t>
        </is>
      </c>
      <c r="T683" s="2" t="inlineStr">
        <is>
          <t>Rejeitada</t>
        </is>
      </c>
      <c r="U683" s="2" t="inlineStr">
        <is>
          <t>Favor: CH; Contra: PSD, IL, L, PCP, CDS-PP, BE, PAN; Abstenção: PS</t>
        </is>
      </c>
      <c r="V683" s="3" t="n">
        <v>45981</v>
      </c>
      <c r="W683" s="2" t="inlineStr">
        <is>
          <t>AR: https://www.parlamento.pt/OrcamentoEstado/Paginas/DetalhePropostaAlteracao.aspx?BID=23864 PDF: https://app.parlamento.pt/webutils/docs/doc.pdf?path=6148523063484d364c793942556b356c6443397a6158526c63793959566b6c4a544556484c3039464c7a49774d6a59794d4449314d5441774f53395151533831596a426b597a49314d53316c4d7a4a684c5451785a446b744f54646a4d79307a4e5463305a6a45344d6d597a5a4445756347526d&amp;Fich=5b0dc251-e32a-41d9-97c3-3574f182f3d1.pdf&amp;Inline=true</t>
        </is>
      </c>
      <c r="X683" s="2" t="inlineStr">
        <is>
          <t>Educação e Ciência</t>
        </is>
      </c>
      <c r="Y683" s="2" t="inlineStr">
        <is>
          <t>Articulado</t>
        </is>
      </c>
      <c r="Z683" s="2" t="inlineStr">
        <is>
          <t>Aditamento (Números e Alíneas)</t>
        </is>
      </c>
      <c r="AA683" s="2" t="inlineStr">
        <is>
          <t>Rejeitado(a) em Comissão</t>
        </is>
      </c>
      <c r="AB683" s="2" t="inlineStr"/>
      <c r="AC683" s="2" t="inlineStr"/>
      <c r="AD683" s="2" t="inlineStr">
        <is>
          <t>1</t>
        </is>
      </c>
      <c r="AE683" s="2" t="inlineStr">
        <is>
          <t>23864</t>
        </is>
      </c>
      <c r="AF683" s="2" t="inlineStr">
        <is>
          <t>https://www.parlamento.pt/OrcamentoEstado/Paginas/DetalhePropostaAlteracao.aspx?BID=23864</t>
        </is>
      </c>
      <c r="AG683" s="2" t="inlineStr">
        <is>
          <t>https://app.parlamento.pt/webutils/docs/doc.pdf?path=6148523063484d364c793942556b356c6443397a6158526c63793959566b6c4a544556484c3039464c7a49774d6a59794d4449314d5441774f53395151533831596a426b597a49314d53316c4d7a4a684c5451785a446b744f54646a4d79307a4e5463305a6a45344d6d597a5a4445756347526d&amp;Fich=5b0dc251-e32a-41d9-97c3-3574f182f3d1.pdf&amp;Inline=true</t>
        </is>
      </c>
      <c r="AH683" s="3" t="n">
        <v>46321.77847222222</v>
      </c>
      <c r="AI683" s="3" t="n">
        <v>46321.78055555555</v>
      </c>
      <c r="AJ683" s="2" t="inlineStr"/>
    </row>
    <row r="684">
      <c r="A684" s="2" t="n">
        <v>683</v>
      </c>
      <c r="B684" s="2" t="inlineStr">
        <is>
          <t>639C-1</t>
        </is>
      </c>
      <c r="C684" s="3" t="n">
        <v>45966.72152777778</v>
      </c>
      <c r="D684" s="2" t="inlineStr">
        <is>
          <t>Original</t>
        </is>
      </c>
      <c r="E684" s="2" t="inlineStr">
        <is>
          <t>IL</t>
        </is>
      </c>
      <c r="F684" s="2" t="inlineStr">
        <is>
          <t>Angélique Da Teresa; Carlos Guimarães Pinto; Joana Cordeiro; Jorge Miguel Teixeira; Mariana Leitão; Mário Amorim Lopes; Miguel Rangel; Rodrigo Saraiva; Rui Rocha</t>
        </is>
      </c>
      <c r="G684" s="2" t="inlineStr">
        <is>
          <t>Art. 61.º (substituição)</t>
        </is>
      </c>
      <c r="H684" s="2" t="n"/>
      <c r="I684" s="2" t="n"/>
      <c r="J684" s="2" t="n"/>
      <c r="K684" s="2" t="n"/>
      <c r="L684" s="2" t="inlineStr">
        <is>
          <t>Artigo 87.º-A do Código do IRC</t>
        </is>
      </c>
      <c r="M684" s="4" t="n"/>
      <c r="N684" s="4" t="n"/>
      <c r="O684" s="2" t="n"/>
      <c r="P684" s="2" t="n"/>
      <c r="Q684" s="2" t="n"/>
      <c r="R684" s="2" t="n"/>
      <c r="S684" s="2" t="inlineStr">
        <is>
          <t>Rejeitado(a) em Comissão</t>
        </is>
      </c>
      <c r="T684" s="2" t="inlineStr">
        <is>
          <t>Rejeitada</t>
        </is>
      </c>
      <c r="U684" s="2" t="inlineStr">
        <is>
          <t>Favor: IL, PAN; Contra: PSD, PS, L, PCP, CDS-PP, BE; Abstenção: CH</t>
        </is>
      </c>
      <c r="V684" s="3" t="n">
        <v>45981</v>
      </c>
      <c r="W684" s="2" t="inlineStr">
        <is>
          <t>AR: https://www.parlamento.pt/OrcamentoEstado/Paginas/DetalhePropostaAlteracao.aspx?BID=23865 PDF: https://app.parlamento.pt/webutils/docs/doc.pdf?path=6148523063484d364c793942556b356c6443397a6158526c63793959566b6c4a544556484c3039464c7a49774d6a59794d4449314d5441774f5339515153396c4d4455784e5751354e793168597a49334c5451344e444574595745324d6930774d6a63334f446b7a4e5468694e4445756347526d&amp;Fich=e0515d97-ac27-4841-aa62-027789358b41.pdf&amp;Inline=true</t>
        </is>
      </c>
      <c r="X684" s="2" t="inlineStr">
        <is>
          <t>Orçamento, Finanças e Administração Pública</t>
        </is>
      </c>
      <c r="Y684" s="2" t="inlineStr">
        <is>
          <t>Articulado</t>
        </is>
      </c>
      <c r="Z684" s="2" t="inlineStr">
        <is>
          <t>Substituição</t>
        </is>
      </c>
      <c r="AA684" s="2" t="inlineStr">
        <is>
          <t>Rejeitado(a) em Comissão</t>
        </is>
      </c>
      <c r="AB684" s="2" t="inlineStr"/>
      <c r="AC684" s="2" t="inlineStr">
        <is>
          <t>1</t>
        </is>
      </c>
      <c r="AD684" s="2" t="inlineStr">
        <is>
          <t>1</t>
        </is>
      </c>
      <c r="AE684" s="2" t="inlineStr">
        <is>
          <t>23865</t>
        </is>
      </c>
      <c r="AF684" s="2" t="inlineStr">
        <is>
          <t>https://www.parlamento.pt/OrcamentoEstado/Paginas/DetalhePropostaAlteracao.aspx?BID=23865</t>
        </is>
      </c>
      <c r="AG684" s="2" t="inlineStr">
        <is>
          <t>https://app.parlamento.pt/webutils/docs/doc.pdf?path=6148523063484d364c793942556b356c6443397a6158526c63793959566b6c4a544556484c3039464c7a49774d6a59794d4449314d5441774f5339515153396c4d4455784e5751354e793168597a49334c5451344e444574595745324d6930774d6a63334f446b7a4e5468694e4445756347526d&amp;Fich=e0515d97-ac27-4841-aa62-027789358b41.pdf&amp;Inline=true</t>
        </is>
      </c>
      <c r="AH684" s="3" t="n">
        <v>46321.77847222222</v>
      </c>
      <c r="AI684" s="3" t="n">
        <v>46321.78055555555</v>
      </c>
      <c r="AJ684" s="2" t="inlineStr"/>
    </row>
    <row r="685">
      <c r="A685" s="2" t="n">
        <v>684</v>
      </c>
      <c r="B685" s="2" t="inlineStr">
        <is>
          <t>639C-2</t>
        </is>
      </c>
      <c r="C685" s="3" t="n">
        <v>45966.72152777778</v>
      </c>
      <c r="D685" s="2" t="inlineStr">
        <is>
          <t>Retirada</t>
        </is>
      </c>
      <c r="E685" s="2" t="inlineStr">
        <is>
          <t>IL</t>
        </is>
      </c>
      <c r="F685" s="2" t="inlineStr">
        <is>
          <t>Angélique Da Teresa; Carlos Guimarães Pinto; Joana Cordeiro; Jorge Miguel Teixeira; Mariana Leitão; Mário Amorim Lopes; Miguel Rangel; Rodrigo Saraiva; Rui Rocha</t>
        </is>
      </c>
      <c r="G685" s="2" t="inlineStr">
        <is>
          <t>Art. 138.º (aditamento)</t>
        </is>
      </c>
      <c r="H685" s="2" t="n"/>
      <c r="I685" s="2" t="n"/>
      <c r="J685" s="2" t="n"/>
      <c r="K685" s="2" t="n"/>
      <c r="L685" s="2" t="inlineStr">
        <is>
          <t>Alínea c), Artigo 138.º</t>
        </is>
      </c>
      <c r="M685" s="4" t="n"/>
      <c r="N685" s="4" t="n"/>
      <c r="O685" s="2" t="n"/>
      <c r="P685" s="2" t="n"/>
      <c r="Q685" s="2" t="n"/>
      <c r="R685" s="2" t="n"/>
      <c r="S685" s="2" t="inlineStr">
        <is>
          <t>Retirado(a)</t>
        </is>
      </c>
      <c r="T685" s="2" t="inlineStr">
        <is>
          <t>Retirada</t>
        </is>
      </c>
      <c r="U685" s="2" t="inlineStr"/>
      <c r="V685" s="3" t="n"/>
      <c r="W685" s="2" t="inlineStr">
        <is>
          <t>AR: https://www.parlamento.pt/OrcamentoEstado/Paginas/DetalhePropostaAlteracao.aspx?BID=24036 PDF: https://app.parlamento.pt/webutils/docs/doc.pdf?path=6148523063484d364c793942556b356c6443397a6158526c63793959566b6c4a544556484c3039464c7a49774d6a59794d4449314d5441774f5339515153387a593249304d474a6a4d793079596a45344c54526b596d51744f474d304d69316a59544e695a445a6c4d7a55344d6a51756347526d&amp;Fich=3cb40bc3-2b18-4dbd-8c42-ca3bd6e35824.pdf&amp;Inline=true</t>
        </is>
      </c>
      <c r="X685" s="2" t="inlineStr">
        <is>
          <t>Orçamento, Finanças e Administração Pública</t>
        </is>
      </c>
      <c r="Y685" s="2" t="inlineStr">
        <is>
          <t>Articulado</t>
        </is>
      </c>
      <c r="Z685" s="2" t="inlineStr">
        <is>
          <t>Aditamento (Números e Alíneas)</t>
        </is>
      </c>
      <c r="AA685" s="2" t="inlineStr">
        <is>
          <t>Retirado(a)</t>
        </is>
      </c>
      <c r="AB685" s="2" t="inlineStr"/>
      <c r="AC685" s="2" t="inlineStr">
        <is>
          <t>2</t>
        </is>
      </c>
      <c r="AD685" s="2" t="inlineStr">
        <is>
          <t>0</t>
        </is>
      </c>
      <c r="AE685" s="2" t="inlineStr">
        <is>
          <t>24036</t>
        </is>
      </c>
      <c r="AF685" s="2" t="inlineStr">
        <is>
          <t>https://www.parlamento.pt/OrcamentoEstado/Paginas/DetalhePropostaAlteracao.aspx?BID=24036</t>
        </is>
      </c>
      <c r="AG685" s="2" t="inlineStr">
        <is>
          <t>https://app.parlamento.pt/webutils/docs/doc.pdf?path=6148523063484d364c793942556b356c6443397a6158526c63793959566b6c4a544556484c3039464c7a49774d6a59794d4449314d5441774f5339515153387a593249304d474a6a4d793079596a45344c54526b596d51744f474d304d69316a59544e695a445a6c4d7a55344d6a51756347526d&amp;Fich=3cb40bc3-2b18-4dbd-8c42-ca3bd6e35824.pdf&amp;Inline=true</t>
        </is>
      </c>
      <c r="AH685" s="3" t="n">
        <v>46321.77847222222</v>
      </c>
      <c r="AI685" s="3" t="n">
        <v>46321.78055555555</v>
      </c>
      <c r="AJ685" s="2" t="inlineStr"/>
    </row>
    <row r="686">
      <c r="A686" s="2" t="n">
        <v>685</v>
      </c>
      <c r="B686" s="2" t="inlineStr">
        <is>
          <t>640C</t>
        </is>
      </c>
      <c r="C686" s="3" t="n">
        <v>45966.72361111111</v>
      </c>
      <c r="D686" s="2" t="inlineStr">
        <is>
          <t>Original</t>
        </is>
      </c>
      <c r="E686" s="2" t="inlineStr">
        <is>
          <t>CH</t>
        </is>
      </c>
      <c r="F68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86" s="2" t="inlineStr">
        <is>
          <t>Art. 60.º (aditamento)</t>
        </is>
      </c>
      <c r="H686" s="2" t="n"/>
      <c r="I686" s="2" t="n"/>
      <c r="J686" s="2" t="n"/>
      <c r="K686" s="2" t="n"/>
      <c r="L686" s="2" t="inlineStr">
        <is>
          <t>N.º 2, do Artigo 36.º do Código do IRS</t>
        </is>
      </c>
      <c r="M686" s="4" t="n"/>
      <c r="N686" s="4" t="n"/>
      <c r="O686" s="2" t="n"/>
      <c r="P686" s="2" t="n"/>
      <c r="Q686" s="2" t="n"/>
      <c r="R686" s="2" t="n"/>
      <c r="S686" s="2" t="inlineStr">
        <is>
          <t>Rejeitado(a) em Comissão</t>
        </is>
      </c>
      <c r="T686" s="2" t="inlineStr">
        <is>
          <t>Rejeitada</t>
        </is>
      </c>
      <c r="U686" s="2" t="inlineStr">
        <is>
          <t>Favor: CH, IL; Contra: PSD, L, PCP, CDS-PP, BE, PAN; Abstenção: PS</t>
        </is>
      </c>
      <c r="V686" s="3" t="n">
        <v>45981</v>
      </c>
      <c r="W686" s="2" t="inlineStr">
        <is>
          <t>AR: https://www.parlamento.pt/OrcamentoEstado/Paginas/DetalhePropostaAlteracao.aspx?BID=23866 PDF: https://app.parlamento.pt/webutils/docs/doc.pdf?path=6148523063484d364c793942556b356c6443397a6158526c63793959566b6c4a544556484c3039464c7a49774d6a59794d4449314d5441774f5339515153387a595451794d324933595330305a474e6c4c5451304f446374596a67794d5330334d54597759546b344d3259794e4467756347526d&amp;Fich=3a423b7a-4dce-4487-b821-7160a983f248.pdf&amp;Inline=true</t>
        </is>
      </c>
      <c r="X686" s="2" t="inlineStr">
        <is>
          <t>Agricultura e Pescas; Orçamento, Finanças e Administração Pública</t>
        </is>
      </c>
      <c r="Y686" s="2" t="inlineStr">
        <is>
          <t>Articulado</t>
        </is>
      </c>
      <c r="Z686" s="2" t="inlineStr">
        <is>
          <t>Aditamento (Artigo Outros Diplomas)</t>
        </is>
      </c>
      <c r="AA686" s="2" t="inlineStr">
        <is>
          <t>Rejeitado(a) em Comissão</t>
        </is>
      </c>
      <c r="AB686" s="2" t="inlineStr"/>
      <c r="AC686" s="2" t="inlineStr"/>
      <c r="AD686" s="2" t="inlineStr">
        <is>
          <t>1</t>
        </is>
      </c>
      <c r="AE686" s="2" t="inlineStr">
        <is>
          <t>23866</t>
        </is>
      </c>
      <c r="AF686" s="2" t="inlineStr">
        <is>
          <t>https://www.parlamento.pt/OrcamentoEstado/Paginas/DetalhePropostaAlteracao.aspx?BID=23866</t>
        </is>
      </c>
      <c r="AG686" s="2" t="inlineStr">
        <is>
          <t>https://app.parlamento.pt/webutils/docs/doc.pdf?path=6148523063484d364c793942556b356c6443397a6158526c63793959566b6c4a544556484c3039464c7a49774d6a59794d4449314d5441774f5339515153387a595451794d324933595330305a474e6c4c5451304f446374596a67794d5330334d54597759546b344d3259794e4467756347526d&amp;Fich=3a423b7a-4dce-4487-b821-7160a983f248.pdf&amp;Inline=true</t>
        </is>
      </c>
      <c r="AH686" s="3" t="n">
        <v>46321.77847222222</v>
      </c>
      <c r="AI686" s="3" t="n">
        <v>46321.78055555555</v>
      </c>
      <c r="AJ686" s="2" t="inlineStr"/>
    </row>
    <row r="687">
      <c r="A687" s="2" t="n">
        <v>686</v>
      </c>
      <c r="B687" s="2" t="inlineStr">
        <is>
          <t>641C</t>
        </is>
      </c>
      <c r="C687" s="3" t="n">
        <v>45966.725</v>
      </c>
      <c r="D687" s="2" t="inlineStr">
        <is>
          <t>Original</t>
        </is>
      </c>
      <c r="E687" s="2" t="inlineStr">
        <is>
          <t>CH</t>
        </is>
      </c>
      <c r="F68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87" s="2" t="inlineStr">
        <is>
          <t>Art. 60.º (substituição)</t>
        </is>
      </c>
      <c r="H687" s="2" t="n"/>
      <c r="I687" s="2" t="n"/>
      <c r="J687" s="2" t="n"/>
      <c r="K687" s="2" t="n"/>
      <c r="L687" s="2" t="inlineStr">
        <is>
          <t>Alínea b), Alínea c), Alínea d), N.º 1, Artigo 78.º-E do Código do IRS</t>
        </is>
      </c>
      <c r="M687" s="4" t="n"/>
      <c r="N687" s="4" t="n"/>
      <c r="O687" s="2" t="n"/>
      <c r="P687" s="2" t="n"/>
      <c r="Q687" s="2" t="n"/>
      <c r="R687" s="2" t="n"/>
      <c r="S687" s="2" t="inlineStr">
        <is>
          <t>Rejeitado(a) em Comissão</t>
        </is>
      </c>
      <c r="T687" s="2" t="inlineStr">
        <is>
          <t>Rejeitada</t>
        </is>
      </c>
      <c r="U687" s="2" t="inlineStr">
        <is>
          <t>Favor: CH, BE, PAN; Contra: PSD, CDS-PP; Abstenção: PS, IL, L, PCP</t>
        </is>
      </c>
      <c r="V687" s="3" t="n">
        <v>45981</v>
      </c>
      <c r="W687" s="2" t="inlineStr">
        <is>
          <t>AR: https://www.parlamento.pt/OrcamentoEstado/Paginas/DetalhePropostaAlteracao.aspx?BID=23867 PDF: https://app.parlamento.pt/webutils/docs/doc.pdf?path=6148523063484d364c793942556b356c6443397a6158526c63793959566b6c4a544556484c3039464c7a49774d6a59794d4449314d5441774f53395151533833597a67794d7a41315a6930794f5751334c54526d4d446774596a677a4f4330315954646a4d6a5a694f4467304d4749756347526d&amp;Fich=7c82305f-29d7-4f08-b838-5a7c26b8840b.pdf&amp;Inline=true</t>
        </is>
      </c>
      <c r="X687" s="2" t="inlineStr">
        <is>
          <t>Infraestruturas, Mobilidade e Habitação; Orçamento, Finanças e Administração Pública</t>
        </is>
      </c>
      <c r="Y687" s="2" t="inlineStr">
        <is>
          <t>Articulado</t>
        </is>
      </c>
      <c r="Z687" s="2" t="inlineStr">
        <is>
          <t>Substituição</t>
        </is>
      </c>
      <c r="AA687" s="2" t="inlineStr">
        <is>
          <t>Rejeitado(a) em Comissão</t>
        </is>
      </c>
      <c r="AB687" s="2" t="inlineStr"/>
      <c r="AC687" s="2" t="inlineStr"/>
      <c r="AD687" s="2" t="inlineStr">
        <is>
          <t>2</t>
        </is>
      </c>
      <c r="AE687" s="2" t="inlineStr">
        <is>
          <t>23867</t>
        </is>
      </c>
      <c r="AF687" s="2" t="inlineStr">
        <is>
          <t>https://www.parlamento.pt/OrcamentoEstado/Paginas/DetalhePropostaAlteracao.aspx?BID=23867</t>
        </is>
      </c>
      <c r="AG687" s="2" t="inlineStr">
        <is>
          <t>https://app.parlamento.pt/webutils/docs/doc.pdf?path=6148523063484d364c793942556b356c6443397a6158526c63793959566b6c4a544556484c3039464c7a49774d6a59794d4449314d5441774f53395151533833597a67794d7a41315a6930794f5751334c54526d4d446774596a677a4f4330315954646a4d6a5a694f4467304d4749756347526d&amp;Fich=7c82305f-29d7-4f08-b838-5a7c26b8840b.pdf&amp;Inline=true</t>
        </is>
      </c>
      <c r="AH687" s="3" t="n">
        <v>46321.77847222222</v>
      </c>
      <c r="AI687" s="3" t="n">
        <v>46321.78055555555</v>
      </c>
      <c r="AJ687" s="2" t="inlineStr"/>
    </row>
    <row r="688">
      <c r="A688" s="2" t="n">
        <v>687</v>
      </c>
      <c r="B688" s="2" t="inlineStr">
        <is>
          <t>642C</t>
        </is>
      </c>
      <c r="C688" s="3" t="n">
        <v>45966.725</v>
      </c>
      <c r="D688" s="2" t="inlineStr">
        <is>
          <t>Original</t>
        </is>
      </c>
      <c r="E688" s="2" t="inlineStr">
        <is>
          <t>CH</t>
        </is>
      </c>
      <c r="F68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88" s="2" t="inlineStr">
        <is>
          <t>Art. 60.º (substituição)</t>
        </is>
      </c>
      <c r="H688" s="2" t="n"/>
      <c r="I688" s="2" t="n"/>
      <c r="J688" s="2" t="n"/>
      <c r="K688" s="2" t="n"/>
      <c r="L688" s="2" t="inlineStr">
        <is>
          <t>Alínea g), N.º 3, Artigo 2.º, N.º 7, Artigo 72.º, N.º 3, Artigo 99.º-C do Código do IRS</t>
        </is>
      </c>
      <c r="M688" s="4" t="n"/>
      <c r="N688" s="4" t="n"/>
      <c r="O688" s="2" t="n"/>
      <c r="P688" s="2" t="n"/>
      <c r="Q688" s="2" t="n"/>
      <c r="R688" s="2" t="n"/>
      <c r="S688" s="2" t="inlineStr">
        <is>
          <t>Rejeitado(a) em Comissão</t>
        </is>
      </c>
      <c r="T688" s="2" t="inlineStr">
        <is>
          <t>Rejeitada</t>
        </is>
      </c>
      <c r="U688" s="2" t="inlineStr"/>
      <c r="V688" s="3" t="n">
        <v>45981</v>
      </c>
      <c r="W688" s="2" t="inlineStr">
        <is>
          <t>AR: https://www.parlamento.pt/OrcamentoEstado/Paginas/DetalhePropostaAlteracao.aspx?BID=23868 PDF: https://app.parlamento.pt/webutils/docs/doc.pdf?path=6148523063484d364c793942556b356c6443397a6158526c63793959566b6c4a544556484c3039464c7a49774d6a59794d4449314d5441774f533951515338315a4449785a474d335a43307a4e324e6d4c5451354f5749744f4755325a53316b4e6a686d4e6a55354f44686b593251756347526d&amp;Fich=5d21dc7d-37cf-499b-8e6e-d68f65988dcd.pdf&amp;Inline=true</t>
        </is>
      </c>
      <c r="X688" s="2" t="inlineStr">
        <is>
          <t>Orçamento, Finanças e Administração Pública</t>
        </is>
      </c>
      <c r="Y688" s="2" t="inlineStr">
        <is>
          <t>Articulado</t>
        </is>
      </c>
      <c r="Z688" s="2" t="inlineStr">
        <is>
          <t>Substituição</t>
        </is>
      </c>
      <c r="AA688" s="2" t="inlineStr">
        <is>
          <t>Rejeitado(a) em Comissão</t>
        </is>
      </c>
      <c r="AB688" s="2" t="inlineStr"/>
      <c r="AC688" s="2" t="inlineStr"/>
      <c r="AD688" s="2" t="inlineStr">
        <is>
          <t>3</t>
        </is>
      </c>
      <c r="AE688" s="2" t="inlineStr">
        <is>
          <t>23868</t>
        </is>
      </c>
      <c r="AF688" s="2" t="inlineStr">
        <is>
          <t>https://www.parlamento.pt/OrcamentoEstado/Paginas/DetalhePropostaAlteracao.aspx?BID=23868</t>
        </is>
      </c>
      <c r="AG688" s="2" t="inlineStr">
        <is>
          <t>https://app.parlamento.pt/webutils/docs/doc.pdf?path=6148523063484d364c793942556b356c6443397a6158526c63793959566b6c4a544556484c3039464c7a49774d6a59794d4449314d5441774f533951515338315a4449785a474d335a43307a4e324e6d4c5451354f5749744f4755325a53316b4e6a686d4e6a55354f44686b593251756347526d&amp;Fich=5d21dc7d-37cf-499b-8e6e-d68f65988dcd.pdf&amp;Inline=true</t>
        </is>
      </c>
      <c r="AH688" s="3" t="n">
        <v>46321.77847222222</v>
      </c>
      <c r="AI688" s="3" t="n">
        <v>46321.78055555555</v>
      </c>
      <c r="AJ688" s="2" t="inlineStr"/>
    </row>
    <row r="689">
      <c r="A689" s="2" t="n">
        <v>688</v>
      </c>
      <c r="B689" s="2" t="inlineStr">
        <is>
          <t>643C</t>
        </is>
      </c>
      <c r="C689" s="3" t="n">
        <v>45966.72569444445</v>
      </c>
      <c r="D689" s="2" t="inlineStr">
        <is>
          <t>Original</t>
        </is>
      </c>
      <c r="E689" s="2" t="inlineStr">
        <is>
          <t>CH</t>
        </is>
      </c>
      <c r="F68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89" s="2" t="inlineStr">
        <is>
          <t>Art. 60.º (substituição)</t>
        </is>
      </c>
      <c r="H689" s="2" t="n"/>
      <c r="I689" s="2" t="n"/>
      <c r="J689" s="2" t="n"/>
      <c r="K689" s="2" t="n"/>
      <c r="L689" s="2" t="inlineStr">
        <is>
          <t>N.º 1, Artigo 12.º do Código do IRS</t>
        </is>
      </c>
      <c r="M689" s="4" t="n"/>
      <c r="N689" s="4" t="n"/>
      <c r="O689" s="2" t="n"/>
      <c r="P689" s="2" t="n"/>
      <c r="Q689" s="2" t="n"/>
      <c r="R689" s="2" t="n"/>
      <c r="S689" s="2" t="inlineStr">
        <is>
          <t>Rejeitado(a) em Comissão</t>
        </is>
      </c>
      <c r="T689" s="2" t="inlineStr">
        <is>
          <t>Rejeitada</t>
        </is>
      </c>
      <c r="U689" s="2" t="inlineStr">
        <is>
          <t>Favor: CH, IL, PAN; Contra: PSD, CDS-PP; Abstenção: PS, L, PCP, BE</t>
        </is>
      </c>
      <c r="V689" s="3" t="n">
        <v>45981</v>
      </c>
      <c r="W689" s="2" t="inlineStr">
        <is>
          <t>AR: https://www.parlamento.pt/OrcamentoEstado/Paginas/DetalhePropostaAlteracao.aspx?BID=23869 PDF: https://app.parlamento.pt/webutils/docs/doc.pdf?path=6148523063484d364c793942556b356c6443397a6158526c63793959566b6c4a544556484c3039464c7a49774d6a59794d4449314d5441774f5339515153396a4d4755305a445a6b4d79316b4e4464684c54517a5a446b7459544e6d597930335a6a6c6959324e684e6d4d314e3251756347526d&amp;Fich=c0e4d6d3-d47a-43d9-a3fc-7f9bcca6c57d.pdf&amp;Inline=true</t>
        </is>
      </c>
      <c r="X689" s="2" t="inlineStr">
        <is>
          <t>Defesa Nacional; Orçamento, Finanças e Administração Pública</t>
        </is>
      </c>
      <c r="Y689" s="2" t="inlineStr">
        <is>
          <t>Articulado</t>
        </is>
      </c>
      <c r="Z689" s="2" t="inlineStr">
        <is>
          <t>Substituição</t>
        </is>
      </c>
      <c r="AA689" s="2" t="inlineStr">
        <is>
          <t>Rejeitado(a) em Comissão</t>
        </is>
      </c>
      <c r="AB689" s="2" t="inlineStr"/>
      <c r="AC689" s="2" t="inlineStr"/>
      <c r="AD689" s="2" t="inlineStr">
        <is>
          <t>1</t>
        </is>
      </c>
      <c r="AE689" s="2" t="inlineStr">
        <is>
          <t>23869</t>
        </is>
      </c>
      <c r="AF689" s="2" t="inlineStr">
        <is>
          <t>https://www.parlamento.pt/OrcamentoEstado/Paginas/DetalhePropostaAlteracao.aspx?BID=23869</t>
        </is>
      </c>
      <c r="AG689" s="2" t="inlineStr">
        <is>
          <t>https://app.parlamento.pt/webutils/docs/doc.pdf?path=6148523063484d364c793942556b356c6443397a6158526c63793959566b6c4a544556484c3039464c7a49774d6a59794d4449314d5441774f5339515153396a4d4755305a445a6b4d79316b4e4464684c54517a5a446b7459544e6d597930335a6a6c6959324e684e6d4d314e3251756347526d&amp;Fich=c0e4d6d3-d47a-43d9-a3fc-7f9bcca6c57d.pdf&amp;Inline=true</t>
        </is>
      </c>
      <c r="AH689" s="3" t="n">
        <v>46321.77847222222</v>
      </c>
      <c r="AI689" s="3" t="n">
        <v>46321.78055555555</v>
      </c>
      <c r="AJ689" s="2" t="inlineStr"/>
    </row>
    <row r="690">
      <c r="A690" s="2" t="n">
        <v>689</v>
      </c>
      <c r="B690" s="2" t="inlineStr">
        <is>
          <t>644C-1</t>
        </is>
      </c>
      <c r="C690" s="3" t="n">
        <v>45966.72638888889</v>
      </c>
      <c r="D690" s="2" t="inlineStr">
        <is>
          <t>Original</t>
        </is>
      </c>
      <c r="E690" s="2" t="inlineStr">
        <is>
          <t>IL</t>
        </is>
      </c>
      <c r="F690" s="2" t="inlineStr">
        <is>
          <t>Angélique Da Teresa; Carlos Guimarães Pinto; Joana Cordeiro; Jorge Miguel Teixeira; Mariana Leitão; Mário Amorim Lopes; Miguel Rangel; Rodrigo Saraiva; Rui Rocha</t>
        </is>
      </c>
      <c r="G690" s="2" t="inlineStr">
        <is>
          <t>Art. 60.º (substituição)</t>
        </is>
      </c>
      <c r="H690" s="2" t="n"/>
      <c r="I690" s="2" t="n"/>
      <c r="J690" s="2" t="n"/>
      <c r="K690" s="2" t="n"/>
      <c r="L690" s="2" t="inlineStr">
        <is>
          <t>Tabela, N.º 1, N.º 2, Artigo 68.º, Artigo 70.º do Código do IRS constante da PPL; Alínea a), N.º 1, Artigo 25.º do Código do IRS</t>
        </is>
      </c>
      <c r="M690" s="4" t="n"/>
      <c r="N690" s="4" t="n"/>
      <c r="O690" s="2" t="n"/>
      <c r="P690" s="2" t="n"/>
      <c r="Q690" s="2" t="n"/>
      <c r="R690" s="2" t="n"/>
      <c r="S690" s="2" t="inlineStr">
        <is>
          <t>Rejeitado(a) em Comissão</t>
        </is>
      </c>
      <c r="T690" s="2" t="inlineStr">
        <is>
          <t>Rejeitada</t>
        </is>
      </c>
      <c r="U690" s="2" t="inlineStr">
        <is>
          <t>Favor: IL, BE; Contra: PSD, CH, PS, L, PCP, CDS-PP, PAN</t>
        </is>
      </c>
      <c r="V690" s="3" t="n">
        <v>45981</v>
      </c>
      <c r="W690" s="2" t="inlineStr">
        <is>
          <t>AR: https://www.parlamento.pt/OrcamentoEstado/Paginas/DetalhePropostaAlteracao.aspx?BID=23870 PDF: https://app.parlamento.pt/webutils/docs/doc.pdf?path=6148523063484d364c793942556b356c6443397a6158526c63793959566b6c4a544556484c3039464c7a49774d6a59794d4449314d5441774f533951515338774e474e6d4d44526d5a53303459325a684c5451354d47457459544d794e7930774d545133596d4a6d4f544e684e4441756347526d&amp;Fich=04cf04fe-8cfa-490a-a327-0147bbf93a40.pdf&amp;Inline=true</t>
        </is>
      </c>
      <c r="X690" s="2" t="inlineStr">
        <is>
          <t>Orçamento, Finanças e Administração Pública</t>
        </is>
      </c>
      <c r="Y690" s="2" t="inlineStr">
        <is>
          <t>Articulado</t>
        </is>
      </c>
      <c r="Z690" s="2" t="inlineStr">
        <is>
          <t>Substituição</t>
        </is>
      </c>
      <c r="AA690" s="2" t="inlineStr">
        <is>
          <t>Rejeitado(a) em Comissão</t>
        </is>
      </c>
      <c r="AB690" s="2" t="inlineStr"/>
      <c r="AC690" s="2" t="inlineStr">
        <is>
          <t>1</t>
        </is>
      </c>
      <c r="AD690" s="2" t="inlineStr">
        <is>
          <t>3</t>
        </is>
      </c>
      <c r="AE690" s="2" t="inlineStr">
        <is>
          <t>23870</t>
        </is>
      </c>
      <c r="AF690" s="2" t="inlineStr">
        <is>
          <t>https://www.parlamento.pt/OrcamentoEstado/Paginas/DetalhePropostaAlteracao.aspx?BID=23870</t>
        </is>
      </c>
      <c r="AG690" s="2" t="inlineStr">
        <is>
          <t>https://app.parlamento.pt/webutils/docs/doc.pdf?path=6148523063484d364c793942556b356c6443397a6158526c63793959566b6c4a544556484c3039464c7a49774d6a59794d4449314d5441774f533951515338774e474e6d4d44526d5a53303459325a684c5451354d47457459544d794e7930774d545133596d4a6d4f544e684e4441756347526d&amp;Fich=04cf04fe-8cfa-490a-a327-0147bbf93a40.pdf&amp;Inline=true</t>
        </is>
      </c>
      <c r="AH690" s="3" t="n">
        <v>46321.77847222222</v>
      </c>
      <c r="AI690" s="3" t="n">
        <v>46321.78055555555</v>
      </c>
      <c r="AJ690" s="2" t="inlineStr"/>
    </row>
    <row r="691">
      <c r="A691" s="2" t="n">
        <v>690</v>
      </c>
      <c r="B691" s="2" t="inlineStr">
        <is>
          <t>644C-2</t>
        </is>
      </c>
      <c r="C691" s="3" t="n">
        <v>45966.72638888889</v>
      </c>
      <c r="D691" s="2" t="inlineStr">
        <is>
          <t>Retirada</t>
        </is>
      </c>
      <c r="E691" s="2" t="inlineStr">
        <is>
          <t>IL</t>
        </is>
      </c>
      <c r="F691" s="2" t="inlineStr">
        <is>
          <t>Angélique Da Teresa; Carlos Guimarães Pinto; Joana Cordeiro; Jorge Miguel Teixeira; Mariana Leitão; Mário Amorim Lopes; Miguel Rangel; Rodrigo Saraiva; Rui Rocha</t>
        </is>
      </c>
      <c r="G691" s="2" t="inlineStr">
        <is>
          <t>Art. 138.º (aditamento)</t>
        </is>
      </c>
      <c r="H691" s="2" t="n"/>
      <c r="I691" s="2" t="n"/>
      <c r="J691" s="2" t="n"/>
      <c r="K691" s="2" t="n"/>
      <c r="L691" s="2" t="inlineStr">
        <is>
          <t>Alínea c), Artigo 138.º</t>
        </is>
      </c>
      <c r="M691" s="4" t="n"/>
      <c r="N691" s="4" t="n"/>
      <c r="O691" s="2" t="n"/>
      <c r="P691" s="2" t="n"/>
      <c r="Q691" s="2" t="n"/>
      <c r="R691" s="2" t="n"/>
      <c r="S691" s="2" t="inlineStr">
        <is>
          <t>Retirado(a)</t>
        </is>
      </c>
      <c r="T691" s="2" t="inlineStr">
        <is>
          <t>Retirada</t>
        </is>
      </c>
      <c r="U691" s="2" t="inlineStr"/>
      <c r="V691" s="3" t="n"/>
      <c r="W691" s="2" t="inlineStr">
        <is>
          <t>AR: https://www.parlamento.pt/OrcamentoEstado/Paginas/DetalhePropostaAlteracao.aspx?BID=24034 PDF: https://app.parlamento.pt/webutils/docs/doc.pdf?path=6148523063484d364c793942556b356c6443397a6158526c63793959566b6c4a544556484c3039464c7a49774d6a59794d4449314d5441774f5339515153396b4e475a694d474a6d4e6930324e7a686c4c54526d5a5755744f57466d4d6931694d4442684d445578597a4e69597a55756347526d&amp;Fich=d4fb0bf6-678e-4fee-9af2-b00a051c3bc5.pdf&amp;Inline=true</t>
        </is>
      </c>
      <c r="X691" s="2" t="inlineStr">
        <is>
          <t>Orçamento, Finanças e Administração Pública</t>
        </is>
      </c>
      <c r="Y691" s="2" t="inlineStr">
        <is>
          <t>Articulado</t>
        </is>
      </c>
      <c r="Z691" s="2" t="inlineStr">
        <is>
          <t>Aditamento (Números e Alíneas)</t>
        </is>
      </c>
      <c r="AA691" s="2" t="inlineStr">
        <is>
          <t>Retirado(a)</t>
        </is>
      </c>
      <c r="AB691" s="2" t="inlineStr"/>
      <c r="AC691" s="2" t="inlineStr">
        <is>
          <t>2</t>
        </is>
      </c>
      <c r="AD691" s="2" t="inlineStr">
        <is>
          <t>0</t>
        </is>
      </c>
      <c r="AE691" s="2" t="inlineStr">
        <is>
          <t>24034</t>
        </is>
      </c>
      <c r="AF691" s="2" t="inlineStr">
        <is>
          <t>https://www.parlamento.pt/OrcamentoEstado/Paginas/DetalhePropostaAlteracao.aspx?BID=24034</t>
        </is>
      </c>
      <c r="AG691" s="2" t="inlineStr">
        <is>
          <t>https://app.parlamento.pt/webutils/docs/doc.pdf?path=6148523063484d364c793942556b356c6443397a6158526c63793959566b6c4a544556484c3039464c7a49774d6a59794d4449314d5441774f5339515153396b4e475a694d474a6d4e6930324e7a686c4c54526d5a5755744f57466d4d6931694d4442684d445578597a4e69597a55756347526d&amp;Fich=d4fb0bf6-678e-4fee-9af2-b00a051c3bc5.pdf&amp;Inline=true</t>
        </is>
      </c>
      <c r="AH691" s="3" t="n">
        <v>46321.77847222222</v>
      </c>
      <c r="AI691" s="3" t="n">
        <v>46321.78055555555</v>
      </c>
      <c r="AJ691" s="2" t="inlineStr"/>
    </row>
    <row r="692">
      <c r="A692" s="2" t="n">
        <v>691</v>
      </c>
      <c r="B692" s="2" t="inlineStr">
        <is>
          <t>645C</t>
        </is>
      </c>
      <c r="C692" s="3" t="n">
        <v>45966.72638888889</v>
      </c>
      <c r="D692" s="2" t="inlineStr">
        <is>
          <t>Original</t>
        </is>
      </c>
      <c r="E692" s="2" t="inlineStr">
        <is>
          <t>CH</t>
        </is>
      </c>
      <c r="F69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92" s="2" t="inlineStr">
        <is>
          <t>Art. 63.º (aditamento)</t>
        </is>
      </c>
      <c r="H692" s="2" t="n"/>
      <c r="I692" s="2" t="n"/>
      <c r="J692" s="2" t="n"/>
      <c r="K692" s="2" t="n"/>
      <c r="L692" s="2" t="inlineStr">
        <is>
          <t>Alínea g), Verba 2.5, Lista I anexa ao Código do IVA</t>
        </is>
      </c>
      <c r="M692" s="4" t="n"/>
      <c r="N692" s="4" t="n"/>
      <c r="O692" s="2" t="n"/>
      <c r="P692" s="2" t="n"/>
      <c r="Q692" s="2" t="n"/>
      <c r="R692" s="2" t="n"/>
      <c r="S692" s="2" t="inlineStr">
        <is>
          <t>Rejeitado(a) em Comissão</t>
        </is>
      </c>
      <c r="T692" s="2" t="inlineStr">
        <is>
          <t>Rejeitada</t>
        </is>
      </c>
      <c r="U692" s="2" t="inlineStr">
        <is>
          <t>Favor: CH, IL, BE, PAN; Contra: PSD, CDS-PP; Abstenção: PS, L, PCP</t>
        </is>
      </c>
      <c r="V692" s="3" t="n">
        <v>45982</v>
      </c>
      <c r="W692" s="2" t="inlineStr">
        <is>
          <t>AR: https://www.parlamento.pt/OrcamentoEstado/Paginas/DetalhePropostaAlteracao.aspx?BID=23871 PDF: https://app.parlamento.pt/webutils/docs/doc.pdf?path=6148523063484d364c793942556b356c6443397a6158526c63793959566b6c4a544556484c3039464c7a49774d6a59794d4449314d5441774f533951515338354e54646c596a6b774d793034596d5a6d4c5451344e7a51744f4455314d6930334d3259794e6a46694e546c6b593259756347526d&amp;Fich=957eb903-8bff-4874-8552-73f261b59dcf.pdf&amp;Inline=true</t>
        </is>
      </c>
      <c r="X692" s="2" t="inlineStr">
        <is>
          <t>Orçamento, Finanças e Administração Pública; Saúde</t>
        </is>
      </c>
      <c r="Y692" s="2" t="inlineStr">
        <is>
          <t>Articulado</t>
        </is>
      </c>
      <c r="Z692" s="2" t="inlineStr">
        <is>
          <t>Aditamento (Números e Alíneas)</t>
        </is>
      </c>
      <c r="AA692" s="2" t="inlineStr">
        <is>
          <t>Rejeitado(a) em Comissão</t>
        </is>
      </c>
      <c r="AB692" s="2" t="inlineStr"/>
      <c r="AC692" s="2" t="inlineStr"/>
      <c r="AD692" s="2" t="inlineStr">
        <is>
          <t>1</t>
        </is>
      </c>
      <c r="AE692" s="2" t="inlineStr">
        <is>
          <t>23871</t>
        </is>
      </c>
      <c r="AF692" s="2" t="inlineStr">
        <is>
          <t>https://www.parlamento.pt/OrcamentoEstado/Paginas/DetalhePropostaAlteracao.aspx?BID=23871</t>
        </is>
      </c>
      <c r="AG692" s="2" t="inlineStr">
        <is>
          <t>https://app.parlamento.pt/webutils/docs/doc.pdf?path=6148523063484d364c793942556b356c6443397a6158526c63793959566b6c4a544556484c3039464c7a49774d6a59794d4449314d5441774f533951515338354e54646c596a6b774d793034596d5a6d4c5451344e7a51744f4455314d6930334d3259794e6a46694e546c6b593259756347526d&amp;Fich=957eb903-8bff-4874-8552-73f261b59dcf.pdf&amp;Inline=true</t>
        </is>
      </c>
      <c r="AH692" s="3" t="n">
        <v>46321.77847222222</v>
      </c>
      <c r="AI692" s="3" t="n">
        <v>46321.78055555555</v>
      </c>
      <c r="AJ692" s="2" t="inlineStr"/>
    </row>
    <row r="693">
      <c r="A693" s="2" t="n">
        <v>692</v>
      </c>
      <c r="B693" s="2" t="inlineStr">
        <is>
          <t>646C</t>
        </is>
      </c>
      <c r="C693" s="3" t="n">
        <v>45966.72777777778</v>
      </c>
      <c r="D693" s="2" t="inlineStr">
        <is>
          <t>Original</t>
        </is>
      </c>
      <c r="E693" s="2" t="inlineStr">
        <is>
          <t>CH</t>
        </is>
      </c>
      <c r="F69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93" s="2" t="inlineStr">
        <is>
          <t>Art. 63.º (aditamento)</t>
        </is>
      </c>
      <c r="H693" s="2" t="n"/>
      <c r="I693" s="2" t="n"/>
      <c r="J693" s="2" t="n"/>
      <c r="K693" s="2" t="n"/>
      <c r="L693" s="2" t="inlineStr">
        <is>
          <t>N.º 40, Artigo 9.º do Código do IVA</t>
        </is>
      </c>
      <c r="M693" s="4" t="n"/>
      <c r="N693" s="4" t="n"/>
      <c r="O693" s="2" t="n"/>
      <c r="P693" s="2" t="n"/>
      <c r="Q693" s="2" t="n"/>
      <c r="R693" s="2" t="n"/>
      <c r="S693" s="2" t="inlineStr">
        <is>
          <t>Rejeitado(a) em Comissão</t>
        </is>
      </c>
      <c r="T693" s="2" t="inlineStr">
        <is>
          <t>Rejeitada</t>
        </is>
      </c>
      <c r="U693" s="2" t="inlineStr">
        <is>
          <t>Favor: CH, IL, BE, PAN; Contra: PSD, PCP, CDS-PP; Abstenção: PS, L</t>
        </is>
      </c>
      <c r="V693" s="3" t="n">
        <v>45982</v>
      </c>
      <c r="W693" s="2" t="inlineStr">
        <is>
          <t>AR: https://www.parlamento.pt/OrcamentoEstado/Paginas/DetalhePropostaAlteracao.aspx?BID=23872 PDF: https://app.parlamento.pt/webutils/docs/doc.pdf?path=6148523063484d364c793942556b356c6443397a6158526c63793959566b6c4a544556484c3039464c7a49774d6a59794d4449314d5441774f533951515338354d54466c4d6a45774d69316d595749314c5452695a5751745954566a4f433077597a4a685a6d466b4d544935596d49756347526d&amp;Fich=911e2102-fab5-4bed-a5c8-0c2afad129bb.pdf&amp;Inline=true</t>
        </is>
      </c>
      <c r="X693" s="2" t="inlineStr">
        <is>
          <t>Negócios Estrangeiros e Comunidades Portuguesas</t>
        </is>
      </c>
      <c r="Y693" s="2" t="inlineStr">
        <is>
          <t>Articulado</t>
        </is>
      </c>
      <c r="Z693" s="2" t="inlineStr">
        <is>
          <t>Aditamento (Números e Alíneas)</t>
        </is>
      </c>
      <c r="AA693" s="2" t="inlineStr">
        <is>
          <t>Rejeitado(a) em Comissão</t>
        </is>
      </c>
      <c r="AB693" s="2" t="inlineStr"/>
      <c r="AC693" s="2" t="inlineStr"/>
      <c r="AD693" s="2" t="inlineStr">
        <is>
          <t>1</t>
        </is>
      </c>
      <c r="AE693" s="2" t="inlineStr">
        <is>
          <t>23872</t>
        </is>
      </c>
      <c r="AF693" s="2" t="inlineStr">
        <is>
          <t>https://www.parlamento.pt/OrcamentoEstado/Paginas/DetalhePropostaAlteracao.aspx?BID=23872</t>
        </is>
      </c>
      <c r="AG693" s="2" t="inlineStr">
        <is>
          <t>https://app.parlamento.pt/webutils/docs/doc.pdf?path=6148523063484d364c793942556b356c6443397a6158526c63793959566b6c4a544556484c3039464c7a49774d6a59794d4449314d5441774f533951515338354d54466c4d6a45774d69316d595749314c5452695a5751745954566a4f433077597a4a685a6d466b4d544935596d49756347526d&amp;Fich=911e2102-fab5-4bed-a5c8-0c2afad129bb.pdf&amp;Inline=true</t>
        </is>
      </c>
      <c r="AH693" s="3" t="n">
        <v>46321.77847222222</v>
      </c>
      <c r="AI693" s="3" t="n">
        <v>46321.78055555555</v>
      </c>
      <c r="AJ693" s="2" t="inlineStr"/>
    </row>
    <row r="694">
      <c r="A694" s="2" t="n">
        <v>693</v>
      </c>
      <c r="B694" s="2" t="inlineStr">
        <is>
          <t>647C</t>
        </is>
      </c>
      <c r="C694" s="3" t="n">
        <v>45966.72847222222</v>
      </c>
      <c r="D694" s="2" t="inlineStr">
        <is>
          <t>Original</t>
        </is>
      </c>
      <c r="E694" s="2" t="inlineStr">
        <is>
          <t>IL</t>
        </is>
      </c>
      <c r="F694" s="2" t="inlineStr">
        <is>
          <t>Angélique Da Teresa; Carlos Guimarães Pinto; Joana Cordeiro; Jorge Miguel Teixeira; Mariana Leitão; Mário Amorim Lopes; Miguel Rangel; Rodrigo Saraiva; Rui Rocha</t>
        </is>
      </c>
      <c r="G694" s="2" t="inlineStr">
        <is>
          <t>Art. 63.º-A (aditamento)</t>
        </is>
      </c>
      <c r="H694" s="2" t="n"/>
      <c r="I694" s="2" t="n"/>
      <c r="J694" s="2" t="n"/>
      <c r="K694" s="2" t="n"/>
      <c r="L694" s="2" t="inlineStr">
        <is>
          <t>Artigo 63.º-A (Alteração ao Código do IVA)</t>
        </is>
      </c>
      <c r="M694" s="4" t="n"/>
      <c r="N694" s="4" t="n"/>
      <c r="O694" s="2" t="n"/>
      <c r="P694" s="2" t="n"/>
      <c r="Q694" s="2" t="n"/>
      <c r="R694" s="2" t="n"/>
      <c r="S694" s="2" t="inlineStr">
        <is>
          <t>Rejeitado(a) em Comissão</t>
        </is>
      </c>
      <c r="T694" s="2" t="inlineStr">
        <is>
          <t>Rejeitada</t>
        </is>
      </c>
      <c r="U694" s="2" t="inlineStr">
        <is>
          <t>Favor: CH, IL, L, BE, PAN; Contra: PSD, CDS-PP; Abstenção: PS, PCP</t>
        </is>
      </c>
      <c r="V694" s="3" t="n">
        <v>45982</v>
      </c>
      <c r="W694" s="2" t="inlineStr">
        <is>
          <t>AR: https://www.parlamento.pt/OrcamentoEstado/Paginas/DetalhePropostaAlteracao.aspx?BID=23873 PDF: https://app.parlamento.pt/webutils/docs/doc.pdf?path=6148523063484d364c793942556b356c6443397a6158526c63793959566b6c4a544556484c3039464c7a49774d6a59794d4449314d5441774f5339515153396a4d4449305a445a6a4d43316d593251794c54526c4e7a59744f44526c5a4330344e6d566d4d6a45774f445133596a45756347526d&amp;Fich=c024d6c0-fcd2-4e76-84ed-86ef210847b1.pdf&amp;Inline=true</t>
        </is>
      </c>
      <c r="X694" s="2" t="inlineStr">
        <is>
          <t>Orçamento, Finanças e Administração Pública</t>
        </is>
      </c>
      <c r="Y694" s="2" t="inlineStr">
        <is>
          <t>Articulado</t>
        </is>
      </c>
      <c r="Z694" s="2" t="inlineStr">
        <is>
          <t>Aditamento (Artigo PPL)</t>
        </is>
      </c>
      <c r="AA694" s="2" t="inlineStr">
        <is>
          <t>Rejeitado(a) em Comissão</t>
        </is>
      </c>
      <c r="AB694" s="2" t="inlineStr"/>
      <c r="AC694" s="2" t="inlineStr"/>
      <c r="AD694" s="2" t="inlineStr">
        <is>
          <t>1</t>
        </is>
      </c>
      <c r="AE694" s="2" t="inlineStr">
        <is>
          <t>23873</t>
        </is>
      </c>
      <c r="AF694" s="2" t="inlineStr">
        <is>
          <t>https://www.parlamento.pt/OrcamentoEstado/Paginas/DetalhePropostaAlteracao.aspx?BID=23873</t>
        </is>
      </c>
      <c r="AG694" s="2" t="inlineStr">
        <is>
          <t>https://app.parlamento.pt/webutils/docs/doc.pdf?path=6148523063484d364c793942556b356c6443397a6158526c63793959566b6c4a544556484c3039464c7a49774d6a59794d4449314d5441774f5339515153396a4d4449305a445a6a4d43316d593251794c54526c4e7a59744f44526c5a4330344e6d566d4d6a45774f445133596a45756347526d&amp;Fich=c024d6c0-fcd2-4e76-84ed-86ef210847b1.pdf&amp;Inline=true</t>
        </is>
      </c>
      <c r="AH694" s="3" t="n">
        <v>46321.77847222222</v>
      </c>
      <c r="AI694" s="3" t="n">
        <v>46321.78055555555</v>
      </c>
      <c r="AJ694" s="2" t="inlineStr"/>
    </row>
    <row r="695">
      <c r="A695" s="2" t="n">
        <v>694</v>
      </c>
      <c r="B695" s="2" t="inlineStr">
        <is>
          <t>648C</t>
        </is>
      </c>
      <c r="C695" s="3" t="n">
        <v>45966.72847222222</v>
      </c>
      <c r="D695" s="2" t="inlineStr">
        <is>
          <t>Original</t>
        </is>
      </c>
      <c r="E695" s="2" t="inlineStr">
        <is>
          <t>CH</t>
        </is>
      </c>
      <c r="F69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95" s="2" t="inlineStr">
        <is>
          <t>Art. 89.º (eliminação)</t>
        </is>
      </c>
      <c r="H695" s="2" t="n"/>
      <c r="I695" s="2" t="n"/>
      <c r="J695" s="2" t="n"/>
      <c r="K695" s="2" t="n"/>
      <c r="L695" s="2" t="inlineStr">
        <is>
          <t>Artigo 89.º</t>
        </is>
      </c>
      <c r="M695" s="4" t="n"/>
      <c r="N695" s="4" t="n"/>
      <c r="O695" s="2" t="n"/>
      <c r="P695" s="2" t="n"/>
      <c r="Q695" s="2" t="n"/>
      <c r="R695" s="2" t="n"/>
      <c r="S695" s="2" t="inlineStr">
        <is>
          <t>Rejeitado(a) em Plenário</t>
        </is>
      </c>
      <c r="T695" s="2" t="inlineStr">
        <is>
          <t>Rejeitada</t>
        </is>
      </c>
      <c r="U695" s="2" t="inlineStr">
        <is>
          <t>Favor: CH; Contra: PSD, PS, IL, L, CDS-PP, PAN; Abstenção: PCP, BE, JPP</t>
        </is>
      </c>
      <c r="V695" s="3" t="n">
        <v>45985</v>
      </c>
      <c r="W695" s="2" t="inlineStr">
        <is>
          <t>Avocada a Plenário. AR: https://www.parlamento.pt/OrcamentoEstado/Paginas/DetalhePropostaAlteracao.aspx?BID=23874 PDF: https://app.parlamento.pt/webutils/docs/doc.pdf?path=6148523063484d364c793942556b356c6443397a6158526c63793959566b6c4a544556484c3039464c7a49774d6a59794d4449314d5441774f533951515338305a474a6d4e4468684d79316c4e5441784c54526a5a6a6b74596d4d35596930344e54517a4d47566c59544a68596a67756347526d&amp;Fich=4dbf48a3-e501-4cf9-bc9b-85430eea2ab8.pdf&amp;Inline=true</t>
        </is>
      </c>
      <c r="X695" s="2" t="inlineStr">
        <is>
          <t>Reforma do Estado e Poder Local</t>
        </is>
      </c>
      <c r="Y695" s="2" t="inlineStr">
        <is>
          <t>Articulado</t>
        </is>
      </c>
      <c r="Z695" s="2" t="inlineStr">
        <is>
          <t>Eliminação</t>
        </is>
      </c>
      <c r="AA695" s="2" t="inlineStr">
        <is>
          <t>Rejeitado(a) em Plenário</t>
        </is>
      </c>
      <c r="AB695" s="2" t="inlineStr">
        <is>
          <t>S</t>
        </is>
      </c>
      <c r="AC695" s="2" t="inlineStr"/>
      <c r="AD695" s="2" t="inlineStr">
        <is>
          <t>1</t>
        </is>
      </c>
      <c r="AE695" s="2" t="inlineStr">
        <is>
          <t>23874</t>
        </is>
      </c>
      <c r="AF695" s="2" t="inlineStr">
        <is>
          <t>https://www.parlamento.pt/OrcamentoEstado/Paginas/DetalhePropostaAlteracao.aspx?BID=23874</t>
        </is>
      </c>
      <c r="AG695" s="2" t="inlineStr">
        <is>
          <t>https://app.parlamento.pt/webutils/docs/doc.pdf?path=6148523063484d364c793942556b356c6443397a6158526c63793959566b6c4a544556484c3039464c7a49774d6a59794d4449314d5441774f533951515338305a474a6d4e4468684d79316c4e5441784c54526a5a6a6b74596d4d35596930344e54517a4d47566c59544a68596a67756347526d&amp;Fich=4dbf48a3-e501-4cf9-bc9b-85430eea2ab8.pdf&amp;Inline=true</t>
        </is>
      </c>
      <c r="AH695" s="3" t="n">
        <v>46321.77847222222</v>
      </c>
      <c r="AI695" s="3" t="n">
        <v>46321.78055555555</v>
      </c>
      <c r="AJ695" s="2" t="inlineStr"/>
    </row>
    <row r="696">
      <c r="A696" s="2" t="n">
        <v>695</v>
      </c>
      <c r="B696" s="2" t="inlineStr">
        <is>
          <t>649C</t>
        </is>
      </c>
      <c r="C696" s="3" t="n">
        <v>45966.72916666666</v>
      </c>
      <c r="D696" s="2" t="inlineStr">
        <is>
          <t>Original</t>
        </is>
      </c>
      <c r="E696" s="2" t="inlineStr">
        <is>
          <t>CH</t>
        </is>
      </c>
      <c r="F69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96" s="2" t="inlineStr">
        <is>
          <t>Art. 90.º (eliminação)</t>
        </is>
      </c>
      <c r="H696" s="2" t="n"/>
      <c r="I696" s="2" t="n"/>
      <c r="J696" s="2" t="n"/>
      <c r="K696" s="2" t="n"/>
      <c r="L696" s="2" t="inlineStr">
        <is>
          <t>N.º 5, N.º 6, N.º 7, N.º 8, N.º 9, N.º 10, Artigo 90.º</t>
        </is>
      </c>
      <c r="M696" s="4" t="n"/>
      <c r="N696" s="4" t="n"/>
      <c r="O696" s="2" t="n"/>
      <c r="P696" s="2" t="n"/>
      <c r="Q696" s="2" t="n"/>
      <c r="R696" s="2" t="n"/>
      <c r="S696" s="2" t="inlineStr">
        <is>
          <t>Rejeitado(a) em Plenário</t>
        </is>
      </c>
      <c r="T696" s="2" t="inlineStr">
        <is>
          <t>Rejeitada</t>
        </is>
      </c>
      <c r="U696" s="2" t="inlineStr">
        <is>
          <t>Favor: CH; Contra: PSD, IL, L, PCP, CDS-PP; Abstenção: PS, BE, PAN, JPP</t>
        </is>
      </c>
      <c r="V696" s="3" t="n">
        <v>45985</v>
      </c>
      <c r="W696" s="2" t="inlineStr">
        <is>
          <t>Avocada a Plenário. AR: https://www.parlamento.pt/OrcamentoEstado/Paginas/DetalhePropostaAlteracao.aspx?BID=23875 PDF: https://app.parlamento.pt/webutils/docs/doc.pdf?path=6148523063484d364c793942556b356c6443397a6158526c63793959566b6c4a544556484c3039464c7a49774d6a59794d4449314d5441774f533951515338795a44566c4d32526b4e5330774d5755354c5451354e474d74595759314e7930774d4451334e7a55344d544d335a5467756347526d&amp;Fich=2d5e3dd5-01e9-494c-af57-0047758137e8.pdf&amp;Inline=true</t>
        </is>
      </c>
      <c r="X696" s="2" t="inlineStr">
        <is>
          <t>Orçamento, Finanças e Administração Pública; Reforma do Estado e Poder Local</t>
        </is>
      </c>
      <c r="Y696" s="2" t="inlineStr">
        <is>
          <t>Articulado</t>
        </is>
      </c>
      <c r="Z696" s="2" t="inlineStr">
        <is>
          <t>Eliminação</t>
        </is>
      </c>
      <c r="AA696" s="2" t="inlineStr">
        <is>
          <t>Rejeitado(a) em Plenário</t>
        </is>
      </c>
      <c r="AB696" s="2" t="inlineStr">
        <is>
          <t>S</t>
        </is>
      </c>
      <c r="AC696" s="2" t="inlineStr"/>
      <c r="AD696" s="2" t="inlineStr">
        <is>
          <t>3</t>
        </is>
      </c>
      <c r="AE696" s="2" t="inlineStr">
        <is>
          <t>23875</t>
        </is>
      </c>
      <c r="AF696" s="2" t="inlineStr">
        <is>
          <t>https://www.parlamento.pt/OrcamentoEstado/Paginas/DetalhePropostaAlteracao.aspx?BID=23875</t>
        </is>
      </c>
      <c r="AG696" s="2" t="inlineStr">
        <is>
          <t>https://app.parlamento.pt/webutils/docs/doc.pdf?path=6148523063484d364c793942556b356c6443397a6158526c63793959566b6c4a544556484c3039464c7a49774d6a59794d4449314d5441774f533951515338795a44566c4d32526b4e5330774d5755354c5451354e474d74595759314e7930774d4451334e7a55344d544d335a5467756347526d&amp;Fich=2d5e3dd5-01e9-494c-af57-0047758137e8.pdf&amp;Inline=true</t>
        </is>
      </c>
      <c r="AH696" s="3" t="n">
        <v>46321.77847222222</v>
      </c>
      <c r="AI696" s="3" t="n">
        <v>46321.78055555555</v>
      </c>
      <c r="AJ696" s="2" t="inlineStr"/>
    </row>
    <row r="697">
      <c r="A697" s="2" t="n">
        <v>696</v>
      </c>
      <c r="B697" s="2" t="inlineStr">
        <is>
          <t>650C</t>
        </is>
      </c>
      <c r="C697" s="3" t="n">
        <v>45966.73055555556</v>
      </c>
      <c r="D697" s="2" t="inlineStr">
        <is>
          <t>Original</t>
        </is>
      </c>
      <c r="E697" s="2" t="inlineStr">
        <is>
          <t>CH</t>
        </is>
      </c>
      <c r="F69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97" s="2" t="inlineStr">
        <is>
          <t>Art. 95.º (substituição)</t>
        </is>
      </c>
      <c r="H697" s="2" t="n"/>
      <c r="I697" s="2" t="n"/>
      <c r="J697" s="2" t="n"/>
      <c r="K697" s="2" t="n"/>
      <c r="L697" s="2" t="inlineStr">
        <is>
          <t>N.º 4, Artigo 95.º</t>
        </is>
      </c>
      <c r="M697" s="4" t="n"/>
      <c r="N697" s="4" t="n"/>
      <c r="O697" s="2" t="n"/>
      <c r="P697" s="2" t="n"/>
      <c r="Q697" s="2" t="n"/>
      <c r="R697" s="2" t="n"/>
      <c r="S697" s="2" t="inlineStr">
        <is>
          <t>Rejeitado(a) em Plenário</t>
        </is>
      </c>
      <c r="T697" s="2" t="inlineStr">
        <is>
          <t>Rejeitada</t>
        </is>
      </c>
      <c r="U697" s="2" t="inlineStr">
        <is>
          <t>Favor: CH, IL, BE, PAN, JPP; Contra: PSD, CDS-PP; Abstenção: PS, L, PCP</t>
        </is>
      </c>
      <c r="V697" s="3" t="n">
        <v>45985</v>
      </c>
      <c r="W697" s="2" t="inlineStr">
        <is>
          <t>Avocada a Plenário. AR: https://www.parlamento.pt/OrcamentoEstado/Paginas/DetalhePropostaAlteracao.aspx?BID=23876 PDF: https://app.parlamento.pt/webutils/docs/doc.pdf?path=6148523063484d364c793942556b356c6443397a6158526c63793959566b6c4a544556484c3039464c7a49774d6a59794d4449314d5441774f53395151533968596a4e6a4f54466a5a4330774e6d51324c5451775a4745744f475a6d4d5330305a5746694e444a6c4d546b324d446b756347526d&amp;Fich=ab3c91cd-06d6-40da-8ff1-4eab42e19609.pdf&amp;Inline=true</t>
        </is>
      </c>
      <c r="X697" s="2" t="inlineStr">
        <is>
          <t>Orçamento, Finanças e Administração Pública; Reforma do Estado e Poder Local</t>
        </is>
      </c>
      <c r="Y697" s="2" t="inlineStr">
        <is>
          <t>Articulado</t>
        </is>
      </c>
      <c r="Z697" s="2" t="inlineStr">
        <is>
          <t>Substituição</t>
        </is>
      </c>
      <c r="AA697" s="2" t="inlineStr">
        <is>
          <t>Rejeitado(a) em Plenário</t>
        </is>
      </c>
      <c r="AB697" s="2" t="inlineStr">
        <is>
          <t>S</t>
        </is>
      </c>
      <c r="AC697" s="2" t="inlineStr"/>
      <c r="AD697" s="2" t="inlineStr">
        <is>
          <t>1</t>
        </is>
      </c>
      <c r="AE697" s="2" t="inlineStr">
        <is>
          <t>23876</t>
        </is>
      </c>
      <c r="AF697" s="2" t="inlineStr">
        <is>
          <t>https://www.parlamento.pt/OrcamentoEstado/Paginas/DetalhePropostaAlteracao.aspx?BID=23876</t>
        </is>
      </c>
      <c r="AG697" s="2" t="inlineStr">
        <is>
          <t>https://app.parlamento.pt/webutils/docs/doc.pdf?path=6148523063484d364c793942556b356c6443397a6158526c63793959566b6c4a544556484c3039464c7a49774d6a59794d4449314d5441774f53395151533968596a4e6a4f54466a5a4330774e6d51324c5451775a4745744f475a6d4d5330305a5746694e444a6c4d546b324d446b756347526d&amp;Fich=ab3c91cd-06d6-40da-8ff1-4eab42e19609.pdf&amp;Inline=true</t>
        </is>
      </c>
      <c r="AH697" s="3" t="n">
        <v>46321.77847222222</v>
      </c>
      <c r="AI697" s="3" t="n">
        <v>46321.78055555555</v>
      </c>
      <c r="AJ697" s="2" t="inlineStr"/>
    </row>
    <row r="698">
      <c r="A698" s="2" t="n">
        <v>697</v>
      </c>
      <c r="B698" s="2" t="inlineStr">
        <is>
          <t>651C</t>
        </is>
      </c>
      <c r="C698" s="3" t="n">
        <v>45966.73194444444</v>
      </c>
      <c r="D698" s="2" t="inlineStr">
        <is>
          <t>Original</t>
        </is>
      </c>
      <c r="E698" s="2" t="inlineStr">
        <is>
          <t>CH</t>
        </is>
      </c>
      <c r="F69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698" s="2" t="inlineStr">
        <is>
          <t>Art. 62.º (substituição)</t>
        </is>
      </c>
      <c r="H698" s="2" t="n"/>
      <c r="I698" s="2" t="n"/>
      <c r="J698" s="2" t="n"/>
      <c r="K698" s="2" t="n"/>
      <c r="L698" s="2" t="inlineStr">
        <is>
          <t>N.º 5, Artigo 46.º do EBF</t>
        </is>
      </c>
      <c r="M698" s="4" t="n"/>
      <c r="N698" s="4" t="n"/>
      <c r="O698" s="2" t="n"/>
      <c r="P698" s="2" t="n"/>
      <c r="Q698" s="2" t="n"/>
      <c r="R698" s="2" t="n"/>
      <c r="S698" s="2" t="inlineStr">
        <is>
          <t>Rejeitado(a) em Comissão</t>
        </is>
      </c>
      <c r="T698" s="2" t="inlineStr">
        <is>
          <t>Rejeitada</t>
        </is>
      </c>
      <c r="U698" s="2" t="inlineStr">
        <is>
          <t>Favor: CH, IL, PAN; Contra: PSD, L, PCP, CDS-PP, BE; Abstenção: PS</t>
        </is>
      </c>
      <c r="V698" s="3" t="n">
        <v>45981</v>
      </c>
      <c r="W698" s="2" t="inlineStr">
        <is>
          <t>AR: https://www.parlamento.pt/OrcamentoEstado/Paginas/DetalhePropostaAlteracao.aspx?BID=23877 PDF: https://app.parlamento.pt/webutils/docs/doc.pdf?path=6148523063484d364c793942556b356c6443397a6158526c63793959566b6c4a544556484c3039464c7a49774d6a59794d4449314d5441774f533951515338774f5455794e6a67774e79303559324d794c5451304f444174596a45315953316c4d57526d4e5755775a545579596d49756347526d&amp;Fich=09526807-9cc2-4480-b15a-e1df5e0e52bb.pdf&amp;Inline=true</t>
        </is>
      </c>
      <c r="X698" s="2" t="inlineStr">
        <is>
          <t>Infraestruturas, Mobilidade e Habitação; Orçamento, Finanças e Administração Pública</t>
        </is>
      </c>
      <c r="Y698" s="2" t="inlineStr">
        <is>
          <t>Articulado</t>
        </is>
      </c>
      <c r="Z698" s="2" t="inlineStr">
        <is>
          <t>Substituição</t>
        </is>
      </c>
      <c r="AA698" s="2" t="inlineStr">
        <is>
          <t>Rejeitado(a) em Comissão</t>
        </is>
      </c>
      <c r="AB698" s="2" t="inlineStr"/>
      <c r="AC698" s="2" t="inlineStr"/>
      <c r="AD698" s="2" t="inlineStr">
        <is>
          <t>1</t>
        </is>
      </c>
      <c r="AE698" s="2" t="inlineStr">
        <is>
          <t>23877</t>
        </is>
      </c>
      <c r="AF698" s="2" t="inlineStr">
        <is>
          <t>https://www.parlamento.pt/OrcamentoEstado/Paginas/DetalhePropostaAlteracao.aspx?BID=23877</t>
        </is>
      </c>
      <c r="AG698" s="2" t="inlineStr">
        <is>
          <t>https://app.parlamento.pt/webutils/docs/doc.pdf?path=6148523063484d364c793942556b356c6443397a6158526c63793959566b6c4a544556484c3039464c7a49774d6a59794d4449314d5441774f533951515338774f5455794e6a67774e79303559324d794c5451304f444174596a45315953316c4d57526d4e5755775a545579596d49756347526d&amp;Fich=09526807-9cc2-4480-b15a-e1df5e0e52bb.pdf&amp;Inline=true</t>
        </is>
      </c>
      <c r="AH698" s="3" t="n">
        <v>46321.77847222222</v>
      </c>
      <c r="AI698" s="3" t="n">
        <v>46321.78055555555</v>
      </c>
      <c r="AJ698" s="2" t="inlineStr"/>
    </row>
    <row r="699">
      <c r="A699" s="2" t="n">
        <v>698</v>
      </c>
      <c r="B699" s="2" t="inlineStr">
        <is>
          <t>652C-1</t>
        </is>
      </c>
      <c r="C699" s="3" t="n">
        <v>45966.73194444444</v>
      </c>
      <c r="D699" s="2" t="inlineStr">
        <is>
          <t>Original</t>
        </is>
      </c>
      <c r="E699" s="2" t="inlineStr">
        <is>
          <t>IL</t>
        </is>
      </c>
      <c r="F699" s="2" t="inlineStr">
        <is>
          <t>Angélique Da Teresa; Carlos Guimarães Pinto; Joana Cordeiro; Jorge Miguel Teixeira; Mariana Leitão; Mário Amorim Lopes; Miguel Rangel; Rodrigo Saraiva; Rui Rocha</t>
        </is>
      </c>
      <c r="G699" s="2" t="inlineStr">
        <is>
          <t>Art. 60.º (substituição)</t>
        </is>
      </c>
      <c r="H699" s="2" t="n"/>
      <c r="I699" s="2" t="n"/>
      <c r="J699" s="2" t="n"/>
      <c r="K699" s="2" t="n"/>
      <c r="L699" s="2" t="inlineStr">
        <is>
          <t>N.º 1, N.º 3, N.º 4, N.º 5, N.º 6, N.º 7, Artigo 102.º do Código do IRS</t>
        </is>
      </c>
      <c r="M699" s="4" t="n"/>
      <c r="N699" s="4" t="n"/>
      <c r="O699" s="2" t="n"/>
      <c r="P699" s="2" t="n"/>
      <c r="Q699" s="2" t="n"/>
      <c r="R699" s="2" t="n"/>
      <c r="S699" s="2" t="inlineStr">
        <is>
          <t>Rejeitado(a) em Comissão</t>
        </is>
      </c>
      <c r="T699" s="2" t="inlineStr">
        <is>
          <t>Rejeitada</t>
        </is>
      </c>
      <c r="U699" s="2" t="inlineStr">
        <is>
          <t>Favor: CH, IL, PAN; Contra: PSD, PCP, CDS-PP, BE; Abstenção: PS, L</t>
        </is>
      </c>
      <c r="V699" s="3" t="n">
        <v>45981</v>
      </c>
      <c r="W699" s="2" t="inlineStr">
        <is>
          <t>AR: https://www.parlamento.pt/OrcamentoEstado/Paginas/DetalhePropostaAlteracao.aspx?BID=23878 PDF: https://app.parlamento.pt/webutils/docs/doc.pdf?path=6148523063484d364c793942556b356c6443397a6158526c63793959566b6c4a544556484c3039464c7a49774d6a59794d4449314d5441774f533951515338784f444d784d7a63774e4331684f574d324c545269595451744f4451304f53316c5a6a557959324a69596a4e694e6a41756347526d&amp;Fich=18313704-a9c6-4ba4-8449-ef52cbbb3b60.pdf&amp;Inline=true</t>
        </is>
      </c>
      <c r="X699" s="2" t="inlineStr">
        <is>
          <t>Orçamento, Finanças e Administração Pública</t>
        </is>
      </c>
      <c r="Y699" s="2" t="inlineStr">
        <is>
          <t>Articulado</t>
        </is>
      </c>
      <c r="Z699" s="2" t="inlineStr">
        <is>
          <t>Substituição</t>
        </is>
      </c>
      <c r="AA699" s="2" t="inlineStr">
        <is>
          <t>Rejeitado(a) em Comissão</t>
        </is>
      </c>
      <c r="AB699" s="2" t="inlineStr"/>
      <c r="AC699" s="2" t="inlineStr">
        <is>
          <t>1</t>
        </is>
      </c>
      <c r="AD699" s="2" t="inlineStr">
        <is>
          <t>1</t>
        </is>
      </c>
      <c r="AE699" s="2" t="inlineStr">
        <is>
          <t>23878</t>
        </is>
      </c>
      <c r="AF699" s="2" t="inlineStr">
        <is>
          <t>https://www.parlamento.pt/OrcamentoEstado/Paginas/DetalhePropostaAlteracao.aspx?BID=23878</t>
        </is>
      </c>
      <c r="AG699" s="2" t="inlineStr">
        <is>
          <t>https://app.parlamento.pt/webutils/docs/doc.pdf?path=6148523063484d364c793942556b356c6443397a6158526c63793959566b6c4a544556484c3039464c7a49774d6a59794d4449314d5441774f533951515338784f444d784d7a63774e4331684f574d324c545269595451744f4451304f53316c5a6a557959324a69596a4e694e6a41756347526d&amp;Fich=18313704-a9c6-4ba4-8449-ef52cbbb3b60.pdf&amp;Inline=true</t>
        </is>
      </c>
      <c r="AH699" s="3" t="n">
        <v>46321.77847222222</v>
      </c>
      <c r="AI699" s="3" t="n">
        <v>46321.78055555555</v>
      </c>
      <c r="AJ699" s="2" t="inlineStr"/>
    </row>
    <row r="700">
      <c r="A700" s="2" t="n">
        <v>699</v>
      </c>
      <c r="B700" s="2" t="inlineStr">
        <is>
          <t>652C-2</t>
        </is>
      </c>
      <c r="C700" s="3" t="n">
        <v>45966.73194444444</v>
      </c>
      <c r="D700" s="2" t="inlineStr">
        <is>
          <t>Retirada</t>
        </is>
      </c>
      <c r="E700" s="2" t="inlineStr">
        <is>
          <t>IL</t>
        </is>
      </c>
      <c r="F700" s="2" t="inlineStr">
        <is>
          <t>Angélique Da Teresa; Carlos Guimarães Pinto; Joana Cordeiro; Jorge Miguel Teixeira; Mariana Leitão; Mário Amorim Lopes; Miguel Rangel; Rodrigo Saraiva; Rui Rocha</t>
        </is>
      </c>
      <c r="G700" s="2" t="inlineStr">
        <is>
          <t>Art. 138.º (aditamento)</t>
        </is>
      </c>
      <c r="H700" s="2" t="n"/>
      <c r="I700" s="2" t="n"/>
      <c r="J700" s="2" t="n"/>
      <c r="K700" s="2" t="n"/>
      <c r="L700" s="2" t="inlineStr">
        <is>
          <t>Alínea c), Artigo 138.º</t>
        </is>
      </c>
      <c r="M700" s="4" t="n"/>
      <c r="N700" s="4" t="n"/>
      <c r="O700" s="2" t="n"/>
      <c r="P700" s="2" t="n"/>
      <c r="Q700" s="2" t="n"/>
      <c r="R700" s="2" t="n"/>
      <c r="S700" s="2" t="inlineStr">
        <is>
          <t>Retirado(a)</t>
        </is>
      </c>
      <c r="T700" s="2" t="inlineStr">
        <is>
          <t>Retirada</t>
        </is>
      </c>
      <c r="U700" s="2" t="inlineStr"/>
      <c r="V700" s="3" t="n"/>
      <c r="W700" s="2" t="inlineStr">
        <is>
          <t>AR: https://www.parlamento.pt/OrcamentoEstado/Paginas/DetalhePropostaAlteracao.aspx?BID=24032 PDF: https://app.parlamento.pt/webutils/docs/doc.pdf?path=6148523063484d364c793942556b356c6443397a6158526c63793959566b6c4a544556484c3039464c7a49774d6a59794d4449314d5441774f533951515338325a5451324d6d566d4e5331694e7a677a4c54517a4e7a41744f5759314f43307a4d474979596a4d794f4449344d6d51756347526d&amp;Fich=6e462ef5-b783-4370-9f58-30b2b328282d.pdf&amp;Inline=true</t>
        </is>
      </c>
      <c r="X700" s="2" t="inlineStr">
        <is>
          <t>Orçamento, Finanças e Administração Pública</t>
        </is>
      </c>
      <c r="Y700" s="2" t="inlineStr">
        <is>
          <t>Articulado</t>
        </is>
      </c>
      <c r="Z700" s="2" t="inlineStr">
        <is>
          <t>Aditamento (Números e Alíneas)</t>
        </is>
      </c>
      <c r="AA700" s="2" t="inlineStr">
        <is>
          <t>Retirado(a)</t>
        </is>
      </c>
      <c r="AB700" s="2" t="inlineStr"/>
      <c r="AC700" s="2" t="inlineStr">
        <is>
          <t>2</t>
        </is>
      </c>
      <c r="AD700" s="2" t="inlineStr">
        <is>
          <t>0</t>
        </is>
      </c>
      <c r="AE700" s="2" t="inlineStr">
        <is>
          <t>24032</t>
        </is>
      </c>
      <c r="AF700" s="2" t="inlineStr">
        <is>
          <t>https://www.parlamento.pt/OrcamentoEstado/Paginas/DetalhePropostaAlteracao.aspx?BID=24032</t>
        </is>
      </c>
      <c r="AG700" s="2" t="inlineStr">
        <is>
          <t>https://app.parlamento.pt/webutils/docs/doc.pdf?path=6148523063484d364c793942556b356c6443397a6158526c63793959566b6c4a544556484c3039464c7a49774d6a59794d4449314d5441774f533951515338325a5451324d6d566d4e5331694e7a677a4c54517a4e7a41744f5759314f43307a4d474979596a4d794f4449344d6d51756347526d&amp;Fich=6e462ef5-b783-4370-9f58-30b2b328282d.pdf&amp;Inline=true</t>
        </is>
      </c>
      <c r="AH700" s="3" t="n">
        <v>46321.77847222222</v>
      </c>
      <c r="AI700" s="3" t="n">
        <v>46321.78055555555</v>
      </c>
      <c r="AJ700" s="2" t="inlineStr"/>
    </row>
    <row r="701">
      <c r="A701" s="2" t="n">
        <v>700</v>
      </c>
      <c r="B701" s="2" t="inlineStr">
        <is>
          <t>653C</t>
        </is>
      </c>
      <c r="C701" s="3" t="n">
        <v>45966.73263888889</v>
      </c>
      <c r="D701" s="2" t="inlineStr">
        <is>
          <t>Original</t>
        </is>
      </c>
      <c r="E701" s="2" t="inlineStr">
        <is>
          <t>CH</t>
        </is>
      </c>
      <c r="F70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G701" s="2" t="inlineStr">
        <is>
          <t>Art. 136.º-A (aditamento)</t>
        </is>
      </c>
      <c r="H701" s="2" t="n"/>
      <c r="I701" s="2" t="n"/>
      <c r="J701" s="2" t="n"/>
      <c r="K701" s="2" t="n"/>
      <c r="L701" s="2" t="inlineStr">
        <is>
          <t>Artigo 136.º-A (Calendário de requalificação de acessibilidade em edifícios escolares)</t>
        </is>
      </c>
      <c r="M701" s="4" t="n"/>
      <c r="N701" s="4" t="n"/>
      <c r="O701" s="2" t="n"/>
      <c r="P701" s="2" t="n"/>
      <c r="Q701" s="2" t="n"/>
      <c r="R701" s="2" t="n"/>
      <c r="S701" s="2" t="inlineStr">
        <is>
          <t>Rejeitado(a) em Comissão</t>
        </is>
      </c>
      <c r="T701" s="2" t="inlineStr">
        <is>
          <t>Rejeitada</t>
        </is>
      </c>
      <c r="U701" s="2" t="inlineStr">
        <is>
          <t>Favor: CH, IL, BE; Contra: PSD, CDS-PP, PAN; Abstenção: PS, L, PCP</t>
        </is>
      </c>
      <c r="V701" s="3" t="n">
        <v>45987</v>
      </c>
      <c r="W701" s="2" t="inlineStr">
        <is>
          <t>AR: https://www.parlamento.pt/OrcamentoEstado/Paginas/DetalhePropostaAlteracao.aspx?BID=23879 PDF: https://app.parlamento.pt/webutils/docs/doc.pdf?path=6148523063484d364c793942556b356c6443397a6158526c63793959566b6c4a544556484c3039464c7a49774d6a59794d4449314d5441774f5339515153396c5a6d4e68596a5a6c5a43316b4e574d344c5451774f544974596a55324e4330314e6a686a4e325a6d4e6a4a68597a41756347526d&amp;Fich=efcab6ed-d5c8-4092-b564-568c7ff62ac0.pdf&amp;Inline=true</t>
        </is>
      </c>
      <c r="X701" s="2" t="inlineStr">
        <is>
          <t>Educação e Ciência; Orçamento, Finanças e Administração Pública</t>
        </is>
      </c>
      <c r="Y701" s="2" t="inlineStr">
        <is>
          <t>Articulado</t>
        </is>
      </c>
      <c r="Z701" s="2" t="inlineStr">
        <is>
          <t>Aditamento (Artigo PPL)</t>
        </is>
      </c>
      <c r="AA701" s="2" t="inlineStr">
        <is>
          <t>Rejeitado(a) em Comissão</t>
        </is>
      </c>
      <c r="AB701" s="2" t="inlineStr"/>
      <c r="AC701" s="2" t="inlineStr"/>
      <c r="AD701" s="2" t="inlineStr">
        <is>
          <t>1</t>
        </is>
      </c>
      <c r="AE701" s="2" t="inlineStr">
        <is>
          <t>23879</t>
        </is>
      </c>
      <c r="AF701" s="2" t="inlineStr">
        <is>
          <t>https://www.parlamento.pt/OrcamentoEstado/Paginas/DetalhePropostaAlteracao.aspx?BID=23879</t>
        </is>
      </c>
      <c r="AG701" s="2" t="inlineStr">
        <is>
          <t>https://app.parlamento.pt/webutils/docs/doc.pdf?path=6148523063484d364c793942556b356c6443397a6158526c63793959566b6c4a544556484c3039464c7a49774d6a59794d4449314d5441774f5339515153396c5a6d4e68596a5a6c5a43316b4e574d344c5451774f544974596a55324e4330314e6a686a4e325a6d4e6a4a68597a41756347526d&amp;Fich=efcab6ed-d5c8-4092-b564-568c7ff62ac0.pdf&amp;Inline=true</t>
        </is>
      </c>
      <c r="AH701" s="3" t="n">
        <v>46321.77847222222</v>
      </c>
      <c r="AI701" s="3" t="n">
        <v>46321.78055555555</v>
      </c>
      <c r="AJ701" s="2" t="inlineStr"/>
    </row>
    <row r="702">
      <c r="A702" s="2" t="n">
        <v>701</v>
      </c>
      <c r="B702" s="2" t="inlineStr">
        <is>
          <t>654C</t>
        </is>
      </c>
      <c r="C702" s="3" t="n">
        <v>45966.73333333333</v>
      </c>
      <c r="D702" s="2" t="inlineStr">
        <is>
          <t>Original</t>
        </is>
      </c>
      <c r="E702" s="2" t="inlineStr">
        <is>
          <t>L</t>
        </is>
      </c>
      <c r="F702" s="2" t="inlineStr">
        <is>
          <t>Filipa Pinto; Isabel Mendes Lopes; Jorge Pinto; Patrícia Gonçalves; Paulo Muacho; Rui Tavares</t>
        </is>
      </c>
      <c r="G702" s="2" t="inlineStr">
        <is>
          <t>Art. 112.º-A (aditamento)</t>
        </is>
      </c>
      <c r="H702" s="2" t="n"/>
      <c r="I702" s="2" t="n"/>
      <c r="J702" s="2" t="n"/>
      <c r="K702" s="2" t="n"/>
      <c r="L702" s="2" t="inlineStr">
        <is>
          <t>Artigo 112.º-A (Agência Portuguesa para a Inteligência Artificial)</t>
        </is>
      </c>
      <c r="M702" s="4" t="n"/>
      <c r="N702" s="4" t="n"/>
      <c r="O702" s="2" t="n"/>
      <c r="P702" s="2" t="n"/>
      <c r="Q702" s="2" t="n"/>
      <c r="R702" s="2" t="n"/>
      <c r="S702" s="2" t="inlineStr">
        <is>
          <t>Rejeitado(a) em Comissão</t>
        </is>
      </c>
      <c r="T702" s="2" t="inlineStr">
        <is>
          <t>Rejeitada</t>
        </is>
      </c>
      <c r="U702" s="2" t="inlineStr">
        <is>
          <t>Favor: L, BE, PAN; Contra: PSD, PS, IL, CDS-PP; Abstenção: CH, PCP</t>
        </is>
      </c>
      <c r="V702" s="3" t="n">
        <v>45982</v>
      </c>
      <c r="W702" s="2" t="inlineStr">
        <is>
          <t>AR: https://www.parlamento.pt/OrcamentoEstado/Paginas/DetalhePropostaAlteracao.aspx?BID=23880 PDF: https://app.parlamento.pt/webutils/docs/doc.pdf?path=6148523063484d364c793942556b356c6443397a6158526c63793959566b6c4a544556484c3039464c7a49774d6a59794d4449314d5441774f5339515153396c5a475a6c4e44686b5953307a5a6d45324c54526b597a6b74596d4d30597930354f4759324d7a51334d6a646b4f5749756347526d&amp;Fich=edfe48da-3fa6-4dc9-bc4c-98f634727d9b.pdf&amp;Inline=true</t>
        </is>
      </c>
      <c r="X702" s="2" t="inlineStr">
        <is>
          <t>Educação e Ciência</t>
        </is>
      </c>
      <c r="Y702" s="2" t="inlineStr">
        <is>
          <t>Articulado</t>
        </is>
      </c>
      <c r="Z702" s="2" t="inlineStr">
        <is>
          <t>Aditamento (Artigo PPL)</t>
        </is>
      </c>
      <c r="AA702" s="2" t="inlineStr">
        <is>
          <t>Rejeitado(a) em Comissão</t>
        </is>
      </c>
      <c r="AB702" s="2" t="inlineStr"/>
      <c r="AC702" s="2" t="inlineStr"/>
      <c r="AD702" s="2" t="inlineStr">
        <is>
          <t>1</t>
        </is>
      </c>
      <c r="AE702" s="2" t="inlineStr">
        <is>
          <t>23880</t>
        </is>
      </c>
      <c r="AF702" s="2" t="inlineStr">
        <is>
          <t>https://www.parlamento.pt/OrcamentoEstado/Paginas/DetalhePropostaAlteracao.aspx?BID=23880</t>
        </is>
      </c>
      <c r="AG702" s="2" t="inlineStr">
        <is>
          <t>https://app.parlamento.pt/webutils/docs/doc.pdf?path=6148523063484d364c793942556b356c6443397a6158526c63793959566b6c4a544556484c3039464c7a49774d6a59794d4449314d5441774f5339515153396c5a475a6c4e44686b5953307a5a6d45324c54526b597a6b74596d4d30597930354f4759324d7a51334d6a646b4f5749756347526d&amp;Fich=edfe48da-3fa6-4dc9-bc4c-98f634727d9b.pdf&amp;Inline=true</t>
        </is>
      </c>
      <c r="AH702" s="3" t="n">
        <v>46321.77847222222</v>
      </c>
      <c r="AI702" s="3" t="n">
        <v>46321.78055555555</v>
      </c>
      <c r="AJ702" s="2" t="inlineStr"/>
    </row>
    <row r="703">
      <c r="A703" s="2" t="n">
        <v>702</v>
      </c>
      <c r="B703" s="2" t="inlineStr">
        <is>
          <t>655C-1</t>
        </is>
      </c>
      <c r="C703" s="3" t="n">
        <v>45966.73472222222</v>
      </c>
      <c r="D703" s="2" t="inlineStr">
        <is>
          <t>Original</t>
        </is>
      </c>
      <c r="E703" s="2" t="inlineStr">
        <is>
          <t>IL</t>
        </is>
      </c>
      <c r="F703" s="2" t="inlineStr">
        <is>
          <t>Angélique Da Teresa; Carlos Guimarães Pinto; Joana Cordeiro; Jorge Miguel Teixeira; Mariana Leitão; Mário Amorim Lopes; Miguel Rangel; Rodrigo Saraiva; Rui Rocha</t>
        </is>
      </c>
      <c r="G703" s="2" t="inlineStr">
        <is>
          <t>Art. 61.º (substituição)</t>
        </is>
      </c>
      <c r="H703" s="2" t="n"/>
      <c r="I703" s="2" t="n"/>
      <c r="J703" s="2" t="n"/>
      <c r="K703" s="2" t="n"/>
      <c r="L703" s="2" t="inlineStr">
        <is>
          <t>Alínea b), N.º 1, Artigo 61.º do Código do IRC</t>
        </is>
      </c>
      <c r="M703" s="4" t="n"/>
      <c r="N703" s="4" t="n"/>
      <c r="O703" s="2" t="n"/>
      <c r="P703" s="2" t="n"/>
      <c r="Q703" s="2" t="n"/>
      <c r="R703" s="2" t="n"/>
      <c r="S703" s="2" t="inlineStr">
        <is>
          <t>Rejeitado(a) em Comissão</t>
        </is>
      </c>
      <c r="T703" s="2" t="inlineStr">
        <is>
          <t>Rejeitada</t>
        </is>
      </c>
      <c r="U703" s="2" t="inlineStr">
        <is>
          <t>Favor: IL, PAN; Contra: PSD, PS, L, PCP, CDS-PP, BE; Abstenção: CH</t>
        </is>
      </c>
      <c r="V703" s="3" t="n">
        <v>45981</v>
      </c>
      <c r="W703" s="2" t="inlineStr">
        <is>
          <t>AR: https://www.parlamento.pt/OrcamentoEstado/Paginas/DetalhePropostaAlteracao.aspx?BID=23881 PDF: https://app.parlamento.pt/webutils/docs/doc.pdf?path=6148523063484d364c793942556b356c6443397a6158526c63793959566b6c4a544556484c3039464c7a49774d6a59794d4449314d5441774f5339515153396b4e324d785957566d4d53307a596a51304c5451794d325574595751324f4331684e474a6a4d32466c4d57466c4e5745756347526d&amp;Fich=d7c1aef1-3b44-423e-ad68-a4bc3ae1ae5a.pdf&amp;Inline=true</t>
        </is>
      </c>
      <c r="X703" s="2" t="inlineStr">
        <is>
          <t>Orçamento, Finanças e Administração Pública</t>
        </is>
      </c>
      <c r="Y703" s="2" t="inlineStr">
        <is>
          <t>Articulado</t>
        </is>
      </c>
      <c r="Z703" s="2" t="inlineStr">
        <is>
          <t>Substituição</t>
        </is>
      </c>
      <c r="AA703" s="2" t="inlineStr">
        <is>
          <t>Rejeitado(a) em Comissão</t>
        </is>
      </c>
      <c r="AB703" s="2" t="inlineStr"/>
      <c r="AC703" s="2" t="inlineStr">
        <is>
          <t>1</t>
        </is>
      </c>
      <c r="AD703" s="2" t="inlineStr">
        <is>
          <t>1</t>
        </is>
      </c>
      <c r="AE703" s="2" t="inlineStr">
        <is>
          <t>23881</t>
        </is>
      </c>
      <c r="AF703" s="2" t="inlineStr">
        <is>
          <t>https://www.parlamento.pt/OrcamentoEstado/Paginas/DetalhePropostaAlteracao.aspx?BID=23881</t>
        </is>
      </c>
      <c r="AG703" s="2" t="inlineStr">
        <is>
          <t>https://app.parlamento.pt/webutils/docs/doc.pdf?path=6148523063484d364c793942556b356c6443397a6158526c63793959566b6c4a544556484c3039464c7a49774d6a59794d4449314d5441774f5339515153396b4e324d785957566d4d53307a596a51304c5451794d325574595751324f4331684e474a6a4d32466c4d57466c4e5745756347526d&amp;Fich=d7c1aef1-3b44-423e-ad68-a4bc3ae1ae5a.pdf&amp;Inline=true</t>
        </is>
      </c>
      <c r="AH703" s="3" t="n">
        <v>46321.77847222222</v>
      </c>
      <c r="AI703" s="3" t="n">
        <v>46321.78055555555</v>
      </c>
      <c r="AJ703" s="2" t="inlineStr"/>
    </row>
    <row r="704">
      <c r="A704" s="2" t="n">
        <v>703</v>
      </c>
      <c r="B704" s="2" t="inlineStr">
        <is>
          <t>655C-2</t>
        </is>
      </c>
      <c r="C704" s="3" t="n">
        <v>45966.73472222222</v>
      </c>
      <c r="D704" s="2" t="inlineStr">
        <is>
          <t>Original</t>
        </is>
      </c>
      <c r="E704" s="2" t="inlineStr">
        <is>
          <t>IL</t>
        </is>
      </c>
      <c r="F704" s="2" t="inlineStr">
        <is>
          <t>Angélique Da Teresa; Carlos Guimarães Pinto; Joana Cordeiro; Jorge Miguel Teixeira; Mariana Leitão; Mário Amorim Lopes; Miguel Rangel; Rodrigo Saraiva; Rui Rocha</t>
        </is>
      </c>
      <c r="G704" s="2" t="inlineStr">
        <is>
          <t>Art. 61.º (aditamento)</t>
        </is>
      </c>
      <c r="H704" s="2" t="n"/>
      <c r="I704" s="2" t="n"/>
      <c r="J704" s="2" t="n"/>
      <c r="K704" s="2" t="n"/>
      <c r="L704" s="2" t="inlineStr">
        <is>
          <t>Novo N.º 4, N.º 7, N.º 8, Artigo 6.º do Código do IRC</t>
        </is>
      </c>
      <c r="M704" s="4" t="n"/>
      <c r="N704" s="4" t="n"/>
      <c r="O704" s="2" t="n"/>
      <c r="P704" s="2" t="n"/>
      <c r="Q704" s="2" t="n"/>
      <c r="R704" s="2" t="n"/>
      <c r="S704" s="2" t="inlineStr">
        <is>
          <t>Rejeitado(a) em Comissão</t>
        </is>
      </c>
      <c r="T704" s="2" t="inlineStr">
        <is>
          <t>Rejeitada</t>
        </is>
      </c>
      <c r="U704" s="2" t="inlineStr">
        <is>
          <t>Favor: IL, PAN; Contra: PSD, PS, L, PCP, CDS-PP, BE; Abstenção: CH</t>
        </is>
      </c>
      <c r="V704" s="3" t="n">
        <v>45981</v>
      </c>
      <c r="W704" s="2" t="inlineStr">
        <is>
          <t>AR: https://www.parlamento.pt/OrcamentoEstado/Paginas/DetalhePropostaAlteracao.aspx?BID=24029 PDF: https://app.parlamento.pt/webutils/docs/doc.pdf?path=6148523063484d364c793942556b356c6443397a6158526c63793959566b6c4a544556484c3039464c7a49774d6a59794d4449314d5441774f5339515153387a5a6d51344f546c6a5a5330774d7a45794c5451334e544d74595467314f4330345a6a557a5a54466b5a544d304d5459756347526d&amp;Fich=3fd899ce-0312-4753-a858-8f53e1de3416.pdf&amp;Inline=true</t>
        </is>
      </c>
      <c r="X704" s="2" t="inlineStr">
        <is>
          <t>Orçamento, Finanças e Administração Pública</t>
        </is>
      </c>
      <c r="Y704" s="2" t="inlineStr">
        <is>
          <t>Articulado</t>
        </is>
      </c>
      <c r="Z704" s="2" t="inlineStr">
        <is>
          <t>Aditamento (Números e Alíneas)</t>
        </is>
      </c>
      <c r="AA704" s="2" t="inlineStr">
        <is>
          <t>Rejeitado(a) em Comissão</t>
        </is>
      </c>
      <c r="AB704" s="2" t="inlineStr"/>
      <c r="AC704" s="2" t="inlineStr">
        <is>
          <t>2</t>
        </is>
      </c>
      <c r="AD704" s="2" t="inlineStr">
        <is>
          <t>1</t>
        </is>
      </c>
      <c r="AE704" s="2" t="inlineStr">
        <is>
          <t>24029</t>
        </is>
      </c>
      <c r="AF704" s="2" t="inlineStr">
        <is>
          <t>https://www.parlamento.pt/OrcamentoEstado/Paginas/DetalhePropostaAlteracao.aspx?BID=24029</t>
        </is>
      </c>
      <c r="AG704" s="2" t="inlineStr">
        <is>
          <t>https://app.parlamento.pt/webutils/docs/doc.pdf?path=6148523063484d364c793942556b356c6443397a6158526c63793959566b6c4a544556484c3039464c7a49774d6a59794d4449314d5441774f5339515153387a5a6d51344f546c6a5a5330774d7a45794c5451334e544d74595467314f4330345a6a557a5a54466b5a544d304d5459756347526d&amp;Fich=3fd899ce-0312-4753-a858-8f53e1de3416.pdf&amp;Inline=true</t>
        </is>
      </c>
      <c r="AH704" s="3" t="n">
        <v>46321.77847222222</v>
      </c>
      <c r="AI704" s="3" t="n">
        <v>46321.78055555555</v>
      </c>
      <c r="AJ704" s="2" t="inlineStr"/>
    </row>
    <row r="705">
      <c r="A705" s="2" t="n">
        <v>704</v>
      </c>
      <c r="B705" s="2" t="inlineStr">
        <is>
          <t>655C-3</t>
        </is>
      </c>
      <c r="C705" s="3" t="n">
        <v>45966.73472222222</v>
      </c>
      <c r="D705" s="2" t="inlineStr">
        <is>
          <t>Retirada</t>
        </is>
      </c>
      <c r="E705" s="2" t="inlineStr">
        <is>
          <t>IL</t>
        </is>
      </c>
      <c r="F705" s="2" t="inlineStr">
        <is>
          <t>Angélique Da Teresa; Carlos Guimarães Pinto; Joana Cordeiro; Jorge Miguel Teixeira; Mariana Leitão; Mário Amorim Lopes; Miguel Rangel; Rodrigo Saraiva; Rui Rocha</t>
        </is>
      </c>
      <c r="G705" s="2" t="inlineStr">
        <is>
          <t>Art. 138.º (aditamento)</t>
        </is>
      </c>
      <c r="H705" s="2" t="n"/>
      <c r="I705" s="2" t="n"/>
      <c r="J705" s="2" t="n"/>
      <c r="K705" s="2" t="n"/>
      <c r="L705" s="2" t="inlineStr">
        <is>
          <t>Alínea c), Artigo 138.º</t>
        </is>
      </c>
      <c r="M705" s="4" t="n"/>
      <c r="N705" s="4" t="n"/>
      <c r="O705" s="2" t="n"/>
      <c r="P705" s="2" t="n"/>
      <c r="Q705" s="2" t="n"/>
      <c r="R705" s="2" t="n"/>
      <c r="S705" s="2" t="inlineStr">
        <is>
          <t>Retirado(a)</t>
        </is>
      </c>
      <c r="T705" s="2" t="inlineStr">
        <is>
          <t>Retirada</t>
        </is>
      </c>
      <c r="U705" s="2" t="inlineStr"/>
      <c r="V705" s="3" t="n"/>
      <c r="W705" s="2" t="inlineStr">
        <is>
          <t>AR: https://www.parlamento.pt/OrcamentoEstado/Paginas/DetalhePropostaAlteracao.aspx?BID=24030 PDF: https://app.parlamento.pt/webutils/docs/doc.pdf?path=6148523063484d364c793942556b356c6443397a6158526c63793959566b6c4a544556484c3039464c7a49774d6a59794d4449314d5441774f5339515153396c4e7a686c4e6a4d79596930334d5751784c5451774f544d74596d4e6b4f4331684f574e6c4e6a45344e7a526c4d474d756347526d&amp;Fich=e78e632b-71d1-4093-bcd8-a9ce61874e0c.pdf&amp;Inline=true</t>
        </is>
      </c>
      <c r="X705" s="2" t="inlineStr">
        <is>
          <t>Orçamento, Finanças e Administração Pública</t>
        </is>
      </c>
      <c r="Y705" s="2" t="inlineStr">
        <is>
          <t>Articulado</t>
        </is>
      </c>
      <c r="Z705" s="2" t="inlineStr">
        <is>
          <t>Aditamento (Números e Alíneas)</t>
        </is>
      </c>
      <c r="AA705" s="2" t="inlineStr">
        <is>
          <t>Retirado(a)</t>
        </is>
      </c>
      <c r="AB705" s="2" t="inlineStr"/>
      <c r="AC705" s="2" t="inlineStr">
        <is>
          <t>3</t>
        </is>
      </c>
      <c r="AD705" s="2" t="inlineStr">
        <is>
          <t>0</t>
        </is>
      </c>
      <c r="AE705" s="2" t="inlineStr">
        <is>
          <t>24030</t>
        </is>
      </c>
      <c r="AF705" s="2" t="inlineStr">
        <is>
          <t>https://www.parlamento.pt/OrcamentoEstado/Paginas/DetalhePropostaAlteracao.aspx?BID=24030</t>
        </is>
      </c>
      <c r="AG705" s="2" t="inlineStr">
        <is>
          <t>https://app.parlamento.pt/webutils/docs/doc.pdf?path=6148523063484d364c793942556b356c6443397a6158526c63793959566b6c4a544556484c3039464c7a49774d6a59794d4449314d5441774f5339515153396c4e7a686c4e6a4d79596930334d5751784c5451774f544d74596d4e6b4f4331684f574e6c4e6a45344e7a526c4d474d756347526d&amp;Fich=e78e632b-71d1-4093-bcd8-a9ce61874e0c.pdf&amp;Inline=true</t>
        </is>
      </c>
      <c r="AH705" s="3" t="n">
        <v>46321.77847222222</v>
      </c>
      <c r="AI705" s="3" t="n">
        <v>46321.78055555555</v>
      </c>
      <c r="AJ705" s="2" t="inlineStr"/>
    </row>
    <row r="706">
      <c r="A706" s="2" t="n">
        <v>705</v>
      </c>
      <c r="B706" s="2" t="inlineStr">
        <is>
          <t>656C-1</t>
        </is>
      </c>
      <c r="C706" s="3" t="n">
        <v>45966.73819444444</v>
      </c>
      <c r="D706" s="2" t="inlineStr">
        <is>
          <t>Original</t>
        </is>
      </c>
      <c r="E706" s="2" t="inlineStr">
        <is>
          <t>IL</t>
        </is>
      </c>
      <c r="F706" s="2" t="inlineStr">
        <is>
          <t>Angélique Da Teresa; Carlos Guimarães Pinto; Joana Cordeiro; Jorge Miguel Teixeira; Mariana Leitão; Mário Amorim Lopes; Miguel Rangel; Rodrigo Saraiva; Rui Rocha</t>
        </is>
      </c>
      <c r="G706" s="2" t="inlineStr">
        <is>
          <t>Art. 60.º (substituição)</t>
        </is>
      </c>
      <c r="H706" s="2" t="n"/>
      <c r="I706" s="2" t="n"/>
      <c r="J706" s="2" t="n"/>
      <c r="K706" s="2" t="n"/>
      <c r="L706" s="2" t="inlineStr">
        <is>
          <t>Alínea a), alínea b), alínea c), N.º 1, Artigo 101.º do Código do IRS</t>
        </is>
      </c>
      <c r="M706" s="4" t="n"/>
      <c r="N706" s="4" t="n"/>
      <c r="O706" s="2" t="n"/>
      <c r="P706" s="2" t="n"/>
      <c r="Q706" s="2" t="n"/>
      <c r="R706" s="2" t="n"/>
      <c r="S706" s="2" t="inlineStr">
        <is>
          <t>Rejeitado(a) em Comissão</t>
        </is>
      </c>
      <c r="T706" s="2" t="inlineStr">
        <is>
          <t>Rejeitada</t>
        </is>
      </c>
      <c r="U706" s="2" t="inlineStr">
        <is>
          <t>Favor: CH, IL, PAN; Contra: PSD, PS, PCP, CDS-PP, BE; Abstenção: L</t>
        </is>
      </c>
      <c r="V706" s="3" t="n">
        <v>45981</v>
      </c>
      <c r="W706" s="2" t="inlineStr">
        <is>
          <t>AR: https://www.parlamento.pt/OrcamentoEstado/Paginas/DetalhePropostaAlteracao.aspx?BID=23882 PDF: https://app.parlamento.pt/webutils/docs/doc.pdf?path=6148523063484d364c793942556b356c6443397a6158526c63793959566b6c4a544556484c3039464c7a49774d6a59794d4449314d5441774f533951515338314d47466c4e54566b4d7930354d7a59334c5451784f4449744f54646d4f5330314e7a4d34597a5a6c4f4746684e6d4d756347526d&amp;Fich=50ae55d3-9367-4182-97f9-5738c6e8aa6c.pdf&amp;Inline=true</t>
        </is>
      </c>
      <c r="X706" s="2" t="inlineStr">
        <is>
          <t>Orçamento, Finanças e Administração Pública</t>
        </is>
      </c>
      <c r="Y706" s="2" t="inlineStr">
        <is>
          <t>Articulado</t>
        </is>
      </c>
      <c r="Z706" s="2" t="inlineStr">
        <is>
          <t>Substituição</t>
        </is>
      </c>
      <c r="AA706" s="2" t="inlineStr">
        <is>
          <t>Rejeitado(a) em Comissão</t>
        </is>
      </c>
      <c r="AB706" s="2" t="inlineStr"/>
      <c r="AC706" s="2" t="inlineStr">
        <is>
          <t>1</t>
        </is>
      </c>
      <c r="AD706" s="2" t="inlineStr">
        <is>
          <t>1</t>
        </is>
      </c>
      <c r="AE706" s="2" t="inlineStr">
        <is>
          <t>23882</t>
        </is>
      </c>
      <c r="AF706" s="2" t="inlineStr">
        <is>
          <t>https://www.parlamento.pt/OrcamentoEstado/Paginas/DetalhePropostaAlteracao.aspx?BID=23882</t>
        </is>
      </c>
      <c r="AG706" s="2" t="inlineStr">
        <is>
          <t>https://app.parlamento.pt/webutils/docs/doc.pdf?path=6148523063484d364c793942556b356c6443397a6158526c63793959566b6c4a544556484c3039464c7a49774d6a59794d4449314d5441774f533951515338314d47466c4e54566b4d7930354d7a59334c5451784f4449744f54646d4f5330314e7a4d34597a5a6c4f4746684e6d4d756347526d&amp;Fich=50ae55d3-9367-4182-97f9-5738c6e8aa6c.pdf&amp;Inline=true</t>
        </is>
      </c>
      <c r="AH706" s="3" t="n">
        <v>46321.77847222222</v>
      </c>
      <c r="AI706" s="3" t="n">
        <v>46321.78055555555</v>
      </c>
      <c r="AJ706" s="2" t="inlineStr"/>
    </row>
    <row r="707">
      <c r="A707" s="2" t="n">
        <v>706</v>
      </c>
      <c r="B707" s="2" t="inlineStr">
        <is>
          <t>656C-2</t>
        </is>
      </c>
      <c r="C707" s="3" t="n">
        <v>45966.73819444444</v>
      </c>
      <c r="D707" s="2" t="inlineStr">
        <is>
          <t>Original</t>
        </is>
      </c>
      <c r="E707" s="2" t="inlineStr">
        <is>
          <t>IL</t>
        </is>
      </c>
      <c r="F707" s="2" t="inlineStr">
        <is>
          <t>Angélique Da Teresa; Carlos Guimarães Pinto; Joana Cordeiro; Jorge Miguel Teixeira; Mariana Leitão; Mário Amorim Lopes; Miguel Rangel; Rodrigo Saraiva; Rui Rocha</t>
        </is>
      </c>
      <c r="G707" s="2" t="inlineStr">
        <is>
          <t>Art. 60.º (aditamento)</t>
        </is>
      </c>
      <c r="H707" s="2" t="n"/>
      <c r="I707" s="2" t="n"/>
      <c r="J707" s="2" t="n"/>
      <c r="K707" s="2" t="n"/>
      <c r="L707" s="2" t="inlineStr">
        <is>
          <t>N.º 14, N.º 15, N.º 16, Artigo 101.º do Código do IRS</t>
        </is>
      </c>
      <c r="M707" s="4" t="n"/>
      <c r="N707" s="4" t="n"/>
      <c r="O707" s="2" t="n"/>
      <c r="P707" s="2" t="n"/>
      <c r="Q707" s="2" t="n"/>
      <c r="R707" s="2" t="n"/>
      <c r="S707" s="2" t="inlineStr">
        <is>
          <t>Rejeitado(a) em Comissão</t>
        </is>
      </c>
      <c r="T707" s="2" t="inlineStr">
        <is>
          <t>Rejeitada</t>
        </is>
      </c>
      <c r="U707" s="2" t="inlineStr">
        <is>
          <t>Favor: CH, IL, PAN; Contra: PSD, PS, PCP, CDS-PP, BE; Abstenção: L</t>
        </is>
      </c>
      <c r="V707" s="3" t="n">
        <v>45981</v>
      </c>
      <c r="W707" s="2" t="inlineStr">
        <is>
          <t>AR: https://www.parlamento.pt/OrcamentoEstado/Paginas/DetalhePropostaAlteracao.aspx?BID=24028 PDF: https://app.parlamento.pt/webutils/docs/doc.pdf?path=6148523063484d364c793942556b356c6443397a6158526c63793959566b6c4a544556484c3039464c7a49774d6a59794d4449314d5441774f5339515153396b4d5441794d54646c5a4330774d6a45344c5451304f546b745957526c4d79316d4e544a684d6a6730597a4178596d49756347526d&amp;Fich=d10217ed-0218-4499-ade3-f52a284c01bb.pdf&amp;Inline=true</t>
        </is>
      </c>
      <c r="X707" s="2" t="inlineStr">
        <is>
          <t>Orçamento, Finanças e Administração Pública</t>
        </is>
      </c>
      <c r="Y707" s="2" t="inlineStr">
        <is>
          <t>Articulado</t>
        </is>
      </c>
      <c r="Z707" s="2" t="inlineStr">
        <is>
          <t>Aditamento (Números e Alíneas)</t>
        </is>
      </c>
      <c r="AA707" s="2" t="inlineStr">
        <is>
          <t>Rejeitado(a) em Comissão</t>
        </is>
      </c>
      <c r="AB707" s="2" t="inlineStr"/>
      <c r="AC707" s="2" t="inlineStr">
        <is>
          <t>2</t>
        </is>
      </c>
      <c r="AD707" s="2" t="inlineStr">
        <is>
          <t>1</t>
        </is>
      </c>
      <c r="AE707" s="2" t="inlineStr">
        <is>
          <t>24028</t>
        </is>
      </c>
      <c r="AF707" s="2" t="inlineStr">
        <is>
          <t>https://www.parlamento.pt/OrcamentoEstado/Paginas/DetalhePropostaAlteracao.aspx?BID=24028</t>
        </is>
      </c>
      <c r="AG707" s="2" t="inlineStr">
        <is>
          <t>https://app.parlamento.pt/webutils/docs/doc.pdf?path=6148523063484d364c793942556b356c6443397a6158526c63793959566b6c4a544556484c3039464c7a49774d6a59794d4449314d5441774f5339515153396b4d5441794d54646c5a4330774d6a45344c5451304f546b745957526c4d79316d4e544a684d6a6730597a4178596d49756347526d&amp;Fich=d10217ed-0218-4499-ade3-f52a284c01bb.pdf&amp;Inline=true</t>
        </is>
      </c>
      <c r="AH707" s="3" t="n">
        <v>46321.77847222222</v>
      </c>
      <c r="AI707" s="3" t="n">
        <v>46321.78055555555</v>
      </c>
      <c r="AJ707" s="2" t="inlineStr"/>
    </row>
    <row r="708">
      <c r="A708" s="2" t="n">
        <v>707</v>
      </c>
      <c r="B708" s="2" t="inlineStr">
        <is>
          <t>657C</t>
        </is>
      </c>
      <c r="C708" s="3" t="n">
        <v>45966.73958333334</v>
      </c>
      <c r="D708" s="2" t="inlineStr">
        <is>
          <t>Original</t>
        </is>
      </c>
      <c r="E708" s="2" t="inlineStr">
        <is>
          <t>L</t>
        </is>
      </c>
      <c r="F708" s="2" t="inlineStr">
        <is>
          <t>Filipa Pinto; Isabel Mendes Lopes; Jorge Pinto; Patrícia Gonçalves; Paulo Muacho; Rui Tavares</t>
        </is>
      </c>
      <c r="G708" s="2" t="inlineStr">
        <is>
          <t>Art. 126.º-A (aditamento)</t>
        </is>
      </c>
      <c r="H708" s="2" t="n"/>
      <c r="I708" s="2" t="n"/>
      <c r="J708" s="2" t="n"/>
      <c r="K708" s="2" t="n"/>
      <c r="L708" s="2" t="inlineStr">
        <is>
          <t>Artigo 126.º-A (Combate ao Ruído Ambiente)</t>
        </is>
      </c>
      <c r="M708" s="4" t="n"/>
      <c r="N708" s="4" t="n"/>
      <c r="O708" s="2" t="n"/>
      <c r="P708" s="2" t="n"/>
      <c r="Q708" s="2" t="n"/>
      <c r="R708" s="2" t="n"/>
      <c r="S708" s="2" t="inlineStr">
        <is>
          <t>Rejeitado(a) em Comissão</t>
        </is>
      </c>
      <c r="T708" s="2" t="inlineStr">
        <is>
          <t>Rejeitada</t>
        </is>
      </c>
      <c r="U708" s="2" t="inlineStr">
        <is>
          <t>Favor: L, PCP, BE, PAN; Contra: PSD, CH, CDS-PP; Abstenção: PS, IL</t>
        </is>
      </c>
      <c r="V708" s="3" t="n">
        <v>45985</v>
      </c>
      <c r="W708" s="2" t="inlineStr">
        <is>
          <t>AR: https://www.parlamento.pt/OrcamentoEstado/Paginas/DetalhePropostaAlteracao.aspx?BID=23883 PDF: https://app.parlamento.pt/webutils/docs/doc.pdf?path=6148523063484d364c793942556b356c6443397a6158526c63793959566b6c4a544556484c3039464c7a49774d6a59794d4449314d5441774f5339515153396a4d7a5669596a4e6c4e79316b4d445a684c54526a4d7a6374596a4d34595330794d6d56694d444e694e4445354d6a4d756347526d&amp;Fich=c35bb3e7-d06a-4c37-b38a-22eb03b41923.pdf&amp;Inline=true</t>
        </is>
      </c>
      <c r="X708" s="2" t="inlineStr">
        <is>
          <t>Ambiente e Energia</t>
        </is>
      </c>
      <c r="Y708" s="2" t="inlineStr">
        <is>
          <t>Articulado</t>
        </is>
      </c>
      <c r="Z708" s="2" t="inlineStr">
        <is>
          <t>Aditamento (Artigo PPL)</t>
        </is>
      </c>
      <c r="AA708" s="2" t="inlineStr">
        <is>
          <t>Rejeitado(a) em Comissão</t>
        </is>
      </c>
      <c r="AB708" s="2" t="inlineStr"/>
      <c r="AC708" s="2" t="inlineStr"/>
      <c r="AD708" s="2" t="inlineStr">
        <is>
          <t>1</t>
        </is>
      </c>
      <c r="AE708" s="2" t="inlineStr">
        <is>
          <t>23883</t>
        </is>
      </c>
      <c r="AF708" s="2" t="inlineStr">
        <is>
          <t>https://www.parlamento.pt/OrcamentoEstado/Paginas/DetalhePropostaAlteracao.aspx?BID=23883</t>
        </is>
      </c>
      <c r="AG708" s="2" t="inlineStr">
        <is>
          <t>https://app.parlamento.pt/webutils/docs/doc.pdf?path=6148523063484d364c793942556b356c6443397a6158526c63793959566b6c4a544556484c3039464c7a49774d6a59794d4449314d5441774f5339515153396a4d7a5669596a4e6c4e79316b4d445a684c54526a4d7a6374596a4d34595330794d6d56694d444e694e4445354d6a4d756347526d&amp;Fich=c35bb3e7-d06a-4c37-b38a-22eb03b41923.pdf&amp;Inline=true</t>
        </is>
      </c>
      <c r="AH708" s="3" t="n">
        <v>46321.77847222222</v>
      </c>
      <c r="AI708" s="3" t="n">
        <v>46321.78055555555</v>
      </c>
      <c r="AJ708" s="2" t="inlineStr"/>
    </row>
    <row r="709">
      <c r="A709" s="2" t="n">
        <v>708</v>
      </c>
      <c r="B709" s="2" t="inlineStr">
        <is>
          <t>658C</t>
        </is>
      </c>
      <c r="C709" s="3" t="n">
        <v>45966.74097222222</v>
      </c>
      <c r="D709" s="2" t="inlineStr">
        <is>
          <t>Original</t>
        </is>
      </c>
      <c r="E709" s="2" t="inlineStr">
        <is>
          <t>IL</t>
        </is>
      </c>
      <c r="F709" s="2" t="inlineStr">
        <is>
          <t>Angélique Da Teresa; Carlos Guimarães Pinto; Joana Cordeiro; Jorge Miguel Teixeira; Mariana Leitão; Mário Amorim Lopes; Miguel Rangel; Rodrigo Saraiva; Rui Rocha</t>
        </is>
      </c>
      <c r="G709" s="2" t="inlineStr">
        <is>
          <t>Art. 138.º (aditamento)</t>
        </is>
      </c>
      <c r="H709" s="2" t="n"/>
      <c r="I709" s="2" t="n"/>
      <c r="J709" s="2" t="n"/>
      <c r="K709" s="2" t="n"/>
      <c r="L709" s="2" t="inlineStr">
        <is>
          <t>Alínea c), Artigo 138.º</t>
        </is>
      </c>
      <c r="M709" s="4" t="n"/>
      <c r="N709" s="4" t="n"/>
      <c r="O709" s="2" t="n"/>
      <c r="P709" s="2" t="n"/>
      <c r="Q709" s="2" t="n"/>
      <c r="R709" s="2" t="n"/>
      <c r="S709" s="2" t="inlineStr">
        <is>
          <t>Rejeitado(a) em Comissão</t>
        </is>
      </c>
      <c r="T709" s="2" t="inlineStr">
        <is>
          <t>Rejeitada</t>
        </is>
      </c>
      <c r="U709" s="2" t="inlineStr">
        <is>
          <t>Favor: CH, IL, PAN; Contra: PSD, PS, L, PCP, CDS-PP, BE</t>
        </is>
      </c>
      <c r="V709" s="3" t="n">
        <v>45987</v>
      </c>
      <c r="W709" s="2" t="inlineStr">
        <is>
          <t>AR: https://www.parlamento.pt/OrcamentoEstado/Paginas/DetalhePropostaAlteracao.aspx?BID=23884 PDF: https://app.parlamento.pt/webutils/docs/doc.pdf?path=6148523063484d364c793942556b356c6443397a6158526c63793959566b6c4a544556484c3039464c7a49774d6a59794d4449314d5441774f5339515153387a5a6a64684d6d59785a53316a4e6d566b4c545131596a5574596a686b597930304d446779595455794f54566d4e3245756347526d&amp;Fich=3f7a2f1e-c6ed-45b5-b8dc-4082a5295f7a.pdf&amp;Inline=true</t>
        </is>
      </c>
      <c r="X709" s="2" t="inlineStr">
        <is>
          <t>Orçamento, Finanças e Administração Pública</t>
        </is>
      </c>
      <c r="Y709" s="2" t="inlineStr">
        <is>
          <t>Articulado</t>
        </is>
      </c>
      <c r="Z709" s="2" t="inlineStr">
        <is>
          <t>Aditamento (Números e Alíneas)</t>
        </is>
      </c>
      <c r="AA709" s="2" t="inlineStr">
        <is>
          <t>Rejeitado(a) em Comissão</t>
        </is>
      </c>
      <c r="AB709" s="2" t="inlineStr"/>
      <c r="AC709" s="2" t="inlineStr"/>
      <c r="AD709" s="2" t="inlineStr">
        <is>
          <t>1</t>
        </is>
      </c>
      <c r="AE709" s="2" t="inlineStr">
        <is>
          <t>23884</t>
        </is>
      </c>
      <c r="AF709" s="2" t="inlineStr">
        <is>
          <t>https://www.parlamento.pt/OrcamentoEstado/Paginas/DetalhePropostaAlteracao.aspx?BID=23884</t>
        </is>
      </c>
      <c r="AG709" s="2" t="inlineStr">
        <is>
          <t>https://app.parlamento.pt/webutils/docs/doc.pdf?path=6148523063484d364c793942556b356c6443397a6158526c63793959566b6c4a544556484c3039464c7a49774d6a59794d4449314d5441774f5339515153387a5a6a64684d6d59785a53316a4e6d566b4c545131596a5574596a686b597930304d446779595455794f54566d4e3245756347526d&amp;Fich=3f7a2f1e-c6ed-45b5-b8dc-4082a5295f7a.pdf&amp;Inline=true</t>
        </is>
      </c>
      <c r="AH709" s="3" t="n">
        <v>46321.77847222222</v>
      </c>
      <c r="AI709" s="3" t="n">
        <v>46321.78055555555</v>
      </c>
      <c r="AJ709" s="2" t="inlineStr"/>
    </row>
    <row r="710">
      <c r="A710" s="2" t="n">
        <v>709</v>
      </c>
      <c r="B710" s="2" t="inlineStr">
        <is>
          <t>659C</t>
        </is>
      </c>
      <c r="C710" s="3" t="n">
        <v>45966.74166666667</v>
      </c>
      <c r="D710" s="2" t="inlineStr">
        <is>
          <t>Original</t>
        </is>
      </c>
      <c r="E710" s="2" t="inlineStr">
        <is>
          <t>L</t>
        </is>
      </c>
      <c r="F710" s="2" t="inlineStr">
        <is>
          <t>Filipa Pinto; Isabel Mendes Lopes; Jorge Pinto; Patrícia Gonçalves; Paulo Muacho; Rui Tavares</t>
        </is>
      </c>
      <c r="G710" s="2" t="inlineStr">
        <is>
          <t>Art. 7.º (aditamento)</t>
        </is>
      </c>
      <c r="H710" s="2" t="n"/>
      <c r="I710" s="2" t="n"/>
      <c r="J710" s="2" t="n"/>
      <c r="K710" s="2" t="n"/>
      <c r="L710" s="2" t="inlineStr">
        <is>
          <t>Nova Verba 31, Mapa de alterações e transferências orçamentais, Artigo 7.º</t>
        </is>
      </c>
      <c r="M710" s="4" t="n"/>
      <c r="N710" s="4" t="n"/>
      <c r="O710" s="2" t="n"/>
      <c r="P710" s="2" t="n"/>
      <c r="Q710" s="2" t="n"/>
      <c r="R710" s="2" t="n"/>
      <c r="S710" s="2" t="inlineStr">
        <is>
          <t>Rejeitado(a) em Comissão</t>
        </is>
      </c>
      <c r="T710" s="2" t="inlineStr">
        <is>
          <t>Rejeitada</t>
        </is>
      </c>
      <c r="U710" s="2" t="inlineStr">
        <is>
          <t>Favor: L, BE, PAN; Contra: PSD, CH, IL, CDS-PP; Abstenção: PS, PCP</t>
        </is>
      </c>
      <c r="V710" s="3" t="n">
        <v>45987</v>
      </c>
      <c r="W710" s="2" t="inlineStr">
        <is>
          <t>AR: https://www.parlamento.pt/OrcamentoEstado/Paginas/DetalhePropostaAlteracao.aspx?BID=23885 PDF: https://app.parlamento.pt/webutils/docs/doc.pdf?path=6148523063484d364c793942556b356c6443397a6158526c63793959566b6c4a544556484c3039464c7a49774d6a59794d4449314d5441774f5339515153387a597a4179597a59784d53316c4d7a557a4c5452684d7a5574595451784d79307a596a646b4d44677759325534595467756347526d&amp;Fich=3c02c611-e353-4a35-a413-3b7d080ce8a8.pdf&amp;Inline=true</t>
        </is>
      </c>
      <c r="X710" s="2" t="inlineStr">
        <is>
          <t>Ambiente e Energia</t>
        </is>
      </c>
      <c r="Y710" s="2" t="inlineStr">
        <is>
          <t>Mapas</t>
        </is>
      </c>
      <c r="Z710" s="2" t="inlineStr">
        <is>
          <t>Aditamento (Números e Alíneas)</t>
        </is>
      </c>
      <c r="AA710" s="2" t="inlineStr">
        <is>
          <t>Rejeitado(a) em Comissão</t>
        </is>
      </c>
      <c r="AB710" s="2" t="inlineStr"/>
      <c r="AC710" s="2" t="inlineStr"/>
      <c r="AD710" s="2" t="inlineStr">
        <is>
          <t>1</t>
        </is>
      </c>
      <c r="AE710" s="2" t="inlineStr">
        <is>
          <t>23885</t>
        </is>
      </c>
      <c r="AF710" s="2" t="inlineStr">
        <is>
          <t>https://www.parlamento.pt/OrcamentoEstado/Paginas/DetalhePropostaAlteracao.aspx?BID=23885</t>
        </is>
      </c>
      <c r="AG710" s="2" t="inlineStr">
        <is>
          <t>https://app.parlamento.pt/webutils/docs/doc.pdf?path=6148523063484d364c793942556b356c6443397a6158526c63793959566b6c4a544556484c3039464c7a49774d6a59794d4449314d5441774f5339515153387a597a4179597a59784d53316c4d7a557a4c5452684d7a5574595451784d79307a596a646b4d44677759325534595467756347526d&amp;Fich=3c02c611-e353-4a35-a413-3b7d080ce8a8.pdf&amp;Inline=true</t>
        </is>
      </c>
      <c r="AH710" s="3" t="n">
        <v>46321.77847222222</v>
      </c>
      <c r="AI710" s="3" t="n">
        <v>46321.78055555555</v>
      </c>
      <c r="AJ710" s="2" t="inlineStr"/>
    </row>
    <row r="711">
      <c r="A711" s="2" t="n">
        <v>710</v>
      </c>
      <c r="B711" s="2" t="inlineStr">
        <is>
          <t>660C</t>
        </is>
      </c>
      <c r="C711" s="3" t="n">
        <v>45966.74583333333</v>
      </c>
      <c r="D711" s="2" t="inlineStr">
        <is>
          <t>Original</t>
        </is>
      </c>
      <c r="E711" s="2" t="inlineStr">
        <is>
          <t>L</t>
        </is>
      </c>
      <c r="F711" s="2" t="inlineStr">
        <is>
          <t>Filipa Pinto; Isabel Mendes Lopes; Jorge Pinto; Patrícia Gonçalves; Paulo Muacho; Rui Tavares</t>
        </is>
      </c>
      <c r="G711" s="2" t="inlineStr">
        <is>
          <t>Art. 127.º-A (aditamento)</t>
        </is>
      </c>
      <c r="H711" s="2" t="n"/>
      <c r="I711" s="2" t="n"/>
      <c r="J711" s="2" t="n"/>
      <c r="K711" s="2" t="n"/>
      <c r="L711" s="2" t="inlineStr">
        <is>
          <t>Artigo 127.º-A (Comissão de Coordenação da Rede Nacional de Áreas Marinhas Protegidas)</t>
        </is>
      </c>
      <c r="M711" s="4" t="n"/>
      <c r="N711" s="4" t="n"/>
      <c r="O711" s="2" t="n"/>
      <c r="P711" s="2" t="n"/>
      <c r="Q711" s="2" t="n"/>
      <c r="R711" s="2" t="n"/>
      <c r="S711" s="2" t="inlineStr">
        <is>
          <t>Rejeitado(a) em Comissão</t>
        </is>
      </c>
      <c r="T711" s="2" t="inlineStr">
        <is>
          <t>Rejeitada</t>
        </is>
      </c>
      <c r="U711" s="2" t="inlineStr">
        <is>
          <t>Favor: L, BE, PAN; Contra: PSD, CH, IL, CDS-PP; Abstenção: PS, PCP</t>
        </is>
      </c>
      <c r="V711" s="3" t="n">
        <v>45985</v>
      </c>
      <c r="W711" s="2" t="inlineStr">
        <is>
          <t>AR: https://www.parlamento.pt/OrcamentoEstado/Paginas/DetalhePropostaAlteracao.aspx?BID=23886 PDF: https://app.parlamento.pt/webutils/docs/doc.pdf?path=6148523063484d364c793942556b356c6443397a6158526c63793959566b6c4a544556484c3039464c7a49774d6a59794d4449314d5441774f533951515338325a444d784d7a51794e6930344e7a4e6a4c5451784d574d74595455774d7930314f57526c4d5445344e4745774f574d756347526d&amp;Fich=6d313426-873c-411c-a503-59de1184a09c.pdf&amp;Inline=true</t>
        </is>
      </c>
      <c r="X711" s="2" t="inlineStr">
        <is>
          <t>Ambiente e Energia</t>
        </is>
      </c>
      <c r="Y711" s="2" t="inlineStr">
        <is>
          <t>Articulado</t>
        </is>
      </c>
      <c r="Z711" s="2" t="inlineStr">
        <is>
          <t>Aditamento (Artigo PPL)</t>
        </is>
      </c>
      <c r="AA711" s="2" t="inlineStr">
        <is>
          <t>Rejeitado(a) em Comissão</t>
        </is>
      </c>
      <c r="AB711" s="2" t="inlineStr"/>
      <c r="AC711" s="2" t="inlineStr"/>
      <c r="AD711" s="2" t="inlineStr">
        <is>
          <t>1</t>
        </is>
      </c>
      <c r="AE711" s="2" t="inlineStr">
        <is>
          <t>23886</t>
        </is>
      </c>
      <c r="AF711" s="2" t="inlineStr">
        <is>
          <t>https://www.parlamento.pt/OrcamentoEstado/Paginas/DetalhePropostaAlteracao.aspx?BID=23886</t>
        </is>
      </c>
      <c r="AG711" s="2" t="inlineStr">
        <is>
          <t>https://app.parlamento.pt/webutils/docs/doc.pdf?path=6148523063484d364c793942556b356c6443397a6158526c63793959566b6c4a544556484c3039464c7a49774d6a59794d4449314d5441774f533951515338325a444d784d7a51794e6930344e7a4e6a4c5451784d574d74595455774d7930314f57526c4d5445344e4745774f574d756347526d&amp;Fich=6d313426-873c-411c-a503-59de1184a09c.pdf&amp;Inline=true</t>
        </is>
      </c>
      <c r="AH711" s="3" t="n">
        <v>46321.77847222222</v>
      </c>
      <c r="AI711" s="3" t="n">
        <v>46321.78055555555</v>
      </c>
      <c r="AJ711" s="2" t="inlineStr"/>
    </row>
    <row r="712">
      <c r="A712" s="2" t="n">
        <v>711</v>
      </c>
      <c r="B712" s="2" t="inlineStr">
        <is>
          <t>661C</t>
        </is>
      </c>
      <c r="C712" s="3" t="n">
        <v>45966.74930555555</v>
      </c>
      <c r="D712" s="2" t="inlineStr">
        <is>
          <t>Original</t>
        </is>
      </c>
      <c r="E712" s="2" t="inlineStr">
        <is>
          <t>L</t>
        </is>
      </c>
      <c r="F712" s="2" t="inlineStr">
        <is>
          <t>Filipa Pinto; Isabel Mendes Lopes; Jorge Pinto; Patrícia Gonçalves; Paulo Muacho; Rui Tavares</t>
        </is>
      </c>
      <c r="G712" s="2" t="inlineStr">
        <is>
          <t>Art. 112.º-A (aditamento)</t>
        </is>
      </c>
      <c r="H712" s="2" t="n"/>
      <c r="I712" s="2" t="n"/>
      <c r="J712" s="2" t="n"/>
      <c r="K712" s="2" t="n"/>
      <c r="L712" s="2" t="inlineStr">
        <is>
          <t>Artigo 112.º-A (Atualização dos patamares de financiamento do programa de apoio sustentado da DG Artes)</t>
        </is>
      </c>
      <c r="M712" s="4" t="n"/>
      <c r="N712" s="4" t="n"/>
      <c r="O712" s="2" t="n"/>
      <c r="P712" s="2" t="n"/>
      <c r="Q712" s="2" t="n"/>
      <c r="R712" s="2" t="n"/>
      <c r="S712" s="2" t="inlineStr">
        <is>
          <t>Rejeitado(a) em Comissão</t>
        </is>
      </c>
      <c r="T712" s="2" t="inlineStr">
        <is>
          <t>Rejeitada</t>
        </is>
      </c>
      <c r="U712" s="2" t="inlineStr">
        <is>
          <t>Favor: L, PCP, BE, PAN; Contra: PSD, CH, IL, CDS-PP; Abstenção: PS</t>
        </is>
      </c>
      <c r="V712" s="3" t="n">
        <v>45982</v>
      </c>
      <c r="W712" s="2" t="inlineStr">
        <is>
          <t>AR: https://www.parlamento.pt/OrcamentoEstado/Paginas/DetalhePropostaAlteracao.aspx?BID=23887 PDF: https://app.parlamento.pt/webutils/docs/doc.pdf?path=6148523063484d364c793942556b356c6443397a6158526c63793959566b6c4a544556484c3039464c7a49774d6a59794d4449314d5441774f533951515339695a444d784f47566b5a5330315932466d4c54526a59545574595455354d4330774e6a49794f4459305a6d4a6b596a49756347526d&amp;Fich=bd318ede-5caf-4ca5-a590-0622864fbdb2.pdf&amp;Inline=true</t>
        </is>
      </c>
      <c r="X712" s="2" t="inlineStr">
        <is>
          <t>Cultura, Comunicação, Juventude e Desporto</t>
        </is>
      </c>
      <c r="Y712" s="2" t="inlineStr">
        <is>
          <t>Articulado</t>
        </is>
      </c>
      <c r="Z712" s="2" t="inlineStr">
        <is>
          <t>Aditamento (Artigo PPL)</t>
        </is>
      </c>
      <c r="AA712" s="2" t="inlineStr">
        <is>
          <t>Rejeitado(a) em Comissão</t>
        </is>
      </c>
      <c r="AB712" s="2" t="inlineStr"/>
      <c r="AC712" s="2" t="inlineStr"/>
      <c r="AD712" s="2" t="inlineStr">
        <is>
          <t>1</t>
        </is>
      </c>
      <c r="AE712" s="2" t="inlineStr">
        <is>
          <t>23887</t>
        </is>
      </c>
      <c r="AF712" s="2" t="inlineStr">
        <is>
          <t>https://www.parlamento.pt/OrcamentoEstado/Paginas/DetalhePropostaAlteracao.aspx?BID=23887</t>
        </is>
      </c>
      <c r="AG712" s="2" t="inlineStr">
        <is>
          <t>https://app.parlamento.pt/webutils/docs/doc.pdf?path=6148523063484d364c793942556b356c6443397a6158526c63793959566b6c4a544556484c3039464c7a49774d6a59794d4449314d5441774f533951515339695a444d784f47566b5a5330315932466d4c54526a59545574595455354d4330774e6a49794f4459305a6d4a6b596a49756347526d&amp;Fich=bd318ede-5caf-4ca5-a590-0622864fbdb2.pdf&amp;Inline=true</t>
        </is>
      </c>
      <c r="AH712" s="3" t="n">
        <v>46321.77847222222</v>
      </c>
      <c r="AI712" s="3" t="n">
        <v>46321.78055555555</v>
      </c>
      <c r="AJ712" s="2" t="inlineStr"/>
    </row>
    <row r="713">
      <c r="A713" s="2" t="n">
        <v>712</v>
      </c>
      <c r="B713" s="2" t="inlineStr">
        <is>
          <t>662C-1</t>
        </is>
      </c>
      <c r="C713" s="3" t="n">
        <v>45966.74930555555</v>
      </c>
      <c r="D713" s="2" t="inlineStr">
        <is>
          <t>Original</t>
        </is>
      </c>
      <c r="E713" s="2" t="inlineStr">
        <is>
          <t>IL</t>
        </is>
      </c>
      <c r="F713" s="2" t="inlineStr">
        <is>
          <t>Angélique Da Teresa; Carlos Guimarães Pinto; Joana Cordeiro; Jorge Miguel Teixeira; Mariana Leitão; Mário Amorim Lopes; Miguel Rangel; Rodrigo Saraiva; Rui Rocha</t>
        </is>
      </c>
      <c r="G713" s="2" t="inlineStr">
        <is>
          <t>Art. 38.º-A (aditamento)</t>
        </is>
      </c>
      <c r="H713" s="2" t="n"/>
      <c r="I713" s="2" t="n"/>
      <c r="J713" s="2" t="n"/>
      <c r="K713" s="2" t="n"/>
      <c r="L713" s="2" t="inlineStr">
        <is>
          <t>Artigo 38.º-A (Alteração ao Código dos Regimes Contributivos do Sistema Previdencial de Segurança Social)</t>
        </is>
      </c>
      <c r="M713" s="4" t="n"/>
      <c r="N713" s="4" t="n"/>
      <c r="O713" s="2" t="n"/>
      <c r="P713" s="2" t="n"/>
      <c r="Q713" s="2" t="n"/>
      <c r="R713" s="2" t="n"/>
      <c r="S713" s="2" t="inlineStr">
        <is>
          <t>Rejeitado(a) em Comissão</t>
        </is>
      </c>
      <c r="T713" s="2" t="inlineStr">
        <is>
          <t>Rejeitada</t>
        </is>
      </c>
      <c r="U713" s="2" t="inlineStr">
        <is>
          <t>Favor: CH, IL; Contra: PSD, PS, L, PCP, CDS-PP, BE; Abstenção: PAN</t>
        </is>
      </c>
      <c r="V713" s="3" t="n">
        <v>45981</v>
      </c>
      <c r="W713" s="2" t="inlineStr">
        <is>
          <t>AR: https://www.parlamento.pt/OrcamentoEstado/Paginas/DetalhePropostaAlteracao.aspx?BID=23888 PDF: https://app.parlamento.pt/webutils/docs/doc.pdf?path=6148523063484d364c793942556b356c6443397a6158526c63793959566b6c4a544556484c3039464c7a49774d6a59794d4449314d5441774f5339515153387a4e6a4130595441314e43316d4d474e6c4c54526d597a63744f444d314e7930304d6a63324e32566a5a4455324d4451756347526d&amp;Fich=3604a054-f0ce-4fc7-8357-42767ecd5604.pdf&amp;Inline=true</t>
        </is>
      </c>
      <c r="X713" s="2" t="inlineStr">
        <is>
          <t>Orçamento, Finanças e Administração Pública; Trabalho, Segurança Social e Inclusão</t>
        </is>
      </c>
      <c r="Y713" s="2" t="inlineStr">
        <is>
          <t>Articulado</t>
        </is>
      </c>
      <c r="Z713" s="2" t="inlineStr">
        <is>
          <t>Aditamento (Artigo PPL)</t>
        </is>
      </c>
      <c r="AA713" s="2" t="inlineStr">
        <is>
          <t>Rejeitado(a) em Comissão</t>
        </is>
      </c>
      <c r="AB713" s="2" t="inlineStr"/>
      <c r="AC713" s="2" t="inlineStr">
        <is>
          <t>1</t>
        </is>
      </c>
      <c r="AD713" s="2" t="inlineStr">
        <is>
          <t>1</t>
        </is>
      </c>
      <c r="AE713" s="2" t="inlineStr">
        <is>
          <t>23888</t>
        </is>
      </c>
      <c r="AF713" s="2" t="inlineStr">
        <is>
          <t>https://www.parlamento.pt/OrcamentoEstado/Paginas/DetalhePropostaAlteracao.aspx?BID=23888</t>
        </is>
      </c>
      <c r="AG713" s="2" t="inlineStr">
        <is>
          <t>https://app.parlamento.pt/webutils/docs/doc.pdf?path=6148523063484d364c793942556b356c6443397a6158526c63793959566b6c4a544556484c3039464c7a49774d6a59794d4449314d5441774f5339515153387a4e6a4130595441314e43316d4d474e6c4c54526d597a63744f444d314e7930304d6a63324e32566a5a4455324d4451756347526d&amp;Fich=3604a054-f0ce-4fc7-8357-42767ecd5604.pdf&amp;Inline=true</t>
        </is>
      </c>
      <c r="AH713" s="3" t="n">
        <v>46321.77847222222</v>
      </c>
      <c r="AI713" s="3" t="n">
        <v>46321.78055555555</v>
      </c>
      <c r="AJ713" s="2" t="inlineStr"/>
    </row>
    <row r="714">
      <c r="A714" s="2" t="n">
        <v>713</v>
      </c>
      <c r="B714" s="2" t="inlineStr">
        <is>
          <t>662C-2</t>
        </is>
      </c>
      <c r="C714" s="3" t="n">
        <v>45966.74930555555</v>
      </c>
      <c r="D714" s="2" t="inlineStr">
        <is>
          <t>Original</t>
        </is>
      </c>
      <c r="E714" s="2" t="inlineStr">
        <is>
          <t>IL</t>
        </is>
      </c>
      <c r="F714" s="2" t="inlineStr">
        <is>
          <t>Angélique Da Teresa; Carlos Guimarães Pinto; Joana Cordeiro; Jorge Miguel Teixeira; Mariana Leitão; Mário Amorim Lopes; Miguel Rangel; Rodrigo Saraiva; Rui Rocha</t>
        </is>
      </c>
      <c r="G714" s="2" t="inlineStr">
        <is>
          <t>Art. 138.º (aditamento)</t>
        </is>
      </c>
      <c r="H714" s="2" t="n"/>
      <c r="I714" s="2" t="n"/>
      <c r="J714" s="2" t="n"/>
      <c r="K714" s="2" t="n"/>
      <c r="L714" s="2" t="inlineStr">
        <is>
          <t>Alínea c), Artigo 138.º</t>
        </is>
      </c>
      <c r="M714" s="4" t="n"/>
      <c r="N714" s="4" t="n"/>
      <c r="O714" s="2" t="n"/>
      <c r="P714" s="2" t="n"/>
      <c r="Q714" s="2" t="n"/>
      <c r="R714" s="2" t="n"/>
      <c r="S714" s="2" t="inlineStr">
        <is>
          <t>Rejeitado(a) em Comissão</t>
        </is>
      </c>
      <c r="T714" s="2" t="inlineStr">
        <is>
          <t>Rejeitada</t>
        </is>
      </c>
      <c r="U714" s="2" t="inlineStr">
        <is>
          <t>Favor: CH, IL, PAN; Contra: PSD, PS, L, PCP, CDS-PP, BE</t>
        </is>
      </c>
      <c r="V714" s="3" t="n">
        <v>45987</v>
      </c>
      <c r="W714" s="2" t="inlineStr">
        <is>
          <t>AR: https://www.parlamento.pt/OrcamentoEstado/Paginas/DetalhePropostaAlteracao.aspx?BID=24213 PDF: https://app.parlamento.pt/webutils/docs/doc.pdf?path=6148523063484d364c793942556b356c6443397a6158526c63793959566b6c4a544556484c3039464c7a49774d6a59794d4449314d5441774f5339515153396d597a67774f47466d5a4330785a6d59314c5452684d3245744f5441344d69316b4e5463354d6d466a597a646a596d55756347526d&amp;Fich=fc808afd-1ff5-4a3a-9082-d5792acc7cbe.pdf&amp;Inline=true</t>
        </is>
      </c>
      <c r="X714" s="2" t="inlineStr">
        <is>
          <t>Orçamento, Finanças e Administração Pública; Trabalho, Segurança Social e Inclusão</t>
        </is>
      </c>
      <c r="Y714" s="2" t="inlineStr">
        <is>
          <t>Articulado</t>
        </is>
      </c>
      <c r="Z714" s="2" t="inlineStr">
        <is>
          <t>Aditamento (Números e Alíneas)</t>
        </is>
      </c>
      <c r="AA714" s="2" t="inlineStr">
        <is>
          <t>Rejeitado(a) em Comissão</t>
        </is>
      </c>
      <c r="AB714" s="2" t="inlineStr"/>
      <c r="AC714" s="2" t="inlineStr">
        <is>
          <t>2</t>
        </is>
      </c>
      <c r="AD714" s="2" t="inlineStr">
        <is>
          <t>1</t>
        </is>
      </c>
      <c r="AE714" s="2" t="inlineStr">
        <is>
          <t>24213</t>
        </is>
      </c>
      <c r="AF714" s="2" t="inlineStr">
        <is>
          <t>https://www.parlamento.pt/OrcamentoEstado/Paginas/DetalhePropostaAlteracao.aspx?BID=24213</t>
        </is>
      </c>
      <c r="AG714" s="2" t="inlineStr">
        <is>
          <t>https://app.parlamento.pt/webutils/docs/doc.pdf?path=6148523063484d364c793942556b356c6443397a6158526c63793959566b6c4a544556484c3039464c7a49774d6a59794d4449314d5441774f5339515153396d597a67774f47466d5a4330785a6d59314c5452684d3245744f5441344d69316b4e5463354d6d466a597a646a596d55756347526d&amp;Fich=fc808afd-1ff5-4a3a-9082-d5792acc7cbe.pdf&amp;Inline=true</t>
        </is>
      </c>
      <c r="AH714" s="3" t="n">
        <v>46321.77847222222</v>
      </c>
      <c r="AI714" s="3" t="n">
        <v>46321.78055555555</v>
      </c>
      <c r="AJ714" s="2" t="inlineStr"/>
    </row>
    <row r="715">
      <c r="A715" s="2" t="n">
        <v>714</v>
      </c>
      <c r="B715" s="2" t="inlineStr">
        <is>
          <t>663C-1</t>
        </is>
      </c>
      <c r="C715" s="3" t="n">
        <v>45966.75277777778</v>
      </c>
      <c r="D715" s="2" t="inlineStr">
        <is>
          <t>Original</t>
        </is>
      </c>
      <c r="E715" s="2" t="inlineStr">
        <is>
          <t>IL</t>
        </is>
      </c>
      <c r="F715" s="2" t="inlineStr">
        <is>
          <t>Angélique Da Teresa; Carlos Guimarães Pinto; Joana Cordeiro; Jorge Miguel Teixeira; Mariana Leitão; Mário Amorim Lopes; Miguel Rangel; Rodrigo Saraiva; Rui Rocha</t>
        </is>
      </c>
      <c r="G715" s="2" t="inlineStr">
        <is>
          <t>Art. 75.º; Artigo 76.º (eliminação)</t>
        </is>
      </c>
      <c r="H715" s="2" t="n"/>
      <c r="I715" s="2" t="n"/>
      <c r="J715" s="2" t="n"/>
      <c r="K715" s="2" t="n"/>
      <c r="L715" s="2" t="inlineStr">
        <is>
          <t>Artigo 75.º, Artigo 76.º</t>
        </is>
      </c>
      <c r="M715" s="4" t="n"/>
      <c r="N715" s="4" t="n"/>
      <c r="O715" s="2" t="n"/>
      <c r="P715" s="2" t="n"/>
      <c r="Q715" s="2" t="n"/>
      <c r="R715" s="2" t="n"/>
      <c r="S715" s="2" t="inlineStr">
        <is>
          <t>Rejeitado(a) em Comissão</t>
        </is>
      </c>
      <c r="T715" s="2" t="inlineStr">
        <is>
          <t>Rejeitada</t>
        </is>
      </c>
      <c r="U715" s="2" t="inlineStr">
        <is>
          <t>Favor: IL, BE; Contra: PSD, CH, PS, L, PCP, CDS-PP, PAN</t>
        </is>
      </c>
      <c r="V715" s="3" t="n">
        <v>45982</v>
      </c>
      <c r="W715" s="2" t="inlineStr">
        <is>
          <t>AR: https://www.parlamento.pt/OrcamentoEstado/Paginas/DetalhePropostaAlteracao.aspx?BID=23889 PDF: https://app.parlamento.pt/webutils/docs/doc.pdf?path=6148523063484d364c793942556b356c6443397a6158526c63793959566b6c4a544556484c3039464c7a49774d6a59794d4449314d5441774f5339515153387a4d5745324f54686b5a43307a597a686c4c5451324e57457459546c6d5a6930784e7a67335a5449304e3255314e4751756347526d&amp;Fich=31a698dd-3c8e-465a-a9ff-1787e247e54d.pdf&amp;Inline=true</t>
        </is>
      </c>
      <c r="X715" s="2" t="inlineStr">
        <is>
          <t>Orçamento, Finanças e Administração Pública; Saúde</t>
        </is>
      </c>
      <c r="Y715" s="2" t="inlineStr">
        <is>
          <t>Articulado</t>
        </is>
      </c>
      <c r="Z715" s="2" t="inlineStr">
        <is>
          <t>Eliminação</t>
        </is>
      </c>
      <c r="AA715" s="2" t="inlineStr">
        <is>
          <t>Rejeitado(a) em Comissão</t>
        </is>
      </c>
      <c r="AB715" s="2" t="inlineStr"/>
      <c r="AC715" s="2" t="inlineStr">
        <is>
          <t>1</t>
        </is>
      </c>
      <c r="AD715" s="2" t="inlineStr">
        <is>
          <t>2</t>
        </is>
      </c>
      <c r="AE715" s="2" t="inlineStr">
        <is>
          <t>23889</t>
        </is>
      </c>
      <c r="AF715" s="2" t="inlineStr">
        <is>
          <t>https://www.parlamento.pt/OrcamentoEstado/Paginas/DetalhePropostaAlteracao.aspx?BID=23889</t>
        </is>
      </c>
      <c r="AG715" s="2" t="inlineStr">
        <is>
          <t>https://app.parlamento.pt/webutils/docs/doc.pdf?path=6148523063484d364c793942556b356c6443397a6158526c63793959566b6c4a544556484c3039464c7a49774d6a59794d4449314d5441774f5339515153387a4d5745324f54686b5a43307a597a686c4c5451324e57457459546c6d5a6930784e7a67335a5449304e3255314e4751756347526d&amp;Fich=31a698dd-3c8e-465a-a9ff-1787e247e54d.pdf&amp;Inline=true</t>
        </is>
      </c>
      <c r="AH715" s="3" t="n">
        <v>46321.77847222222</v>
      </c>
      <c r="AI715" s="3" t="n">
        <v>46321.78055555555</v>
      </c>
      <c r="AJ715" s="2" t="inlineStr"/>
    </row>
    <row r="716">
      <c r="A716" s="2" t="n">
        <v>715</v>
      </c>
      <c r="B716" s="2" t="inlineStr">
        <is>
          <t>663C-2</t>
        </is>
      </c>
      <c r="C716" s="3" t="n">
        <v>45966.75277777778</v>
      </c>
      <c r="D716" s="2" t="inlineStr">
        <is>
          <t>Original</t>
        </is>
      </c>
      <c r="E716" s="2" t="inlineStr">
        <is>
          <t>IL</t>
        </is>
      </c>
      <c r="F716" s="2" t="inlineStr">
        <is>
          <t>Angélique Da Teresa; Carlos Guimarães Pinto; Joana Cordeiro; Jorge Miguel Teixeira; Mariana Leitão; Mário Amorim Lopes; Miguel Rangel; Rodrigo Saraiva; Rui Rocha</t>
        </is>
      </c>
      <c r="G716" s="2" t="inlineStr">
        <is>
          <t>Art. 138.º (aditamento)</t>
        </is>
      </c>
      <c r="H716" s="2" t="n"/>
      <c r="I716" s="2" t="n"/>
      <c r="J716" s="2" t="n"/>
      <c r="K716" s="2" t="n"/>
      <c r="L716" s="2" t="inlineStr">
        <is>
          <t>Alínea c) e Alínea d) do Artigo.º 138</t>
        </is>
      </c>
      <c r="M716" s="4" t="n"/>
      <c r="N716" s="4" t="n"/>
      <c r="O716" s="2" t="n"/>
      <c r="P716" s="2" t="n"/>
      <c r="Q716" s="2" t="n"/>
      <c r="R716" s="2" t="n"/>
      <c r="S716" s="2" t="inlineStr">
        <is>
          <t>Rejeitado(a) em Comissão</t>
        </is>
      </c>
      <c r="T716" s="2" t="inlineStr">
        <is>
          <t>Rejeitada</t>
        </is>
      </c>
      <c r="U716" s="2" t="inlineStr">
        <is>
          <t>Favor: IL; Contra: PSD, CH, PS, L, PCP, CDS-PP, BE, PAN</t>
        </is>
      </c>
      <c r="V716" s="3" t="n">
        <v>45987</v>
      </c>
      <c r="W716" s="2" t="inlineStr">
        <is>
          <t>AR: https://www.parlamento.pt/OrcamentoEstado/Paginas/DetalhePropostaAlteracao.aspx?BID=24026 PDF: https://app.parlamento.pt/webutils/docs/doc.pdf?path=6148523063484d364c793942556b356c6443397a6158526c63793959566b6c4a544556484c3039464c7a49774d6a59794d4449314d5441774f5339515153396b4e47517959324d324f4330314d3249344c545179597a41744f54466c4d4330354d445977596a67784e6d4d30596d45756347526d&amp;Fich=d4d2cc68-53b8-42c0-91e0-9060b816c4ba.pdf&amp;Inline=true</t>
        </is>
      </c>
      <c r="X716" s="2" t="inlineStr">
        <is>
          <t>Orçamento, Finanças e Administração Pública; Saúde</t>
        </is>
      </c>
      <c r="Y716" s="2" t="inlineStr">
        <is>
          <t>Articulado</t>
        </is>
      </c>
      <c r="Z716" s="2" t="inlineStr">
        <is>
          <t>Aditamento (Números e Alíneas)</t>
        </is>
      </c>
      <c r="AA716" s="2" t="inlineStr">
        <is>
          <t>Rejeitado(a) em Comissão</t>
        </is>
      </c>
      <c r="AB716" s="2" t="inlineStr"/>
      <c r="AC716" s="2" t="inlineStr">
        <is>
          <t>2</t>
        </is>
      </c>
      <c r="AD716" s="2" t="inlineStr">
        <is>
          <t>1</t>
        </is>
      </c>
      <c r="AE716" s="2" t="inlineStr">
        <is>
          <t>24026</t>
        </is>
      </c>
      <c r="AF716" s="2" t="inlineStr">
        <is>
          <t>https://www.parlamento.pt/OrcamentoEstado/Paginas/DetalhePropostaAlteracao.aspx?BID=24026</t>
        </is>
      </c>
      <c r="AG716" s="2" t="inlineStr">
        <is>
          <t>https://app.parlamento.pt/webutils/docs/doc.pdf?path=6148523063484d364c793942556b356c6443397a6158526c63793959566b6c4a544556484c3039464c7a49774d6a59794d4449314d5441774f5339515153396b4e47517959324d324f4330314d3249344c545179597a41744f54466c4d4330354d445977596a67784e6d4d30596d45756347526d&amp;Fich=d4d2cc68-53b8-42c0-91e0-9060b816c4ba.pdf&amp;Inline=true</t>
        </is>
      </c>
      <c r="AH716" s="3" t="n">
        <v>46321.77847222222</v>
      </c>
      <c r="AI716" s="3" t="n">
        <v>46321.78055555555</v>
      </c>
      <c r="AJ716" s="2" t="inlineStr"/>
    </row>
    <row r="717">
      <c r="A717" s="2" t="n">
        <v>716</v>
      </c>
      <c r="B717" s="2" t="inlineStr">
        <is>
          <t>664C</t>
        </is>
      </c>
      <c r="C717" s="3" t="n">
        <v>45966.75555555556</v>
      </c>
      <c r="D717" s="2" t="inlineStr">
        <is>
          <t>Original</t>
        </is>
      </c>
      <c r="E717" s="2" t="inlineStr">
        <is>
          <t>IL</t>
        </is>
      </c>
      <c r="F717" s="2" t="inlineStr">
        <is>
          <t>Angélique Da Teresa; Carlos Guimarães Pinto; Joana Cordeiro; Jorge Miguel Teixeira; Mariana Leitão; Mário Amorim Lopes; Miguel Rangel; Rodrigo Saraiva; Rui Rocha</t>
        </is>
      </c>
      <c r="G717" s="2" t="inlineStr">
        <is>
          <t>Art. 138.º (aditamento)</t>
        </is>
      </c>
      <c r="H717" s="2" t="n"/>
      <c r="I717" s="2" t="n"/>
      <c r="J717" s="2" t="n"/>
      <c r="K717" s="2" t="n"/>
      <c r="L717" s="2" t="inlineStr">
        <is>
          <t>Alínea c), Artigo 138.º</t>
        </is>
      </c>
      <c r="M717" s="4" t="n"/>
      <c r="N717" s="4" t="n"/>
      <c r="O717" s="2" t="n"/>
      <c r="P717" s="2" t="n"/>
      <c r="Q717" s="2" t="n"/>
      <c r="R717" s="2" t="n"/>
      <c r="S717" s="2" t="inlineStr">
        <is>
          <t>Rejeitado(a) em Comissão</t>
        </is>
      </c>
      <c r="T717" s="2" t="inlineStr">
        <is>
          <t>Rejeitada</t>
        </is>
      </c>
      <c r="U717" s="2" t="inlineStr">
        <is>
          <t>Favor: CH, IL; Contra: PSD, L, PCP, CDS-PP, BE, PAN; Abstenção: PS</t>
        </is>
      </c>
      <c r="V717" s="3" t="n">
        <v>45987</v>
      </c>
      <c r="W717" s="2" t="inlineStr">
        <is>
          <t>AR: https://www.parlamento.pt/OrcamentoEstado/Paginas/DetalhePropostaAlteracao.aspx?BID=23890 PDF: https://app.parlamento.pt/webutils/docs/doc.pdf?path=6148523063484d364c793942556b356c6443397a6158526c63793959566b6c4a544556484c3039464c7a49774d6a59794d4449314d5441774f533951515338345a575533597a646c4d5331694e5467324c54526d4d6a4d744f47566b59693030597a63344d4452684d7a49335a6d59756347526d&amp;Fich=8ee7c7e1-b586-4f23-8edb-4c7804a327ff.pdf&amp;Inline=true</t>
        </is>
      </c>
      <c r="X717" s="2" t="inlineStr">
        <is>
          <t>Agricultura e Pescas; Orçamento, Finanças e Administração Pública</t>
        </is>
      </c>
      <c r="Y717" s="2" t="inlineStr">
        <is>
          <t>Articulado</t>
        </is>
      </c>
      <c r="Z717" s="2" t="inlineStr">
        <is>
          <t>Aditamento (Números e Alíneas)</t>
        </is>
      </c>
      <c r="AA717" s="2" t="inlineStr">
        <is>
          <t>Rejeitado(a) em Comissão</t>
        </is>
      </c>
      <c r="AB717" s="2" t="inlineStr"/>
      <c r="AC717" s="2" t="inlineStr"/>
      <c r="AD717" s="2" t="inlineStr">
        <is>
          <t>1</t>
        </is>
      </c>
      <c r="AE717" s="2" t="inlineStr">
        <is>
          <t>23890</t>
        </is>
      </c>
      <c r="AF717" s="2" t="inlineStr">
        <is>
          <t>https://www.parlamento.pt/OrcamentoEstado/Paginas/DetalhePropostaAlteracao.aspx?BID=23890</t>
        </is>
      </c>
      <c r="AG717" s="2" t="inlineStr">
        <is>
          <t>https://app.parlamento.pt/webutils/docs/doc.pdf?path=6148523063484d364c793942556b356c6443397a6158526c63793959566b6c4a544556484c3039464c7a49774d6a59794d4449314d5441774f533951515338345a575533597a646c4d5331694e5467324c54526d4d6a4d744f47566b59693030597a63344d4452684d7a49335a6d59756347526d&amp;Fich=8ee7c7e1-b586-4f23-8edb-4c7804a327ff.pdf&amp;Inline=true</t>
        </is>
      </c>
      <c r="AH717" s="3" t="n">
        <v>46321.77847222222</v>
      </c>
      <c r="AI717" s="3" t="n">
        <v>46321.78055555555</v>
      </c>
      <c r="AJ717" s="2" t="inlineStr"/>
    </row>
    <row r="718">
      <c r="A718" s="2" t="n">
        <v>717</v>
      </c>
      <c r="B718" s="2" t="inlineStr">
        <is>
          <t>665C</t>
        </is>
      </c>
      <c r="C718" s="3" t="n">
        <v>45966.75763888889</v>
      </c>
      <c r="D718" s="2" t="inlineStr">
        <is>
          <t>Original</t>
        </is>
      </c>
      <c r="E718" s="2" t="inlineStr">
        <is>
          <t>L</t>
        </is>
      </c>
      <c r="F718" s="2" t="inlineStr">
        <is>
          <t>Filipa Pinto; Isabel Mendes Lopes; Jorge Pinto; Patrícia Gonçalves; Paulo Muacho; Rui Tavares</t>
        </is>
      </c>
      <c r="G718" s="2" t="inlineStr">
        <is>
          <t>Art. 118.º-A (aditamento)</t>
        </is>
      </c>
      <c r="H718" s="2" t="n"/>
      <c r="I718" s="2" t="n"/>
      <c r="J718" s="2" t="n"/>
      <c r="K718" s="2" t="n"/>
      <c r="L718" s="2" t="inlineStr">
        <is>
          <t>Artigo 118.º-A (Rede das Casas da Criação)</t>
        </is>
      </c>
      <c r="M718" s="4" t="n"/>
      <c r="N718" s="4" t="n"/>
      <c r="O718" s="2" t="n"/>
      <c r="P718" s="2" t="n"/>
      <c r="Q718" s="2" t="n"/>
      <c r="R718" s="2" t="n"/>
      <c r="S718" s="2" t="inlineStr">
        <is>
          <t>Rejeitado(a) em Comissão</t>
        </is>
      </c>
      <c r="T718" s="2" t="inlineStr">
        <is>
          <t>Rejeitada</t>
        </is>
      </c>
      <c r="U718" s="2" t="inlineStr">
        <is>
          <t>Favor: PS, L, PCP, BE, PAN; Contra: PSD, CH, IL, CDS-PP</t>
        </is>
      </c>
      <c r="V718" s="3" t="n">
        <v>45985</v>
      </c>
      <c r="W718" s="2" t="inlineStr">
        <is>
          <t>AR: https://www.parlamento.pt/OrcamentoEstado/Paginas/DetalhePropostaAlteracao.aspx?BID=23891 PDF: https://app.parlamento.pt/webutils/docs/doc.pdf?path=6148523063484d364c793942556b356c6443397a6158526c63793959566b6c4a544556484c3039464c7a49774d6a59794d4449314d5441774f53395151533877595467345a544d30595331684e4455344c545135596a59744f5467794d6930334d544d774e6a63334f4759794e6a6b756347526d&amp;Fich=0a88e34a-a458-49b6-9822-71306778f269.pdf&amp;Inline=true</t>
        </is>
      </c>
      <c r="X718" s="2" t="inlineStr">
        <is>
          <t>Cultura, Comunicação, Juventude e Desporto</t>
        </is>
      </c>
      <c r="Y718" s="2" t="inlineStr">
        <is>
          <t>Articulado</t>
        </is>
      </c>
      <c r="Z718" s="2" t="inlineStr">
        <is>
          <t>Aditamento (Artigo PPL)</t>
        </is>
      </c>
      <c r="AA718" s="2" t="inlineStr">
        <is>
          <t>Rejeitado(a) em Comissão</t>
        </is>
      </c>
      <c r="AB718" s="2" t="inlineStr"/>
      <c r="AC718" s="2" t="inlineStr"/>
      <c r="AD718" s="2" t="inlineStr">
        <is>
          <t>1</t>
        </is>
      </c>
      <c r="AE718" s="2" t="inlineStr">
        <is>
          <t>23891</t>
        </is>
      </c>
      <c r="AF718" s="2" t="inlineStr">
        <is>
          <t>https://www.parlamento.pt/OrcamentoEstado/Paginas/DetalhePropostaAlteracao.aspx?BID=23891</t>
        </is>
      </c>
      <c r="AG718" s="2" t="inlineStr">
        <is>
          <t>https://app.parlamento.pt/webutils/docs/doc.pdf?path=6148523063484d364c793942556b356c6443397a6158526c63793959566b6c4a544556484c3039464c7a49774d6a59794d4449314d5441774f53395151533877595467345a544d30595331684e4455344c545135596a59744f5467794d6930334d544d774e6a63334f4759794e6a6b756347526d&amp;Fich=0a88e34a-a458-49b6-9822-71306778f269.pdf&amp;Inline=true</t>
        </is>
      </c>
      <c r="AH718" s="3" t="n">
        <v>46321.77847222222</v>
      </c>
      <c r="AI718" s="3" t="n">
        <v>46321.78055555555</v>
      </c>
      <c r="AJ718" s="2" t="inlineStr"/>
    </row>
    <row r="719">
      <c r="A719" s="2" t="n">
        <v>718</v>
      </c>
      <c r="B719" s="2" t="inlineStr">
        <is>
          <t>666C</t>
        </is>
      </c>
      <c r="C719" s="3" t="n">
        <v>45966.75763888889</v>
      </c>
      <c r="D719" s="2" t="inlineStr">
        <is>
          <t>Original</t>
        </is>
      </c>
      <c r="E719" s="2" t="inlineStr">
        <is>
          <t>IL</t>
        </is>
      </c>
      <c r="F719" s="2" t="inlineStr">
        <is>
          <t>Angélique Da Teresa; Carlos Guimarães Pinto; Joana Cordeiro; Jorge Miguel Teixeira; Mariana Leitão; Mário Amorim Lopes; Miguel Rangel; Rodrigo Saraiva; Rui Rocha</t>
        </is>
      </c>
      <c r="G719" s="2" t="inlineStr">
        <is>
          <t>Articulado</t>
        </is>
      </c>
      <c r="H719" s="2" t="n"/>
      <c r="I719" s="2" t="n"/>
      <c r="J719" s="2" t="n"/>
      <c r="K719" s="2" t="n"/>
      <c r="L719" s="2" t="inlineStr">
        <is>
          <t>Artigos 138.º - Revogação das taxas por emissão de títulos habilitadores cobradas pela ERC</t>
        </is>
      </c>
      <c r="M719" s="4" t="n"/>
      <c r="N719" s="4" t="n"/>
      <c r="O719" s="2" t="n"/>
      <c r="P719" s="2" t="n"/>
      <c r="Q719" s="2" t="n"/>
      <c r="R719" s="2" t="n"/>
      <c r="S719" s="2" t="inlineStr">
        <is>
          <t>Não Admitida</t>
        </is>
      </c>
      <c r="T719" s="2" t="inlineStr"/>
      <c r="U719" s="2" t="inlineStr"/>
      <c r="V719" s="3" t="n"/>
      <c r="W719" s="2" t="inlineStr">
        <is>
          <t>AR: https://www.parlamento.pt/OrcamentoEstado/Paginas/DetalhePropostaAlteracao.aspx?BID=23892 PDF: https://app.parlamento.pt/webutils/docs/doc.pdf?path=6148523063484d364c793942556b356c6443397a6158526c63793959566b6c4a544556484c3039464c7a49774d6a59794d4449314d5441774f533951515338774d6d4a6b5a4459784f5330794d4446684c54526d5a4751744f446c6c5a693078596d4d7a4d474d314d7a4d30595441756347526d&amp;Fich=02bdd619-201a-4fdd-89ef-1bc30c5334a0.pdf&amp;Inline=true</t>
        </is>
      </c>
      <c r="X719" s="2" t="inlineStr">
        <is>
          <t>Cultura, Comunicação, Juventude e Desporto; Orçamento, Finanças e Administração Pública</t>
        </is>
      </c>
      <c r="Y719" s="2" t="inlineStr">
        <is>
          <t>Articulado</t>
        </is>
      </c>
      <c r="Z719" s="2" t="inlineStr">
        <is>
          <t>Por Definir</t>
        </is>
      </c>
      <c r="AA719" s="2" t="inlineStr">
        <is>
          <t>Não Admitida</t>
        </is>
      </c>
      <c r="AB719" s="2" t="inlineStr"/>
      <c r="AC719" s="2" t="inlineStr"/>
      <c r="AD719" s="2" t="inlineStr">
        <is>
          <t>0</t>
        </is>
      </c>
      <c r="AE719" s="2" t="inlineStr">
        <is>
          <t>23892</t>
        </is>
      </c>
      <c r="AF719" s="2" t="inlineStr">
        <is>
          <t>https://www.parlamento.pt/OrcamentoEstado/Paginas/DetalhePropostaAlteracao.aspx?BID=23892</t>
        </is>
      </c>
      <c r="AG719" s="2" t="inlineStr">
        <is>
          <t>https://app.parlamento.pt/webutils/docs/doc.pdf?path=6148523063484d364c793942556b356c6443397a6158526c63793959566b6c4a544556484c3039464c7a49774d6a59794d4449314d5441774f533951515338774d6d4a6b5a4459784f5330794d4446684c54526d5a4751744f446c6c5a693078596d4d7a4d474d314d7a4d30595441756347526d&amp;Fich=02bdd619-201a-4fdd-89ef-1bc30c5334a0.pdf&amp;Inline=true</t>
        </is>
      </c>
      <c r="AH719" s="3" t="n">
        <v>46321.77847222222</v>
      </c>
      <c r="AI719" s="3" t="n">
        <v>46321.78055555555</v>
      </c>
      <c r="AJ719" s="2" t="inlineStr"/>
    </row>
    <row r="720">
      <c r="A720" s="2" t="n">
        <v>719</v>
      </c>
      <c r="B720" s="2" t="inlineStr">
        <is>
          <t>667C</t>
        </is>
      </c>
      <c r="C720" s="3" t="n">
        <v>45966.77361111111</v>
      </c>
      <c r="D720" s="2" t="inlineStr">
        <is>
          <t>Original</t>
        </is>
      </c>
      <c r="E720" s="2" t="inlineStr">
        <is>
          <t>IL</t>
        </is>
      </c>
      <c r="F720" s="2" t="inlineStr">
        <is>
          <t>Angélique Da Teresa; Carlos Guimarães Pinto; Joana Cordeiro; Jorge Miguel Teixeira; Mariana Leitão; Mário Amorim Lopes; Miguel Rangel; Rodrigo Saraiva; Rui Rocha</t>
        </is>
      </c>
      <c r="G720" s="2" t="inlineStr">
        <is>
          <t>Art. 60.º (substituição)</t>
        </is>
      </c>
      <c r="H720" s="2" t="n"/>
      <c r="I720" s="2" t="n"/>
      <c r="J720" s="2" t="n"/>
      <c r="K720" s="2" t="n"/>
      <c r="L720" s="2" t="inlineStr">
        <is>
          <t>Artigo 69.º do Código do IRS</t>
        </is>
      </c>
      <c r="M720" s="4" t="n"/>
      <c r="N720" s="4" t="n"/>
      <c r="O720" s="2" t="n"/>
      <c r="P720" s="2" t="n"/>
      <c r="Q720" s="2" t="n"/>
      <c r="R720" s="2" t="n"/>
      <c r="S720" s="2" t="inlineStr">
        <is>
          <t>Rejeitado(a) em Comissão</t>
        </is>
      </c>
      <c r="T720" s="2" t="inlineStr">
        <is>
          <t>Rejeitada</t>
        </is>
      </c>
      <c r="U720" s="2" t="inlineStr">
        <is>
          <t>Favor: CH, IL, CDS-PP, PAN; Contra: PSD, PS, L, PCP, BE</t>
        </is>
      </c>
      <c r="V720" s="3" t="n">
        <v>45981</v>
      </c>
      <c r="W720" s="2" t="inlineStr">
        <is>
          <t>AR: https://www.parlamento.pt/OrcamentoEstado/Paginas/DetalhePropostaAlteracao.aspx?BID=23893 PDF: https://app.parlamento.pt/webutils/docs/doc.pdf?path=6148523063484d364c793942556b356c6443397a6158526c63793959566b6c4a544556484c3039464c7a49774d6a59794d4449314d5441774f533951515338324e54686d596d46684d4330304d6d466c4c54526b4d32457459546b7a4f43316d4d444a6b597a4d344d5745345a6d4d756347526d&amp;Fich=658fbaa0-42ae-4d3a-a938-f02dc381a8fc.pdf&amp;Inline=true</t>
        </is>
      </c>
      <c r="X720" s="2" t="inlineStr">
        <is>
          <t>Orçamento, Finanças e Administração Pública</t>
        </is>
      </c>
      <c r="Y720" s="2" t="inlineStr">
        <is>
          <t>Articulado</t>
        </is>
      </c>
      <c r="Z720" s="2" t="inlineStr">
        <is>
          <t>Substituição</t>
        </is>
      </c>
      <c r="AA720" s="2" t="inlineStr">
        <is>
          <t>Rejeitado(a) em Comissão</t>
        </is>
      </c>
      <c r="AB720" s="2" t="inlineStr"/>
      <c r="AC720" s="2" t="inlineStr"/>
      <c r="AD720" s="2" t="inlineStr">
        <is>
          <t>1</t>
        </is>
      </c>
      <c r="AE720" s="2" t="inlineStr">
        <is>
          <t>23893</t>
        </is>
      </c>
      <c r="AF720" s="2" t="inlineStr">
        <is>
          <t>https://www.parlamento.pt/OrcamentoEstado/Paginas/DetalhePropostaAlteracao.aspx?BID=23893</t>
        </is>
      </c>
      <c r="AG720" s="2" t="inlineStr">
        <is>
          <t>https://app.parlamento.pt/webutils/docs/doc.pdf?path=6148523063484d364c793942556b356c6443397a6158526c63793959566b6c4a544556484c3039464c7a49774d6a59794d4449314d5441774f533951515338324e54686d596d46684d4330304d6d466c4c54526b4d32457459546b7a4f43316d4d444a6b597a4d344d5745345a6d4d756347526d&amp;Fich=658fbaa0-42ae-4d3a-a938-f02dc381a8fc.pdf&amp;Inline=true</t>
        </is>
      </c>
      <c r="AH720" s="3" t="n">
        <v>46321.77847222222</v>
      </c>
      <c r="AI720" s="3" t="n">
        <v>46321.78055555555</v>
      </c>
      <c r="AJ720" s="2" t="inlineStr"/>
    </row>
    <row r="721">
      <c r="A721" s="2" t="n">
        <v>720</v>
      </c>
      <c r="B721" s="2" t="inlineStr">
        <is>
          <t>668C</t>
        </is>
      </c>
      <c r="C721" s="3" t="n">
        <v>45966.775</v>
      </c>
      <c r="D721" s="2" t="inlineStr">
        <is>
          <t>Original</t>
        </is>
      </c>
      <c r="E721" s="2" t="inlineStr">
        <is>
          <t>IL</t>
        </is>
      </c>
      <c r="F721" s="2" t="inlineStr">
        <is>
          <t>Angélique Da Teresa; Carlos Guimarães Pinto; Joana Cordeiro; Jorge Miguel Teixeira; Mariana Leitão; Mário Amorim Lopes; Miguel Rangel; Rodrigo Saraiva; Rui Rocha</t>
        </is>
      </c>
      <c r="G721" s="2" t="inlineStr">
        <is>
          <t>Art. 60.º-A (aditamento)</t>
        </is>
      </c>
      <c r="H721" s="2" t="n"/>
      <c r="I721" s="2" t="n"/>
      <c r="J721" s="2" t="n"/>
      <c r="K721" s="2" t="n"/>
      <c r="L721" s="2" t="inlineStr">
        <is>
          <t>Artigo 60.º-A (Criação das Contas Poupança Isentas de Impostos)</t>
        </is>
      </c>
      <c r="M721" s="4" t="n"/>
      <c r="N721" s="4" t="n"/>
      <c r="O721" s="2" t="n"/>
      <c r="P721" s="2" t="n"/>
      <c r="Q721" s="2" t="n"/>
      <c r="R721" s="2" t="n"/>
      <c r="S721" s="2" t="inlineStr">
        <is>
          <t>Rejeitado(a) em Plenário</t>
        </is>
      </c>
      <c r="T721" s="2" t="inlineStr">
        <is>
          <t>Rejeitada</t>
        </is>
      </c>
      <c r="U721" s="2" t="inlineStr">
        <is>
          <t>Favor: CH, IL, PCP; Contra: PSD, PS, L, CDS-PP, BE, PAN; Abstenção: JPP</t>
        </is>
      </c>
      <c r="V721" s="3" t="n">
        <v>45982</v>
      </c>
      <c r="W721" s="2" t="inlineStr">
        <is>
          <t>Avocada a Plenário. AR: https://www.parlamento.pt/OrcamentoEstado/Paginas/DetalhePropostaAlteracao.aspx?BID=23894 PDF: https://app.parlamento.pt/webutils/docs/doc.pdf?path=6148523063484d364c793942556b356c6443397a6158526c63793959566b6c4a544556484c3039464c7a49774d6a59794d4449314d5441774f5339515153396d4e5459335a445a6c5969316d5a5451794c5451794e575974596a466959793034596a67335a5442695a545a6b5a574d756347526d&amp;Fich=f567d6eb-fe42-425f-b1bc-8b87e0be6dec.pdf&amp;Inline=true</t>
        </is>
      </c>
      <c r="X721" s="2" t="inlineStr">
        <is>
          <t>Orçamento, Finanças e Administração Pública</t>
        </is>
      </c>
      <c r="Y721" s="2" t="inlineStr">
        <is>
          <t>Articulado</t>
        </is>
      </c>
      <c r="Z721" s="2" t="inlineStr">
        <is>
          <t>Aditamento (Artigo PPL)</t>
        </is>
      </c>
      <c r="AA721" s="2" t="inlineStr">
        <is>
          <t>Rejeitado(a) em Plenário</t>
        </is>
      </c>
      <c r="AB721" s="2" t="inlineStr">
        <is>
          <t>S</t>
        </is>
      </c>
      <c r="AC721" s="2" t="inlineStr"/>
      <c r="AD721" s="2" t="inlineStr">
        <is>
          <t>2</t>
        </is>
      </c>
      <c r="AE721" s="2" t="inlineStr">
        <is>
          <t>23894</t>
        </is>
      </c>
      <c r="AF721" s="2" t="inlineStr">
        <is>
          <t>https://www.parlamento.pt/OrcamentoEstado/Paginas/DetalhePropostaAlteracao.aspx?BID=23894</t>
        </is>
      </c>
      <c r="AG721" s="2" t="inlineStr">
        <is>
          <t>https://app.parlamento.pt/webutils/docs/doc.pdf?path=6148523063484d364c793942556b356c6443397a6158526c63793959566b6c4a544556484c3039464c7a49774d6a59794d4449314d5441774f5339515153396d4e5459335a445a6c5969316d5a5451794c5451794e575974596a466959793034596a67335a5442695a545a6b5a574d756347526d&amp;Fich=f567d6eb-fe42-425f-b1bc-8b87e0be6dec.pdf&amp;Inline=true</t>
        </is>
      </c>
      <c r="AH721" s="3" t="n">
        <v>46321.77847222222</v>
      </c>
      <c r="AI721" s="3" t="n">
        <v>46321.78055555555</v>
      </c>
      <c r="AJ721" s="2" t="inlineStr"/>
    </row>
    <row r="722">
      <c r="A722" s="2" t="n">
        <v>721</v>
      </c>
      <c r="B722" s="2" t="inlineStr">
        <is>
          <t>669C</t>
        </is>
      </c>
      <c r="C722" s="3" t="n">
        <v>45966.77708333333</v>
      </c>
      <c r="D722" s="2" t="inlineStr">
        <is>
          <t>Original</t>
        </is>
      </c>
      <c r="E722" s="2" t="inlineStr">
        <is>
          <t>IL</t>
        </is>
      </c>
      <c r="F722" s="2" t="inlineStr">
        <is>
          <t>Angélique Da Teresa; Carlos Guimarães Pinto; Joana Cordeiro; Jorge Miguel Teixeira; Mariana Leitão; Mário Amorim Lopes; Miguel Rangel; Rodrigo Saraiva; Rui Rocha</t>
        </is>
      </c>
      <c r="G722" s="2" t="inlineStr">
        <is>
          <t>Art. 63.º (substituição)</t>
        </is>
      </c>
      <c r="H722" s="2" t="n"/>
      <c r="I722" s="2" t="n"/>
      <c r="J722" s="2" t="n"/>
      <c r="K722" s="2" t="n"/>
      <c r="L722" s="2" t="inlineStr">
        <is>
          <t>Verba 3.1, Lista II anexa ao Código do IVA</t>
        </is>
      </c>
      <c r="M722" s="4" t="n"/>
      <c r="N722" s="4" t="n"/>
      <c r="O722" s="2" t="n"/>
      <c r="P722" s="2" t="n"/>
      <c r="Q722" s="2" t="n"/>
      <c r="R722" s="2" t="n"/>
      <c r="S722" s="2" t="inlineStr">
        <is>
          <t>Rejeitado(a) em Comissão</t>
        </is>
      </c>
      <c r="T722" s="2" t="inlineStr">
        <is>
          <t>Rejeitada</t>
        </is>
      </c>
      <c r="U722" s="2" t="inlineStr">
        <is>
          <t>Favor: CH, IL, PCP, BE; Contra: PSD, L, CDS-PP; Abstenção: PS, PAN</t>
        </is>
      </c>
      <c r="V722" s="3" t="n">
        <v>45982</v>
      </c>
      <c r="W722" s="2" t="inlineStr">
        <is>
          <t>AR: https://www.parlamento.pt/OrcamentoEstado/Paginas/DetalhePropostaAlteracao.aspx?BID=23895 PDF: https://app.parlamento.pt/webutils/docs/doc.pdf?path=6148523063484d364c793942556b356c6443397a6158526c63793959566b6c4a544556484c3039464c7a49774d6a59794d4449314d5441774f533951515338344e7a59304e7a686c4f5330304e6a526a4c5451774e3249744f54526d4f53316d4e544d334e444a6d4d4451334f5745756347526d&amp;Fich=876478e9-464c-407b-94f9-f53742f0479a.pdf&amp;Inline=true</t>
        </is>
      </c>
      <c r="X722" s="2" t="inlineStr">
        <is>
          <t>Comissão de Economia e Coesão Territorial; Orçamento, Finanças e Administração Pública</t>
        </is>
      </c>
      <c r="Y722" s="2" t="inlineStr">
        <is>
          <t>Articulado</t>
        </is>
      </c>
      <c r="Z722" s="2" t="inlineStr">
        <is>
          <t>Substituição</t>
        </is>
      </c>
      <c r="AA722" s="2" t="inlineStr">
        <is>
          <t>Rejeitado(a) em Comissão</t>
        </is>
      </c>
      <c r="AB722" s="2" t="inlineStr"/>
      <c r="AC722" s="2" t="inlineStr"/>
      <c r="AD722" s="2" t="inlineStr">
        <is>
          <t>1</t>
        </is>
      </c>
      <c r="AE722" s="2" t="inlineStr">
        <is>
          <t>23895</t>
        </is>
      </c>
      <c r="AF722" s="2" t="inlineStr">
        <is>
          <t>https://www.parlamento.pt/OrcamentoEstado/Paginas/DetalhePropostaAlteracao.aspx?BID=23895</t>
        </is>
      </c>
      <c r="AG722" s="2" t="inlineStr">
        <is>
          <t>https://app.parlamento.pt/webutils/docs/doc.pdf?path=6148523063484d364c793942556b356c6443397a6158526c63793959566b6c4a544556484c3039464c7a49774d6a59794d4449314d5441774f533951515338344e7a59304e7a686c4f5330304e6a526a4c5451774e3249744f54526d4f53316d4e544d334e444a6d4d4451334f5745756347526d&amp;Fich=876478e9-464c-407b-94f9-f53742f0479a.pdf&amp;Inline=true</t>
        </is>
      </c>
      <c r="AH722" s="3" t="n">
        <v>46321.77847222222</v>
      </c>
      <c r="AI722" s="3" t="n">
        <v>46321.78055555555</v>
      </c>
      <c r="AJ722" s="2" t="inlineStr"/>
    </row>
    <row r="723">
      <c r="A723" s="2" t="n">
        <v>722</v>
      </c>
      <c r="B723" s="2" t="inlineStr">
        <is>
          <t>670C</t>
        </is>
      </c>
      <c r="C723" s="3" t="n">
        <v>45966.77986111111</v>
      </c>
      <c r="D723" s="2" t="inlineStr">
        <is>
          <t>Original</t>
        </is>
      </c>
      <c r="E723" s="2" t="inlineStr">
        <is>
          <t>IL</t>
        </is>
      </c>
      <c r="F723" s="2" t="inlineStr">
        <is>
          <t>Angélique Da Teresa; Carlos Guimarães Pinto; Joana Cordeiro; Jorge Miguel Teixeira; Mariana Leitão; Mário Amorim Lopes; Miguel Rangel; Rodrigo Saraiva; Rui Rocha</t>
        </is>
      </c>
      <c r="G723" s="2" t="inlineStr">
        <is>
          <t>Art. 138.º (aditamento)</t>
        </is>
      </c>
      <c r="H723" s="2" t="n"/>
      <c r="I723" s="2" t="n"/>
      <c r="J723" s="2" t="n"/>
      <c r="K723" s="2" t="n"/>
      <c r="L723" s="2" t="inlineStr">
        <is>
          <t>Alínea c), Artigo 138.º</t>
        </is>
      </c>
      <c r="M723" s="4" t="n"/>
      <c r="N723" s="4" t="n"/>
      <c r="O723" s="2" t="n"/>
      <c r="P723" s="2" t="n"/>
      <c r="Q723" s="2" t="n"/>
      <c r="R723" s="2" t="n"/>
      <c r="S723" s="2" t="inlineStr">
        <is>
          <t>Rejeitado(a) em Comissão</t>
        </is>
      </c>
      <c r="T723" s="2" t="inlineStr">
        <is>
          <t>Rejeitada</t>
        </is>
      </c>
      <c r="U723" s="2" t="inlineStr">
        <is>
          <t>Favor: CH, IL; Contra: PSD, PS, L, PCP, CDS-PP, BE; Abstenção: PAN</t>
        </is>
      </c>
      <c r="V723" s="3" t="n">
        <v>45987</v>
      </c>
      <c r="W723" s="2" t="inlineStr">
        <is>
          <t>AR: https://www.parlamento.pt/OrcamentoEstado/Paginas/DetalhePropostaAlteracao.aspx?BID=23896 PDF: https://app.parlamento.pt/webutils/docs/doc.pdf?path=6148523063484d364c793942556b356c6443397a6158526c63793959566b6c4a544556484c3039464c7a49774d6a59794d4449314d5441774f533951515338774e7a4e6a4d5463354e6931684e54517a4c5451334d544d74596d55314d5330334e6a426a5a546b354f4451355a4463756347526d&amp;Fich=073c1796-a543-4713-be51-760ce99849d7.pdf&amp;Inline=true</t>
        </is>
      </c>
      <c r="X723" s="2" t="inlineStr">
        <is>
          <t>Orçamento, Finanças e Administração Pública</t>
        </is>
      </c>
      <c r="Y723" s="2" t="inlineStr">
        <is>
          <t>Articulado</t>
        </is>
      </c>
      <c r="Z723" s="2" t="inlineStr">
        <is>
          <t>Aditamento (Números e Alíneas)</t>
        </is>
      </c>
      <c r="AA723" s="2" t="inlineStr">
        <is>
          <t>Rejeitado(a) em Comissão</t>
        </is>
      </c>
      <c r="AB723" s="2" t="inlineStr"/>
      <c r="AC723" s="2" t="inlineStr"/>
      <c r="AD723" s="2" t="inlineStr">
        <is>
          <t>1</t>
        </is>
      </c>
      <c r="AE723" s="2" t="inlineStr">
        <is>
          <t>23896</t>
        </is>
      </c>
      <c r="AF723" s="2" t="inlineStr">
        <is>
          <t>https://www.parlamento.pt/OrcamentoEstado/Paginas/DetalhePropostaAlteracao.aspx?BID=23896</t>
        </is>
      </c>
      <c r="AG723" s="2" t="inlineStr">
        <is>
          <t>https://app.parlamento.pt/webutils/docs/doc.pdf?path=6148523063484d364c793942556b356c6443397a6158526c63793959566b6c4a544556484c3039464c7a49774d6a59794d4449314d5441774f533951515338774e7a4e6a4d5463354e6931684e54517a4c5451334d544d74596d55314d5330334e6a426a5a546b354f4451355a4463756347526d&amp;Fich=073c1796-a543-4713-be51-760ce99849d7.pdf&amp;Inline=true</t>
        </is>
      </c>
      <c r="AH723" s="3" t="n">
        <v>46321.77847222222</v>
      </c>
      <c r="AI723" s="3" t="n">
        <v>46321.78055555555</v>
      </c>
      <c r="AJ723" s="2" t="inlineStr"/>
    </row>
    <row r="724">
      <c r="A724" s="2" t="n">
        <v>723</v>
      </c>
      <c r="B724" s="2" t="inlineStr">
        <is>
          <t>671C-1</t>
        </is>
      </c>
      <c r="C724" s="3" t="n">
        <v>45966.78402777778</v>
      </c>
      <c r="D724" s="2" t="inlineStr">
        <is>
          <t>Original</t>
        </is>
      </c>
      <c r="E724" s="2" t="inlineStr">
        <is>
          <t>IL</t>
        </is>
      </c>
      <c r="F724" s="2" t="inlineStr">
        <is>
          <t>Angélique Da Teresa; Carlos Guimarães Pinto; Joana Cordeiro; Jorge Miguel Teixeira; Mariana Leitão; Mário Amorim Lopes; Miguel Rangel; Rodrigo Saraiva; Rui Rocha</t>
        </is>
      </c>
      <c r="G724" s="2" t="inlineStr">
        <is>
          <t>Art. 62.º-A (aditamento)</t>
        </is>
      </c>
      <c r="H724" s="2" t="n"/>
      <c r="I724" s="2" t="n"/>
      <c r="J724" s="2" t="n"/>
      <c r="K724" s="2" t="n"/>
      <c r="L724" s="2" t="inlineStr">
        <is>
          <t>Artigo 62.º-A (Aditamento ao Estatuto dos Benefícios Fiscais)</t>
        </is>
      </c>
      <c r="M724" s="4" t="n"/>
      <c r="N724" s="4" t="n"/>
      <c r="O724" s="2" t="n"/>
      <c r="P724" s="2" t="n"/>
      <c r="Q724" s="2" t="n"/>
      <c r="R724" s="2" t="n"/>
      <c r="S724" s="2" t="inlineStr">
        <is>
          <t>Rejeitado(a) em Comissão</t>
        </is>
      </c>
      <c r="T724" s="2" t="inlineStr">
        <is>
          <t>Rejeitada</t>
        </is>
      </c>
      <c r="U724" s="2" t="inlineStr">
        <is>
          <t>Favor: IL, PAN; Contra: PSD, PS, L, PCP, CDS-PP, BE; Abstenção: CH</t>
        </is>
      </c>
      <c r="V724" s="3" t="n">
        <v>45981</v>
      </c>
      <c r="W724" s="2" t="inlineStr">
        <is>
          <t>AR: https://www.parlamento.pt/OrcamentoEstado/Paginas/DetalhePropostaAlteracao.aspx?BID=23897 PDF: https://app.parlamento.pt/webutils/docs/doc.pdf?path=6148523063484d364c793942556b356c6443397a6158526c63793959566b6c4a544556484c3039464c7a49774d6a59794d4449314d5441774f5339515153396d5932466a597a41354d43307a595451334c5451355a446b744f4441785a5330344d544578597a63784e446b304e6a49756347526d&amp;Fich=fcacc090-3a47-49d9-801e-8111c7149462.pdf&amp;Inline=true</t>
        </is>
      </c>
      <c r="X724" s="2" t="inlineStr">
        <is>
          <t>Orçamento, Finanças e Administração Pública; Trabalho, Segurança Social e Inclusão</t>
        </is>
      </c>
      <c r="Y724" s="2" t="inlineStr">
        <is>
          <t>Articulado</t>
        </is>
      </c>
      <c r="Z724" s="2" t="inlineStr">
        <is>
          <t>Aditamento (Artigo PPL)</t>
        </is>
      </c>
      <c r="AA724" s="2" t="inlineStr">
        <is>
          <t>Rejeitado(a) em Comissão</t>
        </is>
      </c>
      <c r="AB724" s="2" t="inlineStr"/>
      <c r="AC724" s="2" t="inlineStr">
        <is>
          <t>1</t>
        </is>
      </c>
      <c r="AD724" s="2" t="inlineStr">
        <is>
          <t>1</t>
        </is>
      </c>
      <c r="AE724" s="2" t="inlineStr">
        <is>
          <t>23897</t>
        </is>
      </c>
      <c r="AF724" s="2" t="inlineStr">
        <is>
          <t>https://www.parlamento.pt/OrcamentoEstado/Paginas/DetalhePropostaAlteracao.aspx?BID=23897</t>
        </is>
      </c>
      <c r="AG724" s="2" t="inlineStr">
        <is>
          <t>https://app.parlamento.pt/webutils/docs/doc.pdf?path=6148523063484d364c793942556b356c6443397a6158526c63793959566b6c4a544556484c3039464c7a49774d6a59794d4449314d5441774f5339515153396d5932466a597a41354d43307a595451334c5451355a446b744f4441785a5330344d544578597a63784e446b304e6a49756347526d&amp;Fich=fcacc090-3a47-49d9-801e-8111c7149462.pdf&amp;Inline=true</t>
        </is>
      </c>
      <c r="AH724" s="3" t="n">
        <v>46321.77847222222</v>
      </c>
      <c r="AI724" s="3" t="n">
        <v>46321.78055555555</v>
      </c>
      <c r="AJ724" s="2" t="inlineStr"/>
    </row>
    <row r="725">
      <c r="A725" s="2" t="n">
        <v>724</v>
      </c>
      <c r="B725" s="2" t="inlineStr">
        <is>
          <t>671C-2</t>
        </is>
      </c>
      <c r="C725" s="3" t="n">
        <v>45966.78402777778</v>
      </c>
      <c r="D725" s="2" t="inlineStr">
        <is>
          <t>Retirada</t>
        </is>
      </c>
      <c r="E725" s="2" t="inlineStr">
        <is>
          <t>IL</t>
        </is>
      </c>
      <c r="F725" s="2" t="inlineStr">
        <is>
          <t>Angélique Da Teresa; Carlos Guimarães Pinto; Joana Cordeiro; Jorge Miguel Teixeira; Mariana Leitão; Mário Amorim Lopes; Miguel Rangel; Rodrigo Saraiva; Rui Rocha</t>
        </is>
      </c>
      <c r="G725" s="2" t="inlineStr">
        <is>
          <t>Art. 81.º (eliminação)</t>
        </is>
      </c>
      <c r="H725" s="2" t="n"/>
      <c r="I725" s="2" t="n"/>
      <c r="J725" s="2" t="n"/>
      <c r="K725" s="2" t="n"/>
      <c r="L725" s="2" t="inlineStr">
        <is>
          <t>Artigo 81.º</t>
        </is>
      </c>
      <c r="M725" s="4" t="n"/>
      <c r="N725" s="4" t="n"/>
      <c r="O725" s="2" t="n"/>
      <c r="P725" s="2" t="n"/>
      <c r="Q725" s="2" t="n"/>
      <c r="R725" s="2" t="n"/>
      <c r="S725" s="2" t="inlineStr">
        <is>
          <t>Retirado(a)</t>
        </is>
      </c>
      <c r="T725" s="2" t="inlineStr">
        <is>
          <t>Retirada</t>
        </is>
      </c>
      <c r="U725" s="2" t="inlineStr"/>
      <c r="V725" s="3" t="n"/>
      <c r="W725" s="2" t="inlineStr">
        <is>
          <t>AR: https://www.parlamento.pt/OrcamentoEstado/Paginas/DetalhePropostaAlteracao.aspx?BID=24047 PDF: https://app.parlamento.pt/webutils/docs/doc.pdf?path=6148523063484d364c793942556b356c6443397a6158526c63793959566b6c4a544556484c3039464c7a49774d6a59794d4449314d5441774f533951515338785a5751325a6a4668595330335a5745334c5452694f574d744f54457a5a6930354d7a6c695a444d305a57517a4d6d49756347526d&amp;Fich=1ed6f1aa-7ea7-4b9c-913f-939bd34ed32b.pdf&amp;Inline=true</t>
        </is>
      </c>
      <c r="X725" s="2" t="inlineStr">
        <is>
          <t>Orçamento, Finanças e Administração Pública; Trabalho, Segurança Social e Inclusão</t>
        </is>
      </c>
      <c r="Y725" s="2" t="inlineStr">
        <is>
          <t>Articulado</t>
        </is>
      </c>
      <c r="Z725" s="2" t="inlineStr">
        <is>
          <t>Eliminação</t>
        </is>
      </c>
      <c r="AA725" s="2" t="inlineStr">
        <is>
          <t>Retirado(a)</t>
        </is>
      </c>
      <c r="AB725" s="2" t="inlineStr"/>
      <c r="AC725" s="2" t="inlineStr">
        <is>
          <t>2</t>
        </is>
      </c>
      <c r="AD725" s="2" t="inlineStr">
        <is>
          <t>0</t>
        </is>
      </c>
      <c r="AE725" s="2" t="inlineStr">
        <is>
          <t>24047</t>
        </is>
      </c>
      <c r="AF725" s="2" t="inlineStr">
        <is>
          <t>https://www.parlamento.pt/OrcamentoEstado/Paginas/DetalhePropostaAlteracao.aspx?BID=24047</t>
        </is>
      </c>
      <c r="AG725" s="2" t="inlineStr">
        <is>
          <t>https://app.parlamento.pt/webutils/docs/doc.pdf?path=6148523063484d364c793942556b356c6443397a6158526c63793959566b6c4a544556484c3039464c7a49774d6a59794d4449314d5441774f533951515338785a5751325a6a4668595330335a5745334c5452694f574d744f54457a5a6930354d7a6c695a444d305a57517a4d6d49756347526d&amp;Fich=1ed6f1aa-7ea7-4b9c-913f-939bd34ed32b.pdf&amp;Inline=true</t>
        </is>
      </c>
      <c r="AH725" s="3" t="n">
        <v>46321.77847222222</v>
      </c>
      <c r="AI725" s="3" t="n">
        <v>46321.78055555555</v>
      </c>
      <c r="AJ725" s="2" t="inlineStr"/>
    </row>
    <row r="726">
      <c r="A726" s="2" t="n">
        <v>725</v>
      </c>
      <c r="B726" s="2" t="inlineStr">
        <is>
          <t>672C</t>
        </is>
      </c>
      <c r="C726" s="3" t="n">
        <v>45966.78541666667</v>
      </c>
      <c r="D726" s="2" t="inlineStr">
        <is>
          <t>Original</t>
        </is>
      </c>
      <c r="E726" s="2" t="inlineStr">
        <is>
          <t>IL</t>
        </is>
      </c>
      <c r="F726" s="2" t="inlineStr">
        <is>
          <t>Angélique Da Teresa; Carlos Guimarães Pinto; Joana Cordeiro; Jorge Miguel Teixeira; Mariana Leitão; Mário Amorim Lopes; Miguel Rangel; Rodrigo Saraiva; Rui Rocha</t>
        </is>
      </c>
      <c r="G726" s="2" t="inlineStr">
        <is>
          <t>Art. 60.º (aditamento)</t>
        </is>
      </c>
      <c r="H726" s="2" t="n"/>
      <c r="I726" s="2" t="n"/>
      <c r="J726" s="2" t="n"/>
      <c r="K726" s="2" t="n"/>
      <c r="L726" s="2" t="inlineStr">
        <is>
          <t>N.º 25, N.º 26, Artigo 72.º do Código do IRS</t>
        </is>
      </c>
      <c r="M726" s="4" t="n"/>
      <c r="N726" s="4" t="n"/>
      <c r="O726" s="2" t="n"/>
      <c r="P726" s="2" t="n"/>
      <c r="Q726" s="2" t="n"/>
      <c r="R726" s="2" t="n"/>
      <c r="S726" s="2" t="inlineStr">
        <is>
          <t>Rejeitado(a) em Comissão</t>
        </is>
      </c>
      <c r="T726" s="2" t="inlineStr">
        <is>
          <t>Rejeitada</t>
        </is>
      </c>
      <c r="U726" s="2" t="inlineStr">
        <is>
          <t>Favor: IL, PAN; Contra: PSD, PS, L, PCP, CDS-PP, BE; Abstenção: CH</t>
        </is>
      </c>
      <c r="V726" s="3" t="n">
        <v>45981</v>
      </c>
      <c r="W726" s="2" t="inlineStr">
        <is>
          <t>AR: https://www.parlamento.pt/OrcamentoEstado/Paginas/DetalhePropostaAlteracao.aspx?BID=23898 PDF: https://app.parlamento.pt/webutils/docs/doc.pdf?path=6148523063484d364c793942556b356c6443397a6158526c63793959566b6c4a544556484c3039464c7a49774d6a59794d4449314d5441774f533951515339684d3245794f44686d4d7930304d574d344c5452684e5749744f4441784f4331694f5451345a54557a59324a6a4f444d756347526d&amp;Fich=a3a288f3-41c8-4a5b-8018-b948e53cbc83.pdf&amp;Inline=true</t>
        </is>
      </c>
      <c r="X726" s="2" t="inlineStr">
        <is>
          <t>Orçamento, Finanças e Administração Pública; Trabalho, Segurança Social e Inclusão</t>
        </is>
      </c>
      <c r="Y726" s="2" t="inlineStr">
        <is>
          <t>Articulado</t>
        </is>
      </c>
      <c r="Z726" s="2" t="inlineStr">
        <is>
          <t>Aditamento (Números e Alíneas)</t>
        </is>
      </c>
      <c r="AA726" s="2" t="inlineStr">
        <is>
          <t>Rejeitado(a) em Comissão</t>
        </is>
      </c>
      <c r="AB726" s="2" t="inlineStr"/>
      <c r="AC726" s="2" t="inlineStr"/>
      <c r="AD726" s="2" t="inlineStr">
        <is>
          <t>1</t>
        </is>
      </c>
      <c r="AE726" s="2" t="inlineStr">
        <is>
          <t>23898</t>
        </is>
      </c>
      <c r="AF726" s="2" t="inlineStr">
        <is>
          <t>https://www.parlamento.pt/OrcamentoEstado/Paginas/DetalhePropostaAlteracao.aspx?BID=23898</t>
        </is>
      </c>
      <c r="AG726" s="2" t="inlineStr">
        <is>
          <t>https://app.parlamento.pt/webutils/docs/doc.pdf?path=6148523063484d364c793942556b356c6443397a6158526c63793959566b6c4a544556484c3039464c7a49774d6a59794d4449314d5441774f533951515339684d3245794f44686d4d7930304d574d344c5452684e5749744f4441784f4331694f5451345a54557a59324a6a4f444d756347526d&amp;Fich=a3a288f3-41c8-4a5b-8018-b948e53cbc83.pdf&amp;Inline=true</t>
        </is>
      </c>
      <c r="AH726" s="3" t="n">
        <v>46321.77847222222</v>
      </c>
      <c r="AI726" s="3" t="n">
        <v>46321.78055555555</v>
      </c>
      <c r="AJ726" s="2" t="inlineStr"/>
    </row>
    <row r="727">
      <c r="A727" s="2" t="n">
        <v>726</v>
      </c>
      <c r="B727" s="2" t="inlineStr">
        <is>
          <t>673C</t>
        </is>
      </c>
      <c r="C727" s="3" t="n">
        <v>45966.80625</v>
      </c>
      <c r="D727" s="2" t="inlineStr">
        <is>
          <t>Original</t>
        </is>
      </c>
      <c r="E727" s="2" t="inlineStr">
        <is>
          <t>IL</t>
        </is>
      </c>
      <c r="F727" s="2" t="inlineStr">
        <is>
          <t>Angélique Da Teresa; Carlos Guimarães Pinto; Joana Cordeiro; Jorge Miguel Teixeira; Mariana Leitão; Mário Amorim Lopes; Miguel Rangel; Rodrigo Saraiva; Rui Rocha</t>
        </is>
      </c>
      <c r="G727" s="2" t="inlineStr">
        <is>
          <t>Art. 68.º (substituição)</t>
        </is>
      </c>
      <c r="H727" s="2" t="n"/>
      <c r="I727" s="2" t="n"/>
      <c r="J727" s="2" t="n"/>
      <c r="K727" s="2" t="n"/>
      <c r="L727" s="2" t="inlineStr">
        <is>
          <t>Tabela, alínea a), Tabela, alínea b), Tabela, alínea c), N.º 1, Artigo 17.º do Código do IMT, constante da PPL</t>
        </is>
      </c>
      <c r="M727" s="4" t="n"/>
      <c r="N727" s="4" t="n"/>
      <c r="O727" s="2" t="n"/>
      <c r="P727" s="2" t="n"/>
      <c r="Q727" s="2" t="n"/>
      <c r="R727" s="2" t="n"/>
      <c r="S727" s="2" t="inlineStr">
        <is>
          <t>Rejeitado(a) em Comissão</t>
        </is>
      </c>
      <c r="T727" s="2" t="inlineStr">
        <is>
          <t>Rejeitada</t>
        </is>
      </c>
      <c r="U727" s="2" t="inlineStr">
        <is>
          <t>Favor: IL, PAN; Contra: PSD, PCP, CDS-PP; Abstenção: CH, PS, L, BE</t>
        </is>
      </c>
      <c r="V727" s="3" t="n">
        <v>45982</v>
      </c>
      <c r="W727" s="2" t="inlineStr">
        <is>
          <t>AR: https://www.parlamento.pt/OrcamentoEstado/Paginas/DetalhePropostaAlteracao.aspx?BID=23899 PDF: https://app.parlamento.pt/webutils/docs/doc.pdf?path=6148523063484d364c793942556b356c6443397a6158526c63793959566b6c4a544556484c3039464c7a49774d6a59794d4449314d5441774f533951515338324e57566a4d445531597931685a6a55304c5451314f544d744f5451795a4330334f5746694d6a59794e545669595759756347526d&amp;Fich=65ec055c-af54-4593-942d-79ab26255baf.pdf&amp;Inline=true</t>
        </is>
      </c>
      <c r="X727" s="2" t="inlineStr">
        <is>
          <t>Infraestruturas, Mobilidade e Habitação; Orçamento, Finanças e Administração Pública</t>
        </is>
      </c>
      <c r="Y727" s="2" t="inlineStr">
        <is>
          <t>Articulado</t>
        </is>
      </c>
      <c r="Z727" s="2" t="inlineStr">
        <is>
          <t>Substituição</t>
        </is>
      </c>
      <c r="AA727" s="2" t="inlineStr">
        <is>
          <t>Rejeitado(a) em Comissão</t>
        </is>
      </c>
      <c r="AB727" s="2" t="inlineStr"/>
      <c r="AC727" s="2" t="inlineStr"/>
      <c r="AD727" s="2" t="inlineStr">
        <is>
          <t>1</t>
        </is>
      </c>
      <c r="AE727" s="2" t="inlineStr">
        <is>
          <t>23899</t>
        </is>
      </c>
      <c r="AF727" s="2" t="inlineStr">
        <is>
          <t>https://www.parlamento.pt/OrcamentoEstado/Paginas/DetalhePropostaAlteracao.aspx?BID=23899</t>
        </is>
      </c>
      <c r="AG727" s="2" t="inlineStr">
        <is>
          <t>https://app.parlamento.pt/webutils/docs/doc.pdf?path=6148523063484d364c793942556b356c6443397a6158526c63793959566b6c4a544556484c3039464c7a49774d6a59794d4449314d5441774f533951515338324e57566a4d445531597931685a6a55304c5451314f544d744f5451795a4330334f5746694d6a59794e545669595759756347526d&amp;Fich=65ec055c-af54-4593-942d-79ab26255baf.pdf&amp;Inline=true</t>
        </is>
      </c>
      <c r="AH727" s="3" t="n">
        <v>46321.77847222222</v>
      </c>
      <c r="AI727" s="3" t="n">
        <v>46321.78055555555</v>
      </c>
      <c r="AJ727" s="2" t="inlineStr"/>
    </row>
    <row r="728">
      <c r="A728" s="2" t="n">
        <v>727</v>
      </c>
      <c r="B728" s="2" t="inlineStr">
        <is>
          <t>674C</t>
        </is>
      </c>
      <c r="C728" s="3" t="n">
        <v>45966.80763888889</v>
      </c>
      <c r="D728" s="2" t="inlineStr">
        <is>
          <t>Original</t>
        </is>
      </c>
      <c r="E728" s="2" t="inlineStr">
        <is>
          <t>IL</t>
        </is>
      </c>
      <c r="F728" s="2" t="inlineStr">
        <is>
          <t>Angélique Da Teresa; Carlos Guimarães Pinto; Joana Cordeiro; Jorge Miguel Teixeira; Mariana Leitão; Mário Amorim Lopes; Miguel Rangel; Rodrigo Saraiva; Rui Rocha</t>
        </is>
      </c>
      <c r="G728" s="2" t="inlineStr">
        <is>
          <t>Art. 119.º-C (aditamento)</t>
        </is>
      </c>
      <c r="H728" s="2" t="n"/>
      <c r="I728" s="2" t="n"/>
      <c r="J728" s="2" t="n"/>
      <c r="K728" s="2" t="n"/>
      <c r="L728" s="2" t="inlineStr">
        <is>
          <t>Artigo 119.º-C (Alargamento da medida cheque-psicólogo)</t>
        </is>
      </c>
      <c r="M728" s="4" t="n"/>
      <c r="N728" s="4" t="n"/>
      <c r="O728" s="2" t="n"/>
      <c r="P728" s="2" t="n"/>
      <c r="Q728" s="2" t="n"/>
      <c r="R728" s="2" t="n"/>
      <c r="S728" s="2" t="inlineStr">
        <is>
          <t>Rejeitado(a) em Comissão</t>
        </is>
      </c>
      <c r="T728" s="2" t="inlineStr">
        <is>
          <t>Rejeitada</t>
        </is>
      </c>
      <c r="U728" s="2" t="inlineStr">
        <is>
          <t>Favor: IL, PAN; Contra: PSD, PCP, CDS-PP, BE; Abstenção: CH, PS, L</t>
        </is>
      </c>
      <c r="V728" s="3" t="n">
        <v>45985</v>
      </c>
      <c r="W728" s="2" t="inlineStr">
        <is>
          <t>AR: https://www.parlamento.pt/OrcamentoEstado/Paginas/DetalhePropostaAlteracao.aspx?BID=23900 PDF: https://app.parlamento.pt/webutils/docs/doc.pdf?path=6148523063484d364c793942556b356c6443397a6158526c63793959566b6c4a544556484c3039464c7a49774d6a59794d4449314d5441774f5339515153396a59546b784f474a684e433169596a45324c5451324e6a49744f4749345a43307a4d444e6d4d7a517a4e4446694e324d756347526d&amp;Fich=ca918ba4-bb16-4662-8b8d-303f34341b7c.pdf&amp;Inline=true</t>
        </is>
      </c>
      <c r="X728" s="2" t="inlineStr">
        <is>
          <t>Educação e Ciência; Saúde</t>
        </is>
      </c>
      <c r="Y728" s="2" t="inlineStr">
        <is>
          <t>Articulado</t>
        </is>
      </c>
      <c r="Z728" s="2" t="inlineStr">
        <is>
          <t>Aditamento (Artigo PPL)</t>
        </is>
      </c>
      <c r="AA728" s="2" t="inlineStr">
        <is>
          <t>Rejeitado(a) em Comissão</t>
        </is>
      </c>
      <c r="AB728" s="2" t="inlineStr"/>
      <c r="AC728" s="2" t="inlineStr"/>
      <c r="AD728" s="2" t="inlineStr">
        <is>
          <t>1</t>
        </is>
      </c>
      <c r="AE728" s="2" t="inlineStr">
        <is>
          <t>23900</t>
        </is>
      </c>
      <c r="AF728" s="2" t="inlineStr">
        <is>
          <t>https://www.parlamento.pt/OrcamentoEstado/Paginas/DetalhePropostaAlteracao.aspx?BID=23900</t>
        </is>
      </c>
      <c r="AG728" s="2" t="inlineStr">
        <is>
          <t>https://app.parlamento.pt/webutils/docs/doc.pdf?path=6148523063484d364c793942556b356c6443397a6158526c63793959566b6c4a544556484c3039464c7a49774d6a59794d4449314d5441774f5339515153396a59546b784f474a684e433169596a45324c5451324e6a49744f4749345a43307a4d444e6d4d7a517a4e4446694e324d756347526d&amp;Fich=ca918ba4-bb16-4662-8b8d-303f34341b7c.pdf&amp;Inline=true</t>
        </is>
      </c>
      <c r="AH728" s="3" t="n">
        <v>46321.77847222222</v>
      </c>
      <c r="AI728" s="3" t="n">
        <v>46321.78055555555</v>
      </c>
      <c r="AJ728" s="2" t="inlineStr"/>
    </row>
    <row r="729">
      <c r="A729" s="2" t="n">
        <v>728</v>
      </c>
      <c r="B729" s="2" t="inlineStr">
        <is>
          <t>675C</t>
        </is>
      </c>
      <c r="C729" s="3" t="n">
        <v>45966.81041666667</v>
      </c>
      <c r="D729" s="2" t="inlineStr">
        <is>
          <t>Original</t>
        </is>
      </c>
      <c r="E729" s="2" t="inlineStr">
        <is>
          <t>IL</t>
        </is>
      </c>
      <c r="F729" s="2" t="inlineStr">
        <is>
          <t>Angélique Da Teresa; Carlos Guimarães Pinto; Joana Cordeiro; Jorge Miguel Teixeira; Mariana Leitão; Mário Amorim Lopes; Miguel Rangel; Rodrigo Saraiva; Rui Rocha</t>
        </is>
      </c>
      <c r="G729" s="2" t="inlineStr">
        <is>
          <t>Art. 63.º-A (aditamento)</t>
        </is>
      </c>
      <c r="H729" s="2" t="n"/>
      <c r="I729" s="2" t="n"/>
      <c r="J729" s="2" t="n"/>
      <c r="K729" s="2" t="n"/>
      <c r="L729" s="2" t="inlineStr">
        <is>
          <t>Artigo 63.º-A (Alteração ao Código do IVA)</t>
        </is>
      </c>
      <c r="M729" s="4" t="n"/>
      <c r="N729" s="4" t="n"/>
      <c r="O729" s="2" t="n"/>
      <c r="P729" s="2" t="n"/>
      <c r="Q729" s="2" t="n"/>
      <c r="R729" s="2" t="n"/>
      <c r="S729" s="2" t="inlineStr">
        <is>
          <t>Aprovado(a) por Unanimidade em Comissão</t>
        </is>
      </c>
      <c r="T729" s="2" t="inlineStr">
        <is>
          <t>Aprovada</t>
        </is>
      </c>
      <c r="U729" s="2" t="inlineStr">
        <is>
          <t>Favor: PSD, CH, PS, IL, L, PCP, CDS-PP, BE, PAN</t>
        </is>
      </c>
      <c r="V729" s="3" t="n">
        <v>45982</v>
      </c>
      <c r="W729" s="2" t="inlineStr">
        <is>
          <t>AR: https://www.parlamento.pt/OrcamentoEstado/Paginas/DetalhePropostaAlteracao.aspx?BID=23901 PDF: https://app.parlamento.pt/webutils/docs/doc.pdf?path=6148523063484d364c793942556b356c6443397a6158526c63793959566b6c4a544556484c3039464c7a49774d6a59794d4449314d5441774f533951515338784e47566a4f544d334f53316c4d6d45354c54517a4f5451744f446c6c4f4330334e4467325957526b597a6c695a6a41756347526d&amp;Fich=14ec9379-e2a9-4394-89e8-7486addc9bf0.pdf&amp;Inline=true</t>
        </is>
      </c>
      <c r="X729" s="2" t="inlineStr">
        <is>
          <t>Cultura, Comunicação, Juventude e Desporto; Orçamento, Finanças e Administração Pública</t>
        </is>
      </c>
      <c r="Y729" s="2" t="inlineStr">
        <is>
          <t>Articulado</t>
        </is>
      </c>
      <c r="Z729" s="2" t="inlineStr">
        <is>
          <t>Aditamento (Artigo PPL)</t>
        </is>
      </c>
      <c r="AA729" s="2" t="inlineStr">
        <is>
          <t>Aprovado(a) por Unanimidade em Comissão</t>
        </is>
      </c>
      <c r="AB729" s="2" t="inlineStr"/>
      <c r="AC729" s="2" t="inlineStr"/>
      <c r="AD729" s="2" t="inlineStr">
        <is>
          <t>1</t>
        </is>
      </c>
      <c r="AE729" s="2" t="inlineStr">
        <is>
          <t>23901</t>
        </is>
      </c>
      <c r="AF729" s="2" t="inlineStr">
        <is>
          <t>https://www.parlamento.pt/OrcamentoEstado/Paginas/DetalhePropostaAlteracao.aspx?BID=23901</t>
        </is>
      </c>
      <c r="AG729" s="2" t="inlineStr">
        <is>
          <t>https://app.parlamento.pt/webutils/docs/doc.pdf?path=6148523063484d364c793942556b356c6443397a6158526c63793959566b6c4a544556484c3039464c7a49774d6a59794d4449314d5441774f533951515338784e47566a4f544d334f53316c4d6d45354c54517a4f5451744f446c6c4f4330334e4467325957526b597a6c695a6a41756347526d&amp;Fich=14ec9379-e2a9-4394-89e8-7486addc9bf0.pdf&amp;Inline=true</t>
        </is>
      </c>
      <c r="AH729" s="3" t="n">
        <v>46321.77847222222</v>
      </c>
      <c r="AI729" s="3" t="n">
        <v>46321.78055555555</v>
      </c>
      <c r="AJ729" s="2" t="inlineStr"/>
    </row>
    <row r="730">
      <c r="A730" s="2" t="n">
        <v>729</v>
      </c>
      <c r="B730" s="2" t="inlineStr">
        <is>
          <t>676C</t>
        </is>
      </c>
      <c r="C730" s="3" t="n">
        <v>45966.81944444445</v>
      </c>
      <c r="D730" s="2" t="inlineStr">
        <is>
          <t>Original</t>
        </is>
      </c>
      <c r="E730" s="2" t="inlineStr">
        <is>
          <t>IL</t>
        </is>
      </c>
      <c r="F730" s="2" t="inlineStr">
        <is>
          <t>Angélique Da Teresa; Carlos Guimarães Pinto; Joana Cordeiro; Jorge Miguel Teixeira; Mariana Leitão; Mário Amorim Lopes; Miguel Rangel; Rodrigo Saraiva; Rui Rocha</t>
        </is>
      </c>
      <c r="G730" s="2" t="inlineStr">
        <is>
          <t>Art. 67.º (aditamento)</t>
        </is>
      </c>
      <c r="H730" s="2" t="n"/>
      <c r="I730" s="2" t="n"/>
      <c r="J730" s="2" t="n"/>
      <c r="K730" s="2" t="n"/>
      <c r="L730" s="2" t="inlineStr">
        <is>
          <t>Novo N.º 2, Artigo 52.º do Código do ISV</t>
        </is>
      </c>
      <c r="M730" s="4" t="n"/>
      <c r="N730" s="4" t="n"/>
      <c r="O730" s="2" t="n"/>
      <c r="P730" s="2" t="n"/>
      <c r="Q730" s="2" t="n"/>
      <c r="R730" s="2" t="n"/>
      <c r="S730" s="2" t="inlineStr">
        <is>
          <t>Aprovado(a) por Unanimidade em Comissão</t>
        </is>
      </c>
      <c r="T730" s="2" t="inlineStr">
        <is>
          <t>Aprovada</t>
        </is>
      </c>
      <c r="U730" s="2" t="inlineStr">
        <is>
          <t>Favor: PSD, CH, PS, IL, L, PCP, CDS-PP, BE, PAN</t>
        </is>
      </c>
      <c r="V730" s="3" t="n">
        <v>45982</v>
      </c>
      <c r="W730" s="2" t="inlineStr">
        <is>
          <t>AR: https://www.parlamento.pt/OrcamentoEstado/Paginas/DetalhePropostaAlteracao.aspx?BID=23902 PDF: https://app.parlamento.pt/webutils/docs/doc.pdf?path=6148523063484d364c793942556b356c6443397a6158526c63793959566b6c4a544556484c3039464c7a49774d6a59794d4449314d5441774f5339515153396a4d6a4d324e7a4e6b4d79316c596d4a6b4c5451324e7a5174596a4a6c4e7930354d6a457a593251314d6a45304d7a59756347526d&amp;Fich=c23673d3-ebbd-4674-b2e7-9213cd521436.pdf&amp;Inline=true</t>
        </is>
      </c>
      <c r="X730" s="2" t="inlineStr">
        <is>
          <t>Cultura, Comunicação, Juventude e Desporto; Orçamento, Finanças e Administração Pública</t>
        </is>
      </c>
      <c r="Y730" s="2" t="inlineStr">
        <is>
          <t>Articulado</t>
        </is>
      </c>
      <c r="Z730" s="2" t="inlineStr">
        <is>
          <t>Aditamento (Números e Alíneas)</t>
        </is>
      </c>
      <c r="AA730" s="2" t="inlineStr">
        <is>
          <t>Aprovado(a) por Unanimidade em Comissão</t>
        </is>
      </c>
      <c r="AB730" s="2" t="inlineStr"/>
      <c r="AC730" s="2" t="inlineStr"/>
      <c r="AD730" s="2" t="inlineStr">
        <is>
          <t>1</t>
        </is>
      </c>
      <c r="AE730" s="2" t="inlineStr">
        <is>
          <t>23902</t>
        </is>
      </c>
      <c r="AF730" s="2" t="inlineStr">
        <is>
          <t>https://www.parlamento.pt/OrcamentoEstado/Paginas/DetalhePropostaAlteracao.aspx?BID=23902</t>
        </is>
      </c>
      <c r="AG730" s="2" t="inlineStr">
        <is>
          <t>https://app.parlamento.pt/webutils/docs/doc.pdf?path=6148523063484d364c793942556b356c6443397a6158526c63793959566b6c4a544556484c3039464c7a49774d6a59794d4449314d5441774f5339515153396a4d6a4d324e7a4e6b4d79316c596d4a6b4c5451324e7a5174596a4a6c4e7930354d6a457a593251314d6a45304d7a59756347526d&amp;Fich=c23673d3-ebbd-4674-b2e7-9213cd521436.pdf&amp;Inline=true</t>
        </is>
      </c>
      <c r="AH730" s="3" t="n">
        <v>46321.77847222222</v>
      </c>
      <c r="AI730" s="3" t="n">
        <v>46321.78055555555</v>
      </c>
      <c r="AJ730" s="2" t="inlineStr"/>
    </row>
    <row r="731">
      <c r="A731" s="2" t="n">
        <v>730</v>
      </c>
      <c r="B731" s="2" t="inlineStr">
        <is>
          <t>677C</t>
        </is>
      </c>
      <c r="C731" s="3" t="n">
        <v>45966.82152777778</v>
      </c>
      <c r="D731" s="2" t="inlineStr">
        <is>
          <t>Original</t>
        </is>
      </c>
      <c r="E731" s="2" t="inlineStr">
        <is>
          <t>PCP</t>
        </is>
      </c>
      <c r="F731" s="2" t="inlineStr">
        <is>
          <t>Alfredo Maia; Paula Santos; Paulo Raimundo</t>
        </is>
      </c>
      <c r="G731" s="2" t="inlineStr">
        <is>
          <t>Art. 113.º-A (aditamento)</t>
        </is>
      </c>
      <c r="H731" s="2" t="n"/>
      <c r="I731" s="2" t="n"/>
      <c r="J731" s="2" t="n"/>
      <c r="K731" s="2" t="n"/>
      <c r="L731" s="2" t="inlineStr">
        <is>
          <t>Artigo 113.º-A (Apoios à perda de rendimento e reposição do potencial produtivo resultantes da doença da língua azul nos ovinos)</t>
        </is>
      </c>
      <c r="M731" s="4" t="n"/>
      <c r="N731" s="4" t="n"/>
      <c r="O731" s="2" t="n"/>
      <c r="P731" s="2" t="n"/>
      <c r="Q731" s="2" t="n"/>
      <c r="R731" s="2" t="n"/>
      <c r="S731" s="2" t="inlineStr">
        <is>
          <t>Rejeitado(a) em Comissão</t>
        </is>
      </c>
      <c r="T731" s="2" t="inlineStr">
        <is>
          <t>Rejeitada</t>
        </is>
      </c>
      <c r="U731" s="2" t="inlineStr">
        <is>
          <t>Favor: PS, IL, L, PCP, BE, PAN; Contra: PSD, CDS-PP; Abstenção: CH</t>
        </is>
      </c>
      <c r="V731" s="3" t="n">
        <v>45985</v>
      </c>
      <c r="W731" s="2" t="inlineStr">
        <is>
          <t>AR: https://www.parlamento.pt/OrcamentoEstado/Paginas/DetalhePropostaAlteracao.aspx?BID=23903 PDF: https://app.parlamento.pt/webutils/docs/doc.pdf?path=6148523063484d364c793942556b356c6443397a6158526c63793959566b6c4a544556484c3039464c7a49774d6a59794d4449314d5441774f5339515153387a5a6d5a684f446c6a4e5330314e574a6c4c5452695a47557459545a6a5a5330784d4459794e474d7a4d444d7a4f4467756347526d&amp;Fich=3ffa89c5-55be-4bde-a6ce-10624c303388.pdf&amp;Inline=true</t>
        </is>
      </c>
      <c r="X731" s="2" t="inlineStr">
        <is>
          <t>Agricultura e Pescas</t>
        </is>
      </c>
      <c r="Y731" s="2" t="inlineStr">
        <is>
          <t>Articulado</t>
        </is>
      </c>
      <c r="Z731" s="2" t="inlineStr">
        <is>
          <t>Aditamento (Artigo PPL)</t>
        </is>
      </c>
      <c r="AA731" s="2" t="inlineStr">
        <is>
          <t>Rejeitado(a) em Comissão</t>
        </is>
      </c>
      <c r="AB731" s="2" t="inlineStr"/>
      <c r="AC731" s="2" t="inlineStr"/>
      <c r="AD731" s="2" t="inlineStr">
        <is>
          <t>1</t>
        </is>
      </c>
      <c r="AE731" s="2" t="inlineStr">
        <is>
          <t>23903</t>
        </is>
      </c>
      <c r="AF731" s="2" t="inlineStr">
        <is>
          <t>https://www.parlamento.pt/OrcamentoEstado/Paginas/DetalhePropostaAlteracao.aspx?BID=23903</t>
        </is>
      </c>
      <c r="AG731" s="2" t="inlineStr">
        <is>
          <t>https://app.parlamento.pt/webutils/docs/doc.pdf?path=6148523063484d364c793942556b356c6443397a6158526c63793959566b6c4a544556484c3039464c7a49774d6a59794d4449314d5441774f5339515153387a5a6d5a684f446c6a4e5330314e574a6c4c5452695a47557459545a6a5a5330784d4459794e474d7a4d444d7a4f4467756347526d&amp;Fich=3ffa89c5-55be-4bde-a6ce-10624c303388.pdf&amp;Inline=true</t>
        </is>
      </c>
      <c r="AH731" s="3" t="n">
        <v>46321.77847222222</v>
      </c>
      <c r="AI731" s="3" t="n">
        <v>46321.78055555555</v>
      </c>
      <c r="AJ731" s="2" t="inlineStr"/>
    </row>
    <row r="732">
      <c r="A732" s="2" t="n">
        <v>731</v>
      </c>
      <c r="B732" s="2" t="inlineStr">
        <is>
          <t>678C</t>
        </is>
      </c>
      <c r="C732" s="3" t="n">
        <v>45966.82291666666</v>
      </c>
      <c r="D732" s="2" t="inlineStr">
        <is>
          <t>Original</t>
        </is>
      </c>
      <c r="E732" s="2" t="inlineStr">
        <is>
          <t>PCP</t>
        </is>
      </c>
      <c r="F732" s="2" t="inlineStr">
        <is>
          <t>Alfredo Maia; Paula Santos; Paulo Raimundo</t>
        </is>
      </c>
      <c r="G732" s="2" t="inlineStr">
        <is>
          <t>Art. 118.º-A (aditamento)</t>
        </is>
      </c>
      <c r="H732" s="2" t="n"/>
      <c r="I732" s="2" t="n"/>
      <c r="J732" s="2" t="n"/>
      <c r="K732" s="2" t="n"/>
      <c r="L732" s="2" t="inlineStr">
        <is>
          <t>Artigo 118.º-A (Apoio à atividade das coletividades de cultura, recreio e desporto)</t>
        </is>
      </c>
      <c r="M732" s="4" t="n"/>
      <c r="N732" s="4" t="n"/>
      <c r="O732" s="2" t="n"/>
      <c r="P732" s="2" t="n"/>
      <c r="Q732" s="2" t="n"/>
      <c r="R732" s="2" t="n"/>
      <c r="S732" s="2" t="inlineStr">
        <is>
          <t>Rejeitado(a) em Comissão</t>
        </is>
      </c>
      <c r="T732" s="2" t="inlineStr">
        <is>
          <t>Rejeitada</t>
        </is>
      </c>
      <c r="U732" s="2" t="inlineStr">
        <is>
          <t>Favor: L, PCP, BE; Contra: PSD, IL, CDS-PP; Abstenção: CH, PS, PAN</t>
        </is>
      </c>
      <c r="V732" s="3" t="n">
        <v>45985</v>
      </c>
      <c r="W732" s="2" t="inlineStr">
        <is>
          <t>AR: https://www.parlamento.pt/OrcamentoEstado/Paginas/DetalhePropostaAlteracao.aspx?BID=23904 PDF: https://app.parlamento.pt/webutils/docs/doc.pdf?path=6148523063484d364c793942556b356c6443397a6158526c63793959566b6c4a544556484c3039464c7a49774d6a59794d4449314d5441774f5339515153396d4e5463334d54466a4e4330304e546b774c5451784d324d74596d5a684f43316b4e7a4a6c59324a6a5a5749334e4467756347526d&amp;Fich=f57711c4-4590-413c-bfa8-d72ecbceb748.pdf&amp;Inline=true</t>
        </is>
      </c>
      <c r="X732" s="2" t="inlineStr">
        <is>
          <t>Cultura, Comunicação, Juventude e Desporto</t>
        </is>
      </c>
      <c r="Y732" s="2" t="inlineStr">
        <is>
          <t>Articulado</t>
        </is>
      </c>
      <c r="Z732" s="2" t="inlineStr">
        <is>
          <t>Aditamento (Artigo PPL)</t>
        </is>
      </c>
      <c r="AA732" s="2" t="inlineStr">
        <is>
          <t>Rejeitado(a) em Comissão</t>
        </is>
      </c>
      <c r="AB732" s="2" t="inlineStr"/>
      <c r="AC732" s="2" t="inlineStr"/>
      <c r="AD732" s="2" t="inlineStr">
        <is>
          <t>1</t>
        </is>
      </c>
      <c r="AE732" s="2" t="inlineStr">
        <is>
          <t>23904</t>
        </is>
      </c>
      <c r="AF732" s="2" t="inlineStr">
        <is>
          <t>https://www.parlamento.pt/OrcamentoEstado/Paginas/DetalhePropostaAlteracao.aspx?BID=23904</t>
        </is>
      </c>
      <c r="AG732" s="2" t="inlineStr">
        <is>
          <t>https://app.parlamento.pt/webutils/docs/doc.pdf?path=6148523063484d364c793942556b356c6443397a6158526c63793959566b6c4a544556484c3039464c7a49774d6a59794d4449314d5441774f5339515153396d4e5463334d54466a4e4330304e546b774c5451784d324d74596d5a684f43316b4e7a4a6c59324a6a5a5749334e4467756347526d&amp;Fich=f57711c4-4590-413c-bfa8-d72ecbceb748.pdf&amp;Inline=true</t>
        </is>
      </c>
      <c r="AH732" s="3" t="n">
        <v>46321.77847222222</v>
      </c>
      <c r="AI732" s="3" t="n">
        <v>46321.78055555555</v>
      </c>
      <c r="AJ732" s="2" t="inlineStr"/>
    </row>
    <row r="733">
      <c r="A733" s="2" t="n">
        <v>732</v>
      </c>
      <c r="B733" s="2" t="inlineStr">
        <is>
          <t>679C</t>
        </is>
      </c>
      <c r="C733" s="3" t="n">
        <v>45966.82430555556</v>
      </c>
      <c r="D733" s="2" t="inlineStr">
        <is>
          <t>Original</t>
        </is>
      </c>
      <c r="E733" s="2" t="inlineStr">
        <is>
          <t>PCP</t>
        </is>
      </c>
      <c r="F733" s="2" t="inlineStr">
        <is>
          <t>Alfredo Maia; Paula Santos; Paulo Raimundo</t>
        </is>
      </c>
      <c r="G733" s="2" t="inlineStr">
        <is>
          <t>Art. 118.º-A (aditamento)</t>
        </is>
      </c>
      <c r="H733" s="2" t="n"/>
      <c r="I733" s="2" t="n"/>
      <c r="J733" s="2" t="n"/>
      <c r="K733" s="2" t="n"/>
      <c r="L733" s="2" t="inlineStr">
        <is>
          <t>Artigo 118.º-A (Apoio aos processos de regularização dos edifícios associativos)</t>
        </is>
      </c>
      <c r="M733" s="4" t="n"/>
      <c r="N733" s="4" t="n"/>
      <c r="O733" s="2" t="n"/>
      <c r="P733" s="2" t="n"/>
      <c r="Q733" s="2" t="n"/>
      <c r="R733" s="2" t="n"/>
      <c r="S733" s="2" t="inlineStr">
        <is>
          <t>Rejeitado(a) em Comissão</t>
        </is>
      </c>
      <c r="T733" s="2" t="inlineStr">
        <is>
          <t>Rejeitada</t>
        </is>
      </c>
      <c r="U733" s="2" t="inlineStr">
        <is>
          <t>Favor: L, PCP, BE, PAN; Contra: PSD, CH, IL, CDS-PP; Abstenção: PS</t>
        </is>
      </c>
      <c r="V733" s="3" t="n">
        <v>45985</v>
      </c>
      <c r="W733" s="2" t="inlineStr">
        <is>
          <t>AR: https://www.parlamento.pt/OrcamentoEstado/Paginas/DetalhePropostaAlteracao.aspx?BID=23905 PDF: https://app.parlamento.pt/webutils/docs/doc.pdf?path=6148523063484d364c793942556b356c6443397a6158526c63793959566b6c4a544556484c3039464c7a49774d6a59794d4449314d5441774f5339515153396d5954646c4f546b355953316a4d5455794c5451784e3249744f5445314e6930305a6a4130597a426a595456684f5755756347526d&amp;Fich=fa7e999a-c152-417b-9156-4f04c0ca5a9e.pdf&amp;Inline=true</t>
        </is>
      </c>
      <c r="X733" s="2" t="inlineStr">
        <is>
          <t>Cultura, Comunicação, Juventude e Desporto</t>
        </is>
      </c>
      <c r="Y733" s="2" t="inlineStr">
        <is>
          <t>Articulado</t>
        </is>
      </c>
      <c r="Z733" s="2" t="inlineStr">
        <is>
          <t>Aditamento (Artigo PPL)</t>
        </is>
      </c>
      <c r="AA733" s="2" t="inlineStr">
        <is>
          <t>Rejeitado(a) em Comissão</t>
        </is>
      </c>
      <c r="AB733" s="2" t="inlineStr"/>
      <c r="AC733" s="2" t="inlineStr"/>
      <c r="AD733" s="2" t="inlineStr">
        <is>
          <t>1</t>
        </is>
      </c>
      <c r="AE733" s="2" t="inlineStr">
        <is>
          <t>23905</t>
        </is>
      </c>
      <c r="AF733" s="2" t="inlineStr">
        <is>
          <t>https://www.parlamento.pt/OrcamentoEstado/Paginas/DetalhePropostaAlteracao.aspx?BID=23905</t>
        </is>
      </c>
      <c r="AG733" s="2" t="inlineStr">
        <is>
          <t>https://app.parlamento.pt/webutils/docs/doc.pdf?path=6148523063484d364c793942556b356c6443397a6158526c63793959566b6c4a544556484c3039464c7a49774d6a59794d4449314d5441774f5339515153396d5954646c4f546b355953316a4d5455794c5451784e3249744f5445314e6930305a6a4130597a426a595456684f5755756347526d&amp;Fich=fa7e999a-c152-417b-9156-4f04c0ca5a9e.pdf&amp;Inline=true</t>
        </is>
      </c>
      <c r="AH733" s="3" t="n">
        <v>46321.77847222222</v>
      </c>
      <c r="AI733" s="3" t="n">
        <v>46321.78055555555</v>
      </c>
      <c r="AJ733" s="2" t="inlineStr"/>
    </row>
    <row r="734">
      <c r="A734" s="2" t="n">
        <v>733</v>
      </c>
      <c r="B734" s="2" t="inlineStr">
        <is>
          <t>680C</t>
        </is>
      </c>
      <c r="C734" s="3" t="n">
        <v>45966.825</v>
      </c>
      <c r="D734" s="2" t="inlineStr">
        <is>
          <t>Original</t>
        </is>
      </c>
      <c r="E734" s="2" t="inlineStr">
        <is>
          <t>PCP</t>
        </is>
      </c>
      <c r="F734" s="2" t="inlineStr">
        <is>
          <t>Alfredo Maia; Paula Santos; Paulo Raimundo</t>
        </is>
      </c>
      <c r="G734" s="2" t="inlineStr">
        <is>
          <t>Art. 118.º-A (aditamento)</t>
        </is>
      </c>
      <c r="H734" s="2" t="n"/>
      <c r="I734" s="2" t="n"/>
      <c r="J734" s="2" t="n"/>
      <c r="K734" s="2" t="n"/>
      <c r="L734" s="2" t="inlineStr">
        <is>
          <t>Artigo 118.º-A (Programa de apoio às bibliotecas e salvaguarda dos arquivos do movimento associativo popular)</t>
        </is>
      </c>
      <c r="M734" s="4" t="n"/>
      <c r="N734" s="4" t="n"/>
      <c r="O734" s="2" t="n"/>
      <c r="P734" s="2" t="n"/>
      <c r="Q734" s="2" t="n"/>
      <c r="R734" s="2" t="n"/>
      <c r="S734" s="2" t="inlineStr">
        <is>
          <t>Rejeitado(a) em Comissão</t>
        </is>
      </c>
      <c r="T734" s="2" t="inlineStr">
        <is>
          <t>Rejeitada</t>
        </is>
      </c>
      <c r="U734" s="2" t="inlineStr">
        <is>
          <t>Favor: L, PCP, BE, PAN; Contra: PSD, IL, CDS-PP; Abstenção: CH, PS</t>
        </is>
      </c>
      <c r="V734" s="3" t="n">
        <v>45985</v>
      </c>
      <c r="W734" s="2" t="inlineStr">
        <is>
          <t>AR: https://www.parlamento.pt/OrcamentoEstado/Paginas/DetalhePropostaAlteracao.aspx?BID=23906 PDF: https://app.parlamento.pt/webutils/docs/doc.pdf?path=6148523063484d364c793942556b356c6443397a6158526c63793959566b6c4a544556484c3039464c7a49774d6a59794d4449314d5441774f533951515339694d5459785a474d7a4e53316b4e4451784c5451314e6a59744f5446694e53316b4d324a6d59324e6a4d7a55784d4441756347526d&amp;Fich=b161dc35-d441-4566-91b5-d3bfccc35100.pdf&amp;Inline=true</t>
        </is>
      </c>
      <c r="X734" s="2" t="inlineStr">
        <is>
          <t>Cultura, Comunicação, Juventude e Desporto</t>
        </is>
      </c>
      <c r="Y734" s="2" t="inlineStr">
        <is>
          <t>Articulado</t>
        </is>
      </c>
      <c r="Z734" s="2" t="inlineStr">
        <is>
          <t>Aditamento (Artigo PPL)</t>
        </is>
      </c>
      <c r="AA734" s="2" t="inlineStr">
        <is>
          <t>Rejeitado(a) em Comissão</t>
        </is>
      </c>
      <c r="AB734" s="2" t="inlineStr"/>
      <c r="AC734" s="2" t="inlineStr"/>
      <c r="AD734" s="2" t="inlineStr">
        <is>
          <t>1</t>
        </is>
      </c>
      <c r="AE734" s="2" t="inlineStr">
        <is>
          <t>23906</t>
        </is>
      </c>
      <c r="AF734" s="2" t="inlineStr">
        <is>
          <t>https://www.parlamento.pt/OrcamentoEstado/Paginas/DetalhePropostaAlteracao.aspx?BID=23906</t>
        </is>
      </c>
      <c r="AG734" s="2" t="inlineStr">
        <is>
          <t>https://app.parlamento.pt/webutils/docs/doc.pdf?path=6148523063484d364c793942556b356c6443397a6158526c63793959566b6c4a544556484c3039464c7a49774d6a59794d4449314d5441774f533951515339694d5459785a474d7a4e53316b4e4451784c5451314e6a59744f5446694e53316b4d324a6d59324e6a4d7a55784d4441756347526d&amp;Fich=b161dc35-d441-4566-91b5-d3bfccc35100.pdf&amp;Inline=true</t>
        </is>
      </c>
      <c r="AH734" s="3" t="n">
        <v>46321.77847222222</v>
      </c>
      <c r="AI734" s="3" t="n">
        <v>46321.78055555555</v>
      </c>
      <c r="AJ734" s="2" t="inlineStr"/>
    </row>
    <row r="735">
      <c r="A735" s="2" t="n">
        <v>734</v>
      </c>
      <c r="B735" s="2" t="inlineStr">
        <is>
          <t>681C</t>
        </is>
      </c>
      <c r="C735" s="3" t="n">
        <v>45966.82569444444</v>
      </c>
      <c r="D735" s="2" t="inlineStr">
        <is>
          <t>Original</t>
        </is>
      </c>
      <c r="E735" s="2" t="inlineStr">
        <is>
          <t>PCP</t>
        </is>
      </c>
      <c r="F735" s="2" t="inlineStr">
        <is>
          <t>Alfredo Maia; Paula Santos; Paulo Raimundo</t>
        </is>
      </c>
      <c r="G735" s="2" t="inlineStr">
        <is>
          <t>Art. 62.º (substituição)</t>
        </is>
      </c>
      <c r="H735" s="2" t="n"/>
      <c r="I735" s="2" t="n"/>
      <c r="J735" s="2" t="n"/>
      <c r="K735" s="2" t="n"/>
      <c r="L735" s="2" t="inlineStr">
        <is>
          <t>N.º 1, Artigo 54.º do Estatuto dos Benefícios Fiscais</t>
        </is>
      </c>
      <c r="M735" s="4" t="n"/>
      <c r="N735" s="4" t="n"/>
      <c r="O735" s="2" t="n"/>
      <c r="P735" s="2" t="n"/>
      <c r="Q735" s="2" t="n"/>
      <c r="R735" s="2" t="n"/>
      <c r="S735" s="2" t="inlineStr">
        <is>
          <t>Rejeitado(a) em Comissão</t>
        </is>
      </c>
      <c r="T735" s="2" t="inlineStr">
        <is>
          <t>Rejeitada</t>
        </is>
      </c>
      <c r="U735" s="2" t="inlineStr">
        <is>
          <t>Favor: PS, IL, L, PCP, BE, PAN; Contra: PSD, CDS-PP; Abstenção: CH</t>
        </is>
      </c>
      <c r="V735" s="3" t="n">
        <v>45981</v>
      </c>
      <c r="W735" s="2" t="inlineStr">
        <is>
          <t>AR: https://www.parlamento.pt/OrcamentoEstado/Paginas/DetalhePropostaAlteracao.aspx?BID=23907 PDF: https://app.parlamento.pt/webutils/docs/doc.pdf?path=6148523063484d364c793942556b356c6443397a6158526c63793959566b6c4a544556484c3039464c7a49774d6a59794d4449314d5441774f533951515338335a544a6c4d5449344f5331694d7a4a6a4c5451344d6d45745957566a5a5330784e7a4a6d4e546c68593251334e6a59756347526d&amp;Fich=7e2e1289-b32c-482a-aece-172f59acd766.pdf&amp;Inline=true</t>
        </is>
      </c>
      <c r="X735" s="2" t="inlineStr">
        <is>
          <t>Cultura, Comunicação, Juventude e Desporto</t>
        </is>
      </c>
      <c r="Y735" s="2" t="inlineStr">
        <is>
          <t>Articulado</t>
        </is>
      </c>
      <c r="Z735" s="2" t="inlineStr">
        <is>
          <t>Substituição</t>
        </is>
      </c>
      <c r="AA735" s="2" t="inlineStr">
        <is>
          <t>Rejeitado(a) em Comissão</t>
        </is>
      </c>
      <c r="AB735" s="2" t="inlineStr"/>
      <c r="AC735" s="2" t="inlineStr"/>
      <c r="AD735" s="2" t="inlineStr">
        <is>
          <t>1</t>
        </is>
      </c>
      <c r="AE735" s="2" t="inlineStr">
        <is>
          <t>23907</t>
        </is>
      </c>
      <c r="AF735" s="2" t="inlineStr">
        <is>
          <t>https://www.parlamento.pt/OrcamentoEstado/Paginas/DetalhePropostaAlteracao.aspx?BID=23907</t>
        </is>
      </c>
      <c r="AG735" s="2" t="inlineStr">
        <is>
          <t>https://app.parlamento.pt/webutils/docs/doc.pdf?path=6148523063484d364c793942556b356c6443397a6158526c63793959566b6c4a544556484c3039464c7a49774d6a59794d4449314d5441774f533951515338335a544a6c4d5449344f5331694d7a4a6a4c5451344d6d45745957566a5a5330784e7a4a6d4e546c68593251334e6a59756347526d&amp;Fich=7e2e1289-b32c-482a-aece-172f59acd766.pdf&amp;Inline=true</t>
        </is>
      </c>
      <c r="AH735" s="3" t="n">
        <v>46321.77847222222</v>
      </c>
      <c r="AI735" s="3" t="n">
        <v>46321.78055555555</v>
      </c>
      <c r="AJ735" s="2" t="inlineStr"/>
    </row>
    <row r="736">
      <c r="A736" s="2" t="n">
        <v>735</v>
      </c>
      <c r="B736" s="2" t="inlineStr">
        <is>
          <t>682C</t>
        </is>
      </c>
      <c r="C736" s="3" t="n">
        <v>45966.82916666667</v>
      </c>
      <c r="D736" s="2" t="inlineStr">
        <is>
          <t>Original</t>
        </is>
      </c>
      <c r="E736" s="2" t="inlineStr">
        <is>
          <t>PCP</t>
        </is>
      </c>
      <c r="F736" s="2" t="inlineStr">
        <is>
          <t>Alfredo Maia; Paula Santos; Paulo Raimundo</t>
        </is>
      </c>
      <c r="G736" s="2" t="inlineStr">
        <is>
          <t>Art. 30.º-A (aditamento)</t>
        </is>
      </c>
      <c r="H736" s="2" t="n"/>
      <c r="I736" s="2" t="n"/>
      <c r="J736" s="2" t="n"/>
      <c r="K736" s="2" t="n"/>
      <c r="L736" s="2" t="inlineStr">
        <is>
          <t>Artigo 30.º-A (Reposição do tempo de trabalho para progressão na carreira dos trabalhadores da Caixa Geral de Depósitos)</t>
        </is>
      </c>
      <c r="M736" s="4" t="n"/>
      <c r="N736" s="4" t="n"/>
      <c r="O736" s="2" t="n"/>
      <c r="P736" s="2" t="n"/>
      <c r="Q736" s="2" t="n"/>
      <c r="R736" s="2" t="n"/>
      <c r="S736" s="2" t="inlineStr">
        <is>
          <t>Rejeitado(a) em Comissão</t>
        </is>
      </c>
      <c r="T736" s="2" t="inlineStr">
        <is>
          <t>Rejeitada</t>
        </is>
      </c>
      <c r="U736" s="2" t="inlineStr">
        <is>
          <t>Favor: L, PCP, BE, PAN; Contra: PSD, CDS-PP; Abstenção: CH, PS, IL</t>
        </is>
      </c>
      <c r="V736" s="3" t="n">
        <v>45981</v>
      </c>
      <c r="W736" s="2" t="inlineStr">
        <is>
          <t>AR: https://www.parlamento.pt/OrcamentoEstado/Paginas/DetalhePropostaAlteracao.aspx?BID=23908 PDF: https://app.parlamento.pt/webutils/docs/doc.pdf?path=6148523063484d364c793942556b356c6443397a6158526c63793959566b6c4a544556484c3039464c7a49774d6a59794d4449314d5441774f5339515153396b5a4449795a5441315a6931684d446c6c4c5451354d5455744f544d3059693032597a45774e57553259544132596a51756347526d&amp;Fich=dd22e05f-a09e-4915-934b-6c105e6a06b4.pdf&amp;Inline=true</t>
        </is>
      </c>
      <c r="X736" s="2" t="inlineStr">
        <is>
          <t>Orçamento, Finanças e Administração Pública</t>
        </is>
      </c>
      <c r="Y736" s="2" t="inlineStr">
        <is>
          <t>Articulado</t>
        </is>
      </c>
      <c r="Z736" s="2" t="inlineStr">
        <is>
          <t>Aditamento (Artigo PPL)</t>
        </is>
      </c>
      <c r="AA736" s="2" t="inlineStr">
        <is>
          <t>Rejeitado(a) em Comissão</t>
        </is>
      </c>
      <c r="AB736" s="2" t="inlineStr"/>
      <c r="AC736" s="2" t="inlineStr"/>
      <c r="AD736" s="2" t="inlineStr">
        <is>
          <t>1</t>
        </is>
      </c>
      <c r="AE736" s="2" t="inlineStr">
        <is>
          <t>23908</t>
        </is>
      </c>
      <c r="AF736" s="2" t="inlineStr">
        <is>
          <t>https://www.parlamento.pt/OrcamentoEstado/Paginas/DetalhePropostaAlteracao.aspx?BID=23908</t>
        </is>
      </c>
      <c r="AG736" s="2" t="inlineStr">
        <is>
          <t>https://app.parlamento.pt/webutils/docs/doc.pdf?path=6148523063484d364c793942556b356c6443397a6158526c63793959566b6c4a544556484c3039464c7a49774d6a59794d4449314d5441774f5339515153396b5a4449795a5441315a6931684d446c6c4c5451354d5455744f544d3059693032597a45774e57553259544132596a51756347526d&amp;Fich=dd22e05f-a09e-4915-934b-6c105e6a06b4.pdf&amp;Inline=true</t>
        </is>
      </c>
      <c r="AH736" s="3" t="n">
        <v>46321.77847222222</v>
      </c>
      <c r="AI736" s="3" t="n">
        <v>46321.78055555555</v>
      </c>
      <c r="AJ736" s="2" t="inlineStr"/>
    </row>
    <row r="737">
      <c r="A737" s="2" t="n">
        <v>736</v>
      </c>
      <c r="B737" s="2" t="inlineStr">
        <is>
          <t>683C</t>
        </is>
      </c>
      <c r="C737" s="3" t="n">
        <v>45966.83055555556</v>
      </c>
      <c r="D737" s="2" t="inlineStr">
        <is>
          <t>Original</t>
        </is>
      </c>
      <c r="E737" s="2" t="inlineStr">
        <is>
          <t>PCP</t>
        </is>
      </c>
      <c r="F737" s="2" t="inlineStr">
        <is>
          <t>Alfredo Maia; Paula Santos; Paulo Raimundo</t>
        </is>
      </c>
      <c r="G737" s="2" t="inlineStr">
        <is>
          <t>Art. 28.º-A (aditamento)</t>
        </is>
      </c>
      <c r="H737" s="2" t="n"/>
      <c r="I737" s="2" t="n"/>
      <c r="J737" s="2" t="n"/>
      <c r="K737" s="2" t="n"/>
      <c r="L737" s="2" t="inlineStr">
        <is>
          <t>Artigo 28.º-A (Promoções de militares das Forças Armadas)</t>
        </is>
      </c>
      <c r="M737" s="4" t="n"/>
      <c r="N737" s="4" t="n"/>
      <c r="O737" s="2" t="n"/>
      <c r="P737" s="2" t="n"/>
      <c r="Q737" s="2" t="n"/>
      <c r="R737" s="2" t="n"/>
      <c r="S737" s="2" t="inlineStr">
        <is>
          <t>Rejeitado(a) em Comissão</t>
        </is>
      </c>
      <c r="T737" s="2" t="inlineStr">
        <is>
          <t>Rejeitada</t>
        </is>
      </c>
      <c r="U737" s="2" t="inlineStr">
        <is>
          <t>Favor: L, PCP, BE, PAN; Contra: PSD, CDS-PP; Abstenção: CH, PS, IL</t>
        </is>
      </c>
      <c r="V737" s="3" t="n">
        <v>45981</v>
      </c>
      <c r="W737" s="2" t="inlineStr">
        <is>
          <t>AR: https://www.parlamento.pt/OrcamentoEstado/Paginas/DetalhePropostaAlteracao.aspx?BID=23909 PDF: https://app.parlamento.pt/webutils/docs/doc.pdf?path=6148523063484d364c793942556b356c6443397a6158526c63793959566b6c4a544556484c3039464c7a49774d6a59794d4449314d5441774f5339515153387859325a6b4f4755354f433077595745324c5451345a446774595759354f4330354f5749794d7a6c6d5a575133593259756347526d&amp;Fich=1cfd8e98-0aa6-48d8-af98-99b239fed7cf.pdf&amp;Inline=true</t>
        </is>
      </c>
      <c r="X737" s="2" t="inlineStr">
        <is>
          <t>Defesa Nacional</t>
        </is>
      </c>
      <c r="Y737" s="2" t="inlineStr">
        <is>
          <t>Articulado</t>
        </is>
      </c>
      <c r="Z737" s="2" t="inlineStr">
        <is>
          <t>Aditamento (Artigo PPL)</t>
        </is>
      </c>
      <c r="AA737" s="2" t="inlineStr">
        <is>
          <t>Rejeitado(a) em Comissão</t>
        </is>
      </c>
      <c r="AB737" s="2" t="inlineStr"/>
      <c r="AC737" s="2" t="inlineStr"/>
      <c r="AD737" s="2" t="inlineStr">
        <is>
          <t>1</t>
        </is>
      </c>
      <c r="AE737" s="2" t="inlineStr">
        <is>
          <t>23909</t>
        </is>
      </c>
      <c r="AF737" s="2" t="inlineStr">
        <is>
          <t>https://www.parlamento.pt/OrcamentoEstado/Paginas/DetalhePropostaAlteracao.aspx?BID=23909</t>
        </is>
      </c>
      <c r="AG737" s="2" t="inlineStr">
        <is>
          <t>https://app.parlamento.pt/webutils/docs/doc.pdf?path=6148523063484d364c793942556b356c6443397a6158526c63793959566b6c4a544556484c3039464c7a49774d6a59794d4449314d5441774f5339515153387859325a6b4f4755354f433077595745324c5451345a446774595759354f4330354f5749794d7a6c6d5a575133593259756347526d&amp;Fich=1cfd8e98-0aa6-48d8-af98-99b239fed7cf.pdf&amp;Inline=true</t>
        </is>
      </c>
      <c r="AH737" s="3" t="n">
        <v>46321.77847222222</v>
      </c>
      <c r="AI737" s="3" t="n">
        <v>46321.78055555555</v>
      </c>
      <c r="AJ737" s="2" t="inlineStr"/>
    </row>
    <row r="738">
      <c r="A738" s="2" t="n">
        <v>737</v>
      </c>
      <c r="B738" s="2" t="inlineStr">
        <is>
          <t>684C</t>
        </is>
      </c>
      <c r="C738" s="3" t="n">
        <v>45966.83125</v>
      </c>
      <c r="D738" s="2" t="inlineStr">
        <is>
          <t>Original</t>
        </is>
      </c>
      <c r="E738" s="2" t="inlineStr">
        <is>
          <t>PCP</t>
        </is>
      </c>
      <c r="F738" s="2" t="inlineStr">
        <is>
          <t>Alfredo Maia; Paula Santos; Paulo Raimundo</t>
        </is>
      </c>
      <c r="G738" s="2" t="inlineStr">
        <is>
          <t>Art. 28.º-A (aditamento)</t>
        </is>
      </c>
      <c r="H738" s="2" t="n"/>
      <c r="I738" s="2" t="n"/>
      <c r="J738" s="2" t="n"/>
      <c r="K738" s="2" t="n"/>
      <c r="L738" s="2" t="inlineStr">
        <is>
          <t>Artigo 28.º-A (Atualização do Regime Remuneratório dos Militares das Forças Armadas)</t>
        </is>
      </c>
      <c r="M738" s="4" t="n"/>
      <c r="N738" s="4" t="n"/>
      <c r="O738" s="2" t="n"/>
      <c r="P738" s="2" t="n"/>
      <c r="Q738" s="2" t="n"/>
      <c r="R738" s="2" t="n"/>
      <c r="S738" s="2" t="inlineStr">
        <is>
          <t>Rejeitado(a) em Comissão</t>
        </is>
      </c>
      <c r="T738" s="2" t="inlineStr">
        <is>
          <t>Rejeitada</t>
        </is>
      </c>
      <c r="U738" s="2" t="inlineStr">
        <is>
          <t>Favor: L, PCP, BE, PAN; Contra: PSD, PS, CDS-PP; Abstenção: CH, IL</t>
        </is>
      </c>
      <c r="V738" s="3" t="n">
        <v>45981</v>
      </c>
      <c r="W738" s="2" t="inlineStr">
        <is>
          <t>AR: https://www.parlamento.pt/OrcamentoEstado/Paginas/DetalhePropostaAlteracao.aspx?BID=23910 PDF: https://app.parlamento.pt/webutils/docs/doc.pdf?path=6148523063484d364c793942556b356c6443397a6158526c63793959566b6c4a544556484c3039464c7a49774d6a59794d4449314d5441774f5339515153396c4e544a6d4f546b774f4330354f5459344c5452694d4449744f5759774d53316b5a446c6b4f446b31597a5a684d6d59756347526d&amp;Fich=e52f9908-9968-4b02-9f01-dd9d895c6a2f.pdf&amp;Inline=true</t>
        </is>
      </c>
      <c r="X738" s="2" t="inlineStr">
        <is>
          <t>Defesa Nacional</t>
        </is>
      </c>
      <c r="Y738" s="2" t="inlineStr">
        <is>
          <t>Articulado</t>
        </is>
      </c>
      <c r="Z738" s="2" t="inlineStr">
        <is>
          <t>Aditamento (Artigo PPL)</t>
        </is>
      </c>
      <c r="AA738" s="2" t="inlineStr">
        <is>
          <t>Rejeitado(a) em Comissão</t>
        </is>
      </c>
      <c r="AB738" s="2" t="inlineStr"/>
      <c r="AC738" s="2" t="inlineStr"/>
      <c r="AD738" s="2" t="inlineStr">
        <is>
          <t>1</t>
        </is>
      </c>
      <c r="AE738" s="2" t="inlineStr">
        <is>
          <t>23910</t>
        </is>
      </c>
      <c r="AF738" s="2" t="inlineStr">
        <is>
          <t>https://www.parlamento.pt/OrcamentoEstado/Paginas/DetalhePropostaAlteracao.aspx?BID=23910</t>
        </is>
      </c>
      <c r="AG738" s="2" t="inlineStr">
        <is>
          <t>https://app.parlamento.pt/webutils/docs/doc.pdf?path=6148523063484d364c793942556b356c6443397a6158526c63793959566b6c4a544556484c3039464c7a49774d6a59794d4449314d5441774f5339515153396c4e544a6d4f546b774f4330354f5459344c5452694d4449744f5759774d53316b5a446c6b4f446b31597a5a684d6d59756347526d&amp;Fich=e52f9908-9968-4b02-9f01-dd9d895c6a2f.pdf&amp;Inline=true</t>
        </is>
      </c>
      <c r="AH738" s="3" t="n">
        <v>46321.77847222222</v>
      </c>
      <c r="AI738" s="3" t="n">
        <v>46321.78055555555</v>
      </c>
      <c r="AJ738" s="2" t="inlineStr"/>
    </row>
    <row r="739">
      <c r="A739" s="2" t="n">
        <v>738</v>
      </c>
      <c r="B739" s="2" t="inlineStr">
        <is>
          <t>685C</t>
        </is>
      </c>
      <c r="C739" s="3" t="n">
        <v>45966.83194444444</v>
      </c>
      <c r="D739" s="2" t="inlineStr">
        <is>
          <t>Original</t>
        </is>
      </c>
      <c r="E739" s="2" t="inlineStr">
        <is>
          <t>PCP</t>
        </is>
      </c>
      <c r="F739" s="2" t="inlineStr">
        <is>
          <t>Alfredo Maia; Paula Santos; Paulo Raimundo</t>
        </is>
      </c>
      <c r="G739" s="2" t="inlineStr">
        <is>
          <t>Art. 35.º-A (aditamento)</t>
        </is>
      </c>
      <c r="H739" s="2" t="n"/>
      <c r="I739" s="2" t="n"/>
      <c r="J739" s="2" t="n"/>
      <c r="K739" s="2" t="n"/>
      <c r="L739" s="2" t="inlineStr">
        <is>
          <t>Artigo 35.º-A (Reintegração da Arsenal do Alfeite, S.A. na orgânica da Marinha)</t>
        </is>
      </c>
      <c r="M739" s="4" t="n"/>
      <c r="N739" s="4" t="n"/>
      <c r="O739" s="2" t="n"/>
      <c r="P739" s="2" t="n"/>
      <c r="Q739" s="2" t="n"/>
      <c r="R739" s="2" t="n"/>
      <c r="S739" s="2" t="inlineStr">
        <is>
          <t>Rejeitado(a) em Comissão</t>
        </is>
      </c>
      <c r="T739" s="2" t="inlineStr">
        <is>
          <t>Rejeitada</t>
        </is>
      </c>
      <c r="U739" s="2" t="inlineStr">
        <is>
          <t>Favor: CH, L, PCP, BE, PAN; Contra: PSD, CDS-PP; Abstenção: PS, IL</t>
        </is>
      </c>
      <c r="V739" s="3" t="n">
        <v>45981</v>
      </c>
      <c r="W739" s="2" t="inlineStr">
        <is>
          <t>AR: https://www.parlamento.pt/OrcamentoEstado/Paginas/DetalhePropostaAlteracao.aspx?BID=23911 PDF: https://app.parlamento.pt/webutils/docs/doc.pdf?path=6148523063484d364c793942556b356c6443397a6158526c63793959566b6c4a544556484c3039464c7a49774d6a59794d4449314d5441774f533951515339694d57497a4f544a6c4d53307a596d52684c54517759545174596a55774e533078596d59344e6a646b595759785a6d49756347526d&amp;Fich=b1b392e1-3bda-40a4-b505-1bf867daf1fb.pdf&amp;Inline=true</t>
        </is>
      </c>
      <c r="X739" s="2" t="inlineStr">
        <is>
          <t>Defesa Nacional</t>
        </is>
      </c>
      <c r="Y739" s="2" t="inlineStr">
        <is>
          <t>Articulado</t>
        </is>
      </c>
      <c r="Z739" s="2" t="inlineStr">
        <is>
          <t>Aditamento (Artigo PPL)</t>
        </is>
      </c>
      <c r="AA739" s="2" t="inlineStr">
        <is>
          <t>Rejeitado(a) em Comissão</t>
        </is>
      </c>
      <c r="AB739" s="2" t="inlineStr"/>
      <c r="AC739" s="2" t="inlineStr"/>
      <c r="AD739" s="2" t="inlineStr">
        <is>
          <t>1</t>
        </is>
      </c>
      <c r="AE739" s="2" t="inlineStr">
        <is>
          <t>23911</t>
        </is>
      </c>
      <c r="AF739" s="2" t="inlineStr">
        <is>
          <t>https://www.parlamento.pt/OrcamentoEstado/Paginas/DetalhePropostaAlteracao.aspx?BID=23911</t>
        </is>
      </c>
      <c r="AG739" s="2" t="inlineStr">
        <is>
          <t>https://app.parlamento.pt/webutils/docs/doc.pdf?path=6148523063484d364c793942556b356c6443397a6158526c63793959566b6c4a544556484c3039464c7a49774d6a59794d4449314d5441774f533951515339694d57497a4f544a6c4d53307a596d52684c54517759545174596a55774e533078596d59344e6a646b595759785a6d49756347526d&amp;Fich=b1b392e1-3bda-40a4-b505-1bf867daf1fb.pdf&amp;Inline=true</t>
        </is>
      </c>
      <c r="AH739" s="3" t="n">
        <v>46321.77847222222</v>
      </c>
      <c r="AI739" s="3" t="n">
        <v>46321.78055555555</v>
      </c>
      <c r="AJ739" s="2" t="inlineStr"/>
    </row>
    <row r="740">
      <c r="A740" s="2" t="n">
        <v>739</v>
      </c>
      <c r="B740" s="2" t="inlineStr">
        <is>
          <t>686C</t>
        </is>
      </c>
      <c r="C740" s="3" t="n">
        <v>45966.83402777778</v>
      </c>
      <c r="D740" s="2" t="inlineStr">
        <is>
          <t>Original</t>
        </is>
      </c>
      <c r="E740" s="2" t="inlineStr">
        <is>
          <t>PCP</t>
        </is>
      </c>
      <c r="F740" s="2" t="inlineStr">
        <is>
          <t>Alfredo Maia; Paula Santos; Paulo Raimundo</t>
        </is>
      </c>
      <c r="G740" s="2" t="inlineStr">
        <is>
          <t>Art. 136.º-A (aditamento)</t>
        </is>
      </c>
      <c r="H740" s="2" t="n"/>
      <c r="I740" s="2" t="n"/>
      <c r="J740" s="2" t="n"/>
      <c r="K740" s="2" t="n"/>
      <c r="L740" s="2" t="inlineStr">
        <is>
          <t>Artigo 136.º-A (Alteração ao Decreto-Lei n.º 233/2007, de 19 de julho)</t>
        </is>
      </c>
      <c r="M740" s="4" t="n"/>
      <c r="N740" s="4" t="n"/>
      <c r="O740" s="2" t="n"/>
      <c r="P740" s="2" t="n"/>
      <c r="Q740" s="2" t="n"/>
      <c r="R740" s="2" t="n"/>
      <c r="S740" s="2" t="inlineStr">
        <is>
          <t>Rejeitado(a) em Comissão</t>
        </is>
      </c>
      <c r="T740" s="2" t="inlineStr">
        <is>
          <t>Rejeitada</t>
        </is>
      </c>
      <c r="U740" s="2" t="inlineStr">
        <is>
          <t>Favor: L, PCP, BE, PAN; Contra: PSD, CH, CDS-PP; Abstenção: PS, IL</t>
        </is>
      </c>
      <c r="V740" s="3" t="n">
        <v>45987</v>
      </c>
      <c r="W740" s="2" t="inlineStr">
        <is>
          <t>AR: https://www.parlamento.pt/OrcamentoEstado/Paginas/DetalhePropostaAlteracao.aspx?BID=23912 PDF: https://app.parlamento.pt/webutils/docs/doc.pdf?path=6148523063484d364c793942556b356c6443397a6158526c63793959566b6c4a544556484c3039464c7a49774d6a59794d4449314d5441774f533951515339685a57566d5a474a6a5a5330344e5445344c54517a4e446374596a41785a6930304e44517a4e6a6779595745314e6a45756347526d&amp;Fich=aeefdbce-8518-4347-b01f-4443682aa561.pdf&amp;Inline=true</t>
        </is>
      </c>
      <c r="X740" s="2" t="inlineStr">
        <is>
          <t>Defesa Nacional</t>
        </is>
      </c>
      <c r="Y740" s="2" t="inlineStr">
        <is>
          <t>Articulado</t>
        </is>
      </c>
      <c r="Z740" s="2" t="inlineStr">
        <is>
          <t>Aditamento (Artigo PPL)</t>
        </is>
      </c>
      <c r="AA740" s="2" t="inlineStr">
        <is>
          <t>Rejeitado(a) em Comissão</t>
        </is>
      </c>
      <c r="AB740" s="2" t="inlineStr"/>
      <c r="AC740" s="2" t="inlineStr"/>
      <c r="AD740" s="2" t="inlineStr">
        <is>
          <t>1</t>
        </is>
      </c>
      <c r="AE740" s="2" t="inlineStr">
        <is>
          <t>23912</t>
        </is>
      </c>
      <c r="AF740" s="2" t="inlineStr">
        <is>
          <t>https://www.parlamento.pt/OrcamentoEstado/Paginas/DetalhePropostaAlteracao.aspx?BID=23912</t>
        </is>
      </c>
      <c r="AG740" s="2" t="inlineStr">
        <is>
          <t>https://app.parlamento.pt/webutils/docs/doc.pdf?path=6148523063484d364c793942556b356c6443397a6158526c63793959566b6c4a544556484c3039464c7a49774d6a59794d4449314d5441774f533951515339685a57566d5a474a6a5a5330344e5445344c54517a4e446374596a41785a6930304e44517a4e6a6779595745314e6a45756347526d&amp;Fich=aeefdbce-8518-4347-b01f-4443682aa561.pdf&amp;Inline=true</t>
        </is>
      </c>
      <c r="AH740" s="3" t="n">
        <v>46321.77847222222</v>
      </c>
      <c r="AI740" s="3" t="n">
        <v>46321.78055555555</v>
      </c>
      <c r="AJ740" s="2" t="inlineStr"/>
    </row>
    <row r="741">
      <c r="A741" s="2" t="n">
        <v>740</v>
      </c>
      <c r="B741" s="2" t="inlineStr">
        <is>
          <t>687C</t>
        </is>
      </c>
      <c r="C741" s="3" t="n">
        <v>45966.83472222222</v>
      </c>
      <c r="D741" s="2" t="inlineStr">
        <is>
          <t>Original</t>
        </is>
      </c>
      <c r="E741" s="2" t="inlineStr">
        <is>
          <t>PCP</t>
        </is>
      </c>
      <c r="F741" s="2" t="inlineStr">
        <is>
          <t>Alfredo Maia; Paula Santos; Paulo Raimundo</t>
        </is>
      </c>
      <c r="G741" s="2" t="inlineStr">
        <is>
          <t>Art. 136.º-A (aditamento)</t>
        </is>
      </c>
      <c r="H741" s="2" t="n"/>
      <c r="I741" s="2" t="n"/>
      <c r="J741" s="2" t="n"/>
      <c r="K741" s="2" t="n"/>
      <c r="L741" s="2" t="inlineStr">
        <is>
          <t>Artigo 136.º-A (Alteração ao Decreto-Lei n.º 3/2017, de 6 de janeiro)</t>
        </is>
      </c>
      <c r="M741" s="4" t="n"/>
      <c r="N741" s="4" t="n"/>
      <c r="O741" s="2" t="n"/>
      <c r="P741" s="2" t="n"/>
      <c r="Q741" s="2" t="n"/>
      <c r="R741" s="2" t="n"/>
      <c r="S741" s="2" t="inlineStr">
        <is>
          <t>Rejeitado(a) em Comissão</t>
        </is>
      </c>
      <c r="T741" s="2" t="inlineStr">
        <is>
          <t>Rejeitada</t>
        </is>
      </c>
      <c r="U741" s="2" t="inlineStr">
        <is>
          <t>Favor: L, PCP, BE, PAN; Contra: PSD, CH, PS, IL, CDS-PP</t>
        </is>
      </c>
      <c r="V741" s="3" t="n">
        <v>45987</v>
      </c>
      <c r="W741" s="2" t="inlineStr">
        <is>
          <t>AR: https://www.parlamento.pt/OrcamentoEstado/Paginas/DetalhePropostaAlteracao.aspx?BID=23913 PDF: https://app.parlamento.pt/webutils/docs/doc.pdf?path=6148523063484d364c793942556b356c6443397a6158526c63793959566b6c4a544556484c3039464c7a49774d6a59794d4449314d5441774f533951515338344e444d354d44597959533035595759334c54526a4e445174595759344f433034597a4d324e32566a596a526a4d4449756347526d&amp;Fich=8439062a-9af7-4c44-af88-8c367ecb4c02.pdf&amp;Inline=true</t>
        </is>
      </c>
      <c r="X741" s="2" t="inlineStr">
        <is>
          <t>Defesa Nacional</t>
        </is>
      </c>
      <c r="Y741" s="2" t="inlineStr">
        <is>
          <t>Articulado</t>
        </is>
      </c>
      <c r="Z741" s="2" t="inlineStr">
        <is>
          <t>Aditamento (Artigo PPL)</t>
        </is>
      </c>
      <c r="AA741" s="2" t="inlineStr">
        <is>
          <t>Rejeitado(a) em Comissão</t>
        </is>
      </c>
      <c r="AB741" s="2" t="inlineStr"/>
      <c r="AC741" s="2" t="inlineStr"/>
      <c r="AD741" s="2" t="inlineStr">
        <is>
          <t>1</t>
        </is>
      </c>
      <c r="AE741" s="2" t="inlineStr">
        <is>
          <t>23913</t>
        </is>
      </c>
      <c r="AF741" s="2" t="inlineStr">
        <is>
          <t>https://www.parlamento.pt/OrcamentoEstado/Paginas/DetalhePropostaAlteracao.aspx?BID=23913</t>
        </is>
      </c>
      <c r="AG741" s="2" t="inlineStr">
        <is>
          <t>https://app.parlamento.pt/webutils/docs/doc.pdf?path=6148523063484d364c793942556b356c6443397a6158526c63793959566b6c4a544556484c3039464c7a49774d6a59794d4449314d5441774f533951515338344e444d354d44597959533035595759334c54526a4e445174595759344f433034597a4d324e32566a596a526a4d4449756347526d&amp;Fich=8439062a-9af7-4c44-af88-8c367ecb4c02.pdf&amp;Inline=true</t>
        </is>
      </c>
      <c r="AH741" s="3" t="n">
        <v>46321.77847222222</v>
      </c>
      <c r="AI741" s="3" t="n">
        <v>46321.78055555555</v>
      </c>
      <c r="AJ741" s="2" t="inlineStr"/>
    </row>
    <row r="742">
      <c r="A742" s="2" t="n">
        <v>741</v>
      </c>
      <c r="B742" s="2" t="inlineStr">
        <is>
          <t>688C</t>
        </is>
      </c>
      <c r="C742" s="3" t="n">
        <v>45966.83541666667</v>
      </c>
      <c r="D742" s="2" t="inlineStr">
        <is>
          <t>Original</t>
        </is>
      </c>
      <c r="E742" s="2" t="inlineStr">
        <is>
          <t>PCP</t>
        </is>
      </c>
      <c r="F742" s="2" t="inlineStr">
        <is>
          <t>Alfredo Maia; Paula Santos; Paulo Raimundo</t>
        </is>
      </c>
      <c r="G742" s="2" t="inlineStr">
        <is>
          <t>Art. 136.º-A (aditamento)</t>
        </is>
      </c>
      <c r="H742" s="2" t="n"/>
      <c r="I742" s="2" t="n"/>
      <c r="J742" s="2" t="n"/>
      <c r="K742" s="2" t="n"/>
      <c r="L742" s="2" t="inlineStr">
        <is>
          <t>Artigo 136.º-A (Alteração ao Decreto-Lei n.º 296/2009, de 14 de outubro)</t>
        </is>
      </c>
      <c r="M742" s="4" t="n"/>
      <c r="N742" s="4" t="n"/>
      <c r="O742" s="2" t="n"/>
      <c r="P742" s="2" t="n"/>
      <c r="Q742" s="2" t="n"/>
      <c r="R742" s="2" t="n"/>
      <c r="S742" s="2" t="inlineStr">
        <is>
          <t>Rejeitado(a) em Comissão</t>
        </is>
      </c>
      <c r="T742" s="2" t="inlineStr">
        <is>
          <t>Rejeitada</t>
        </is>
      </c>
      <c r="U742" s="2" t="inlineStr">
        <is>
          <t>Favor: L, PCP, BE, PAN; Contra: PSD, CH, IL, CDS-PP; Abstenção: PS</t>
        </is>
      </c>
      <c r="V742" s="3" t="n">
        <v>45987</v>
      </c>
      <c r="W742" s="2" t="inlineStr">
        <is>
          <t>AR: https://www.parlamento.pt/OrcamentoEstado/Paginas/DetalhePropostaAlteracao.aspx?BID=23914 PDF: https://app.parlamento.pt/webutils/docs/doc.pdf?path=6148523063484d364c793942556b356c6443397a6158526c63793959566b6c4a544556484c3039464c7a49774d6a59794d4449314d5441774f533951515338325a5745334e6d4a694d79316a4e7a51314c54526b4d6a5974596a51785a6930784e475578596d59784e57497a4d6a55756347526d&amp;Fich=6ea76bb3-c745-4d26-b41f-14e1bf15b325.pdf&amp;Inline=true</t>
        </is>
      </c>
      <c r="X742" s="2" t="inlineStr">
        <is>
          <t>Defesa Nacional</t>
        </is>
      </c>
      <c r="Y742" s="2" t="inlineStr">
        <is>
          <t>Articulado</t>
        </is>
      </c>
      <c r="Z742" s="2" t="inlineStr">
        <is>
          <t>Aditamento (Artigo PPL)</t>
        </is>
      </c>
      <c r="AA742" s="2" t="inlineStr">
        <is>
          <t>Rejeitado(a) em Comissão</t>
        </is>
      </c>
      <c r="AB742" s="2" t="inlineStr"/>
      <c r="AC742" s="2" t="inlineStr"/>
      <c r="AD742" s="2" t="inlineStr">
        <is>
          <t>1</t>
        </is>
      </c>
      <c r="AE742" s="2" t="inlineStr">
        <is>
          <t>23914</t>
        </is>
      </c>
      <c r="AF742" s="2" t="inlineStr">
        <is>
          <t>https://www.parlamento.pt/OrcamentoEstado/Paginas/DetalhePropostaAlteracao.aspx?BID=23914</t>
        </is>
      </c>
      <c r="AG742" s="2" t="inlineStr">
        <is>
          <t>https://app.parlamento.pt/webutils/docs/doc.pdf?path=6148523063484d364c793942556b356c6443397a6158526c63793959566b6c4a544556484c3039464c7a49774d6a59794d4449314d5441774f533951515338325a5745334e6d4a694d79316a4e7a51314c54526b4d6a5974596a51785a6930784e475578596d59784e57497a4d6a55756347526d&amp;Fich=6ea76bb3-c745-4d26-b41f-14e1bf15b325.pdf&amp;Inline=true</t>
        </is>
      </c>
      <c r="AH742" s="3" t="n">
        <v>46321.77847222222</v>
      </c>
      <c r="AI742" s="3" t="n">
        <v>46321.78055555555</v>
      </c>
      <c r="AJ742" s="2" t="inlineStr"/>
    </row>
    <row r="743">
      <c r="A743" s="2" t="n">
        <v>742</v>
      </c>
      <c r="B743" s="2" t="inlineStr">
        <is>
          <t>689C</t>
        </is>
      </c>
      <c r="C743" s="3" t="n">
        <v>45966.83611111111</v>
      </c>
      <c r="D743" s="2" t="inlineStr">
        <is>
          <t>Original</t>
        </is>
      </c>
      <c r="E743" s="2" t="inlineStr">
        <is>
          <t>PCP</t>
        </is>
      </c>
      <c r="F743" s="2" t="inlineStr">
        <is>
          <t>Alfredo Maia; Paula Santos; Paulo Raimundo</t>
        </is>
      </c>
      <c r="G743" s="2" t="inlineStr">
        <is>
          <t>Art. 7.º (aditamento)</t>
        </is>
      </c>
      <c r="H743" s="2" t="n"/>
      <c r="I743" s="2" t="n"/>
      <c r="J743" s="2" t="n"/>
      <c r="K743" s="2" t="n"/>
      <c r="L743" s="2" t="inlineStr">
        <is>
          <t>Nova Verba 95, Mapa de alterações e transferências orçamentais, Artigo 7.º</t>
        </is>
      </c>
      <c r="M743" s="4" t="n"/>
      <c r="N743" s="4" t="n"/>
      <c r="O743" s="2" t="n"/>
      <c r="P743" s="2" t="n"/>
      <c r="Q743" s="2" t="n"/>
      <c r="R743" s="2" t="n"/>
      <c r="S743" s="2" t="inlineStr">
        <is>
          <t>Rejeitado(a) em Comissão</t>
        </is>
      </c>
      <c r="T743" s="2" t="inlineStr">
        <is>
          <t>Rejeitada</t>
        </is>
      </c>
      <c r="U743" s="2" t="inlineStr">
        <is>
          <t>Favor: L, PCP, BE, PAN; Contra: PSD, CDS-PP; Abstenção: CH, PS, IL</t>
        </is>
      </c>
      <c r="V743" s="3" t="n">
        <v>45987</v>
      </c>
      <c r="W743" s="2" t="inlineStr">
        <is>
          <t>AR: https://www.parlamento.pt/OrcamentoEstado/Paginas/DetalhePropostaAlteracao.aspx?BID=23915 PDF: https://app.parlamento.pt/webutils/docs/doc.pdf?path=6148523063484d364c793942556b356c6443397a6158526c63793959566b6c4a544556484c3039464c7a49774d6a59794d4449314d5441774f533951515338774d324d354d474a6d4d4331694e4759344c5451784f545574595459795a6930774e54466b4e7a6c6d4d475a6c5a5445756347526d&amp;Fich=03c90bf0-b4f8-4195-a62f-051d79f0fee1.pdf&amp;Inline=true</t>
        </is>
      </c>
      <c r="X743" s="2" t="inlineStr">
        <is>
          <t>Defesa Nacional</t>
        </is>
      </c>
      <c r="Y743" s="2" t="inlineStr">
        <is>
          <t>Articulado</t>
        </is>
      </c>
      <c r="Z743" s="2" t="inlineStr">
        <is>
          <t>Aditamento (Números e Alíneas)</t>
        </is>
      </c>
      <c r="AA743" s="2" t="inlineStr">
        <is>
          <t>Rejeitado(a) em Comissão</t>
        </is>
      </c>
      <c r="AB743" s="2" t="inlineStr"/>
      <c r="AC743" s="2" t="inlineStr"/>
      <c r="AD743" s="2" t="inlineStr">
        <is>
          <t>1</t>
        </is>
      </c>
      <c r="AE743" s="2" t="inlineStr">
        <is>
          <t>23915</t>
        </is>
      </c>
      <c r="AF743" s="2" t="inlineStr">
        <is>
          <t>https://www.parlamento.pt/OrcamentoEstado/Paginas/DetalhePropostaAlteracao.aspx?BID=23915</t>
        </is>
      </c>
      <c r="AG743" s="2" t="inlineStr">
        <is>
          <t>https://app.parlamento.pt/webutils/docs/doc.pdf?path=6148523063484d364c793942556b356c6443397a6158526c63793959566b6c4a544556484c3039464c7a49774d6a59794d4449314d5441774f533951515338774d324d354d474a6d4d4331694e4759344c5451784f545574595459795a6930774e54466b4e7a6c6d4d475a6c5a5445756347526d&amp;Fich=03c90bf0-b4f8-4195-a62f-051d79f0fee1.pdf&amp;Inline=true</t>
        </is>
      </c>
      <c r="AH743" s="3" t="n">
        <v>46321.77847222222</v>
      </c>
      <c r="AI743" s="3" t="n">
        <v>46321.78055555555</v>
      </c>
      <c r="AJ743" s="2" t="inlineStr"/>
    </row>
    <row r="744">
      <c r="A744" s="2" t="n">
        <v>743</v>
      </c>
      <c r="B744" s="2" t="inlineStr">
        <is>
          <t>690C</t>
        </is>
      </c>
      <c r="C744" s="3" t="n">
        <v>45966.83680555555</v>
      </c>
      <c r="D744" s="2" t="inlineStr">
        <is>
          <t>Original</t>
        </is>
      </c>
      <c r="E744" s="2" t="inlineStr">
        <is>
          <t>PCP</t>
        </is>
      </c>
      <c r="F744" s="2" t="inlineStr">
        <is>
          <t>Alfredo Maia; Paula Santos; Paulo Raimundo</t>
        </is>
      </c>
      <c r="G744" s="2" t="inlineStr">
        <is>
          <t>Art. 135.º-A (aditamento)</t>
        </is>
      </c>
      <c r="H744" s="2" t="n"/>
      <c r="I744" s="2" t="n"/>
      <c r="J744" s="2" t="n"/>
      <c r="K744" s="2" t="n"/>
      <c r="L744" s="2" t="inlineStr">
        <is>
          <t>Artigo 135.º-A (Valorização e Dignificação dos Antigos Combatentes)</t>
        </is>
      </c>
      <c r="M744" s="4" t="n"/>
      <c r="N744" s="4" t="n"/>
      <c r="O744" s="2" t="n"/>
      <c r="P744" s="2" t="n"/>
      <c r="Q744" s="2" t="n"/>
      <c r="R744" s="2" t="n"/>
      <c r="S744" s="2" t="inlineStr">
        <is>
          <t>Rejeitado(a) em Comissão</t>
        </is>
      </c>
      <c r="T744" s="2" t="inlineStr">
        <is>
          <t>Rejeitada</t>
        </is>
      </c>
      <c r="U744" s="2" t="inlineStr">
        <is>
          <t>Favor: CH, L, PCP, BE, PAN; Contra: PSD, CDS-PP; Abstenção: PS, IL</t>
        </is>
      </c>
      <c r="V744" s="3" t="n">
        <v>45987</v>
      </c>
      <c r="W744" s="2" t="inlineStr">
        <is>
          <t>AR: https://www.parlamento.pt/OrcamentoEstado/Paginas/DetalhePropostaAlteracao.aspx?BID=23916 PDF: https://app.parlamento.pt/webutils/docs/doc.pdf?path=6148523063484d364c793942556b356c6443397a6158526c63793959566b6c4a544556484c3039464c7a49774d6a59794d4449314d5441774f533951515338334d44566c5a444d7a4e4330314e3255794c5451314f5463744f4746685a5330774e5751304f545a6b5a54426b4f4441756347526d&amp;Fich=705ed334-57e2-4597-8aae-05d496de0d80.pdf&amp;Inline=true</t>
        </is>
      </c>
      <c r="X744" s="2" t="inlineStr">
        <is>
          <t>Defesa Nacional</t>
        </is>
      </c>
      <c r="Y744" s="2" t="inlineStr">
        <is>
          <t>Articulado</t>
        </is>
      </c>
      <c r="Z744" s="2" t="inlineStr">
        <is>
          <t>Aditamento (Artigo PPL)</t>
        </is>
      </c>
      <c r="AA744" s="2" t="inlineStr">
        <is>
          <t>Rejeitado(a) em Comissão</t>
        </is>
      </c>
      <c r="AB744" s="2" t="inlineStr"/>
      <c r="AC744" s="2" t="inlineStr"/>
      <c r="AD744" s="2" t="inlineStr">
        <is>
          <t>1</t>
        </is>
      </c>
      <c r="AE744" s="2" t="inlineStr">
        <is>
          <t>23916</t>
        </is>
      </c>
      <c r="AF744" s="2" t="inlineStr">
        <is>
          <t>https://www.parlamento.pt/OrcamentoEstado/Paginas/DetalhePropostaAlteracao.aspx?BID=23916</t>
        </is>
      </c>
      <c r="AG744" s="2" t="inlineStr">
        <is>
          <t>https://app.parlamento.pt/webutils/docs/doc.pdf?path=6148523063484d364c793942556b356c6443397a6158526c63793959566b6c4a544556484c3039464c7a49774d6a59794d4449314d5441774f533951515338334d44566c5a444d7a4e4330314e3255794c5451314f5463744f4746685a5330774e5751304f545a6b5a54426b4f4441756347526d&amp;Fich=705ed334-57e2-4597-8aae-05d496de0d80.pdf&amp;Inline=true</t>
        </is>
      </c>
      <c r="AH744" s="3" t="n">
        <v>46321.77847222222</v>
      </c>
      <c r="AI744" s="3" t="n">
        <v>46321.78055555555</v>
      </c>
      <c r="AJ744" s="2" t="inlineStr"/>
    </row>
    <row r="745">
      <c r="A745" s="2" t="n">
        <v>744</v>
      </c>
      <c r="B745" s="2" t="inlineStr">
        <is>
          <t>691C</t>
        </is>
      </c>
      <c r="C745" s="3" t="n">
        <v>45966.83888888889</v>
      </c>
      <c r="D745" s="2" t="inlineStr">
        <is>
          <t>Original</t>
        </is>
      </c>
      <c r="E745" s="2" t="inlineStr">
        <is>
          <t>PCP</t>
        </is>
      </c>
      <c r="F745" s="2" t="inlineStr">
        <is>
          <t>Alfredo Maia; Paula Santos; Paulo Raimundo</t>
        </is>
      </c>
      <c r="G745" s="2" t="inlineStr">
        <is>
          <t>Art. 113.º-A (aditamento)</t>
        </is>
      </c>
      <c r="H745" s="2" t="n"/>
      <c r="I745" s="2" t="n"/>
      <c r="J745" s="2" t="n"/>
      <c r="K745" s="2" t="n"/>
      <c r="L745" s="2" t="inlineStr">
        <is>
          <t>Artigo 113.º-A (Construção da Barragem da Foupana - Algarve)</t>
        </is>
      </c>
      <c r="M745" s="4" t="n"/>
      <c r="N745" s="4" t="n"/>
      <c r="O745" s="2" t="n"/>
      <c r="P745" s="2" t="n"/>
      <c r="Q745" s="2" t="n"/>
      <c r="R745" s="2" t="n"/>
      <c r="S745" s="2" t="inlineStr">
        <is>
          <t>Rejeitado(a) em Comissão</t>
        </is>
      </c>
      <c r="T745" s="2" t="inlineStr">
        <is>
          <t>Rejeitada</t>
        </is>
      </c>
      <c r="U745" s="2" t="inlineStr">
        <is>
          <t>Favor: IL, PCP, BE; Contra: PSD, CDS-PP, PAN; Abstenção: CH, PS, L</t>
        </is>
      </c>
      <c r="V745" s="3" t="n">
        <v>45985</v>
      </c>
      <c r="W745" s="2" t="inlineStr">
        <is>
          <t>AR: https://www.parlamento.pt/OrcamentoEstado/Paginas/DetalhePropostaAlteracao.aspx?BID=23917 PDF: https://app.parlamento.pt/webutils/docs/doc.pdf?path=6148523063484d364c793942556b356c6443397a6158526c63793959566b6c4a544556484c3039464c7a49774d6a59794d4449314d5441774f533951515338315a6d4a6c4d6d4d77596930325a6a4d314c54526a4d7a5974595745784e6930304e546c6c4f4459344f544933595445756347526d&amp;Fich=5fbe2c0b-6f35-4c36-aa16-459e868927a1.pdf&amp;Inline=true</t>
        </is>
      </c>
      <c r="X745" s="2" t="inlineStr">
        <is>
          <t>Agricultura e Pescas; Ambiente e Energia</t>
        </is>
      </c>
      <c r="Y745" s="2" t="inlineStr">
        <is>
          <t>Articulado</t>
        </is>
      </c>
      <c r="Z745" s="2" t="inlineStr">
        <is>
          <t>Aditamento (Artigo PPL)</t>
        </is>
      </c>
      <c r="AA745" s="2" t="inlineStr">
        <is>
          <t>Rejeitado(a) em Comissão</t>
        </is>
      </c>
      <c r="AB745" s="2" t="inlineStr"/>
      <c r="AC745" s="2" t="inlineStr"/>
      <c r="AD745" s="2" t="inlineStr">
        <is>
          <t>1</t>
        </is>
      </c>
      <c r="AE745" s="2" t="inlineStr">
        <is>
          <t>23917</t>
        </is>
      </c>
      <c r="AF745" s="2" t="inlineStr">
        <is>
          <t>https://www.parlamento.pt/OrcamentoEstado/Paginas/DetalhePropostaAlteracao.aspx?BID=23917</t>
        </is>
      </c>
      <c r="AG745" s="2" t="inlineStr">
        <is>
          <t>https://app.parlamento.pt/webutils/docs/doc.pdf?path=6148523063484d364c793942556b356c6443397a6158526c63793959566b6c4a544556484c3039464c7a49774d6a59794d4449314d5441774f533951515338315a6d4a6c4d6d4d77596930325a6a4d314c54526a4d7a5974595745784e6930304e546c6c4f4459344f544933595445756347526d&amp;Fich=5fbe2c0b-6f35-4c36-aa16-459e868927a1.pdf&amp;Inline=true</t>
        </is>
      </c>
      <c r="AH745" s="3" t="n">
        <v>46321.77847222222</v>
      </c>
      <c r="AI745" s="3" t="n">
        <v>46321.78055555555</v>
      </c>
      <c r="AJ745" s="2" t="inlineStr"/>
    </row>
    <row r="746">
      <c r="A746" s="2" t="n">
        <v>745</v>
      </c>
      <c r="B746" s="2" t="inlineStr">
        <is>
          <t>692C</t>
        </is>
      </c>
      <c r="C746" s="3" t="n">
        <v>45966.83958333333</v>
      </c>
      <c r="D746" s="2" t="inlineStr">
        <is>
          <t>Original</t>
        </is>
      </c>
      <c r="E746" s="2" t="inlineStr">
        <is>
          <t>PCP</t>
        </is>
      </c>
      <c r="F746" s="2" t="inlineStr">
        <is>
          <t>Alfredo Maia; Paula Santos; Paulo Raimundo</t>
        </is>
      </c>
      <c r="G746" s="2" t="inlineStr">
        <is>
          <t>Art. 113.º-A (aditamento)</t>
        </is>
      </c>
      <c r="H746" s="2" t="n"/>
      <c r="I746" s="2" t="n"/>
      <c r="J746" s="2" t="n"/>
      <c r="K746" s="2" t="n"/>
      <c r="L746" s="2" t="inlineStr">
        <is>
          <t>Artigo 113.º-A (Investimento em infraestruturas e serviço de transporte ferroviário no Algarve)</t>
        </is>
      </c>
      <c r="M746" s="4" t="n"/>
      <c r="N746" s="4" t="n"/>
      <c r="O746" s="2" t="n"/>
      <c r="P746" s="2" t="n"/>
      <c r="Q746" s="2" t="n"/>
      <c r="R746" s="2" t="n"/>
      <c r="S746" s="2" t="inlineStr">
        <is>
          <t>Rejeitado(a) em Comissão</t>
        </is>
      </c>
      <c r="T746" s="2" t="inlineStr">
        <is>
          <t>Rejeitada</t>
        </is>
      </c>
      <c r="U746" s="2" t="inlineStr">
        <is>
          <t>Favor: CH, L, PCP, BE, PAN; Contra: PSD, CDS-PP; Abstenção: PS, IL</t>
        </is>
      </c>
      <c r="V746" s="3" t="n">
        <v>45985</v>
      </c>
      <c r="W746" s="2" t="inlineStr">
        <is>
          <t>AR: https://www.parlamento.pt/OrcamentoEstado/Paginas/DetalhePropostaAlteracao.aspx?BID=23918 PDF: https://app.parlamento.pt/webutils/docs/doc.pdf?path=6148523063484d364c793942556b356c6443397a6158526c63793959566b6c4a544556484c3039464c7a49774d6a59794d4449314d5441774f533951515338794f5451334e32466d4e4330354e544a684c5451334e7a49744f44646d4d7930794d445a684e32466b596d5a684f5749756347526d&amp;Fich=29477af4-952a-4772-87f3-206a7adbfa9b.pdf&amp;Inline=true</t>
        </is>
      </c>
      <c r="X746" s="2" t="inlineStr">
        <is>
          <t>Infraestruturas, Mobilidade e Habitação</t>
        </is>
      </c>
      <c r="Y746" s="2" t="inlineStr">
        <is>
          <t>Articulado</t>
        </is>
      </c>
      <c r="Z746" s="2" t="inlineStr">
        <is>
          <t>Aditamento (Artigo PPL)</t>
        </is>
      </c>
      <c r="AA746" s="2" t="inlineStr">
        <is>
          <t>Rejeitado(a) em Comissão</t>
        </is>
      </c>
      <c r="AB746" s="2" t="inlineStr"/>
      <c r="AC746" s="2" t="inlineStr"/>
      <c r="AD746" s="2" t="inlineStr">
        <is>
          <t>1</t>
        </is>
      </c>
      <c r="AE746" s="2" t="inlineStr">
        <is>
          <t>23918</t>
        </is>
      </c>
      <c r="AF746" s="2" t="inlineStr">
        <is>
          <t>https://www.parlamento.pt/OrcamentoEstado/Paginas/DetalhePropostaAlteracao.aspx?BID=23918</t>
        </is>
      </c>
      <c r="AG746" s="2" t="inlineStr">
        <is>
          <t>https://app.parlamento.pt/webutils/docs/doc.pdf?path=6148523063484d364c793942556b356c6443397a6158526c63793959566b6c4a544556484c3039464c7a49774d6a59794d4449314d5441774f533951515338794f5451334e32466d4e4330354e544a684c5451334e7a49744f44646d4d7930794d445a684e32466b596d5a684f5749756347526d&amp;Fich=29477af4-952a-4772-87f3-206a7adbfa9b.pdf&amp;Inline=true</t>
        </is>
      </c>
      <c r="AH746" s="3" t="n">
        <v>46321.77847222222</v>
      </c>
      <c r="AI746" s="3" t="n">
        <v>46321.78055555555</v>
      </c>
      <c r="AJ746" s="2" t="inlineStr"/>
    </row>
    <row r="747">
      <c r="A747" s="2" t="n">
        <v>746</v>
      </c>
      <c r="B747" s="2" t="inlineStr">
        <is>
          <t>693C</t>
        </is>
      </c>
      <c r="C747" s="3" t="n">
        <v>45966.83958333333</v>
      </c>
      <c r="D747" s="2" t="inlineStr">
        <is>
          <t>Original</t>
        </is>
      </c>
      <c r="E747" s="2" t="inlineStr">
        <is>
          <t>IL</t>
        </is>
      </c>
      <c r="F747" s="2" t="inlineStr">
        <is>
          <t>Angélique Da Teresa; Carlos Guimarães Pinto; Joana Cordeiro; Jorge Miguel Teixeira; Mariana Leitão; Mário Amorim Lopes; Miguel Rangel; Rodrigo Saraiva; Rui Rocha</t>
        </is>
      </c>
      <c r="G747" s="2" t="inlineStr">
        <is>
          <t>Art. 138.º (aditamento)</t>
        </is>
      </c>
      <c r="H747" s="2" t="n"/>
      <c r="I747" s="2" t="n"/>
      <c r="J747" s="2" t="n"/>
      <c r="K747" s="2" t="n"/>
      <c r="L747" s="2" t="inlineStr">
        <is>
          <t>Alínea c), Artigo 138.º</t>
        </is>
      </c>
      <c r="M747" s="4" t="n"/>
      <c r="N747" s="4" t="n"/>
      <c r="O747" s="2" t="n"/>
      <c r="P747" s="2" t="n"/>
      <c r="Q747" s="2" t="n"/>
      <c r="R747" s="2" t="n"/>
      <c r="S747" s="2" t="inlineStr">
        <is>
          <t>Rejeitado(a) em Comissão</t>
        </is>
      </c>
      <c r="T747" s="2" t="inlineStr">
        <is>
          <t>Rejeitada</t>
        </is>
      </c>
      <c r="U747" s="2" t="inlineStr">
        <is>
          <t>Favor: IL, PAN; Contra: PSD, PS, L, PCP, CDS-PP, BE; Abstenção: CH</t>
        </is>
      </c>
      <c r="V747" s="3" t="n">
        <v>45987</v>
      </c>
      <c r="W747" s="2" t="inlineStr">
        <is>
          <t>AR: https://www.parlamento.pt/OrcamentoEstado/Paginas/DetalhePropostaAlteracao.aspx?BID=23919 PDF: https://app.parlamento.pt/webutils/docs/doc.pdf?path=6148523063484d364c793942556b356c6443397a6158526c63793959566b6c4a544556484c3039464c7a49774d6a59794d4449314d5441774f5339515153387a59325a6b4d474a6c4e7930324f4745314c5451304d6a45744f446b35597930355a44646c5a6a6b344e54466a4e4759756347526d&amp;Fich=3cfd0be7-68a5-4421-899c-9d7ef9851c4f.pdf&amp;Inline=true</t>
        </is>
      </c>
      <c r="X747" s="2" t="inlineStr">
        <is>
          <t>Cultura, Comunicação, Juventude e Desporto; Orçamento, Finanças e Administração Pública</t>
        </is>
      </c>
      <c r="Y747" s="2" t="inlineStr">
        <is>
          <t>Articulado</t>
        </is>
      </c>
      <c r="Z747" s="2" t="inlineStr">
        <is>
          <t>Aditamento (Números e Alíneas)</t>
        </is>
      </c>
      <c r="AA747" s="2" t="inlineStr">
        <is>
          <t>Rejeitado(a) em Comissão</t>
        </is>
      </c>
      <c r="AB747" s="2" t="inlineStr"/>
      <c r="AC747" s="2" t="inlineStr"/>
      <c r="AD747" s="2" t="inlineStr">
        <is>
          <t>1</t>
        </is>
      </c>
      <c r="AE747" s="2" t="inlineStr">
        <is>
          <t>23919</t>
        </is>
      </c>
      <c r="AF747" s="2" t="inlineStr">
        <is>
          <t>https://www.parlamento.pt/OrcamentoEstado/Paginas/DetalhePropostaAlteracao.aspx?BID=23919</t>
        </is>
      </c>
      <c r="AG747" s="2" t="inlineStr">
        <is>
          <t>https://app.parlamento.pt/webutils/docs/doc.pdf?path=6148523063484d364c793942556b356c6443397a6158526c63793959566b6c4a544556484c3039464c7a49774d6a59794d4449314d5441774f5339515153387a59325a6b4d474a6c4e7930324f4745314c5451304d6a45744f446b35597930355a44646c5a6a6b344e54466a4e4759756347526d&amp;Fich=3cfd0be7-68a5-4421-899c-9d7ef9851c4f.pdf&amp;Inline=true</t>
        </is>
      </c>
      <c r="AH747" s="3" t="n">
        <v>46321.77847222222</v>
      </c>
      <c r="AI747" s="3" t="n">
        <v>46321.78055555555</v>
      </c>
      <c r="AJ747" s="2" t="inlineStr"/>
    </row>
    <row r="748">
      <c r="A748" s="2" t="n">
        <v>747</v>
      </c>
      <c r="B748" s="2" t="inlineStr">
        <is>
          <t>694C</t>
        </is>
      </c>
      <c r="C748" s="3" t="n">
        <v>45966.84027777778</v>
      </c>
      <c r="D748" s="2" t="inlineStr">
        <is>
          <t>Original</t>
        </is>
      </c>
      <c r="E748" s="2" t="inlineStr">
        <is>
          <t>PCP</t>
        </is>
      </c>
      <c r="F748" s="2" t="inlineStr">
        <is>
          <t>Alfredo Maia; Paula Santos; Paulo Raimundo</t>
        </is>
      </c>
      <c r="G748" s="2" t="inlineStr">
        <is>
          <t>Art. 113.º-A (aditamento)</t>
        </is>
      </c>
      <c r="H748" s="2" t="n"/>
      <c r="I748" s="2" t="n"/>
      <c r="J748" s="2" t="n"/>
      <c r="K748" s="2" t="n"/>
      <c r="L748" s="2" t="inlineStr">
        <is>
          <t>Artigo 113.º-A (Construção de um novo edifício para a Escola Superior de Saúde da Universidade do Algarve)</t>
        </is>
      </c>
      <c r="M748" s="4" t="n"/>
      <c r="N748" s="4" t="n"/>
      <c r="O748" s="2" t="n"/>
      <c r="P748" s="2" t="n"/>
      <c r="Q748" s="2" t="n"/>
      <c r="R748" s="2" t="n"/>
      <c r="S748" s="2" t="inlineStr">
        <is>
          <t>Rejeitado(a) em Comissão</t>
        </is>
      </c>
      <c r="T748" s="2" t="inlineStr">
        <is>
          <t>Rejeitada</t>
        </is>
      </c>
      <c r="U748" s="2" t="inlineStr">
        <is>
          <t>Favor: CH, L, PCP, BE, PAN; Contra: PSD, CDS-PP; Abstenção: PS, IL</t>
        </is>
      </c>
      <c r="V748" s="3" t="n">
        <v>45985</v>
      </c>
      <c r="W748" s="2" t="inlineStr">
        <is>
          <t>AR: https://www.parlamento.pt/OrcamentoEstado/Paginas/DetalhePropostaAlteracao.aspx?BID=23920 PDF: https://app.parlamento.pt/webutils/docs/doc.pdf?path=6148523063484d364c793942556b356c6443397a6158526c63793959566b6c4a544556484c3039464c7a49774d6a59794d4449314d5441774f533951515338355a474d7a597a51325a693078596d566c4c5452694d475574596a4d794f533031596a593359574979595745334d7a63756347526d&amp;Fich=9dc3c46f-1bee-4b0e-b329-5b67ab2aa737.pdf&amp;Inline=true</t>
        </is>
      </c>
      <c r="X748" s="2" t="inlineStr">
        <is>
          <t>Educação e Ciência</t>
        </is>
      </c>
      <c r="Y748" s="2" t="inlineStr">
        <is>
          <t>Articulado</t>
        </is>
      </c>
      <c r="Z748" s="2" t="inlineStr">
        <is>
          <t>Aditamento (Artigo PPL)</t>
        </is>
      </c>
      <c r="AA748" s="2" t="inlineStr">
        <is>
          <t>Rejeitado(a) em Comissão</t>
        </is>
      </c>
      <c r="AB748" s="2" t="inlineStr"/>
      <c r="AC748" s="2" t="inlineStr"/>
      <c r="AD748" s="2" t="inlineStr">
        <is>
          <t>1</t>
        </is>
      </c>
      <c r="AE748" s="2" t="inlineStr">
        <is>
          <t>23920</t>
        </is>
      </c>
      <c r="AF748" s="2" t="inlineStr">
        <is>
          <t>https://www.parlamento.pt/OrcamentoEstado/Paginas/DetalhePropostaAlteracao.aspx?BID=23920</t>
        </is>
      </c>
      <c r="AG748" s="2" t="inlineStr">
        <is>
          <t>https://app.parlamento.pt/webutils/docs/doc.pdf?path=6148523063484d364c793942556b356c6443397a6158526c63793959566b6c4a544556484c3039464c7a49774d6a59794d4449314d5441774f533951515338355a474d7a597a51325a693078596d566c4c5452694d475574596a4d794f533031596a593359574979595745334d7a63756347526d&amp;Fich=9dc3c46f-1bee-4b0e-b329-5b67ab2aa737.pdf&amp;Inline=true</t>
        </is>
      </c>
      <c r="AH748" s="3" t="n">
        <v>46321.77847222222</v>
      </c>
      <c r="AI748" s="3" t="n">
        <v>46321.78055555555</v>
      </c>
      <c r="AJ748" s="2" t="inlineStr"/>
    </row>
    <row r="749">
      <c r="A749" s="2" t="n">
        <v>748</v>
      </c>
      <c r="B749" s="2" t="inlineStr">
        <is>
          <t>695C</t>
        </is>
      </c>
      <c r="C749" s="3" t="n">
        <v>45966.84097222222</v>
      </c>
      <c r="D749" s="2" t="inlineStr">
        <is>
          <t>Original</t>
        </is>
      </c>
      <c r="E749" s="2" t="inlineStr">
        <is>
          <t>PCP</t>
        </is>
      </c>
      <c r="F749" s="2" t="inlineStr">
        <is>
          <t>Alfredo Maia; Paula Santos; Paulo Raimundo</t>
        </is>
      </c>
      <c r="G749" s="2" t="inlineStr">
        <is>
          <t>Art. 113.º-A (aditamento)</t>
        </is>
      </c>
      <c r="H749" s="2" t="n"/>
      <c r="I749" s="2" t="n"/>
      <c r="J749" s="2" t="n"/>
      <c r="K749" s="2" t="n"/>
      <c r="L749" s="2" t="inlineStr">
        <is>
          <t>Artigo 113.º-A (Construção do novo Hospital do Algarve)</t>
        </is>
      </c>
      <c r="M749" s="4" t="n"/>
      <c r="N749" s="4" t="n"/>
      <c r="O749" s="2" t="n"/>
      <c r="P749" s="2" t="n"/>
      <c r="Q749" s="2" t="n"/>
      <c r="R749" s="2" t="n"/>
      <c r="S749" s="2" t="inlineStr">
        <is>
          <t>Rejeitado(a) em Comissão</t>
        </is>
      </c>
      <c r="T749" s="2" t="inlineStr">
        <is>
          <t>Rejeitada</t>
        </is>
      </c>
      <c r="U749" s="2" t="inlineStr">
        <is>
          <t>Favor: L, PCP, BE, PAN; Contra: PSD, CH, IL, CDS-PP; Abstenção: PS</t>
        </is>
      </c>
      <c r="V749" s="3" t="n">
        <v>45985</v>
      </c>
      <c r="W749" s="2" t="inlineStr">
        <is>
          <t>AR: https://www.parlamento.pt/OrcamentoEstado/Paginas/DetalhePropostaAlteracao.aspx?BID=23921 PDF: https://app.parlamento.pt/webutils/docs/doc.pdf?path=6148523063484d364c793942556b356c6443397a6158526c63793959566b6c4a544556484c3039464c7a49774d6a59794d4449314d5441774f533951515338774d6d466d5954597a597930355a6a41334c5451794e4467744f574d7a5a53316c593245784f5449334d5755334d6d51756347526d&amp;Fich=02afa63c-9f07-4248-9c3e-eca19271e72d.pdf&amp;Inline=true</t>
        </is>
      </c>
      <c r="X749" s="2" t="inlineStr">
        <is>
          <t>Saúde</t>
        </is>
      </c>
      <c r="Y749" s="2" t="inlineStr">
        <is>
          <t>Articulado</t>
        </is>
      </c>
      <c r="Z749" s="2" t="inlineStr">
        <is>
          <t>Aditamento (Artigo PPL)</t>
        </is>
      </c>
      <c r="AA749" s="2" t="inlineStr">
        <is>
          <t>Rejeitado(a) em Comissão</t>
        </is>
      </c>
      <c r="AB749" s="2" t="inlineStr"/>
      <c r="AC749" s="2" t="inlineStr"/>
      <c r="AD749" s="2" t="inlineStr">
        <is>
          <t>1</t>
        </is>
      </c>
      <c r="AE749" s="2" t="inlineStr">
        <is>
          <t>23921</t>
        </is>
      </c>
      <c r="AF749" s="2" t="inlineStr">
        <is>
          <t>https://www.parlamento.pt/OrcamentoEstado/Paginas/DetalhePropostaAlteracao.aspx?BID=23921</t>
        </is>
      </c>
      <c r="AG749" s="2" t="inlineStr">
        <is>
          <t>https://app.parlamento.pt/webutils/docs/doc.pdf?path=6148523063484d364c793942556b356c6443397a6158526c63793959566b6c4a544556484c3039464c7a49774d6a59794d4449314d5441774f533951515338774d6d466d5954597a597930355a6a41334c5451794e4467744f574d7a5a53316c593245784f5449334d5755334d6d51756347526d&amp;Fich=02afa63c-9f07-4248-9c3e-eca19271e72d.pdf&amp;Inline=true</t>
        </is>
      </c>
      <c r="AH749" s="3" t="n">
        <v>46321.77847222222</v>
      </c>
      <c r="AI749" s="3" t="n">
        <v>46321.78055555555</v>
      </c>
      <c r="AJ749" s="2" t="inlineStr"/>
    </row>
    <row r="750">
      <c r="A750" s="2" t="n">
        <v>749</v>
      </c>
      <c r="B750" s="2" t="inlineStr">
        <is>
          <t>696C</t>
        </is>
      </c>
      <c r="C750" s="3" t="n">
        <v>45966.84097222222</v>
      </c>
      <c r="D750" s="2" t="inlineStr">
        <is>
          <t>Original</t>
        </is>
      </c>
      <c r="E750" s="2" t="inlineStr">
        <is>
          <t>PCP</t>
        </is>
      </c>
      <c r="F750" s="2" t="inlineStr">
        <is>
          <t>Alfredo Maia; Paula Santos; Paulo Raimundo</t>
        </is>
      </c>
      <c r="G750" s="2" t="inlineStr">
        <is>
          <t>Art. 113.º-A (aditamento)</t>
        </is>
      </c>
      <c r="H750" s="2" t="n"/>
      <c r="I750" s="2" t="n"/>
      <c r="J750" s="2" t="n"/>
      <c r="K750" s="2" t="n"/>
      <c r="L750" s="2" t="inlineStr">
        <is>
          <t>Artigo 113.º-A (Construção do Estabelecimento Prisional do Algarve)</t>
        </is>
      </c>
      <c r="M750" s="4" t="n"/>
      <c r="N750" s="4" t="n"/>
      <c r="O750" s="2" t="n"/>
      <c r="P750" s="2" t="n"/>
      <c r="Q750" s="2" t="n"/>
      <c r="R750" s="2" t="n"/>
      <c r="S750" s="2" t="inlineStr">
        <is>
          <t>Rejeitado(a) em Comissão</t>
        </is>
      </c>
      <c r="T750" s="2" t="inlineStr">
        <is>
          <t>Rejeitada</t>
        </is>
      </c>
      <c r="U750" s="2" t="inlineStr">
        <is>
          <t>Favor: CH, L, PCP, BE, PAN; Contra: PSD, IL, CDS-PP; Abstenção: PS</t>
        </is>
      </c>
      <c r="V750" s="3" t="n">
        <v>45985</v>
      </c>
      <c r="W750" s="2" t="inlineStr">
        <is>
          <t>AR: https://www.parlamento.pt/OrcamentoEstado/Paginas/DetalhePropostaAlteracao.aspx?BID=23922 PDF: https://app.parlamento.pt/webutils/docs/doc.pdf?path=6148523063484d364c793942556b356c6443397a6158526c63793959566b6c4a544556484c3039464c7a49774d6a59794d4449314d5441774f533951515338334d5749784f4455794d5330304e6a4a6a4c5451344e6a4974596d466a4f5330334f546c684e575534597a566a4d6d59756347526d&amp;Fich=71b18521-462c-4862-bac9-799a5e8c5c2f.pdf&amp;Inline=true</t>
        </is>
      </c>
      <c r="X750" s="2" t="inlineStr">
        <is>
          <t>Assuntos Constitucionais, Direitos, Liberdades e Garantias</t>
        </is>
      </c>
      <c r="Y750" s="2" t="inlineStr">
        <is>
          <t>Articulado</t>
        </is>
      </c>
      <c r="Z750" s="2" t="inlineStr">
        <is>
          <t>Aditamento (Artigo PPL)</t>
        </is>
      </c>
      <c r="AA750" s="2" t="inlineStr">
        <is>
          <t>Rejeitado(a) em Comissão</t>
        </is>
      </c>
      <c r="AB750" s="2" t="inlineStr"/>
      <c r="AC750" s="2" t="inlineStr"/>
      <c r="AD750" s="2" t="inlineStr">
        <is>
          <t>1</t>
        </is>
      </c>
      <c r="AE750" s="2" t="inlineStr">
        <is>
          <t>23922</t>
        </is>
      </c>
      <c r="AF750" s="2" t="inlineStr">
        <is>
          <t>https://www.parlamento.pt/OrcamentoEstado/Paginas/DetalhePropostaAlteracao.aspx?BID=23922</t>
        </is>
      </c>
      <c r="AG750" s="2" t="inlineStr">
        <is>
          <t>https://app.parlamento.pt/webutils/docs/doc.pdf?path=6148523063484d364c793942556b356c6443397a6158526c63793959566b6c4a544556484c3039464c7a49774d6a59794d4449314d5441774f533951515338334d5749784f4455794d5330304e6a4a6a4c5451344e6a4974596d466a4f5330334f546c684e575534597a566a4d6d59756347526d&amp;Fich=71b18521-462c-4862-bac9-799a5e8c5c2f.pdf&amp;Inline=true</t>
        </is>
      </c>
      <c r="AH750" s="3" t="n">
        <v>46321.77847222222</v>
      </c>
      <c r="AI750" s="3" t="n">
        <v>46321.78055555555</v>
      </c>
      <c r="AJ750" s="2" t="inlineStr"/>
    </row>
    <row r="751">
      <c r="A751" s="2" t="n">
        <v>750</v>
      </c>
      <c r="B751" s="2" t="inlineStr">
        <is>
          <t>697C</t>
        </is>
      </c>
      <c r="C751" s="3" t="n">
        <v>45966.84236111111</v>
      </c>
      <c r="D751" s="2" t="inlineStr">
        <is>
          <t>Original</t>
        </is>
      </c>
      <c r="E751" s="2" t="inlineStr">
        <is>
          <t>PCP</t>
        </is>
      </c>
      <c r="F751" s="2" t="inlineStr">
        <is>
          <t>Alfredo Maia; Paula Santos; Paulo Raimundo</t>
        </is>
      </c>
      <c r="G751" s="2" t="inlineStr">
        <is>
          <t>Art. 113.º-A (aditamento)</t>
        </is>
      </c>
      <c r="H751" s="2" t="n"/>
      <c r="I751" s="2" t="n"/>
      <c r="J751" s="2" t="n"/>
      <c r="K751" s="2" t="n"/>
      <c r="L751" s="2" t="inlineStr">
        <is>
          <t>Artigo 113.º-A (Investimento nos portos do Algarve)</t>
        </is>
      </c>
      <c r="M751" s="4" t="n"/>
      <c r="N751" s="4" t="n"/>
      <c r="O751" s="2" t="n"/>
      <c r="P751" s="2" t="n"/>
      <c r="Q751" s="2" t="n"/>
      <c r="R751" s="2" t="n"/>
      <c r="S751" s="2" t="inlineStr">
        <is>
          <t>Rejeitado(a) em Comissão</t>
        </is>
      </c>
      <c r="T751" s="2" t="inlineStr">
        <is>
          <t>Rejeitada</t>
        </is>
      </c>
      <c r="U751" s="2" t="inlineStr">
        <is>
          <t>Favor: CH, L, PCP, BE; Contra: PSD, CDS-PP, PAN; Abstenção: PS, IL</t>
        </is>
      </c>
      <c r="V751" s="3" t="n">
        <v>45985</v>
      </c>
      <c r="W751" s="2" t="inlineStr">
        <is>
          <t>AR: https://www.parlamento.pt/OrcamentoEstado/Paginas/DetalhePropostaAlteracao.aspx?BID=23923 PDF: https://app.parlamento.pt/webutils/docs/doc.pdf?path=6148523063484d364c793942556b356c6443397a6158526c63793959566b6c4a544556484c3039464c7a49774d6a59794d4449314d5441774f533951515338794e4467774f5459784d4330794d4451774c54517a4f4451744f474e6a4e533078595756685a4445794d6d45324f5759756347526d&amp;Fich=24809610-2040-4384-8cc5-1aead122a69f.pdf&amp;Inline=true</t>
        </is>
      </c>
      <c r="X751" s="2" t="inlineStr">
        <is>
          <t>Agricultura e Pescas; Infraestruturas, Mobilidade e Habitação</t>
        </is>
      </c>
      <c r="Y751" s="2" t="inlineStr">
        <is>
          <t>Articulado</t>
        </is>
      </c>
      <c r="Z751" s="2" t="inlineStr">
        <is>
          <t>Aditamento (Artigo PPL)</t>
        </is>
      </c>
      <c r="AA751" s="2" t="inlineStr">
        <is>
          <t>Rejeitado(a) em Comissão</t>
        </is>
      </c>
      <c r="AB751" s="2" t="inlineStr"/>
      <c r="AC751" s="2" t="inlineStr"/>
      <c r="AD751" s="2" t="inlineStr">
        <is>
          <t>1</t>
        </is>
      </c>
      <c r="AE751" s="2" t="inlineStr">
        <is>
          <t>23923</t>
        </is>
      </c>
      <c r="AF751" s="2" t="inlineStr">
        <is>
          <t>https://www.parlamento.pt/OrcamentoEstado/Paginas/DetalhePropostaAlteracao.aspx?BID=23923</t>
        </is>
      </c>
      <c r="AG751" s="2" t="inlineStr">
        <is>
          <t>https://app.parlamento.pt/webutils/docs/doc.pdf?path=6148523063484d364c793942556b356c6443397a6158526c63793959566b6c4a544556484c3039464c7a49774d6a59794d4449314d5441774f533951515338794e4467774f5459784d4330794d4451774c54517a4f4451744f474e6a4e533078595756685a4445794d6d45324f5759756347526d&amp;Fich=24809610-2040-4384-8cc5-1aead122a69f.pdf&amp;Inline=true</t>
        </is>
      </c>
      <c r="AH751" s="3" t="n">
        <v>46321.77847222222</v>
      </c>
      <c r="AI751" s="3" t="n">
        <v>46321.78055555555</v>
      </c>
      <c r="AJ751" s="2" t="inlineStr"/>
    </row>
    <row r="752">
      <c r="A752" s="2" t="n">
        <v>751</v>
      </c>
      <c r="B752" s="2" t="inlineStr">
        <is>
          <t>698C</t>
        </is>
      </c>
      <c r="C752" s="3" t="n">
        <v>45966.84375</v>
      </c>
      <c r="D752" s="2" t="inlineStr">
        <is>
          <t>Original</t>
        </is>
      </c>
      <c r="E752" s="2" t="inlineStr">
        <is>
          <t>PCP</t>
        </is>
      </c>
      <c r="F752" s="2" t="inlineStr">
        <is>
          <t>Alfredo Maia; Paula Santos; Paulo Raimundo</t>
        </is>
      </c>
      <c r="G752" s="2" t="inlineStr">
        <is>
          <t>Art. 113.º-A (aditamento)</t>
        </is>
      </c>
      <c r="H752" s="2" t="n"/>
      <c r="I752" s="2" t="n"/>
      <c r="J752" s="2" t="n"/>
      <c r="K752" s="2" t="n"/>
      <c r="L752" s="2" t="inlineStr">
        <is>
          <t>Artigo 113.º-A (Requalificação da Estrada Nacional 124 e Estrada Nacional 125)</t>
        </is>
      </c>
      <c r="M752" s="4" t="n"/>
      <c r="N752" s="4" t="n"/>
      <c r="O752" s="2" t="n"/>
      <c r="P752" s="2" t="n"/>
      <c r="Q752" s="2" t="n"/>
      <c r="R752" s="2" t="n"/>
      <c r="S752" s="2" t="inlineStr">
        <is>
          <t>Rejeitado(a) em Comissão</t>
        </is>
      </c>
      <c r="T752" s="2" t="inlineStr">
        <is>
          <t>Rejeitada</t>
        </is>
      </c>
      <c r="U752" s="2" t="inlineStr">
        <is>
          <t>Favor: CH, L, PCP, BE; Contra: PSD, CDS-PP; Abstenção: PS, IL, PAN</t>
        </is>
      </c>
      <c r="V752" s="3" t="n">
        <v>45985</v>
      </c>
      <c r="W752" s="2" t="inlineStr">
        <is>
          <t>AR: https://www.parlamento.pt/OrcamentoEstado/Paginas/DetalhePropostaAlteracao.aspx?BID=23924 PDF: https://app.parlamento.pt/webutils/docs/doc.pdf?path=6148523063484d364c793942556b356c6443397a6158526c63793959566b6c4a544556484c3039464c7a49774d6a59794d4449314d5441774f5339515153396c597a67774d6d49304d69307a4e7a64684c54526d4d446b744f444e684f5330344d5745774e4745785932597a595755756347526d&amp;Fich=ec802b42-377a-4f09-83a9-81a04a1cf3ae.pdf&amp;Inline=true</t>
        </is>
      </c>
      <c r="X752" s="2" t="inlineStr">
        <is>
          <t>Infraestruturas, Mobilidade e Habitação</t>
        </is>
      </c>
      <c r="Y752" s="2" t="inlineStr">
        <is>
          <t>Articulado</t>
        </is>
      </c>
      <c r="Z752" s="2" t="inlineStr">
        <is>
          <t>Aditamento (Artigo PPL)</t>
        </is>
      </c>
      <c r="AA752" s="2" t="inlineStr">
        <is>
          <t>Rejeitado(a) em Comissão</t>
        </is>
      </c>
      <c r="AB752" s="2" t="inlineStr"/>
      <c r="AC752" s="2" t="inlineStr"/>
      <c r="AD752" s="2" t="inlineStr">
        <is>
          <t>1</t>
        </is>
      </c>
      <c r="AE752" s="2" t="inlineStr">
        <is>
          <t>23924</t>
        </is>
      </c>
      <c r="AF752" s="2" t="inlineStr">
        <is>
          <t>https://www.parlamento.pt/OrcamentoEstado/Paginas/DetalhePropostaAlteracao.aspx?BID=23924</t>
        </is>
      </c>
      <c r="AG752" s="2" t="inlineStr">
        <is>
          <t>https://app.parlamento.pt/webutils/docs/doc.pdf?path=6148523063484d364c793942556b356c6443397a6158526c63793959566b6c4a544556484c3039464c7a49774d6a59794d4449314d5441774f5339515153396c597a67774d6d49304d69307a4e7a64684c54526d4d446b744f444e684f5330344d5745774e4745785932597a595755756347526d&amp;Fich=ec802b42-377a-4f09-83a9-81a04a1cf3ae.pdf&amp;Inline=true</t>
        </is>
      </c>
      <c r="AH752" s="3" t="n">
        <v>46321.77847222222</v>
      </c>
      <c r="AI752" s="3" t="n">
        <v>46321.78055555555</v>
      </c>
      <c r="AJ752" s="2" t="inlineStr"/>
    </row>
    <row r="753">
      <c r="A753" s="2" t="n">
        <v>752</v>
      </c>
      <c r="B753" s="2" t="inlineStr">
        <is>
          <t>699C</t>
        </is>
      </c>
      <c r="C753" s="3" t="n">
        <v>45966.84722222222</v>
      </c>
      <c r="D753" s="2" t="inlineStr">
        <is>
          <t>Original</t>
        </is>
      </c>
      <c r="E753" s="2" t="inlineStr">
        <is>
          <t>PCP</t>
        </is>
      </c>
      <c r="F753" s="2" t="inlineStr">
        <is>
          <t>Alfredo Maia; Paula Santos; Paulo Raimundo</t>
        </is>
      </c>
      <c r="G753" s="2" t="inlineStr">
        <is>
          <t>Art. 113.º-A (aditamento)</t>
        </is>
      </c>
      <c r="H753" s="2" t="n"/>
      <c r="I753" s="2" t="n"/>
      <c r="J753" s="2" t="n"/>
      <c r="K753" s="2" t="n"/>
      <c r="L753" s="2" t="inlineStr">
        <is>
          <t>Artigo 113.º-A (Construção do IC6, IC7 e IC 37)</t>
        </is>
      </c>
      <c r="M753" s="4" t="n"/>
      <c r="N753" s="4" t="n"/>
      <c r="O753" s="2" t="n"/>
      <c r="P753" s="2" t="n"/>
      <c r="Q753" s="2" t="n"/>
      <c r="R753" s="2" t="n"/>
      <c r="S753" s="2" t="inlineStr">
        <is>
          <t>Rejeitado(a) em Comissão</t>
        </is>
      </c>
      <c r="T753" s="2" t="inlineStr">
        <is>
          <t>Rejeitada</t>
        </is>
      </c>
      <c r="U753" s="2" t="inlineStr">
        <is>
          <t>Favor: CH, L, PCP, BE; Contra: PSD, CDS-PP; Abstenção: PS, IL, PAN</t>
        </is>
      </c>
      <c r="V753" s="3" t="n">
        <v>45985</v>
      </c>
      <c r="W753" s="2" t="inlineStr">
        <is>
          <t>AR: https://www.parlamento.pt/OrcamentoEstado/Paginas/DetalhePropostaAlteracao.aspx?BID=23925 PDF: https://app.parlamento.pt/webutils/docs/doc.pdf?path=6148523063484d364c793942556b356c6443397a6158526c63793959566b6c4a544556484c3039464c7a49774d6a59794d4449314d5441774f5339515153396b5a544d325a6a426d4d69307a4f44426d4c5452695a574d74595751305a43316d59324d774f446b324f57557a4d7a4d756347526d&amp;Fich=de36f0f2-380f-4bec-ad4d-fcc08969e333.pdf&amp;Inline=true</t>
        </is>
      </c>
      <c r="X753" s="2" t="inlineStr">
        <is>
          <t>Infraestruturas, Mobilidade e Habitação</t>
        </is>
      </c>
      <c r="Y753" s="2" t="inlineStr">
        <is>
          <t>Articulado</t>
        </is>
      </c>
      <c r="Z753" s="2" t="inlineStr">
        <is>
          <t>Aditamento (Artigo PPL)</t>
        </is>
      </c>
      <c r="AA753" s="2" t="inlineStr">
        <is>
          <t>Rejeitado(a) em Comissão</t>
        </is>
      </c>
      <c r="AB753" s="2" t="inlineStr"/>
      <c r="AC753" s="2" t="inlineStr"/>
      <c r="AD753" s="2" t="inlineStr">
        <is>
          <t>1</t>
        </is>
      </c>
      <c r="AE753" s="2" t="inlineStr">
        <is>
          <t>23925</t>
        </is>
      </c>
      <c r="AF753" s="2" t="inlineStr">
        <is>
          <t>https://www.parlamento.pt/OrcamentoEstado/Paginas/DetalhePropostaAlteracao.aspx?BID=23925</t>
        </is>
      </c>
      <c r="AG753" s="2" t="inlineStr">
        <is>
          <t>https://app.parlamento.pt/webutils/docs/doc.pdf?path=6148523063484d364c793942556b356c6443397a6158526c63793959566b6c4a544556484c3039464c7a49774d6a59794d4449314d5441774f5339515153396b5a544d325a6a426d4d69307a4f44426d4c5452695a574d74595751305a43316d59324d774f446b324f57557a4d7a4d756347526d&amp;Fich=de36f0f2-380f-4bec-ad4d-fcc08969e333.pdf&amp;Inline=true</t>
        </is>
      </c>
      <c r="AH753" s="3" t="n">
        <v>46321.77847222222</v>
      </c>
      <c r="AI753" s="3" t="n">
        <v>46321.78055555555</v>
      </c>
      <c r="AJ753" s="2" t="inlineStr"/>
    </row>
    <row r="754">
      <c r="A754" s="2" t="n">
        <v>753</v>
      </c>
      <c r="B754" s="2" t="inlineStr">
        <is>
          <t>700C</t>
        </is>
      </c>
      <c r="C754" s="3" t="n">
        <v>45966.84791666667</v>
      </c>
      <c r="D754" s="2" t="inlineStr">
        <is>
          <t>Original</t>
        </is>
      </c>
      <c r="E754" s="2" t="inlineStr">
        <is>
          <t>PCP</t>
        </is>
      </c>
      <c r="F754" s="2" t="inlineStr">
        <is>
          <t>Alfredo Maia; Paula Santos; Paulo Raimundo</t>
        </is>
      </c>
      <c r="G754" s="2" t="inlineStr">
        <is>
          <t>Art. 113.º-A (aditamento)</t>
        </is>
      </c>
      <c r="H754" s="2" t="n"/>
      <c r="I754" s="2" t="n"/>
      <c r="J754" s="2" t="n"/>
      <c r="K754" s="2" t="n"/>
      <c r="L754" s="2" t="inlineStr">
        <is>
          <t>Artigo 113.º-A (Concretização do regadio a sul da Serra da Gardunha)</t>
        </is>
      </c>
      <c r="M754" s="4" t="n"/>
      <c r="N754" s="4" t="n"/>
      <c r="O754" s="2" t="n"/>
      <c r="P754" s="2" t="n"/>
      <c r="Q754" s="2" t="n"/>
      <c r="R754" s="2" t="n"/>
      <c r="S754" s="2" t="inlineStr">
        <is>
          <t>Rejeitado(a) em Comissão</t>
        </is>
      </c>
      <c r="T754" s="2" t="inlineStr">
        <is>
          <t>Rejeitada</t>
        </is>
      </c>
      <c r="U754" s="2" t="inlineStr">
        <is>
          <t>Favor: CH, IL, PCP, BE; Contra: PSD, CDS-PP, PAN; Abstenção: PS, L</t>
        </is>
      </c>
      <c r="V754" s="3" t="n">
        <v>45985</v>
      </c>
      <c r="W754" s="2" t="inlineStr">
        <is>
          <t>AR: https://www.parlamento.pt/OrcamentoEstado/Paginas/DetalhePropostaAlteracao.aspx?BID=23926 PDF: https://app.parlamento.pt/webutils/docs/doc.pdf?path=6148523063484d364c793942556b356c6443397a6158526c63793959566b6c4a544556484c3039464c7a49774d6a59794d4449314d5441774f533951515339684d474e6b595759775953307a4d324d304c54526c596a6374595759334f4330354d6d55775a574e6a5a44646b595759756347526d&amp;Fich=a0cdaf0a-33c4-4eb7-af78-92e0eccd7daf.pdf&amp;Inline=true</t>
        </is>
      </c>
      <c r="X754" s="2" t="inlineStr">
        <is>
          <t>Agricultura e Pescas</t>
        </is>
      </c>
      <c r="Y754" s="2" t="inlineStr">
        <is>
          <t>Articulado</t>
        </is>
      </c>
      <c r="Z754" s="2" t="inlineStr">
        <is>
          <t>Aditamento (Artigo PPL)</t>
        </is>
      </c>
      <c r="AA754" s="2" t="inlineStr">
        <is>
          <t>Rejeitado(a) em Comissão</t>
        </is>
      </c>
      <c r="AB754" s="2" t="inlineStr"/>
      <c r="AC754" s="2" t="inlineStr"/>
      <c r="AD754" s="2" t="inlineStr">
        <is>
          <t>1</t>
        </is>
      </c>
      <c r="AE754" s="2" t="inlineStr">
        <is>
          <t>23926</t>
        </is>
      </c>
      <c r="AF754" s="2" t="inlineStr">
        <is>
          <t>https://www.parlamento.pt/OrcamentoEstado/Paginas/DetalhePropostaAlteracao.aspx?BID=23926</t>
        </is>
      </c>
      <c r="AG754" s="2" t="inlineStr">
        <is>
          <t>https://app.parlamento.pt/webutils/docs/doc.pdf?path=6148523063484d364c793942556b356c6443397a6158526c63793959566b6c4a544556484c3039464c7a49774d6a59794d4449314d5441774f533951515339684d474e6b595759775953307a4d324d304c54526c596a6374595759334f4330354d6d55775a574e6a5a44646b595759756347526d&amp;Fich=a0cdaf0a-33c4-4eb7-af78-92e0eccd7daf.pdf&amp;Inline=true</t>
        </is>
      </c>
      <c r="AH754" s="3" t="n">
        <v>46321.77847222222</v>
      </c>
      <c r="AI754" s="3" t="n">
        <v>46321.78055555555</v>
      </c>
      <c r="AJ754" s="2" t="inlineStr"/>
    </row>
    <row r="755">
      <c r="A755" s="2" t="n">
        <v>754</v>
      </c>
      <c r="B755" s="2" t="inlineStr">
        <is>
          <t>701C</t>
        </is>
      </c>
      <c r="C755" s="3" t="n">
        <v>45966.84861111111</v>
      </c>
      <c r="D755" s="2" t="inlineStr">
        <is>
          <t>Original</t>
        </is>
      </c>
      <c r="E755" s="2" t="inlineStr">
        <is>
          <t>PCP</t>
        </is>
      </c>
      <c r="F755" s="2" t="inlineStr">
        <is>
          <t>Alfredo Maia; Paula Santos; Paulo Raimundo</t>
        </is>
      </c>
      <c r="G755" s="2" t="inlineStr">
        <is>
          <t>Art. 113.º-A (aditamento)</t>
        </is>
      </c>
      <c r="H755" s="2" t="n"/>
      <c r="I755" s="2" t="n"/>
      <c r="J755" s="2" t="n"/>
      <c r="K755" s="2" t="n"/>
      <c r="L755" s="2" t="inlineStr">
        <is>
          <t>Artigo 113.º-A (Construção do IC 31 com perfil de autoestrada e sem portagens)</t>
        </is>
      </c>
      <c r="M755" s="4" t="n"/>
      <c r="N755" s="4" t="n"/>
      <c r="O755" s="2" t="n"/>
      <c r="P755" s="2" t="n"/>
      <c r="Q755" s="2" t="n"/>
      <c r="R755" s="2" t="n"/>
      <c r="S755" s="2" t="inlineStr">
        <is>
          <t>Aprovado(a) em Comissão</t>
        </is>
      </c>
      <c r="T755" s="2" t="inlineStr">
        <is>
          <t>Aprovada</t>
        </is>
      </c>
      <c r="U755" s="2" t="inlineStr">
        <is>
          <t>Favor: CH, PS, IL, L, PCP, BE; Contra: PSD, CDS-PP; Abstenção: PAN</t>
        </is>
      </c>
      <c r="V755" s="3" t="n">
        <v>45985</v>
      </c>
      <c r="W755" s="2" t="inlineStr">
        <is>
          <t>AR: https://www.parlamento.pt/OrcamentoEstado/Paginas/DetalhePropostaAlteracao.aspx?BID=23927 PDF: https://app.parlamento.pt/webutils/docs/doc.pdf?path=6148523063484d364c793942556b356c6443397a6158526c63793959566b6c4a544556484c3039464c7a49774d6a59794d4449314d5441774f5339515153396b597a45354e44566b5953316a5a6a6b344c54517a4e4459744f544e685979307a4e6a59344e6a49344e6a4a684f5463756347526d&amp;Fich=dc1945da-cf98-4346-93ac-366862862a97.pdf&amp;Inline=true</t>
        </is>
      </c>
      <c r="X755" s="2" t="inlineStr">
        <is>
          <t>Infraestruturas, Mobilidade e Habitação</t>
        </is>
      </c>
      <c r="Y755" s="2" t="inlineStr">
        <is>
          <t>Articulado</t>
        </is>
      </c>
      <c r="Z755" s="2" t="inlineStr">
        <is>
          <t>Aditamento (Artigo PPL)</t>
        </is>
      </c>
      <c r="AA755" s="2" t="inlineStr">
        <is>
          <t>Aprovado(a) em Comissão</t>
        </is>
      </c>
      <c r="AB755" s="2" t="inlineStr"/>
      <c r="AC755" s="2" t="inlineStr"/>
      <c r="AD755" s="2" t="inlineStr">
        <is>
          <t>1</t>
        </is>
      </c>
      <c r="AE755" s="2" t="inlineStr">
        <is>
          <t>23927</t>
        </is>
      </c>
      <c r="AF755" s="2" t="inlineStr">
        <is>
          <t>https://www.parlamento.pt/OrcamentoEstado/Paginas/DetalhePropostaAlteracao.aspx?BID=23927</t>
        </is>
      </c>
      <c r="AG755" s="2" t="inlineStr">
        <is>
          <t>https://app.parlamento.pt/webutils/docs/doc.pdf?path=6148523063484d364c793942556b356c6443397a6158526c63793959566b6c4a544556484c3039464c7a49774d6a59794d4449314d5441774f5339515153396b597a45354e44566b5953316a5a6a6b344c54517a4e4459744f544e685979307a4e6a59344e6a49344e6a4a684f5463756347526d&amp;Fich=dc1945da-cf98-4346-93ac-366862862a97.pdf&amp;Inline=true</t>
        </is>
      </c>
      <c r="AH755" s="3" t="n">
        <v>46321.77847222222</v>
      </c>
      <c r="AI755" s="3" t="n">
        <v>46321.78055555555</v>
      </c>
      <c r="AJ755" s="2" t="inlineStr"/>
    </row>
    <row r="756">
      <c r="A756" s="2" t="n">
        <v>755</v>
      </c>
      <c r="B756" s="2" t="inlineStr">
        <is>
          <t>702C</t>
        </is>
      </c>
      <c r="C756" s="3" t="n">
        <v>45966.84930555556</v>
      </c>
      <c r="D756" s="2" t="inlineStr">
        <is>
          <t>Original</t>
        </is>
      </c>
      <c r="E756" s="2" t="inlineStr">
        <is>
          <t>PCP</t>
        </is>
      </c>
      <c r="F756" s="2" t="inlineStr">
        <is>
          <t>Alfredo Maia; Paula Santos; Paulo Raimundo</t>
        </is>
      </c>
      <c r="G756" s="2" t="inlineStr">
        <is>
          <t>Art. 113.º-A (aditamento)</t>
        </is>
      </c>
      <c r="H756" s="2" t="n"/>
      <c r="I756" s="2" t="n"/>
      <c r="J756" s="2" t="n"/>
      <c r="K756" s="2" t="n"/>
      <c r="L756" s="2" t="inlineStr">
        <is>
          <t>Artigo 113.º-A (Requalificação do IC8)</t>
        </is>
      </c>
      <c r="M756" s="4" t="n"/>
      <c r="N756" s="4" t="n"/>
      <c r="O756" s="2" t="n"/>
      <c r="P756" s="2" t="n"/>
      <c r="Q756" s="2" t="n"/>
      <c r="R756" s="2" t="n"/>
      <c r="S756" s="2" t="inlineStr">
        <is>
          <t>Rejeitado(a) em Comissão</t>
        </is>
      </c>
      <c r="T756" s="2" t="inlineStr">
        <is>
          <t>Rejeitada</t>
        </is>
      </c>
      <c r="U756" s="2" t="inlineStr">
        <is>
          <t>Favor: L, PCP, BE; Contra: PSD, CDS-PP; Abstenção: CH, PS, IL, PAN</t>
        </is>
      </c>
      <c r="V756" s="3" t="n">
        <v>45985</v>
      </c>
      <c r="W756" s="2" t="inlineStr">
        <is>
          <t>AR: https://www.parlamento.pt/OrcamentoEstado/Paginas/DetalhePropostaAlteracao.aspx?BID=23928 PDF: https://app.parlamento.pt/webutils/docs/doc.pdf?path=6148523063484d364c793942556b356c6443397a6158526c63793959566b6c4a544556484c3039464c7a49774d6a59794d4449314d5441774f53395151533834596a457a4e5463354f5330334d325a694c5451324e474d74596a497a4d43316c4e6d49774f5449304e3255354e5463756347526d&amp;Fich=8b135799-73fb-464c-b230-e6b09247e957.pdf&amp;Inline=true</t>
        </is>
      </c>
      <c r="X756" s="2" t="inlineStr">
        <is>
          <t>Infraestruturas, Mobilidade e Habitação</t>
        </is>
      </c>
      <c r="Y756" s="2" t="inlineStr">
        <is>
          <t>Articulado</t>
        </is>
      </c>
      <c r="Z756" s="2" t="inlineStr">
        <is>
          <t>Aditamento (Artigo PPL)</t>
        </is>
      </c>
      <c r="AA756" s="2" t="inlineStr">
        <is>
          <t>Rejeitado(a) em Comissão</t>
        </is>
      </c>
      <c r="AB756" s="2" t="inlineStr"/>
      <c r="AC756" s="2" t="inlineStr"/>
      <c r="AD756" s="2" t="inlineStr">
        <is>
          <t>1</t>
        </is>
      </c>
      <c r="AE756" s="2" t="inlineStr">
        <is>
          <t>23928</t>
        </is>
      </c>
      <c r="AF756" s="2" t="inlineStr">
        <is>
          <t>https://www.parlamento.pt/OrcamentoEstado/Paginas/DetalhePropostaAlteracao.aspx?BID=23928</t>
        </is>
      </c>
      <c r="AG756" s="2" t="inlineStr">
        <is>
          <t>https://app.parlamento.pt/webutils/docs/doc.pdf?path=6148523063484d364c793942556b356c6443397a6158526c63793959566b6c4a544556484c3039464c7a49774d6a59794d4449314d5441774f53395151533834596a457a4e5463354f5330334d325a694c5451324e474d74596a497a4d43316c4e6d49774f5449304e3255354e5463756347526d&amp;Fich=8b135799-73fb-464c-b230-e6b09247e957.pdf&amp;Inline=true</t>
        </is>
      </c>
      <c r="AH756" s="3" t="n">
        <v>46321.77847222222</v>
      </c>
      <c r="AI756" s="3" t="n">
        <v>46321.78055555555</v>
      </c>
      <c r="AJ756" s="2" t="inlineStr"/>
    </row>
    <row r="757">
      <c r="A757" s="2" t="n">
        <v>756</v>
      </c>
      <c r="B757" s="2" t="inlineStr">
        <is>
          <t>703C</t>
        </is>
      </c>
      <c r="C757" s="3" t="n">
        <v>45966.85902777778</v>
      </c>
      <c r="D757" s="2" t="inlineStr">
        <is>
          <t>Original</t>
        </is>
      </c>
      <c r="E757" s="2" t="inlineStr">
        <is>
          <t>PCP</t>
        </is>
      </c>
      <c r="F757" s="2" t="inlineStr">
        <is>
          <t>Alfredo Maia; Paula Santos; Paulo Raimundo</t>
        </is>
      </c>
      <c r="G757" s="2" t="inlineStr">
        <is>
          <t>Art. 113.º-A (aditamento)</t>
        </is>
      </c>
      <c r="H757" s="2" t="n"/>
      <c r="I757" s="2" t="n"/>
      <c r="J757" s="2" t="n"/>
      <c r="K757" s="2" t="n"/>
      <c r="L757" s="2" t="inlineStr">
        <is>
          <t>Artigo 113.º-A (Reabilitação do Centro de Saúde Norton de Matos)</t>
        </is>
      </c>
      <c r="M757" s="4" t="n"/>
      <c r="N757" s="4" t="n"/>
      <c r="O757" s="2" t="n"/>
      <c r="P757" s="2" t="n"/>
      <c r="Q757" s="2" t="n"/>
      <c r="R757" s="2" t="n"/>
      <c r="S757" s="2" t="inlineStr">
        <is>
          <t>Rejeitado(a) em Comissão</t>
        </is>
      </c>
      <c r="T757" s="2" t="inlineStr">
        <is>
          <t>Rejeitada</t>
        </is>
      </c>
      <c r="U757" s="2" t="inlineStr">
        <is>
          <t>Favor: CH, L, PCP, BE, PAN; Contra: PSD, CDS-PP; Abstenção: PS, IL</t>
        </is>
      </c>
      <c r="V757" s="3" t="n">
        <v>45985</v>
      </c>
      <c r="W757" s="2" t="inlineStr">
        <is>
          <t>AR: https://www.parlamento.pt/OrcamentoEstado/Paginas/DetalhePropostaAlteracao.aspx?BID=23929 PDF: https://app.parlamento.pt/webutils/docs/doc.pdf?path=6148523063484d364c793942556b356c6443397a6158526c63793959566b6c4a544556484c3039464c7a49774d6a59794d4449314d5441774f5339515153396a5932553559574d314e79316b4d7a517a4c5451324e6a59744f444577597930794d444e6b4e47526b4f474a69597a67756347526d&amp;Fich=cce9ac57-d343-4666-810c-203d4dd8bbc8.pdf&amp;Inline=true</t>
        </is>
      </c>
      <c r="X757" s="2" t="inlineStr">
        <is>
          <t>Saúde</t>
        </is>
      </c>
      <c r="Y757" s="2" t="inlineStr">
        <is>
          <t>Articulado</t>
        </is>
      </c>
      <c r="Z757" s="2" t="inlineStr">
        <is>
          <t>Aditamento (Artigo PPL)</t>
        </is>
      </c>
      <c r="AA757" s="2" t="inlineStr">
        <is>
          <t>Rejeitado(a) em Comissão</t>
        </is>
      </c>
      <c r="AB757" s="2" t="inlineStr"/>
      <c r="AC757" s="2" t="inlineStr"/>
      <c r="AD757" s="2" t="inlineStr">
        <is>
          <t>1</t>
        </is>
      </c>
      <c r="AE757" s="2" t="inlineStr">
        <is>
          <t>23929</t>
        </is>
      </c>
      <c r="AF757" s="2" t="inlineStr">
        <is>
          <t>https://www.parlamento.pt/OrcamentoEstado/Paginas/DetalhePropostaAlteracao.aspx?BID=23929</t>
        </is>
      </c>
      <c r="AG757" s="2" t="inlineStr">
        <is>
          <t>https://app.parlamento.pt/webutils/docs/doc.pdf?path=6148523063484d364c793942556b356c6443397a6158526c63793959566b6c4a544556484c3039464c7a49774d6a59794d4449314d5441774f5339515153396a5932553559574d314e79316b4d7a517a4c5451324e6a59744f444577597930794d444e6b4e47526b4f474a69597a67756347526d&amp;Fich=cce9ac57-d343-4666-810c-203d4dd8bbc8.pdf&amp;Inline=true</t>
        </is>
      </c>
      <c r="AH757" s="3" t="n">
        <v>46321.77847222222</v>
      </c>
      <c r="AI757" s="3" t="n">
        <v>46321.78055555555</v>
      </c>
      <c r="AJ757" s="2" t="inlineStr"/>
    </row>
    <row r="758">
      <c r="A758" s="2" t="n">
        <v>757</v>
      </c>
      <c r="B758" s="2" t="inlineStr">
        <is>
          <t>704C</t>
        </is>
      </c>
      <c r="C758" s="3" t="n">
        <v>45966.85972222222</v>
      </c>
      <c r="D758" s="2" t="inlineStr">
        <is>
          <t>Original</t>
        </is>
      </c>
      <c r="E758" s="2" t="inlineStr">
        <is>
          <t>PCP</t>
        </is>
      </c>
      <c r="F758" s="2" t="inlineStr">
        <is>
          <t>Alfredo Maia; Paula Santos; Paulo Raimundo</t>
        </is>
      </c>
      <c r="G758" s="2" t="inlineStr">
        <is>
          <t>Art. 113.º-A (aditamento)</t>
        </is>
      </c>
      <c r="H758" s="2" t="n"/>
      <c r="I758" s="2" t="n"/>
      <c r="J758" s="2" t="n"/>
      <c r="K758" s="2" t="n"/>
      <c r="L758" s="2" t="inlineStr">
        <is>
          <t>Artigo 113.º-A (Construção de Unidades de Cuidados Continuados Públicas)</t>
        </is>
      </c>
      <c r="M758" s="4" t="n"/>
      <c r="N758" s="4" t="n"/>
      <c r="O758" s="2" t="n"/>
      <c r="P758" s="2" t="n"/>
      <c r="Q758" s="2" t="n"/>
      <c r="R758" s="2" t="n"/>
      <c r="S758" s="2" t="inlineStr">
        <is>
          <t>Rejeitado(a) em Comissão</t>
        </is>
      </c>
      <c r="T758" s="2" t="inlineStr">
        <is>
          <t>Rejeitada</t>
        </is>
      </c>
      <c r="U758" s="2" t="inlineStr">
        <is>
          <t>Favor: L, PCP, BE, PAN; Contra: PSD, IL, CDS-PP; Abstenção: CH, PS</t>
        </is>
      </c>
      <c r="V758" s="3" t="n">
        <v>45985</v>
      </c>
      <c r="W758" s="2" t="inlineStr">
        <is>
          <t>AR: https://www.parlamento.pt/OrcamentoEstado/Paginas/DetalhePropostaAlteracao.aspx?BID=23930 PDF: https://app.parlamento.pt/webutils/docs/doc.pdf?path=6148523063484d364c793942556b356c6443397a6158526c63793959566b6c4a544556484c3039464c7a49774d6a59794d4449314d5441774f533951515338345932557a597a5a6d4f53316c5a6d517a4c54526a4e324d744f4463335979316c5a6a566b596d55305a44426d595745756347526d&amp;Fich=8ce3c6f9-efd3-4c7c-877c-ef5dbe4d0faa.pdf&amp;Inline=true</t>
        </is>
      </c>
      <c r="X758" s="2" t="inlineStr">
        <is>
          <t>Saúde</t>
        </is>
      </c>
      <c r="Y758" s="2" t="inlineStr">
        <is>
          <t>Articulado</t>
        </is>
      </c>
      <c r="Z758" s="2" t="inlineStr">
        <is>
          <t>Aditamento (Artigo PPL)</t>
        </is>
      </c>
      <c r="AA758" s="2" t="inlineStr">
        <is>
          <t>Rejeitado(a) em Comissão</t>
        </is>
      </c>
      <c r="AB758" s="2" t="inlineStr"/>
      <c r="AC758" s="2" t="inlineStr"/>
      <c r="AD758" s="2" t="inlineStr">
        <is>
          <t>1</t>
        </is>
      </c>
      <c r="AE758" s="2" t="inlineStr">
        <is>
          <t>23930</t>
        </is>
      </c>
      <c r="AF758" s="2" t="inlineStr">
        <is>
          <t>https://www.parlamento.pt/OrcamentoEstado/Paginas/DetalhePropostaAlteracao.aspx?BID=23930</t>
        </is>
      </c>
      <c r="AG758" s="2" t="inlineStr">
        <is>
          <t>https://app.parlamento.pt/webutils/docs/doc.pdf?path=6148523063484d364c793942556b356c6443397a6158526c63793959566b6c4a544556484c3039464c7a49774d6a59794d4449314d5441774f533951515338345932557a597a5a6d4f53316c5a6d517a4c54526a4e324d744f4463335979316c5a6a566b596d55305a44426d595745756347526d&amp;Fich=8ce3c6f9-efd3-4c7c-877c-ef5dbe4d0faa.pdf&amp;Inline=true</t>
        </is>
      </c>
      <c r="AH758" s="3" t="n">
        <v>46321.77847222222</v>
      </c>
      <c r="AI758" s="3" t="n">
        <v>46321.78055555555</v>
      </c>
      <c r="AJ758" s="2" t="inlineStr"/>
    </row>
    <row r="759">
      <c r="A759" s="2" t="n">
        <v>758</v>
      </c>
      <c r="B759" s="2" t="inlineStr">
        <is>
          <t>705C</t>
        </is>
      </c>
      <c r="C759" s="3" t="n">
        <v>45966.86041666667</v>
      </c>
      <c r="D759" s="2" t="inlineStr">
        <is>
          <t>Original</t>
        </is>
      </c>
      <c r="E759" s="2" t="inlineStr">
        <is>
          <t>PCP</t>
        </is>
      </c>
      <c r="F759" s="2" t="inlineStr">
        <is>
          <t>Alfredo Maia; Paula Santos; Paulo Raimundo</t>
        </is>
      </c>
      <c r="G759" s="2" t="inlineStr">
        <is>
          <t>Art. 113.º-A (aditamento)</t>
        </is>
      </c>
      <c r="H759" s="2" t="n"/>
      <c r="I759" s="2" t="n"/>
      <c r="J759" s="2" t="n"/>
      <c r="K759" s="2" t="n"/>
      <c r="L759" s="2" t="inlineStr">
        <is>
          <t>Artigo 113.º-A (Construção do Palácio da Justiça de Coimbra)</t>
        </is>
      </c>
      <c r="M759" s="4" t="n"/>
      <c r="N759" s="4" t="n"/>
      <c r="O759" s="2" t="n"/>
      <c r="P759" s="2" t="n"/>
      <c r="Q759" s="2" t="n"/>
      <c r="R759" s="2" t="n"/>
      <c r="S759" s="2" t="inlineStr">
        <is>
          <t>Rejeitado(a) em Comissão</t>
        </is>
      </c>
      <c r="T759" s="2" t="inlineStr">
        <is>
          <t>Rejeitada</t>
        </is>
      </c>
      <c r="U759" s="2" t="inlineStr">
        <is>
          <t>Favor: L, PCP, BE, PAN; Contra: PSD, CDS-PP; Abstenção: CH, PS, IL</t>
        </is>
      </c>
      <c r="V759" s="3" t="n">
        <v>45985</v>
      </c>
      <c r="W759" s="2" t="inlineStr">
        <is>
          <t>AR: https://www.parlamento.pt/OrcamentoEstado/Paginas/DetalhePropostaAlteracao.aspx?BID=23931 PDF: https://app.parlamento.pt/webutils/docs/doc.pdf?path=6148523063484d364c793942556b356c6443397a6158526c63793959566b6c4a544556484c3039464c7a49774d6a59794d4449314d5441774f5339515153387a4e6d5a6d5a57566a4e7931695a4749354c54526c5a6d4d744f4451794d6930304e5463335957526b4d54426b596d49756347526d&amp;Fich=36ffeec7-bdb9-4efc-8422-4577add10dbb.pdf&amp;Inline=true</t>
        </is>
      </c>
      <c r="X759" s="2" t="inlineStr">
        <is>
          <t>Assuntos Constitucionais, Direitos, Liberdades e Garantias</t>
        </is>
      </c>
      <c r="Y759" s="2" t="inlineStr">
        <is>
          <t>Articulado</t>
        </is>
      </c>
      <c r="Z759" s="2" t="inlineStr">
        <is>
          <t>Aditamento (Artigo PPL)</t>
        </is>
      </c>
      <c r="AA759" s="2" t="inlineStr">
        <is>
          <t>Rejeitado(a) em Comissão</t>
        </is>
      </c>
      <c r="AB759" s="2" t="inlineStr"/>
      <c r="AC759" s="2" t="inlineStr"/>
      <c r="AD759" s="2" t="inlineStr">
        <is>
          <t>1</t>
        </is>
      </c>
      <c r="AE759" s="2" t="inlineStr">
        <is>
          <t>23931</t>
        </is>
      </c>
      <c r="AF759" s="2" t="inlineStr">
        <is>
          <t>https://www.parlamento.pt/OrcamentoEstado/Paginas/DetalhePropostaAlteracao.aspx?BID=23931</t>
        </is>
      </c>
      <c r="AG759" s="2" t="inlineStr">
        <is>
          <t>https://app.parlamento.pt/webutils/docs/doc.pdf?path=6148523063484d364c793942556b356c6443397a6158526c63793959566b6c4a544556484c3039464c7a49774d6a59794d4449314d5441774f5339515153387a4e6d5a6d5a57566a4e7931695a4749354c54526c5a6d4d744f4451794d6930304e5463335957526b4d54426b596d49756347526d&amp;Fich=36ffeec7-bdb9-4efc-8422-4577add10dbb.pdf&amp;Inline=true</t>
        </is>
      </c>
      <c r="AH759" s="3" t="n">
        <v>46321.77847222222</v>
      </c>
      <c r="AI759" s="3" t="n">
        <v>46321.78055555555</v>
      </c>
      <c r="AJ759" s="2" t="inlineStr"/>
    </row>
    <row r="760">
      <c r="A760" s="2" t="n">
        <v>759</v>
      </c>
      <c r="B760" s="2" t="inlineStr">
        <is>
          <t>706C</t>
        </is>
      </c>
      <c r="C760" s="3" t="n">
        <v>45966.86041666667</v>
      </c>
      <c r="D760" s="2" t="inlineStr">
        <is>
          <t>Original</t>
        </is>
      </c>
      <c r="E760" s="2" t="inlineStr">
        <is>
          <t>PCP</t>
        </is>
      </c>
      <c r="F760" s="2" t="inlineStr">
        <is>
          <t>Alfredo Maia; Paula Santos; Paulo Raimundo</t>
        </is>
      </c>
      <c r="G760" s="2" t="inlineStr">
        <is>
          <t>Art. 113.º-A (aditamento)</t>
        </is>
      </c>
      <c r="H760" s="2" t="n"/>
      <c r="I760" s="2" t="n"/>
      <c r="J760" s="2" t="n"/>
      <c r="K760" s="2" t="n"/>
      <c r="L760" s="2" t="inlineStr">
        <is>
          <t>Artigo 113.º-A (Construção de uma nova maternidade em Coimbra e requalificação das maternidades Daniel de Matos e Bissaya Barreto)</t>
        </is>
      </c>
      <c r="M760" s="4" t="n"/>
      <c r="N760" s="4" t="n"/>
      <c r="O760" s="2" t="n"/>
      <c r="P760" s="2" t="n"/>
      <c r="Q760" s="2" t="n"/>
      <c r="R760" s="2" t="n"/>
      <c r="S760" s="2" t="inlineStr">
        <is>
          <t>Rejeitado(a) em Comissão</t>
        </is>
      </c>
      <c r="T760" s="2" t="inlineStr">
        <is>
          <t>Rejeitada</t>
        </is>
      </c>
      <c r="U760" s="2" t="inlineStr">
        <is>
          <t>Favor: CH, L, PCP, BE, PAN; Contra: PSD, IL, CDS-PP; Abstenção: PS</t>
        </is>
      </c>
      <c r="V760" s="3" t="n">
        <v>45985</v>
      </c>
      <c r="W760" s="2" t="inlineStr">
        <is>
          <t>AR: https://www.parlamento.pt/OrcamentoEstado/Paginas/DetalhePropostaAlteracao.aspx?BID=23932 PDF: https://app.parlamento.pt/webutils/docs/doc.pdf?path=6148523063484d364c793942556b356c6443397a6158526c63793959566b6c4a544556484c3039464c7a49774d6a59794d4449314d5441774f533951515338305a544e6d5a574d334d5331694d32457a4c5451774e324574595449775a4330335a574d794d445530596a59344d6a59756347526d&amp;Fich=4e3fec71-b3a3-407a-a20d-7ec2054b6826.pdf&amp;Inline=true</t>
        </is>
      </c>
      <c r="X760" s="2" t="inlineStr">
        <is>
          <t>Saúde</t>
        </is>
      </c>
      <c r="Y760" s="2" t="inlineStr">
        <is>
          <t>Articulado</t>
        </is>
      </c>
      <c r="Z760" s="2" t="inlineStr">
        <is>
          <t>Aditamento (Artigo PPL)</t>
        </is>
      </c>
      <c r="AA760" s="2" t="inlineStr">
        <is>
          <t>Rejeitado(a) em Comissão</t>
        </is>
      </c>
      <c r="AB760" s="2" t="inlineStr"/>
      <c r="AC760" s="2" t="inlineStr"/>
      <c r="AD760" s="2" t="inlineStr">
        <is>
          <t>1</t>
        </is>
      </c>
      <c r="AE760" s="2" t="inlineStr">
        <is>
          <t>23932</t>
        </is>
      </c>
      <c r="AF760" s="2" t="inlineStr">
        <is>
          <t>https://www.parlamento.pt/OrcamentoEstado/Paginas/DetalhePropostaAlteracao.aspx?BID=23932</t>
        </is>
      </c>
      <c r="AG760" s="2" t="inlineStr">
        <is>
          <t>https://app.parlamento.pt/webutils/docs/doc.pdf?path=6148523063484d364c793942556b356c6443397a6158526c63793959566b6c4a544556484c3039464c7a49774d6a59794d4449314d5441774f533951515338305a544e6d5a574d334d5331694d32457a4c5451774e324574595449775a4330335a574d794d445530596a59344d6a59756347526d&amp;Fich=4e3fec71-b3a3-407a-a20d-7ec2054b6826.pdf&amp;Inline=true</t>
        </is>
      </c>
      <c r="AH760" s="3" t="n">
        <v>46321.77847222222</v>
      </c>
      <c r="AI760" s="3" t="n">
        <v>46321.78055555555</v>
      </c>
      <c r="AJ760" s="2" t="inlineStr"/>
    </row>
    <row r="761">
      <c r="A761" s="2" t="n">
        <v>760</v>
      </c>
      <c r="B761" s="2" t="inlineStr">
        <is>
          <t>707C</t>
        </is>
      </c>
      <c r="C761" s="3" t="n">
        <v>45966.86180555556</v>
      </c>
      <c r="D761" s="2" t="inlineStr">
        <is>
          <t>Original</t>
        </is>
      </c>
      <c r="E761" s="2" t="inlineStr">
        <is>
          <t>PCP</t>
        </is>
      </c>
      <c r="F761" s="2" t="inlineStr">
        <is>
          <t>Alfredo Maia; Paula Santos; Paulo Raimundo</t>
        </is>
      </c>
      <c r="G761" s="2" t="inlineStr">
        <is>
          <t>Art. 113.º-A (aditamento)</t>
        </is>
      </c>
      <c r="H761" s="2" t="n"/>
      <c r="I761" s="2" t="n"/>
      <c r="J761" s="2" t="n"/>
      <c r="K761" s="2" t="n"/>
      <c r="L761" s="2" t="inlineStr">
        <is>
          <t>Artigo 113.º-A (Obra Hidroagrícola Conclusão da obra hidroagrícola do Baixo Mondego)</t>
        </is>
      </c>
      <c r="M761" s="4" t="n"/>
      <c r="N761" s="4" t="n"/>
      <c r="O761" s="2" t="n"/>
      <c r="P761" s="2" t="n"/>
      <c r="Q761" s="2" t="n"/>
      <c r="R761" s="2" t="n"/>
      <c r="S761" s="2" t="inlineStr">
        <is>
          <t>Rejeitado(a) em Comissão</t>
        </is>
      </c>
      <c r="T761" s="2" t="inlineStr">
        <is>
          <t>Rejeitada</t>
        </is>
      </c>
      <c r="U761" s="2" t="inlineStr">
        <is>
          <t>Favor: PCP, BE; Contra: PSD, IL, CDS-PP, PAN; Abstenção: CH, PS, L</t>
        </is>
      </c>
      <c r="V761" s="3" t="n">
        <v>45985</v>
      </c>
      <c r="W761" s="2" t="inlineStr">
        <is>
          <t>AR: https://www.parlamento.pt/OrcamentoEstado/Paginas/DetalhePropostaAlteracao.aspx?BID=23933 PDF: https://app.parlamento.pt/webutils/docs/doc.pdf?path=6148523063484d364c793942556b356c6443397a6158526c63793959566b6c4a544556484c3039464c7a49774d6a59794d4449314d5441774f533951515338305a474d324d7a45345979316d4f5467324c54526c4f444d744f44426a5a433030596d56695932566d4d575930597a41756347526d&amp;Fich=4dc6318c-f986-4e83-80cd-4bebcef1f4c0.pdf&amp;Inline=true</t>
        </is>
      </c>
      <c r="X761" s="2" t="inlineStr">
        <is>
          <t>Agricultura e Pescas</t>
        </is>
      </c>
      <c r="Y761" s="2" t="inlineStr">
        <is>
          <t>Articulado</t>
        </is>
      </c>
      <c r="Z761" s="2" t="inlineStr">
        <is>
          <t>Aditamento (Artigo PPL)</t>
        </is>
      </c>
      <c r="AA761" s="2" t="inlineStr">
        <is>
          <t>Rejeitado(a) em Comissão</t>
        </is>
      </c>
      <c r="AB761" s="2" t="inlineStr"/>
      <c r="AC761" s="2" t="inlineStr"/>
      <c r="AD761" s="2" t="inlineStr">
        <is>
          <t>1</t>
        </is>
      </c>
      <c r="AE761" s="2" t="inlineStr">
        <is>
          <t>23933</t>
        </is>
      </c>
      <c r="AF761" s="2" t="inlineStr">
        <is>
          <t>https://www.parlamento.pt/OrcamentoEstado/Paginas/DetalhePropostaAlteracao.aspx?BID=23933</t>
        </is>
      </c>
      <c r="AG761" s="2" t="inlineStr">
        <is>
          <t>https://app.parlamento.pt/webutils/docs/doc.pdf?path=6148523063484d364c793942556b356c6443397a6158526c63793959566b6c4a544556484c3039464c7a49774d6a59794d4449314d5441774f533951515338305a474d324d7a45345979316d4f5467324c54526c4f444d744f44426a5a433030596d56695932566d4d575930597a41756347526d&amp;Fich=4dc6318c-f986-4e83-80cd-4bebcef1f4c0.pdf&amp;Inline=true</t>
        </is>
      </c>
      <c r="AH761" s="3" t="n">
        <v>46321.77847222222</v>
      </c>
      <c r="AI761" s="3" t="n">
        <v>46321.78055555555</v>
      </c>
      <c r="AJ761" s="2" t="inlineStr"/>
    </row>
    <row r="762">
      <c r="A762" s="2" t="n">
        <v>761</v>
      </c>
      <c r="B762" s="2" t="inlineStr">
        <is>
          <t>708C</t>
        </is>
      </c>
      <c r="C762" s="3" t="n">
        <v>45966.86180555556</v>
      </c>
      <c r="D762" s="2" t="inlineStr">
        <is>
          <t>Original</t>
        </is>
      </c>
      <c r="E762" s="2" t="inlineStr">
        <is>
          <t>PCP</t>
        </is>
      </c>
      <c r="F762" s="2" t="inlineStr">
        <is>
          <t>Alfredo Maia; Paula Santos; Paulo Raimundo</t>
        </is>
      </c>
      <c r="G762" s="2" t="inlineStr">
        <is>
          <t>Art. 113.º-A (aditamento)</t>
        </is>
      </c>
      <c r="H762" s="2" t="n"/>
      <c r="I762" s="2" t="n"/>
      <c r="J762" s="2" t="n"/>
      <c r="K762" s="2" t="n"/>
      <c r="L762" s="2" t="inlineStr">
        <is>
          <t>Artigo 113.º-A (Tribunal Administrativo e Fiscal de Coimbra)</t>
        </is>
      </c>
      <c r="M762" s="4" t="n"/>
      <c r="N762" s="4" t="n"/>
      <c r="O762" s="2" t="n"/>
      <c r="P762" s="2" t="n"/>
      <c r="Q762" s="2" t="n"/>
      <c r="R762" s="2" t="n"/>
      <c r="S762" s="2" t="inlineStr">
        <is>
          <t>Rejeitado(a) em Comissão</t>
        </is>
      </c>
      <c r="T762" s="2" t="inlineStr">
        <is>
          <t>Rejeitada</t>
        </is>
      </c>
      <c r="U762" s="2" t="inlineStr">
        <is>
          <t>Favor: CH, L, PCP, BE, PAN; Contra: PSD, CDS-PP; Abstenção: PS, IL</t>
        </is>
      </c>
      <c r="V762" s="3" t="n">
        <v>45985</v>
      </c>
      <c r="W762" s="2" t="inlineStr">
        <is>
          <t>AR: https://www.parlamento.pt/OrcamentoEstado/Paginas/DetalhePropostaAlteracao.aspx?BID=23934 PDF: https://app.parlamento.pt/webutils/docs/doc.pdf?path=6148523063484d364c793942556b356c6443397a6158526c63793959566b6c4a544556484c3039464c7a49774d6a59794d4449314d5441774f5339515153396b5a6a64694d6d4e6c5a69316c4d6a67784c5451334e54637459575a6c5a4330314f44566d4e47566c4f4749334e6d59756347526d&amp;Fich=df7b2cef-e281-4757-afed-585f4ee8b76f.pdf&amp;Inline=true</t>
        </is>
      </c>
      <c r="X762" s="2" t="inlineStr">
        <is>
          <t>Assuntos Constitucionais, Direitos, Liberdades e Garantias</t>
        </is>
      </c>
      <c r="Y762" s="2" t="inlineStr">
        <is>
          <t>Articulado</t>
        </is>
      </c>
      <c r="Z762" s="2" t="inlineStr">
        <is>
          <t>Aditamento (Artigo PPL)</t>
        </is>
      </c>
      <c r="AA762" s="2" t="inlineStr">
        <is>
          <t>Rejeitado(a) em Comissão</t>
        </is>
      </c>
      <c r="AB762" s="2" t="inlineStr"/>
      <c r="AC762" s="2" t="inlineStr"/>
      <c r="AD762" s="2" t="inlineStr">
        <is>
          <t>1</t>
        </is>
      </c>
      <c r="AE762" s="2" t="inlineStr">
        <is>
          <t>23934</t>
        </is>
      </c>
      <c r="AF762" s="2" t="inlineStr">
        <is>
          <t>https://www.parlamento.pt/OrcamentoEstado/Paginas/DetalhePropostaAlteracao.aspx?BID=23934</t>
        </is>
      </c>
      <c r="AG762" s="2" t="inlineStr">
        <is>
          <t>https://app.parlamento.pt/webutils/docs/doc.pdf?path=6148523063484d364c793942556b356c6443397a6158526c63793959566b6c4a544556484c3039464c7a49774d6a59794d4449314d5441774f5339515153396b5a6a64694d6d4e6c5a69316c4d6a67784c5451334e54637459575a6c5a4330314f44566d4e47566c4f4749334e6d59756347526d&amp;Fich=df7b2cef-e281-4757-afed-585f4ee8b76f.pdf&amp;Inline=true</t>
        </is>
      </c>
      <c r="AH762" s="3" t="n">
        <v>46321.77847222222</v>
      </c>
      <c r="AI762" s="3" t="n">
        <v>46321.78055555555</v>
      </c>
      <c r="AJ762" s="2" t="inlineStr"/>
    </row>
    <row r="763">
      <c r="A763" s="2" t="n">
        <v>762</v>
      </c>
      <c r="B763" s="2" t="inlineStr">
        <is>
          <t>709C</t>
        </is>
      </c>
      <c r="C763" s="3" t="n">
        <v>45966.86527777778</v>
      </c>
      <c r="D763" s="2" t="inlineStr">
        <is>
          <t>Original</t>
        </is>
      </c>
      <c r="E763" s="2" t="inlineStr">
        <is>
          <t>PCP</t>
        </is>
      </c>
      <c r="F763" s="2" t="inlineStr">
        <is>
          <t>Alfredo Maia; Paula Santos; Paulo Raimundo</t>
        </is>
      </c>
      <c r="G763" s="2" t="inlineStr">
        <is>
          <t>Art. 113.º-A (aditamento)</t>
        </is>
      </c>
      <c r="H763" s="2" t="n"/>
      <c r="I763" s="2" t="n"/>
      <c r="J763" s="2" t="n"/>
      <c r="K763" s="2" t="n"/>
      <c r="L763" s="2" t="inlineStr">
        <is>
          <t>Artigo 113.º-A (Ligação ferroviária Sines-Caia: Construção de estações de passageiros e cais de mercadorias em Vendas Novas, Évora e Alandroal)</t>
        </is>
      </c>
      <c r="M763" s="4" t="n"/>
      <c r="N763" s="4" t="n"/>
      <c r="O763" s="2" t="n"/>
      <c r="P763" s="2" t="n"/>
      <c r="Q763" s="2" t="n"/>
      <c r="R763" s="2" t="n"/>
      <c r="S763" s="2" t="inlineStr">
        <is>
          <t>Rejeitado(a) em Comissão</t>
        </is>
      </c>
      <c r="T763" s="2" t="inlineStr">
        <is>
          <t>Rejeitada</t>
        </is>
      </c>
      <c r="U763" s="2" t="inlineStr">
        <is>
          <t>Favor: IL, L, PCP, BE, PAN; Contra: PSD, CDS-PP; Abstenção: CH, PS</t>
        </is>
      </c>
      <c r="V763" s="3" t="n">
        <v>45985</v>
      </c>
      <c r="W763" s="2" t="inlineStr">
        <is>
          <t>AR: https://www.parlamento.pt/OrcamentoEstado/Paginas/DetalhePropostaAlteracao.aspx?BID=23935 PDF: https://app.parlamento.pt/webutils/docs/doc.pdf?path=6148523063484d364c793942556b356c6443397a6158526c63793959566b6c4a544556484c3039464c7a49774d6a59794d4449314d5441774f5339515153396d4e54426c5a6a557a4d43316d5a6a59314c545134595751745954457a5a53307a4d7a67345a6a64694e6a646d4f5751756347526d&amp;Fich=f50ef530-ff65-48ad-a13e-3388f7b67f9d.pdf&amp;Inline=true</t>
        </is>
      </c>
      <c r="X763" s="2" t="inlineStr">
        <is>
          <t>Infraestruturas, Mobilidade e Habitação</t>
        </is>
      </c>
      <c r="Y763" s="2" t="inlineStr">
        <is>
          <t>Articulado</t>
        </is>
      </c>
      <c r="Z763" s="2" t="inlineStr">
        <is>
          <t>Aditamento (Artigo PPL)</t>
        </is>
      </c>
      <c r="AA763" s="2" t="inlineStr">
        <is>
          <t>Rejeitado(a) em Comissão</t>
        </is>
      </c>
      <c r="AB763" s="2" t="inlineStr"/>
      <c r="AC763" s="2" t="inlineStr"/>
      <c r="AD763" s="2" t="inlineStr">
        <is>
          <t>1</t>
        </is>
      </c>
      <c r="AE763" s="2" t="inlineStr">
        <is>
          <t>23935</t>
        </is>
      </c>
      <c r="AF763" s="2" t="inlineStr">
        <is>
          <t>https://www.parlamento.pt/OrcamentoEstado/Paginas/DetalhePropostaAlteracao.aspx?BID=23935</t>
        </is>
      </c>
      <c r="AG763" s="2" t="inlineStr">
        <is>
          <t>https://app.parlamento.pt/webutils/docs/doc.pdf?path=6148523063484d364c793942556b356c6443397a6158526c63793959566b6c4a544556484c3039464c7a49774d6a59794d4449314d5441774f5339515153396d4e54426c5a6a557a4d43316d5a6a59314c545134595751745954457a5a53307a4d7a67345a6a64694e6a646d4f5751756347526d&amp;Fich=f50ef530-ff65-48ad-a13e-3388f7b67f9d.pdf&amp;Inline=true</t>
        </is>
      </c>
      <c r="AH763" s="3" t="n">
        <v>46321.77847222222</v>
      </c>
      <c r="AI763" s="3" t="n">
        <v>46321.78055555555</v>
      </c>
      <c r="AJ763" s="2" t="inlineStr"/>
    </row>
    <row r="764">
      <c r="A764" s="2" t="n">
        <v>763</v>
      </c>
      <c r="B764" s="2" t="inlineStr">
        <is>
          <t>710C</t>
        </is>
      </c>
      <c r="C764" s="3" t="n">
        <v>45966.86597222222</v>
      </c>
      <c r="D764" s="2" t="inlineStr">
        <is>
          <t>Original</t>
        </is>
      </c>
      <c r="E764" s="2" t="inlineStr">
        <is>
          <t>PCP</t>
        </is>
      </c>
      <c r="F764" s="2" t="inlineStr">
        <is>
          <t>Alfredo Maia; Paula Santos; Paulo Raimundo</t>
        </is>
      </c>
      <c r="G764" s="2" t="inlineStr">
        <is>
          <t>Art. 113.º-A (aditamento)</t>
        </is>
      </c>
      <c r="H764" s="2" t="n"/>
      <c r="I764" s="2" t="n"/>
      <c r="J764" s="2" t="n"/>
      <c r="K764" s="2" t="n"/>
      <c r="L764" s="2" t="inlineStr">
        <is>
          <t>Artigo 113.º-A (Manutenção e requalificação do Castelo de Arraiolos)</t>
        </is>
      </c>
      <c r="M764" s="4" t="n"/>
      <c r="N764" s="4" t="n"/>
      <c r="O764" s="2" t="n"/>
      <c r="P764" s="2" t="n"/>
      <c r="Q764" s="2" t="n"/>
      <c r="R764" s="2" t="n"/>
      <c r="S764" s="2" t="inlineStr">
        <is>
          <t>Rejeitado(a) em Comissão</t>
        </is>
      </c>
      <c r="T764" s="2" t="inlineStr">
        <is>
          <t>Rejeitada</t>
        </is>
      </c>
      <c r="U764" s="2" t="inlineStr">
        <is>
          <t>Favor: CH, IL, L, PCP, BE, PAN; Contra: PSD, CDS-PP; Abstenção: PS</t>
        </is>
      </c>
      <c r="V764" s="3" t="n">
        <v>45985</v>
      </c>
      <c r="W764" s="2" t="inlineStr">
        <is>
          <t>AR: https://www.parlamento.pt/OrcamentoEstado/Paginas/DetalhePropostaAlteracao.aspx?BID=23936 PDF: https://app.parlamento.pt/webutils/docs/doc.pdf?path=6148523063484d364c793942556b356c6443397a6158526c63793959566b6c4a544556484c3039464c7a49774d6a59794d4449314d5441774f5339515153396d4e7a6c6d4f474d324d793032595449774c54526c4e474d74595449344e4330354d7a67354d54566a4e7a63774e3245756347526d&amp;Fich=f79f8c63-6a20-4e4c-a284-938915c7707a.pdf&amp;Inline=true</t>
        </is>
      </c>
      <c r="X764" s="2" t="inlineStr">
        <is>
          <t>Cultura, Comunicação, Juventude e Desporto</t>
        </is>
      </c>
      <c r="Y764" s="2" t="inlineStr">
        <is>
          <t>Articulado</t>
        </is>
      </c>
      <c r="Z764" s="2" t="inlineStr">
        <is>
          <t>Aditamento (Artigo PPL)</t>
        </is>
      </c>
      <c r="AA764" s="2" t="inlineStr">
        <is>
          <t>Rejeitado(a) em Comissão</t>
        </is>
      </c>
      <c r="AB764" s="2" t="inlineStr"/>
      <c r="AC764" s="2" t="inlineStr"/>
      <c r="AD764" s="2" t="inlineStr">
        <is>
          <t>1</t>
        </is>
      </c>
      <c r="AE764" s="2" t="inlineStr">
        <is>
          <t>23936</t>
        </is>
      </c>
      <c r="AF764" s="2" t="inlineStr">
        <is>
          <t>https://www.parlamento.pt/OrcamentoEstado/Paginas/DetalhePropostaAlteracao.aspx?BID=23936</t>
        </is>
      </c>
      <c r="AG764" s="2" t="inlineStr">
        <is>
          <t>https://app.parlamento.pt/webutils/docs/doc.pdf?path=6148523063484d364c793942556b356c6443397a6158526c63793959566b6c4a544556484c3039464c7a49774d6a59794d4449314d5441774f5339515153396d4e7a6c6d4f474d324d793032595449774c54526c4e474d74595449344e4330354d7a67354d54566a4e7a63774e3245756347526d&amp;Fich=f79f8c63-6a20-4e4c-a284-938915c7707a.pdf&amp;Inline=true</t>
        </is>
      </c>
      <c r="AH764" s="3" t="n">
        <v>46321.77847222222</v>
      </c>
      <c r="AI764" s="3" t="n">
        <v>46321.78055555555</v>
      </c>
      <c r="AJ764" s="2" t="inlineStr"/>
    </row>
    <row r="765">
      <c r="A765" s="2" t="n">
        <v>764</v>
      </c>
      <c r="B765" s="2" t="inlineStr">
        <is>
          <t>711C</t>
        </is>
      </c>
      <c r="C765" s="3" t="n">
        <v>45966.86666666667</v>
      </c>
      <c r="D765" s="2" t="inlineStr">
        <is>
          <t>Original</t>
        </is>
      </c>
      <c r="E765" s="2" t="inlineStr">
        <is>
          <t>PCP</t>
        </is>
      </c>
      <c r="F765" s="2" t="inlineStr">
        <is>
          <t>Alfredo Maia; Paula Santos; Paulo Raimundo</t>
        </is>
      </c>
      <c r="G765" s="2" t="inlineStr">
        <is>
          <t>Art. 113.º-A (aditamento)</t>
        </is>
      </c>
      <c r="H765" s="2" t="n"/>
      <c r="I765" s="2" t="n"/>
      <c r="J765" s="2" t="n"/>
      <c r="K765" s="2" t="n"/>
      <c r="L765" s="2" t="inlineStr">
        <is>
          <t>Artigo 113.º-A (Início dos procedimentos para a construção de circulares rodoviárias em Évora, Montemor-o-Novo e Reguengos de Monsaraz)</t>
        </is>
      </c>
      <c r="M765" s="4" t="n"/>
      <c r="N765" s="4" t="n"/>
      <c r="O765" s="2" t="n"/>
      <c r="P765" s="2" t="n"/>
      <c r="Q765" s="2" t="n"/>
      <c r="R765" s="2" t="n"/>
      <c r="S765" s="2" t="inlineStr">
        <is>
          <t>Rejeitado(a) em Comissão</t>
        </is>
      </c>
      <c r="T765" s="2" t="inlineStr">
        <is>
          <t>Rejeitada</t>
        </is>
      </c>
      <c r="U765" s="2" t="inlineStr">
        <is>
          <t>Favor: CH, L, PCP, BE; Contra: PSD, IL, CDS-PP; Abstenção: PS, PAN</t>
        </is>
      </c>
      <c r="V765" s="3" t="n">
        <v>45985</v>
      </c>
      <c r="W765" s="2" t="inlineStr">
        <is>
          <t>AR: https://www.parlamento.pt/OrcamentoEstado/Paginas/DetalhePropostaAlteracao.aspx?BID=23937 PDF: https://app.parlamento.pt/webutils/docs/doc.pdf?path=6148523063484d364c793942556b356c6443397a6158526c63793959566b6c4a544556484c3039464c7a49774d6a59794d4449314d5441774f533951515338344e44677a4f444e6a4e533168597a67354c5451784e7a6774596d45794e6930794d47566d5a575a6a597a466b4d4749756347526d&amp;Fich=848383c5-ac89-4178-ba26-20efefcc1d0b.pdf&amp;Inline=true</t>
        </is>
      </c>
      <c r="X765" s="2" t="inlineStr">
        <is>
          <t>Infraestruturas, Mobilidade e Habitação</t>
        </is>
      </c>
      <c r="Y765" s="2" t="inlineStr">
        <is>
          <t>Articulado</t>
        </is>
      </c>
      <c r="Z765" s="2" t="inlineStr">
        <is>
          <t>Aditamento (Artigo PPL)</t>
        </is>
      </c>
      <c r="AA765" s="2" t="inlineStr">
        <is>
          <t>Rejeitado(a) em Comissão</t>
        </is>
      </c>
      <c r="AB765" s="2" t="inlineStr"/>
      <c r="AC765" s="2" t="inlineStr"/>
      <c r="AD765" s="2" t="inlineStr">
        <is>
          <t>1</t>
        </is>
      </c>
      <c r="AE765" s="2" t="inlineStr">
        <is>
          <t>23937</t>
        </is>
      </c>
      <c r="AF765" s="2" t="inlineStr">
        <is>
          <t>https://www.parlamento.pt/OrcamentoEstado/Paginas/DetalhePropostaAlteracao.aspx?BID=23937</t>
        </is>
      </c>
      <c r="AG765" s="2" t="inlineStr">
        <is>
          <t>https://app.parlamento.pt/webutils/docs/doc.pdf?path=6148523063484d364c793942556b356c6443397a6158526c63793959566b6c4a544556484c3039464c7a49774d6a59794d4449314d5441774f533951515338344e44677a4f444e6a4e533168597a67354c5451784e7a6774596d45794e6930794d47566d5a575a6a597a466b4d4749756347526d&amp;Fich=848383c5-ac89-4178-ba26-20efefcc1d0b.pdf&amp;Inline=true</t>
        </is>
      </c>
      <c r="AH765" s="3" t="n">
        <v>46321.77847222222</v>
      </c>
      <c r="AI765" s="3" t="n">
        <v>46321.78055555555</v>
      </c>
      <c r="AJ765" s="2" t="inlineStr"/>
    </row>
    <row r="766">
      <c r="A766" s="2" t="n">
        <v>765</v>
      </c>
      <c r="B766" s="2" t="inlineStr">
        <is>
          <t>712C</t>
        </is>
      </c>
      <c r="C766" s="3" t="n">
        <v>45966.86666666667</v>
      </c>
      <c r="D766" s="2" t="inlineStr">
        <is>
          <t>Original</t>
        </is>
      </c>
      <c r="E766" s="2" t="inlineStr">
        <is>
          <t>PCP</t>
        </is>
      </c>
      <c r="F766" s="2" t="inlineStr">
        <is>
          <t>Alfredo Maia; Paula Santos; Paulo Raimundo</t>
        </is>
      </c>
      <c r="G766" s="2" t="inlineStr">
        <is>
          <t>Art. 113.º-A (aditamento)</t>
        </is>
      </c>
      <c r="H766" s="2" t="n"/>
      <c r="I766" s="2" t="n"/>
      <c r="J766" s="2" t="n"/>
      <c r="K766" s="2" t="n"/>
      <c r="L766" s="2" t="inlineStr">
        <is>
          <t>Artigo 113.º-A (Plano de consolidação e valorização da Anta Grande do Zambujeiro)</t>
        </is>
      </c>
      <c r="M766" s="4" t="n"/>
      <c r="N766" s="4" t="n"/>
      <c r="O766" s="2" t="n"/>
      <c r="P766" s="2" t="n"/>
      <c r="Q766" s="2" t="n"/>
      <c r="R766" s="2" t="n"/>
      <c r="S766" s="2" t="inlineStr">
        <is>
          <t>Aprovado(a) em Comissão</t>
        </is>
      </c>
      <c r="T766" s="2" t="inlineStr">
        <is>
          <t>Aprovada</t>
        </is>
      </c>
      <c r="U766" s="2" t="inlineStr">
        <is>
          <t>Favor: CH, PS, IL, L, PCP, BE, PAN; Contra: PSD, CDS-PP</t>
        </is>
      </c>
      <c r="V766" s="3" t="n">
        <v>45985</v>
      </c>
      <c r="W766" s="2" t="inlineStr">
        <is>
          <t>AR: https://www.parlamento.pt/OrcamentoEstado/Paginas/DetalhePropostaAlteracao.aspx?BID=23938 PDF: https://app.parlamento.pt/webutils/docs/doc.pdf?path=6148523063484d364c793942556b356c6443397a6158526c63793959566b6c4a544556484c3039464c7a49774d6a59794d4449314d5441774f5339515153396a4e6d55325a6a59354e7931695a6d597a4c54517a596d4d744f5449354e53307959544e6b4d325179597a55354e7a51756347526d&amp;Fich=c6e6f697-bff3-43bc-9295-2a3d3d2c5974.pdf&amp;Inline=true</t>
        </is>
      </c>
      <c r="X766" s="2" t="inlineStr">
        <is>
          <t>Cultura, Comunicação, Juventude e Desporto</t>
        </is>
      </c>
      <c r="Y766" s="2" t="inlineStr">
        <is>
          <t>Articulado</t>
        </is>
      </c>
      <c r="Z766" s="2" t="inlineStr">
        <is>
          <t>Aditamento (Artigo PPL)</t>
        </is>
      </c>
      <c r="AA766" s="2" t="inlineStr">
        <is>
          <t>Aprovado(a) em Comissão</t>
        </is>
      </c>
      <c r="AB766" s="2" t="inlineStr"/>
      <c r="AC766" s="2" t="inlineStr"/>
      <c r="AD766" s="2" t="inlineStr">
        <is>
          <t>1</t>
        </is>
      </c>
      <c r="AE766" s="2" t="inlineStr">
        <is>
          <t>23938</t>
        </is>
      </c>
      <c r="AF766" s="2" t="inlineStr">
        <is>
          <t>https://www.parlamento.pt/OrcamentoEstado/Paginas/DetalhePropostaAlteracao.aspx?BID=23938</t>
        </is>
      </c>
      <c r="AG766" s="2" t="inlineStr">
        <is>
          <t>https://app.parlamento.pt/webutils/docs/doc.pdf?path=6148523063484d364c793942556b356c6443397a6158526c63793959566b6c4a544556484c3039464c7a49774d6a59794d4449314d5441774f5339515153396a4e6d55325a6a59354e7931695a6d597a4c54517a596d4d744f5449354e53307959544e6b4d325179597a55354e7a51756347526d&amp;Fich=c6e6f697-bff3-43bc-9295-2a3d3d2c5974.pdf&amp;Inline=true</t>
        </is>
      </c>
      <c r="AH766" s="3" t="n">
        <v>46321.77847222222</v>
      </c>
      <c r="AI766" s="3" t="n">
        <v>46321.78055555555</v>
      </c>
      <c r="AJ766" s="2" t="inlineStr"/>
    </row>
    <row r="767">
      <c r="A767" s="2" t="n">
        <v>766</v>
      </c>
      <c r="B767" s="2" t="inlineStr">
        <is>
          <t>713C</t>
        </is>
      </c>
      <c r="C767" s="3" t="n">
        <v>45966.86736111111</v>
      </c>
      <c r="D767" s="2" t="inlineStr">
        <is>
          <t>Original</t>
        </is>
      </c>
      <c r="E767" s="2" t="inlineStr">
        <is>
          <t>PCP</t>
        </is>
      </c>
      <c r="F767" s="2" t="inlineStr">
        <is>
          <t>Alfredo Maia; Paula Santos; Paulo Raimundo</t>
        </is>
      </c>
      <c r="G767" s="2" t="inlineStr">
        <is>
          <t>Art. 113.º-A (aditamento)</t>
        </is>
      </c>
      <c r="H767" s="2" t="n"/>
      <c r="I767" s="2" t="n"/>
      <c r="J767" s="2" t="n"/>
      <c r="K767" s="2" t="n"/>
      <c r="L767" s="2" t="inlineStr">
        <is>
          <t>Artigo 113.º-A (Reparação das EN 254 e 373)</t>
        </is>
      </c>
      <c r="M767" s="4" t="n"/>
      <c r="N767" s="4" t="n"/>
      <c r="O767" s="2" t="n"/>
      <c r="P767" s="2" t="n"/>
      <c r="Q767" s="2" t="n"/>
      <c r="R767" s="2" t="n"/>
      <c r="S767" s="2" t="inlineStr">
        <is>
          <t>Rejeitado(a) em Comissão</t>
        </is>
      </c>
      <c r="T767" s="2" t="inlineStr">
        <is>
          <t>Rejeitada</t>
        </is>
      </c>
      <c r="U767" s="2" t="inlineStr">
        <is>
          <t>Favor: CH, L, PCP, BE; Contra: PSD, CDS-PP; Abstenção: PS, IL, PAN</t>
        </is>
      </c>
      <c r="V767" s="3" t="n">
        <v>45985</v>
      </c>
      <c r="W767" s="2" t="inlineStr">
        <is>
          <t>AR: https://www.parlamento.pt/OrcamentoEstado/Paginas/DetalhePropostaAlteracao.aspx?BID=23939 PDF: https://app.parlamento.pt/webutils/docs/doc.pdf?path=6148523063484d364c793942556b356c6443397a6158526c63793959566b6c4a544556484c3039464c7a49774d6a59794d4449314d5441774f533951515338314d6a67314e5449344d7930774e3251774c54526d5a6a557459574a6d4d43316d5a446c6a59574533597a5a694d3259756347526d&amp;Fich=52855283-07d0-4ff5-abf0-fd9caa7c6b3f.pdf&amp;Inline=true</t>
        </is>
      </c>
      <c r="X767" s="2" t="inlineStr">
        <is>
          <t>Infraestruturas, Mobilidade e Habitação</t>
        </is>
      </c>
      <c r="Y767" s="2" t="inlineStr">
        <is>
          <t>Articulado</t>
        </is>
      </c>
      <c r="Z767" s="2" t="inlineStr">
        <is>
          <t>Aditamento (Artigo PPL)</t>
        </is>
      </c>
      <c r="AA767" s="2" t="inlineStr">
        <is>
          <t>Rejeitado(a) em Comissão</t>
        </is>
      </c>
      <c r="AB767" s="2" t="inlineStr"/>
      <c r="AC767" s="2" t="inlineStr"/>
      <c r="AD767" s="2" t="inlineStr">
        <is>
          <t>1</t>
        </is>
      </c>
      <c r="AE767" s="2" t="inlineStr">
        <is>
          <t>23939</t>
        </is>
      </c>
      <c r="AF767" s="2" t="inlineStr">
        <is>
          <t>https://www.parlamento.pt/OrcamentoEstado/Paginas/DetalhePropostaAlteracao.aspx?BID=23939</t>
        </is>
      </c>
      <c r="AG767" s="2" t="inlineStr">
        <is>
          <t>https://app.parlamento.pt/webutils/docs/doc.pdf?path=6148523063484d364c793942556b356c6443397a6158526c63793959566b6c4a544556484c3039464c7a49774d6a59794d4449314d5441774f533951515338314d6a67314e5449344d7930774e3251774c54526d5a6a557459574a6d4d43316d5a446c6a59574533597a5a694d3259756347526d&amp;Fich=52855283-07d0-4ff5-abf0-fd9caa7c6b3f.pdf&amp;Inline=true</t>
        </is>
      </c>
      <c r="AH767" s="3" t="n">
        <v>46321.77847222222</v>
      </c>
      <c r="AI767" s="3" t="n">
        <v>46321.78055555555</v>
      </c>
      <c r="AJ767" s="2" t="inlineStr"/>
    </row>
    <row r="768">
      <c r="A768" s="2" t="n">
        <v>767</v>
      </c>
      <c r="B768" s="2" t="inlineStr">
        <is>
          <t>714C</t>
        </is>
      </c>
      <c r="C768" s="3" t="n">
        <v>45966.86875</v>
      </c>
      <c r="D768" s="2" t="inlineStr">
        <is>
          <t>Original</t>
        </is>
      </c>
      <c r="E768" s="2" t="inlineStr">
        <is>
          <t>PCP</t>
        </is>
      </c>
      <c r="F768" s="2" t="inlineStr">
        <is>
          <t>Alfredo Maia; Paula Santos; Paulo Raimundo</t>
        </is>
      </c>
      <c r="G768" s="2" t="inlineStr">
        <is>
          <t>Art. 113.º-A (aditamento)</t>
        </is>
      </c>
      <c r="H768" s="2" t="n"/>
      <c r="I768" s="2" t="n"/>
      <c r="J768" s="2" t="n"/>
      <c r="K768" s="2" t="n"/>
      <c r="L768" s="2" t="inlineStr">
        <is>
          <t>Artigo 113.º-A (Reparação da Estrada Regional 381)</t>
        </is>
      </c>
      <c r="M768" s="4" t="n"/>
      <c r="N768" s="4" t="n"/>
      <c r="O768" s="2" t="n"/>
      <c r="P768" s="2" t="n"/>
      <c r="Q768" s="2" t="n"/>
      <c r="R768" s="2" t="n"/>
      <c r="S768" s="2" t="inlineStr">
        <is>
          <t>Rejeitado(a) em Comissão</t>
        </is>
      </c>
      <c r="T768" s="2" t="inlineStr">
        <is>
          <t>Rejeitada</t>
        </is>
      </c>
      <c r="U768" s="2" t="inlineStr">
        <is>
          <t>Favor: CH, L, PCP, BE; Contra: PSD, CDS-PP; Abstenção: PS, IL, PAN</t>
        </is>
      </c>
      <c r="V768" s="3" t="n">
        <v>45985</v>
      </c>
      <c r="W768" s="2" t="inlineStr">
        <is>
          <t>AR: https://www.parlamento.pt/OrcamentoEstado/Paginas/DetalhePropostaAlteracao.aspx?BID=23940 PDF: https://app.parlamento.pt/webutils/docs/doc.pdf?path=6148523063484d364c793942556b356c6443397a6158526c63793959566b6c4a544556484c3039464c7a49774d6a59794d4449314d5441774f533951515338334e474a6c5a6a566d4e5330314e4759314c5451785a5745744f44557a5a4330314d545a6b4d4445784e6d4d335a544d756347526d&amp;Fich=74bef5f5-54f5-41ea-853d-516d0116c7e3.pdf&amp;Inline=true</t>
        </is>
      </c>
      <c r="X768" s="2" t="inlineStr">
        <is>
          <t>Infraestruturas, Mobilidade e Habitação</t>
        </is>
      </c>
      <c r="Y768" s="2" t="inlineStr">
        <is>
          <t>Articulado</t>
        </is>
      </c>
      <c r="Z768" s="2" t="inlineStr">
        <is>
          <t>Aditamento (Artigo PPL)</t>
        </is>
      </c>
      <c r="AA768" s="2" t="inlineStr">
        <is>
          <t>Rejeitado(a) em Comissão</t>
        </is>
      </c>
      <c r="AB768" s="2" t="inlineStr"/>
      <c r="AC768" s="2" t="inlineStr"/>
      <c r="AD768" s="2" t="inlineStr">
        <is>
          <t>1</t>
        </is>
      </c>
      <c r="AE768" s="2" t="inlineStr">
        <is>
          <t>23940</t>
        </is>
      </c>
      <c r="AF768" s="2" t="inlineStr">
        <is>
          <t>https://www.parlamento.pt/OrcamentoEstado/Paginas/DetalhePropostaAlteracao.aspx?BID=23940</t>
        </is>
      </c>
      <c r="AG768" s="2" t="inlineStr">
        <is>
          <t>https://app.parlamento.pt/webutils/docs/doc.pdf?path=6148523063484d364c793942556b356c6443397a6158526c63793959566b6c4a544556484c3039464c7a49774d6a59794d4449314d5441774f533951515338334e474a6c5a6a566d4e5330314e4759314c5451785a5745744f44557a5a4330314d545a6b4d4445784e6d4d335a544d756347526d&amp;Fich=74bef5f5-54f5-41ea-853d-516d0116c7e3.pdf&amp;Inline=true</t>
        </is>
      </c>
      <c r="AH768" s="3" t="n">
        <v>46321.77847222222</v>
      </c>
      <c r="AI768" s="3" t="n">
        <v>46321.78055555555</v>
      </c>
      <c r="AJ768" s="2" t="inlineStr"/>
    </row>
    <row r="769">
      <c r="A769" s="2" t="n">
        <v>768</v>
      </c>
      <c r="B769" s="2" t="inlineStr">
        <is>
          <t>715C</t>
        </is>
      </c>
      <c r="C769" s="3" t="n">
        <v>45966.86875</v>
      </c>
      <c r="D769" s="2" t="inlineStr">
        <is>
          <t>Original</t>
        </is>
      </c>
      <c r="E769" s="2" t="inlineStr">
        <is>
          <t>PCP</t>
        </is>
      </c>
      <c r="F769" s="2" t="inlineStr">
        <is>
          <t>Alfredo Maia; Paula Santos; Paulo Raimundo</t>
        </is>
      </c>
      <c r="G769" s="2" t="inlineStr">
        <is>
          <t>Art. 113.º-A (aditamento)</t>
        </is>
      </c>
      <c r="H769" s="2" t="n"/>
      <c r="I769" s="2" t="n"/>
      <c r="J769" s="2" t="n"/>
      <c r="K769" s="2" t="n"/>
      <c r="L769" s="2" t="inlineStr">
        <is>
          <t>Artigo 113.º-A (Construção do IC33 entre Sines e Évora)</t>
        </is>
      </c>
      <c r="M769" s="4" t="n"/>
      <c r="N769" s="4" t="n"/>
      <c r="O769" s="2" t="n"/>
      <c r="P769" s="2" t="n"/>
      <c r="Q769" s="2" t="n"/>
      <c r="R769" s="2" t="n"/>
      <c r="S769" s="2" t="inlineStr">
        <is>
          <t>Rejeitado(a) em Comissão</t>
        </is>
      </c>
      <c r="T769" s="2" t="inlineStr">
        <is>
          <t>Rejeitada</t>
        </is>
      </c>
      <c r="U769" s="2" t="inlineStr">
        <is>
          <t>Favor: CH, L, PCP, BE; Contra: PSD, CDS-PP; Abstenção: PS, IL, PAN</t>
        </is>
      </c>
      <c r="V769" s="3" t="n">
        <v>45985</v>
      </c>
      <c r="W769" s="2" t="inlineStr">
        <is>
          <t>AR: https://www.parlamento.pt/OrcamentoEstado/Paginas/DetalhePropostaAlteracao.aspx?BID=23941 PDF: https://app.parlamento.pt/webutils/docs/doc.pdf?path=6148523063484d364c793942556b356c6443397a6158526c63793959566b6c4a544556484c3039464c7a49774d6a59794d4449314d5441774f533951515338794f4445794e7a4e694d433034595752684c54526a4f445574596a6b795979316b5a4464685a446b774e6d4531596a41756347526d&amp;Fich=281273b0-8ada-4c85-b92c-dd7ad906a5b0.pdf&amp;Inline=true</t>
        </is>
      </c>
      <c r="X769" s="2" t="inlineStr">
        <is>
          <t>Infraestruturas, Mobilidade e Habitação</t>
        </is>
      </c>
      <c r="Y769" s="2" t="inlineStr">
        <is>
          <t>Articulado</t>
        </is>
      </c>
      <c r="Z769" s="2" t="inlineStr">
        <is>
          <t>Aditamento (Artigo PPL)</t>
        </is>
      </c>
      <c r="AA769" s="2" t="inlineStr">
        <is>
          <t>Rejeitado(a) em Comissão</t>
        </is>
      </c>
      <c r="AB769" s="2" t="inlineStr"/>
      <c r="AC769" s="2" t="inlineStr"/>
      <c r="AD769" s="2" t="inlineStr">
        <is>
          <t>1</t>
        </is>
      </c>
      <c r="AE769" s="2" t="inlineStr">
        <is>
          <t>23941</t>
        </is>
      </c>
      <c r="AF769" s="2" t="inlineStr">
        <is>
          <t>https://www.parlamento.pt/OrcamentoEstado/Paginas/DetalhePropostaAlteracao.aspx?BID=23941</t>
        </is>
      </c>
      <c r="AG769" s="2" t="inlineStr">
        <is>
          <t>https://app.parlamento.pt/webutils/docs/doc.pdf?path=6148523063484d364c793942556b356c6443397a6158526c63793959566b6c4a544556484c3039464c7a49774d6a59794d4449314d5441774f533951515338794f4445794e7a4e694d433034595752684c54526a4f445574596a6b795979316b5a4464685a446b774e6d4531596a41756347526d&amp;Fich=281273b0-8ada-4c85-b92c-dd7ad906a5b0.pdf&amp;Inline=true</t>
        </is>
      </c>
      <c r="AH769" s="3" t="n">
        <v>46321.77847222222</v>
      </c>
      <c r="AI769" s="3" t="n">
        <v>46321.78055555555</v>
      </c>
      <c r="AJ769" s="2" t="inlineStr"/>
    </row>
    <row r="770">
      <c r="A770" s="2" t="n">
        <v>769</v>
      </c>
      <c r="B770" s="2" t="inlineStr">
        <is>
          <t>716C</t>
        </is>
      </c>
      <c r="C770" s="3" t="n">
        <v>45966.86944444444</v>
      </c>
      <c r="D770" s="2" t="inlineStr">
        <is>
          <t>Original</t>
        </is>
      </c>
      <c r="E770" s="2" t="inlineStr">
        <is>
          <t>PCP</t>
        </is>
      </c>
      <c r="F770" s="2" t="inlineStr">
        <is>
          <t>Alfredo Maia; Paula Santos; Paulo Raimundo</t>
        </is>
      </c>
      <c r="G770" s="2" t="inlineStr">
        <is>
          <t>Art. 113.º-A (aditamento)</t>
        </is>
      </c>
      <c r="H770" s="2" t="n"/>
      <c r="I770" s="2" t="n"/>
      <c r="J770" s="2" t="n"/>
      <c r="K770" s="2" t="n"/>
      <c r="L770" s="2" t="inlineStr">
        <is>
          <t>Artigo 113.º-A (Novo Hospital Público Central do Alentejo)</t>
        </is>
      </c>
      <c r="M770" s="4" t="n"/>
      <c r="N770" s="4" t="n"/>
      <c r="O770" s="2" t="n"/>
      <c r="P770" s="2" t="n"/>
      <c r="Q770" s="2" t="n"/>
      <c r="R770" s="2" t="n"/>
      <c r="S770" s="2" t="inlineStr">
        <is>
          <t>Rejeitado(a) em Comissão</t>
        </is>
      </c>
      <c r="T770" s="2" t="inlineStr">
        <is>
          <t>Rejeitada</t>
        </is>
      </c>
      <c r="U770" s="2" t="inlineStr">
        <is>
          <t>Favor: L, PCP, BE; Contra: PSD, IL, CDS-PP; Abstenção: CH, PS, PAN</t>
        </is>
      </c>
      <c r="V770" s="3" t="n">
        <v>45985</v>
      </c>
      <c r="W770" s="2" t="inlineStr">
        <is>
          <t>AR: https://www.parlamento.pt/OrcamentoEstado/Paginas/DetalhePropostaAlteracao.aspx?BID=23942 PDF: https://app.parlamento.pt/webutils/docs/doc.pdf?path=6148523063484d364c793942556b356c6443397a6158526c63793959566b6c4a544556484c3039464c7a49774d6a59794d4449314d5441774f533951515338784e47526a4e4446685a4330794d6d51334c5451344f5441744f575a6b596930344f5449774f5759354f4759324e544d756347526d&amp;Fich=14dc41ad-22d7-4890-9fdb-89209f98f653.pdf&amp;Inline=true</t>
        </is>
      </c>
      <c r="X770" s="2" t="inlineStr">
        <is>
          <t>Saúde</t>
        </is>
      </c>
      <c r="Y770" s="2" t="inlineStr">
        <is>
          <t>Articulado</t>
        </is>
      </c>
      <c r="Z770" s="2" t="inlineStr">
        <is>
          <t>Aditamento (Artigo PPL)</t>
        </is>
      </c>
      <c r="AA770" s="2" t="inlineStr">
        <is>
          <t>Rejeitado(a) em Comissão</t>
        </is>
      </c>
      <c r="AB770" s="2" t="inlineStr"/>
      <c r="AC770" s="2" t="inlineStr"/>
      <c r="AD770" s="2" t="inlineStr">
        <is>
          <t>1</t>
        </is>
      </c>
      <c r="AE770" s="2" t="inlineStr">
        <is>
          <t>23942</t>
        </is>
      </c>
      <c r="AF770" s="2" t="inlineStr">
        <is>
          <t>https://www.parlamento.pt/OrcamentoEstado/Paginas/DetalhePropostaAlteracao.aspx?BID=23942</t>
        </is>
      </c>
      <c r="AG770" s="2" t="inlineStr">
        <is>
          <t>https://app.parlamento.pt/webutils/docs/doc.pdf?path=6148523063484d364c793942556b356c6443397a6158526c63793959566b6c4a544556484c3039464c7a49774d6a59794d4449314d5441774f533951515338784e47526a4e4446685a4330794d6d51334c5451344f5441744f575a6b596930344f5449774f5759354f4759324e544d756347526d&amp;Fich=14dc41ad-22d7-4890-9fdb-89209f98f653.pdf&amp;Inline=true</t>
        </is>
      </c>
      <c r="AH770" s="3" t="n">
        <v>46321.77847222222</v>
      </c>
      <c r="AI770" s="3" t="n">
        <v>46321.78055555555</v>
      </c>
      <c r="AJ770" s="2" t="inlineStr"/>
    </row>
    <row r="771">
      <c r="A771" s="2" t="n">
        <v>770</v>
      </c>
      <c r="B771" s="2" t="inlineStr">
        <is>
          <t>717C</t>
        </is>
      </c>
      <c r="C771" s="3" t="n">
        <v>45966.87152777778</v>
      </c>
      <c r="D771" s="2" t="inlineStr">
        <is>
          <t>Original</t>
        </is>
      </c>
      <c r="E771" s="2" t="inlineStr">
        <is>
          <t>PCP</t>
        </is>
      </c>
      <c r="F771" s="2" t="inlineStr">
        <is>
          <t>Alfredo Maia; Paula Santos; Paulo Raimundo</t>
        </is>
      </c>
      <c r="G771" s="2" t="inlineStr">
        <is>
          <t>Art. 113.º-A (aditamento)</t>
        </is>
      </c>
      <c r="H771" s="2" t="n"/>
      <c r="I771" s="2" t="n"/>
      <c r="J771" s="2" t="n"/>
      <c r="K771" s="2" t="n"/>
      <c r="L771" s="2" t="inlineStr">
        <is>
          <t>Artigo 113.º-A (Requalificação do Hospital da Nossa Senhora da Assunção)</t>
        </is>
      </c>
      <c r="M771" s="4" t="n"/>
      <c r="N771" s="4" t="n"/>
      <c r="O771" s="2" t="n"/>
      <c r="P771" s="2" t="n"/>
      <c r="Q771" s="2" t="n"/>
      <c r="R771" s="2" t="n"/>
      <c r="S771" s="2" t="inlineStr">
        <is>
          <t>Rejeitado(a) em Comissão</t>
        </is>
      </c>
      <c r="T771" s="2" t="inlineStr">
        <is>
          <t>Rejeitada</t>
        </is>
      </c>
      <c r="U771" s="2" t="inlineStr">
        <is>
          <t>Favor: CH, L, PCP, BE, PAN; Contra: PSD, CDS-PP; Abstenção: PS, IL</t>
        </is>
      </c>
      <c r="V771" s="3" t="n">
        <v>45985</v>
      </c>
      <c r="W771" s="2" t="inlineStr">
        <is>
          <t>AR: https://www.parlamento.pt/OrcamentoEstado/Paginas/DetalhePropostaAlteracao.aspx?BID=23943 PDF: https://app.parlamento.pt/webutils/docs/doc.pdf?path=6148523063484d364c793942556b356c6443397a6158526c63793959566b6c4a544556484c3039464c7a49774d6a59794d4449314d5441774f533951515339684d5459305a6a4e685a53316a4d57526a4c5451344e446b744f4463784d693033595755354d5751774d6a63304d446b756347526d&amp;Fich=a164f3ae-c1dc-4849-8712-7ae91d027409.pdf&amp;Inline=true</t>
        </is>
      </c>
      <c r="X771" s="2" t="inlineStr">
        <is>
          <t>Saúde</t>
        </is>
      </c>
      <c r="Y771" s="2" t="inlineStr">
        <is>
          <t>Articulado</t>
        </is>
      </c>
      <c r="Z771" s="2" t="inlineStr">
        <is>
          <t>Aditamento (Artigo PPL)</t>
        </is>
      </c>
      <c r="AA771" s="2" t="inlineStr">
        <is>
          <t>Rejeitado(a) em Comissão</t>
        </is>
      </c>
      <c r="AB771" s="2" t="inlineStr"/>
      <c r="AC771" s="2" t="inlineStr"/>
      <c r="AD771" s="2" t="inlineStr">
        <is>
          <t>1</t>
        </is>
      </c>
      <c r="AE771" s="2" t="inlineStr">
        <is>
          <t>23943</t>
        </is>
      </c>
      <c r="AF771" s="2" t="inlineStr">
        <is>
          <t>https://www.parlamento.pt/OrcamentoEstado/Paginas/DetalhePropostaAlteracao.aspx?BID=23943</t>
        </is>
      </c>
      <c r="AG771" s="2" t="inlineStr">
        <is>
          <t>https://app.parlamento.pt/webutils/docs/doc.pdf?path=6148523063484d364c793942556b356c6443397a6158526c63793959566b6c4a544556484c3039464c7a49774d6a59794d4449314d5441774f533951515339684d5459305a6a4e685a53316a4d57526a4c5451344e446b744f4463784d693033595755354d5751774d6a63304d446b756347526d&amp;Fich=a164f3ae-c1dc-4849-8712-7ae91d027409.pdf&amp;Inline=true</t>
        </is>
      </c>
      <c r="AH771" s="3" t="n">
        <v>46321.77847222222</v>
      </c>
      <c r="AI771" s="3" t="n">
        <v>46321.78055555555</v>
      </c>
      <c r="AJ771" s="2" t="inlineStr"/>
    </row>
    <row r="772">
      <c r="A772" s="2" t="n">
        <v>771</v>
      </c>
      <c r="B772" s="2" t="inlineStr">
        <is>
          <t>718C</t>
        </is>
      </c>
      <c r="C772" s="3" t="n">
        <v>45966.87222222222</v>
      </c>
      <c r="D772" s="2" t="inlineStr">
        <is>
          <t>Original</t>
        </is>
      </c>
      <c r="E772" s="2" t="inlineStr">
        <is>
          <t>PCP</t>
        </is>
      </c>
      <c r="F772" s="2" t="inlineStr">
        <is>
          <t>Alfredo Maia; Paula Santos; Paulo Raimundo</t>
        </is>
      </c>
      <c r="G772" s="2" t="inlineStr">
        <is>
          <t>Art. 113.º-A (aditamento)</t>
        </is>
      </c>
      <c r="H772" s="2" t="n"/>
      <c r="I772" s="2" t="n"/>
      <c r="J772" s="2" t="n"/>
      <c r="K772" s="2" t="n"/>
      <c r="L772" s="2" t="inlineStr">
        <is>
          <t>Artigo 113.º-A (Requalificação do pavilhão 1 do Hospital Sousa Martins)</t>
        </is>
      </c>
      <c r="M772" s="4" t="n"/>
      <c r="N772" s="4" t="n"/>
      <c r="O772" s="2" t="n"/>
      <c r="P772" s="2" t="n"/>
      <c r="Q772" s="2" t="n"/>
      <c r="R772" s="2" t="n"/>
      <c r="S772" s="2" t="inlineStr">
        <is>
          <t>Rejeitado(a) em Comissão</t>
        </is>
      </c>
      <c r="T772" s="2" t="inlineStr">
        <is>
          <t>Rejeitada</t>
        </is>
      </c>
      <c r="U772" s="2" t="inlineStr">
        <is>
          <t>Favor: CH, L, PCP, BE, PAN; Contra: PSD, CDS-PP; Abstenção: PS, IL</t>
        </is>
      </c>
      <c r="V772" s="3" t="n">
        <v>45985</v>
      </c>
      <c r="W772" s="2" t="inlineStr">
        <is>
          <t>AR: https://www.parlamento.pt/OrcamentoEstado/Paginas/DetalhePropostaAlteracao.aspx?BID=23944 PDF: https://app.parlamento.pt/webutils/docs/doc.pdf?path=6148523063484d364c793942556b356c6443397a6158526c63793959566b6c4a544556484c3039464c7a49774d6a59794d4449314d5441774f533951515338344d7a4a6b4e444d344f53316c4e6a5a6d4c5451775a6a4174596d49315979316d4d6a51795a47526a4e6a646a5a5455756347526d&amp;Fich=832d4389-e66f-40f0-bb5c-f242ddc67ce5.pdf&amp;Inline=true</t>
        </is>
      </c>
      <c r="X772" s="2" t="inlineStr">
        <is>
          <t>Saúde</t>
        </is>
      </c>
      <c r="Y772" s="2" t="inlineStr">
        <is>
          <t>Articulado</t>
        </is>
      </c>
      <c r="Z772" s="2" t="inlineStr">
        <is>
          <t>Aditamento (Artigo PPL)</t>
        </is>
      </c>
      <c r="AA772" s="2" t="inlineStr">
        <is>
          <t>Rejeitado(a) em Comissão</t>
        </is>
      </c>
      <c r="AB772" s="2" t="inlineStr"/>
      <c r="AC772" s="2" t="inlineStr"/>
      <c r="AD772" s="2" t="inlineStr">
        <is>
          <t>1</t>
        </is>
      </c>
      <c r="AE772" s="2" t="inlineStr">
        <is>
          <t>23944</t>
        </is>
      </c>
      <c r="AF772" s="2" t="inlineStr">
        <is>
          <t>https://www.parlamento.pt/OrcamentoEstado/Paginas/DetalhePropostaAlteracao.aspx?BID=23944</t>
        </is>
      </c>
      <c r="AG772" s="2" t="inlineStr">
        <is>
          <t>https://app.parlamento.pt/webutils/docs/doc.pdf?path=6148523063484d364c793942556b356c6443397a6158526c63793959566b6c4a544556484c3039464c7a49774d6a59794d4449314d5441774f533951515338344d7a4a6b4e444d344f53316c4e6a5a6d4c5451775a6a4174596d49315979316d4d6a51795a47526a4e6a646a5a5455756347526d&amp;Fich=832d4389-e66f-40f0-bb5c-f242ddc67ce5.pdf&amp;Inline=true</t>
        </is>
      </c>
      <c r="AH772" s="3" t="n">
        <v>46321.77847222222</v>
      </c>
      <c r="AI772" s="3" t="n">
        <v>46321.78055555555</v>
      </c>
      <c r="AJ772" s="2" t="inlineStr"/>
    </row>
    <row r="773">
      <c r="A773" s="2" t="n">
        <v>772</v>
      </c>
      <c r="B773" s="2" t="inlineStr">
        <is>
          <t>719C</t>
        </is>
      </c>
      <c r="C773" s="3" t="n">
        <v>45966.87361111111</v>
      </c>
      <c r="D773" s="2" t="inlineStr">
        <is>
          <t>Original</t>
        </is>
      </c>
      <c r="E773" s="2" t="inlineStr">
        <is>
          <t>PCP</t>
        </is>
      </c>
      <c r="F773" s="2" t="inlineStr">
        <is>
          <t>Alfredo Maia; Paula Santos; Paulo Raimundo</t>
        </is>
      </c>
      <c r="G773" s="2" t="inlineStr">
        <is>
          <t>Art. 113.º-A (aditamento)</t>
        </is>
      </c>
      <c r="H773" s="2" t="n"/>
      <c r="I773" s="2" t="n"/>
      <c r="J773" s="2" t="n"/>
      <c r="K773" s="2" t="n"/>
      <c r="L773" s="2" t="inlineStr">
        <is>
          <t>Artigo 113.º-A (Prolongamento da A28 até Valença, Monção e Melgaço)</t>
        </is>
      </c>
      <c r="M773" s="4" t="n"/>
      <c r="N773" s="4" t="n"/>
      <c r="O773" s="2" t="n"/>
      <c r="P773" s="2" t="n"/>
      <c r="Q773" s="2" t="n"/>
      <c r="R773" s="2" t="n"/>
      <c r="S773" s="2" t="inlineStr">
        <is>
          <t>Rejeitado(a) em Comissão</t>
        </is>
      </c>
      <c r="T773" s="2" t="inlineStr">
        <is>
          <t>Rejeitada</t>
        </is>
      </c>
      <c r="U773" s="2" t="inlineStr">
        <is>
          <t>Favor: CH, L, PCP, BE; Contra: PSD, IL, CDS-PP; Abstenção: PS, PAN</t>
        </is>
      </c>
      <c r="V773" s="3" t="n">
        <v>45985</v>
      </c>
      <c r="W773" s="2" t="inlineStr">
        <is>
          <t>AR: https://www.parlamento.pt/OrcamentoEstado/Paginas/DetalhePropostaAlteracao.aspx?BID=23945 PDF: https://app.parlamento.pt/webutils/docs/doc.pdf?path=6148523063484d364c793942556b356c6443397a6158526c63793959566b6c4a544556484c3039464c7a49774d6a59794d4449314d5441774f533951515338794e6a5131595759315a43307a4e5451324c54526b5a4463744f4464694e6930304e324d355a6a4d334d7a566c4e4745756347526d&amp;Fich=2645af5d-3546-4dd7-87b6-47c9f3735e4a.pdf&amp;Inline=true</t>
        </is>
      </c>
      <c r="X773" s="2" t="inlineStr">
        <is>
          <t>Infraestruturas, Mobilidade e Habitação</t>
        </is>
      </c>
      <c r="Y773" s="2" t="inlineStr">
        <is>
          <t>Articulado</t>
        </is>
      </c>
      <c r="Z773" s="2" t="inlineStr">
        <is>
          <t>Aditamento (Artigo PPL)</t>
        </is>
      </c>
      <c r="AA773" s="2" t="inlineStr">
        <is>
          <t>Rejeitado(a) em Comissão</t>
        </is>
      </c>
      <c r="AB773" s="2" t="inlineStr"/>
      <c r="AC773" s="2" t="inlineStr"/>
      <c r="AD773" s="2" t="inlineStr">
        <is>
          <t>1</t>
        </is>
      </c>
      <c r="AE773" s="2" t="inlineStr">
        <is>
          <t>23945</t>
        </is>
      </c>
      <c r="AF773" s="2" t="inlineStr">
        <is>
          <t>https://www.parlamento.pt/OrcamentoEstado/Paginas/DetalhePropostaAlteracao.aspx?BID=23945</t>
        </is>
      </c>
      <c r="AG773" s="2" t="inlineStr">
        <is>
          <t>https://app.parlamento.pt/webutils/docs/doc.pdf?path=6148523063484d364c793942556b356c6443397a6158526c63793959566b6c4a544556484c3039464c7a49774d6a59794d4449314d5441774f533951515338794e6a5131595759315a43307a4e5451324c54526b5a4463744f4464694e6930304e324d355a6a4d334d7a566c4e4745756347526d&amp;Fich=2645af5d-3546-4dd7-87b6-47c9f3735e4a.pdf&amp;Inline=true</t>
        </is>
      </c>
      <c r="AH773" s="3" t="n">
        <v>46321.77847222222</v>
      </c>
      <c r="AI773" s="3" t="n">
        <v>46321.78055555555</v>
      </c>
      <c r="AJ773" s="2" t="inlineStr"/>
    </row>
    <row r="774">
      <c r="A774" s="2" t="n">
        <v>773</v>
      </c>
      <c r="B774" s="2" t="inlineStr">
        <is>
          <t>720C</t>
        </is>
      </c>
      <c r="C774" s="3" t="n">
        <v>45966.87430555555</v>
      </c>
      <c r="D774" s="2" t="inlineStr">
        <is>
          <t>Original</t>
        </is>
      </c>
      <c r="E774" s="2" t="inlineStr">
        <is>
          <t>PCP</t>
        </is>
      </c>
      <c r="F774" s="2" t="inlineStr">
        <is>
          <t>Alfredo Maia; Paula Santos; Paulo Raimundo</t>
        </is>
      </c>
      <c r="G774" s="2" t="inlineStr">
        <is>
          <t>Art. 113.º-A (aditamento)</t>
        </is>
      </c>
      <c r="H774" s="2" t="n"/>
      <c r="I774" s="2" t="n"/>
      <c r="J774" s="2" t="n"/>
      <c r="K774" s="2" t="n"/>
      <c r="L774" s="2" t="inlineStr">
        <is>
          <t>Artigo 113.º-A (Requalificação do Porto de Mar de Vila Praia de Âncora)</t>
        </is>
      </c>
      <c r="M774" s="4" t="n"/>
      <c r="N774" s="4" t="n"/>
      <c r="O774" s="2" t="n"/>
      <c r="P774" s="2" t="n"/>
      <c r="Q774" s="2" t="n"/>
      <c r="R774" s="2" t="n"/>
      <c r="S774" s="2" t="inlineStr">
        <is>
          <t>Aprovado(a) em Comissão</t>
        </is>
      </c>
      <c r="T774" s="2" t="inlineStr">
        <is>
          <t>Aprovada</t>
        </is>
      </c>
      <c r="U774" s="2" t="inlineStr">
        <is>
          <t>Favor: CH, PS, L, PCP, BE; Contra: PSD, CDS-PP; Abstenção: PAN</t>
        </is>
      </c>
      <c r="V774" s="3" t="n">
        <v>45985</v>
      </c>
      <c r="W774" s="2" t="inlineStr">
        <is>
          <t>AR: https://www.parlamento.pt/OrcamentoEstado/Paginas/DetalhePropostaAlteracao.aspx?BID=23946 PDF: https://app.parlamento.pt/webutils/docs/doc.pdf?path=6148523063484d364c793942556b356c6443397a6158526c63793959566b6c4a544556484c3039464c7a49774d6a59794d4449314d5441774f533951515339694d544d305a5749344d5330354e6a42684c5452684f4451744f57557a4e79307a5a6d49304d57526d4e5751344d5459756347526d&amp;Fich=b134eb81-960a-4a84-9e37-3fb41df5d816.pdf&amp;Inline=true</t>
        </is>
      </c>
      <c r="X774" s="2" t="inlineStr">
        <is>
          <t>Agricultura e Pescas</t>
        </is>
      </c>
      <c r="Y774" s="2" t="inlineStr">
        <is>
          <t>Articulado</t>
        </is>
      </c>
      <c r="Z774" s="2" t="inlineStr">
        <is>
          <t>Aditamento (Artigo PPL)</t>
        </is>
      </c>
      <c r="AA774" s="2" t="inlineStr">
        <is>
          <t>Aprovado(a) em Comissão</t>
        </is>
      </c>
      <c r="AB774" s="2" t="inlineStr"/>
      <c r="AC774" s="2" t="inlineStr"/>
      <c r="AD774" s="2" t="inlineStr">
        <is>
          <t>1</t>
        </is>
      </c>
      <c r="AE774" s="2" t="inlineStr">
        <is>
          <t>23946</t>
        </is>
      </c>
      <c r="AF774" s="2" t="inlineStr">
        <is>
          <t>https://www.parlamento.pt/OrcamentoEstado/Paginas/DetalhePropostaAlteracao.aspx?BID=23946</t>
        </is>
      </c>
      <c r="AG774" s="2" t="inlineStr">
        <is>
          <t>https://app.parlamento.pt/webutils/docs/doc.pdf?path=6148523063484d364c793942556b356c6443397a6158526c63793959566b6c4a544556484c3039464c7a49774d6a59794d4449314d5441774f533951515339694d544d305a5749344d5330354e6a42684c5452684f4451744f57557a4e79307a5a6d49304d57526d4e5751344d5459756347526d&amp;Fich=b134eb81-960a-4a84-9e37-3fb41df5d816.pdf&amp;Inline=true</t>
        </is>
      </c>
      <c r="AH774" s="3" t="n">
        <v>46321.77847222222</v>
      </c>
      <c r="AI774" s="3" t="n">
        <v>46321.78055555555</v>
      </c>
      <c r="AJ774" s="2" t="inlineStr"/>
    </row>
    <row r="775">
      <c r="A775" s="2" t="n">
        <v>774</v>
      </c>
      <c r="B775" s="2" t="inlineStr">
        <is>
          <t>721C</t>
        </is>
      </c>
      <c r="C775" s="3" t="n">
        <v>45966.875</v>
      </c>
      <c r="D775" s="2" t="inlineStr">
        <is>
          <t>Original</t>
        </is>
      </c>
      <c r="E775" s="2" t="inlineStr">
        <is>
          <t>PCP</t>
        </is>
      </c>
      <c r="F775" s="2" t="inlineStr">
        <is>
          <t>Alfredo Maia; Paula Santos; Paulo Raimundo</t>
        </is>
      </c>
      <c r="G775" s="2" t="inlineStr">
        <is>
          <t>Art. 113.º-A (aditamento)</t>
        </is>
      </c>
      <c r="H775" s="2" t="n"/>
      <c r="I775" s="2" t="n"/>
      <c r="J775" s="2" t="n"/>
      <c r="K775" s="2" t="n"/>
      <c r="L775" s="2" t="inlineStr">
        <is>
          <t>Artigo 113.º-A (Criação do Serviço de Radioterapia integrado na ULSAM)</t>
        </is>
      </c>
      <c r="M775" s="4" t="n"/>
      <c r="N775" s="4" t="n"/>
      <c r="O775" s="2" t="n"/>
      <c r="P775" s="2" t="n"/>
      <c r="Q775" s="2" t="n"/>
      <c r="R775" s="2" t="n"/>
      <c r="S775" s="2" t="inlineStr">
        <is>
          <t>Rejeitado(a) em Comissão</t>
        </is>
      </c>
      <c r="T775" s="2" t="inlineStr">
        <is>
          <t>Rejeitada</t>
        </is>
      </c>
      <c r="U775" s="2" t="inlineStr">
        <is>
          <t>Favor: CH, L, PCP, BE, PAN; Contra: PSD, IL, CDS-PP; Abstenção: PS</t>
        </is>
      </c>
      <c r="V775" s="3" t="n">
        <v>45985</v>
      </c>
      <c r="W775" s="2" t="inlineStr">
        <is>
          <t>AR: https://www.parlamento.pt/OrcamentoEstado/Paginas/DetalhePropostaAlteracao.aspx?BID=23947 PDF: https://app.parlamento.pt/webutils/docs/doc.pdf?path=6148523063484d364c793942556b356c6443397a6158526c63793959566b6c4a544556484c3039464c7a49774d6a59794d4449314d5441774f5339515153396a5a5755314d57526a4f4330314e6a67304c5452684d574574595445784d79307a4d6a45795a544d304d7a6335593249756347526d&amp;Fich=cee51dc8-5684-4a1a-a113-3212e34379cb.pdf&amp;Inline=true</t>
        </is>
      </c>
      <c r="X775" s="2" t="inlineStr">
        <is>
          <t>Saúde</t>
        </is>
      </c>
      <c r="Y775" s="2" t="inlineStr">
        <is>
          <t>Articulado</t>
        </is>
      </c>
      <c r="Z775" s="2" t="inlineStr">
        <is>
          <t>Aditamento (Artigo PPL)</t>
        </is>
      </c>
      <c r="AA775" s="2" t="inlineStr">
        <is>
          <t>Rejeitado(a) em Comissão</t>
        </is>
      </c>
      <c r="AB775" s="2" t="inlineStr"/>
      <c r="AC775" s="2" t="inlineStr"/>
      <c r="AD775" s="2" t="inlineStr">
        <is>
          <t>1</t>
        </is>
      </c>
      <c r="AE775" s="2" t="inlineStr">
        <is>
          <t>23947</t>
        </is>
      </c>
      <c r="AF775" s="2" t="inlineStr">
        <is>
          <t>https://www.parlamento.pt/OrcamentoEstado/Paginas/DetalhePropostaAlteracao.aspx?BID=23947</t>
        </is>
      </c>
      <c r="AG775" s="2" t="inlineStr">
        <is>
          <t>https://app.parlamento.pt/webutils/docs/doc.pdf?path=6148523063484d364c793942556b356c6443397a6158526c63793959566b6c4a544556484c3039464c7a49774d6a59794d4449314d5441774f5339515153396a5a5755314d57526a4f4330314e6a67304c5452684d574574595445784d79307a4d6a45795a544d304d7a6335593249756347526d&amp;Fich=cee51dc8-5684-4a1a-a113-3212e34379cb.pdf&amp;Inline=true</t>
        </is>
      </c>
      <c r="AH775" s="3" t="n">
        <v>46321.77847222222</v>
      </c>
      <c r="AI775" s="3" t="n">
        <v>46321.78055555555</v>
      </c>
      <c r="AJ775" s="2" t="inlineStr"/>
    </row>
    <row r="776">
      <c r="A776" s="2" t="n">
        <v>775</v>
      </c>
      <c r="B776" s="2" t="inlineStr">
        <is>
          <t>722C</t>
        </is>
      </c>
      <c r="C776" s="3" t="n">
        <v>45966.87847222222</v>
      </c>
      <c r="D776" s="2" t="inlineStr">
        <is>
          <t>Original</t>
        </is>
      </c>
      <c r="E776" s="2" t="inlineStr">
        <is>
          <t>PCP</t>
        </is>
      </c>
      <c r="F776" s="2" t="inlineStr">
        <is>
          <t>Alfredo Maia; Paula Santos; Paulo Raimundo</t>
        </is>
      </c>
      <c r="G776" s="2" t="inlineStr">
        <is>
          <t>Art. 113.º-A (aditamento)</t>
        </is>
      </c>
      <c r="H776" s="2" t="n"/>
      <c r="I776" s="2" t="n"/>
      <c r="J776" s="2" t="n"/>
      <c r="K776" s="2" t="n"/>
      <c r="L776" s="2" t="inlineStr">
        <is>
          <t>Artigo 113.º-A (Reabilitação do Complexo Agroindustrial do Cachão - Bragança)</t>
        </is>
      </c>
      <c r="M776" s="4" t="n"/>
      <c r="N776" s="4" t="n"/>
      <c r="O776" s="2" t="n"/>
      <c r="P776" s="2" t="n"/>
      <c r="Q776" s="2" t="n"/>
      <c r="R776" s="2" t="n"/>
      <c r="S776" s="2" t="inlineStr">
        <is>
          <t>Rejeitado(a) em Comissão</t>
        </is>
      </c>
      <c r="T776" s="2" t="inlineStr">
        <is>
          <t>Rejeitada</t>
        </is>
      </c>
      <c r="U776" s="2" t="inlineStr">
        <is>
          <t>Favor: CH, PCP, BE; Contra: PSD, IL, CDS-PP, PAN; Abstenção: PS, L</t>
        </is>
      </c>
      <c r="V776" s="3" t="n">
        <v>45985</v>
      </c>
      <c r="W776" s="2" t="inlineStr">
        <is>
          <t>AR: https://www.parlamento.pt/OrcamentoEstado/Paginas/DetalhePropostaAlteracao.aspx?BID=23948 PDF: https://app.parlamento.pt/webutils/docs/doc.pdf?path=6148523063484d364c793942556b356c6443397a6158526c63793959566b6c4a544556484c3039464c7a49774d6a59794d4449314d5441774f5339515153396a5a6d45784d5467784f4330354d6a49314c5451774d5459744f57557a4d79316b4d4455314d44686a4f4749314d544d756347526d&amp;Fich=cfa11818-9225-4016-9e33-d05508c8b513.pdf&amp;Inline=true</t>
        </is>
      </c>
      <c r="X776" s="2" t="inlineStr">
        <is>
          <t>Agricultura e Pescas</t>
        </is>
      </c>
      <c r="Y776" s="2" t="inlineStr">
        <is>
          <t>Articulado</t>
        </is>
      </c>
      <c r="Z776" s="2" t="inlineStr">
        <is>
          <t>Aditamento (Artigo PPL)</t>
        </is>
      </c>
      <c r="AA776" s="2" t="inlineStr">
        <is>
          <t>Rejeitado(a) em Comissão</t>
        </is>
      </c>
      <c r="AB776" s="2" t="inlineStr"/>
      <c r="AC776" s="2" t="inlineStr"/>
      <c r="AD776" s="2" t="inlineStr">
        <is>
          <t>1</t>
        </is>
      </c>
      <c r="AE776" s="2" t="inlineStr">
        <is>
          <t>23948</t>
        </is>
      </c>
      <c r="AF776" s="2" t="inlineStr">
        <is>
          <t>https://www.parlamento.pt/OrcamentoEstado/Paginas/DetalhePropostaAlteracao.aspx?BID=23948</t>
        </is>
      </c>
      <c r="AG776" s="2" t="inlineStr">
        <is>
          <t>https://app.parlamento.pt/webutils/docs/doc.pdf?path=6148523063484d364c793942556b356c6443397a6158526c63793959566b6c4a544556484c3039464c7a49774d6a59794d4449314d5441774f5339515153396a5a6d45784d5467784f4330354d6a49314c5451774d5459744f57557a4d79316b4d4455314d44686a4f4749314d544d756347526d&amp;Fich=cfa11818-9225-4016-9e33-d05508c8b513.pdf&amp;Inline=true</t>
        </is>
      </c>
      <c r="AH776" s="3" t="n">
        <v>46321.77847222222</v>
      </c>
      <c r="AI776" s="3" t="n">
        <v>46321.78055555555</v>
      </c>
      <c r="AJ776" s="2" t="inlineStr"/>
    </row>
    <row r="777">
      <c r="A777" s="2" t="n">
        <v>776</v>
      </c>
      <c r="B777" s="2" t="inlineStr">
        <is>
          <t>723C</t>
        </is>
      </c>
      <c r="C777" s="3" t="n">
        <v>45966.87916666667</v>
      </c>
      <c r="D777" s="2" t="inlineStr">
        <is>
          <t>Original</t>
        </is>
      </c>
      <c r="E777" s="2" t="inlineStr">
        <is>
          <t>PCP</t>
        </is>
      </c>
      <c r="F777" s="2" t="inlineStr">
        <is>
          <t>Alfredo Maia; Paula Santos; Paulo Raimundo</t>
        </is>
      </c>
      <c r="G777" s="2" t="inlineStr">
        <is>
          <t>Art. 113.º-A (aditamento)</t>
        </is>
      </c>
      <c r="H777" s="2" t="n"/>
      <c r="I777" s="2" t="n"/>
      <c r="J777" s="2" t="n"/>
      <c r="K777" s="2" t="n"/>
      <c r="L777" s="2" t="inlineStr">
        <is>
          <t>Artigo 113.º-A (Reativar e modernizar as linhas ferroviárias do Douro e Corgo)</t>
        </is>
      </c>
      <c r="M777" s="4" t="n"/>
      <c r="N777" s="4" t="n"/>
      <c r="O777" s="2" t="n"/>
      <c r="P777" s="2" t="n"/>
      <c r="Q777" s="2" t="n"/>
      <c r="R777" s="2" t="n"/>
      <c r="S777" s="2" t="inlineStr">
        <is>
          <t>Rejeitado(a) em Comissão</t>
        </is>
      </c>
      <c r="T777" s="2" t="inlineStr">
        <is>
          <t>Rejeitada</t>
        </is>
      </c>
      <c r="U777" s="2" t="inlineStr">
        <is>
          <t>Favor: L, PCP, BE, PAN; Contra: PSD, IL, CDS-PP; Abstenção: CH, PS</t>
        </is>
      </c>
      <c r="V777" s="3" t="n">
        <v>45985</v>
      </c>
      <c r="W777" s="2" t="inlineStr">
        <is>
          <t>AR: https://www.parlamento.pt/OrcamentoEstado/Paginas/DetalhePropostaAlteracao.aspx?BID=23949 PDF: https://app.parlamento.pt/webutils/docs/doc.pdf?path=6148523063484d364c793942556b356c6443397a6158526c63793959566b6c4a544556484c3039464c7a49774d6a59794d4449314d5441774f533951515338774f5752695a6a4d314e5330324d6d51794c54517a4d7a63744f5441784d43316b4e7a6b305a474e684d7a566d5a6a63756347526d&amp;Fich=09dbf355-62d2-4337-9010-d794dca35ff7.pdf&amp;Inline=true</t>
        </is>
      </c>
      <c r="X777" s="2" t="inlineStr">
        <is>
          <t>Infraestruturas, Mobilidade e Habitação</t>
        </is>
      </c>
      <c r="Y777" s="2" t="inlineStr">
        <is>
          <t>Articulado</t>
        </is>
      </c>
      <c r="Z777" s="2" t="inlineStr">
        <is>
          <t>Aditamento (Artigo PPL)</t>
        </is>
      </c>
      <c r="AA777" s="2" t="inlineStr">
        <is>
          <t>Rejeitado(a) em Comissão</t>
        </is>
      </c>
      <c r="AB777" s="2" t="inlineStr"/>
      <c r="AC777" s="2" t="inlineStr"/>
      <c r="AD777" s="2" t="inlineStr">
        <is>
          <t>1</t>
        </is>
      </c>
      <c r="AE777" s="2" t="inlineStr">
        <is>
          <t>23949</t>
        </is>
      </c>
      <c r="AF777" s="2" t="inlineStr">
        <is>
          <t>https://www.parlamento.pt/OrcamentoEstado/Paginas/DetalhePropostaAlteracao.aspx?BID=23949</t>
        </is>
      </c>
      <c r="AG777" s="2" t="inlineStr">
        <is>
          <t>https://app.parlamento.pt/webutils/docs/doc.pdf?path=6148523063484d364c793942556b356c6443397a6158526c63793959566b6c4a544556484c3039464c7a49774d6a59794d4449314d5441774f533951515338774f5752695a6a4d314e5330324d6d51794c54517a4d7a63744f5441784d43316b4e7a6b305a474e684d7a566d5a6a63756347526d&amp;Fich=09dbf355-62d2-4337-9010-d794dca35ff7.pdf&amp;Inline=true</t>
        </is>
      </c>
      <c r="AH777" s="3" t="n">
        <v>46321.77847222222</v>
      </c>
      <c r="AI777" s="3" t="n">
        <v>46321.78055555555</v>
      </c>
      <c r="AJ777" s="2" t="inlineStr"/>
    </row>
    <row r="778">
      <c r="A778" s="2" t="n">
        <v>777</v>
      </c>
      <c r="B778" s="2" t="inlineStr">
        <is>
          <t>724C</t>
        </is>
      </c>
      <c r="C778" s="3" t="n">
        <v>45966.87986111111</v>
      </c>
      <c r="D778" s="2" t="inlineStr">
        <is>
          <t>Original</t>
        </is>
      </c>
      <c r="E778" s="2" t="inlineStr">
        <is>
          <t>PCP</t>
        </is>
      </c>
      <c r="F778" s="2" t="inlineStr">
        <is>
          <t>Alfredo Maia; Paula Santos; Paulo Raimundo</t>
        </is>
      </c>
      <c r="G778" s="2" t="inlineStr">
        <is>
          <t>Art. 113.º-A (aditamento)</t>
        </is>
      </c>
      <c r="H778" s="2" t="n"/>
      <c r="I778" s="2" t="n"/>
      <c r="J778" s="2" t="n"/>
      <c r="K778" s="2" t="n"/>
      <c r="L778" s="2" t="inlineStr">
        <is>
          <t>Artigo 113.º-A (Restituição das condições originais dos ecossistemas e da biodiversidade do Rio Pepim, Aveleda, Bragança)</t>
        </is>
      </c>
      <c r="M778" s="4" t="n"/>
      <c r="N778" s="4" t="n"/>
      <c r="O778" s="2" t="n"/>
      <c r="P778" s="2" t="n"/>
      <c r="Q778" s="2" t="n"/>
      <c r="R778" s="2" t="n"/>
      <c r="S778" s="2" t="inlineStr">
        <is>
          <t>Aprovado(a) em Comissão</t>
        </is>
      </c>
      <c r="T778" s="2" t="inlineStr">
        <is>
          <t>Aprovada</t>
        </is>
      </c>
      <c r="U778" s="2" t="inlineStr">
        <is>
          <t>Favor: CH, PS, IL, L, PCP, BE; Contra: PSD, CDS-PP; Abstenção: PAN</t>
        </is>
      </c>
      <c r="V778" s="3" t="n">
        <v>45985</v>
      </c>
      <c r="W778" s="2" t="inlineStr">
        <is>
          <t>AR: https://www.parlamento.pt/OrcamentoEstado/Paginas/DetalhePropostaAlteracao.aspx?BID=23950 PDF: https://app.parlamento.pt/webutils/docs/doc.pdf?path=6148523063484d364c793942556b356c6443397a6158526c63793959566b6c4a544556484c3039464c7a49774d6a59794d4449314d5441774f533951515339694f546c6c4d44646a4d6930344d5463324c5451334e4463744f54566d4d53316b4e5459784d574a6c4e7a59334e5451756347526d&amp;Fich=b99e07c2-8176-4747-95f1-d5611be76754.pdf&amp;Inline=true</t>
        </is>
      </c>
      <c r="X778" s="2" t="inlineStr">
        <is>
          <t>Ambiente e Energia</t>
        </is>
      </c>
      <c r="Y778" s="2" t="inlineStr">
        <is>
          <t>Articulado</t>
        </is>
      </c>
      <c r="Z778" s="2" t="inlineStr">
        <is>
          <t>Aditamento (Artigo PPL)</t>
        </is>
      </c>
      <c r="AA778" s="2" t="inlineStr">
        <is>
          <t>Aprovado(a) em Comissão</t>
        </is>
      </c>
      <c r="AB778" s="2" t="inlineStr"/>
      <c r="AC778" s="2" t="inlineStr"/>
      <c r="AD778" s="2" t="inlineStr">
        <is>
          <t>1</t>
        </is>
      </c>
      <c r="AE778" s="2" t="inlineStr">
        <is>
          <t>23950</t>
        </is>
      </c>
      <c r="AF778" s="2" t="inlineStr">
        <is>
          <t>https://www.parlamento.pt/OrcamentoEstado/Paginas/DetalhePropostaAlteracao.aspx?BID=23950</t>
        </is>
      </c>
      <c r="AG778" s="2" t="inlineStr">
        <is>
          <t>https://app.parlamento.pt/webutils/docs/doc.pdf?path=6148523063484d364c793942556b356c6443397a6158526c63793959566b6c4a544556484c3039464c7a49774d6a59794d4449314d5441774f533951515339694f546c6c4d44646a4d6930344d5463324c5451334e4463744f54566d4d53316b4e5459784d574a6c4e7a59334e5451756347526d&amp;Fich=b99e07c2-8176-4747-95f1-d5611be76754.pdf&amp;Inline=true</t>
        </is>
      </c>
      <c r="AH778" s="3" t="n">
        <v>46321.77847222222</v>
      </c>
      <c r="AI778" s="3" t="n">
        <v>46321.78055555555</v>
      </c>
      <c r="AJ778" s="2" t="inlineStr"/>
    </row>
    <row r="779">
      <c r="A779" s="2" t="n">
        <v>778</v>
      </c>
      <c r="B779" s="2" t="inlineStr">
        <is>
          <t>725C</t>
        </is>
      </c>
      <c r="C779" s="3" t="n">
        <v>45966.88055555556</v>
      </c>
      <c r="D779" s="2" t="inlineStr">
        <is>
          <t>Original</t>
        </is>
      </c>
      <c r="E779" s="2" t="inlineStr">
        <is>
          <t>PCP</t>
        </is>
      </c>
      <c r="F779" s="2" t="inlineStr">
        <is>
          <t>Alfredo Maia; Paula Santos; Paulo Raimundo</t>
        </is>
      </c>
      <c r="G779" s="2" t="inlineStr">
        <is>
          <t>Art. 113.º-A (aditamento)</t>
        </is>
      </c>
      <c r="H779" s="2" t="n"/>
      <c r="I779" s="2" t="n"/>
      <c r="J779" s="2" t="n"/>
      <c r="K779" s="2" t="n"/>
      <c r="L779" s="2" t="inlineStr">
        <is>
          <t>Artigo 113.º-A (Construção do troço Amarante - Peso da Régua do IC26)</t>
        </is>
      </c>
      <c r="M779" s="4" t="n"/>
      <c r="N779" s="4" t="n"/>
      <c r="O779" s="2" t="n"/>
      <c r="P779" s="2" t="n"/>
      <c r="Q779" s="2" t="n"/>
      <c r="R779" s="2" t="n"/>
      <c r="S779" s="2" t="inlineStr">
        <is>
          <t>Rejeitado(a) em Comissão</t>
        </is>
      </c>
      <c r="T779" s="2" t="inlineStr">
        <is>
          <t>Rejeitada</t>
        </is>
      </c>
      <c r="U779" s="2" t="inlineStr">
        <is>
          <t>Favor: CH, IL, L, PCP, BE; Contra: PSD, CDS-PP; Abstenção: PS, PAN</t>
        </is>
      </c>
      <c r="V779" s="3" t="n">
        <v>45985</v>
      </c>
      <c r="W779" s="2" t="inlineStr">
        <is>
          <t>AR: https://www.parlamento.pt/OrcamentoEstado/Paginas/DetalhePropostaAlteracao.aspx?BID=23951 PDF: https://app.parlamento.pt/webutils/docs/doc.pdf?path=6148523063484d364c793942556b356c6443397a6158526c63793959566b6c4a544556484c3039464c7a49774d6a59794d4449314d5441774f533951515338774e474a6c4e4756684e433030595751344c545132596a63744f475530595330314d4445304e4463784f54637a596d59756347526d&amp;Fich=04be4ea4-4ad8-46b7-8e4a-5014471973bf.pdf&amp;Inline=true</t>
        </is>
      </c>
      <c r="X779" s="2" t="inlineStr">
        <is>
          <t>Infraestruturas, Mobilidade e Habitação</t>
        </is>
      </c>
      <c r="Y779" s="2" t="inlineStr">
        <is>
          <t>Articulado</t>
        </is>
      </c>
      <c r="Z779" s="2" t="inlineStr">
        <is>
          <t>Aditamento (Artigo PPL)</t>
        </is>
      </c>
      <c r="AA779" s="2" t="inlineStr">
        <is>
          <t>Rejeitado(a) em Comissão</t>
        </is>
      </c>
      <c r="AB779" s="2" t="inlineStr"/>
      <c r="AC779" s="2" t="inlineStr"/>
      <c r="AD779" s="2" t="inlineStr">
        <is>
          <t>1</t>
        </is>
      </c>
      <c r="AE779" s="2" t="inlineStr">
        <is>
          <t>23951</t>
        </is>
      </c>
      <c r="AF779" s="2" t="inlineStr">
        <is>
          <t>https://www.parlamento.pt/OrcamentoEstado/Paginas/DetalhePropostaAlteracao.aspx?BID=23951</t>
        </is>
      </c>
      <c r="AG779" s="2" t="inlineStr">
        <is>
          <t>https://app.parlamento.pt/webutils/docs/doc.pdf?path=6148523063484d364c793942556b356c6443397a6158526c63793959566b6c4a544556484c3039464c7a49774d6a59794d4449314d5441774f533951515338774e474a6c4e4756684e433030595751344c545132596a63744f475530595330314d4445304e4463784f54637a596d59756347526d&amp;Fich=04be4ea4-4ad8-46b7-8e4a-5014471973bf.pdf&amp;Inline=true</t>
        </is>
      </c>
      <c r="AH779" s="3" t="n">
        <v>46321.77847222222</v>
      </c>
      <c r="AI779" s="3" t="n">
        <v>46321.78055555555</v>
      </c>
      <c r="AJ779" s="2" t="inlineStr"/>
    </row>
    <row r="780">
      <c r="A780" s="2" t="n">
        <v>779</v>
      </c>
      <c r="B780" s="2" t="inlineStr">
        <is>
          <t>726C</t>
        </is>
      </c>
      <c r="C780" s="3" t="n">
        <v>45966.88125</v>
      </c>
      <c r="D780" s="2" t="inlineStr">
        <is>
          <t>Original</t>
        </is>
      </c>
      <c r="E780" s="2" t="inlineStr">
        <is>
          <t>PCP</t>
        </is>
      </c>
      <c r="F780" s="2" t="inlineStr">
        <is>
          <t>Alfredo Maia; Paula Santos; Paulo Raimundo</t>
        </is>
      </c>
      <c r="G780" s="2" t="inlineStr">
        <is>
          <t>Art. 113.º-A (aditamento)</t>
        </is>
      </c>
      <c r="H780" s="2" t="n"/>
      <c r="I780" s="2" t="n"/>
      <c r="J780" s="2" t="n"/>
      <c r="K780" s="2" t="n"/>
      <c r="L780" s="2" t="inlineStr">
        <is>
          <t>Artigo 113.º-A (Construção da ligação rodoviária entre o concelho de Boticas e a A24)</t>
        </is>
      </c>
      <c r="M780" s="4" t="n"/>
      <c r="N780" s="4" t="n"/>
      <c r="O780" s="2" t="n"/>
      <c r="P780" s="2" t="n"/>
      <c r="Q780" s="2" t="n"/>
      <c r="R780" s="2" t="n"/>
      <c r="S780" s="2" t="inlineStr">
        <is>
          <t>Rejeitado(a) em Comissão</t>
        </is>
      </c>
      <c r="T780" s="2" t="inlineStr">
        <is>
          <t>Rejeitada</t>
        </is>
      </c>
      <c r="U780" s="2" t="inlineStr">
        <is>
          <t>Favor: CH, IL, L, PCP, BE; Contra: PSD, CDS-PP; Abstenção: PS, PAN</t>
        </is>
      </c>
      <c r="V780" s="3" t="n">
        <v>45985</v>
      </c>
      <c r="W780" s="2" t="inlineStr">
        <is>
          <t>AR: https://www.parlamento.pt/OrcamentoEstado/Paginas/DetalhePropostaAlteracao.aspx?BID=23952 PDF: https://app.parlamento.pt/webutils/docs/doc.pdf?path=6148523063484d364c793942556b356c6443397a6158526c63793959566b6c4a544556484c3039464c7a49774d6a59794d4449314d5441774f533951515339694e7a6331593251354f53316d4f5449774c54526c4f444d744f546b7a4e5330794e474a6a4e544a694e6a64684e4459756347526d&amp;Fich=b775cd99-f920-4e83-9935-24bc52b67a46.pdf&amp;Inline=true</t>
        </is>
      </c>
      <c r="X780" s="2" t="inlineStr">
        <is>
          <t>Infraestruturas, Mobilidade e Habitação</t>
        </is>
      </c>
      <c r="Y780" s="2" t="inlineStr">
        <is>
          <t>Articulado</t>
        </is>
      </c>
      <c r="Z780" s="2" t="inlineStr">
        <is>
          <t>Aditamento (Artigo PPL)</t>
        </is>
      </c>
      <c r="AA780" s="2" t="inlineStr">
        <is>
          <t>Rejeitado(a) em Comissão</t>
        </is>
      </c>
      <c r="AB780" s="2" t="inlineStr"/>
      <c r="AC780" s="2" t="inlineStr"/>
      <c r="AD780" s="2" t="inlineStr">
        <is>
          <t>1</t>
        </is>
      </c>
      <c r="AE780" s="2" t="inlineStr">
        <is>
          <t>23952</t>
        </is>
      </c>
      <c r="AF780" s="2" t="inlineStr">
        <is>
          <t>https://www.parlamento.pt/OrcamentoEstado/Paginas/DetalhePropostaAlteracao.aspx?BID=23952</t>
        </is>
      </c>
      <c r="AG780" s="2" t="inlineStr">
        <is>
          <t>https://app.parlamento.pt/webutils/docs/doc.pdf?path=6148523063484d364c793942556b356c6443397a6158526c63793959566b6c4a544556484c3039464c7a49774d6a59794d4449314d5441774f533951515339694e7a6331593251354f53316d4f5449774c54526c4f444d744f546b7a4e5330794e474a6a4e544a694e6a64684e4459756347526d&amp;Fich=b775cd99-f920-4e83-9935-24bc52b67a46.pdf&amp;Inline=true</t>
        </is>
      </c>
      <c r="AH780" s="3" t="n">
        <v>46321.77847222222</v>
      </c>
      <c r="AI780" s="3" t="n">
        <v>46321.78055555555</v>
      </c>
      <c r="AJ780" s="2" t="inlineStr"/>
    </row>
    <row r="781">
      <c r="A781" s="2" t="n">
        <v>780</v>
      </c>
      <c r="B781" s="2" t="inlineStr">
        <is>
          <t>727C</t>
        </is>
      </c>
      <c r="C781" s="3" t="n">
        <v>45966.88125</v>
      </c>
      <c r="D781" s="2" t="inlineStr">
        <is>
          <t>Original</t>
        </is>
      </c>
      <c r="E781" s="2" t="inlineStr">
        <is>
          <t>PCP</t>
        </is>
      </c>
      <c r="F781" s="2" t="inlineStr">
        <is>
          <t>Alfredo Maia; Paula Santos; Paulo Raimundo</t>
        </is>
      </c>
      <c r="G781" s="2" t="inlineStr">
        <is>
          <t>Art. 113.º-A (aditamento)</t>
        </is>
      </c>
      <c r="H781" s="2" t="n"/>
      <c r="I781" s="2" t="n"/>
      <c r="J781" s="2" t="n"/>
      <c r="K781" s="2" t="n"/>
      <c r="L781" s="2" t="inlineStr">
        <is>
          <t>Artigo 113.º-A (Construção do troço do IC5 entre o Alto do Pópulo - Vila Pouca de Aguiar e Duas Igrejas - Miranda do Douro)</t>
        </is>
      </c>
      <c r="M781" s="4" t="n"/>
      <c r="N781" s="4" t="n"/>
      <c r="O781" s="2" t="n"/>
      <c r="P781" s="2" t="n"/>
      <c r="Q781" s="2" t="n"/>
      <c r="R781" s="2" t="n"/>
      <c r="S781" s="2" t="inlineStr">
        <is>
          <t>Rejeitado(a) em Comissão</t>
        </is>
      </c>
      <c r="T781" s="2" t="inlineStr">
        <is>
          <t>Rejeitada</t>
        </is>
      </c>
      <c r="U781" s="2" t="inlineStr">
        <is>
          <t>Favor: CH, L, PCP, BE; Contra: PSD, CDS-PP; Abstenção: PS, IL, PAN</t>
        </is>
      </c>
      <c r="V781" s="3" t="n">
        <v>45985</v>
      </c>
      <c r="W781" s="2" t="inlineStr">
        <is>
          <t>AR: https://www.parlamento.pt/OrcamentoEstado/Paginas/DetalhePropostaAlteracao.aspx?BID=23953 PDF: https://app.parlamento.pt/webutils/docs/doc.pdf?path=6148523063484d364c793942556b356c6443397a6158526c63793959566b6c4a544556484c3039464c7a49774d6a59794d4449314d5441774f5339515153396c4d4455785a6d51345a6930304e54566b4c54517a5a6a67744f544e69597930344f4467304d4445774d3255324d6a59756347526d&amp;Fich=e051fd8f-455d-43f8-93bc-88840103e626.pdf&amp;Inline=true</t>
        </is>
      </c>
      <c r="X781" s="2" t="inlineStr">
        <is>
          <t>Infraestruturas, Mobilidade e Habitação</t>
        </is>
      </c>
      <c r="Y781" s="2" t="inlineStr">
        <is>
          <t>Articulado</t>
        </is>
      </c>
      <c r="Z781" s="2" t="inlineStr">
        <is>
          <t>Aditamento (Artigo PPL)</t>
        </is>
      </c>
      <c r="AA781" s="2" t="inlineStr">
        <is>
          <t>Rejeitado(a) em Comissão</t>
        </is>
      </c>
      <c r="AB781" s="2" t="inlineStr"/>
      <c r="AC781" s="2" t="inlineStr"/>
      <c r="AD781" s="2" t="inlineStr">
        <is>
          <t>1</t>
        </is>
      </c>
      <c r="AE781" s="2" t="inlineStr">
        <is>
          <t>23953</t>
        </is>
      </c>
      <c r="AF781" s="2" t="inlineStr">
        <is>
          <t>https://www.parlamento.pt/OrcamentoEstado/Paginas/DetalhePropostaAlteracao.aspx?BID=23953</t>
        </is>
      </c>
      <c r="AG781" s="2" t="inlineStr">
        <is>
          <t>https://app.parlamento.pt/webutils/docs/doc.pdf?path=6148523063484d364c793942556b356c6443397a6158526c63793959566b6c4a544556484c3039464c7a49774d6a59794d4449314d5441774f5339515153396c4d4455785a6d51345a6930304e54566b4c54517a5a6a67744f544e69597930344f4467304d4445774d3255324d6a59756347526d&amp;Fich=e051fd8f-455d-43f8-93bc-88840103e626.pdf&amp;Inline=true</t>
        </is>
      </c>
      <c r="AH781" s="3" t="n">
        <v>46321.77847222222</v>
      </c>
      <c r="AI781" s="3" t="n">
        <v>46321.78055555555</v>
      </c>
      <c r="AJ781" s="2" t="inlineStr"/>
    </row>
    <row r="782">
      <c r="A782" s="2" t="n">
        <v>781</v>
      </c>
      <c r="B782" s="2" t="inlineStr">
        <is>
          <t>728C</t>
        </is>
      </c>
      <c r="C782" s="3" t="n">
        <v>45966.88194444445</v>
      </c>
      <c r="D782" s="2" t="inlineStr">
        <is>
          <t>Original</t>
        </is>
      </c>
      <c r="E782" s="2" t="inlineStr">
        <is>
          <t>PCP</t>
        </is>
      </c>
      <c r="F782" s="2" t="inlineStr">
        <is>
          <t>Alfredo Maia; Paula Santos; Paulo Raimundo</t>
        </is>
      </c>
      <c r="G782" s="2" t="inlineStr">
        <is>
          <t>Art. 113.º-A (aditamento)</t>
        </is>
      </c>
      <c r="H782" s="2" t="n"/>
      <c r="I782" s="2" t="n"/>
      <c r="J782" s="2" t="n"/>
      <c r="K782" s="2" t="n"/>
      <c r="L782" s="2" t="inlineStr">
        <is>
          <t>Artigo 113.º-A (Reposição da ligação ferroviária a Bragança)</t>
        </is>
      </c>
      <c r="M782" s="4" t="n"/>
      <c r="N782" s="4" t="n"/>
      <c r="O782" s="2" t="n"/>
      <c r="P782" s="2" t="n"/>
      <c r="Q782" s="2" t="n"/>
      <c r="R782" s="2" t="n"/>
      <c r="S782" s="2" t="inlineStr">
        <is>
          <t>Rejeitado(a) em Comissão</t>
        </is>
      </c>
      <c r="T782" s="2" t="inlineStr">
        <is>
          <t>Rejeitada</t>
        </is>
      </c>
      <c r="U782" s="2" t="inlineStr">
        <is>
          <t>Favor: CH, IL, L, PCP, BE, PAN; Contra: PSD, CDS-PP; Abstenção: PS</t>
        </is>
      </c>
      <c r="V782" s="3" t="n">
        <v>45985</v>
      </c>
      <c r="W782" s="2" t="inlineStr">
        <is>
          <t>AR: https://www.parlamento.pt/OrcamentoEstado/Paginas/DetalhePropostaAlteracao.aspx?BID=23954 PDF: https://app.parlamento.pt/webutils/docs/doc.pdf?path=6148523063484d364c793942556b356c6443397a6158526c63793959566b6c4a544556484c3039464c7a49774d6a59794d4449314d5441774f533951515338304d7a466c4e4446685a5330304e4455344c54517a4d474d74596a5a6c4e43307a597a426d597a55334d6a49354d6d49756347526d&amp;Fich=431e41ae-4458-430c-b6e4-3c0fc572292b.pdf&amp;Inline=true</t>
        </is>
      </c>
      <c r="X782" s="2" t="inlineStr">
        <is>
          <t>Infraestruturas, Mobilidade e Habitação</t>
        </is>
      </c>
      <c r="Y782" s="2" t="inlineStr">
        <is>
          <t>Articulado</t>
        </is>
      </c>
      <c r="Z782" s="2" t="inlineStr">
        <is>
          <t>Aditamento (Artigo PPL)</t>
        </is>
      </c>
      <c r="AA782" s="2" t="inlineStr">
        <is>
          <t>Rejeitado(a) em Comissão</t>
        </is>
      </c>
      <c r="AB782" s="2" t="inlineStr"/>
      <c r="AC782" s="2" t="inlineStr"/>
      <c r="AD782" s="2" t="inlineStr">
        <is>
          <t>1</t>
        </is>
      </c>
      <c r="AE782" s="2" t="inlineStr">
        <is>
          <t>23954</t>
        </is>
      </c>
      <c r="AF782" s="2" t="inlineStr">
        <is>
          <t>https://www.parlamento.pt/OrcamentoEstado/Paginas/DetalhePropostaAlteracao.aspx?BID=23954</t>
        </is>
      </c>
      <c r="AG782" s="2" t="inlineStr">
        <is>
          <t>https://app.parlamento.pt/webutils/docs/doc.pdf?path=6148523063484d364c793942556b356c6443397a6158526c63793959566b6c4a544556484c3039464c7a49774d6a59794d4449314d5441774f533951515338304d7a466c4e4446685a5330304e4455344c54517a4d474d74596a5a6c4e43307a597a426d597a55334d6a49354d6d49756347526d&amp;Fich=431e41ae-4458-430c-b6e4-3c0fc572292b.pdf&amp;Inline=true</t>
        </is>
      </c>
      <c r="AH782" s="3" t="n">
        <v>46321.77847222222</v>
      </c>
      <c r="AI782" s="3" t="n">
        <v>46321.78055555555</v>
      </c>
      <c r="AJ782" s="2" t="inlineStr"/>
    </row>
    <row r="783">
      <c r="A783" s="2" t="n">
        <v>782</v>
      </c>
      <c r="B783" s="2" t="inlineStr">
        <is>
          <t>729C</t>
        </is>
      </c>
      <c r="C783" s="3" t="n">
        <v>45966.88263888889</v>
      </c>
      <c r="D783" s="2" t="inlineStr">
        <is>
          <t>Original</t>
        </is>
      </c>
      <c r="E783" s="2" t="inlineStr">
        <is>
          <t>PCP</t>
        </is>
      </c>
      <c r="F783" s="2" t="inlineStr">
        <is>
          <t>Alfredo Maia; Paula Santos; Paulo Raimundo</t>
        </is>
      </c>
      <c r="G783" s="2" t="inlineStr">
        <is>
          <t>Art. 113.º-A (aditamento)</t>
        </is>
      </c>
      <c r="H783" s="2" t="n"/>
      <c r="I783" s="2" t="n"/>
      <c r="J783" s="2" t="n"/>
      <c r="K783" s="2" t="n"/>
      <c r="L783" s="2" t="inlineStr">
        <is>
          <t>Artigo 113.º-A (Requalificação de estradas perigosas e de obras de arte degradadas da região de Trás-os-Montes e Alto Douro)</t>
        </is>
      </c>
      <c r="M783" s="4" t="n"/>
      <c r="N783" s="4" t="n"/>
      <c r="O783" s="2" t="n"/>
      <c r="P783" s="2" t="n"/>
      <c r="Q783" s="2" t="n"/>
      <c r="R783" s="2" t="n"/>
      <c r="S783" s="2" t="inlineStr">
        <is>
          <t>Rejeitado(a) em Comissão</t>
        </is>
      </c>
      <c r="T783" s="2" t="inlineStr">
        <is>
          <t>Rejeitada</t>
        </is>
      </c>
      <c r="U783" s="2" t="inlineStr">
        <is>
          <t>Favor: CH, L, PCP, BE, PAN; Contra: PSD, CDS-PP; Abstenção: PS, IL</t>
        </is>
      </c>
      <c r="V783" s="3" t="n">
        <v>45985</v>
      </c>
      <c r="W783" s="2" t="inlineStr">
        <is>
          <t>AR: https://www.parlamento.pt/OrcamentoEstado/Paginas/DetalhePropostaAlteracao.aspx?BID=23955 PDF: https://app.parlamento.pt/webutils/docs/doc.pdf?path=6148523063484d364c793942556b356c6443397a6158526c63793959566b6c4a544556484c3039464c7a49774d6a59794d4449314d5441774f53395151533830596d4979595459354e5330345a5452694c5451794d6a41744f474e6d595330774d44426b4e5463324d3245784d3245756347526d&amp;Fich=4bb2a695-8e4b-4220-8cfa-000d5763a13a.pdf&amp;Inline=true</t>
        </is>
      </c>
      <c r="X783" s="2" t="inlineStr">
        <is>
          <t>Infraestruturas, Mobilidade e Habitação</t>
        </is>
      </c>
      <c r="Y783" s="2" t="inlineStr">
        <is>
          <t>Articulado</t>
        </is>
      </c>
      <c r="Z783" s="2" t="inlineStr">
        <is>
          <t>Aditamento (Artigo PPL)</t>
        </is>
      </c>
      <c r="AA783" s="2" t="inlineStr">
        <is>
          <t>Rejeitado(a) em Comissão</t>
        </is>
      </c>
      <c r="AB783" s="2" t="inlineStr"/>
      <c r="AC783" s="2" t="inlineStr"/>
      <c r="AD783" s="2" t="inlineStr">
        <is>
          <t>1</t>
        </is>
      </c>
      <c r="AE783" s="2" t="inlineStr">
        <is>
          <t>23955</t>
        </is>
      </c>
      <c r="AF783" s="2" t="inlineStr">
        <is>
          <t>https://www.parlamento.pt/OrcamentoEstado/Paginas/DetalhePropostaAlteracao.aspx?BID=23955</t>
        </is>
      </c>
      <c r="AG783" s="2" t="inlineStr">
        <is>
          <t>https://app.parlamento.pt/webutils/docs/doc.pdf?path=6148523063484d364c793942556b356c6443397a6158526c63793959566b6c4a544556484c3039464c7a49774d6a59794d4449314d5441774f53395151533830596d4979595459354e5330345a5452694c5451794d6a41744f474e6d595330774d44426b4e5463324d3245784d3245756347526d&amp;Fich=4bb2a695-8e4b-4220-8cfa-000d5763a13a.pdf&amp;Inline=true</t>
        </is>
      </c>
      <c r="AH783" s="3" t="n">
        <v>46321.77847222222</v>
      </c>
      <c r="AI783" s="3" t="n">
        <v>46321.78055555555</v>
      </c>
      <c r="AJ783" s="2" t="inlineStr"/>
    </row>
    <row r="784">
      <c r="A784" s="2" t="n">
        <v>783</v>
      </c>
      <c r="B784" s="2" t="inlineStr">
        <is>
          <t>730C</t>
        </is>
      </c>
      <c r="C784" s="3" t="n">
        <v>45966.94861111111</v>
      </c>
      <c r="D784" s="2" t="inlineStr">
        <is>
          <t>Original</t>
        </is>
      </c>
      <c r="E784" s="2" t="inlineStr">
        <is>
          <t>L</t>
        </is>
      </c>
      <c r="F784" s="2" t="inlineStr">
        <is>
          <t>Filipa Pinto; Isabel Mendes Lopes; Jorge Pinto; Patrícia Gonçalves; Paulo Muacho; Rui Tavares</t>
        </is>
      </c>
      <c r="G784" s="2" t="inlineStr">
        <is>
          <t>Art. 126.º-A (aditamento)</t>
        </is>
      </c>
      <c r="H784" s="2" t="n"/>
      <c r="I784" s="2" t="n"/>
      <c r="J784" s="2" t="n"/>
      <c r="K784" s="2" t="n"/>
      <c r="L784" s="2" t="inlineStr">
        <is>
          <t>Artigo 126.º-A (Rede Nacional de Arrojamentos)</t>
        </is>
      </c>
      <c r="M784" s="4" t="n"/>
      <c r="N784" s="4" t="n"/>
      <c r="O784" s="2" t="n"/>
      <c r="P784" s="2" t="n"/>
      <c r="Q784" s="2" t="n"/>
      <c r="R784" s="2" t="n"/>
      <c r="S784" s="2" t="inlineStr">
        <is>
          <t>Rejeitado(a) em Comissão</t>
        </is>
      </c>
      <c r="T784" s="2" t="inlineStr">
        <is>
          <t>Rejeitada</t>
        </is>
      </c>
      <c r="U784" s="2" t="inlineStr">
        <is>
          <t>Favor: L, PCP, BE, PAN; Contra: PSD, CDS-PP; Abstenção: CH, PS, IL</t>
        </is>
      </c>
      <c r="V784" s="3" t="n">
        <v>45985</v>
      </c>
      <c r="W784" s="2" t="inlineStr">
        <is>
          <t>AR: https://www.parlamento.pt/OrcamentoEstado/Paginas/DetalhePropostaAlteracao.aspx?BID=23956 PDF: https://app.parlamento.pt/webutils/docs/doc.pdf?path=6148523063484d364c793942556b356c6443397a6158526c63793959566b6c4a544556484c3039464c7a49774d6a59794d4449314d5441774f533951515338344e444e6b4e444d774e69316c4d6a55314c545179596a6b74596a49784f5330344d7a41344d54553559544d324d5759756347526d&amp;Fich=843d4306-e255-42b9-b219-8308159a361f.pdf&amp;Inline=true</t>
        </is>
      </c>
      <c r="X784" s="2" t="inlineStr">
        <is>
          <t>Ambiente e Energia; Orçamento, Finanças e Administração Pública</t>
        </is>
      </c>
      <c r="Y784" s="2" t="inlineStr">
        <is>
          <t>Articulado</t>
        </is>
      </c>
      <c r="Z784" s="2" t="inlineStr">
        <is>
          <t>Aditamento (Artigo PPL)</t>
        </is>
      </c>
      <c r="AA784" s="2" t="inlineStr">
        <is>
          <t>Rejeitado(a) em Comissão</t>
        </is>
      </c>
      <c r="AB784" s="2" t="inlineStr"/>
      <c r="AC784" s="2" t="inlineStr"/>
      <c r="AD784" s="2" t="inlineStr">
        <is>
          <t>1</t>
        </is>
      </c>
      <c r="AE784" s="2" t="inlineStr">
        <is>
          <t>23956</t>
        </is>
      </c>
      <c r="AF784" s="2" t="inlineStr">
        <is>
          <t>https://www.parlamento.pt/OrcamentoEstado/Paginas/DetalhePropostaAlteracao.aspx?BID=23956</t>
        </is>
      </c>
      <c r="AG784" s="2" t="inlineStr">
        <is>
          <t>https://app.parlamento.pt/webutils/docs/doc.pdf?path=6148523063484d364c793942556b356c6443397a6158526c63793959566b6c4a544556484c3039464c7a49774d6a59794d4449314d5441774f533951515338344e444e6b4e444d774e69316c4d6a55314c545179596a6b74596a49784f5330344d7a41344d54553559544d324d5759756347526d&amp;Fich=843d4306-e255-42b9-b219-8308159a361f.pdf&amp;Inline=true</t>
        </is>
      </c>
      <c r="AH784" s="3" t="n">
        <v>46321.77847222222</v>
      </c>
      <c r="AI784" s="3" t="n">
        <v>46321.78055555555</v>
      </c>
      <c r="AJ784" s="2" t="inlineStr"/>
    </row>
    <row r="785">
      <c r="A785" s="2" t="n">
        <v>784</v>
      </c>
      <c r="B785" s="2" t="inlineStr">
        <is>
          <t>731C</t>
        </is>
      </c>
      <c r="C785" s="3" t="n">
        <v>45966.95902777778</v>
      </c>
      <c r="D785" s="2" t="inlineStr">
        <is>
          <t>Original</t>
        </is>
      </c>
      <c r="E785" s="2" t="inlineStr">
        <is>
          <t>L</t>
        </is>
      </c>
      <c r="F785" s="2" t="inlineStr">
        <is>
          <t>Filipa Pinto; Isabel Mendes Lopes; Jorge Pinto; Patrícia Gonçalves; Paulo Muacho; Rui Tavares</t>
        </is>
      </c>
      <c r="G785" s="2" t="inlineStr">
        <is>
          <t>Art. 135.º (substituição)</t>
        </is>
      </c>
      <c r="H785" s="2" t="n"/>
      <c r="I785" s="2" t="n"/>
      <c r="J785" s="2" t="n"/>
      <c r="K785" s="2" t="n"/>
      <c r="L785" s="2" t="inlineStr">
        <is>
          <t>Artigo 135.º</t>
        </is>
      </c>
      <c r="M785" s="4" t="n"/>
      <c r="N785" s="4" t="n"/>
      <c r="O785" s="2" t="n"/>
      <c r="P785" s="2" t="n"/>
      <c r="Q785" s="2" t="n"/>
      <c r="R785" s="2" t="n"/>
      <c r="S785" s="2" t="inlineStr">
        <is>
          <t>Rejeitado(a) em Comissão</t>
        </is>
      </c>
      <c r="T785" s="2" t="inlineStr">
        <is>
          <t>Rejeitada</t>
        </is>
      </c>
      <c r="U785" s="2" t="inlineStr">
        <is>
          <t>Favor: L, PCP, BE, PAN; Contra: PSD, IL, CDS-PP; Abstenção: CH, PS</t>
        </is>
      </c>
      <c r="V785" s="3" t="n">
        <v>45987</v>
      </c>
      <c r="W785" s="2" t="inlineStr">
        <is>
          <t>AR: https://www.parlamento.pt/OrcamentoEstado/Paginas/DetalhePropostaAlteracao.aspx?BID=23957 PDF: https://app.parlamento.pt/webutils/docs/doc.pdf?path=6148523063484d364c793942556b356c6443397a6158526c63793959566b6c4a544556484c3039464c7a49774d6a59794d4449314d5441774f533951515339695a4441785a6d4d324e79316b4f4756684c5451334e445174595445335a533077596a42695a5463794e4442684f5749756347526d&amp;Fich=bd01fc67-d8ea-4744-a17e-0b0be7240a9b.pdf&amp;Inline=true</t>
        </is>
      </c>
      <c r="X785" s="2" t="inlineStr">
        <is>
          <t>Assuntos Constitucionais, Direitos, Liberdades e Garantias; Orçamento, Finanças e Administração Pública</t>
        </is>
      </c>
      <c r="Y785" s="2" t="inlineStr">
        <is>
          <t>Articulado</t>
        </is>
      </c>
      <c r="Z785" s="2" t="inlineStr">
        <is>
          <t>Substituição</t>
        </is>
      </c>
      <c r="AA785" s="2" t="inlineStr">
        <is>
          <t>Rejeitado(a) em Comissão</t>
        </is>
      </c>
      <c r="AB785" s="2" t="inlineStr"/>
      <c r="AC785" s="2" t="inlineStr"/>
      <c r="AD785" s="2" t="inlineStr">
        <is>
          <t>1</t>
        </is>
      </c>
      <c r="AE785" s="2" t="inlineStr">
        <is>
          <t>23957</t>
        </is>
      </c>
      <c r="AF785" s="2" t="inlineStr">
        <is>
          <t>https://www.parlamento.pt/OrcamentoEstado/Paginas/DetalhePropostaAlteracao.aspx?BID=23957</t>
        </is>
      </c>
      <c r="AG785" s="2" t="inlineStr">
        <is>
          <t>https://app.parlamento.pt/webutils/docs/doc.pdf?path=6148523063484d364c793942556b356c6443397a6158526c63793959566b6c4a544556484c3039464c7a49774d6a59794d4449314d5441774f533951515339695a4441785a6d4d324e79316b4f4756684c5451334e445174595445335a533077596a42695a5463794e4442684f5749756347526d&amp;Fich=bd01fc67-d8ea-4744-a17e-0b0be7240a9b.pdf&amp;Inline=true</t>
        </is>
      </c>
      <c r="AH785" s="3" t="n">
        <v>46321.77847222222</v>
      </c>
      <c r="AI785" s="3" t="n">
        <v>46321.78055555555</v>
      </c>
      <c r="AJ785" s="2" t="inlineStr"/>
    </row>
    <row r="786">
      <c r="A786" s="2" t="n">
        <v>785</v>
      </c>
      <c r="B786" s="2" t="inlineStr">
        <is>
          <t>732C</t>
        </is>
      </c>
      <c r="C786" s="3" t="n">
        <v>45966.96458333333</v>
      </c>
      <c r="D786" s="2" t="inlineStr">
        <is>
          <t>Original</t>
        </is>
      </c>
      <c r="E786" s="2" t="inlineStr">
        <is>
          <t>L</t>
        </is>
      </c>
      <c r="F786" s="2" t="inlineStr">
        <is>
          <t>Filipa Pinto; Isabel Mendes Lopes; Jorge Pinto; Patrícia Gonçalves; Paulo Muacho; Rui Tavares</t>
        </is>
      </c>
      <c r="G786" s="2" t="inlineStr">
        <is>
          <t>Art. 112.º-A (aditamento)</t>
        </is>
      </c>
      <c r="H786" s="2" t="n"/>
      <c r="I786" s="2" t="n"/>
      <c r="J786" s="2" t="n"/>
      <c r="K786" s="2" t="n"/>
      <c r="L786" s="2" t="inlineStr">
        <is>
          <t>Artigo 112.º-A (Campanha de Divulgação do Subsídio de Desemprego para Vítimas de Violência Doméstica)</t>
        </is>
      </c>
      <c r="M786" s="4" t="n"/>
      <c r="N786" s="4" t="n"/>
      <c r="O786" s="2" t="n"/>
      <c r="P786" s="2" t="n"/>
      <c r="Q786" s="2" t="n"/>
      <c r="R786" s="2" t="n"/>
      <c r="S786" s="2" t="inlineStr">
        <is>
          <t>Aprovado(a) Parcialmente em Comissão</t>
        </is>
      </c>
      <c r="T786" s="2" t="inlineStr">
        <is>
          <t>Aprovada parcialmente</t>
        </is>
      </c>
      <c r="U786" s="2" t="inlineStr">
        <is>
          <t>Favor: PSD, IL, L, PCP, CDS-PP, BE, PAN; Abstenção: PS</t>
        </is>
      </c>
      <c r="V786" s="3" t="n">
        <v>45982</v>
      </c>
      <c r="W786" s="2" t="inlineStr">
        <is>
          <t>AR: https://www.parlamento.pt/OrcamentoEstado/Paginas/DetalhePropostaAlteracao.aspx?BID=23958 PDF: https://app.parlamento.pt/webutils/docs/doc.pdf?path=6148523063484d364c793942556b356c6443397a6158526c63793959566b6c4a544556484c3039464c7a49774d6a59794d4449314d5441774f5339515153396c4e5467354f4759314e5330315a5752694c54526c5a6a6774595464694f4330324e544e6c595445354e6a5578597a51756347526d&amp;Fich=e5898f55-5edb-4ef8-a7b8-653ea19651c4.pdf&amp;Inline=true</t>
        </is>
      </c>
      <c r="X786" s="2" t="inlineStr">
        <is>
          <t>Assuntos Constitucionais, Direitos, Liberdades e Garantias; Trabalho, Segurança Social e Inclusão</t>
        </is>
      </c>
      <c r="Y786" s="2" t="inlineStr">
        <is>
          <t>Articulado</t>
        </is>
      </c>
      <c r="Z786" s="2" t="inlineStr">
        <is>
          <t>Aditamento (Artigo PPL)</t>
        </is>
      </c>
      <c r="AA786" s="2" t="inlineStr">
        <is>
          <t>Aprovado(a) Parcialmente em Comissão</t>
        </is>
      </c>
      <c r="AB786" s="2" t="inlineStr"/>
      <c r="AC786" s="2" t="inlineStr"/>
      <c r="AD786" s="2" t="inlineStr">
        <is>
          <t>1</t>
        </is>
      </c>
      <c r="AE786" s="2" t="inlineStr">
        <is>
          <t>23958</t>
        </is>
      </c>
      <c r="AF786" s="2" t="inlineStr">
        <is>
          <t>https://www.parlamento.pt/OrcamentoEstado/Paginas/DetalhePropostaAlteracao.aspx?BID=23958</t>
        </is>
      </c>
      <c r="AG786" s="2" t="inlineStr">
        <is>
          <t>https://app.parlamento.pt/webutils/docs/doc.pdf?path=6148523063484d364c793942556b356c6443397a6158526c63793959566b6c4a544556484c3039464c7a49774d6a59794d4449314d5441774f5339515153396c4e5467354f4759314e5330315a5752694c54526c5a6a6774595464694f4330324e544e6c595445354e6a5578597a51756347526d&amp;Fich=e5898f55-5edb-4ef8-a7b8-653ea19651c4.pdf&amp;Inline=true</t>
        </is>
      </c>
      <c r="AH786" s="3" t="n">
        <v>46321.77847222222</v>
      </c>
      <c r="AI786" s="3" t="n">
        <v>46321.78055555555</v>
      </c>
      <c r="AJ786" s="2" t="inlineStr"/>
    </row>
    <row r="787">
      <c r="A787" s="2" t="n">
        <v>786</v>
      </c>
      <c r="B787" s="2" t="inlineStr">
        <is>
          <t>733C</t>
        </is>
      </c>
      <c r="C787" s="3" t="n">
        <v>45967.42361111111</v>
      </c>
      <c r="D787" s="2" t="inlineStr">
        <is>
          <t>Original</t>
        </is>
      </c>
      <c r="E787" s="2" t="inlineStr">
        <is>
          <t>BE</t>
        </is>
      </c>
      <c r="F787" s="2" t="inlineStr">
        <is>
          <t>Mariana Mortágua</t>
        </is>
      </c>
      <c r="G787" s="2" t="inlineStr">
        <is>
          <t>Art. 38.º-D (aditamento)</t>
        </is>
      </c>
      <c r="H787" s="2" t="n"/>
      <c r="I787" s="2" t="n"/>
      <c r="J787" s="2" t="n"/>
      <c r="K787" s="2" t="n"/>
      <c r="L787" s="2" t="inlineStr">
        <is>
          <t>Artigo 38.º-D (Alargamento do número de Centros de Apoio à Vida Independente)</t>
        </is>
      </c>
      <c r="M787" s="4" t="n"/>
      <c r="N787" s="4" t="n"/>
      <c r="O787" s="2" t="n"/>
      <c r="P787" s="2" t="n"/>
      <c r="Q787" s="2" t="n"/>
      <c r="R787" s="2" t="n"/>
      <c r="S787" s="2" t="inlineStr">
        <is>
          <t>Rejeitado(a) em Comissão</t>
        </is>
      </c>
      <c r="T787" s="2" t="inlineStr">
        <is>
          <t>Rejeitada</t>
        </is>
      </c>
      <c r="U787" s="2" t="inlineStr">
        <is>
          <t>Favor: CH, L, PCP, BE, PAN; Contra: PSD, CDS-PP; Abstenção: PS, IL</t>
        </is>
      </c>
      <c r="V787" s="3" t="n">
        <v>45981</v>
      </c>
      <c r="W787" s="2" t="inlineStr">
        <is>
          <t>AR: https://www.parlamento.pt/OrcamentoEstado/Paginas/DetalhePropostaAlteracao.aspx?BID=23959 PDF: https://app.parlamento.pt/webutils/docs/doc.pdf?path=6148523063484d364c793942556b356c6443397a6158526c63793959566b6c4a544556484c3039464c7a49774d6a59794d4449314d5441774f53395151533878597a4e694e54686a4d6931694e444a6a4c54526a4e3255744f5759344d6930314d7a526d5a5451324d57526a4d5751756347526d&amp;Fich=1c3b58c2-b42c-4c7e-9f82-534fe461dc1d.pdf&amp;Inline=true</t>
        </is>
      </c>
      <c r="X787" s="2" t="inlineStr">
        <is>
          <t>Trabalho, Segurança Social e Inclusão</t>
        </is>
      </c>
      <c r="Y787" s="2" t="inlineStr">
        <is>
          <t>Articulado</t>
        </is>
      </c>
      <c r="Z787" s="2" t="inlineStr">
        <is>
          <t>Aditamento (Artigo PPL)</t>
        </is>
      </c>
      <c r="AA787" s="2" t="inlineStr">
        <is>
          <t>Rejeitado(a) em Comissão</t>
        </is>
      </c>
      <c r="AB787" s="2" t="inlineStr"/>
      <c r="AC787" s="2" t="inlineStr"/>
      <c r="AD787" s="2" t="inlineStr">
        <is>
          <t>1</t>
        </is>
      </c>
      <c r="AE787" s="2" t="inlineStr">
        <is>
          <t>23959</t>
        </is>
      </c>
      <c r="AF787" s="2" t="inlineStr">
        <is>
          <t>https://www.parlamento.pt/OrcamentoEstado/Paginas/DetalhePropostaAlteracao.aspx?BID=23959</t>
        </is>
      </c>
      <c r="AG787" s="2" t="inlineStr">
        <is>
          <t>https://app.parlamento.pt/webutils/docs/doc.pdf?path=6148523063484d364c793942556b356c6443397a6158526c63793959566b6c4a544556484c3039464c7a49774d6a59794d4449314d5441774f53395151533878597a4e694e54686a4d6931694e444a6a4c54526a4e3255744f5759344d6930314d7a526d5a5451324d57526a4d5751756347526d&amp;Fich=1c3b58c2-b42c-4c7e-9f82-534fe461dc1d.pdf&amp;Inline=true</t>
        </is>
      </c>
      <c r="AH787" s="3" t="n">
        <v>46321.77847222222</v>
      </c>
      <c r="AI787" s="3" t="n">
        <v>46321.78055555555</v>
      </c>
      <c r="AJ787" s="2" t="inlineStr"/>
    </row>
    <row r="788">
      <c r="A788" s="2" t="n">
        <v>787</v>
      </c>
      <c r="B788" s="2" t="inlineStr">
        <is>
          <t>734C</t>
        </is>
      </c>
      <c r="C788" s="3" t="n">
        <v>45967.425</v>
      </c>
      <c r="D788" s="2" t="inlineStr">
        <is>
          <t>Original</t>
        </is>
      </c>
      <c r="E788" s="2" t="inlineStr">
        <is>
          <t>BE</t>
        </is>
      </c>
      <c r="F788" s="2" t="inlineStr">
        <is>
          <t>Mariana Mortágua</t>
        </is>
      </c>
      <c r="G788" s="2" t="inlineStr">
        <is>
          <t>Art. 38.º-B (aditamento)</t>
        </is>
      </c>
      <c r="H788" s="2" t="n"/>
      <c r="I788" s="2" t="n"/>
      <c r="J788" s="2" t="n"/>
      <c r="K788" s="2" t="n"/>
      <c r="L788" s="2" t="inlineStr">
        <is>
          <t>Artigo 38.º-B (Reforço a verba atribuída às Organizações de Pessoas com Deficiência)</t>
        </is>
      </c>
      <c r="M788" s="4" t="n"/>
      <c r="N788" s="4" t="n"/>
      <c r="O788" s="2" t="n"/>
      <c r="P788" s="2" t="n"/>
      <c r="Q788" s="2" t="n"/>
      <c r="R788" s="2" t="n"/>
      <c r="S788" s="2" t="inlineStr">
        <is>
          <t>Rejeitado(a) em Comissão</t>
        </is>
      </c>
      <c r="T788" s="2" t="inlineStr">
        <is>
          <t>Rejeitada</t>
        </is>
      </c>
      <c r="U788" s="2" t="inlineStr">
        <is>
          <t>Favor: L, PCP, BE, PAN; Contra: PSD, IL, CDS-PP; Abstenção: CH, PS</t>
        </is>
      </c>
      <c r="V788" s="3" t="n">
        <v>45981</v>
      </c>
      <c r="W788" s="2" t="inlineStr">
        <is>
          <t>AR: https://www.parlamento.pt/OrcamentoEstado/Paginas/DetalhePropostaAlteracao.aspx?BID=23960 PDF: https://app.parlamento.pt/webutils/docs/doc.pdf?path=6148523063484d364c793942556b356c6443397a6158526c63793959566b6c4a544556484c3039464c7a49774d6a59794d4449314d5441774f533951515338774f474e6d4d3251314f4330774d4459344c5452694e575574596a686a595330304e47466c4e7a646c4d6d55305a4463756347526d&amp;Fich=08cf3d58-0068-4b5e-b8ca-44ae77e2e4d7.pdf&amp;Inline=true</t>
        </is>
      </c>
      <c r="X788" s="2" t="inlineStr">
        <is>
          <t>Trabalho, Segurança Social e Inclusão</t>
        </is>
      </c>
      <c r="Y788" s="2" t="inlineStr">
        <is>
          <t>Articulado</t>
        </is>
      </c>
      <c r="Z788" s="2" t="inlineStr">
        <is>
          <t>Aditamento (Artigo PPL)</t>
        </is>
      </c>
      <c r="AA788" s="2" t="inlineStr">
        <is>
          <t>Rejeitado(a) em Comissão</t>
        </is>
      </c>
      <c r="AB788" s="2" t="inlineStr"/>
      <c r="AC788" s="2" t="inlineStr"/>
      <c r="AD788" s="2" t="inlineStr">
        <is>
          <t>1</t>
        </is>
      </c>
      <c r="AE788" s="2" t="inlineStr">
        <is>
          <t>23960</t>
        </is>
      </c>
      <c r="AF788" s="2" t="inlineStr">
        <is>
          <t>https://www.parlamento.pt/OrcamentoEstado/Paginas/DetalhePropostaAlteracao.aspx?BID=23960</t>
        </is>
      </c>
      <c r="AG788" s="2" t="inlineStr">
        <is>
          <t>https://app.parlamento.pt/webutils/docs/doc.pdf?path=6148523063484d364c793942556b356c6443397a6158526c63793959566b6c4a544556484c3039464c7a49774d6a59794d4449314d5441774f533951515338774f474e6d4d3251314f4330774d4459344c5452694e575574596a686a595330304e47466c4e7a646c4d6d55305a4463756347526d&amp;Fich=08cf3d58-0068-4b5e-b8ca-44ae77e2e4d7.pdf&amp;Inline=true</t>
        </is>
      </c>
      <c r="AH788" s="3" t="n">
        <v>46321.77847222222</v>
      </c>
      <c r="AI788" s="3" t="n">
        <v>46321.78055555555</v>
      </c>
      <c r="AJ788" s="2" t="inlineStr"/>
    </row>
    <row r="789">
      <c r="A789" s="2" t="n">
        <v>788</v>
      </c>
      <c r="B789" s="2" t="inlineStr">
        <is>
          <t>735C</t>
        </is>
      </c>
      <c r="C789" s="3" t="n">
        <v>45967.42708333334</v>
      </c>
      <c r="D789" s="2" t="inlineStr">
        <is>
          <t>Original</t>
        </is>
      </c>
      <c r="E789" s="2" t="inlineStr">
        <is>
          <t>BE</t>
        </is>
      </c>
      <c r="F789" s="2" t="inlineStr">
        <is>
          <t>Mariana Mortágua</t>
        </is>
      </c>
      <c r="G789" s="2" t="inlineStr">
        <is>
          <t>Art. 38.º-G (aditamento)</t>
        </is>
      </c>
      <c r="H789" s="2" t="n"/>
      <c r="I789" s="2" t="n"/>
      <c r="J789" s="2" t="n"/>
      <c r="K789" s="2" t="n"/>
      <c r="L789" s="2" t="inlineStr">
        <is>
          <t>Artigo 38.º-G (Alteração ao Decreto-Lei n.º 232/2005, de 29 de dezembro)</t>
        </is>
      </c>
      <c r="M789" s="4" t="n"/>
      <c r="N789" s="4" t="n"/>
      <c r="O789" s="2" t="n"/>
      <c r="P789" s="2" t="n"/>
      <c r="Q789" s="2" t="n"/>
      <c r="R789" s="2" t="n"/>
      <c r="S789" s="2" t="inlineStr">
        <is>
          <t>Rejeitado(a) em Comissão</t>
        </is>
      </c>
      <c r="T789" s="2" t="inlineStr">
        <is>
          <t>Rejeitada</t>
        </is>
      </c>
      <c r="U789" s="2" t="inlineStr">
        <is>
          <t>Favor: L, PCP, BE, PAN; Contra: PSD, IL, CDS-PP; Abstenção: CH, PS</t>
        </is>
      </c>
      <c r="V789" s="3" t="n">
        <v>45981</v>
      </c>
      <c r="W789" s="2" t="inlineStr">
        <is>
          <t>AR: https://www.parlamento.pt/OrcamentoEstado/Paginas/DetalhePropostaAlteracao.aspx?BID=23961 PDF: https://app.parlamento.pt/webutils/docs/doc.pdf?path=6148523063484d364c793942556b356c6443397a6158526c63793959566b6c4a544556484c3039464c7a49774d6a59794d4449314d5441774f5339515153396b4f4441304e32526a597930324e57566b4c54526b4d444d744f546b31595330774e6d566a4d474d304e44517a5a4751756347526d&amp;Fich=d8047dcc-65ed-4d03-995a-06ec0c4443dd.pdf&amp;Inline=true</t>
        </is>
      </c>
      <c r="X789" s="2" t="inlineStr">
        <is>
          <t>Trabalho, Segurança Social e Inclusão</t>
        </is>
      </c>
      <c r="Y789" s="2" t="inlineStr">
        <is>
          <t>Articulado</t>
        </is>
      </c>
      <c r="Z789" s="2" t="inlineStr">
        <is>
          <t>Aditamento (Artigo PPL)</t>
        </is>
      </c>
      <c r="AA789" s="2" t="inlineStr">
        <is>
          <t>Rejeitado(a) em Comissão</t>
        </is>
      </c>
      <c r="AB789" s="2" t="inlineStr"/>
      <c r="AC789" s="2" t="inlineStr"/>
      <c r="AD789" s="2" t="inlineStr">
        <is>
          <t>1</t>
        </is>
      </c>
      <c r="AE789" s="2" t="inlineStr">
        <is>
          <t>23961</t>
        </is>
      </c>
      <c r="AF789" s="2" t="inlineStr">
        <is>
          <t>https://www.parlamento.pt/OrcamentoEstado/Paginas/DetalhePropostaAlteracao.aspx?BID=23961</t>
        </is>
      </c>
      <c r="AG789" s="2" t="inlineStr">
        <is>
          <t>https://app.parlamento.pt/webutils/docs/doc.pdf?path=6148523063484d364c793942556b356c6443397a6158526c63793959566b6c4a544556484c3039464c7a49774d6a59794d4449314d5441774f5339515153396b4f4441304e32526a597930324e57566b4c54526b4d444d744f546b31595330774e6d566a4d474d304e44517a5a4751756347526d&amp;Fich=d8047dcc-65ed-4d03-995a-06ec0c4443dd.pdf&amp;Inline=true</t>
        </is>
      </c>
      <c r="AH789" s="3" t="n">
        <v>46321.77847222222</v>
      </c>
      <c r="AI789" s="3" t="n">
        <v>46321.78055555555</v>
      </c>
      <c r="AJ789" s="2" t="inlineStr"/>
    </row>
    <row r="790">
      <c r="A790" s="2" t="n">
        <v>789</v>
      </c>
      <c r="B790" s="2" t="inlineStr">
        <is>
          <t>736C</t>
        </is>
      </c>
      <c r="C790" s="3" t="n">
        <v>45967.42847222222</v>
      </c>
      <c r="D790" s="2" t="inlineStr">
        <is>
          <t>Original</t>
        </is>
      </c>
      <c r="E790" s="2" t="inlineStr">
        <is>
          <t>BE</t>
        </is>
      </c>
      <c r="F790" s="2" t="inlineStr">
        <is>
          <t>Mariana Mortágua</t>
        </is>
      </c>
      <c r="G790" s="2" t="inlineStr">
        <is>
          <t>Art. 38.º-H (aditamento)</t>
        </is>
      </c>
      <c r="H790" s="2" t="n"/>
      <c r="I790" s="2" t="n"/>
      <c r="J790" s="2" t="n"/>
      <c r="K790" s="2" t="n"/>
      <c r="L790" s="2" t="inlineStr">
        <is>
          <t>Artigo 38.º-H (Descanso do Cuidador Informal)</t>
        </is>
      </c>
      <c r="M790" s="4" t="n"/>
      <c r="N790" s="4" t="n"/>
      <c r="O790" s="2" t="n"/>
      <c r="P790" s="2" t="n"/>
      <c r="Q790" s="2" t="n"/>
      <c r="R790" s="2" t="n"/>
      <c r="S790" s="2" t="inlineStr">
        <is>
          <t>Rejeitado(a) em Comissão</t>
        </is>
      </c>
      <c r="T790" s="2" t="inlineStr">
        <is>
          <t>Rejeitada</t>
        </is>
      </c>
      <c r="U790" s="2" t="inlineStr">
        <is>
          <t>Favor: CH, L, PCP, BE, PAN; Contra: PSD, IL, CDS-PP; Abstenção: PS</t>
        </is>
      </c>
      <c r="V790" s="3" t="n">
        <v>45981</v>
      </c>
      <c r="W790" s="2" t="inlineStr">
        <is>
          <t>AR: https://www.parlamento.pt/OrcamentoEstado/Paginas/DetalhePropostaAlteracao.aspx?BID=23962 PDF: https://app.parlamento.pt/webutils/docs/doc.pdf?path=6148523063484d364c793942556b356c6443397a6158526c63793959566b6c4a544556484c3039464c7a49774d6a59794d4449314d5441774f5339515153396d59324978595755324f5330354d6a5a6b4c5451304d4445744f444e6b5979316d4d6d4e6c4d5463314e4749314e3249756347526d&amp;Fich=fcb1ae69-926d-4401-83dc-f2ce1754b57b.pdf&amp;Inline=true</t>
        </is>
      </c>
      <c r="X790" s="2" t="inlineStr">
        <is>
          <t>Trabalho, Segurança Social e Inclusão</t>
        </is>
      </c>
      <c r="Y790" s="2" t="inlineStr">
        <is>
          <t>Articulado</t>
        </is>
      </c>
      <c r="Z790" s="2" t="inlineStr">
        <is>
          <t>Aditamento (Artigo PPL)</t>
        </is>
      </c>
      <c r="AA790" s="2" t="inlineStr">
        <is>
          <t>Rejeitado(a) em Comissão</t>
        </is>
      </c>
      <c r="AB790" s="2" t="inlineStr"/>
      <c r="AC790" s="2" t="inlineStr"/>
      <c r="AD790" s="2" t="inlineStr">
        <is>
          <t>1</t>
        </is>
      </c>
      <c r="AE790" s="2" t="inlineStr">
        <is>
          <t>23962</t>
        </is>
      </c>
      <c r="AF790" s="2" t="inlineStr">
        <is>
          <t>https://www.parlamento.pt/OrcamentoEstado/Paginas/DetalhePropostaAlteracao.aspx?BID=23962</t>
        </is>
      </c>
      <c r="AG790" s="2" t="inlineStr">
        <is>
          <t>https://app.parlamento.pt/webutils/docs/doc.pdf?path=6148523063484d364c793942556b356c6443397a6158526c63793959566b6c4a544556484c3039464c7a49774d6a59794d4449314d5441774f5339515153396d59324978595755324f5330354d6a5a6b4c5451304d4445744f444e6b5979316d4d6d4e6c4d5463314e4749314e3249756347526d&amp;Fich=fcb1ae69-926d-4401-83dc-f2ce1754b57b.pdf&amp;Inline=true</t>
        </is>
      </c>
      <c r="AH790" s="3" t="n">
        <v>46321.77847222222</v>
      </c>
      <c r="AI790" s="3" t="n">
        <v>46321.78055555555</v>
      </c>
      <c r="AJ790" s="2" t="inlineStr"/>
    </row>
    <row r="791">
      <c r="A791" s="2" t="n">
        <v>790</v>
      </c>
      <c r="B791" s="2" t="inlineStr">
        <is>
          <t>737C</t>
        </is>
      </c>
      <c r="C791" s="3" t="n">
        <v>45967.42916666667</v>
      </c>
      <c r="D791" s="2" t="inlineStr">
        <is>
          <t>Original</t>
        </is>
      </c>
      <c r="E791" s="2" t="inlineStr">
        <is>
          <t>BE</t>
        </is>
      </c>
      <c r="F791" s="2" t="inlineStr">
        <is>
          <t>Mariana Mortágua</t>
        </is>
      </c>
      <c r="G791" s="2" t="inlineStr">
        <is>
          <t>Art. 38.º-I (aditamento)</t>
        </is>
      </c>
      <c r="H791" s="2" t="n"/>
      <c r="I791" s="2" t="n"/>
      <c r="J791" s="2" t="n"/>
      <c r="K791" s="2" t="n"/>
      <c r="L791" s="2" t="inlineStr">
        <is>
          <t>Artigo 38.º-I (Revogação do fator de sustentabilidade e recálculo de pensões para eliminar os cortes em pensões de beneficiários com longas carreiras contributivas e profissões de desgaste rápido)</t>
        </is>
      </c>
      <c r="M791" s="4" t="n"/>
      <c r="N791" s="4" t="n"/>
      <c r="O791" s="2" t="n"/>
      <c r="P791" s="2" t="n"/>
      <c r="Q791" s="2" t="n"/>
      <c r="R791" s="2" t="n"/>
      <c r="S791" s="2" t="inlineStr">
        <is>
          <t>Rejeitado(a) em Comissão</t>
        </is>
      </c>
      <c r="T791" s="2" t="inlineStr">
        <is>
          <t>Rejeitada</t>
        </is>
      </c>
      <c r="U791" s="2" t="inlineStr">
        <is>
          <t>Favor: L, PCP, BE, PAN; Contra: PSD, PS, IL, CDS-PP; Abstenção: CH</t>
        </is>
      </c>
      <c r="V791" s="3" t="n">
        <v>45981</v>
      </c>
      <c r="W791" s="2" t="inlineStr">
        <is>
          <t>AR: https://www.parlamento.pt/OrcamentoEstado/Paginas/DetalhePropostaAlteracao.aspx?BID=23963 PDF: https://app.parlamento.pt/webutils/docs/doc.pdf?path=6148523063484d364c793942556b356c6443397a6158526c63793959566b6c4a544556484c3039464c7a49774d6a59794d4449314d5441774f5339515153387a4d574e6d5a544e69596930785a4751304c5451314d7a4574596d4a6d596930354d6a67304f4749784f4455774d5759756347526d&amp;Fich=31cfe3bb-1dd4-4531-bbfb-92848b18501f.pdf&amp;Inline=true</t>
        </is>
      </c>
      <c r="X791" s="2" t="inlineStr">
        <is>
          <t>Trabalho, Segurança Social e Inclusão</t>
        </is>
      </c>
      <c r="Y791" s="2" t="inlineStr">
        <is>
          <t>Articulado</t>
        </is>
      </c>
      <c r="Z791" s="2" t="inlineStr">
        <is>
          <t>Aditamento (Artigo PPL)</t>
        </is>
      </c>
      <c r="AA791" s="2" t="inlineStr">
        <is>
          <t>Rejeitado(a) em Comissão</t>
        </is>
      </c>
      <c r="AB791" s="2" t="inlineStr"/>
      <c r="AC791" s="2" t="inlineStr"/>
      <c r="AD791" s="2" t="inlineStr">
        <is>
          <t>1</t>
        </is>
      </c>
      <c r="AE791" s="2" t="inlineStr">
        <is>
          <t>23963</t>
        </is>
      </c>
      <c r="AF791" s="2" t="inlineStr">
        <is>
          <t>https://www.parlamento.pt/OrcamentoEstado/Paginas/DetalhePropostaAlteracao.aspx?BID=23963</t>
        </is>
      </c>
      <c r="AG791" s="2" t="inlineStr">
        <is>
          <t>https://app.parlamento.pt/webutils/docs/doc.pdf?path=6148523063484d364c793942556b356c6443397a6158526c63793959566b6c4a544556484c3039464c7a49774d6a59794d4449314d5441774f5339515153387a4d574e6d5a544e69596930785a4751304c5451314d7a4574596d4a6d596930354d6a67304f4749784f4455774d5759756347526d&amp;Fich=31cfe3bb-1dd4-4531-bbfb-92848b18501f.pdf&amp;Inline=true</t>
        </is>
      </c>
      <c r="AH791" s="3" t="n">
        <v>46321.77847222222</v>
      </c>
      <c r="AI791" s="3" t="n">
        <v>46321.78055555555</v>
      </c>
      <c r="AJ791" s="2" t="inlineStr"/>
    </row>
    <row r="792">
      <c r="A792" s="2" t="n">
        <v>791</v>
      </c>
      <c r="B792" s="2" t="inlineStr">
        <is>
          <t>738C</t>
        </is>
      </c>
      <c r="C792" s="3" t="n">
        <v>45967.43125</v>
      </c>
      <c r="D792" s="2" t="inlineStr">
        <is>
          <t>Original</t>
        </is>
      </c>
      <c r="E792" s="2" t="inlineStr">
        <is>
          <t>BE</t>
        </is>
      </c>
      <c r="F792" s="2" t="inlineStr">
        <is>
          <t>Mariana Mortágua</t>
        </is>
      </c>
      <c r="G792" s="2" t="inlineStr">
        <is>
          <t>Art. 38.º-L (aditamento)</t>
        </is>
      </c>
      <c r="H792" s="2" t="n"/>
      <c r="I792" s="2" t="n"/>
      <c r="J792" s="2" t="n"/>
      <c r="K792" s="2" t="n"/>
      <c r="L792" s="2" t="inlineStr">
        <is>
          <t>Artigo 38.º-L (Valores mínimos da Prestação Social para a Inclusão)</t>
        </is>
      </c>
      <c r="M792" s="4" t="n"/>
      <c r="N792" s="4" t="n"/>
      <c r="O792" s="2" t="n"/>
      <c r="P792" s="2" t="n"/>
      <c r="Q792" s="2" t="n"/>
      <c r="R792" s="2" t="n"/>
      <c r="S792" s="2" t="inlineStr">
        <is>
          <t>Rejeitado(a) em Comissão</t>
        </is>
      </c>
      <c r="T792" s="2" t="inlineStr">
        <is>
          <t>Rejeitada</t>
        </is>
      </c>
      <c r="U792" s="2" t="inlineStr">
        <is>
          <t>Favor: CH, L, PCP, BE, PAN; Contra: PSD, IL, CDS-PP; Abstenção: PS</t>
        </is>
      </c>
      <c r="V792" s="3" t="n">
        <v>45981</v>
      </c>
      <c r="W792" s="2" t="inlineStr">
        <is>
          <t>AR: https://www.parlamento.pt/OrcamentoEstado/Paginas/DetalhePropostaAlteracao.aspx?BID=23964 PDF: https://app.parlamento.pt/webutils/docs/doc.pdf?path=6148523063484d364c793942556b356c6443397a6158526c63793959566b6c4a544556484c3039464c7a49774d6a59794d4449314d5441774f533951515338774f44457a5a4467794f43316b4e6a41354c54517859574d744f5468684d7930784d7a4e6c5a6a637a596d55324d546b756347526d&amp;Fich=0813d828-d609-41ac-98a3-133ef73be619.pdf&amp;Inline=true</t>
        </is>
      </c>
      <c r="X792" s="2" t="inlineStr">
        <is>
          <t>Trabalho, Segurança Social e Inclusão</t>
        </is>
      </c>
      <c r="Y792" s="2" t="inlineStr">
        <is>
          <t>Articulado</t>
        </is>
      </c>
      <c r="Z792" s="2" t="inlineStr">
        <is>
          <t>Aditamento (Artigo PPL)</t>
        </is>
      </c>
      <c r="AA792" s="2" t="inlineStr">
        <is>
          <t>Rejeitado(a) em Comissão</t>
        </is>
      </c>
      <c r="AB792" s="2" t="inlineStr"/>
      <c r="AC792" s="2" t="inlineStr"/>
      <c r="AD792" s="2" t="inlineStr">
        <is>
          <t>1</t>
        </is>
      </c>
      <c r="AE792" s="2" t="inlineStr">
        <is>
          <t>23964</t>
        </is>
      </c>
      <c r="AF792" s="2" t="inlineStr">
        <is>
          <t>https://www.parlamento.pt/OrcamentoEstado/Paginas/DetalhePropostaAlteracao.aspx?BID=23964</t>
        </is>
      </c>
      <c r="AG792" s="2" t="inlineStr">
        <is>
          <t>https://app.parlamento.pt/webutils/docs/doc.pdf?path=6148523063484d364c793942556b356c6443397a6158526c63793959566b6c4a544556484c3039464c7a49774d6a59794d4449314d5441774f533951515338774f44457a5a4467794f43316b4e6a41354c54517859574d744f5468684d7930784d7a4e6c5a6a637a596d55324d546b756347526d&amp;Fich=0813d828-d609-41ac-98a3-133ef73be619.pdf&amp;Inline=true</t>
        </is>
      </c>
      <c r="AH792" s="3" t="n">
        <v>46321.77847222222</v>
      </c>
      <c r="AI792" s="3" t="n">
        <v>46321.78055555555</v>
      </c>
      <c r="AJ792" s="2" t="inlineStr"/>
    </row>
    <row r="793">
      <c r="A793" s="2" t="n">
        <v>792</v>
      </c>
      <c r="B793" s="2" t="inlineStr">
        <is>
          <t>739C</t>
        </is>
      </c>
      <c r="C793" s="3" t="n">
        <v>45967.43263888889</v>
      </c>
      <c r="D793" s="2" t="inlineStr">
        <is>
          <t>Original</t>
        </is>
      </c>
      <c r="E793" s="2" t="inlineStr">
        <is>
          <t>BE</t>
        </is>
      </c>
      <c r="F793" s="2" t="inlineStr">
        <is>
          <t>Mariana Mortágua</t>
        </is>
      </c>
      <c r="G793" s="2" t="inlineStr">
        <is>
          <t>Art. 18.º-B (aditamento)</t>
        </is>
      </c>
      <c r="H793" s="2" t="n"/>
      <c r="I793" s="2" t="n"/>
      <c r="J793" s="2" t="n"/>
      <c r="K793" s="2" t="n"/>
      <c r="L793" s="2" t="inlineStr">
        <is>
          <t>Artigo 18.º-B (Acumulação de pensões por incapacidade permanente)</t>
        </is>
      </c>
      <c r="M793" s="4" t="n"/>
      <c r="N793" s="4" t="n"/>
      <c r="O793" s="2" t="n"/>
      <c r="P793" s="2" t="n"/>
      <c r="Q793" s="2" t="n"/>
      <c r="R793" s="2" t="n"/>
      <c r="S793" s="2" t="inlineStr">
        <is>
          <t>Rejeitado(a) em Comissão</t>
        </is>
      </c>
      <c r="T793" s="2" t="inlineStr">
        <is>
          <t>Rejeitada</t>
        </is>
      </c>
      <c r="U793" s="2" t="inlineStr">
        <is>
          <t>Favor: L, PCP, BE, PAN; Contra: PSD, IL, CDS-PP; Abstenção: CH, PS</t>
        </is>
      </c>
      <c r="V793" s="3" t="n">
        <v>45981</v>
      </c>
      <c r="W793" s="2" t="inlineStr">
        <is>
          <t>AR: https://www.parlamento.pt/OrcamentoEstado/Paginas/DetalhePropostaAlteracao.aspx?BID=23965 PDF: https://app.parlamento.pt/webutils/docs/doc.pdf?path=6148523063484d364c793942556b356c6443397a6158526c63793959566b6c4a544556484c3039464c7a49774d6a59794d4449314d5441774f533951515338324e446b304d4442685a6930794e474a6b4c54526b5a5755744f4463324e5330775a544d77596a49304e5745774e324d756347526d&amp;Fich=649400af-24bd-4dee-8765-0e30b245a07c.pdf&amp;Inline=true</t>
        </is>
      </c>
      <c r="X793" s="2" t="inlineStr">
        <is>
          <t>Trabalho, Segurança Social e Inclusão</t>
        </is>
      </c>
      <c r="Y793" s="2" t="inlineStr">
        <is>
          <t>Articulado</t>
        </is>
      </c>
      <c r="Z793" s="2" t="inlineStr">
        <is>
          <t>Aditamento (Artigo PPL)</t>
        </is>
      </c>
      <c r="AA793" s="2" t="inlineStr">
        <is>
          <t>Rejeitado(a) em Comissão</t>
        </is>
      </c>
      <c r="AB793" s="2" t="inlineStr"/>
      <c r="AC793" s="2" t="inlineStr"/>
      <c r="AD793" s="2" t="inlineStr">
        <is>
          <t>1</t>
        </is>
      </c>
      <c r="AE793" s="2" t="inlineStr">
        <is>
          <t>23965</t>
        </is>
      </c>
      <c r="AF793" s="2" t="inlineStr">
        <is>
          <t>https://www.parlamento.pt/OrcamentoEstado/Paginas/DetalhePropostaAlteracao.aspx?BID=23965</t>
        </is>
      </c>
      <c r="AG793" s="2" t="inlineStr">
        <is>
          <t>https://app.parlamento.pt/webutils/docs/doc.pdf?path=6148523063484d364c793942556b356c6443397a6158526c63793959566b6c4a544556484c3039464c7a49774d6a59794d4449314d5441774f533951515338324e446b304d4442685a6930794e474a6b4c54526b5a5755744f4463324e5330775a544d77596a49304e5745774e324d756347526d&amp;Fich=649400af-24bd-4dee-8765-0e30b245a07c.pdf&amp;Inline=true</t>
        </is>
      </c>
      <c r="AH793" s="3" t="n">
        <v>46321.77847222222</v>
      </c>
      <c r="AI793" s="3" t="n">
        <v>46321.78055555555</v>
      </c>
      <c r="AJ793" s="2" t="inlineStr"/>
    </row>
    <row r="794">
      <c r="A794" s="2" t="n">
        <v>793</v>
      </c>
      <c r="B794" s="2" t="inlineStr">
        <is>
          <t>740C</t>
        </is>
      </c>
      <c r="C794" s="3" t="n">
        <v>45967.43402777778</v>
      </c>
      <c r="D794" s="2" t="inlineStr">
        <is>
          <t>Original</t>
        </is>
      </c>
      <c r="E794" s="2" t="inlineStr">
        <is>
          <t>BE</t>
        </is>
      </c>
      <c r="F794" s="2" t="inlineStr">
        <is>
          <t>Mariana Mortágua</t>
        </is>
      </c>
      <c r="G794" s="2" t="inlineStr">
        <is>
          <t>Art. 112.º-A (aditamento)</t>
        </is>
      </c>
      <c r="H794" s="2" t="n"/>
      <c r="I794" s="2" t="n"/>
      <c r="J794" s="2" t="n"/>
      <c r="K794" s="2" t="n"/>
      <c r="L794" s="2" t="inlineStr">
        <is>
          <t>Artigo 112.º-A (Medidas de proteção e de reconhecimento aos ex-trabalhadores da Mina da Urgeiriça e aos seus familiares)</t>
        </is>
      </c>
      <c r="M794" s="4" t="n"/>
      <c r="N794" s="4" t="n"/>
      <c r="O794" s="2" t="n"/>
      <c r="P794" s="2" t="n"/>
      <c r="Q794" s="2" t="n"/>
      <c r="R794" s="2" t="n"/>
      <c r="S794" s="2" t="inlineStr">
        <is>
          <t>Rejeitado(a) em Comissão</t>
        </is>
      </c>
      <c r="T794" s="2" t="inlineStr">
        <is>
          <t>Rejeitada</t>
        </is>
      </c>
      <c r="U794" s="2" t="inlineStr">
        <is>
          <t>Favor: CH, IL, L, PCP, BE, PAN; Contra: PSD, CDS-PP; Abstenção: PS</t>
        </is>
      </c>
      <c r="V794" s="3" t="n">
        <v>45982</v>
      </c>
      <c r="W794" s="2" t="inlineStr">
        <is>
          <t>AR: https://www.parlamento.pt/OrcamentoEstado/Paginas/DetalhePropostaAlteracao.aspx?BID=23966 PDF: https://app.parlamento.pt/webutils/docs/doc.pdf?path=6148523063484d364c793942556b356c6443397a6158526c63793959566b6c4a544556484c3039464c7a49774d6a59794d4449314d5441774f533951515338344e446b774f4755344d433035596d45344c545134596d51744f54497a4d6930335a544177595451794e6a4d794f4449756347526d&amp;Fich=84908e80-9ba8-48bd-9232-7e00a4263282.pdf&amp;Inline=true</t>
        </is>
      </c>
      <c r="X794" s="2" t="inlineStr">
        <is>
          <t>Ambiente e Energia</t>
        </is>
      </c>
      <c r="Y794" s="2" t="inlineStr">
        <is>
          <t>Articulado</t>
        </is>
      </c>
      <c r="Z794" s="2" t="inlineStr">
        <is>
          <t>Aditamento (Artigo PPL)</t>
        </is>
      </c>
      <c r="AA794" s="2" t="inlineStr">
        <is>
          <t>Rejeitado(a) em Comissão</t>
        </is>
      </c>
      <c r="AB794" s="2" t="inlineStr"/>
      <c r="AC794" s="2" t="inlineStr"/>
      <c r="AD794" s="2" t="inlineStr">
        <is>
          <t>1</t>
        </is>
      </c>
      <c r="AE794" s="2" t="inlineStr">
        <is>
          <t>23966</t>
        </is>
      </c>
      <c r="AF794" s="2" t="inlineStr">
        <is>
          <t>https://www.parlamento.pt/OrcamentoEstado/Paginas/DetalhePropostaAlteracao.aspx?BID=23966</t>
        </is>
      </c>
      <c r="AG794" s="2" t="inlineStr">
        <is>
          <t>https://app.parlamento.pt/webutils/docs/doc.pdf?path=6148523063484d364c793942556b356c6443397a6158526c63793959566b6c4a544556484c3039464c7a49774d6a59794d4449314d5441774f533951515338344e446b774f4755344d433035596d45344c545134596d51744f54497a4d6930335a544177595451794e6a4d794f4449756347526d&amp;Fich=84908e80-9ba8-48bd-9232-7e00a4263282.pdf&amp;Inline=true</t>
        </is>
      </c>
      <c r="AH794" s="3" t="n">
        <v>46321.77847222222</v>
      </c>
      <c r="AI794" s="3" t="n">
        <v>46321.78055555555</v>
      </c>
      <c r="AJ794" s="2" t="inlineStr"/>
    </row>
    <row r="795">
      <c r="A795" s="2" t="n">
        <v>794</v>
      </c>
      <c r="B795" s="2" t="inlineStr">
        <is>
          <t>741C</t>
        </is>
      </c>
      <c r="C795" s="3" t="n">
        <v>45967.43611111111</v>
      </c>
      <c r="D795" s="2" t="inlineStr">
        <is>
          <t>Original</t>
        </is>
      </c>
      <c r="E795" s="2" t="inlineStr">
        <is>
          <t>BE</t>
        </is>
      </c>
      <c r="F795" s="2" t="inlineStr">
        <is>
          <t>Mariana Mortágua</t>
        </is>
      </c>
      <c r="G795" s="2" t="inlineStr">
        <is>
          <t>Art. 60.º (aditamento)</t>
        </is>
      </c>
      <c r="H795" s="2" t="n"/>
      <c r="I795" s="2" t="n"/>
      <c r="J795" s="2" t="n"/>
      <c r="K795" s="2" t="n"/>
      <c r="L795" s="2" t="inlineStr">
        <is>
          <t>Novo N.º 6, artigo 13.º do Código do IRS</t>
        </is>
      </c>
      <c r="M795" s="4" t="n"/>
      <c r="N795" s="4" t="n"/>
      <c r="O795" s="2" t="n"/>
      <c r="P795" s="2" t="n"/>
      <c r="Q795" s="2" t="n"/>
      <c r="R795" s="2" t="n"/>
      <c r="S795" s="2" t="inlineStr">
        <is>
          <t>Rejeitado(a) em Comissão</t>
        </is>
      </c>
      <c r="T795" s="2" t="inlineStr">
        <is>
          <t>Rejeitada</t>
        </is>
      </c>
      <c r="U795" s="2" t="inlineStr">
        <is>
          <t>Favor: CH, IL, L, PCP, BE, PAN; Contra: PSD, CDS-PP; Abstenção: PS</t>
        </is>
      </c>
      <c r="V795" s="3" t="n">
        <v>45981</v>
      </c>
      <c r="W795" s="2" t="inlineStr">
        <is>
          <t>AR: https://www.parlamento.pt/OrcamentoEstado/Paginas/DetalhePropostaAlteracao.aspx?BID=23967 PDF: https://app.parlamento.pt/webutils/docs/doc.pdf?path=6148523063484d364c793942556b356c6443397a6158526c63793959566b6c4a544556484c3039464c7a49774d6a59794d4449314d5441774f533951515338304e4759334d5745324f43307a5a54466b4c54526a4e474d744f444e694e433032597a6b784d32526c597a526a595445756347526d&amp;Fich=44f71a68-3e1d-4c4c-83b4-6c913dec4ca1.pdf&amp;Inline=true</t>
        </is>
      </c>
      <c r="X795" s="2" t="inlineStr">
        <is>
          <t>Orçamento, Finanças e Administração Pública</t>
        </is>
      </c>
      <c r="Y795" s="2" t="inlineStr">
        <is>
          <t>Articulado</t>
        </is>
      </c>
      <c r="Z795" s="2" t="inlineStr">
        <is>
          <t>Aditamento (Números e Alíneas)</t>
        </is>
      </c>
      <c r="AA795" s="2" t="inlineStr">
        <is>
          <t>Rejeitado(a) em Comissão</t>
        </is>
      </c>
      <c r="AB795" s="2" t="inlineStr"/>
      <c r="AC795" s="2" t="inlineStr"/>
      <c r="AD795" s="2" t="inlineStr">
        <is>
          <t>1</t>
        </is>
      </c>
      <c r="AE795" s="2" t="inlineStr">
        <is>
          <t>23967</t>
        </is>
      </c>
      <c r="AF795" s="2" t="inlineStr">
        <is>
          <t>https://www.parlamento.pt/OrcamentoEstado/Paginas/DetalhePropostaAlteracao.aspx?BID=23967</t>
        </is>
      </c>
      <c r="AG795" s="2" t="inlineStr">
        <is>
          <t>https://app.parlamento.pt/webutils/docs/doc.pdf?path=6148523063484d364c793942556b356c6443397a6158526c63793959566b6c4a544556484c3039464c7a49774d6a59794d4449314d5441774f533951515338304e4759334d5745324f43307a5a54466b4c54526a4e474d744f444e694e433032597a6b784d32526c597a526a595445756347526d&amp;Fich=44f71a68-3e1d-4c4c-83b4-6c913dec4ca1.pdf&amp;Inline=true</t>
        </is>
      </c>
      <c r="AH795" s="3" t="n">
        <v>46321.77847222222</v>
      </c>
      <c r="AI795" s="3" t="n">
        <v>46321.78055555555</v>
      </c>
      <c r="AJ795" s="2" t="inlineStr"/>
    </row>
    <row r="796">
      <c r="A796" s="2" t="n">
        <v>795</v>
      </c>
      <c r="B796" s="2" t="inlineStr">
        <is>
          <t>742C</t>
        </is>
      </c>
      <c r="C796" s="3" t="n">
        <v>45967.43680555555</v>
      </c>
      <c r="D796" s="2" t="inlineStr">
        <is>
          <t>Original</t>
        </is>
      </c>
      <c r="E796" s="2" t="inlineStr">
        <is>
          <t>BE</t>
        </is>
      </c>
      <c r="F796" s="2" t="inlineStr">
        <is>
          <t>Mariana Mortágua</t>
        </is>
      </c>
      <c r="G796" s="2" t="inlineStr">
        <is>
          <t>Art. 20.º-A (aditamento)</t>
        </is>
      </c>
      <c r="H796" s="2" t="n"/>
      <c r="I796" s="2" t="n"/>
      <c r="J796" s="2" t="n"/>
      <c r="K796" s="2" t="n"/>
      <c r="L796" s="2" t="inlineStr">
        <is>
          <t>Artigo 20.º-A (Alteração à Lei Geral do Trabalho em Funções Públicas)</t>
        </is>
      </c>
      <c r="M796" s="4" t="n"/>
      <c r="N796" s="4" t="n"/>
      <c r="O796" s="2" t="n"/>
      <c r="P796" s="2" t="n"/>
      <c r="Q796" s="2" t="n"/>
      <c r="R796" s="2" t="n"/>
      <c r="S796" s="2" t="inlineStr">
        <is>
          <t>Rejeitado(a) em Comissão</t>
        </is>
      </c>
      <c r="T796" s="2" t="inlineStr">
        <is>
          <t>Rejeitada</t>
        </is>
      </c>
      <c r="U796" s="2" t="inlineStr">
        <is>
          <t>Favor: L, PCP, BE, PAN; Contra: PSD, IL, CDS-PP; Abstenção: CH, PS</t>
        </is>
      </c>
      <c r="V796" s="3" t="n">
        <v>45981</v>
      </c>
      <c r="W796" s="2" t="inlineStr">
        <is>
          <t>AR: https://www.parlamento.pt/OrcamentoEstado/Paginas/DetalhePropostaAlteracao.aspx?BID=23968 PDF: https://app.parlamento.pt/webutils/docs/doc.pdf?path=6148523063484d364c793942556b356c6443397a6158526c63793959566b6c4a544556484c3039464c7a49774d6a59794d4449314d5441774f533951515338335a6d566b4f545535595330344e446b304c54526b4e3251744f545a6d5969316b4e54466d4d47597959544d325a4745756347526d&amp;Fich=7fed959a-8494-4d7d-96fb-d51f0f2a36da.pdf&amp;Inline=true</t>
        </is>
      </c>
      <c r="X796" s="2" t="inlineStr">
        <is>
          <t>Trabalho, Segurança Social e Inclusão</t>
        </is>
      </c>
      <c r="Y796" s="2" t="inlineStr">
        <is>
          <t>Articulado</t>
        </is>
      </c>
      <c r="Z796" s="2" t="inlineStr">
        <is>
          <t>Aditamento (Artigo PPL)</t>
        </is>
      </c>
      <c r="AA796" s="2" t="inlineStr">
        <is>
          <t>Rejeitado(a) em Comissão</t>
        </is>
      </c>
      <c r="AB796" s="2" t="inlineStr"/>
      <c r="AC796" s="2" t="inlineStr"/>
      <c r="AD796" s="2" t="inlineStr">
        <is>
          <t>1</t>
        </is>
      </c>
      <c r="AE796" s="2" t="inlineStr">
        <is>
          <t>23968</t>
        </is>
      </c>
      <c r="AF796" s="2" t="inlineStr">
        <is>
          <t>https://www.parlamento.pt/OrcamentoEstado/Paginas/DetalhePropostaAlteracao.aspx?BID=23968</t>
        </is>
      </c>
      <c r="AG796" s="2" t="inlineStr">
        <is>
          <t>https://app.parlamento.pt/webutils/docs/doc.pdf?path=6148523063484d364c793942556b356c6443397a6158526c63793959566b6c4a544556484c3039464c7a49774d6a59794d4449314d5441774f533951515338335a6d566b4f545535595330344e446b304c54526b4e3251744f545a6d5969316b4e54466d4d47597959544d325a4745756347526d&amp;Fich=7fed959a-8494-4d7d-96fb-d51f0f2a36da.pdf&amp;Inline=true</t>
        </is>
      </c>
      <c r="AH796" s="3" t="n">
        <v>46321.77847222222</v>
      </c>
      <c r="AI796" s="3" t="n">
        <v>46321.78055555555</v>
      </c>
      <c r="AJ796" s="2" t="inlineStr"/>
    </row>
    <row r="797">
      <c r="A797" s="2" t="n">
        <v>796</v>
      </c>
      <c r="B797" s="2" t="inlineStr">
        <is>
          <t>743C</t>
        </is>
      </c>
      <c r="C797" s="3" t="n">
        <v>45967.43819444445</v>
      </c>
      <c r="D797" s="2" t="inlineStr">
        <is>
          <t>Original</t>
        </is>
      </c>
      <c r="E797" s="2" t="inlineStr">
        <is>
          <t>BE</t>
        </is>
      </c>
      <c r="F797" s="2" t="inlineStr">
        <is>
          <t>Mariana Mortágua</t>
        </is>
      </c>
      <c r="G797" s="2" t="inlineStr">
        <is>
          <t>Art. 112.º-A (aditamento)</t>
        </is>
      </c>
      <c r="H797" s="2" t="n"/>
      <c r="I797" s="2" t="n"/>
      <c r="J797" s="2" t="n"/>
      <c r="K797" s="2" t="n"/>
      <c r="L797" s="2" t="inlineStr">
        <is>
          <t>Artigo 112.º-A (Alteração ao Código do Trabalho)</t>
        </is>
      </c>
      <c r="M797" s="4" t="n"/>
      <c r="N797" s="4" t="n"/>
      <c r="O797" s="2" t="n"/>
      <c r="P797" s="2" t="n"/>
      <c r="Q797" s="2" t="n"/>
      <c r="R797" s="2" t="n"/>
      <c r="S797" s="2" t="inlineStr">
        <is>
          <t>Rejeitado(a) em Comissão</t>
        </is>
      </c>
      <c r="T797" s="2" t="inlineStr">
        <is>
          <t>Rejeitada</t>
        </is>
      </c>
      <c r="U797" s="2" t="inlineStr">
        <is>
          <t>Favor: L, PCP, BE, PAN; Contra: PSD, IL, CDS-PP; Abstenção: CH, PS</t>
        </is>
      </c>
      <c r="V797" s="3" t="n">
        <v>45982</v>
      </c>
      <c r="W797" s="2" t="inlineStr">
        <is>
          <t>AR: https://www.parlamento.pt/OrcamentoEstado/Paginas/DetalhePropostaAlteracao.aspx?BID=23969 PDF: https://app.parlamento.pt/webutils/docs/doc.pdf?path=6148523063484d364c793942556b356c6443397a6158526c63793959566b6c4a544556484c3039464c7a49774d6a59794d4449314d5441774f533951515338304f5756684e6a4e6b595330784d5759314c5451304e324d744f574a6d5a4330334f4455325a6d5a695a4745774f4441756347526d&amp;Fich=49ea63da-11f5-447c-9bfd-7856ffbda080.pdf&amp;Inline=true</t>
        </is>
      </c>
      <c r="X797" s="2" t="inlineStr">
        <is>
          <t>Trabalho, Segurança Social e Inclusão</t>
        </is>
      </c>
      <c r="Y797" s="2" t="inlineStr">
        <is>
          <t>Articulado</t>
        </is>
      </c>
      <c r="Z797" s="2" t="inlineStr">
        <is>
          <t>Aditamento (Artigo PPL)</t>
        </is>
      </c>
      <c r="AA797" s="2" t="inlineStr">
        <is>
          <t>Rejeitado(a) em Comissão</t>
        </is>
      </c>
      <c r="AB797" s="2" t="inlineStr"/>
      <c r="AC797" s="2" t="inlineStr"/>
      <c r="AD797" s="2" t="inlineStr">
        <is>
          <t>1</t>
        </is>
      </c>
      <c r="AE797" s="2" t="inlineStr">
        <is>
          <t>23969</t>
        </is>
      </c>
      <c r="AF797" s="2" t="inlineStr">
        <is>
          <t>https://www.parlamento.pt/OrcamentoEstado/Paginas/DetalhePropostaAlteracao.aspx?BID=23969</t>
        </is>
      </c>
      <c r="AG797" s="2" t="inlineStr">
        <is>
          <t>https://app.parlamento.pt/webutils/docs/doc.pdf?path=6148523063484d364c793942556b356c6443397a6158526c63793959566b6c4a544556484c3039464c7a49774d6a59794d4449314d5441774f533951515338304f5756684e6a4e6b595330784d5759314c5451304e324d744f574a6d5a4330334f4455325a6d5a695a4745774f4441756347526d&amp;Fich=49ea63da-11f5-447c-9bfd-7856ffbda080.pdf&amp;Inline=true</t>
        </is>
      </c>
      <c r="AH797" s="3" t="n">
        <v>46321.77847222222</v>
      </c>
      <c r="AI797" s="3" t="n">
        <v>46321.78055555555</v>
      </c>
      <c r="AJ797" s="2" t="inlineStr"/>
    </row>
    <row r="798">
      <c r="A798" s="2" t="n">
        <v>797</v>
      </c>
      <c r="B798" s="2" t="inlineStr">
        <is>
          <t>744C</t>
        </is>
      </c>
      <c r="C798" s="3" t="n">
        <v>45967.43888888889</v>
      </c>
      <c r="D798" s="2" t="inlineStr">
        <is>
          <t>Original</t>
        </is>
      </c>
      <c r="E798" s="2" t="inlineStr">
        <is>
          <t>BE</t>
        </is>
      </c>
      <c r="F798" s="2" t="inlineStr">
        <is>
          <t>Mariana Mortágua</t>
        </is>
      </c>
      <c r="G798" s="2" t="inlineStr">
        <is>
          <t>Art. 38.º-P (aditamento)</t>
        </is>
      </c>
      <c r="H798" s="2" t="n"/>
      <c r="I798" s="2" t="n"/>
      <c r="J798" s="2" t="n"/>
      <c r="K798" s="2" t="n"/>
      <c r="L798" s="2" t="inlineStr">
        <is>
          <t>Artigo 38.º-P (Alteração à Lei n.º 5/2022, de 07 de janeiro)</t>
        </is>
      </c>
      <c r="M798" s="4" t="n"/>
      <c r="N798" s="4" t="n"/>
      <c r="O798" s="2" t="n"/>
      <c r="P798" s="2" t="n"/>
      <c r="Q798" s="2" t="n"/>
      <c r="R798" s="2" t="n"/>
      <c r="S798" s="2" t="inlineStr">
        <is>
          <t>Rejeitado(a) em Comissão</t>
        </is>
      </c>
      <c r="T798" s="2" t="inlineStr">
        <is>
          <t>Rejeitada</t>
        </is>
      </c>
      <c r="U798" s="2" t="inlineStr">
        <is>
          <t>Favor: CH, L, PCP, BE, PAN; Contra: PSD, IL, CDS-PP; Abstenção: PS</t>
        </is>
      </c>
      <c r="V798" s="3" t="n">
        <v>45981</v>
      </c>
      <c r="W798" s="2" t="inlineStr">
        <is>
          <t>AR: https://www.parlamento.pt/OrcamentoEstado/Paginas/DetalhePropostaAlteracao.aspx?BID=23970 PDF: https://app.parlamento.pt/webutils/docs/doc.pdf?path=6148523063484d364c793942556b356c6443397a6158526c63793959566b6c4a544556484c3039464c7a49774d6a59794d4449314d5441774f533951515338334e32497a4d7a41325a693032596a557a4c54526b4e6a55744f54677a5a53316c5a6d526c4f445977595451794e446b756347526d&amp;Fich=77b3306f-6b53-4d65-983e-efde860a4249.pdf&amp;Inline=true</t>
        </is>
      </c>
      <c r="X798" s="2" t="inlineStr">
        <is>
          <t>Trabalho, Segurança Social e Inclusão</t>
        </is>
      </c>
      <c r="Y798" s="2" t="inlineStr">
        <is>
          <t>Articulado</t>
        </is>
      </c>
      <c r="Z798" s="2" t="inlineStr">
        <is>
          <t>Aditamento (Artigo PPL)</t>
        </is>
      </c>
      <c r="AA798" s="2" t="inlineStr">
        <is>
          <t>Rejeitado(a) em Comissão</t>
        </is>
      </c>
      <c r="AB798" s="2" t="inlineStr"/>
      <c r="AC798" s="2" t="inlineStr"/>
      <c r="AD798" s="2" t="inlineStr">
        <is>
          <t>1</t>
        </is>
      </c>
      <c r="AE798" s="2" t="inlineStr">
        <is>
          <t>23970</t>
        </is>
      </c>
      <c r="AF798" s="2" t="inlineStr">
        <is>
          <t>https://www.parlamento.pt/OrcamentoEstado/Paginas/DetalhePropostaAlteracao.aspx?BID=23970</t>
        </is>
      </c>
      <c r="AG798" s="2" t="inlineStr">
        <is>
          <t>https://app.parlamento.pt/webutils/docs/doc.pdf?path=6148523063484d364c793942556b356c6443397a6158526c63793959566b6c4a544556484c3039464c7a49774d6a59794d4449314d5441774f533951515338334e32497a4d7a41325a693032596a557a4c54526b4e6a55744f54677a5a53316c5a6d526c4f445977595451794e446b756347526d&amp;Fich=77b3306f-6b53-4d65-983e-efde860a4249.pdf&amp;Inline=true</t>
        </is>
      </c>
      <c r="AH798" s="3" t="n">
        <v>46321.77847222222</v>
      </c>
      <c r="AI798" s="3" t="n">
        <v>46321.78055555555</v>
      </c>
      <c r="AJ798" s="2" t="inlineStr"/>
    </row>
    <row r="799">
      <c r="A799" s="2" t="n">
        <v>798</v>
      </c>
      <c r="B799" s="2" t="inlineStr">
        <is>
          <t>745C</t>
        </is>
      </c>
      <c r="C799" s="3" t="n">
        <v>45967.44097222222</v>
      </c>
      <c r="D799" s="2" t="inlineStr">
        <is>
          <t>Original</t>
        </is>
      </c>
      <c r="E799" s="2" t="inlineStr">
        <is>
          <t>BE</t>
        </is>
      </c>
      <c r="F799" s="2" t="inlineStr">
        <is>
          <t>Mariana Mortágua</t>
        </is>
      </c>
      <c r="G799" s="2" t="inlineStr">
        <is>
          <t>Art. 38.º-A (aditamento)</t>
        </is>
      </c>
      <c r="H799" s="2" t="n"/>
      <c r="I799" s="2" t="n"/>
      <c r="J799" s="2" t="n"/>
      <c r="K799" s="2" t="n"/>
      <c r="L799" s="2" t="inlineStr">
        <is>
          <t>Artigo 38.º-A (Mecanismo extraordinário de garantia de proteção social a trabalhadores do Ministério dos Negócios Estrangeiros)</t>
        </is>
      </c>
      <c r="M799" s="4" t="n"/>
      <c r="N799" s="4" t="n"/>
      <c r="O799" s="2" t="n"/>
      <c r="P799" s="2" t="n"/>
      <c r="Q799" s="2" t="n"/>
      <c r="R799" s="2" t="n"/>
      <c r="S799" s="2" t="inlineStr">
        <is>
          <t>Rejeitado(a) em Comissão</t>
        </is>
      </c>
      <c r="T799" s="2" t="inlineStr">
        <is>
          <t>Rejeitada</t>
        </is>
      </c>
      <c r="U799" s="2" t="inlineStr">
        <is>
          <t>Favor: CH, L, PCP, BE, PAN; Contra: PSD, CDS-PP; Abstenção: PS, IL</t>
        </is>
      </c>
      <c r="V799" s="3" t="n">
        <v>45981</v>
      </c>
      <c r="W799" s="2" t="inlineStr">
        <is>
          <t>AR: https://www.parlamento.pt/OrcamentoEstado/Paginas/DetalhePropostaAlteracao.aspx?BID=23971 PDF: https://app.parlamento.pt/webutils/docs/doc.pdf?path=6148523063484d364c793942556b356c6443397a6158526c63793959566b6c4a544556484c3039464c7a49774d6a59794d4449314d5441774f5339515153387a4f446c6c4e4755784e79316d5a4451774c54517a4d7a4d74595467314f53316c4f5446684e5467774e574e6d5a4467756347526d&amp;Fich=389e4e17-fd40-4333-a859-e91a5805cfd8.pdf&amp;Inline=true</t>
        </is>
      </c>
      <c r="X799" s="2" t="inlineStr">
        <is>
          <t>Negócios Estrangeiros e Comunidades Portuguesas</t>
        </is>
      </c>
      <c r="Y799" s="2" t="inlineStr">
        <is>
          <t>Articulado</t>
        </is>
      </c>
      <c r="Z799" s="2" t="inlineStr">
        <is>
          <t>Aditamento (Artigo PPL)</t>
        </is>
      </c>
      <c r="AA799" s="2" t="inlineStr">
        <is>
          <t>Rejeitado(a) em Comissão</t>
        </is>
      </c>
      <c r="AB799" s="2" t="inlineStr"/>
      <c r="AC799" s="2" t="inlineStr"/>
      <c r="AD799" s="2" t="inlineStr">
        <is>
          <t>1</t>
        </is>
      </c>
      <c r="AE799" s="2" t="inlineStr">
        <is>
          <t>23971</t>
        </is>
      </c>
      <c r="AF799" s="2" t="inlineStr">
        <is>
          <t>https://www.parlamento.pt/OrcamentoEstado/Paginas/DetalhePropostaAlteracao.aspx?BID=23971</t>
        </is>
      </c>
      <c r="AG799" s="2" t="inlineStr">
        <is>
          <t>https://app.parlamento.pt/webutils/docs/doc.pdf?path=6148523063484d364c793942556b356c6443397a6158526c63793959566b6c4a544556484c3039464c7a49774d6a59794d4449314d5441774f5339515153387a4f446c6c4e4755784e79316d5a4451774c54517a4d7a4d74595467314f53316c4f5446684e5467774e574e6d5a4467756347526d&amp;Fich=389e4e17-fd40-4333-a859-e91a5805cfd8.pdf&amp;Inline=true</t>
        </is>
      </c>
      <c r="AH799" s="3" t="n">
        <v>46321.77847222222</v>
      </c>
      <c r="AI799" s="3" t="n">
        <v>46321.78055555555</v>
      </c>
      <c r="AJ799" s="2" t="inlineStr"/>
    </row>
    <row r="800">
      <c r="A800" s="2" t="n">
        <v>799</v>
      </c>
      <c r="B800" s="2" t="inlineStr">
        <is>
          <t>746C</t>
        </is>
      </c>
      <c r="C800" s="3" t="n">
        <v>45967.44236111111</v>
      </c>
      <c r="D800" s="2" t="inlineStr">
        <is>
          <t>Original</t>
        </is>
      </c>
      <c r="E800" s="2" t="inlineStr">
        <is>
          <t>IL</t>
        </is>
      </c>
      <c r="F800" s="2" t="inlineStr">
        <is>
          <t>Angélique Da Teresa; Carlos Guimarães Pinto; Joana Cordeiro; Jorge Miguel Teixeira; Mariana Leitão; Mário Amorim Lopes; Miguel Rangel; Rodrigo Saraiva; Rui Rocha</t>
        </is>
      </c>
      <c r="G800" s="2" t="inlineStr">
        <is>
          <t>Art. 60.º (substituição)</t>
        </is>
      </c>
      <c r="H800" s="2" t="n"/>
      <c r="I800" s="2" t="n"/>
      <c r="J800" s="2" t="n"/>
      <c r="K800" s="2" t="n"/>
      <c r="L800" s="2" t="inlineStr">
        <is>
          <t>Ponto 7, Alínea b), N.º 3, Artigo 2.º do Código do IRS</t>
        </is>
      </c>
      <c r="M800" s="4" t="n"/>
      <c r="N800" s="4" t="n"/>
      <c r="O800" s="2" t="n"/>
      <c r="P800" s="2" t="n"/>
      <c r="Q800" s="2" t="n"/>
      <c r="R800" s="2" t="n"/>
      <c r="S800" s="2" t="inlineStr">
        <is>
          <t>Rejeitado(a) em Comissão</t>
        </is>
      </c>
      <c r="T800" s="2" t="inlineStr">
        <is>
          <t>Rejeitada</t>
        </is>
      </c>
      <c r="U800" s="2" t="inlineStr">
        <is>
          <t>Favor: CH, IL, PAN; Contra: PSD, PS, L, PCP, CDS-PP, BE</t>
        </is>
      </c>
      <c r="V800" s="3" t="n">
        <v>45981</v>
      </c>
      <c r="W800" s="2" t="inlineStr">
        <is>
          <t>AR: https://www.parlamento.pt/OrcamentoEstado/Paginas/DetalhePropostaAlteracao.aspx?BID=23972 PDF: https://app.parlamento.pt/webutils/docs/doc.pdf?path=6148523063484d364c793942556b356c6443397a6158526c63793959566b6c4a544556484c3039464c7a49774d6a59794d4449314d5441774f533951515338334e5467324e3255324d4331695a44686b4c545268596a63745954686d4d6931694d546b324e324d324e444d334d5449756347526d&amp;Fich=75867e60-bd8d-4ab7-a8f2-b1967c643712.pdf&amp;Inline=true</t>
        </is>
      </c>
      <c r="X800" s="2" t="inlineStr">
        <is>
          <t>Orçamento, Finanças e Administração Pública</t>
        </is>
      </c>
      <c r="Y800" s="2" t="inlineStr">
        <is>
          <t>Articulado</t>
        </is>
      </c>
      <c r="Z800" s="2" t="inlineStr">
        <is>
          <t>Substituição</t>
        </is>
      </c>
      <c r="AA800" s="2" t="inlineStr">
        <is>
          <t>Rejeitado(a) em Comissão</t>
        </is>
      </c>
      <c r="AB800" s="2" t="inlineStr"/>
      <c r="AC800" s="2" t="inlineStr"/>
      <c r="AD800" s="2" t="inlineStr">
        <is>
          <t>1</t>
        </is>
      </c>
      <c r="AE800" s="2" t="inlineStr">
        <is>
          <t>23972</t>
        </is>
      </c>
      <c r="AF800" s="2" t="inlineStr">
        <is>
          <t>https://www.parlamento.pt/OrcamentoEstado/Paginas/DetalhePropostaAlteracao.aspx?BID=23972</t>
        </is>
      </c>
      <c r="AG800" s="2" t="inlineStr">
        <is>
          <t>https://app.parlamento.pt/webutils/docs/doc.pdf?path=6148523063484d364c793942556b356c6443397a6158526c63793959566b6c4a544556484c3039464c7a49774d6a59794d4449314d5441774f533951515338334e5467324e3255324d4331695a44686b4c545268596a63745954686d4d6931694d546b324e324d324e444d334d5449756347526d&amp;Fich=75867e60-bd8d-4ab7-a8f2-b1967c643712.pdf&amp;Inline=true</t>
        </is>
      </c>
      <c r="AH800" s="3" t="n">
        <v>46321.77847222222</v>
      </c>
      <c r="AI800" s="3" t="n">
        <v>46321.78055555555</v>
      </c>
      <c r="AJ800" s="2" t="inlineStr"/>
    </row>
    <row r="801">
      <c r="A801" s="2" t="n">
        <v>800</v>
      </c>
      <c r="B801" s="2" t="inlineStr">
        <is>
          <t>747C</t>
        </is>
      </c>
      <c r="C801" s="3" t="n">
        <v>45967.44236111111</v>
      </c>
      <c r="D801" s="2" t="inlineStr">
        <is>
          <t>Original</t>
        </is>
      </c>
      <c r="E801" s="2" t="inlineStr">
        <is>
          <t>BE</t>
        </is>
      </c>
      <c r="F801" s="2" t="inlineStr">
        <is>
          <t>Mariana Mortágua</t>
        </is>
      </c>
      <c r="G801" s="2" t="inlineStr">
        <is>
          <t>Art. 110.º-A (aditamento)</t>
        </is>
      </c>
      <c r="H801" s="2" t="n"/>
      <c r="I801" s="2" t="n"/>
      <c r="J801" s="2" t="n"/>
      <c r="K801" s="2" t="n"/>
      <c r="L801" s="2" t="inlineStr">
        <is>
          <t>Artigo 110.º-A (Alteração à Lei n.º 32/96, de 16 de agosto)</t>
        </is>
      </c>
      <c r="M801" s="4" t="n"/>
      <c r="N801" s="4" t="n"/>
      <c r="O801" s="2" t="n"/>
      <c r="P801" s="2" t="n"/>
      <c r="Q801" s="2" t="n"/>
      <c r="R801" s="2" t="n"/>
      <c r="S801" s="2" t="inlineStr">
        <is>
          <t>Rejeitado(a) em Comissão</t>
        </is>
      </c>
      <c r="T801" s="2" t="inlineStr">
        <is>
          <t>Rejeitada</t>
        </is>
      </c>
      <c r="U801" s="2" t="inlineStr">
        <is>
          <t>Favor: L, PCP, BE, PAN; Contra: PSD, CH, PS, CDS-PP; Abstenção: IL</t>
        </is>
      </c>
      <c r="V801" s="3" t="n">
        <v>45982</v>
      </c>
      <c r="W801" s="2" t="inlineStr">
        <is>
          <t>AR: https://www.parlamento.pt/OrcamentoEstado/Paginas/DetalhePropostaAlteracao.aspx?BID=23973 PDF: https://app.parlamento.pt/webutils/docs/doc.pdf?path=6148523063484d364c793942556b356c6443397a6158526c63793959566b6c4a544556484c3039464c7a49774d6a59794d4449314d5441774f533951515338344d6d55314d7a51344e43316a4d44646c4c5451354d546774596a646a4d79316c4d6a597a4d44566c4d444a69597a55756347526d&amp;Fich=82e53484-c07e-4918-b7c3-e26305e02bc5.pdf&amp;Inline=true</t>
        </is>
      </c>
      <c r="X801" s="2" t="inlineStr">
        <is>
          <t>Trabalho, Segurança Social e Inclusão</t>
        </is>
      </c>
      <c r="Y801" s="2" t="inlineStr">
        <is>
          <t>Articulado</t>
        </is>
      </c>
      <c r="Z801" s="2" t="inlineStr">
        <is>
          <t>Aditamento (Artigo PPL)</t>
        </is>
      </c>
      <c r="AA801" s="2" t="inlineStr">
        <is>
          <t>Rejeitado(a) em Comissão</t>
        </is>
      </c>
      <c r="AB801" s="2" t="inlineStr"/>
      <c r="AC801" s="2" t="inlineStr"/>
      <c r="AD801" s="2" t="inlineStr">
        <is>
          <t>1</t>
        </is>
      </c>
      <c r="AE801" s="2" t="inlineStr">
        <is>
          <t>23973</t>
        </is>
      </c>
      <c r="AF801" s="2" t="inlineStr">
        <is>
          <t>https://www.parlamento.pt/OrcamentoEstado/Paginas/DetalhePropostaAlteracao.aspx?BID=23973</t>
        </is>
      </c>
      <c r="AG801" s="2" t="inlineStr">
        <is>
          <t>https://app.parlamento.pt/webutils/docs/doc.pdf?path=6148523063484d364c793942556b356c6443397a6158526c63793959566b6c4a544556484c3039464c7a49774d6a59794d4449314d5441774f533951515338344d6d55314d7a51344e43316a4d44646c4c5451354d546774596a646a4d79316c4d6a597a4d44566c4d444a69597a55756347526d&amp;Fich=82e53484-c07e-4918-b7c3-e26305e02bc5.pdf&amp;Inline=true</t>
        </is>
      </c>
      <c r="AH801" s="3" t="n">
        <v>46321.77847222222</v>
      </c>
      <c r="AI801" s="3" t="n">
        <v>46321.78055555555</v>
      </c>
      <c r="AJ801" s="2" t="inlineStr"/>
    </row>
    <row r="802">
      <c r="A802" s="2" t="n">
        <v>801</v>
      </c>
      <c r="B802" s="2" t="inlineStr">
        <is>
          <t>748C</t>
        </is>
      </c>
      <c r="C802" s="3" t="n">
        <v>45967.44513888889</v>
      </c>
      <c r="D802" s="2" t="inlineStr">
        <is>
          <t>Original</t>
        </is>
      </c>
      <c r="E802" s="2" t="inlineStr">
        <is>
          <t>BE</t>
        </is>
      </c>
      <c r="F802" s="2" t="inlineStr">
        <is>
          <t>Mariana Mortágua</t>
        </is>
      </c>
      <c r="G802" s="2" t="inlineStr">
        <is>
          <t>Art. 112.º-A (aditamento)</t>
        </is>
      </c>
      <c r="H802" s="2" t="n"/>
      <c r="I802" s="2" t="n"/>
      <c r="J802" s="2" t="n"/>
      <c r="K802" s="2" t="n"/>
      <c r="L802" s="2" t="inlineStr">
        <is>
          <t>Artigo 112.º-A (Redução da semana de trabalho)</t>
        </is>
      </c>
      <c r="M802" s="4" t="n"/>
      <c r="N802" s="4" t="n"/>
      <c r="O802" s="2" t="n"/>
      <c r="P802" s="2" t="n"/>
      <c r="Q802" s="2" t="n"/>
      <c r="R802" s="2" t="n"/>
      <c r="S802" s="2" t="inlineStr">
        <is>
          <t>Rejeitado(a) em Comissão</t>
        </is>
      </c>
      <c r="T802" s="2" t="inlineStr">
        <is>
          <t>Rejeitada</t>
        </is>
      </c>
      <c r="U802" s="2" t="inlineStr">
        <is>
          <t>Favor: L, PCP, BE, PAN; Contra: PSD, CH, CDS-PP; Abstenção: PS, IL</t>
        </is>
      </c>
      <c r="V802" s="3" t="n">
        <v>45982</v>
      </c>
      <c r="W802" s="2" t="inlineStr">
        <is>
          <t>AR: https://www.parlamento.pt/OrcamentoEstado/Paginas/DetalhePropostaAlteracao.aspx?BID=23974 PDF: https://app.parlamento.pt/webutils/docs/doc.pdf?path=6148523063484d364c793942556b356c6443397a6158526c63793959566b6c4a544556484c3039464c7a49774d6a59794d4449314d5441774f5339515153396a4e6a466c59574a6b4f4331694d4452684c5451785a444574595746684e79316d4e6a49334d4463325a6a6c6b4e3249756347526d&amp;Fich=c61eabd8-b04a-41d1-aaa7-f627076f9d7b.pdf&amp;Inline=true</t>
        </is>
      </c>
      <c r="X802" s="2" t="inlineStr">
        <is>
          <t>Trabalho, Segurança Social e Inclusão</t>
        </is>
      </c>
      <c r="Y802" s="2" t="inlineStr">
        <is>
          <t>Articulado</t>
        </is>
      </c>
      <c r="Z802" s="2" t="inlineStr">
        <is>
          <t>Aditamento (Artigo PPL)</t>
        </is>
      </c>
      <c r="AA802" s="2" t="inlineStr">
        <is>
          <t>Rejeitado(a) em Comissão</t>
        </is>
      </c>
      <c r="AB802" s="2" t="inlineStr"/>
      <c r="AC802" s="2" t="inlineStr"/>
      <c r="AD802" s="2" t="inlineStr">
        <is>
          <t>1</t>
        </is>
      </c>
      <c r="AE802" s="2" t="inlineStr">
        <is>
          <t>23974</t>
        </is>
      </c>
      <c r="AF802" s="2" t="inlineStr">
        <is>
          <t>https://www.parlamento.pt/OrcamentoEstado/Paginas/DetalhePropostaAlteracao.aspx?BID=23974</t>
        </is>
      </c>
      <c r="AG802" s="2" t="inlineStr">
        <is>
          <t>https://app.parlamento.pt/webutils/docs/doc.pdf?path=6148523063484d364c793942556b356c6443397a6158526c63793959566b6c4a544556484c3039464c7a49774d6a59794d4449314d5441774f5339515153396a4e6a466c59574a6b4f4331694d4452684c5451785a444574595746684e79316d4e6a49334d4463325a6a6c6b4e3249756347526d&amp;Fich=c61eabd8-b04a-41d1-aaa7-f627076f9d7b.pdf&amp;Inline=true</t>
        </is>
      </c>
      <c r="AH802" s="3" t="n">
        <v>46321.77847222222</v>
      </c>
      <c r="AI802" s="3" t="n">
        <v>46321.78055555555</v>
      </c>
      <c r="AJ802" s="2" t="inlineStr"/>
    </row>
    <row r="803">
      <c r="A803" s="2" t="n">
        <v>802</v>
      </c>
      <c r="B803" s="2" t="inlineStr">
        <is>
          <t>749C</t>
        </is>
      </c>
      <c r="C803" s="3" t="n">
        <v>45967.44583333333</v>
      </c>
      <c r="D803" s="2" t="inlineStr">
        <is>
          <t>Original</t>
        </is>
      </c>
      <c r="E803" s="2" t="inlineStr">
        <is>
          <t>BE</t>
        </is>
      </c>
      <c r="F803" s="2" t="inlineStr">
        <is>
          <t>Mariana Mortágua</t>
        </is>
      </c>
      <c r="G803" s="2" t="inlineStr">
        <is>
          <t>Art. 135.º-A (aditamento)</t>
        </is>
      </c>
      <c r="H803" s="2" t="n"/>
      <c r="I803" s="2" t="n"/>
      <c r="J803" s="2" t="n"/>
      <c r="K803" s="2" t="n"/>
      <c r="L803" s="2" t="inlineStr">
        <is>
          <t>Artigo 135.º-A (Alteração ao Regulamento das Custas Processuais)</t>
        </is>
      </c>
      <c r="M803" s="4" t="n"/>
      <c r="N803" s="4" t="n"/>
      <c r="O803" s="2" t="n"/>
      <c r="P803" s="2" t="n"/>
      <c r="Q803" s="2" t="n"/>
      <c r="R803" s="2" t="n"/>
      <c r="S803" s="2" t="inlineStr">
        <is>
          <t>Rejeitado(a) em Comissão</t>
        </is>
      </c>
      <c r="T803" s="2" t="inlineStr">
        <is>
          <t>Rejeitada</t>
        </is>
      </c>
      <c r="U803" s="2" t="inlineStr">
        <is>
          <t>Favor: CH, L, PCP, BE, PAN; Contra: PSD, IL, CDS-PP; Abstenção: PS</t>
        </is>
      </c>
      <c r="V803" s="3" t="n">
        <v>45987</v>
      </c>
      <c r="W803" s="2" t="inlineStr">
        <is>
          <t>AR: https://www.parlamento.pt/OrcamentoEstado/Paginas/DetalhePropostaAlteracao.aspx?BID=23975 PDF: https://app.parlamento.pt/webutils/docs/doc.pdf?path=6148523063484d364c793942556b356c6443397a6158526c63793959566b6c4a544556484c3039464c7a49774d6a59794d4449314d5441774f5339515153396a4d7a686c4f57566d4e4330795a4751774c5451785a574d74596a59345a5330314d4467315a444a6c4e444a6b4d4467756347526d&amp;Fich=c38e9ef4-2dd0-41ec-b68e-5085d2e42d08.pdf&amp;Inline=true</t>
        </is>
      </c>
      <c r="X803" s="2" t="inlineStr">
        <is>
          <t>Trabalho, Segurança Social e Inclusão</t>
        </is>
      </c>
      <c r="Y803" s="2" t="inlineStr">
        <is>
          <t>Articulado</t>
        </is>
      </c>
      <c r="Z803" s="2" t="inlineStr">
        <is>
          <t>Aditamento (Artigo PPL)</t>
        </is>
      </c>
      <c r="AA803" s="2" t="inlineStr">
        <is>
          <t>Rejeitado(a) em Comissão</t>
        </is>
      </c>
      <c r="AB803" s="2" t="inlineStr"/>
      <c r="AC803" s="2" t="inlineStr"/>
      <c r="AD803" s="2" t="inlineStr">
        <is>
          <t>1</t>
        </is>
      </c>
      <c r="AE803" s="2" t="inlineStr">
        <is>
          <t>23975</t>
        </is>
      </c>
      <c r="AF803" s="2" t="inlineStr">
        <is>
          <t>https://www.parlamento.pt/OrcamentoEstado/Paginas/DetalhePropostaAlteracao.aspx?BID=23975</t>
        </is>
      </c>
      <c r="AG803" s="2" t="inlineStr">
        <is>
          <t>https://app.parlamento.pt/webutils/docs/doc.pdf?path=6148523063484d364c793942556b356c6443397a6158526c63793959566b6c4a544556484c3039464c7a49774d6a59794d4449314d5441774f5339515153396a4d7a686c4f57566d4e4330795a4751774c5451785a574d74596a59345a5330314d4467315a444a6c4e444a6b4d4467756347526d&amp;Fich=c38e9ef4-2dd0-41ec-b68e-5085d2e42d08.pdf&amp;Inline=true</t>
        </is>
      </c>
      <c r="AH803" s="3" t="n">
        <v>46321.77847222222</v>
      </c>
      <c r="AI803" s="3" t="n">
        <v>46321.78055555555</v>
      </c>
      <c r="AJ803" s="2" t="inlineStr"/>
    </row>
    <row r="804">
      <c r="A804" s="2" t="n">
        <v>803</v>
      </c>
      <c r="B804" s="2" t="inlineStr">
        <is>
          <t>750C</t>
        </is>
      </c>
      <c r="C804" s="3" t="n">
        <v>45967.44791666666</v>
      </c>
      <c r="D804" s="2" t="inlineStr">
        <is>
          <t>Original</t>
        </is>
      </c>
      <c r="E804" s="2" t="inlineStr">
        <is>
          <t>BE</t>
        </is>
      </c>
      <c r="F804" s="2" t="inlineStr">
        <is>
          <t>Mariana Mortágua</t>
        </is>
      </c>
      <c r="G804" s="2" t="inlineStr">
        <is>
          <t>Art. 38.º-O (aditamento)</t>
        </is>
      </c>
      <c r="H804" s="2" t="n"/>
      <c r="I804" s="2" t="n"/>
      <c r="J804" s="2" t="n"/>
      <c r="K804" s="2" t="n"/>
      <c r="L804" s="2" t="inlineStr">
        <is>
          <t>Artigo 38.º-O (Atualização das pensões atribuídas a partir de 1 de janeiro de 2023)</t>
        </is>
      </c>
      <c r="M804" s="4" t="n"/>
      <c r="N804" s="4" t="n"/>
      <c r="O804" s="2" t="n"/>
      <c r="P804" s="2" t="n"/>
      <c r="Q804" s="2" t="n"/>
      <c r="R804" s="2" t="n"/>
      <c r="S804" s="2" t="inlineStr">
        <is>
          <t>Rejeitado(a) em Comissão</t>
        </is>
      </c>
      <c r="T804" s="2" t="inlineStr">
        <is>
          <t>Rejeitada</t>
        </is>
      </c>
      <c r="U804" s="2" t="inlineStr">
        <is>
          <t>Favor: CH, L, PCP, BE, PAN; Contra: PSD, IL, CDS-PP; Abstenção: PS</t>
        </is>
      </c>
      <c r="V804" s="3" t="n">
        <v>45981</v>
      </c>
      <c r="W804" s="2" t="inlineStr">
        <is>
          <t>AR: https://www.parlamento.pt/OrcamentoEstado/Paginas/DetalhePropostaAlteracao.aspx?BID=23976 PDF: https://app.parlamento.pt/webutils/docs/doc.pdf?path=6148523063484d364c793942556b356c6443397a6158526c63793959566b6c4a544556484c3039464c7a49774d6a59794d4449314d5441774f533951515338304d3259315a57566d5a4330355a4442694c5451354f446774596d4579596930315a6d45774e4455784e6a6b7a4d5759756347526d&amp;Fich=43f5eefd-9d0b-4988-ba2b-5fa04516931f.pdf&amp;Inline=true</t>
        </is>
      </c>
      <c r="X804" s="2" t="inlineStr">
        <is>
          <t>Trabalho, Segurança Social e Inclusão</t>
        </is>
      </c>
      <c r="Y804" s="2" t="inlineStr">
        <is>
          <t>Articulado</t>
        </is>
      </c>
      <c r="Z804" s="2" t="inlineStr">
        <is>
          <t>Aditamento (Artigo PPL)</t>
        </is>
      </c>
      <c r="AA804" s="2" t="inlineStr">
        <is>
          <t>Rejeitado(a) em Comissão</t>
        </is>
      </c>
      <c r="AB804" s="2" t="inlineStr"/>
      <c r="AC804" s="2" t="inlineStr"/>
      <c r="AD804" s="2" t="inlineStr">
        <is>
          <t>1</t>
        </is>
      </c>
      <c r="AE804" s="2" t="inlineStr">
        <is>
          <t>23976</t>
        </is>
      </c>
      <c r="AF804" s="2" t="inlineStr">
        <is>
          <t>https://www.parlamento.pt/OrcamentoEstado/Paginas/DetalhePropostaAlteracao.aspx?BID=23976</t>
        </is>
      </c>
      <c r="AG804" s="2" t="inlineStr">
        <is>
          <t>https://app.parlamento.pt/webutils/docs/doc.pdf?path=6148523063484d364c793942556b356c6443397a6158526c63793959566b6c4a544556484c3039464c7a49774d6a59794d4449314d5441774f533951515338304d3259315a57566d5a4330355a4442694c5451354f446774596d4579596930315a6d45774e4455784e6a6b7a4d5759756347526d&amp;Fich=43f5eefd-9d0b-4988-ba2b-5fa04516931f.pdf&amp;Inline=true</t>
        </is>
      </c>
      <c r="AH804" s="3" t="n">
        <v>46321.77847222222</v>
      </c>
      <c r="AI804" s="3" t="n">
        <v>46321.78055555555</v>
      </c>
      <c r="AJ804" s="2" t="inlineStr"/>
    </row>
    <row r="805">
      <c r="A805" s="2" t="n">
        <v>804</v>
      </c>
      <c r="B805" s="2" t="inlineStr">
        <is>
          <t>751C</t>
        </is>
      </c>
      <c r="C805" s="3" t="n">
        <v>45967.44930555556</v>
      </c>
      <c r="D805" s="2" t="inlineStr">
        <is>
          <t>Original</t>
        </is>
      </c>
      <c r="E805" s="2" t="inlineStr">
        <is>
          <t>BE</t>
        </is>
      </c>
      <c r="F805" s="2" t="inlineStr">
        <is>
          <t>Mariana Mortágua</t>
        </is>
      </c>
      <c r="G805" s="2" t="inlineStr">
        <is>
          <t>Art. 118.º-A (aditamento)</t>
        </is>
      </c>
      <c r="H805" s="2" t="n"/>
      <c r="I805" s="2" t="n"/>
      <c r="J805" s="2" t="n"/>
      <c r="K805" s="2" t="n"/>
      <c r="L805" s="2" t="inlineStr">
        <is>
          <t>Artigo 118.º-A (Alteração à Lei n.º 2/2022, de 3 de janeiro)</t>
        </is>
      </c>
      <c r="M805" s="4" t="n"/>
      <c r="N805" s="4" t="n"/>
      <c r="O805" s="2" t="n"/>
      <c r="P805" s="2" t="n"/>
      <c r="Q805" s="2" t="n"/>
      <c r="R805" s="2" t="n"/>
      <c r="S805" s="2" t="inlineStr">
        <is>
          <t>Rejeitado(a) em Comissão</t>
        </is>
      </c>
      <c r="T805" s="2" t="inlineStr">
        <is>
          <t>Rejeitada</t>
        </is>
      </c>
      <c r="U805" s="2" t="inlineStr">
        <is>
          <t>Favor: CH, L, PCP, BE, PAN; Contra: PSD, IL, CDS-PP; Abstenção: PS</t>
        </is>
      </c>
      <c r="V805" s="3" t="n">
        <v>45985</v>
      </c>
      <c r="W805" s="2" t="inlineStr">
        <is>
          <t>AR: https://www.parlamento.pt/OrcamentoEstado/Paginas/DetalhePropostaAlteracao.aspx?BID=23977 PDF: https://app.parlamento.pt/webutils/docs/doc.pdf?path=6148523063484d364c793942556b356c6443397a6158526c63793959566b6c4a544556484c3039464c7a49774d6a59794d4449314d5441774f5339515153396d595455334f54497a4f5330304d6a59354c5451334d574974595452694d53307a5a5456684d6d566c4f445135596a63756347526d&amp;Fich=fa579239-4269-471b-a4b1-3e5a2ee849b7.pdf&amp;Inline=true</t>
        </is>
      </c>
      <c r="X805" s="2" t="inlineStr">
        <is>
          <t>Trabalho, Segurança Social e Inclusão</t>
        </is>
      </c>
      <c r="Y805" s="2" t="inlineStr">
        <is>
          <t>Articulado</t>
        </is>
      </c>
      <c r="Z805" s="2" t="inlineStr">
        <is>
          <t>Aditamento (Artigo PPL)</t>
        </is>
      </c>
      <c r="AA805" s="2" t="inlineStr">
        <is>
          <t>Rejeitado(a) em Comissão</t>
        </is>
      </c>
      <c r="AB805" s="2" t="inlineStr"/>
      <c r="AC805" s="2" t="inlineStr"/>
      <c r="AD805" s="2" t="inlineStr">
        <is>
          <t>1</t>
        </is>
      </c>
      <c r="AE805" s="2" t="inlineStr">
        <is>
          <t>23977</t>
        </is>
      </c>
      <c r="AF805" s="2" t="inlineStr">
        <is>
          <t>https://www.parlamento.pt/OrcamentoEstado/Paginas/DetalhePropostaAlteracao.aspx?BID=23977</t>
        </is>
      </c>
      <c r="AG805" s="2" t="inlineStr">
        <is>
          <t>https://app.parlamento.pt/webutils/docs/doc.pdf?path=6148523063484d364c793942556b356c6443397a6158526c63793959566b6c4a544556484c3039464c7a49774d6a59794d4449314d5441774f5339515153396d595455334f54497a4f5330304d6a59354c5451334d574974595452694d53307a5a5456684d6d566c4f445135596a63756347526d&amp;Fich=fa579239-4269-471b-a4b1-3e5a2ee849b7.pdf&amp;Inline=true</t>
        </is>
      </c>
      <c r="AH805" s="3" t="n">
        <v>46321.77847222222</v>
      </c>
      <c r="AI805" s="3" t="n">
        <v>46321.78055555555</v>
      </c>
      <c r="AJ805" s="2" t="inlineStr"/>
    </row>
    <row r="806">
      <c r="A806" s="2" t="n">
        <v>805</v>
      </c>
      <c r="B806" s="2" t="inlineStr">
        <is>
          <t>752C</t>
        </is>
      </c>
      <c r="C806" s="3" t="n">
        <v>45967.45069444444</v>
      </c>
      <c r="D806" s="2" t="inlineStr">
        <is>
          <t>Original</t>
        </is>
      </c>
      <c r="E806" s="2" t="inlineStr">
        <is>
          <t>BE</t>
        </is>
      </c>
      <c r="F806" s="2" t="inlineStr">
        <is>
          <t>Mariana Mortágua</t>
        </is>
      </c>
      <c r="G806" s="2" t="inlineStr">
        <is>
          <t>Art. 38.º-U (aditamento)</t>
        </is>
      </c>
      <c r="H806" s="2" t="n"/>
      <c r="I806" s="2" t="n"/>
      <c r="J806" s="2" t="n"/>
      <c r="K806" s="2" t="n"/>
      <c r="L806" s="2" t="inlineStr">
        <is>
          <t>Artigo 38.º-U (Reforço do apoio aos cuidadores informais)</t>
        </is>
      </c>
      <c r="M806" s="4" t="n"/>
      <c r="N806" s="4" t="n"/>
      <c r="O806" s="2" t="n"/>
      <c r="P806" s="2" t="n"/>
      <c r="Q806" s="2" t="n"/>
      <c r="R806" s="2" t="n"/>
      <c r="S806" s="2" t="inlineStr">
        <is>
          <t>Rejeitado(a) em Comissão</t>
        </is>
      </c>
      <c r="T806" s="2" t="inlineStr">
        <is>
          <t>Rejeitada</t>
        </is>
      </c>
      <c r="U806" s="2" t="inlineStr">
        <is>
          <t>Favor: L, PCP, BE, PAN; Contra: PSD, IL, CDS-PP; Abstenção: CH, PS</t>
        </is>
      </c>
      <c r="V806" s="3" t="n">
        <v>45981</v>
      </c>
      <c r="W806" s="2" t="inlineStr">
        <is>
          <t>AR: https://www.parlamento.pt/OrcamentoEstado/Paginas/DetalhePropostaAlteracao.aspx?BID=23978 PDF: https://app.parlamento.pt/webutils/docs/doc.pdf?path=6148523063484d364c793942556b356c6443397a6158526c63793959566b6c4a544556484c3039464c7a49774d6a59794d4449314d5441774f5339515153396d4e6a49305a474a6c4e7930305a6d5a6b4c545178597a55744f5751795a4330314f4745304f54646c596a4e69596a67756347526d&amp;Fich=f624dbe7-4ffd-41c5-9d2d-58a497eb3bb8.pdf&amp;Inline=true</t>
        </is>
      </c>
      <c r="X806" s="2" t="inlineStr">
        <is>
          <t>Trabalho, Segurança Social e Inclusão</t>
        </is>
      </c>
      <c r="Y806" s="2" t="inlineStr">
        <is>
          <t>Articulado</t>
        </is>
      </c>
      <c r="Z806" s="2" t="inlineStr">
        <is>
          <t>Aditamento (Artigo PPL)</t>
        </is>
      </c>
      <c r="AA806" s="2" t="inlineStr">
        <is>
          <t>Rejeitado(a) em Comissão</t>
        </is>
      </c>
      <c r="AB806" s="2" t="inlineStr"/>
      <c r="AC806" s="2" t="inlineStr"/>
      <c r="AD806" s="2" t="inlineStr">
        <is>
          <t>1</t>
        </is>
      </c>
      <c r="AE806" s="2" t="inlineStr">
        <is>
          <t>23978</t>
        </is>
      </c>
      <c r="AF806" s="2" t="inlineStr">
        <is>
          <t>https://www.parlamento.pt/OrcamentoEstado/Paginas/DetalhePropostaAlteracao.aspx?BID=23978</t>
        </is>
      </c>
      <c r="AG806" s="2" t="inlineStr">
        <is>
          <t>https://app.parlamento.pt/webutils/docs/doc.pdf?path=6148523063484d364c793942556b356c6443397a6158526c63793959566b6c4a544556484c3039464c7a49774d6a59794d4449314d5441774f5339515153396d4e6a49305a474a6c4e7930305a6d5a6b4c545178597a55744f5751795a4330314f4745304f54646c596a4e69596a67756347526d&amp;Fich=f624dbe7-4ffd-41c5-9d2d-58a497eb3bb8.pdf&amp;Inline=true</t>
        </is>
      </c>
      <c r="AH806" s="3" t="n">
        <v>46321.77847222222</v>
      </c>
      <c r="AI806" s="3" t="n">
        <v>46321.78055555555</v>
      </c>
      <c r="AJ806" s="2" t="inlineStr"/>
    </row>
    <row r="807">
      <c r="A807" s="2" t="n">
        <v>806</v>
      </c>
      <c r="B807" s="2" t="inlineStr">
        <is>
          <t>753C</t>
        </is>
      </c>
      <c r="C807" s="3" t="n">
        <v>45967.45138888889</v>
      </c>
      <c r="D807" s="2" t="inlineStr">
        <is>
          <t>Original</t>
        </is>
      </c>
      <c r="E807" s="2" t="inlineStr">
        <is>
          <t>BE</t>
        </is>
      </c>
      <c r="F807" s="2" t="inlineStr">
        <is>
          <t>Mariana Mortágua</t>
        </is>
      </c>
      <c r="G807" s="2" t="inlineStr">
        <is>
          <t>Art. 38.º-O (aditamento)</t>
        </is>
      </c>
      <c r="H807" s="2" t="n"/>
      <c r="I807" s="2" t="n"/>
      <c r="J807" s="2" t="n"/>
      <c r="K807" s="2" t="n"/>
      <c r="L807" s="2" t="inlineStr">
        <is>
          <t>Artigo 38.º-O (Recálculo das pensões dos antigos combatentes)</t>
        </is>
      </c>
      <c r="M807" s="4" t="n"/>
      <c r="N807" s="4" t="n"/>
      <c r="O807" s="2" t="n"/>
      <c r="P807" s="2" t="n"/>
      <c r="Q807" s="2" t="n"/>
      <c r="R807" s="2" t="n"/>
      <c r="S807" s="2" t="inlineStr">
        <is>
          <t>Rejeitado(a) em Comissão</t>
        </is>
      </c>
      <c r="T807" s="2" t="inlineStr">
        <is>
          <t>Rejeitada</t>
        </is>
      </c>
      <c r="U807" s="2" t="inlineStr">
        <is>
          <t>Favor: CH, L, PCP, BE, PAN; Contra: PSD, PS, CDS-PP; Abstenção: IL</t>
        </is>
      </c>
      <c r="V807" s="3" t="n">
        <v>45981</v>
      </c>
      <c r="W807" s="2" t="inlineStr">
        <is>
          <t>AR: https://www.parlamento.pt/OrcamentoEstado/Paginas/DetalhePropostaAlteracao.aspx?BID=23979 PDF: https://app.parlamento.pt/webutils/docs/doc.pdf?path=6148523063484d364c793942556b356c6443397a6158526c63793959566b6c4a544556484c3039464c7a49774d6a59794d4449314d5441774f533951515339684e5759354e4749325979316c5a5459324c5452684e7a49744f544533595330344d324e6c4e32453059574d784e5745756347526d&amp;Fich=a5f94b6c-ee66-4a72-917a-83ce7a4ac15a.pdf&amp;Inline=true</t>
        </is>
      </c>
      <c r="X807" s="2" t="inlineStr">
        <is>
          <t>Trabalho, Segurança Social e Inclusão</t>
        </is>
      </c>
      <c r="Y807" s="2" t="inlineStr">
        <is>
          <t>Articulado</t>
        </is>
      </c>
      <c r="Z807" s="2" t="inlineStr">
        <is>
          <t>Aditamento (Artigo PPL)</t>
        </is>
      </c>
      <c r="AA807" s="2" t="inlineStr">
        <is>
          <t>Rejeitado(a) em Comissão</t>
        </is>
      </c>
      <c r="AB807" s="2" t="inlineStr"/>
      <c r="AC807" s="2" t="inlineStr"/>
      <c r="AD807" s="2" t="inlineStr">
        <is>
          <t>1</t>
        </is>
      </c>
      <c r="AE807" s="2" t="inlineStr">
        <is>
          <t>23979</t>
        </is>
      </c>
      <c r="AF807" s="2" t="inlineStr">
        <is>
          <t>https://www.parlamento.pt/OrcamentoEstado/Paginas/DetalhePropostaAlteracao.aspx?BID=23979</t>
        </is>
      </c>
      <c r="AG807" s="2" t="inlineStr">
        <is>
          <t>https://app.parlamento.pt/webutils/docs/doc.pdf?path=6148523063484d364c793942556b356c6443397a6158526c63793959566b6c4a544556484c3039464c7a49774d6a59794d4449314d5441774f533951515339684e5759354e4749325979316c5a5459324c5452684e7a49744f544533595330344d324e6c4e32453059574d784e5745756347526d&amp;Fich=a5f94b6c-ee66-4a72-917a-83ce7a4ac15a.pdf&amp;Inline=true</t>
        </is>
      </c>
      <c r="AH807" s="3" t="n">
        <v>46321.77847222222</v>
      </c>
      <c r="AI807" s="3" t="n">
        <v>46321.78055555555</v>
      </c>
      <c r="AJ807" s="2" t="inlineStr"/>
    </row>
    <row r="808">
      <c r="A808" s="2" t="n">
        <v>807</v>
      </c>
      <c r="B808" s="2" t="inlineStr">
        <is>
          <t>754C</t>
        </is>
      </c>
      <c r="C808" s="3" t="n">
        <v>45967.45208333333</v>
      </c>
      <c r="D808" s="2" t="inlineStr">
        <is>
          <t>Original</t>
        </is>
      </c>
      <c r="E808" s="2" t="inlineStr">
        <is>
          <t>BE</t>
        </is>
      </c>
      <c r="F808" s="2" t="inlineStr">
        <is>
          <t>Mariana Mortágua</t>
        </is>
      </c>
      <c r="G808" s="2" t="inlineStr">
        <is>
          <t>Art. 38.º-M (aditamento)</t>
        </is>
      </c>
      <c r="H808" s="2" t="n"/>
      <c r="I808" s="2" t="n"/>
      <c r="J808" s="2" t="n"/>
      <c r="K808" s="2" t="n"/>
      <c r="L808" s="2" t="inlineStr">
        <is>
          <t>Artigo 38.º-M (Alteração ao Decreto-Lei n.º 187/2007, de 10 de maio)</t>
        </is>
      </c>
      <c r="M808" s="4" t="n"/>
      <c r="N808" s="4" t="n"/>
      <c r="O808" s="2" t="n"/>
      <c r="P808" s="2" t="n"/>
      <c r="Q808" s="2" t="n"/>
      <c r="R808" s="2" t="n"/>
      <c r="S808" s="2" t="inlineStr">
        <is>
          <t>Rejeitado(a) em Comissão</t>
        </is>
      </c>
      <c r="T808" s="2" t="inlineStr">
        <is>
          <t>Rejeitada</t>
        </is>
      </c>
      <c r="U808" s="2" t="inlineStr">
        <is>
          <t>Favor: CH, L, PCP, BE, PAN; Contra: PSD, PS, IL, CDS-PP</t>
        </is>
      </c>
      <c r="V808" s="3" t="n">
        <v>45981</v>
      </c>
      <c r="W808" s="2" t="inlineStr">
        <is>
          <t>AR: https://www.parlamento.pt/OrcamentoEstado/Paginas/DetalhePropostaAlteracao.aspx?BID=23980 PDF: https://app.parlamento.pt/webutils/docs/doc.pdf?path=6148523063484d364c793942556b356c6443397a6158526c63793959566b6c4a544556484c3039464c7a49774d6a59794d4449314d5441774f533951515338354d446c69595451794d7930784f44677a4c54526b596a5174596a5a6c5953307a4f47597759546b774e5445344e4449756347526d&amp;Fich=909ba423-1883-4db4-b6ea-38f0a9051842.pdf&amp;Inline=true</t>
        </is>
      </c>
      <c r="X808" s="2" t="inlineStr">
        <is>
          <t>Trabalho, Segurança Social e Inclusão</t>
        </is>
      </c>
      <c r="Y808" s="2" t="inlineStr">
        <is>
          <t>Articulado</t>
        </is>
      </c>
      <c r="Z808" s="2" t="inlineStr">
        <is>
          <t>Aditamento (Artigo PPL)</t>
        </is>
      </c>
      <c r="AA808" s="2" t="inlineStr">
        <is>
          <t>Rejeitado(a) em Comissão</t>
        </is>
      </c>
      <c r="AB808" s="2" t="inlineStr"/>
      <c r="AC808" s="2" t="inlineStr"/>
      <c r="AD808" s="2" t="inlineStr">
        <is>
          <t>1</t>
        </is>
      </c>
      <c r="AE808" s="2" t="inlineStr">
        <is>
          <t>23980</t>
        </is>
      </c>
      <c r="AF808" s="2" t="inlineStr">
        <is>
          <t>https://www.parlamento.pt/OrcamentoEstado/Paginas/DetalhePropostaAlteracao.aspx?BID=23980</t>
        </is>
      </c>
      <c r="AG808" s="2" t="inlineStr">
        <is>
          <t>https://app.parlamento.pt/webutils/docs/doc.pdf?path=6148523063484d364c793942556b356c6443397a6158526c63793959566b6c4a544556484c3039464c7a49774d6a59794d4449314d5441774f533951515338354d446c69595451794d7930784f44677a4c54526b596a5174596a5a6c5953307a4f47597759546b774e5445344e4449756347526d&amp;Fich=909ba423-1883-4db4-b6ea-38f0a9051842.pdf&amp;Inline=true</t>
        </is>
      </c>
      <c r="AH808" s="3" t="n">
        <v>46321.77847222222</v>
      </c>
      <c r="AI808" s="3" t="n">
        <v>46321.78055555555</v>
      </c>
      <c r="AJ808" s="2" t="inlineStr"/>
    </row>
    <row r="809">
      <c r="A809" s="2" t="n">
        <v>808</v>
      </c>
      <c r="B809" s="2" t="inlineStr">
        <is>
          <t>755C</t>
        </is>
      </c>
      <c r="C809" s="3" t="n">
        <v>45967.45347222222</v>
      </c>
      <c r="D809" s="2" t="inlineStr">
        <is>
          <t>Original</t>
        </is>
      </c>
      <c r="E809" s="2" t="inlineStr">
        <is>
          <t>BE</t>
        </is>
      </c>
      <c r="F809" s="2" t="inlineStr">
        <is>
          <t>Mariana Mortágua</t>
        </is>
      </c>
      <c r="G809" s="2" t="inlineStr">
        <is>
          <t>Art. 112.º-B (aditamento)</t>
        </is>
      </c>
      <c r="H809" s="2" t="n"/>
      <c r="I809" s="2" t="n"/>
      <c r="J809" s="2" t="n"/>
      <c r="K809" s="2" t="n"/>
      <c r="L809" s="2" t="inlineStr">
        <is>
          <t>Artigo 112.º-B (Alteração ao Decreto-Lei n.º 220/2006, de 3 de novembro)</t>
        </is>
      </c>
      <c r="M809" s="4" t="n"/>
      <c r="N809" s="4" t="n"/>
      <c r="O809" s="2" t="n"/>
      <c r="P809" s="2" t="n"/>
      <c r="Q809" s="2" t="n"/>
      <c r="R809" s="2" t="n"/>
      <c r="S809" s="2" t="inlineStr">
        <is>
          <t>Rejeitado(a) em Comissão</t>
        </is>
      </c>
      <c r="T809" s="2" t="inlineStr">
        <is>
          <t>Rejeitada</t>
        </is>
      </c>
      <c r="U809" s="2" t="inlineStr">
        <is>
          <t>Favor: L, PCP, BE, PAN; Contra: PSD, IL, CDS-PP; Abstenção: CH, PS</t>
        </is>
      </c>
      <c r="V809" s="3" t="n">
        <v>45982</v>
      </c>
      <c r="W809" s="2" t="inlineStr">
        <is>
          <t>AR: https://www.parlamento.pt/OrcamentoEstado/Paginas/DetalhePropostaAlteracao.aspx?BID=23981 PDF: https://app.parlamento.pt/webutils/docs/doc.pdf?path=6148523063484d364c793942556b356c6443397a6158526c63793959566b6c4a544556484c3039464c7a49774d6a59794d4449314d5441774f5339515153396c5a5451354d6d55354e7930794e4759314c54526b5a6d4d744f4759345a69307a597a55325a6a6b354e32457a4d546b756347526d&amp;Fich=ee492e97-24f5-4dfc-8f8f-3c56f997a319.pdf&amp;Inline=true</t>
        </is>
      </c>
      <c r="X809" s="2" t="inlineStr">
        <is>
          <t>Trabalho, Segurança Social e Inclusão</t>
        </is>
      </c>
      <c r="Y809" s="2" t="inlineStr">
        <is>
          <t>Articulado</t>
        </is>
      </c>
      <c r="Z809" s="2" t="inlineStr">
        <is>
          <t>Aditamento (Artigo PPL)</t>
        </is>
      </c>
      <c r="AA809" s="2" t="inlineStr">
        <is>
          <t>Rejeitado(a) em Comissão</t>
        </is>
      </c>
      <c r="AB809" s="2" t="inlineStr"/>
      <c r="AC809" s="2" t="inlineStr"/>
      <c r="AD809" s="2" t="inlineStr">
        <is>
          <t>1</t>
        </is>
      </c>
      <c r="AE809" s="2" t="inlineStr">
        <is>
          <t>23981</t>
        </is>
      </c>
      <c r="AF809" s="2" t="inlineStr">
        <is>
          <t>https://www.parlamento.pt/OrcamentoEstado/Paginas/DetalhePropostaAlteracao.aspx?BID=23981</t>
        </is>
      </c>
      <c r="AG809" s="2" t="inlineStr">
        <is>
          <t>https://app.parlamento.pt/webutils/docs/doc.pdf?path=6148523063484d364c793942556b356c6443397a6158526c63793959566b6c4a544556484c3039464c7a49774d6a59794d4449314d5441774f5339515153396c5a5451354d6d55354e7930794e4759314c54526b5a6d4d744f4759345a69307a597a55325a6a6b354e32457a4d546b756347526d&amp;Fich=ee492e97-24f5-4dfc-8f8f-3c56f997a319.pdf&amp;Inline=true</t>
        </is>
      </c>
      <c r="AH809" s="3" t="n">
        <v>46321.77847222222</v>
      </c>
      <c r="AI809" s="3" t="n">
        <v>46321.78055555555</v>
      </c>
      <c r="AJ809" s="2" t="inlineStr"/>
    </row>
    <row r="810">
      <c r="A810" s="2" t="n">
        <v>809</v>
      </c>
      <c r="B810" s="2" t="inlineStr">
        <is>
          <t>756C</t>
        </is>
      </c>
      <c r="C810" s="3" t="n">
        <v>45967.45416666667</v>
      </c>
      <c r="D810" s="2" t="inlineStr">
        <is>
          <t>Original</t>
        </is>
      </c>
      <c r="E810" s="2" t="inlineStr">
        <is>
          <t>BE</t>
        </is>
      </c>
      <c r="F810" s="2" t="inlineStr">
        <is>
          <t>Mariana Mortágua</t>
        </is>
      </c>
      <c r="G810" s="2" t="inlineStr">
        <is>
          <t>Art. 112.º-A (aditamento)</t>
        </is>
      </c>
      <c r="H810" s="2" t="n"/>
      <c r="I810" s="2" t="n"/>
      <c r="J810" s="2" t="n"/>
      <c r="K810" s="2" t="n"/>
      <c r="L810" s="2" t="inlineStr">
        <is>
          <t>Artigo 112.º-A (Alteração ao Código do Trabalho)</t>
        </is>
      </c>
      <c r="M810" s="4" t="n"/>
      <c r="N810" s="4" t="n"/>
      <c r="O810" s="2" t="n"/>
      <c r="P810" s="2" t="n"/>
      <c r="Q810" s="2" t="n"/>
      <c r="R810" s="2" t="n"/>
      <c r="S810" s="2" t="inlineStr">
        <is>
          <t>Rejeitado(a) em Comissão</t>
        </is>
      </c>
      <c r="T810" s="2" t="inlineStr">
        <is>
          <t>Rejeitada</t>
        </is>
      </c>
      <c r="U810" s="2" t="inlineStr">
        <is>
          <t>Favor: L, PCP, BE, PAN; Contra: PSD, IL, CDS-PP; Abstenção: CH, PS</t>
        </is>
      </c>
      <c r="V810" s="3" t="n">
        <v>45982</v>
      </c>
      <c r="W810" s="2" t="inlineStr">
        <is>
          <t>AR: https://www.parlamento.pt/OrcamentoEstado/Paginas/DetalhePropostaAlteracao.aspx?BID=23982 PDF: https://app.parlamento.pt/webutils/docs/doc.pdf?path=6148523063484d364c793942556b356c6443397a6158526c63793959566b6c4a544556484c3039464c7a49774d6a59794d4449314d5441774f533951515339685a57566c5a574a6d5a5330344d57526d4c5451344d544974596d55344f53316b5a6a5934597a59304d574d305a444d756347526d&amp;Fich=aeeeebfe-81df-4812-be89-df68c641c4d3.pdf&amp;Inline=true</t>
        </is>
      </c>
      <c r="X810" s="2" t="inlineStr">
        <is>
          <t>Trabalho, Segurança Social e Inclusão</t>
        </is>
      </c>
      <c r="Y810" s="2" t="inlineStr">
        <is>
          <t>Articulado</t>
        </is>
      </c>
      <c r="Z810" s="2" t="inlineStr">
        <is>
          <t>Aditamento (Artigo PPL)</t>
        </is>
      </c>
      <c r="AA810" s="2" t="inlineStr">
        <is>
          <t>Rejeitado(a) em Comissão</t>
        </is>
      </c>
      <c r="AB810" s="2" t="inlineStr"/>
      <c r="AC810" s="2" t="inlineStr"/>
      <c r="AD810" s="2" t="inlineStr">
        <is>
          <t>1</t>
        </is>
      </c>
      <c r="AE810" s="2" t="inlineStr">
        <is>
          <t>23982</t>
        </is>
      </c>
      <c r="AF810" s="2" t="inlineStr">
        <is>
          <t>https://www.parlamento.pt/OrcamentoEstado/Paginas/DetalhePropostaAlteracao.aspx?BID=23982</t>
        </is>
      </c>
      <c r="AG810" s="2" t="inlineStr">
        <is>
          <t>https://app.parlamento.pt/webutils/docs/doc.pdf?path=6148523063484d364c793942556b356c6443397a6158526c63793959566b6c4a544556484c3039464c7a49774d6a59794d4449314d5441774f533951515339685a57566c5a574a6d5a5330344d57526d4c5451344d544974596d55344f53316b5a6a5934597a59304d574d305a444d756347526d&amp;Fich=aeeeebfe-81df-4812-be89-df68c641c4d3.pdf&amp;Inline=true</t>
        </is>
      </c>
      <c r="AH810" s="3" t="n">
        <v>46321.77847222222</v>
      </c>
      <c r="AI810" s="3" t="n">
        <v>46321.78055555555</v>
      </c>
      <c r="AJ810" s="2" t="inlineStr"/>
    </row>
    <row r="811">
      <c r="A811" s="2" t="n">
        <v>810</v>
      </c>
      <c r="B811" s="2" t="inlineStr">
        <is>
          <t>757C</t>
        </is>
      </c>
      <c r="C811" s="3" t="n">
        <v>45967.45625</v>
      </c>
      <c r="D811" s="2" t="inlineStr">
        <is>
          <t>Original</t>
        </is>
      </c>
      <c r="E811" s="2" t="inlineStr">
        <is>
          <t>BE</t>
        </is>
      </c>
      <c r="F811" s="2" t="inlineStr">
        <is>
          <t>Mariana Mortágua</t>
        </is>
      </c>
      <c r="G811" s="2" t="inlineStr">
        <is>
          <t>Art. 112.º-A (aditamento)</t>
        </is>
      </c>
      <c r="H811" s="2" t="n"/>
      <c r="I811" s="2" t="n"/>
      <c r="J811" s="2" t="n"/>
      <c r="K811" s="2" t="n"/>
      <c r="L811" s="2" t="inlineStr">
        <is>
          <t>Artigo 112.º-A (Implementação da Lei de Assistência Pessoal)</t>
        </is>
      </c>
      <c r="M811" s="4" t="n"/>
      <c r="N811" s="4" t="n"/>
      <c r="O811" s="2" t="n"/>
      <c r="P811" s="2" t="n"/>
      <c r="Q811" s="2" t="n"/>
      <c r="R811" s="2" t="n"/>
      <c r="S811" s="2" t="inlineStr">
        <is>
          <t>Rejeitado(a) em Comissão</t>
        </is>
      </c>
      <c r="T811" s="2" t="inlineStr">
        <is>
          <t>Rejeitada</t>
        </is>
      </c>
      <c r="U811" s="2" t="inlineStr">
        <is>
          <t>Favor: CH, L, PCP, BE, PAN; Contra: PSD, PS, CDS-PP; Abstenção: IL</t>
        </is>
      </c>
      <c r="V811" s="3" t="n">
        <v>45982</v>
      </c>
      <c r="W811" s="2" t="inlineStr">
        <is>
          <t>AR: https://www.parlamento.pt/OrcamentoEstado/Paginas/DetalhePropostaAlteracao.aspx?BID=23983 PDF: https://app.parlamento.pt/webutils/docs/doc.pdf?path=6148523063484d364c793942556b356c6443397a6158526c63793959566b6c4a544556484c3039464c7a49774d6a59794d4449314d5441774f533951515338354d574d335a54526d596930344e446b794c5451305a444574596a6330595330324d54646b4f5449344d7a6b344e6a59756347526d&amp;Fich=91c7e4fb-8492-44d1-b74a-617d92839866.pdf&amp;Inline=true</t>
        </is>
      </c>
      <c r="X811" s="2" t="inlineStr">
        <is>
          <t>Trabalho, Segurança Social e Inclusão</t>
        </is>
      </c>
      <c r="Y811" s="2" t="inlineStr">
        <is>
          <t>Articulado</t>
        </is>
      </c>
      <c r="Z811" s="2" t="inlineStr">
        <is>
          <t>Aditamento (Artigo PPL)</t>
        </is>
      </c>
      <c r="AA811" s="2" t="inlineStr">
        <is>
          <t>Rejeitado(a) em Comissão</t>
        </is>
      </c>
      <c r="AB811" s="2" t="inlineStr"/>
      <c r="AC811" s="2" t="inlineStr"/>
      <c r="AD811" s="2" t="inlineStr">
        <is>
          <t>1</t>
        </is>
      </c>
      <c r="AE811" s="2" t="inlineStr">
        <is>
          <t>23983</t>
        </is>
      </c>
      <c r="AF811" s="2" t="inlineStr">
        <is>
          <t>https://www.parlamento.pt/OrcamentoEstado/Paginas/DetalhePropostaAlteracao.aspx?BID=23983</t>
        </is>
      </c>
      <c r="AG811" s="2" t="inlineStr">
        <is>
          <t>https://app.parlamento.pt/webutils/docs/doc.pdf?path=6148523063484d364c793942556b356c6443397a6158526c63793959566b6c4a544556484c3039464c7a49774d6a59794d4449314d5441774f533951515338354d574d335a54526d596930344e446b794c5451305a444574596a6330595330324d54646b4f5449344d7a6b344e6a59756347526d&amp;Fich=91c7e4fb-8492-44d1-b74a-617d92839866.pdf&amp;Inline=true</t>
        </is>
      </c>
      <c r="AH811" s="3" t="n">
        <v>46321.77847222222</v>
      </c>
      <c r="AI811" s="3" t="n">
        <v>46321.78055555555</v>
      </c>
      <c r="AJ811" s="2" t="inlineStr"/>
    </row>
    <row r="812">
      <c r="A812" s="2" t="n">
        <v>811</v>
      </c>
      <c r="B812" s="2" t="inlineStr">
        <is>
          <t>758C-1</t>
        </is>
      </c>
      <c r="C812" s="3" t="n">
        <v>45967.45763888889</v>
      </c>
      <c r="D812" s="2" t="inlineStr">
        <is>
          <t>Original</t>
        </is>
      </c>
      <c r="E812" s="2" t="inlineStr">
        <is>
          <t>BE</t>
        </is>
      </c>
      <c r="F812" s="2" t="inlineStr">
        <is>
          <t>Mariana Mortágua</t>
        </is>
      </c>
      <c r="G812" s="2" t="inlineStr">
        <is>
          <t>Art. 112.º-A (aditamento)</t>
        </is>
      </c>
      <c r="H812" s="2" t="n"/>
      <c r="I812" s="2" t="n"/>
      <c r="J812" s="2" t="n"/>
      <c r="K812" s="2" t="n"/>
      <c r="L812" s="2" t="inlineStr">
        <is>
          <t>Artigo 112.º-A (Aditamento ao Código do Trabalho)</t>
        </is>
      </c>
      <c r="M812" s="4" t="n"/>
      <c r="N812" s="4" t="n"/>
      <c r="O812" s="2" t="n"/>
      <c r="P812" s="2" t="n"/>
      <c r="Q812" s="2" t="n"/>
      <c r="R812" s="2" t="n"/>
      <c r="S812" s="2" t="inlineStr">
        <is>
          <t>Rejeitado(a) em Comissão</t>
        </is>
      </c>
      <c r="T812" s="2" t="inlineStr">
        <is>
          <t>Rejeitada</t>
        </is>
      </c>
      <c r="U812" s="2" t="inlineStr">
        <is>
          <t>Favor: CH, L, PCP, BE, PAN; Contra: PSD, PS, IL, CDS-PP</t>
        </is>
      </c>
      <c r="V812" s="3" t="n">
        <v>45982</v>
      </c>
      <c r="W812" s="2" t="inlineStr">
        <is>
          <t>AR: https://www.parlamento.pt/OrcamentoEstado/Paginas/DetalhePropostaAlteracao.aspx?BID=23984 PDF: https://app.parlamento.pt/webutils/docs/doc.pdf?path=6148523063484d364c793942556b356c6443397a6158526c63793959566b6c4a544556484c3039464c7a49774d6a59794d4449314d5441774f533951515338324e444268597a51794d69316b4d5449324c54526d59546374595749784f433077596a59784e444d324f475669595751756347526d&amp;Fich=640ac422-d126-4fa7-ab18-0b614368ebad.pdf&amp;Inline=true</t>
        </is>
      </c>
      <c r="X812" s="2" t="inlineStr">
        <is>
          <t>Trabalho, Segurança Social e Inclusão</t>
        </is>
      </c>
      <c r="Y812" s="2" t="inlineStr">
        <is>
          <t>Articulado</t>
        </is>
      </c>
      <c r="Z812" s="2" t="inlineStr">
        <is>
          <t>Aditamento (Artigo PPL)</t>
        </is>
      </c>
      <c r="AA812" s="2" t="inlineStr">
        <is>
          <t>Rejeitado(a) em Comissão</t>
        </is>
      </c>
      <c r="AB812" s="2" t="inlineStr"/>
      <c r="AC812" s="2" t="inlineStr">
        <is>
          <t>1</t>
        </is>
      </c>
      <c r="AD812" s="2" t="inlineStr">
        <is>
          <t>1</t>
        </is>
      </c>
      <c r="AE812" s="2" t="inlineStr">
        <is>
          <t>23984</t>
        </is>
      </c>
      <c r="AF812" s="2" t="inlineStr">
        <is>
          <t>https://www.parlamento.pt/OrcamentoEstado/Paginas/DetalhePropostaAlteracao.aspx?BID=23984</t>
        </is>
      </c>
      <c r="AG812" s="2" t="inlineStr">
        <is>
          <t>https://app.parlamento.pt/webutils/docs/doc.pdf?path=6148523063484d364c793942556b356c6443397a6158526c63793959566b6c4a544556484c3039464c7a49774d6a59794d4449314d5441774f533951515338324e444268597a51794d69316b4d5449324c54526d59546374595749784f433077596a59784e444d324f475669595751756347526d&amp;Fich=640ac422-d126-4fa7-ab18-0b614368ebad.pdf&amp;Inline=true</t>
        </is>
      </c>
      <c r="AH812" s="3" t="n">
        <v>46321.77847222222</v>
      </c>
      <c r="AI812" s="3" t="n">
        <v>46321.78055555555</v>
      </c>
      <c r="AJ812" s="2" t="inlineStr"/>
    </row>
    <row r="813">
      <c r="A813" s="2" t="n">
        <v>812</v>
      </c>
      <c r="B813" s="2" t="inlineStr">
        <is>
          <t>758C-2</t>
        </is>
      </c>
      <c r="C813" s="3" t="n">
        <v>45967.45763888889</v>
      </c>
      <c r="D813" s="2" t="inlineStr">
        <is>
          <t>Original</t>
        </is>
      </c>
      <c r="E813" s="2" t="inlineStr">
        <is>
          <t>BE</t>
        </is>
      </c>
      <c r="F813" s="2" t="inlineStr">
        <is>
          <t>Mariana Mortágua</t>
        </is>
      </c>
      <c r="G813" s="2" t="inlineStr">
        <is>
          <t>Art. 112.º-B (aditamento)</t>
        </is>
      </c>
      <c r="H813" s="2" t="n"/>
      <c r="I813" s="2" t="n"/>
      <c r="J813" s="2" t="n"/>
      <c r="K813" s="2" t="n"/>
      <c r="L813" s="2" t="inlineStr">
        <is>
          <t>Artigo 112.º-B (Alteração ao Código do Trabalho)</t>
        </is>
      </c>
      <c r="M813" s="4" t="n"/>
      <c r="N813" s="4" t="n"/>
      <c r="O813" s="2" t="n"/>
      <c r="P813" s="2" t="n"/>
      <c r="Q813" s="2" t="n"/>
      <c r="R813" s="2" t="n"/>
      <c r="S813" s="2" t="inlineStr">
        <is>
          <t>Rejeitado(a) em Comissão</t>
        </is>
      </c>
      <c r="T813" s="2" t="inlineStr">
        <is>
          <t>Rejeitada</t>
        </is>
      </c>
      <c r="U813" s="2" t="inlineStr">
        <is>
          <t>Favor: CH, L, PCP, BE, PAN; Contra: PSD, PS, IL, CDS-PP</t>
        </is>
      </c>
      <c r="V813" s="3" t="n">
        <v>45982</v>
      </c>
      <c r="W813" s="2" t="inlineStr">
        <is>
          <t>AR: https://www.parlamento.pt/OrcamentoEstado/Paginas/DetalhePropostaAlteracao.aspx?BID=24176 PDF: https://app.parlamento.pt/webutils/docs/doc.pdf?path=6148523063484d364c793942556b356c6443397a6158526c63793959566b6c4a544556484c3039464c7a49774d6a59794d4449314d5441774f5339515153396a5a6d46694e5456695a4330774d47526c4c5451774e6a59745954526c4d4330334e6a4d784e6a497a4e574d774e6a63756347526d&amp;Fich=cfab55bd-00de-4066-a4e0-76316235c067.pdf&amp;Inline=true</t>
        </is>
      </c>
      <c r="X813" s="2" t="inlineStr">
        <is>
          <t>Trabalho, Segurança Social e Inclusão</t>
        </is>
      </c>
      <c r="Y813" s="2" t="inlineStr">
        <is>
          <t>Articulado</t>
        </is>
      </c>
      <c r="Z813" s="2" t="inlineStr">
        <is>
          <t>Aditamento (Artigo PPL)</t>
        </is>
      </c>
      <c r="AA813" s="2" t="inlineStr">
        <is>
          <t>Rejeitado(a) em Comissão</t>
        </is>
      </c>
      <c r="AB813" s="2" t="inlineStr"/>
      <c r="AC813" s="2" t="inlineStr">
        <is>
          <t>2</t>
        </is>
      </c>
      <c r="AD813" s="2" t="inlineStr">
        <is>
          <t>1</t>
        </is>
      </c>
      <c r="AE813" s="2" t="inlineStr">
        <is>
          <t>24176</t>
        </is>
      </c>
      <c r="AF813" s="2" t="inlineStr">
        <is>
          <t>https://www.parlamento.pt/OrcamentoEstado/Paginas/DetalhePropostaAlteracao.aspx?BID=24176</t>
        </is>
      </c>
      <c r="AG813" s="2" t="inlineStr">
        <is>
          <t>https://app.parlamento.pt/webutils/docs/doc.pdf?path=6148523063484d364c793942556b356c6443397a6158526c63793959566b6c4a544556484c3039464c7a49774d6a59794d4449314d5441774f5339515153396a5a6d46694e5456695a4330774d47526c4c5451774e6a59745954526c4d4330334e6a4d784e6a497a4e574d774e6a63756347526d&amp;Fich=cfab55bd-00de-4066-a4e0-76316235c067.pdf&amp;Inline=true</t>
        </is>
      </c>
      <c r="AH813" s="3" t="n">
        <v>46321.77847222222</v>
      </c>
      <c r="AI813" s="3" t="n">
        <v>46321.78055555555</v>
      </c>
      <c r="AJ813" s="2" t="inlineStr"/>
    </row>
    <row r="814">
      <c r="A814" s="2" t="n">
        <v>813</v>
      </c>
      <c r="B814" s="2" t="inlineStr">
        <is>
          <t>759C</t>
        </is>
      </c>
      <c r="C814" s="3" t="n">
        <v>45967.45833333334</v>
      </c>
      <c r="D814" s="2" t="inlineStr">
        <is>
          <t>Original</t>
        </is>
      </c>
      <c r="E814" s="2" t="inlineStr">
        <is>
          <t>BE</t>
        </is>
      </c>
      <c r="F814" s="2" t="inlineStr">
        <is>
          <t>Mariana Mortágua</t>
        </is>
      </c>
      <c r="G814" s="2" t="inlineStr">
        <is>
          <t>Art. 38.º-N (aditamento)</t>
        </is>
      </c>
      <c r="H814" s="2" t="n"/>
      <c r="I814" s="2" t="n"/>
      <c r="J814" s="2" t="n"/>
      <c r="K814" s="2" t="n"/>
      <c r="L814" s="2" t="inlineStr">
        <is>
          <t>Artigo 38.º-N (Recálculo das reformas das pessoas com deficiência com penalização por aplicação do Fator de Sustentabilidade e do fator de redução nos regimes de antecipação de idade da reforma do regime geral de segurança social)</t>
        </is>
      </c>
      <c r="M814" s="4" t="n"/>
      <c r="N814" s="4" t="n"/>
      <c r="O814" s="2" t="n"/>
      <c r="P814" s="2" t="n"/>
      <c r="Q814" s="2" t="n"/>
      <c r="R814" s="2" t="n"/>
      <c r="S814" s="2" t="inlineStr">
        <is>
          <t>Rejeitado(a) em Comissão</t>
        </is>
      </c>
      <c r="T814" s="2" t="inlineStr">
        <is>
          <t>Rejeitada</t>
        </is>
      </c>
      <c r="U814" s="2" t="inlineStr">
        <is>
          <t>Favor: CH, L, PCP, BE, PAN; Contra: PSD, PS, IL, CDS-PP</t>
        </is>
      </c>
      <c r="V814" s="3" t="n">
        <v>45981</v>
      </c>
      <c r="W814" s="2" t="inlineStr">
        <is>
          <t>AR: https://www.parlamento.pt/OrcamentoEstado/Paginas/DetalhePropostaAlteracao.aspx?BID=23985 PDF: https://app.parlamento.pt/webutils/docs/doc.pdf?path=6148523063484d364c793942556b356c6443397a6158526c63793959566b6c4a544556484c3039464c7a49774d6a59794d4449314d5441774f533951515338794e6a466d5a574930597930354e574e6d4c5451775a474974596a55315a5330355a5442694e3251795a4749324e3259756347526d&amp;Fich=261feb4c-95cf-40db-b55e-9e0b7d2db67f.pdf&amp;Inline=true</t>
        </is>
      </c>
      <c r="X814" s="2" t="inlineStr">
        <is>
          <t>Trabalho, Segurança Social e Inclusão</t>
        </is>
      </c>
      <c r="Y814" s="2" t="inlineStr">
        <is>
          <t>Articulado</t>
        </is>
      </c>
      <c r="Z814" s="2" t="inlineStr">
        <is>
          <t>Aditamento (Artigo PPL)</t>
        </is>
      </c>
      <c r="AA814" s="2" t="inlineStr">
        <is>
          <t>Rejeitado(a) em Comissão</t>
        </is>
      </c>
      <c r="AB814" s="2" t="inlineStr"/>
      <c r="AC814" s="2" t="inlineStr"/>
      <c r="AD814" s="2" t="inlineStr">
        <is>
          <t>1</t>
        </is>
      </c>
      <c r="AE814" s="2" t="inlineStr">
        <is>
          <t>23985</t>
        </is>
      </c>
      <c r="AF814" s="2" t="inlineStr">
        <is>
          <t>https://www.parlamento.pt/OrcamentoEstado/Paginas/DetalhePropostaAlteracao.aspx?BID=23985</t>
        </is>
      </c>
      <c r="AG814" s="2" t="inlineStr">
        <is>
          <t>https://app.parlamento.pt/webutils/docs/doc.pdf?path=6148523063484d364c793942556b356c6443397a6158526c63793959566b6c4a544556484c3039464c7a49774d6a59794d4449314d5441774f533951515338794e6a466d5a574930597930354e574e6d4c5451775a474974596a55315a5330355a5442694e3251795a4749324e3259756347526d&amp;Fich=261feb4c-95cf-40db-b55e-9e0b7d2db67f.pdf&amp;Inline=true</t>
        </is>
      </c>
      <c r="AH814" s="3" t="n">
        <v>46321.77847222222</v>
      </c>
      <c r="AI814" s="3" t="n">
        <v>46321.78055555555</v>
      </c>
      <c r="AJ814" s="2" t="inlineStr"/>
    </row>
    <row r="815">
      <c r="A815" s="2" t="n">
        <v>814</v>
      </c>
      <c r="B815" s="2" t="inlineStr">
        <is>
          <t>760C-1</t>
        </is>
      </c>
      <c r="C815" s="3" t="n">
        <v>45967.46041666667</v>
      </c>
      <c r="D815" s="2" t="inlineStr">
        <is>
          <t>Original</t>
        </is>
      </c>
      <c r="E815" s="2" t="inlineStr">
        <is>
          <t>BE</t>
        </is>
      </c>
      <c r="F815" s="2" t="inlineStr">
        <is>
          <t>Mariana Mortágua</t>
        </is>
      </c>
      <c r="G815" s="2" t="inlineStr">
        <is>
          <t>Art. 112.º-C (aditamento)</t>
        </is>
      </c>
      <c r="H815" s="2" t="n"/>
      <c r="I815" s="2" t="n"/>
      <c r="J815" s="2" t="n"/>
      <c r="K815" s="2" t="n"/>
      <c r="L815" s="2" t="inlineStr">
        <is>
          <t>Artigo 112.º-C (Alteração ao Decreto-Lei n.º 322/90, de 18 de outubro, e ao Decreto-Lei n.º 176/2003, de 2 de agosto)</t>
        </is>
      </c>
      <c r="M815" s="4" t="n"/>
      <c r="N815" s="4" t="n"/>
      <c r="O815" s="2" t="n"/>
      <c r="P815" s="2" t="n"/>
      <c r="Q815" s="2" t="n"/>
      <c r="R815" s="2" t="n"/>
      <c r="S815" s="2" t="inlineStr">
        <is>
          <t>Rejeitado(a) em Comissão</t>
        </is>
      </c>
      <c r="T815" s="2" t="inlineStr">
        <is>
          <t>Rejeitada</t>
        </is>
      </c>
      <c r="U815" s="2" t="inlineStr">
        <is>
          <t>Favor: L, PCP, BE, PAN; Contra: PSD, IL, CDS-PP; Abstenção: CH, PS</t>
        </is>
      </c>
      <c r="V815" s="3" t="n">
        <v>45982</v>
      </c>
      <c r="W815" s="2" t="inlineStr">
        <is>
          <t>AR: https://www.parlamento.pt/OrcamentoEstado/Paginas/DetalhePropostaAlteracao.aspx?BID=23986 PDF: https://app.parlamento.pt/webutils/docs/doc.pdf?path=6148523063484d364c793942556b356c6443397a6158526c63793959566b6c4a544556484c3039464c7a49774d6a59794d4449314d5441774f53395151533832597a56684f446b774e79307a4f4449354c545269596a6b744f5756684e7930774e47466d4e574d7a5a5746684e4445756347526d&amp;Fich=6c5a8907-3829-4bb9-9ea7-04af5c3eaa41.pdf&amp;Inline=true</t>
        </is>
      </c>
      <c r="X815" s="2" t="inlineStr">
        <is>
          <t>Trabalho, Segurança Social e Inclusão</t>
        </is>
      </c>
      <c r="Y815" s="2" t="inlineStr">
        <is>
          <t>Articulado</t>
        </is>
      </c>
      <c r="Z815" s="2" t="inlineStr">
        <is>
          <t>Aditamento (Artigo PPL)</t>
        </is>
      </c>
      <c r="AA815" s="2" t="inlineStr">
        <is>
          <t>Rejeitado(a) em Comissão</t>
        </is>
      </c>
      <c r="AB815" s="2" t="inlineStr"/>
      <c r="AC815" s="2" t="inlineStr">
        <is>
          <t>1</t>
        </is>
      </c>
      <c r="AD815" s="2" t="inlineStr">
        <is>
          <t>1</t>
        </is>
      </c>
      <c r="AE815" s="2" t="inlineStr">
        <is>
          <t>23986</t>
        </is>
      </c>
      <c r="AF815" s="2" t="inlineStr">
        <is>
          <t>https://www.parlamento.pt/OrcamentoEstado/Paginas/DetalhePropostaAlteracao.aspx?BID=23986</t>
        </is>
      </c>
      <c r="AG815" s="2" t="inlineStr">
        <is>
          <t>https://app.parlamento.pt/webutils/docs/doc.pdf?path=6148523063484d364c793942556b356c6443397a6158526c63793959566b6c4a544556484c3039464c7a49774d6a59794d4449314d5441774f53395151533832597a56684f446b774e79307a4f4449354c545269596a6b744f5756684e7930774e47466d4e574d7a5a5746684e4445756347526d&amp;Fich=6c5a8907-3829-4bb9-9ea7-04af5c3eaa41.pdf&amp;Inline=true</t>
        </is>
      </c>
      <c r="AH815" s="3" t="n">
        <v>46321.77847222222</v>
      </c>
      <c r="AI815" s="3" t="n">
        <v>46321.78055555555</v>
      </c>
      <c r="AJ815" s="2" t="inlineStr"/>
    </row>
    <row r="816">
      <c r="A816" s="2" t="n">
        <v>815</v>
      </c>
      <c r="B816" s="2" t="inlineStr">
        <is>
          <t>760C-2</t>
        </is>
      </c>
      <c r="C816" s="3" t="n">
        <v>45967.46041666667</v>
      </c>
      <c r="D816" s="2" t="inlineStr">
        <is>
          <t>Original</t>
        </is>
      </c>
      <c r="E816" s="2" t="inlineStr">
        <is>
          <t>BE</t>
        </is>
      </c>
      <c r="F816" s="2" t="inlineStr">
        <is>
          <t>Mariana Mortágua</t>
        </is>
      </c>
      <c r="G816" s="2" t="inlineStr">
        <is>
          <t>Art. 112.º-D (aditamento)</t>
        </is>
      </c>
      <c r="H816" s="2" t="n"/>
      <c r="I816" s="2" t="n"/>
      <c r="J816" s="2" t="n"/>
      <c r="K816" s="2" t="n"/>
      <c r="L816" s="2" t="inlineStr">
        <is>
          <t>Artigo 112.º-D (Alteração ao Decreto-Lei n.º 223/95, de 8 de setembro)</t>
        </is>
      </c>
      <c r="M816" s="4" t="n"/>
      <c r="N816" s="4" t="n"/>
      <c r="O816" s="2" t="n"/>
      <c r="P816" s="2" t="n"/>
      <c r="Q816" s="2" t="n"/>
      <c r="R816" s="2" t="n"/>
      <c r="S816" s="2" t="inlineStr">
        <is>
          <t>Rejeitado(a) em Comissão</t>
        </is>
      </c>
      <c r="T816" s="2" t="inlineStr">
        <is>
          <t>Rejeitada</t>
        </is>
      </c>
      <c r="U816" s="2" t="inlineStr">
        <is>
          <t>Favor: L, PCP, BE, PAN; Contra: PSD, IL, CDS-PP; Abstenção: CH, PS</t>
        </is>
      </c>
      <c r="V816" s="3" t="n">
        <v>45982</v>
      </c>
      <c r="W816" s="2" t="inlineStr">
        <is>
          <t>AR: https://www.parlamento.pt/OrcamentoEstado/Paginas/DetalhePropostaAlteracao.aspx?BID=24181 PDF: https://app.parlamento.pt/webutils/docs/doc.pdf?path=6148523063484d364c793942556b356c6443397a6158526c63793959566b6c4a544556484c3039464c7a49774d6a59794d4449314d5441774f533951515338344e4759794e4463784e7930354e6a59354c5451324e444574595467354d5330324e57566b4e4751775a6a42684d4745756347526d&amp;Fich=84f24717-9669-4641-a891-65ed4d0f0a0a.pdf&amp;Inline=true</t>
        </is>
      </c>
      <c r="X816" s="2" t="inlineStr">
        <is>
          <t>Trabalho, Segurança Social e Inclusão</t>
        </is>
      </c>
      <c r="Y816" s="2" t="inlineStr">
        <is>
          <t>Articulado</t>
        </is>
      </c>
      <c r="Z816" s="2" t="inlineStr">
        <is>
          <t>Aditamento (Artigo PPL)</t>
        </is>
      </c>
      <c r="AA816" s="2" t="inlineStr">
        <is>
          <t>Rejeitado(a) em Comissão</t>
        </is>
      </c>
      <c r="AB816" s="2" t="inlineStr"/>
      <c r="AC816" s="2" t="inlineStr">
        <is>
          <t>2</t>
        </is>
      </c>
      <c r="AD816" s="2" t="inlineStr">
        <is>
          <t>1</t>
        </is>
      </c>
      <c r="AE816" s="2" t="inlineStr">
        <is>
          <t>24181</t>
        </is>
      </c>
      <c r="AF816" s="2" t="inlineStr">
        <is>
          <t>https://www.parlamento.pt/OrcamentoEstado/Paginas/DetalhePropostaAlteracao.aspx?BID=24181</t>
        </is>
      </c>
      <c r="AG816" s="2" t="inlineStr">
        <is>
          <t>https://app.parlamento.pt/webutils/docs/doc.pdf?path=6148523063484d364c793942556b356c6443397a6158526c63793959566b6c4a544556484c3039464c7a49774d6a59794d4449314d5441774f533951515338344e4759794e4463784e7930354e6a59354c5451324e444574595467354d5330324e57566b4e4751775a6a42684d4745756347526d&amp;Fich=84f24717-9669-4641-a891-65ed4d0f0a0a.pdf&amp;Inline=true</t>
        </is>
      </c>
      <c r="AH816" s="3" t="n">
        <v>46321.77847222222</v>
      </c>
      <c r="AI816" s="3" t="n">
        <v>46321.78055555555</v>
      </c>
      <c r="AJ816" s="2" t="inlineStr"/>
    </row>
    <row r="817">
      <c r="A817" s="2" t="n">
        <v>816</v>
      </c>
      <c r="B817" s="2" t="inlineStr">
        <is>
          <t>761C</t>
        </is>
      </c>
      <c r="C817" s="3" t="n">
        <v>45967.46180555555</v>
      </c>
      <c r="D817" s="2" t="inlineStr">
        <is>
          <t>Original</t>
        </is>
      </c>
      <c r="E817" s="2" t="inlineStr">
        <is>
          <t>BE</t>
        </is>
      </c>
      <c r="F817" s="2" t="inlineStr">
        <is>
          <t>Mariana Mortágua</t>
        </is>
      </c>
      <c r="G817" s="2" t="inlineStr">
        <is>
          <t>Art. 38.º-A (aditamento)</t>
        </is>
      </c>
      <c r="H817" s="2" t="n"/>
      <c r="I817" s="2" t="n"/>
      <c r="J817" s="2" t="n"/>
      <c r="K817" s="2" t="n"/>
      <c r="L817" s="2" t="inlineStr">
        <is>
          <t>Artigo 38.º-A (Alarga a proteção conferida pela Prestação Social para a Inclusão)</t>
        </is>
      </c>
      <c r="M817" s="4" t="n"/>
      <c r="N817" s="4" t="n"/>
      <c r="O817" s="2" t="n"/>
      <c r="P817" s="2" t="n"/>
      <c r="Q817" s="2" t="n"/>
      <c r="R817" s="2" t="n"/>
      <c r="S817" s="2" t="inlineStr">
        <is>
          <t>Rejeitado(a) em Comissão</t>
        </is>
      </c>
      <c r="T817" s="2" t="inlineStr">
        <is>
          <t>Rejeitada</t>
        </is>
      </c>
      <c r="U817" s="2" t="inlineStr">
        <is>
          <t>Favor: CH, L, PCP, BE, PAN; Contra: PSD, IL, CDS-PP; Abstenção: PS</t>
        </is>
      </c>
      <c r="V817" s="3" t="n">
        <v>45981</v>
      </c>
      <c r="W817" s="2" t="inlineStr">
        <is>
          <t>AR: https://www.parlamento.pt/OrcamentoEstado/Paginas/DetalhePropostaAlteracao.aspx?BID=23987 PDF: https://app.parlamento.pt/webutils/docs/doc.pdf?path=6148523063484d364c793942556b356c6443397a6158526c63793959566b6c4a544556484c3039464c7a49774d6a59794d4449314d5441774f533951515339694e5455354e6a5a6a5a53316a5a6d4d354c5451324d6a4d744f4441305a53307959574931596a6b795a475a694d6d51756347526d&amp;Fich=b55966ce-cfc9-4623-804e-2ab5b92dfb2d.pdf&amp;Inline=true</t>
        </is>
      </c>
      <c r="X817" s="2" t="inlineStr">
        <is>
          <t>Trabalho, Segurança Social e Inclusão</t>
        </is>
      </c>
      <c r="Y817" s="2" t="inlineStr">
        <is>
          <t>Articulado</t>
        </is>
      </c>
      <c r="Z817" s="2" t="inlineStr">
        <is>
          <t>Aditamento (Artigo PPL)</t>
        </is>
      </c>
      <c r="AA817" s="2" t="inlineStr">
        <is>
          <t>Rejeitado(a) em Comissão</t>
        </is>
      </c>
      <c r="AB817" s="2" t="inlineStr"/>
      <c r="AC817" s="2" t="inlineStr"/>
      <c r="AD817" s="2" t="inlineStr">
        <is>
          <t>1</t>
        </is>
      </c>
      <c r="AE817" s="2" t="inlineStr">
        <is>
          <t>23987</t>
        </is>
      </c>
      <c r="AF817" s="2" t="inlineStr">
        <is>
          <t>https://www.parlamento.pt/OrcamentoEstado/Paginas/DetalhePropostaAlteracao.aspx?BID=23987</t>
        </is>
      </c>
      <c r="AG817" s="2" t="inlineStr">
        <is>
          <t>https://app.parlamento.pt/webutils/docs/doc.pdf?path=6148523063484d364c793942556b356c6443397a6158526c63793959566b6c4a544556484c3039464c7a49774d6a59794d4449314d5441774f533951515339694e5455354e6a5a6a5a53316a5a6d4d354c5451324d6a4d744f4441305a53307959574931596a6b795a475a694d6d51756347526d&amp;Fich=b55966ce-cfc9-4623-804e-2ab5b92dfb2d.pdf&amp;Inline=true</t>
        </is>
      </c>
      <c r="AH817" s="3" t="n">
        <v>46321.77847222222</v>
      </c>
      <c r="AI817" s="3" t="n">
        <v>46321.78055555555</v>
      </c>
      <c r="AJ817" s="2" t="inlineStr"/>
    </row>
    <row r="818">
      <c r="A818" s="2" t="n">
        <v>817</v>
      </c>
      <c r="B818" s="2" t="inlineStr">
        <is>
          <t>762C</t>
        </is>
      </c>
      <c r="C818" s="3" t="n">
        <v>45967.46319444444</v>
      </c>
      <c r="D818" s="2" t="inlineStr">
        <is>
          <t>Original</t>
        </is>
      </c>
      <c r="E818" s="2" t="inlineStr">
        <is>
          <t>BE</t>
        </is>
      </c>
      <c r="F818" s="2" t="inlineStr">
        <is>
          <t>Mariana Mortágua</t>
        </is>
      </c>
      <c r="G818" s="2" t="inlineStr">
        <is>
          <t>Art. 38.º-Q (aditamento)</t>
        </is>
      </c>
      <c r="H818" s="2" t="n"/>
      <c r="I818" s="2" t="n"/>
      <c r="J818" s="2" t="n"/>
      <c r="K818" s="2" t="n"/>
      <c r="L818" s="2" t="inlineStr">
        <is>
          <t>Artigo 38.º-Q (Regulamentação da majoração da prestação social para a inclusão)</t>
        </is>
      </c>
      <c r="M818" s="4" t="n"/>
      <c r="N818" s="4" t="n"/>
      <c r="O818" s="2" t="n"/>
      <c r="P818" s="2" t="n"/>
      <c r="Q818" s="2" t="n"/>
      <c r="R818" s="2" t="n"/>
      <c r="S818" s="2" t="inlineStr">
        <is>
          <t>Rejeitado(a) em Comissão</t>
        </is>
      </c>
      <c r="T818" s="2" t="inlineStr">
        <is>
          <t>Rejeitada</t>
        </is>
      </c>
      <c r="U818" s="2" t="inlineStr">
        <is>
          <t>Favor: CH, IL, L, PCP, BE, PAN; Contra: PSD, CDS-PP; Abstenção: PS</t>
        </is>
      </c>
      <c r="V818" s="3" t="n">
        <v>45981</v>
      </c>
      <c r="W818" s="2" t="inlineStr">
        <is>
          <t>AR: https://www.parlamento.pt/OrcamentoEstado/Paginas/DetalhePropostaAlteracao.aspx?BID=23988 PDF: https://app.parlamento.pt/webutils/docs/doc.pdf?path=6148523063484d364c793942556b356c6443397a6158526c63793959566b6c4a544556484c3039464c7a49774d6a59794d4449314d5441774f533951515338335a4749304f47566c5a69307a5a544e6b4c545269596d45744f544268597930304d7a67314e6a686a5a6d526d597a51756347526d&amp;Fich=7db48eef-3e3d-4bba-90ac-438568cfdfc4.pdf&amp;Inline=true</t>
        </is>
      </c>
      <c r="X818" s="2" t="inlineStr">
        <is>
          <t>Trabalho, Segurança Social e Inclusão</t>
        </is>
      </c>
      <c r="Y818" s="2" t="inlineStr">
        <is>
          <t>Articulado</t>
        </is>
      </c>
      <c r="Z818" s="2" t="inlineStr">
        <is>
          <t>Aditamento (Artigo PPL)</t>
        </is>
      </c>
      <c r="AA818" s="2" t="inlineStr">
        <is>
          <t>Rejeitado(a) em Comissão</t>
        </is>
      </c>
      <c r="AB818" s="2" t="inlineStr"/>
      <c r="AC818" s="2" t="inlineStr"/>
      <c r="AD818" s="2" t="inlineStr">
        <is>
          <t>1</t>
        </is>
      </c>
      <c r="AE818" s="2" t="inlineStr">
        <is>
          <t>23988</t>
        </is>
      </c>
      <c r="AF818" s="2" t="inlineStr">
        <is>
          <t>https://www.parlamento.pt/OrcamentoEstado/Paginas/DetalhePropostaAlteracao.aspx?BID=23988</t>
        </is>
      </c>
      <c r="AG818" s="2" t="inlineStr">
        <is>
          <t>https://app.parlamento.pt/webutils/docs/doc.pdf?path=6148523063484d364c793942556b356c6443397a6158526c63793959566b6c4a544556484c3039464c7a49774d6a59794d4449314d5441774f533951515338335a4749304f47566c5a69307a5a544e6b4c545269596d45744f544268597930304d7a67314e6a686a5a6d526d597a51756347526d&amp;Fich=7db48eef-3e3d-4bba-90ac-438568cfdfc4.pdf&amp;Inline=true</t>
        </is>
      </c>
      <c r="AH818" s="3" t="n">
        <v>46321.77847222222</v>
      </c>
      <c r="AI818" s="3" t="n">
        <v>46321.78055555555</v>
      </c>
      <c r="AJ818" s="2" t="inlineStr"/>
    </row>
    <row r="819">
      <c r="A819" s="2" t="n">
        <v>818</v>
      </c>
      <c r="B819" s="2" t="inlineStr">
        <is>
          <t>763C</t>
        </is>
      </c>
      <c r="C819" s="3" t="n">
        <v>45967.46388888889</v>
      </c>
      <c r="D819" s="2" t="inlineStr">
        <is>
          <t>Original</t>
        </is>
      </c>
      <c r="E819" s="2" t="inlineStr">
        <is>
          <t>BE</t>
        </is>
      </c>
      <c r="F819" s="2" t="inlineStr">
        <is>
          <t>Mariana Mortágua</t>
        </is>
      </c>
      <c r="G819" s="2" t="inlineStr">
        <is>
          <t>Art. 112.º-A (aditamento)</t>
        </is>
      </c>
      <c r="H819" s="2" t="n"/>
      <c r="I819" s="2" t="n"/>
      <c r="J819" s="2" t="n"/>
      <c r="K819" s="2" t="n"/>
      <c r="L819" s="2" t="inlineStr">
        <is>
          <t>Artigo 112.º-A (Atualização da Lista de Produtos de Apoio)</t>
        </is>
      </c>
      <c r="M819" s="4" t="n"/>
      <c r="N819" s="4" t="n"/>
      <c r="O819" s="2" t="n"/>
      <c r="P819" s="2" t="n"/>
      <c r="Q819" s="2" t="n"/>
      <c r="R819" s="2" t="n"/>
      <c r="S819" s="2" t="inlineStr">
        <is>
          <t>Rejeitado(a) em Comissão</t>
        </is>
      </c>
      <c r="T819" s="2" t="inlineStr">
        <is>
          <t>Rejeitada</t>
        </is>
      </c>
      <c r="U819" s="2" t="inlineStr">
        <is>
          <t>Favor: CH, IL, L, PCP, BE, PAN; Contra: PSD, CDS-PP; Abstenção: PS</t>
        </is>
      </c>
      <c r="V819" s="3" t="n">
        <v>45982</v>
      </c>
      <c r="W819" s="2" t="inlineStr">
        <is>
          <t>AR: https://www.parlamento.pt/OrcamentoEstado/Paginas/DetalhePropostaAlteracao.aspx?BID=23989 PDF: https://app.parlamento.pt/webutils/docs/doc.pdf?path=6148523063484d364c793942556b356c6443397a6158526c63793959566b6c4a544556484c3039464c7a49774d6a59794d4449314d5441774f5339515153396a4d54466d596d49314d53316a595455774c5451335a6a4574595755784d4330345a5745774f4755334d325979595459756347526d&amp;Fich=c11fbb51-ca50-47f1-ae10-8ea08e73f2a6.pdf&amp;Inline=true</t>
        </is>
      </c>
      <c r="X819" s="2" t="inlineStr">
        <is>
          <t>Trabalho, Segurança Social e Inclusão</t>
        </is>
      </c>
      <c r="Y819" s="2" t="inlineStr">
        <is>
          <t>Articulado</t>
        </is>
      </c>
      <c r="Z819" s="2" t="inlineStr">
        <is>
          <t>Aditamento (Artigo PPL)</t>
        </is>
      </c>
      <c r="AA819" s="2" t="inlineStr">
        <is>
          <t>Rejeitado(a) em Comissão</t>
        </is>
      </c>
      <c r="AB819" s="2" t="inlineStr"/>
      <c r="AC819" s="2" t="inlineStr"/>
      <c r="AD819" s="2" t="inlineStr">
        <is>
          <t>1</t>
        </is>
      </c>
      <c r="AE819" s="2" t="inlineStr">
        <is>
          <t>23989</t>
        </is>
      </c>
      <c r="AF819" s="2" t="inlineStr">
        <is>
          <t>https://www.parlamento.pt/OrcamentoEstado/Paginas/DetalhePropostaAlteracao.aspx?BID=23989</t>
        </is>
      </c>
      <c r="AG819" s="2" t="inlineStr">
        <is>
          <t>https://app.parlamento.pt/webutils/docs/doc.pdf?path=6148523063484d364c793942556b356c6443397a6158526c63793959566b6c4a544556484c3039464c7a49774d6a59794d4449314d5441774f5339515153396a4d54466d596d49314d53316a595455774c5451335a6a4574595755784d4330345a5745774f4755334d325979595459756347526d&amp;Fich=c11fbb51-ca50-47f1-ae10-8ea08e73f2a6.pdf&amp;Inline=true</t>
        </is>
      </c>
      <c r="AH819" s="3" t="n">
        <v>46321.77847222222</v>
      </c>
      <c r="AI819" s="3" t="n">
        <v>46321.78055555555</v>
      </c>
      <c r="AJ819" s="2" t="inlineStr"/>
    </row>
    <row r="820">
      <c r="A820" s="2" t="n">
        <v>819</v>
      </c>
      <c r="B820" s="2" t="inlineStr">
        <is>
          <t>764C</t>
        </is>
      </c>
      <c r="C820" s="3" t="n">
        <v>45967.46388888889</v>
      </c>
      <c r="D820" s="2" t="inlineStr">
        <is>
          <t>Original</t>
        </is>
      </c>
      <c r="E820" s="2" t="inlineStr">
        <is>
          <t>L</t>
        </is>
      </c>
      <c r="F820" s="2" t="inlineStr">
        <is>
          <t>Filipa Pinto; Isabel Mendes Lopes; Jorge Pinto; Patrícia Gonçalves; Paulo Muacho; Rui Tavares</t>
        </is>
      </c>
      <c r="G820" s="2" t="inlineStr">
        <is>
          <t>Art. 112.º-A (aditamento)</t>
        </is>
      </c>
      <c r="H820" s="2" t="n"/>
      <c r="I820" s="2" t="n"/>
      <c r="J820" s="2" t="n"/>
      <c r="K820" s="2" t="n"/>
      <c r="L820" s="2" t="inlineStr">
        <is>
          <t>Artigo 112.º-A (Cartão +Cultura +Cidadania)</t>
        </is>
      </c>
      <c r="M820" s="4" t="n"/>
      <c r="N820" s="4" t="n"/>
      <c r="O820" s="2" t="n"/>
      <c r="P820" s="2" t="n"/>
      <c r="Q820" s="2" t="n"/>
      <c r="R820" s="2" t="n"/>
      <c r="S820" s="2" t="inlineStr">
        <is>
          <t>Rejeitado(a) em Comissão</t>
        </is>
      </c>
      <c r="T820" s="2" t="inlineStr">
        <is>
          <t>Rejeitada</t>
        </is>
      </c>
      <c r="U820" s="2" t="inlineStr">
        <is>
          <t>Favor: L, BE, PAN; Contra: PSD, CH, CDS-PP; Abstenção: PS, IL, PCP</t>
        </is>
      </c>
      <c r="V820" s="3" t="n">
        <v>45982</v>
      </c>
      <c r="W820" s="2" t="inlineStr">
        <is>
          <t>AR: https://www.parlamento.pt/OrcamentoEstado/Paginas/DetalhePropostaAlteracao.aspx?BID=23990 PDF: https://app.parlamento.pt/webutils/docs/doc.pdf?path=6148523063484d364c793942556b356c6443397a6158526c63793959566b6c4a544556484c3039464c7a49774d6a59794d4449314d5441774f533951515338304e4463774d546b7a4e4330314e475a6a4c54513059574d74595445785a533033595745334d474579596d56695a5745756347526d&amp;Fich=44701934-54fc-44ac-a11e-7aa70a2bebea.pdf&amp;Inline=true</t>
        </is>
      </c>
      <c r="X820" s="2" t="inlineStr">
        <is>
          <t>Cultura, Comunicação, Juventude e Desporto</t>
        </is>
      </c>
      <c r="Y820" s="2" t="inlineStr">
        <is>
          <t>Articulado</t>
        </is>
      </c>
      <c r="Z820" s="2" t="inlineStr">
        <is>
          <t>Aditamento (Artigo PPL)</t>
        </is>
      </c>
      <c r="AA820" s="2" t="inlineStr">
        <is>
          <t>Rejeitado(a) em Comissão</t>
        </is>
      </c>
      <c r="AB820" s="2" t="inlineStr"/>
      <c r="AC820" s="2" t="inlineStr"/>
      <c r="AD820" s="2" t="inlineStr">
        <is>
          <t>1</t>
        </is>
      </c>
      <c r="AE820" s="2" t="inlineStr">
        <is>
          <t>23990</t>
        </is>
      </c>
      <c r="AF820" s="2" t="inlineStr">
        <is>
          <t>https://www.parlamento.pt/OrcamentoEstado/Paginas/DetalhePropostaAlteracao.aspx?BID=23990</t>
        </is>
      </c>
      <c r="AG820" s="2" t="inlineStr">
        <is>
          <t>https://app.parlamento.pt/webutils/docs/doc.pdf?path=6148523063484d364c793942556b356c6443397a6158526c63793959566b6c4a544556484c3039464c7a49774d6a59794d4449314d5441774f533951515338304e4463774d546b7a4e4330314e475a6a4c54513059574d74595445785a533033595745334d474579596d56695a5745756347526d&amp;Fich=44701934-54fc-44ac-a11e-7aa70a2bebea.pdf&amp;Inline=true</t>
        </is>
      </c>
      <c r="AH820" s="3" t="n">
        <v>46321.77847222222</v>
      </c>
      <c r="AI820" s="3" t="n">
        <v>46321.78055555555</v>
      </c>
      <c r="AJ820" s="2" t="inlineStr"/>
    </row>
    <row r="821">
      <c r="A821" s="2" t="n">
        <v>820</v>
      </c>
      <c r="B821" s="2" t="inlineStr">
        <is>
          <t>765C</t>
        </is>
      </c>
      <c r="C821" s="3" t="n">
        <v>45967.46597222222</v>
      </c>
      <c r="D821" s="2" t="inlineStr">
        <is>
          <t>Original</t>
        </is>
      </c>
      <c r="E821" s="2" t="inlineStr">
        <is>
          <t>BE</t>
        </is>
      </c>
      <c r="F821" s="2" t="inlineStr">
        <is>
          <t>Mariana Mortágua</t>
        </is>
      </c>
      <c r="G821" s="2" t="inlineStr">
        <is>
          <t>Art. 110.º-B (aditamento)</t>
        </is>
      </c>
      <c r="H821" s="2" t="n"/>
      <c r="I821" s="2" t="n"/>
      <c r="J821" s="2" t="n"/>
      <c r="K821" s="2" t="n"/>
      <c r="L821" s="2" t="inlineStr">
        <is>
          <t>Artigo 110.º-B (Reforço do serviço de apoio domiciliário na Região Autónoma da Madeira)</t>
        </is>
      </c>
      <c r="M821" s="4" t="n"/>
      <c r="N821" s="4" t="n"/>
      <c r="O821" s="2" t="n"/>
      <c r="P821" s="2" t="n"/>
      <c r="Q821" s="2" t="n"/>
      <c r="R821" s="2" t="n"/>
      <c r="S821" s="2" t="inlineStr">
        <is>
          <t>Rejeitado(a) em Comissão</t>
        </is>
      </c>
      <c r="T821" s="2" t="inlineStr">
        <is>
          <t>Rejeitada</t>
        </is>
      </c>
      <c r="U821" s="2" t="inlineStr">
        <is>
          <t>Favor: CH, L, PCP, BE, PAN; Contra: PSD, IL, CDS-PP; Abstenção: PS</t>
        </is>
      </c>
      <c r="V821" s="3" t="n">
        <v>45982</v>
      </c>
      <c r="W821" s="2" t="inlineStr">
        <is>
          <t>AR: https://www.parlamento.pt/OrcamentoEstado/Paginas/DetalhePropostaAlteracao.aspx?BID=23991 PDF: https://app.parlamento.pt/webutils/docs/doc.pdf?path=6148523063484d364c793942556b356c6443397a6158526c63793959566b6c4a544556484c3039464c7a49774d6a59794d4449314d5441774f533951515339695a4445774e5749334f53316b4d4451354c5451334d7a67744f4759775a6930315a4749784d445a694e475931597a51756347526d&amp;Fich=bd105b79-d049-4738-8f0f-5db106b4f5c4.pdf&amp;Inline=true</t>
        </is>
      </c>
      <c r="X821" s="2" t="inlineStr">
        <is>
          <t>Trabalho, Segurança Social e Inclusão</t>
        </is>
      </c>
      <c r="Y821" s="2" t="inlineStr">
        <is>
          <t>Articulado</t>
        </is>
      </c>
      <c r="Z821" s="2" t="inlineStr">
        <is>
          <t>Aditamento (Artigo PPL)</t>
        </is>
      </c>
      <c r="AA821" s="2" t="inlineStr">
        <is>
          <t>Rejeitado(a) em Comissão</t>
        </is>
      </c>
      <c r="AB821" s="2" t="inlineStr"/>
      <c r="AC821" s="2" t="inlineStr"/>
      <c r="AD821" s="2" t="inlineStr">
        <is>
          <t>1</t>
        </is>
      </c>
      <c r="AE821" s="2" t="inlineStr">
        <is>
          <t>23991</t>
        </is>
      </c>
      <c r="AF821" s="2" t="inlineStr">
        <is>
          <t>https://www.parlamento.pt/OrcamentoEstado/Paginas/DetalhePropostaAlteracao.aspx?BID=23991</t>
        </is>
      </c>
      <c r="AG821" s="2" t="inlineStr">
        <is>
          <t>https://app.parlamento.pt/webutils/docs/doc.pdf?path=6148523063484d364c793942556b356c6443397a6158526c63793959566b6c4a544556484c3039464c7a49774d6a59794d4449314d5441774f533951515339695a4445774e5749334f53316b4d4451354c5451334d7a67744f4759775a6930315a4749784d445a694e475931597a51756347526d&amp;Fich=bd105b79-d049-4738-8f0f-5db106b4f5c4.pdf&amp;Inline=true</t>
        </is>
      </c>
      <c r="AH821" s="3" t="n">
        <v>46321.77847222222</v>
      </c>
      <c r="AI821" s="3" t="n">
        <v>46321.78055555555</v>
      </c>
      <c r="AJ821" s="2" t="inlineStr"/>
    </row>
    <row r="822">
      <c r="A822" s="2" t="n">
        <v>821</v>
      </c>
      <c r="B822" s="2" t="inlineStr">
        <is>
          <t>766C</t>
        </is>
      </c>
      <c r="C822" s="3" t="n">
        <v>45967.46736111111</v>
      </c>
      <c r="D822" s="2" t="inlineStr">
        <is>
          <t>Original</t>
        </is>
      </c>
      <c r="E822" s="2" t="inlineStr">
        <is>
          <t>BE</t>
        </is>
      </c>
      <c r="F822" s="2" t="inlineStr">
        <is>
          <t>Mariana Mortágua</t>
        </is>
      </c>
      <c r="G822" s="2" t="inlineStr">
        <is>
          <t>Art. 22.º-A (aditamento)</t>
        </is>
      </c>
      <c r="H822" s="2" t="n"/>
      <c r="I822" s="2" t="n"/>
      <c r="J822" s="2" t="n"/>
      <c r="K822" s="2" t="n"/>
      <c r="L822" s="2" t="inlineStr">
        <is>
          <t>Artigo 22.º-A (Reforço da capacidade profissional dos serviços públicos e procedimentos de contratação)</t>
        </is>
      </c>
      <c r="M822" s="4" t="n"/>
      <c r="N822" s="4" t="n"/>
      <c r="O822" s="2" t="n"/>
      <c r="P822" s="2" t="n"/>
      <c r="Q822" s="2" t="n"/>
      <c r="R822" s="2" t="n"/>
      <c r="S822" s="2" t="inlineStr">
        <is>
          <t>Rejeitado(a) em Comissão</t>
        </is>
      </c>
      <c r="T822" s="2" t="inlineStr">
        <is>
          <t>Rejeitada</t>
        </is>
      </c>
      <c r="U822" s="2" t="inlineStr">
        <is>
          <t>Favor: PS, L, PCP, BE, PAN; Contra: PSD, CH, IL, CDS-PP</t>
        </is>
      </c>
      <c r="V822" s="3" t="n">
        <v>45981</v>
      </c>
      <c r="W822" s="2" t="inlineStr">
        <is>
          <t>AR: https://www.parlamento.pt/OrcamentoEstado/Paginas/DetalhePropostaAlteracao.aspx?BID=23992 PDF: https://app.parlamento.pt/webutils/docs/doc.pdf?path=6148523063484d364c793942556b356c6443397a6158526c63793959566b6c4a544556484c3039464c7a49774d6a59794d4449314d5441774f53395151533833596a4d784d444132595330775a6a6c684c5451314e544974596a686959693030596a6379595745784e7a51325a6d45756347526d&amp;Fich=7b31006a-0f9a-4552-b8bb-4b72aa1746fa.pdf&amp;Inline=true</t>
        </is>
      </c>
      <c r="X822" s="2" t="inlineStr">
        <is>
          <t>Orçamento, Finanças e Administração Pública</t>
        </is>
      </c>
      <c r="Y822" s="2" t="inlineStr">
        <is>
          <t>Articulado</t>
        </is>
      </c>
      <c r="Z822" s="2" t="inlineStr">
        <is>
          <t>Aditamento (Artigo PPL)</t>
        </is>
      </c>
      <c r="AA822" s="2" t="inlineStr">
        <is>
          <t>Rejeitado(a) em Comissão</t>
        </is>
      </c>
      <c r="AB822" s="2" t="inlineStr"/>
      <c r="AC822" s="2" t="inlineStr"/>
      <c r="AD822" s="2" t="inlineStr">
        <is>
          <t>1</t>
        </is>
      </c>
      <c r="AE822" s="2" t="inlineStr">
        <is>
          <t>23992</t>
        </is>
      </c>
      <c r="AF822" s="2" t="inlineStr">
        <is>
          <t>https://www.parlamento.pt/OrcamentoEstado/Paginas/DetalhePropostaAlteracao.aspx?BID=23992</t>
        </is>
      </c>
      <c r="AG822" s="2" t="inlineStr">
        <is>
          <t>https://app.parlamento.pt/webutils/docs/doc.pdf?path=6148523063484d364c793942556b356c6443397a6158526c63793959566b6c4a544556484c3039464c7a49774d6a59794d4449314d5441774f53395151533833596a4d784d444132595330775a6a6c684c5451314e544974596a686959693030596a6379595745784e7a51325a6d45756347526d&amp;Fich=7b31006a-0f9a-4552-b8bb-4b72aa1746fa.pdf&amp;Inline=true</t>
        </is>
      </c>
      <c r="AH822" s="3" t="n">
        <v>46321.77847222222</v>
      </c>
      <c r="AI822" s="3" t="n">
        <v>46321.78055555555</v>
      </c>
      <c r="AJ822" s="2" t="inlineStr"/>
    </row>
    <row r="823">
      <c r="A823" s="2" t="n">
        <v>822</v>
      </c>
      <c r="B823" s="2" t="inlineStr">
        <is>
          <t>767C</t>
        </is>
      </c>
      <c r="C823" s="3" t="n">
        <v>45967.46875</v>
      </c>
      <c r="D823" s="2" t="inlineStr">
        <is>
          <t>Original</t>
        </is>
      </c>
      <c r="E823" s="2" t="inlineStr">
        <is>
          <t>BE</t>
        </is>
      </c>
      <c r="F823" s="2" t="inlineStr">
        <is>
          <t>Mariana Mortágua</t>
        </is>
      </c>
      <c r="G823" s="2" t="inlineStr">
        <is>
          <t>Art. 112.º-A (aditamento)</t>
        </is>
      </c>
      <c r="H823" s="2" t="n"/>
      <c r="I823" s="2" t="n"/>
      <c r="J823" s="2" t="n"/>
      <c r="K823" s="2" t="n"/>
      <c r="L823" s="2" t="inlineStr">
        <is>
          <t>Artigo 112.º-A (Alteração à Lei n.º 64/2014, de 26 de agosto)</t>
        </is>
      </c>
      <c r="M823" s="4" t="n"/>
      <c r="N823" s="4" t="n"/>
      <c r="O823" s="2" t="n"/>
      <c r="P823" s="2" t="n"/>
      <c r="Q823" s="2" t="n"/>
      <c r="R823" s="2" t="n"/>
      <c r="S823" s="2" t="inlineStr">
        <is>
          <t>Rejeitado(a) em Comissão</t>
        </is>
      </c>
      <c r="T823" s="2" t="inlineStr">
        <is>
          <t>Rejeitada</t>
        </is>
      </c>
      <c r="U823" s="2" t="inlineStr">
        <is>
          <t>Favor: CH, L, PCP, BE, PAN; Contra: PSD, IL, CDS-PP; Abstenção: PS</t>
        </is>
      </c>
      <c r="V823" s="3" t="n">
        <v>45982</v>
      </c>
      <c r="W823" s="2" t="inlineStr">
        <is>
          <t>AR: https://www.parlamento.pt/OrcamentoEstado/Paginas/DetalhePropostaAlteracao.aspx?BID=23993 PDF: https://app.parlamento.pt/webutils/docs/doc.pdf?path=6148523063484d364c793942556b356c6443397a6158526c63793959566b6c4a544556484c3039464c7a49774d6a59794d4449314d5441774f533951515338354d54646c4d546c6b5a6931695a5445324c54526d4d474574596a56694f4331684f5445334d5445324e6d45344d7a59756347526d&amp;Fich=917e19df-be16-4f0a-b5b8-a9171166a836.pdf&amp;Inline=true</t>
        </is>
      </c>
      <c r="X823" s="2" t="inlineStr">
        <is>
          <t>Trabalho, Segurança Social e Inclusão</t>
        </is>
      </c>
      <c r="Y823" s="2" t="inlineStr">
        <is>
          <t>Articulado</t>
        </is>
      </c>
      <c r="Z823" s="2" t="inlineStr">
        <is>
          <t>Aditamento (Artigo PPL)</t>
        </is>
      </c>
      <c r="AA823" s="2" t="inlineStr">
        <is>
          <t>Rejeitado(a) em Comissão</t>
        </is>
      </c>
      <c r="AB823" s="2" t="inlineStr"/>
      <c r="AC823" s="2" t="inlineStr"/>
      <c r="AD823" s="2" t="inlineStr">
        <is>
          <t>1</t>
        </is>
      </c>
      <c r="AE823" s="2" t="inlineStr">
        <is>
          <t>23993</t>
        </is>
      </c>
      <c r="AF823" s="2" t="inlineStr">
        <is>
          <t>https://www.parlamento.pt/OrcamentoEstado/Paginas/DetalhePropostaAlteracao.aspx?BID=23993</t>
        </is>
      </c>
      <c r="AG823" s="2" t="inlineStr">
        <is>
          <t>https://app.parlamento.pt/webutils/docs/doc.pdf?path=6148523063484d364c793942556b356c6443397a6158526c63793959566b6c4a544556484c3039464c7a49774d6a59794d4449314d5441774f533951515338354d54646c4d546c6b5a6931695a5445324c54526d4d474574596a56694f4331684f5445334d5445324e6d45344d7a59756347526d&amp;Fich=917e19df-be16-4f0a-b5b8-a9171166a836.pdf&amp;Inline=true</t>
        </is>
      </c>
      <c r="AH823" s="3" t="n">
        <v>46321.77847222222</v>
      </c>
      <c r="AI823" s="3" t="n">
        <v>46321.78055555555</v>
      </c>
      <c r="AJ823" s="2" t="inlineStr"/>
    </row>
    <row r="824">
      <c r="A824" s="2" t="n">
        <v>823</v>
      </c>
      <c r="B824" s="2" t="inlineStr">
        <is>
          <t>768C</t>
        </is>
      </c>
      <c r="C824" s="3" t="n">
        <v>45967.46875</v>
      </c>
      <c r="D824" s="2" t="inlineStr">
        <is>
          <t>Original</t>
        </is>
      </c>
      <c r="E824" s="2" t="inlineStr">
        <is>
          <t>L</t>
        </is>
      </c>
      <c r="F824" s="2" t="inlineStr">
        <is>
          <t>Filipa Pinto; Isabel Mendes Lopes; Jorge Pinto; Patrícia Gonçalves; Paulo Muacho; Rui Tavares</t>
        </is>
      </c>
      <c r="G824" s="2" t="inlineStr">
        <is>
          <t>Art. 112.º-A (aditamento)</t>
        </is>
      </c>
      <c r="H824" s="2" t="n"/>
      <c r="I824" s="2" t="n"/>
      <c r="J824" s="2" t="n"/>
      <c r="K824" s="2" t="n"/>
      <c r="L824" s="2" t="inlineStr">
        <is>
          <t>Artigo 112.º-A (Preservação e divulgação do trabalho de artistas e autores emergentes)</t>
        </is>
      </c>
      <c r="M824" s="4" t="n"/>
      <c r="N824" s="4" t="n"/>
      <c r="O824" s="2" t="n"/>
      <c r="P824" s="2" t="n"/>
      <c r="Q824" s="2" t="n"/>
      <c r="R824" s="2" t="n"/>
      <c r="S824" s="2" t="inlineStr">
        <is>
          <t>Rejeitado(a) em Comissão</t>
        </is>
      </c>
      <c r="T824" s="2" t="inlineStr">
        <is>
          <t>Rejeitada</t>
        </is>
      </c>
      <c r="U824" s="2" t="inlineStr">
        <is>
          <t>Favor: L, PCP, BE, PAN; Contra: PSD, CH, IL, CDS-PP; Abstenção: PS</t>
        </is>
      </c>
      <c r="V824" s="3" t="n">
        <v>45982</v>
      </c>
      <c r="W824" s="2" t="inlineStr">
        <is>
          <t>AR: https://www.parlamento.pt/OrcamentoEstado/Paginas/DetalhePropostaAlteracao.aspx?BID=23994 PDF: https://app.parlamento.pt/webutils/docs/doc.pdf?path=6148523063484d364c793942556b356c6443397a6158526c63793959566b6c4a544556484c3039464c7a49774d6a59794d4449314d5441774f533951515338774f475269595755305a69316a5a4459774c5452684e6a51744f47566c5a6931684f44557a4d6a59334d5755354d5449756347526d&amp;Fich=08dbae4f-cd60-4a64-8eef-a8532671e912.pdf&amp;Inline=true</t>
        </is>
      </c>
      <c r="X824" s="2" t="inlineStr">
        <is>
          <t>Cultura, Comunicação, Juventude e Desporto</t>
        </is>
      </c>
      <c r="Y824" s="2" t="inlineStr">
        <is>
          <t>Articulado</t>
        </is>
      </c>
      <c r="Z824" s="2" t="inlineStr">
        <is>
          <t>Aditamento (Artigo PPL)</t>
        </is>
      </c>
      <c r="AA824" s="2" t="inlineStr">
        <is>
          <t>Rejeitado(a) em Comissão</t>
        </is>
      </c>
      <c r="AB824" s="2" t="inlineStr"/>
      <c r="AC824" s="2" t="inlineStr"/>
      <c r="AD824" s="2" t="inlineStr">
        <is>
          <t>1</t>
        </is>
      </c>
      <c r="AE824" s="2" t="inlineStr">
        <is>
          <t>23994</t>
        </is>
      </c>
      <c r="AF824" s="2" t="inlineStr">
        <is>
          <t>https://www.parlamento.pt/OrcamentoEstado/Paginas/DetalhePropostaAlteracao.aspx?BID=23994</t>
        </is>
      </c>
      <c r="AG824" s="2" t="inlineStr">
        <is>
          <t>https://app.parlamento.pt/webutils/docs/doc.pdf?path=6148523063484d364c793942556b356c6443397a6158526c63793959566b6c4a544556484c3039464c7a49774d6a59794d4449314d5441774f533951515338774f475269595755305a69316a5a4459774c5452684e6a51744f47566c5a6931684f44557a4d6a59334d5755354d5449756347526d&amp;Fich=08dbae4f-cd60-4a64-8eef-a8532671e912.pdf&amp;Inline=true</t>
        </is>
      </c>
      <c r="AH824" s="3" t="n">
        <v>46321.77847222222</v>
      </c>
      <c r="AI824" s="3" t="n">
        <v>46321.78055555555</v>
      </c>
      <c r="AJ824" s="2" t="inlineStr"/>
    </row>
    <row r="825">
      <c r="A825" s="2" t="n">
        <v>824</v>
      </c>
      <c r="B825" s="2" t="inlineStr">
        <is>
          <t>769C</t>
        </is>
      </c>
      <c r="C825" s="3" t="n">
        <v>45967.46944444445</v>
      </c>
      <c r="D825" s="2" t="inlineStr">
        <is>
          <t>Original</t>
        </is>
      </c>
      <c r="E825" s="2" t="inlineStr">
        <is>
          <t>BE</t>
        </is>
      </c>
      <c r="F825" s="2" t="inlineStr">
        <is>
          <t>Mariana Mortágua</t>
        </is>
      </c>
      <c r="G825" s="2" t="inlineStr">
        <is>
          <t>Art. 112.º-E (aditamento)</t>
        </is>
      </c>
      <c r="H825" s="2" t="n"/>
      <c r="I825" s="2" t="n"/>
      <c r="J825" s="2" t="n"/>
      <c r="K825" s="2" t="n"/>
      <c r="L825" s="2" t="inlineStr">
        <is>
          <t>Artigo 112.º-E (Alteração ao Decreto-Lei n.º 59/2025, de 1 de abril)</t>
        </is>
      </c>
      <c r="M825" s="4" t="n"/>
      <c r="N825" s="4" t="n"/>
      <c r="O825" s="2" t="n"/>
      <c r="P825" s="2" t="n"/>
      <c r="Q825" s="2" t="n"/>
      <c r="R825" s="2" t="n"/>
      <c r="S825" s="2" t="inlineStr">
        <is>
          <t>Rejeitado(a) em Comissão</t>
        </is>
      </c>
      <c r="T825" s="2" t="inlineStr">
        <is>
          <t>Rejeitada</t>
        </is>
      </c>
      <c r="U825" s="2" t="inlineStr">
        <is>
          <t>Favor: L, PCP, BE, PAN; Contra: PSD, CH, IL, CDS-PP; Abstenção: PS</t>
        </is>
      </c>
      <c r="V825" s="3" t="n">
        <v>45982</v>
      </c>
      <c r="W825" s="2" t="inlineStr">
        <is>
          <t>AR: https://www.parlamento.pt/OrcamentoEstado/Paginas/DetalhePropostaAlteracao.aspx?BID=23995 PDF: https://app.parlamento.pt/webutils/docs/doc.pdf?path=6148523063484d364c793942556b356c6443397a6158526c63793959566b6c4a544556484c3039464c7a49774d6a59794d4449314d5441774f533951515338354e575a6b5a5749304e4330794d6d466c4c54526b5a4459744f574e694e5330784d5467784d474d775a4442684e7a55756347526d&amp;Fich=95fdeb44-22ae-4dd6-9cb5-11810c0d0a75.pdf&amp;Inline=true</t>
        </is>
      </c>
      <c r="X825" s="2" t="inlineStr">
        <is>
          <t>Orçamento, Finanças e Administração Pública</t>
        </is>
      </c>
      <c r="Y825" s="2" t="inlineStr">
        <is>
          <t>Articulado</t>
        </is>
      </c>
      <c r="Z825" s="2" t="inlineStr">
        <is>
          <t>Aditamento (Artigo PPL)</t>
        </is>
      </c>
      <c r="AA825" s="2" t="inlineStr">
        <is>
          <t>Rejeitado(a) em Comissão</t>
        </is>
      </c>
      <c r="AB825" s="2" t="inlineStr"/>
      <c r="AC825" s="2" t="inlineStr"/>
      <c r="AD825" s="2" t="inlineStr">
        <is>
          <t>1</t>
        </is>
      </c>
      <c r="AE825" s="2" t="inlineStr">
        <is>
          <t>23995</t>
        </is>
      </c>
      <c r="AF825" s="2" t="inlineStr">
        <is>
          <t>https://www.parlamento.pt/OrcamentoEstado/Paginas/DetalhePropostaAlteracao.aspx?BID=23995</t>
        </is>
      </c>
      <c r="AG825" s="2" t="inlineStr">
        <is>
          <t>https://app.parlamento.pt/webutils/docs/doc.pdf?path=6148523063484d364c793942556b356c6443397a6158526c63793959566b6c4a544556484c3039464c7a49774d6a59794d4449314d5441774f533951515338354e575a6b5a5749304e4330794d6d466c4c54526b5a4459744f574e694e5330784d5467784d474d775a4442684e7a55756347526d&amp;Fich=95fdeb44-22ae-4dd6-9cb5-11810c0d0a75.pdf&amp;Inline=true</t>
        </is>
      </c>
      <c r="AH825" s="3" t="n">
        <v>46321.77847222222</v>
      </c>
      <c r="AI825" s="3" t="n">
        <v>46321.78055555555</v>
      </c>
      <c r="AJ825" s="2" t="inlineStr"/>
    </row>
    <row r="826">
      <c r="A826" s="2" t="n">
        <v>825</v>
      </c>
      <c r="B826" s="2" t="inlineStr">
        <is>
          <t>770C</t>
        </is>
      </c>
      <c r="C826" s="3" t="n">
        <v>45967.47013888889</v>
      </c>
      <c r="D826" s="2" t="inlineStr">
        <is>
          <t>Original</t>
        </is>
      </c>
      <c r="E826" s="2" t="inlineStr">
        <is>
          <t>L</t>
        </is>
      </c>
      <c r="F826" s="2" t="inlineStr">
        <is>
          <t>Filipa Pinto; Isabel Mendes Lopes; Jorge Pinto; Patrícia Gonçalves; Paulo Muacho; Rui Tavares</t>
        </is>
      </c>
      <c r="G826" s="2" t="inlineStr">
        <is>
          <t>Art. 7.º (substituição)</t>
        </is>
      </c>
      <c r="H826" s="2" t="n"/>
      <c r="I826" s="2" t="n"/>
      <c r="J826" s="2" t="n"/>
      <c r="K826" s="2" t="n"/>
      <c r="L826" s="2" t="inlineStr">
        <is>
          <t>Verba 23, Mapa de alterações e transferências orçamentais, Artigo 7.º</t>
        </is>
      </c>
      <c r="M826" s="4" t="n"/>
      <c r="N826" s="4" t="n"/>
      <c r="O826" s="2" t="n"/>
      <c r="P826" s="2" t="n"/>
      <c r="Q826" s="2" t="n"/>
      <c r="R826" s="2" t="n"/>
      <c r="S826" s="2" t="inlineStr">
        <is>
          <t>Rejeitado(a) em Comissão</t>
        </is>
      </c>
      <c r="T826" s="2" t="inlineStr">
        <is>
          <t>Rejeitada</t>
        </is>
      </c>
      <c r="U826" s="2" t="inlineStr">
        <is>
          <t>Favor: L, PCP, BE, PAN; Contra: PSD, CH, IL, CDS-PP; Abstenção: PS</t>
        </is>
      </c>
      <c r="V826" s="3" t="n">
        <v>45987</v>
      </c>
      <c r="W826" s="2" t="inlineStr">
        <is>
          <t>AR: https://www.parlamento.pt/OrcamentoEstado/Paginas/DetalhePropostaAlteracao.aspx?BID=23996 PDF: https://app.parlamento.pt/webutils/docs/doc.pdf?path=6148523063484d364c793942556b356c6443397a6158526c63793959566b6c4a544556484c3039464c7a49774d6a59794d4449314d5441774f533951515338774e6a45784e6a6735597931694e324a6b4c5451344e446374595759334d7930784d6a4a6d5a575934593245304e5441756347526d&amp;Fich=0611689c-b7bd-4847-af73-122fef8ca450.pdf&amp;Inline=true</t>
        </is>
      </c>
      <c r="X826" s="2" t="inlineStr">
        <is>
          <t>Saúde</t>
        </is>
      </c>
      <c r="Y826" s="2" t="inlineStr">
        <is>
          <t>Mapas</t>
        </is>
      </c>
      <c r="Z826" s="2" t="inlineStr">
        <is>
          <t>Substituição</t>
        </is>
      </c>
      <c r="AA826" s="2" t="inlineStr">
        <is>
          <t>Rejeitado(a) em Comissão</t>
        </is>
      </c>
      <c r="AB826" s="2" t="inlineStr"/>
      <c r="AC826" s="2" t="inlineStr"/>
      <c r="AD826" s="2" t="inlineStr">
        <is>
          <t>1</t>
        </is>
      </c>
      <c r="AE826" s="2" t="inlineStr">
        <is>
          <t>23996</t>
        </is>
      </c>
      <c r="AF826" s="2" t="inlineStr">
        <is>
          <t>https://www.parlamento.pt/OrcamentoEstado/Paginas/DetalhePropostaAlteracao.aspx?BID=23996</t>
        </is>
      </c>
      <c r="AG826" s="2" t="inlineStr">
        <is>
          <t>https://app.parlamento.pt/webutils/docs/doc.pdf?path=6148523063484d364c793942556b356c6443397a6158526c63793959566b6c4a544556484c3039464c7a49774d6a59794d4449314d5441774f533951515338774e6a45784e6a6735597931694e324a6b4c5451344e446374595759334d7930784d6a4a6d5a575934593245304e5441756347526d&amp;Fich=0611689c-b7bd-4847-af73-122fef8ca450.pdf&amp;Inline=true</t>
        </is>
      </c>
      <c r="AH826" s="3" t="n">
        <v>46321.77847222222</v>
      </c>
      <c r="AI826" s="3" t="n">
        <v>46321.78055555555</v>
      </c>
      <c r="AJ826" s="2" t="inlineStr"/>
    </row>
    <row r="827">
      <c r="A827" s="2" t="n">
        <v>826</v>
      </c>
      <c r="B827" s="2" t="inlineStr">
        <is>
          <t>771C</t>
        </is>
      </c>
      <c r="C827" s="3" t="n">
        <v>45967.47083333333</v>
      </c>
      <c r="D827" s="2" t="inlineStr">
        <is>
          <t>Original</t>
        </is>
      </c>
      <c r="E827" s="2" t="inlineStr">
        <is>
          <t>IL</t>
        </is>
      </c>
      <c r="F827" s="2" t="inlineStr">
        <is>
          <t>Angélique Da Teresa; Carlos Guimarães Pinto; Joana Cordeiro; Jorge Miguel Teixeira; Mariana Leitão; Mário Amorim Lopes; Miguel Rangel; Rodrigo Saraiva; Rui Rocha</t>
        </is>
      </c>
      <c r="G827" s="2" t="inlineStr">
        <is>
          <t>Art. 79.º-A (aditamento)</t>
        </is>
      </c>
      <c r="H827" s="2" t="n"/>
      <c r="I827" s="2" t="n"/>
      <c r="J827" s="2" t="n"/>
      <c r="K827" s="2" t="n"/>
      <c r="L827" s="2" t="inlineStr">
        <is>
          <t>Artigo 79.º-A (Redução do valor da coima e das custas processuais de contraordenações no pagamento voluntário: 25% nos casos de negligências e 50% nos casos de dolo)</t>
        </is>
      </c>
      <c r="M827" s="4" t="n"/>
      <c r="N827" s="4" t="n"/>
      <c r="O827" s="2" t="n"/>
      <c r="P827" s="2" t="n"/>
      <c r="Q827" s="2" t="n"/>
      <c r="R827" s="2" t="n"/>
      <c r="S827" s="2" t="inlineStr">
        <is>
          <t>Rejeitado(a) em Comissão</t>
        </is>
      </c>
      <c r="T827" s="2" t="inlineStr">
        <is>
          <t>Rejeitada</t>
        </is>
      </c>
      <c r="U827" s="2" t="inlineStr">
        <is>
          <t>Favor: CH, IL, PAN; Contra: PSD, PCP, CDS-PP; Abstenção: PS, L, BE</t>
        </is>
      </c>
      <c r="V827" s="3" t="n">
        <v>45982</v>
      </c>
      <c r="W827" s="2" t="inlineStr">
        <is>
          <t>AR: https://www.parlamento.pt/OrcamentoEstado/Paginas/DetalhePropostaAlteracao.aspx?BID=23997 PDF: https://app.parlamento.pt/webutils/docs/doc.pdf?path=6148523063484d364c793942556b356c6443397a6158526c63793959566b6c4a544556484c3039464c7a49774d6a59794d4449314d5441774f533951515338304e6a41794e544d334f53316a5a5751354c5452684e574d74596d5a6b5953316a597a41354e4449775a5446685a5449756347526d&amp;Fich=46025379-ced9-4a5c-bfda-cc09420e1ae2.pdf&amp;Inline=true</t>
        </is>
      </c>
      <c r="X827" s="2" t="inlineStr">
        <is>
          <t>Orçamento, Finanças e Administração Pública</t>
        </is>
      </c>
      <c r="Y827" s="2" t="inlineStr">
        <is>
          <t>Articulado</t>
        </is>
      </c>
      <c r="Z827" s="2" t="inlineStr">
        <is>
          <t>Aditamento (Artigo PPL)</t>
        </is>
      </c>
      <c r="AA827" s="2" t="inlineStr">
        <is>
          <t>Rejeitado(a) em Comissão</t>
        </is>
      </c>
      <c r="AB827" s="2" t="inlineStr"/>
      <c r="AC827" s="2" t="inlineStr"/>
      <c r="AD827" s="2" t="inlineStr">
        <is>
          <t>1</t>
        </is>
      </c>
      <c r="AE827" s="2" t="inlineStr">
        <is>
          <t>23997</t>
        </is>
      </c>
      <c r="AF827" s="2" t="inlineStr">
        <is>
          <t>https://www.parlamento.pt/OrcamentoEstado/Paginas/DetalhePropostaAlteracao.aspx?BID=23997</t>
        </is>
      </c>
      <c r="AG827" s="2" t="inlineStr">
        <is>
          <t>https://app.parlamento.pt/webutils/docs/doc.pdf?path=6148523063484d364c793942556b356c6443397a6158526c63793959566b6c4a544556484c3039464c7a49774d6a59794d4449314d5441774f533951515338304e6a41794e544d334f53316a5a5751354c5452684e574d74596d5a6b5953316a597a41354e4449775a5446685a5449756347526d&amp;Fich=46025379-ced9-4a5c-bfda-cc09420e1ae2.pdf&amp;Inline=true</t>
        </is>
      </c>
      <c r="AH827" s="3" t="n">
        <v>46321.77847222222</v>
      </c>
      <c r="AI827" s="3" t="n">
        <v>46321.78055555555</v>
      </c>
      <c r="AJ827" s="2" t="inlineStr"/>
    </row>
    <row r="828">
      <c r="A828" s="2" t="n">
        <v>827</v>
      </c>
      <c r="B828" s="2" t="inlineStr">
        <is>
          <t>772C</t>
        </is>
      </c>
      <c r="C828" s="3" t="n">
        <v>45967.47222222222</v>
      </c>
      <c r="D828" s="2" t="inlineStr">
        <is>
          <t>Original</t>
        </is>
      </c>
      <c r="E828" s="2" t="inlineStr">
        <is>
          <t>BE</t>
        </is>
      </c>
      <c r="F828" s="2" t="inlineStr">
        <is>
          <t>Mariana Mortágua</t>
        </is>
      </c>
      <c r="G828" s="2" t="inlineStr">
        <is>
          <t>Art. 38.º-A (aditamento)</t>
        </is>
      </c>
      <c r="H828" s="2" t="n"/>
      <c r="I828" s="2" t="n"/>
      <c r="J828" s="2" t="n"/>
      <c r="K828" s="2" t="n"/>
      <c r="L828" s="2" t="inlineStr">
        <is>
          <t>Artigo 38.º-A (Alteração à Lei 53.º-B/2006, de 26 de dezembro)</t>
        </is>
      </c>
      <c r="M828" s="4" t="n"/>
      <c r="N828" s="4" t="n"/>
      <c r="O828" s="2" t="n"/>
      <c r="P828" s="2" t="n"/>
      <c r="Q828" s="2" t="n"/>
      <c r="R828" s="2" t="n"/>
      <c r="S828" s="2" t="inlineStr">
        <is>
          <t>Rejeitado(a) em Comissão</t>
        </is>
      </c>
      <c r="T828" s="2" t="inlineStr">
        <is>
          <t>Rejeitada</t>
        </is>
      </c>
      <c r="U828" s="2" t="inlineStr">
        <is>
          <t>Favor: L, PCP, BE, PAN; Contra: PSD, PS, IL, CDS-PP; Abstenção: CH</t>
        </is>
      </c>
      <c r="V828" s="3" t="n">
        <v>45981</v>
      </c>
      <c r="W828" s="2" t="inlineStr">
        <is>
          <t>AR: https://www.parlamento.pt/OrcamentoEstado/Paginas/DetalhePropostaAlteracao.aspx?BID=23998 PDF: https://app.parlamento.pt/webutils/docs/doc.pdf?path=6148523063484d364c793942556b356c6443397a6158526c63793959566b6c4a544556484c3039464c7a49774d6a59794d4449314d5441774f533951515338304e6d49794d47566d4d69316c4d574d304c5451304e5467744f444d345a6930784d44646d4d6a4a694e7a64694f5751756347526d&amp;Fich=46b20ef2-e1c4-4458-838f-107f22b77b9d.pdf&amp;Inline=true</t>
        </is>
      </c>
      <c r="X828" s="2" t="inlineStr">
        <is>
          <t>Trabalho, Segurança Social e Inclusão</t>
        </is>
      </c>
      <c r="Y828" s="2" t="inlineStr">
        <is>
          <t>Articulado</t>
        </is>
      </c>
      <c r="Z828" s="2" t="inlineStr">
        <is>
          <t>Aditamento (Artigo PPL)</t>
        </is>
      </c>
      <c r="AA828" s="2" t="inlineStr">
        <is>
          <t>Rejeitado(a) em Comissão</t>
        </is>
      </c>
      <c r="AB828" s="2" t="inlineStr"/>
      <c r="AC828" s="2" t="inlineStr"/>
      <c r="AD828" s="2" t="inlineStr">
        <is>
          <t>1</t>
        </is>
      </c>
      <c r="AE828" s="2" t="inlineStr">
        <is>
          <t>23998</t>
        </is>
      </c>
      <c r="AF828" s="2" t="inlineStr">
        <is>
          <t>https://www.parlamento.pt/OrcamentoEstado/Paginas/DetalhePropostaAlteracao.aspx?BID=23998</t>
        </is>
      </c>
      <c r="AG828" s="2" t="inlineStr">
        <is>
          <t>https://app.parlamento.pt/webutils/docs/doc.pdf?path=6148523063484d364c793942556b356c6443397a6158526c63793959566b6c4a544556484c3039464c7a49774d6a59794d4449314d5441774f533951515338304e6d49794d47566d4d69316c4d574d304c5451304e5467744f444d345a6930784d44646d4d6a4a694e7a64694f5751756347526d&amp;Fich=46b20ef2-e1c4-4458-838f-107f22b77b9d.pdf&amp;Inline=true</t>
        </is>
      </c>
      <c r="AH828" s="3" t="n">
        <v>46321.77847222222</v>
      </c>
      <c r="AI828" s="3" t="n">
        <v>46321.78055555555</v>
      </c>
      <c r="AJ828" s="2" t="inlineStr"/>
    </row>
    <row r="829">
      <c r="A829" s="2" t="n">
        <v>828</v>
      </c>
      <c r="B829" s="2" t="inlineStr">
        <is>
          <t>773C</t>
        </is>
      </c>
      <c r="C829" s="3" t="n">
        <v>45967.47291666667</v>
      </c>
      <c r="D829" s="2" t="inlineStr">
        <is>
          <t>Original</t>
        </is>
      </c>
      <c r="E829" s="2" t="inlineStr">
        <is>
          <t>L</t>
        </is>
      </c>
      <c r="F829" s="2" t="inlineStr">
        <is>
          <t>Filipa Pinto; Isabel Mendes Lopes; Jorge Pinto; Patrícia Gonçalves; Paulo Muacho; Rui Tavares</t>
        </is>
      </c>
      <c r="G829" s="2" t="inlineStr">
        <is>
          <t>Art. 120.º-A (aditamento)</t>
        </is>
      </c>
      <c r="H829" s="2" t="n"/>
      <c r="I829" s="2" t="n"/>
      <c r="J829" s="2" t="n"/>
      <c r="K829" s="2" t="n"/>
      <c r="L829" s="2" t="inlineStr">
        <is>
          <t>Artigo 120.º-A (Comparticipação de análises relacionadas com marcadores intestinais)</t>
        </is>
      </c>
      <c r="M829" s="4" t="n"/>
      <c r="N829" s="4" t="n"/>
      <c r="O829" s="2" t="n"/>
      <c r="P829" s="2" t="n"/>
      <c r="Q829" s="2" t="n"/>
      <c r="R829" s="2" t="n"/>
      <c r="S829" s="2" t="inlineStr">
        <is>
          <t>Rejeitado(a) em Comissão</t>
        </is>
      </c>
      <c r="T829" s="2" t="inlineStr">
        <is>
          <t>Rejeitada</t>
        </is>
      </c>
      <c r="U829" s="2" t="inlineStr">
        <is>
          <t>Favor: L, PCP, BE, PAN; Contra: PSD, CDS-PP; Abstenção: CH, PS, IL</t>
        </is>
      </c>
      <c r="V829" s="3" t="n">
        <v>45985</v>
      </c>
      <c r="W829" s="2" t="inlineStr">
        <is>
          <t>AR: https://www.parlamento.pt/OrcamentoEstado/Paginas/DetalhePropostaAlteracao.aspx?BID=23999 PDF: https://app.parlamento.pt/webutils/docs/doc.pdf?path=6148523063484d364c793942556b356c6443397a6158526c63793959566b6c4a544556484c3039464c7a49774d6a59794d4449314d5441774f533951515338785a574e6a596d597a4e7930774e7a6b304c54517a4e6a4d744f444d304e6930324d6a5a6a4e446c684e4441344f4455756347526d&amp;Fich=1eccbf37-0794-4363-8346-626c49a40885.pdf&amp;Inline=true</t>
        </is>
      </c>
      <c r="X829" s="2" t="inlineStr">
        <is>
          <t>Saúde</t>
        </is>
      </c>
      <c r="Y829" s="2" t="inlineStr">
        <is>
          <t>Articulado</t>
        </is>
      </c>
      <c r="Z829" s="2" t="inlineStr">
        <is>
          <t>Aditamento (Artigo PPL)</t>
        </is>
      </c>
      <c r="AA829" s="2" t="inlineStr">
        <is>
          <t>Rejeitado(a) em Comissão</t>
        </is>
      </c>
      <c r="AB829" s="2" t="inlineStr"/>
      <c r="AC829" s="2" t="inlineStr"/>
      <c r="AD829" s="2" t="inlineStr">
        <is>
          <t>1</t>
        </is>
      </c>
      <c r="AE829" s="2" t="inlineStr">
        <is>
          <t>23999</t>
        </is>
      </c>
      <c r="AF829" s="2" t="inlineStr">
        <is>
          <t>https://www.parlamento.pt/OrcamentoEstado/Paginas/DetalhePropostaAlteracao.aspx?BID=23999</t>
        </is>
      </c>
      <c r="AG829" s="2" t="inlineStr">
        <is>
          <t>https://app.parlamento.pt/webutils/docs/doc.pdf?path=6148523063484d364c793942556b356c6443397a6158526c63793959566b6c4a544556484c3039464c7a49774d6a59794d4449314d5441774f533951515338785a574e6a596d597a4e7930774e7a6b304c54517a4e6a4d744f444d304e6930324d6a5a6a4e446c684e4441344f4455756347526d&amp;Fich=1eccbf37-0794-4363-8346-626c49a40885.pdf&amp;Inline=true</t>
        </is>
      </c>
      <c r="AH829" s="3" t="n">
        <v>46321.77847222222</v>
      </c>
      <c r="AI829" s="3" t="n">
        <v>46321.78055555555</v>
      </c>
      <c r="AJ829" s="2" t="inlineStr"/>
    </row>
    <row r="830">
      <c r="A830" s="2" t="n">
        <v>829</v>
      </c>
      <c r="B830" s="2" t="inlineStr">
        <is>
          <t>774C</t>
        </is>
      </c>
      <c r="C830" s="3" t="n">
        <v>45967.47430555556</v>
      </c>
      <c r="D830" s="2" t="inlineStr">
        <is>
          <t>Original</t>
        </is>
      </c>
      <c r="E830" s="2" t="inlineStr">
        <is>
          <t>BE</t>
        </is>
      </c>
      <c r="F830" s="2" t="inlineStr">
        <is>
          <t>Mariana Mortágua</t>
        </is>
      </c>
      <c r="G830" s="2" t="inlineStr">
        <is>
          <t>Art. 63.º-A (aditamento)</t>
        </is>
      </c>
      <c r="H830" s="2" t="n"/>
      <c r="I830" s="2" t="n"/>
      <c r="J830" s="2" t="n"/>
      <c r="K830" s="2" t="n"/>
      <c r="L830" s="2" t="inlineStr">
        <is>
          <t>Artigo 63.º-A (Alteração à Lei Orgânica n.º 2/2013, de 2 de setembro)</t>
        </is>
      </c>
      <c r="M830" s="4" t="n"/>
      <c r="N830" s="4" t="n"/>
      <c r="O830" s="2" t="n"/>
      <c r="P830" s="2" t="n"/>
      <c r="Q830" s="2" t="n"/>
      <c r="R830" s="2" t="n"/>
      <c r="S830" s="2" t="inlineStr">
        <is>
          <t>Rejeitado(a) em Comissão</t>
        </is>
      </c>
      <c r="T830" s="2" t="inlineStr">
        <is>
          <t>Rejeitada</t>
        </is>
      </c>
      <c r="U830" s="2" t="inlineStr">
        <is>
          <t>Favor: PCP, BE, PAN; Contra: PSD, L, CDS-PP; Abstenção: CH, PS, IL</t>
        </is>
      </c>
      <c r="V830" s="3" t="n">
        <v>45982</v>
      </c>
      <c r="W830" s="2" t="inlineStr">
        <is>
          <t>AR: https://www.parlamento.pt/OrcamentoEstado/Paginas/DetalhePropostaAlteracao.aspx?BID=24000 PDF: https://app.parlamento.pt/webutils/docs/doc.pdf?path=6148523063484d364c793942556b356c6443397a6158526c63793959566b6c4a544556484c3039464c7a49774d6a59794d4449314d5441774f533951515338324d325178596a52695969316d4e4451794c545177596d457459546b344f4330784f444a6d59544a6c4f474d334e5459756347526d&amp;Fich=63d1b4bb-f442-40ba-a988-182fa2e8c756.pdf&amp;Inline=true</t>
        </is>
      </c>
      <c r="X830" s="2" t="inlineStr">
        <is>
          <t>Orçamento, Finanças e Administração Pública</t>
        </is>
      </c>
      <c r="Y830" s="2" t="inlineStr">
        <is>
          <t>Articulado</t>
        </is>
      </c>
      <c r="Z830" s="2" t="inlineStr">
        <is>
          <t>Aditamento (Artigo PPL)</t>
        </is>
      </c>
      <c r="AA830" s="2" t="inlineStr">
        <is>
          <t>Rejeitado(a) em Comissão</t>
        </is>
      </c>
      <c r="AB830" s="2" t="inlineStr"/>
      <c r="AC830" s="2" t="inlineStr"/>
      <c r="AD830" s="2" t="inlineStr">
        <is>
          <t>1</t>
        </is>
      </c>
      <c r="AE830" s="2" t="inlineStr">
        <is>
          <t>24000</t>
        </is>
      </c>
      <c r="AF830" s="2" t="inlineStr">
        <is>
          <t>https://www.parlamento.pt/OrcamentoEstado/Paginas/DetalhePropostaAlteracao.aspx?BID=24000</t>
        </is>
      </c>
      <c r="AG830" s="2" t="inlineStr">
        <is>
          <t>https://app.parlamento.pt/webutils/docs/doc.pdf?path=6148523063484d364c793942556b356c6443397a6158526c63793959566b6c4a544556484c3039464c7a49774d6a59794d4449314d5441774f533951515338324d325178596a52695969316d4e4451794c545177596d457459546b344f4330784f444a6d59544a6c4f474d334e5459756347526d&amp;Fich=63d1b4bb-f442-40ba-a988-182fa2e8c756.pdf&amp;Inline=true</t>
        </is>
      </c>
      <c r="AH830" s="3" t="n">
        <v>46321.77847222222</v>
      </c>
      <c r="AI830" s="3" t="n">
        <v>46321.78055555555</v>
      </c>
      <c r="AJ830" s="2" t="inlineStr"/>
    </row>
    <row r="831">
      <c r="A831" s="2" t="n">
        <v>830</v>
      </c>
      <c r="B831" s="2" t="inlineStr">
        <is>
          <t>775C</t>
        </is>
      </c>
      <c r="C831" s="3" t="n">
        <v>45967.475</v>
      </c>
      <c r="D831" s="2" t="inlineStr">
        <is>
          <t>Original</t>
        </is>
      </c>
      <c r="E831" s="2" t="inlineStr">
        <is>
          <t>L</t>
        </is>
      </c>
      <c r="F831" s="2" t="inlineStr">
        <is>
          <t>Filipa Pinto; Isabel Mendes Lopes; Jorge Pinto; Patrícia Gonçalves; Paulo Muacho; Rui Tavares</t>
        </is>
      </c>
      <c r="G831" s="2" t="inlineStr">
        <is>
          <t>Art. 120.º-A (aditamento)</t>
        </is>
      </c>
      <c r="H831" s="2" t="n"/>
      <c r="I831" s="2" t="n"/>
      <c r="J831" s="2" t="n"/>
      <c r="K831" s="2" t="n"/>
      <c r="L831" s="2" t="inlineStr">
        <is>
          <t>Artigo 120.º-A (Acessibilidade da população à prevenção contra a Zona (Herpes Zoster))</t>
        </is>
      </c>
      <c r="M831" s="4" t="n"/>
      <c r="N831" s="4" t="n"/>
      <c r="O831" s="2" t="n"/>
      <c r="P831" s="2" t="n"/>
      <c r="Q831" s="2" t="n"/>
      <c r="R831" s="2" t="n"/>
      <c r="S831" s="2" t="inlineStr">
        <is>
          <t>Rejeitado(a) em Comissão</t>
        </is>
      </c>
      <c r="T831" s="2" t="inlineStr">
        <is>
          <t>Rejeitada</t>
        </is>
      </c>
      <c r="U831" s="2" t="inlineStr">
        <is>
          <t>Favor: L, PCP, PAN; Contra: PSD, CDS-PP; Abstenção: CH, PS, IL, BE</t>
        </is>
      </c>
      <c r="V831" s="3" t="n">
        <v>45985</v>
      </c>
      <c r="W831" s="2" t="inlineStr">
        <is>
          <t>AR: https://www.parlamento.pt/OrcamentoEstado/Paginas/DetalhePropostaAlteracao.aspx?BID=24001 PDF: https://app.parlamento.pt/webutils/docs/doc.pdf?path=6148523063484d364c793942556b356c6443397a6158526c63793959566b6c4a544556484c3039464c7a49774d6a59794d4449314d5441774f533951515338315a6d4d784f57526d4f5330775a446c694c5451334e3245744f446b355a5330354d6a4533596a45324f47557a4f4755756347526d&amp;Fich=5fc19df9-0d9b-477a-899e-9217b168e38e.pdf&amp;Inline=true</t>
        </is>
      </c>
      <c r="X831" s="2" t="inlineStr">
        <is>
          <t>Saúde</t>
        </is>
      </c>
      <c r="Y831" s="2" t="inlineStr">
        <is>
          <t>Articulado</t>
        </is>
      </c>
      <c r="Z831" s="2" t="inlineStr">
        <is>
          <t>Aditamento (Artigo PPL)</t>
        </is>
      </c>
      <c r="AA831" s="2" t="inlineStr">
        <is>
          <t>Rejeitado(a) em Comissão</t>
        </is>
      </c>
      <c r="AB831" s="2" t="inlineStr"/>
      <c r="AC831" s="2" t="inlineStr"/>
      <c r="AD831" s="2" t="inlineStr">
        <is>
          <t>1</t>
        </is>
      </c>
      <c r="AE831" s="2" t="inlineStr">
        <is>
          <t>24001</t>
        </is>
      </c>
      <c r="AF831" s="2" t="inlineStr">
        <is>
          <t>https://www.parlamento.pt/OrcamentoEstado/Paginas/DetalhePropostaAlteracao.aspx?BID=24001</t>
        </is>
      </c>
      <c r="AG831" s="2" t="inlineStr">
        <is>
          <t>https://app.parlamento.pt/webutils/docs/doc.pdf?path=6148523063484d364c793942556b356c6443397a6158526c63793959566b6c4a544556484c3039464c7a49774d6a59794d4449314d5441774f533951515338315a6d4d784f57526d4f5330775a446c694c5451334e3245744f446b355a5330354d6a4533596a45324f47557a4f4755756347526d&amp;Fich=5fc19df9-0d9b-477a-899e-9217b168e38e.pdf&amp;Inline=true</t>
        </is>
      </c>
      <c r="AH831" s="3" t="n">
        <v>46321.77847222222</v>
      </c>
      <c r="AI831" s="3" t="n">
        <v>46321.78055555555</v>
      </c>
      <c r="AJ831" s="2" t="inlineStr"/>
    </row>
    <row r="832">
      <c r="A832" s="2" t="n">
        <v>831</v>
      </c>
      <c r="B832" s="2" t="inlineStr">
        <is>
          <t>776C</t>
        </is>
      </c>
      <c r="C832" s="3" t="n">
        <v>45967.47569444445</v>
      </c>
      <c r="D832" s="2" t="inlineStr">
        <is>
          <t>Original</t>
        </is>
      </c>
      <c r="E832" s="2" t="inlineStr">
        <is>
          <t>BE</t>
        </is>
      </c>
      <c r="F832" s="2" t="inlineStr">
        <is>
          <t>Mariana Mortágua</t>
        </is>
      </c>
      <c r="G832" s="2" t="inlineStr">
        <is>
          <t>Art. 60.º-A (aditamento)</t>
        </is>
      </c>
      <c r="H832" s="2" t="n"/>
      <c r="I832" s="2" t="n"/>
      <c r="J832" s="2" t="n"/>
      <c r="K832" s="2" t="n"/>
      <c r="L832" s="2" t="inlineStr">
        <is>
          <t>Artigo 60.º-A (Revisão das taxas de retenção para trabalhadores independentes)</t>
        </is>
      </c>
      <c r="M832" s="4" t="n"/>
      <c r="N832" s="4" t="n"/>
      <c r="O832" s="2" t="n"/>
      <c r="P832" s="2" t="n"/>
      <c r="Q832" s="2" t="n"/>
      <c r="R832" s="2" t="n"/>
      <c r="S832" s="2" t="inlineStr">
        <is>
          <t>Rejeitado(a) em Comissão</t>
        </is>
      </c>
      <c r="T832" s="2" t="inlineStr">
        <is>
          <t>Rejeitada</t>
        </is>
      </c>
      <c r="U832" s="2" t="inlineStr">
        <is>
          <t>Favor: L, BE, PAN; Contra: PSD, PCP, CDS-PP; Abstenção: CH, PS, IL</t>
        </is>
      </c>
      <c r="V832" s="3" t="n">
        <v>45981</v>
      </c>
      <c r="W832" s="2" t="inlineStr">
        <is>
          <t>AR: https://www.parlamento.pt/OrcamentoEstado/Paginas/DetalhePropostaAlteracao.aspx?BID=24002 PDF: https://app.parlamento.pt/webutils/docs/doc.pdf?path=6148523063484d364c793942556b356c6443397a6158526c63793959566b6c4a544556484c3039464c7a49774d6a59794d4449314d5441774f53395151533968596a4e6d4d474a684d53316a597a686a4c5451784e6a55744f446b784e43316b4d6d46684e6a597a4d7a56684f4749756347526d&amp;Fich=ab3f0ba1-cc8c-4165-8914-d2aa66335a8b.pdf&amp;Inline=true</t>
        </is>
      </c>
      <c r="X832" s="2" t="inlineStr">
        <is>
          <t>Orçamento, Finanças e Administração Pública</t>
        </is>
      </c>
      <c r="Y832" s="2" t="inlineStr">
        <is>
          <t>Articulado</t>
        </is>
      </c>
      <c r="Z832" s="2" t="inlineStr">
        <is>
          <t>Aditamento (Artigo PPL)</t>
        </is>
      </c>
      <c r="AA832" s="2" t="inlineStr">
        <is>
          <t>Rejeitado(a) em Comissão</t>
        </is>
      </c>
      <c r="AB832" s="2" t="inlineStr"/>
      <c r="AC832" s="2" t="inlineStr"/>
      <c r="AD832" s="2" t="inlineStr">
        <is>
          <t>1</t>
        </is>
      </c>
      <c r="AE832" s="2" t="inlineStr">
        <is>
          <t>24002</t>
        </is>
      </c>
      <c r="AF832" s="2" t="inlineStr">
        <is>
          <t>https://www.parlamento.pt/OrcamentoEstado/Paginas/DetalhePropostaAlteracao.aspx?BID=24002</t>
        </is>
      </c>
      <c r="AG832" s="2" t="inlineStr">
        <is>
          <t>https://app.parlamento.pt/webutils/docs/doc.pdf?path=6148523063484d364c793942556b356c6443397a6158526c63793959566b6c4a544556484c3039464c7a49774d6a59794d4449314d5441774f53395151533968596a4e6d4d474a684d53316a597a686a4c5451784e6a55744f446b784e43316b4d6d46684e6a597a4d7a56684f4749756347526d&amp;Fich=ab3f0ba1-cc8c-4165-8914-d2aa66335a8b.pdf&amp;Inline=true</t>
        </is>
      </c>
      <c r="AH832" s="3" t="n">
        <v>46321.77847222222</v>
      </c>
      <c r="AI832" s="3" t="n">
        <v>46321.78055555555</v>
      </c>
      <c r="AJ832" s="2" t="inlineStr"/>
    </row>
    <row r="833">
      <c r="A833" s="2" t="n">
        <v>832</v>
      </c>
      <c r="B833" s="2" t="inlineStr">
        <is>
          <t>777C</t>
        </is>
      </c>
      <c r="C833" s="3" t="n">
        <v>45967.47708333333</v>
      </c>
      <c r="D833" s="2" t="inlineStr">
        <is>
          <t>Original</t>
        </is>
      </c>
      <c r="E833" s="2" t="inlineStr">
        <is>
          <t>PCP</t>
        </is>
      </c>
      <c r="F833" s="2" t="inlineStr">
        <is>
          <t>Alfredo Maia; Paula Santos; Paulo Raimundo</t>
        </is>
      </c>
      <c r="G833" s="2" t="inlineStr">
        <is>
          <t>Art. 27.º-A (aditamento)</t>
        </is>
      </c>
      <c r="H833" s="2" t="n"/>
      <c r="I833" s="2" t="n"/>
      <c r="J833" s="2" t="n"/>
      <c r="K833" s="2" t="n"/>
      <c r="L833" s="2" t="inlineStr">
        <is>
          <t>Artigo 27.º-A (Promoção da igualdade nas forças e serviços de segurança)</t>
        </is>
      </c>
      <c r="M833" s="4" t="n"/>
      <c r="N833" s="4" t="n"/>
      <c r="O833" s="2" t="n"/>
      <c r="P833" s="2" t="n"/>
      <c r="Q833" s="2" t="n"/>
      <c r="R833" s="2" t="n"/>
      <c r="S833" s="2" t="inlineStr">
        <is>
          <t>Rejeitado(a) em Comissão</t>
        </is>
      </c>
      <c r="T833" s="2" t="inlineStr">
        <is>
          <t>Rejeitada</t>
        </is>
      </c>
      <c r="U833" s="2" t="inlineStr">
        <is>
          <t>Favor: CH, L, PCP, BE, PAN; Contra: PSD, IL, CDS-PP; Abstenção: PS</t>
        </is>
      </c>
      <c r="V833" s="3" t="n">
        <v>45981</v>
      </c>
      <c r="W833" s="2" t="inlineStr">
        <is>
          <t>AR: https://www.parlamento.pt/OrcamentoEstado/Paginas/DetalhePropostaAlteracao.aspx?BID=24003 PDF: https://app.parlamento.pt/webutils/docs/doc.pdf?path=6148523063484d364c793942556b356c6443397a6158526c63793959566b6c4a544556484c3039464c7a49774d6a59794d4449314d5441774f533951515338324f5759354d4749354e5330354d7a6b7a4c545135595751744f57466b596930795a6a59775a5463345a6d55784d546b756347526d&amp;Fich=69f90b95-9393-49ad-9adb-2f60e78fe119.pdf&amp;Inline=true</t>
        </is>
      </c>
      <c r="X833" s="2" t="inlineStr">
        <is>
          <t>Assuntos Constitucionais, Direitos, Liberdades e Garantias</t>
        </is>
      </c>
      <c r="Y833" s="2" t="inlineStr">
        <is>
          <t>Articulado</t>
        </is>
      </c>
      <c r="Z833" s="2" t="inlineStr">
        <is>
          <t>Aditamento (Artigo PPL)</t>
        </is>
      </c>
      <c r="AA833" s="2" t="inlineStr">
        <is>
          <t>Rejeitado(a) em Comissão</t>
        </is>
      </c>
      <c r="AB833" s="2" t="inlineStr"/>
      <c r="AC833" s="2" t="inlineStr"/>
      <c r="AD833" s="2" t="inlineStr">
        <is>
          <t>1</t>
        </is>
      </c>
      <c r="AE833" s="2" t="inlineStr">
        <is>
          <t>24003</t>
        </is>
      </c>
      <c r="AF833" s="2" t="inlineStr">
        <is>
          <t>https://www.parlamento.pt/OrcamentoEstado/Paginas/DetalhePropostaAlteracao.aspx?BID=24003</t>
        </is>
      </c>
      <c r="AG833" s="2" t="inlineStr">
        <is>
          <t>https://app.parlamento.pt/webutils/docs/doc.pdf?path=6148523063484d364c793942556b356c6443397a6158526c63793959566b6c4a544556484c3039464c7a49774d6a59794d4449314d5441774f533951515338324f5759354d4749354e5330354d7a6b7a4c545135595751744f57466b596930795a6a59775a5463345a6d55784d546b756347526d&amp;Fich=69f90b95-9393-49ad-9adb-2f60e78fe119.pdf&amp;Inline=true</t>
        </is>
      </c>
      <c r="AH833" s="3" t="n">
        <v>46321.77847222222</v>
      </c>
      <c r="AI833" s="3" t="n">
        <v>46321.78055555555</v>
      </c>
      <c r="AJ833" s="2" t="inlineStr"/>
    </row>
    <row r="834">
      <c r="A834" s="2" t="n">
        <v>833</v>
      </c>
      <c r="B834" s="2" t="inlineStr">
        <is>
          <t>778C</t>
        </is>
      </c>
      <c r="C834" s="3" t="n">
        <v>45967.47777777778</v>
      </c>
      <c r="D834" s="2" t="inlineStr">
        <is>
          <t>Original</t>
        </is>
      </c>
      <c r="E834" s="2" t="inlineStr">
        <is>
          <t>PCP</t>
        </is>
      </c>
      <c r="F834" s="2" t="inlineStr">
        <is>
          <t>Alfredo Maia; Paula Santos; Paulo Raimundo</t>
        </is>
      </c>
      <c r="G834" s="2" t="inlineStr">
        <is>
          <t>Art. 27.º-A (aditamento)</t>
        </is>
      </c>
      <c r="H834" s="2" t="n"/>
      <c r="I834" s="2" t="n"/>
      <c r="J834" s="2" t="n"/>
      <c r="K834" s="2" t="n"/>
      <c r="L834" s="2" t="inlineStr">
        <is>
          <t>Artigo 27.º-A (Admissões nas forças e serviços de segurança)</t>
        </is>
      </c>
      <c r="M834" s="4" t="n"/>
      <c r="N834" s="4" t="n"/>
      <c r="O834" s="2" t="n"/>
      <c r="P834" s="2" t="n"/>
      <c r="Q834" s="2" t="n"/>
      <c r="R834" s="2" t="n"/>
      <c r="S834" s="2" t="inlineStr">
        <is>
          <t>Rejeitado(a) em Comissão</t>
        </is>
      </c>
      <c r="T834" s="2" t="inlineStr">
        <is>
          <t>Rejeitada</t>
        </is>
      </c>
      <c r="U834" s="2" t="inlineStr">
        <is>
          <t>Favor: CH, L, PCP, BE, PAN; Contra: PSD, CDS-PP; Abstenção: PS, IL</t>
        </is>
      </c>
      <c r="V834" s="3" t="n">
        <v>45981</v>
      </c>
      <c r="W834" s="2" t="inlineStr">
        <is>
          <t>AR: https://www.parlamento.pt/OrcamentoEstado/Paginas/DetalhePropostaAlteracao.aspx?BID=24004 PDF: https://app.parlamento.pt/webutils/docs/doc.pdf?path=6148523063484d364c793942556b356c6443397a6158526c63793959566b6c4a544556484c3039464c7a49774d6a59794d4449314d5441774f5339515153396c4d6d526c4d574a6c4f5330324e47526a4c54517a4d5451744f474d344d793079596d4d784d5463345a6d45334e3259756347526d&amp;Fich=e2de1be9-64dc-4314-8c83-2bc1178fa77f.pdf&amp;Inline=true</t>
        </is>
      </c>
      <c r="X834" s="2" t="inlineStr">
        <is>
          <t>Assuntos Constitucionais, Direitos, Liberdades e Garantias</t>
        </is>
      </c>
      <c r="Y834" s="2" t="inlineStr">
        <is>
          <t>Articulado</t>
        </is>
      </c>
      <c r="Z834" s="2" t="inlineStr">
        <is>
          <t>Aditamento (Artigo PPL)</t>
        </is>
      </c>
      <c r="AA834" s="2" t="inlineStr">
        <is>
          <t>Rejeitado(a) em Comissão</t>
        </is>
      </c>
      <c r="AB834" s="2" t="inlineStr"/>
      <c r="AC834" s="2" t="inlineStr"/>
      <c r="AD834" s="2" t="inlineStr">
        <is>
          <t>1</t>
        </is>
      </c>
      <c r="AE834" s="2" t="inlineStr">
        <is>
          <t>24004</t>
        </is>
      </c>
      <c r="AF834" s="2" t="inlineStr">
        <is>
          <t>https://www.parlamento.pt/OrcamentoEstado/Paginas/DetalhePropostaAlteracao.aspx?BID=24004</t>
        </is>
      </c>
      <c r="AG834" s="2" t="inlineStr">
        <is>
          <t>https://app.parlamento.pt/webutils/docs/doc.pdf?path=6148523063484d364c793942556b356c6443397a6158526c63793959566b6c4a544556484c3039464c7a49774d6a59794d4449314d5441774f5339515153396c4d6d526c4d574a6c4f5330324e47526a4c54517a4d5451744f474d344d793079596d4d784d5463345a6d45334e3259756347526d&amp;Fich=e2de1be9-64dc-4314-8c83-2bc1178fa77f.pdf&amp;Inline=true</t>
        </is>
      </c>
      <c r="AH834" s="3" t="n">
        <v>46321.77847222222</v>
      </c>
      <c r="AI834" s="3" t="n">
        <v>46321.78055555555</v>
      </c>
      <c r="AJ834" s="2" t="inlineStr"/>
    </row>
    <row r="835">
      <c r="A835" s="2" t="n">
        <v>834</v>
      </c>
      <c r="B835" s="2" t="inlineStr">
        <is>
          <t>779C</t>
        </is>
      </c>
      <c r="C835" s="3" t="n">
        <v>45967.47847222222</v>
      </c>
      <c r="D835" s="2" t="inlineStr">
        <is>
          <t>Original</t>
        </is>
      </c>
      <c r="E835" s="2" t="inlineStr">
        <is>
          <t>BE</t>
        </is>
      </c>
      <c r="F835" s="2" t="inlineStr">
        <is>
          <t>Mariana Mortágua</t>
        </is>
      </c>
      <c r="G835" s="2" t="inlineStr">
        <is>
          <t>Art. 112.º-A (aditamento)</t>
        </is>
      </c>
      <c r="H835" s="2" t="n"/>
      <c r="I835" s="2" t="n"/>
      <c r="J835" s="2" t="n"/>
      <c r="K835" s="2" t="n"/>
      <c r="L835" s="2" t="inlineStr">
        <is>
          <t>Artigo 112.º-A (Plano de investimento plurianual nas Regiões Autónomas)</t>
        </is>
      </c>
      <c r="M835" s="4" t="n"/>
      <c r="N835" s="4" t="n"/>
      <c r="O835" s="2" t="n"/>
      <c r="P835" s="2" t="n"/>
      <c r="Q835" s="2" t="n"/>
      <c r="R835" s="2" t="n"/>
      <c r="S835" s="2" t="inlineStr">
        <is>
          <t>Aprovado(a) em Comissão</t>
        </is>
      </c>
      <c r="T835" s="2" t="inlineStr">
        <is>
          <t>Aprovada</t>
        </is>
      </c>
      <c r="U835" s="2" t="inlineStr">
        <is>
          <t>Favor: CH, PS, L, PCP, BE, PAN; Contra: PSD, CDS-PP; Abstenção: IL</t>
        </is>
      </c>
      <c r="V835" s="3" t="n">
        <v>45982</v>
      </c>
      <c r="W835" s="2" t="inlineStr">
        <is>
          <t>AR: https://www.parlamento.pt/OrcamentoEstado/Paginas/DetalhePropostaAlteracao.aspx?BID=24005 PDF: https://app.parlamento.pt/webutils/docs/doc.pdf?path=6148523063484d364c793942556b356c6443397a6158526c63793959566b6c4a544556484c3039464c7a49774d6a59794d4449314d5441774f5339515153387a5a57466a596a6b304e5330795a6d55344c5452684f444174596a686a5a43316a5a545a6d596a4132595459304f544d756347526d&amp;Fich=3eacb945-2fe8-4a80-b8cd-ce6fb06a6493.pdf&amp;Inline=true</t>
        </is>
      </c>
      <c r="X835" s="2" t="inlineStr">
        <is>
          <t>Orçamento, Finanças e Administração Pública</t>
        </is>
      </c>
      <c r="Y835" s="2" t="inlineStr">
        <is>
          <t>Articulado</t>
        </is>
      </c>
      <c r="Z835" s="2" t="inlineStr">
        <is>
          <t>Aditamento (Artigo PPL)</t>
        </is>
      </c>
      <c r="AA835" s="2" t="inlineStr">
        <is>
          <t>Aprovado(a) em Comissão</t>
        </is>
      </c>
      <c r="AB835" s="2" t="inlineStr"/>
      <c r="AC835" s="2" t="inlineStr"/>
      <c r="AD835" s="2" t="inlineStr">
        <is>
          <t>1</t>
        </is>
      </c>
      <c r="AE835" s="2" t="inlineStr">
        <is>
          <t>24005</t>
        </is>
      </c>
      <c r="AF835" s="2" t="inlineStr">
        <is>
          <t>https://www.parlamento.pt/OrcamentoEstado/Paginas/DetalhePropostaAlteracao.aspx?BID=24005</t>
        </is>
      </c>
      <c r="AG835" s="2" t="inlineStr">
        <is>
          <t>https://app.parlamento.pt/webutils/docs/doc.pdf?path=6148523063484d364c793942556b356c6443397a6158526c63793959566b6c4a544556484c3039464c7a49774d6a59794d4449314d5441774f5339515153387a5a57466a596a6b304e5330795a6d55344c5452684f444174596a686a5a43316a5a545a6d596a4132595459304f544d756347526d&amp;Fich=3eacb945-2fe8-4a80-b8cd-ce6fb06a6493.pdf&amp;Inline=true</t>
        </is>
      </c>
      <c r="AH835" s="3" t="n">
        <v>46321.77847222222</v>
      </c>
      <c r="AI835" s="3" t="n">
        <v>46321.78055555555</v>
      </c>
      <c r="AJ835" s="2" t="inlineStr"/>
    </row>
    <row r="836">
      <c r="A836" s="2" t="n">
        <v>835</v>
      </c>
      <c r="B836" s="2" t="inlineStr">
        <is>
          <t>780C</t>
        </is>
      </c>
      <c r="C836" s="3" t="n">
        <v>45967.47847222222</v>
      </c>
      <c r="D836" s="2" t="inlineStr">
        <is>
          <t>Original</t>
        </is>
      </c>
      <c r="E836" s="2" t="inlineStr">
        <is>
          <t>PCP</t>
        </is>
      </c>
      <c r="F836" s="2" t="inlineStr">
        <is>
          <t>Alfredo Maia; Paula Santos; Paulo Raimundo</t>
        </is>
      </c>
      <c r="G836" s="2" t="inlineStr">
        <is>
          <t>Art. 27.º-A (aditamento)</t>
        </is>
      </c>
      <c r="H836" s="2" t="n"/>
      <c r="I836" s="2" t="n"/>
      <c r="J836" s="2" t="n"/>
      <c r="K836" s="2" t="n"/>
      <c r="L836" s="2" t="inlineStr">
        <is>
          <t>Artigo 27.º-A (Admissões de pessoal não policial para a PSP e para a GNR)</t>
        </is>
      </c>
      <c r="M836" s="4" t="n"/>
      <c r="N836" s="4" t="n"/>
      <c r="O836" s="2" t="n"/>
      <c r="P836" s="2" t="n"/>
      <c r="Q836" s="2" t="n"/>
      <c r="R836" s="2" t="n"/>
      <c r="S836" s="2" t="inlineStr">
        <is>
          <t>Rejeitado(a) em Comissão</t>
        </is>
      </c>
      <c r="T836" s="2" t="inlineStr">
        <is>
          <t>Rejeitada</t>
        </is>
      </c>
      <c r="U836" s="2" t="inlineStr">
        <is>
          <t>Favor: CH, L, PCP, BE, PAN; Contra: PSD, IL, CDS-PP; Abstenção: PS</t>
        </is>
      </c>
      <c r="V836" s="3" t="n">
        <v>45981</v>
      </c>
      <c r="W836" s="2" t="inlineStr">
        <is>
          <t>AR: https://www.parlamento.pt/OrcamentoEstado/Paginas/DetalhePropostaAlteracao.aspx?BID=24006 PDF: https://app.parlamento.pt/webutils/docs/doc.pdf?path=6148523063484d364c793942556b356c6443397a6158526c63793959566b6c4a544556484c3039464c7a49774d6a59794d4449314d5441774f533951515339684f544d314d32566b5a6931695a54646d4c5451304e5455744f57466b4d6930334f574d354e5467324f4441334e4467756347526d&amp;Fich=a9353edf-be7f-4455-9ad2-79c958680748.pdf&amp;Inline=true</t>
        </is>
      </c>
      <c r="X836" s="2" t="inlineStr">
        <is>
          <t>Assuntos Constitucionais, Direitos, Liberdades e Garantias</t>
        </is>
      </c>
      <c r="Y836" s="2" t="inlineStr">
        <is>
          <t>Articulado</t>
        </is>
      </c>
      <c r="Z836" s="2" t="inlineStr">
        <is>
          <t>Aditamento (Artigo PPL)</t>
        </is>
      </c>
      <c r="AA836" s="2" t="inlineStr">
        <is>
          <t>Rejeitado(a) em Comissão</t>
        </is>
      </c>
      <c r="AB836" s="2" t="inlineStr"/>
      <c r="AC836" s="2" t="inlineStr"/>
      <c r="AD836" s="2" t="inlineStr">
        <is>
          <t>1</t>
        </is>
      </c>
      <c r="AE836" s="2" t="inlineStr">
        <is>
          <t>24006</t>
        </is>
      </c>
      <c r="AF836" s="2" t="inlineStr">
        <is>
          <t>https://www.parlamento.pt/OrcamentoEstado/Paginas/DetalhePropostaAlteracao.aspx?BID=24006</t>
        </is>
      </c>
      <c r="AG836" s="2" t="inlineStr">
        <is>
          <t>https://app.parlamento.pt/webutils/docs/doc.pdf?path=6148523063484d364c793942556b356c6443397a6158526c63793959566b6c4a544556484c3039464c7a49774d6a59794d4449314d5441774f533951515339684f544d314d32566b5a6931695a54646d4c5451304e5455744f57466b4d6930334f574d354e5467324f4441334e4467756347526d&amp;Fich=a9353edf-be7f-4455-9ad2-79c958680748.pdf&amp;Inline=true</t>
        </is>
      </c>
      <c r="AH836" s="3" t="n">
        <v>46321.77847222222</v>
      </c>
      <c r="AI836" s="3" t="n">
        <v>46321.78055555555</v>
      </c>
      <c r="AJ836" s="2" t="inlineStr"/>
    </row>
    <row r="837">
      <c r="A837" s="2" t="n">
        <v>836</v>
      </c>
      <c r="B837" s="2" t="inlineStr">
        <is>
          <t>781C</t>
        </is>
      </c>
      <c r="C837" s="3" t="n">
        <v>45967.47916666666</v>
      </c>
      <c r="D837" s="2" t="inlineStr">
        <is>
          <t>Original</t>
        </is>
      </c>
      <c r="E837" s="2" t="inlineStr">
        <is>
          <t>L</t>
        </is>
      </c>
      <c r="F837" s="2" t="inlineStr">
        <is>
          <t>Filipa Pinto; Isabel Mendes Lopes; Jorge Pinto; Patrícia Gonçalves; Paulo Muacho; Rui Tavares</t>
        </is>
      </c>
      <c r="G837" s="2" t="inlineStr">
        <is>
          <t>Art. 120.º-A (aditamento)</t>
        </is>
      </c>
      <c r="H837" s="2" t="n"/>
      <c r="I837" s="2" t="n"/>
      <c r="J837" s="2" t="n"/>
      <c r="K837" s="2" t="n"/>
      <c r="L837" s="2" t="inlineStr">
        <is>
          <t>Artigo 120.º-A- (Comparticipação dos tratamentos de imunoterapia específica com alergénios)</t>
        </is>
      </c>
      <c r="M837" s="4" t="n"/>
      <c r="N837" s="4" t="n"/>
      <c r="O837" s="2" t="n"/>
      <c r="P837" s="2" t="n"/>
      <c r="Q837" s="2" t="n"/>
      <c r="R837" s="2" t="n"/>
      <c r="S837" s="2" t="inlineStr">
        <is>
          <t>Rejeitado(a) em Comissão</t>
        </is>
      </c>
      <c r="T837" s="2" t="inlineStr">
        <is>
          <t>Rejeitada</t>
        </is>
      </c>
      <c r="U837" s="2" t="inlineStr">
        <is>
          <t>Favor: PS, IL, L, PCP, BE, PAN; Contra: PSD, CDS-PP; Abstenção: CH</t>
        </is>
      </c>
      <c r="V837" s="3" t="n">
        <v>45985</v>
      </c>
      <c r="W837" s="2" t="inlineStr">
        <is>
          <t>AR: https://www.parlamento.pt/OrcamentoEstado/Paginas/DetalhePropostaAlteracao.aspx?BID=24007 PDF: https://app.parlamento.pt/webutils/docs/doc.pdf?path=6148523063484d364c793942556b356c6443397a6158526c63793959566b6c4a544556484c3039464c7a49774d6a59794d4449314d5441774f533951515338305a4445784e32526c4d4330314d6a4d784c5451795a4459744f4455344e6930774e444531597a6b344e544269597a51756347526d&amp;Fich=4d117de0-5231-42d6-8586-0415c9850bc4.pdf&amp;Inline=true</t>
        </is>
      </c>
      <c r="X837" s="2" t="inlineStr">
        <is>
          <t>Saúde</t>
        </is>
      </c>
      <c r="Y837" s="2" t="inlineStr">
        <is>
          <t>Articulado</t>
        </is>
      </c>
      <c r="Z837" s="2" t="inlineStr">
        <is>
          <t>Aditamento (Artigo PPL)</t>
        </is>
      </c>
      <c r="AA837" s="2" t="inlineStr">
        <is>
          <t>Rejeitado(a) em Comissão</t>
        </is>
      </c>
      <c r="AB837" s="2" t="inlineStr"/>
      <c r="AC837" s="2" t="inlineStr"/>
      <c r="AD837" s="2" t="inlineStr">
        <is>
          <t>1</t>
        </is>
      </c>
      <c r="AE837" s="2" t="inlineStr">
        <is>
          <t>24007</t>
        </is>
      </c>
      <c r="AF837" s="2" t="inlineStr">
        <is>
          <t>https://www.parlamento.pt/OrcamentoEstado/Paginas/DetalhePropostaAlteracao.aspx?BID=24007</t>
        </is>
      </c>
      <c r="AG837" s="2" t="inlineStr">
        <is>
          <t>https://app.parlamento.pt/webutils/docs/doc.pdf?path=6148523063484d364c793942556b356c6443397a6158526c63793959566b6c4a544556484c3039464c7a49774d6a59794d4449314d5441774f533951515338305a4445784e32526c4d4330314d6a4d784c5451795a4459744f4455344e6930774e444531597a6b344e544269597a51756347526d&amp;Fich=4d117de0-5231-42d6-8586-0415c9850bc4.pdf&amp;Inline=true</t>
        </is>
      </c>
      <c r="AH837" s="3" t="n">
        <v>46321.77847222222</v>
      </c>
      <c r="AI837" s="3" t="n">
        <v>46321.78055555555</v>
      </c>
      <c r="AJ837" s="2" t="inlineStr"/>
    </row>
    <row r="838">
      <c r="A838" s="2" t="n">
        <v>837</v>
      </c>
      <c r="B838" s="2" t="inlineStr">
        <is>
          <t>782C</t>
        </is>
      </c>
      <c r="C838" s="3" t="n">
        <v>45967.47916666666</v>
      </c>
      <c r="D838" s="2" t="inlineStr">
        <is>
          <t>Original</t>
        </is>
      </c>
      <c r="E838" s="2" t="inlineStr">
        <is>
          <t>PCP</t>
        </is>
      </c>
      <c r="F838" s="2" t="inlineStr">
        <is>
          <t>Alfredo Maia; Paula Santos; Paulo Raimundo</t>
        </is>
      </c>
      <c r="G838" s="2" t="inlineStr">
        <is>
          <t>Art. 27.º-A (aditamento)</t>
        </is>
      </c>
      <c r="H838" s="2" t="n"/>
      <c r="I838" s="2" t="n"/>
      <c r="J838" s="2" t="n"/>
      <c r="K838" s="2" t="n"/>
      <c r="L838" s="2" t="inlineStr">
        <is>
          <t>Artigo 27.º-A (Recálculo do valor das pensões do pessoal com funções policiais da PSP)</t>
        </is>
      </c>
      <c r="M838" s="4" t="n"/>
      <c r="N838" s="4" t="n"/>
      <c r="O838" s="2" t="n"/>
      <c r="P838" s="2" t="n"/>
      <c r="Q838" s="2" t="n"/>
      <c r="R838" s="2" t="n"/>
      <c r="S838" s="2" t="inlineStr">
        <is>
          <t>Rejeitado(a) em Comissão</t>
        </is>
      </c>
      <c r="T838" s="2" t="inlineStr">
        <is>
          <t>Rejeitada</t>
        </is>
      </c>
      <c r="U838" s="2" t="inlineStr">
        <is>
          <t>Favor: CH, L, PCP, BE, PAN; Contra: PSD, PS, IL, CDS-PP</t>
        </is>
      </c>
      <c r="V838" s="3" t="n">
        <v>45981</v>
      </c>
      <c r="W838" s="2" t="inlineStr">
        <is>
          <t>AR: https://www.parlamento.pt/OrcamentoEstado/Paginas/DetalhePropostaAlteracao.aspx?BID=24008 PDF: https://app.parlamento.pt/webutils/docs/doc.pdf?path=6148523063484d364c793942556b356c6443397a6158526c63793959566b6c4a544556484c3039464c7a49774d6a59794d4449314d5441774f5339515153387a5a6a4a6a4e474d355979316a4f445a694c54526d4e444574596d52684f4330324f54686c4d4451314e4441784f4451756347526d&amp;Fich=3f2c4c9c-c86b-4f41-bda8-698e04540184.pdf&amp;Inline=true</t>
        </is>
      </c>
      <c r="X838" s="2" t="inlineStr">
        <is>
          <t>Assuntos Constitucionais, Direitos, Liberdades e Garantias</t>
        </is>
      </c>
      <c r="Y838" s="2" t="inlineStr">
        <is>
          <t>Articulado</t>
        </is>
      </c>
      <c r="Z838" s="2" t="inlineStr">
        <is>
          <t>Aditamento (Artigo PPL)</t>
        </is>
      </c>
      <c r="AA838" s="2" t="inlineStr">
        <is>
          <t>Rejeitado(a) em Comissão</t>
        </is>
      </c>
      <c r="AB838" s="2" t="inlineStr"/>
      <c r="AC838" s="2" t="inlineStr"/>
      <c r="AD838" s="2" t="inlineStr">
        <is>
          <t>1</t>
        </is>
      </c>
      <c r="AE838" s="2" t="inlineStr">
        <is>
          <t>24008</t>
        </is>
      </c>
      <c r="AF838" s="2" t="inlineStr">
        <is>
          <t>https://www.parlamento.pt/OrcamentoEstado/Paginas/DetalhePropostaAlteracao.aspx?BID=24008</t>
        </is>
      </c>
      <c r="AG838" s="2" t="inlineStr">
        <is>
          <t>https://app.parlamento.pt/webutils/docs/doc.pdf?path=6148523063484d364c793942556b356c6443397a6158526c63793959566b6c4a544556484c3039464c7a49774d6a59794d4449314d5441774f5339515153387a5a6a4a6a4e474d355979316a4f445a694c54526d4e444574596d52684f4330324f54686c4d4451314e4441784f4451756347526d&amp;Fich=3f2c4c9c-c86b-4f41-bda8-698e04540184.pdf&amp;Inline=true</t>
        </is>
      </c>
      <c r="AH838" s="3" t="n">
        <v>46321.77847222222</v>
      </c>
      <c r="AI838" s="3" t="n">
        <v>46321.78055555555</v>
      </c>
      <c r="AJ838" s="2" t="inlineStr"/>
    </row>
    <row r="839">
      <c r="A839" s="2" t="n">
        <v>838</v>
      </c>
      <c r="B839" s="2" t="inlineStr">
        <is>
          <t>783C</t>
        </is>
      </c>
      <c r="C839" s="3" t="n">
        <v>45967.47986111111</v>
      </c>
      <c r="D839" s="2" t="inlineStr">
        <is>
          <t>Original</t>
        </is>
      </c>
      <c r="E839" s="2" t="inlineStr">
        <is>
          <t>BE</t>
        </is>
      </c>
      <c r="F839" s="2" t="inlineStr">
        <is>
          <t>Mariana Mortágua</t>
        </is>
      </c>
      <c r="G839" s="2" t="inlineStr">
        <is>
          <t>Art. 112.º-A (aditamento)</t>
        </is>
      </c>
      <c r="H839" s="2" t="n"/>
      <c r="I839" s="2" t="n"/>
      <c r="J839" s="2" t="n"/>
      <c r="K839" s="2" t="n"/>
      <c r="L839" s="2" t="inlineStr">
        <is>
          <t>Artigo 112.º-A (Trabalhadores da administração pública central a desempenhar funções nas regiões autónomas)</t>
        </is>
      </c>
      <c r="M839" s="4" t="n"/>
      <c r="N839" s="4" t="n"/>
      <c r="O839" s="2" t="n"/>
      <c r="P839" s="2" t="n"/>
      <c r="Q839" s="2" t="n"/>
      <c r="R839" s="2" t="n"/>
      <c r="S839" s="2" t="inlineStr">
        <is>
          <t>Rejeitado(a) em Comissão</t>
        </is>
      </c>
      <c r="T839" s="2" t="inlineStr">
        <is>
          <t>Rejeitada</t>
        </is>
      </c>
      <c r="U839" s="2" t="inlineStr">
        <is>
          <t>Favor: CH, L, PCP, BE, PAN; Contra: PSD, CDS-PP; Abstenção: PS, IL</t>
        </is>
      </c>
      <c r="V839" s="3" t="n">
        <v>45982</v>
      </c>
      <c r="W839" s="2" t="inlineStr">
        <is>
          <t>AR: https://www.parlamento.pt/OrcamentoEstado/Paginas/DetalhePropostaAlteracao.aspx?BID=24009 PDF: https://app.parlamento.pt/webutils/docs/doc.pdf?path=6148523063484d364c793942556b356c6443397a6158526c63793959566b6c4a544556484c3039464c7a49774d6a59794d4449314d5441774f53395151533835596a49354d4445785a6931694d57466b4c5451784d4463744f5749314e53316d4e7a67304d3259324f4455304d4745756347526d&amp;Fich=9b29011f-b1ad-4107-9b55-f7843f68540a.pdf&amp;Inline=true</t>
        </is>
      </c>
      <c r="X839" s="2" t="inlineStr">
        <is>
          <t>Orçamento, Finanças e Administração Pública</t>
        </is>
      </c>
      <c r="Y839" s="2" t="inlineStr">
        <is>
          <t>Articulado</t>
        </is>
      </c>
      <c r="Z839" s="2" t="inlineStr">
        <is>
          <t>Aditamento (Artigo PPL)</t>
        </is>
      </c>
      <c r="AA839" s="2" t="inlineStr">
        <is>
          <t>Rejeitado(a) em Comissão</t>
        </is>
      </c>
      <c r="AB839" s="2" t="inlineStr"/>
      <c r="AC839" s="2" t="inlineStr"/>
      <c r="AD839" s="2" t="inlineStr">
        <is>
          <t>1</t>
        </is>
      </c>
      <c r="AE839" s="2" t="inlineStr">
        <is>
          <t>24009</t>
        </is>
      </c>
      <c r="AF839" s="2" t="inlineStr">
        <is>
          <t>https://www.parlamento.pt/OrcamentoEstado/Paginas/DetalhePropostaAlteracao.aspx?BID=24009</t>
        </is>
      </c>
      <c r="AG839" s="2" t="inlineStr">
        <is>
          <t>https://app.parlamento.pt/webutils/docs/doc.pdf?path=6148523063484d364c793942556b356c6443397a6158526c63793959566b6c4a544556484c3039464c7a49774d6a59794d4449314d5441774f53395151533835596a49354d4445785a6931694d57466b4c5451784d4463744f5749314e53316d4e7a67304d3259324f4455304d4745756347526d&amp;Fich=9b29011f-b1ad-4107-9b55-f7843f68540a.pdf&amp;Inline=true</t>
        </is>
      </c>
      <c r="AH839" s="3" t="n">
        <v>46321.77847222222</v>
      </c>
      <c r="AI839" s="3" t="n">
        <v>46321.78055555555</v>
      </c>
      <c r="AJ839" s="2" t="inlineStr"/>
    </row>
    <row r="840">
      <c r="A840" s="2" t="n">
        <v>839</v>
      </c>
      <c r="B840" s="2" t="inlineStr">
        <is>
          <t>784C</t>
        </is>
      </c>
      <c r="C840" s="3" t="n">
        <v>45967.47986111111</v>
      </c>
      <c r="D840" s="2" t="inlineStr">
        <is>
          <t>Original</t>
        </is>
      </c>
      <c r="E840" s="2" t="inlineStr">
        <is>
          <t>PCP</t>
        </is>
      </c>
      <c r="F840" s="2" t="inlineStr">
        <is>
          <t>Alfredo Maia; Paula Santos; Paulo Raimundo</t>
        </is>
      </c>
      <c r="G840" s="2" t="inlineStr">
        <is>
          <t>Art. 27.º-A (aditamento)</t>
        </is>
      </c>
      <c r="H840" s="2" t="n"/>
      <c r="I840" s="2" t="n"/>
      <c r="J840" s="2" t="n"/>
      <c r="K840" s="2" t="n"/>
      <c r="L840" s="2" t="inlineStr">
        <is>
          <t>Artigo 27.º-A (Promoção da segurança e saúde no trabalho nas forças e serviços de segurança)</t>
        </is>
      </c>
      <c r="M840" s="4" t="n"/>
      <c r="N840" s="4" t="n"/>
      <c r="O840" s="2" t="n"/>
      <c r="P840" s="2" t="n"/>
      <c r="Q840" s="2" t="n"/>
      <c r="R840" s="2" t="n"/>
      <c r="S840" s="2" t="inlineStr">
        <is>
          <t>Aprovado(a) Parcialmente em Comissão</t>
        </is>
      </c>
      <c r="T840" s="2" t="inlineStr">
        <is>
          <t>Aprovada parcialmente</t>
        </is>
      </c>
      <c r="U840" s="2" t="inlineStr">
        <is>
          <t>Favor: CH, PS, IL, L, PCP, BE, PAN; Contra: PSD, CDS-PP</t>
        </is>
      </c>
      <c r="V840" s="3" t="n">
        <v>45981</v>
      </c>
      <c r="W840" s="2" t="inlineStr">
        <is>
          <t>AR: https://www.parlamento.pt/OrcamentoEstado/Paginas/DetalhePropostaAlteracao.aspx?BID=24010 PDF: https://app.parlamento.pt/webutils/docs/doc.pdf?path=6148523063484d364c793942556b356c6443397a6158526c63793959566b6c4a544556484c3039464c7a49774d6a59794d4449314d5441774f533951515338784e4441354e7a42694d7930334d3249774c545179596a6b7459544d784d5330354f575a6c597a67784d7a45344e6a6b756347526d&amp;Fich=140970b3-73b0-42b9-a311-99fec8131869.pdf&amp;Inline=true</t>
        </is>
      </c>
      <c r="X840" s="2" t="inlineStr">
        <is>
          <t>Assuntos Constitucionais, Direitos, Liberdades e Garantias</t>
        </is>
      </c>
      <c r="Y840" s="2" t="inlineStr">
        <is>
          <t>Articulado</t>
        </is>
      </c>
      <c r="Z840" s="2" t="inlineStr">
        <is>
          <t>Aditamento (Artigo PPL)</t>
        </is>
      </c>
      <c r="AA840" s="2" t="inlineStr">
        <is>
          <t>Aprovado(a) Parcialmente em Comissão</t>
        </is>
      </c>
      <c r="AB840" s="2" t="inlineStr"/>
      <c r="AC840" s="2" t="inlineStr"/>
      <c r="AD840" s="2" t="inlineStr">
        <is>
          <t>1</t>
        </is>
      </c>
      <c r="AE840" s="2" t="inlineStr">
        <is>
          <t>24010</t>
        </is>
      </c>
      <c r="AF840" s="2" t="inlineStr">
        <is>
          <t>https://www.parlamento.pt/OrcamentoEstado/Paginas/DetalhePropostaAlteracao.aspx?BID=24010</t>
        </is>
      </c>
      <c r="AG840" s="2" t="inlineStr">
        <is>
          <t>https://app.parlamento.pt/webutils/docs/doc.pdf?path=6148523063484d364c793942556b356c6443397a6158526c63793959566b6c4a544556484c3039464c7a49774d6a59794d4449314d5441774f533951515338784e4441354e7a42694d7930334d3249774c545179596a6b7459544d784d5330354f575a6c597a67784d7a45344e6a6b756347526d&amp;Fich=140970b3-73b0-42b9-a311-99fec8131869.pdf&amp;Inline=true</t>
        </is>
      </c>
      <c r="AH840" s="3" t="n">
        <v>46321.77847222222</v>
      </c>
      <c r="AI840" s="3" t="n">
        <v>46321.78055555555</v>
      </c>
      <c r="AJ840" s="2" t="inlineStr"/>
    </row>
    <row r="841">
      <c r="A841" s="2" t="n">
        <v>840</v>
      </c>
      <c r="B841" s="2" t="inlineStr">
        <is>
          <t>785C</t>
        </is>
      </c>
      <c r="C841" s="3" t="n">
        <v>45967.48055555556</v>
      </c>
      <c r="D841" s="2" t="inlineStr">
        <is>
          <t>Original</t>
        </is>
      </c>
      <c r="E841" s="2" t="inlineStr">
        <is>
          <t>PCP</t>
        </is>
      </c>
      <c r="F841" s="2" t="inlineStr">
        <is>
          <t>Alfredo Maia; Paula Santos; Paulo Raimundo</t>
        </is>
      </c>
      <c r="G841" s="2" t="inlineStr">
        <is>
          <t>Art. 27.º-A (aditamento)</t>
        </is>
      </c>
      <c r="H841" s="2" t="n"/>
      <c r="I841" s="2" t="n"/>
      <c r="J841" s="2" t="n"/>
      <c r="K841" s="2" t="n"/>
      <c r="L841" s="2" t="inlineStr">
        <is>
          <t>Artigo 27.º-A (Aquisição de material de uso individual para as forças e serviços de segurança)</t>
        </is>
      </c>
      <c r="M841" s="4" t="n"/>
      <c r="N841" s="4" t="n"/>
      <c r="O841" s="2" t="n"/>
      <c r="P841" s="2" t="n"/>
      <c r="Q841" s="2" t="n"/>
      <c r="R841" s="2" t="n"/>
      <c r="S841" s="2" t="inlineStr">
        <is>
          <t>Rejeitado(a) em Comissão</t>
        </is>
      </c>
      <c r="T841" s="2" t="inlineStr">
        <is>
          <t>Rejeitada</t>
        </is>
      </c>
      <c r="U841" s="2" t="inlineStr">
        <is>
          <t>Favor: CH, L, PCP, BE, PAN; Contra: PSD, CDS-PP; Abstenção: PS, IL</t>
        </is>
      </c>
      <c r="V841" s="3" t="n">
        <v>45981</v>
      </c>
      <c r="W841" s="2" t="inlineStr">
        <is>
          <t>AR: https://www.parlamento.pt/OrcamentoEstado/Paginas/DetalhePropostaAlteracao.aspx?BID=24011 PDF: https://app.parlamento.pt/webutils/docs/doc.pdf?path=6148523063484d364c793942556b356c6443397a6158526c63793959566b6c4a544556484c3039464c7a49774d6a59794d4449314d5441774f533951515338794e4759334e5445794d53316d596a6b784c54526b5a544d745954466a4d69307759324e685a574a684f474e694e7a63756347526d&amp;Fich=24f75121-fb91-4de3-a1c2-0ccaeba8cb77.pdf&amp;Inline=true</t>
        </is>
      </c>
      <c r="X841" s="2" t="inlineStr">
        <is>
          <t>Assuntos Constitucionais, Direitos, Liberdades e Garantias</t>
        </is>
      </c>
      <c r="Y841" s="2" t="inlineStr">
        <is>
          <t>Articulado</t>
        </is>
      </c>
      <c r="Z841" s="2" t="inlineStr">
        <is>
          <t>Aditamento (Artigo PPL)</t>
        </is>
      </c>
      <c r="AA841" s="2" t="inlineStr">
        <is>
          <t>Rejeitado(a) em Comissão</t>
        </is>
      </c>
      <c r="AB841" s="2" t="inlineStr"/>
      <c r="AC841" s="2" t="inlineStr"/>
      <c r="AD841" s="2" t="inlineStr">
        <is>
          <t>1</t>
        </is>
      </c>
      <c r="AE841" s="2" t="inlineStr">
        <is>
          <t>24011</t>
        </is>
      </c>
      <c r="AF841" s="2" t="inlineStr">
        <is>
          <t>https://www.parlamento.pt/OrcamentoEstado/Paginas/DetalhePropostaAlteracao.aspx?BID=24011</t>
        </is>
      </c>
      <c r="AG841" s="2" t="inlineStr">
        <is>
          <t>https://app.parlamento.pt/webutils/docs/doc.pdf?path=6148523063484d364c793942556b356c6443397a6158526c63793959566b6c4a544556484c3039464c7a49774d6a59794d4449314d5441774f533951515338794e4759334e5445794d53316d596a6b784c54526b5a544d745954466a4d69307759324e685a574a684f474e694e7a63756347526d&amp;Fich=24f75121-fb91-4de3-a1c2-0ccaeba8cb77.pdf&amp;Inline=true</t>
        </is>
      </c>
      <c r="AH841" s="3" t="n">
        <v>46321.77847222222</v>
      </c>
      <c r="AI841" s="3" t="n">
        <v>46321.78055555555</v>
      </c>
      <c r="AJ841" s="2" t="inlineStr"/>
    </row>
    <row r="842">
      <c r="A842" s="2" t="n">
        <v>841</v>
      </c>
      <c r="B842" s="2" t="inlineStr">
        <is>
          <t>786C</t>
        </is>
      </c>
      <c r="C842" s="3" t="n">
        <v>45967.48055555556</v>
      </c>
      <c r="D842" s="2" t="inlineStr">
        <is>
          <t>Original</t>
        </is>
      </c>
      <c r="E842" s="2" t="inlineStr">
        <is>
          <t>L</t>
        </is>
      </c>
      <c r="F842" s="2" t="inlineStr">
        <is>
          <t>Filipa Pinto; Isabel Mendes Lopes; Jorge Pinto; Patrícia Gonçalves; Paulo Muacho; Rui Tavares</t>
        </is>
      </c>
      <c r="G842" s="2" t="inlineStr">
        <is>
          <t>Art. 120.º-A (aditamento)</t>
        </is>
      </c>
      <c r="H842" s="2" t="n"/>
      <c r="I842" s="2" t="n"/>
      <c r="J842" s="2" t="n"/>
      <c r="K842" s="2" t="n"/>
      <c r="L842" s="2" t="inlineStr">
        <is>
          <t>Artigo 120.º-A (Continuidade e alargamento da Distribuição Gratuita de Produtos de Higiene Menstrual)</t>
        </is>
      </c>
      <c r="M842" s="4" t="n"/>
      <c r="N842" s="4" t="n"/>
      <c r="O842" s="2" t="n"/>
      <c r="P842" s="2" t="n"/>
      <c r="Q842" s="2" t="n"/>
      <c r="R842" s="2" t="n"/>
      <c r="S842" s="2" t="inlineStr">
        <is>
          <t>Aprovado(a) em Comissão</t>
        </is>
      </c>
      <c r="T842" s="2" t="inlineStr">
        <is>
          <t>Aprovada</t>
        </is>
      </c>
      <c r="U842" s="2" t="inlineStr">
        <is>
          <t>Favor: CH, PS, IL, L, PCP, BE, PAN; Contra: PSD, CDS-PP</t>
        </is>
      </c>
      <c r="V842" s="3" t="n">
        <v>45985</v>
      </c>
      <c r="W842" s="2" t="inlineStr">
        <is>
          <t>AR: https://www.parlamento.pt/OrcamentoEstado/Paginas/DetalhePropostaAlteracao.aspx?BID=24012 PDF: https://app.parlamento.pt/webutils/docs/doc.pdf?path=6148523063484d364c793942556b356c6443397a6158526c63793959566b6c4a544556484c3039464c7a49774d6a59794d4449314d5441774f533951515338345a5459794e5759784d69307a4e4467774c5451794f4441744f4751324f533032597a646c4e4746684d7a637a596d59756347526d&amp;Fich=8e625f12-3480-4280-8d69-6c7e4aa373bf.pdf&amp;Inline=true</t>
        </is>
      </c>
      <c r="X842" s="2" t="inlineStr">
        <is>
          <t>Saúde</t>
        </is>
      </c>
      <c r="Y842" s="2" t="inlineStr">
        <is>
          <t>Articulado</t>
        </is>
      </c>
      <c r="Z842" s="2" t="inlineStr">
        <is>
          <t>Aditamento (Artigo PPL)</t>
        </is>
      </c>
      <c r="AA842" s="2" t="inlineStr">
        <is>
          <t>Aprovado(a) em Comissão</t>
        </is>
      </c>
      <c r="AB842" s="2" t="inlineStr"/>
      <c r="AC842" s="2" t="inlineStr"/>
      <c r="AD842" s="2" t="inlineStr">
        <is>
          <t>1</t>
        </is>
      </c>
      <c r="AE842" s="2" t="inlineStr">
        <is>
          <t>24012</t>
        </is>
      </c>
      <c r="AF842" s="2" t="inlineStr">
        <is>
          <t>https://www.parlamento.pt/OrcamentoEstado/Paginas/DetalhePropostaAlteracao.aspx?BID=24012</t>
        </is>
      </c>
      <c r="AG842" s="2" t="inlineStr">
        <is>
          <t>https://app.parlamento.pt/webutils/docs/doc.pdf?path=6148523063484d364c793942556b356c6443397a6158526c63793959566b6c4a544556484c3039464c7a49774d6a59794d4449314d5441774f533951515338345a5459794e5759784d69307a4e4467774c5451794f4441744f4751324f533032597a646c4e4746684d7a637a596d59756347526d&amp;Fich=8e625f12-3480-4280-8d69-6c7e4aa373bf.pdf&amp;Inline=true</t>
        </is>
      </c>
      <c r="AH842" s="3" t="n">
        <v>46321.77847222222</v>
      </c>
      <c r="AI842" s="3" t="n">
        <v>46321.78055555555</v>
      </c>
      <c r="AJ842" s="2" t="inlineStr"/>
    </row>
    <row r="843">
      <c r="A843" s="2" t="n">
        <v>842</v>
      </c>
      <c r="B843" s="2" t="inlineStr">
        <is>
          <t>787C</t>
        </is>
      </c>
      <c r="C843" s="3" t="n">
        <v>45967.48055555556</v>
      </c>
      <c r="D843" s="2" t="inlineStr">
        <is>
          <t>Original</t>
        </is>
      </c>
      <c r="E843" s="2" t="inlineStr">
        <is>
          <t>BE</t>
        </is>
      </c>
      <c r="F843" s="2" t="inlineStr">
        <is>
          <t>Mariana Mortágua</t>
        </is>
      </c>
      <c r="G843" s="2" t="inlineStr">
        <is>
          <t>Art. 112.º (substituição)</t>
        </is>
      </c>
      <c r="H843" s="2" t="n"/>
      <c r="I843" s="2" t="n"/>
      <c r="J843" s="2" t="n"/>
      <c r="K843" s="2" t="n"/>
      <c r="L843" s="2" t="inlineStr">
        <is>
          <t>N.º 1, Artigo 112.º</t>
        </is>
      </c>
      <c r="M843" s="4" t="n"/>
      <c r="N843" s="4" t="n"/>
      <c r="O843" s="2" t="n"/>
      <c r="P843" s="2" t="n"/>
      <c r="Q843" s="2" t="n"/>
      <c r="R843" s="2" t="n"/>
      <c r="S843" s="2" t="inlineStr">
        <is>
          <t>Rejeitado(a) em Comissão</t>
        </is>
      </c>
      <c r="T843" s="2" t="inlineStr">
        <is>
          <t>Rejeitada</t>
        </is>
      </c>
      <c r="U843" s="2" t="inlineStr">
        <is>
          <t>Favor: CH, L, PCP, BE, PAN; Contra: PSD, CDS-PP; Abstenção: PS, IL</t>
        </is>
      </c>
      <c r="V843" s="3" t="n">
        <v>45982</v>
      </c>
      <c r="W843" s="2" t="inlineStr">
        <is>
          <t>AR: https://www.parlamento.pt/OrcamentoEstado/Paginas/DetalhePropostaAlteracao.aspx?BID=24013 PDF: https://app.parlamento.pt/webutils/docs/doc.pdf?path=6148523063484d364c793942556b356c6443397a6158526c63793959566b6c4a544556484c3039464c7a49774d6a59794d4449314d5441774f533951515338344d3259355a54637a4f5330795a6a41794c5451314f5755744f5463785a4330784d7a4a695a474d354f544d315a5745756347526d&amp;Fich=83f9e739-2f02-459e-971d-132bdc9935ea.pdf&amp;Inline=true</t>
        </is>
      </c>
      <c r="X843" s="2" t="inlineStr">
        <is>
          <t>Cultura, Comunicação, Juventude e Desporto</t>
        </is>
      </c>
      <c r="Y843" s="2" t="inlineStr">
        <is>
          <t>Articulado</t>
        </is>
      </c>
      <c r="Z843" s="2" t="inlineStr">
        <is>
          <t>Substituição</t>
        </is>
      </c>
      <c r="AA843" s="2" t="inlineStr">
        <is>
          <t>Rejeitado(a) em Comissão</t>
        </is>
      </c>
      <c r="AB843" s="2" t="inlineStr"/>
      <c r="AC843" s="2" t="inlineStr"/>
      <c r="AD843" s="2" t="inlineStr">
        <is>
          <t>1</t>
        </is>
      </c>
      <c r="AE843" s="2" t="inlineStr">
        <is>
          <t>24013</t>
        </is>
      </c>
      <c r="AF843" s="2" t="inlineStr">
        <is>
          <t>https://www.parlamento.pt/OrcamentoEstado/Paginas/DetalhePropostaAlteracao.aspx?BID=24013</t>
        </is>
      </c>
      <c r="AG843" s="2" t="inlineStr">
        <is>
          <t>https://app.parlamento.pt/webutils/docs/doc.pdf?path=6148523063484d364c793942556b356c6443397a6158526c63793959566b6c4a544556484c3039464c7a49774d6a59794d4449314d5441774f533951515338344d3259355a54637a4f5330795a6a41794c5451314f5755744f5463785a4330784d7a4a695a474d354f544d315a5745756347526d&amp;Fich=83f9e739-2f02-459e-971d-132bdc9935ea.pdf&amp;Inline=true</t>
        </is>
      </c>
      <c r="AH843" s="3" t="n">
        <v>46321.77847222222</v>
      </c>
      <c r="AI843" s="3" t="n">
        <v>46321.78055555555</v>
      </c>
      <c r="AJ843" s="2" t="inlineStr"/>
    </row>
    <row r="844">
      <c r="A844" s="2" t="n">
        <v>843</v>
      </c>
      <c r="B844" s="2" t="inlineStr">
        <is>
          <t>788C</t>
        </is>
      </c>
      <c r="C844" s="3" t="n">
        <v>45967.48125</v>
      </c>
      <c r="D844" s="2" t="inlineStr">
        <is>
          <t>Original</t>
        </is>
      </c>
      <c r="E844" s="2" t="inlineStr">
        <is>
          <t>PCP</t>
        </is>
      </c>
      <c r="F844" s="2" t="inlineStr">
        <is>
          <t>Alfredo Maia; Paula Santos; Paulo Raimundo</t>
        </is>
      </c>
      <c r="G844" s="2" t="inlineStr">
        <is>
          <t>Art. 27.º-A (aditamento)</t>
        </is>
      </c>
      <c r="H844" s="2" t="n"/>
      <c r="I844" s="2" t="n"/>
      <c r="J844" s="2" t="n"/>
      <c r="K844" s="2" t="n"/>
      <c r="L844" s="2" t="inlineStr">
        <is>
          <t>Artigo 27.º-A (Fixa um prazo para o pagamento de serviços remunerados aos profissionais da PSP e da GNR)</t>
        </is>
      </c>
      <c r="M844" s="4" t="n"/>
      <c r="N844" s="4" t="n"/>
      <c r="O844" s="2" t="n"/>
      <c r="P844" s="2" t="n"/>
      <c r="Q844" s="2" t="n"/>
      <c r="R844" s="2" t="n"/>
      <c r="S844" s="2" t="inlineStr">
        <is>
          <t>Aprovado(a) em Comissão</t>
        </is>
      </c>
      <c r="T844" s="2" t="inlineStr">
        <is>
          <t>Aprovada</t>
        </is>
      </c>
      <c r="U844" s="2" t="inlineStr">
        <is>
          <t>Favor: CH, PS, L, PCP, BE, PAN; Contra: PSD, IL, CDS-PP</t>
        </is>
      </c>
      <c r="V844" s="3" t="n">
        <v>45981</v>
      </c>
      <c r="W844" s="2" t="inlineStr">
        <is>
          <t>AR: https://www.parlamento.pt/OrcamentoEstado/Paginas/DetalhePropostaAlteracao.aspx?BID=24014 PDF: https://app.parlamento.pt/webutils/docs/doc.pdf?path=6148523063484d364c793942556b356c6443397a6158526c63793959566b6c4a544556484c3039464c7a49774d6a59794d4449314d5441774f533951515338354d5463314d54686c4e7930774d6a49774c54517a4e546b744f5745355a4330345932526a5a446c6c4e4751324f4455756347526d&amp;Fich=917518e7-0220-4359-9a9d-8cdcd9e4d685.pdf&amp;Inline=true</t>
        </is>
      </c>
      <c r="X844" s="2" t="inlineStr">
        <is>
          <t>Assuntos Constitucionais, Direitos, Liberdades e Garantias</t>
        </is>
      </c>
      <c r="Y844" s="2" t="inlineStr">
        <is>
          <t>Articulado</t>
        </is>
      </c>
      <c r="Z844" s="2" t="inlineStr">
        <is>
          <t>Aditamento (Artigo PPL)</t>
        </is>
      </c>
      <c r="AA844" s="2" t="inlineStr">
        <is>
          <t>Aprovado(a) em Comissão</t>
        </is>
      </c>
      <c r="AB844" s="2" t="inlineStr"/>
      <c r="AC844" s="2" t="inlineStr"/>
      <c r="AD844" s="2" t="inlineStr">
        <is>
          <t>1</t>
        </is>
      </c>
      <c r="AE844" s="2" t="inlineStr">
        <is>
          <t>24014</t>
        </is>
      </c>
      <c r="AF844" s="2" t="inlineStr">
        <is>
          <t>https://www.parlamento.pt/OrcamentoEstado/Paginas/DetalhePropostaAlteracao.aspx?BID=24014</t>
        </is>
      </c>
      <c r="AG844" s="2" t="inlineStr">
        <is>
          <t>https://app.parlamento.pt/webutils/docs/doc.pdf?path=6148523063484d364c793942556b356c6443397a6158526c63793959566b6c4a544556484c3039464c7a49774d6a59794d4449314d5441774f533951515338354d5463314d54686c4e7930774d6a49774c54517a4e546b744f5745355a4330345932526a5a446c6c4e4751324f4455756347526d&amp;Fich=917518e7-0220-4359-9a9d-8cdcd9e4d685.pdf&amp;Inline=true</t>
        </is>
      </c>
      <c r="AH844" s="3" t="n">
        <v>46321.77847222222</v>
      </c>
      <c r="AI844" s="3" t="n">
        <v>46321.78055555555</v>
      </c>
      <c r="AJ844" s="2" t="inlineStr"/>
    </row>
    <row r="845">
      <c r="A845" s="2" t="n">
        <v>844</v>
      </c>
      <c r="B845" s="2" t="inlineStr">
        <is>
          <t>789C</t>
        </is>
      </c>
      <c r="C845" s="3" t="n">
        <v>45967.48125</v>
      </c>
      <c r="D845" s="2" t="inlineStr">
        <is>
          <t>Original</t>
        </is>
      </c>
      <c r="E845" s="2" t="inlineStr">
        <is>
          <t>PCP</t>
        </is>
      </c>
      <c r="F845" s="2" t="inlineStr">
        <is>
          <t>Alfredo Maia; Paula Santos; Paulo Raimundo</t>
        </is>
      </c>
      <c r="G845" s="2" t="inlineStr">
        <is>
          <t>Art. 27.º-A (aditamento)</t>
        </is>
      </c>
      <c r="H845" s="2" t="n"/>
      <c r="I845" s="2" t="n"/>
      <c r="J845" s="2" t="n"/>
      <c r="K845" s="2" t="n"/>
      <c r="L845" s="2" t="inlineStr">
        <is>
          <t>Artigo 27.º-A (Promoção da saúde mental nas forças de segurança)</t>
        </is>
      </c>
      <c r="M845" s="4" t="n"/>
      <c r="N845" s="4" t="n"/>
      <c r="O845" s="2" t="n"/>
      <c r="P845" s="2" t="n"/>
      <c r="Q845" s="2" t="n"/>
      <c r="R845" s="2" t="n"/>
      <c r="S845" s="2" t="inlineStr">
        <is>
          <t>Rejeitado(a) em Comissão</t>
        </is>
      </c>
      <c r="T845" s="2" t="inlineStr">
        <is>
          <t>Rejeitada</t>
        </is>
      </c>
      <c r="U845" s="2" t="inlineStr">
        <is>
          <t>Favor: CH, L, PCP, BE, PAN; Contra: PSD, CDS-PP; Abstenção: PS, IL</t>
        </is>
      </c>
      <c r="V845" s="3" t="n">
        <v>45981</v>
      </c>
      <c r="W845" s="2" t="inlineStr">
        <is>
          <t>AR: https://www.parlamento.pt/OrcamentoEstado/Paginas/DetalhePropostaAlteracao.aspx?BID=24015 PDF: https://app.parlamento.pt/webutils/docs/doc.pdf?path=6148523063484d364c793942556b356c6443397a6158526c63793959566b6c4a544556484c3039464c7a49774d6a59794d4449314d5441774f5339515153396b595751354d6a4d334d7930304e6a55324c5451354e4451744f5456694e7930344d544e6c4d4455315a4459344e5759756347526d&amp;Fich=dad92373-4656-4944-95b7-813e055d685f.pdf&amp;Inline=true</t>
        </is>
      </c>
      <c r="X845" s="2" t="inlineStr">
        <is>
          <t>Assuntos Constitucionais, Direitos, Liberdades e Garantias</t>
        </is>
      </c>
      <c r="Y845" s="2" t="inlineStr">
        <is>
          <t>Articulado</t>
        </is>
      </c>
      <c r="Z845" s="2" t="inlineStr">
        <is>
          <t>Aditamento (Artigo PPL)</t>
        </is>
      </c>
      <c r="AA845" s="2" t="inlineStr">
        <is>
          <t>Rejeitado(a) em Comissão</t>
        </is>
      </c>
      <c r="AB845" s="2" t="inlineStr"/>
      <c r="AC845" s="2" t="inlineStr"/>
      <c r="AD845" s="2" t="inlineStr">
        <is>
          <t>1</t>
        </is>
      </c>
      <c r="AE845" s="2" t="inlineStr">
        <is>
          <t>24015</t>
        </is>
      </c>
      <c r="AF845" s="2" t="inlineStr">
        <is>
          <t>https://www.parlamento.pt/OrcamentoEstado/Paginas/DetalhePropostaAlteracao.aspx?BID=24015</t>
        </is>
      </c>
      <c r="AG845" s="2" t="inlineStr">
        <is>
          <t>https://app.parlamento.pt/webutils/docs/doc.pdf?path=6148523063484d364c793942556b356c6443397a6158526c63793959566b6c4a544556484c3039464c7a49774d6a59794d4449314d5441774f5339515153396b595751354d6a4d334d7930304e6a55324c5451354e4451744f5456694e7930344d544e6c4d4455315a4459344e5759756347526d&amp;Fich=dad92373-4656-4944-95b7-813e055d685f.pdf&amp;Inline=true</t>
        </is>
      </c>
      <c r="AH845" s="3" t="n">
        <v>46321.77847222222</v>
      </c>
      <c r="AI845" s="3" t="n">
        <v>46321.78055555555</v>
      </c>
      <c r="AJ845" s="2" t="inlineStr"/>
    </row>
    <row r="846">
      <c r="A846" s="2" t="n">
        <v>845</v>
      </c>
      <c r="B846" s="2" t="inlineStr">
        <is>
          <t>790C</t>
        </is>
      </c>
      <c r="C846" s="3" t="n">
        <v>45967.48194444444</v>
      </c>
      <c r="D846" s="2" t="inlineStr">
        <is>
          <t>Original</t>
        </is>
      </c>
      <c r="E846" s="2" t="inlineStr">
        <is>
          <t>BE</t>
        </is>
      </c>
      <c r="F846" s="2" t="inlineStr">
        <is>
          <t>Mariana Mortágua</t>
        </is>
      </c>
      <c r="G846" s="2" t="inlineStr">
        <is>
          <t>Art. 112.º-A (aditamento)</t>
        </is>
      </c>
      <c r="H846" s="2" t="n"/>
      <c r="I846" s="2" t="n"/>
      <c r="J846" s="2" t="n"/>
      <c r="K846" s="2" t="n"/>
      <c r="L846" s="2" t="inlineStr">
        <is>
          <t>Artigo 112.º-A (Requalificação das instalações do Estabelecimento Prisional da ilha Terceira)</t>
        </is>
      </c>
      <c r="M846" s="4" t="n"/>
      <c r="N846" s="4" t="n"/>
      <c r="O846" s="2" t="n"/>
      <c r="P846" s="2" t="n"/>
      <c r="Q846" s="2" t="n"/>
      <c r="R846" s="2" t="n"/>
      <c r="S846" s="2" t="inlineStr">
        <is>
          <t>Rejeitado(a) em Comissão</t>
        </is>
      </c>
      <c r="T846" s="2" t="inlineStr">
        <is>
          <t>Rejeitada</t>
        </is>
      </c>
      <c r="U846" s="2" t="inlineStr">
        <is>
          <t>Favor: CH, L, PCP, BE, PAN; Contra: PSD, CDS-PP; Abstenção: PS, IL</t>
        </is>
      </c>
      <c r="V846" s="3" t="n">
        <v>45982</v>
      </c>
      <c r="W846" s="2" t="inlineStr">
        <is>
          <t>AR: https://www.parlamento.pt/OrcamentoEstado/Paginas/DetalhePropostaAlteracao.aspx?BID=24016 PDF: https://app.parlamento.pt/webutils/docs/doc.pdf?path=6148523063484d364c793942556b356c6443397a6158526c63793959566b6c4a544556484c3039464c7a49774d6a59794d4449314d5441774f5339515153396a4d44417a4d47566a596931684d6a646b4c545177596a59744f444d335969316a5954566a597a51314e47597a4e5759756347526d&amp;Fich=c0030ecb-a27d-40b6-837b-ca5cc454f35f.pdf&amp;Inline=true</t>
        </is>
      </c>
      <c r="X846" s="2" t="inlineStr">
        <is>
          <t>Assuntos Constitucionais, Direitos, Liberdades e Garantias</t>
        </is>
      </c>
      <c r="Y846" s="2" t="inlineStr">
        <is>
          <t>Articulado</t>
        </is>
      </c>
      <c r="Z846" s="2" t="inlineStr">
        <is>
          <t>Aditamento (Artigo PPL)</t>
        </is>
      </c>
      <c r="AA846" s="2" t="inlineStr">
        <is>
          <t>Rejeitado(a) em Comissão</t>
        </is>
      </c>
      <c r="AB846" s="2" t="inlineStr"/>
      <c r="AC846" s="2" t="inlineStr"/>
      <c r="AD846" s="2" t="inlineStr">
        <is>
          <t>1</t>
        </is>
      </c>
      <c r="AE846" s="2" t="inlineStr">
        <is>
          <t>24016</t>
        </is>
      </c>
      <c r="AF846" s="2" t="inlineStr">
        <is>
          <t>https://www.parlamento.pt/OrcamentoEstado/Paginas/DetalhePropostaAlteracao.aspx?BID=24016</t>
        </is>
      </c>
      <c r="AG846" s="2" t="inlineStr">
        <is>
          <t>https://app.parlamento.pt/webutils/docs/doc.pdf?path=6148523063484d364c793942556b356c6443397a6158526c63793959566b6c4a544556484c3039464c7a49774d6a59794d4449314d5441774f5339515153396a4d44417a4d47566a596931684d6a646b4c545177596a59744f444d335969316a5954566a597a51314e47597a4e5759756347526d&amp;Fich=c0030ecb-a27d-40b6-837b-ca5cc454f35f.pdf&amp;Inline=true</t>
        </is>
      </c>
      <c r="AH846" s="3" t="n">
        <v>46321.77847222222</v>
      </c>
      <c r="AI846" s="3" t="n">
        <v>46321.78055555555</v>
      </c>
      <c r="AJ846" s="2" t="inlineStr"/>
    </row>
    <row r="847">
      <c r="A847" s="2" t="n">
        <v>846</v>
      </c>
      <c r="B847" s="2" t="inlineStr">
        <is>
          <t>791C</t>
        </is>
      </c>
      <c r="C847" s="3" t="n">
        <v>45967.48263888889</v>
      </c>
      <c r="D847" s="2" t="inlineStr">
        <is>
          <t>Original</t>
        </is>
      </c>
      <c r="E847" s="2" t="inlineStr">
        <is>
          <t>PCP</t>
        </is>
      </c>
      <c r="F847" s="2" t="inlineStr">
        <is>
          <t>Alfredo Maia; Paula Santos; Paulo Raimundo</t>
        </is>
      </c>
      <c r="G847" s="2" t="inlineStr">
        <is>
          <t>Art. 27.º-A (aditamento)</t>
        </is>
      </c>
      <c r="H847" s="2" t="n"/>
      <c r="I847" s="2" t="n"/>
      <c r="J847" s="2" t="n"/>
      <c r="K847" s="2" t="n"/>
      <c r="L847" s="2" t="inlineStr">
        <is>
          <t>Artigo 27.º-A (Alteração ao Decreto-Lei n.º 4/2017, de 6 de janeiro)</t>
        </is>
      </c>
      <c r="M847" s="4" t="n"/>
      <c r="N847" s="4" t="n"/>
      <c r="O847" s="2" t="n"/>
      <c r="P847" s="2" t="n"/>
      <c r="Q847" s="2" t="n"/>
      <c r="R847" s="2" t="n"/>
      <c r="S847" s="2" t="inlineStr">
        <is>
          <t>Rejeitado(a) em Comissão</t>
        </is>
      </c>
      <c r="T847" s="2" t="inlineStr">
        <is>
          <t>Rejeitada</t>
        </is>
      </c>
      <c r="U847" s="2" t="inlineStr">
        <is>
          <t>Favor: CH, L, PCP, BE, PAN; Contra: PSD, PS, IL, CDS-PP</t>
        </is>
      </c>
      <c r="V847" s="3" t="n">
        <v>45981</v>
      </c>
      <c r="W847" s="2" t="inlineStr">
        <is>
          <t>AR: https://www.parlamento.pt/OrcamentoEstado/Paginas/DetalhePropostaAlteracao.aspx?BID=24017 PDF: https://app.parlamento.pt/webutils/docs/doc.pdf?path=6148523063484d364c793942556b356c6443397a6158526c63793959566b6c4a544556484c3039464c7a49774d6a59794d4449314d5441774f53395151533834597a55354d5751304d53316b4d5755794c54526d59546b7459544533597930335a446731596a6779596d4e694d4755756347526d&amp;Fich=8c591d41-d1e2-4fa9-a17c-7d85b82bcb0e.pdf&amp;Inline=true</t>
        </is>
      </c>
      <c r="X847" s="2" t="inlineStr">
        <is>
          <t>Assuntos Constitucionais, Direitos, Liberdades e Garantias</t>
        </is>
      </c>
      <c r="Y847" s="2" t="inlineStr">
        <is>
          <t>Articulado</t>
        </is>
      </c>
      <c r="Z847" s="2" t="inlineStr">
        <is>
          <t>Aditamento (Artigo PPL)</t>
        </is>
      </c>
      <c r="AA847" s="2" t="inlineStr">
        <is>
          <t>Rejeitado(a) em Comissão</t>
        </is>
      </c>
      <c r="AB847" s="2" t="inlineStr"/>
      <c r="AC847" s="2" t="inlineStr"/>
      <c r="AD847" s="2" t="inlineStr">
        <is>
          <t>1</t>
        </is>
      </c>
      <c r="AE847" s="2" t="inlineStr">
        <is>
          <t>24017</t>
        </is>
      </c>
      <c r="AF847" s="2" t="inlineStr">
        <is>
          <t>https://www.parlamento.pt/OrcamentoEstado/Paginas/DetalhePropostaAlteracao.aspx?BID=24017</t>
        </is>
      </c>
      <c r="AG847" s="2" t="inlineStr">
        <is>
          <t>https://app.parlamento.pt/webutils/docs/doc.pdf?path=6148523063484d364c793942556b356c6443397a6158526c63793959566b6c4a544556484c3039464c7a49774d6a59794d4449314d5441774f53395151533834597a55354d5751304d53316b4d5755794c54526d59546b7459544533597930335a446731596a6779596d4e694d4755756347526d&amp;Fich=8c591d41-d1e2-4fa9-a17c-7d85b82bcb0e.pdf&amp;Inline=true</t>
        </is>
      </c>
      <c r="AH847" s="3" t="n">
        <v>46321.77847222222</v>
      </c>
      <c r="AI847" s="3" t="n">
        <v>46321.78055555555</v>
      </c>
      <c r="AJ847" s="2" t="inlineStr"/>
    </row>
    <row r="848">
      <c r="A848" s="2" t="n">
        <v>847</v>
      </c>
      <c r="B848" s="2" t="inlineStr">
        <is>
          <t>792C</t>
        </is>
      </c>
      <c r="C848" s="3" t="n">
        <v>45967.48263888889</v>
      </c>
      <c r="D848" s="2" t="inlineStr">
        <is>
          <t>Original</t>
        </is>
      </c>
      <c r="E848" s="2" t="inlineStr">
        <is>
          <t>PCP</t>
        </is>
      </c>
      <c r="F848" s="2" t="inlineStr">
        <is>
          <t>Alfredo Maia; Paula Santos; Paulo Raimundo</t>
        </is>
      </c>
      <c r="G848" s="2" t="inlineStr">
        <is>
          <t>Art. 27.º-A (aditamento)</t>
        </is>
      </c>
      <c r="H848" s="2" t="n"/>
      <c r="I848" s="2" t="n"/>
      <c r="J848" s="2" t="n"/>
      <c r="K848" s="2" t="n"/>
      <c r="L848" s="2" t="inlineStr">
        <is>
          <t>Artigo 27.º-A (Valorização remuneratória e social dos trabalhadores das forças e serviços de segurança)</t>
        </is>
      </c>
      <c r="M848" s="4" t="n"/>
      <c r="N848" s="4" t="n"/>
      <c r="O848" s="2" t="n"/>
      <c r="P848" s="2" t="n"/>
      <c r="Q848" s="2" t="n"/>
      <c r="R848" s="2" t="n"/>
      <c r="S848" s="2" t="inlineStr">
        <is>
          <t>Rejeitado(a) em Comissão</t>
        </is>
      </c>
      <c r="T848" s="2" t="inlineStr">
        <is>
          <t>Rejeitada</t>
        </is>
      </c>
      <c r="U848" s="2" t="inlineStr">
        <is>
          <t>Favor: CH, L, PCP, BE, PAN; Contra: PSD, CDS-PP; Abstenção: PS, IL</t>
        </is>
      </c>
      <c r="V848" s="3" t="n">
        <v>45981</v>
      </c>
      <c r="W848" s="2" t="inlineStr">
        <is>
          <t>AR: https://www.parlamento.pt/OrcamentoEstado/Paginas/DetalhePropostaAlteracao.aspx?BID=24018 PDF: https://app.parlamento.pt/webutils/docs/doc.pdf?path=6148523063484d364c793942556b356c6443397a6158526c63793959566b6c4a544556484c3039464c7a49774d6a59794d4449314d5441774f5339515153387a4e6d4a6b59544e6c4f4331694e6a466b4c54526c4e6a5974595467315a43316d4f47597a4d574e6d4e575269596d51756347526d&amp;Fich=36bda3e8-b61d-4e66-a85d-f8f31cf5dbbd.pdf&amp;Inline=true</t>
        </is>
      </c>
      <c r="X848" s="2" t="inlineStr">
        <is>
          <t>Assuntos Constitucionais, Direitos, Liberdades e Garantias</t>
        </is>
      </c>
      <c r="Y848" s="2" t="inlineStr">
        <is>
          <t>Articulado</t>
        </is>
      </c>
      <c r="Z848" s="2" t="inlineStr">
        <is>
          <t>Aditamento (Artigo PPL)</t>
        </is>
      </c>
      <c r="AA848" s="2" t="inlineStr">
        <is>
          <t>Rejeitado(a) em Comissão</t>
        </is>
      </c>
      <c r="AB848" s="2" t="inlineStr"/>
      <c r="AC848" s="2" t="inlineStr"/>
      <c r="AD848" s="2" t="inlineStr">
        <is>
          <t>1</t>
        </is>
      </c>
      <c r="AE848" s="2" t="inlineStr">
        <is>
          <t>24018</t>
        </is>
      </c>
      <c r="AF848" s="2" t="inlineStr">
        <is>
          <t>https://www.parlamento.pt/OrcamentoEstado/Paginas/DetalhePropostaAlteracao.aspx?BID=24018</t>
        </is>
      </c>
      <c r="AG848" s="2" t="inlineStr">
        <is>
          <t>https://app.parlamento.pt/webutils/docs/doc.pdf?path=6148523063484d364c793942556b356c6443397a6158526c63793959566b6c4a544556484c3039464c7a49774d6a59794d4449314d5441774f5339515153387a4e6d4a6b59544e6c4f4331694e6a466b4c54526c4e6a5974595467315a43316d4f47597a4d574e6d4e575269596d51756347526d&amp;Fich=36bda3e8-b61d-4e66-a85d-f8f31cf5dbbd.pdf&amp;Inline=true</t>
        </is>
      </c>
      <c r="AH848" s="3" t="n">
        <v>46321.77847222222</v>
      </c>
      <c r="AI848" s="3" t="n">
        <v>46321.78055555555</v>
      </c>
      <c r="AJ848" s="2" t="inlineStr"/>
    </row>
    <row r="849">
      <c r="A849" s="2" t="n">
        <v>848</v>
      </c>
      <c r="B849" s="2" t="inlineStr">
        <is>
          <t>793C</t>
        </is>
      </c>
      <c r="C849" s="3" t="n">
        <v>45967.48333333333</v>
      </c>
      <c r="D849" s="2" t="inlineStr">
        <is>
          <t>Original</t>
        </is>
      </c>
      <c r="E849" s="2" t="inlineStr">
        <is>
          <t>IL</t>
        </is>
      </c>
      <c r="F849" s="2" t="inlineStr">
        <is>
          <t>Angélique Da Teresa; Carlos Guimarães Pinto; Joana Cordeiro; Jorge Miguel Teixeira; Mariana Leitão; Mário Amorim Lopes; Miguel Rangel; Rodrigo Saraiva; Rui Rocha</t>
        </is>
      </c>
      <c r="G849" s="2" t="inlineStr">
        <is>
          <t>Art. 136-º-A (aditamento)</t>
        </is>
      </c>
      <c r="H849" s="2" t="n"/>
      <c r="I849" s="2" t="n"/>
      <c r="J849" s="2" t="n"/>
      <c r="K849" s="2" t="n"/>
      <c r="L849" s="2" t="inlineStr">
        <is>
          <t>Artigo 136-º-A (Alteração ao Regime jurídico de proteção social na eventualidade doença, no âmbito do subsistema previdencial de segurança social)</t>
        </is>
      </c>
      <c r="M849" s="4" t="n"/>
      <c r="N849" s="4" t="n"/>
      <c r="O849" s="2" t="n"/>
      <c r="P849" s="2" t="n"/>
      <c r="Q849" s="2" t="n"/>
      <c r="R849" s="2" t="n"/>
      <c r="S849" s="2" t="inlineStr">
        <is>
          <t>Rejeitado(a) em Comissão</t>
        </is>
      </c>
      <c r="T849" s="2" t="inlineStr">
        <is>
          <t>Rejeitada</t>
        </is>
      </c>
      <c r="U849" s="2" t="inlineStr">
        <is>
          <t>Favor: CH, IL, L, PCP, BE, PAN; Contra: PSD, CDS-PP; Abstenção: PS</t>
        </is>
      </c>
      <c r="V849" s="3" t="n">
        <v>45987</v>
      </c>
      <c r="W849" s="2" t="inlineStr">
        <is>
          <t>AR: https://www.parlamento.pt/OrcamentoEstado/Paginas/DetalhePropostaAlteracao.aspx?BID=24019 PDF: https://app.parlamento.pt/webutils/docs/doc.pdf?path=6148523063484d364c793942556b356c6443397a6158526c63793959566b6c4a544556484c3039464c7a49774d6a59794d4449314d5441774f5339515153396c4d4745795a6d51305a5330324f544e684c54526959575174596d55784f53316c4d32466c4e54646c5a54566b4e574d756347526d&amp;Fich=e0a2fd4e-693a-4bad-be19-e3ae57ee5d5c.pdf&amp;Inline=true</t>
        </is>
      </c>
      <c r="X849" s="2" t="inlineStr">
        <is>
          <t>Saúde; Trabalho, Segurança Social e Inclusão</t>
        </is>
      </c>
      <c r="Y849" s="2" t="inlineStr">
        <is>
          <t>Articulado</t>
        </is>
      </c>
      <c r="Z849" s="2" t="inlineStr">
        <is>
          <t>Aditamento (Artigo PPL)</t>
        </is>
      </c>
      <c r="AA849" s="2" t="inlineStr">
        <is>
          <t>Rejeitado(a) em Comissão</t>
        </is>
      </c>
      <c r="AB849" s="2" t="inlineStr"/>
      <c r="AC849" s="2" t="inlineStr"/>
      <c r="AD849" s="2" t="inlineStr">
        <is>
          <t>1</t>
        </is>
      </c>
      <c r="AE849" s="2" t="inlineStr">
        <is>
          <t>24019</t>
        </is>
      </c>
      <c r="AF849" s="2" t="inlineStr">
        <is>
          <t>https://www.parlamento.pt/OrcamentoEstado/Paginas/DetalhePropostaAlteracao.aspx?BID=24019</t>
        </is>
      </c>
      <c r="AG849" s="2" t="inlineStr">
        <is>
          <t>https://app.parlamento.pt/webutils/docs/doc.pdf?path=6148523063484d364c793942556b356c6443397a6158526c63793959566b6c4a544556484c3039464c7a49774d6a59794d4449314d5441774f5339515153396c4d4745795a6d51305a5330324f544e684c54526959575174596d55784f53316c4d32466c4e54646c5a54566b4e574d756347526d&amp;Fich=e0a2fd4e-693a-4bad-be19-e3ae57ee5d5c.pdf&amp;Inline=true</t>
        </is>
      </c>
      <c r="AH849" s="3" t="n">
        <v>46321.77847222222</v>
      </c>
      <c r="AI849" s="3" t="n">
        <v>46321.78055555555</v>
      </c>
      <c r="AJ849" s="2" t="inlineStr"/>
    </row>
    <row r="850">
      <c r="A850" s="2" t="n">
        <v>849</v>
      </c>
      <c r="B850" s="2" t="inlineStr">
        <is>
          <t>794C</t>
        </is>
      </c>
      <c r="C850" s="3" t="n">
        <v>45967.48333333333</v>
      </c>
      <c r="D850" s="2" t="inlineStr">
        <is>
          <t>Original</t>
        </is>
      </c>
      <c r="E850" s="2" t="inlineStr">
        <is>
          <t>BE</t>
        </is>
      </c>
      <c r="F850" s="2" t="inlineStr">
        <is>
          <t>Mariana Mortágua</t>
        </is>
      </c>
      <c r="G850" s="2" t="inlineStr">
        <is>
          <t>Art. 112.º-A (aditamento)</t>
        </is>
      </c>
      <c r="H850" s="2" t="n"/>
      <c r="I850" s="2" t="n"/>
      <c r="J850" s="2" t="n"/>
      <c r="K850" s="2" t="n"/>
      <c r="L850" s="2" t="inlineStr">
        <is>
          <t>Artigo 112.º-A (Melhoria das condições do Comando Regional dos Açores da PSP)</t>
        </is>
      </c>
      <c r="M850" s="4" t="n"/>
      <c r="N850" s="4" t="n"/>
      <c r="O850" s="2" t="n"/>
      <c r="P850" s="2" t="n"/>
      <c r="Q850" s="2" t="n"/>
      <c r="R850" s="2" t="n"/>
      <c r="S850" s="2" t="inlineStr">
        <is>
          <t>Aprovado(a) em Comissão</t>
        </is>
      </c>
      <c r="T850" s="2" t="inlineStr">
        <is>
          <t>Aprovada</t>
        </is>
      </c>
      <c r="U850" s="2" t="inlineStr">
        <is>
          <t>Favor: CH, PS, L, PCP, BE, PAN; Contra: PSD, CDS-PP; Abstenção: IL</t>
        </is>
      </c>
      <c r="V850" s="3" t="n">
        <v>45982</v>
      </c>
      <c r="W850" s="2" t="inlineStr">
        <is>
          <t>AR: https://www.parlamento.pt/OrcamentoEstado/Paginas/DetalhePropostaAlteracao.aspx?BID=24020 PDF: https://app.parlamento.pt/webutils/docs/doc.pdf?path=6148523063484d364c793942556b356c6443397a6158526c63793959566b6c4a544556484c3039464c7a49774d6a59794d4449314d5441774f533951515339685957566c4d7a6332597930784f47526b4c54526c59574d74596d5669597930304e6d566c4e6a526a595449304d4751756347526d&amp;Fich=aaee376c-18dd-4eac-bebc-46ee64ca240d.pdf&amp;Inline=true</t>
        </is>
      </c>
      <c r="X850" s="2" t="inlineStr">
        <is>
          <t>Assuntos Constitucionais, Direitos, Liberdades e Garantias</t>
        </is>
      </c>
      <c r="Y850" s="2" t="inlineStr">
        <is>
          <t>Articulado</t>
        </is>
      </c>
      <c r="Z850" s="2" t="inlineStr">
        <is>
          <t>Aditamento (Artigo PPL)</t>
        </is>
      </c>
      <c r="AA850" s="2" t="inlineStr">
        <is>
          <t>Aprovado(a) em Comissão</t>
        </is>
      </c>
      <c r="AB850" s="2" t="inlineStr"/>
      <c r="AC850" s="2" t="inlineStr"/>
      <c r="AD850" s="2" t="inlineStr">
        <is>
          <t>1</t>
        </is>
      </c>
      <c r="AE850" s="2" t="inlineStr">
        <is>
          <t>24020</t>
        </is>
      </c>
      <c r="AF850" s="2" t="inlineStr">
        <is>
          <t>https://www.parlamento.pt/OrcamentoEstado/Paginas/DetalhePropostaAlteracao.aspx?BID=24020</t>
        </is>
      </c>
      <c r="AG850" s="2" t="inlineStr">
        <is>
          <t>https://app.parlamento.pt/webutils/docs/doc.pdf?path=6148523063484d364c793942556b356c6443397a6158526c63793959566b6c4a544556484c3039464c7a49774d6a59794d4449314d5441774f533951515339685957566c4d7a6332597930784f47526b4c54526c59574d74596d5669597930304e6d566c4e6a526a595449304d4751756347526d&amp;Fich=aaee376c-18dd-4eac-bebc-46ee64ca240d.pdf&amp;Inline=true</t>
        </is>
      </c>
      <c r="AH850" s="3" t="n">
        <v>46321.77847222222</v>
      </c>
      <c r="AI850" s="3" t="n">
        <v>46321.78055555555</v>
      </c>
      <c r="AJ850" s="2" t="inlineStr"/>
    </row>
    <row r="851">
      <c r="A851" s="2" t="n">
        <v>850</v>
      </c>
      <c r="B851" s="2" t="inlineStr">
        <is>
          <t>795C</t>
        </is>
      </c>
      <c r="C851" s="3" t="n">
        <v>45967.48472222222</v>
      </c>
      <c r="D851" s="2" t="inlineStr">
        <is>
          <t>Original</t>
        </is>
      </c>
      <c r="E851" s="2" t="inlineStr">
        <is>
          <t>PCP</t>
        </is>
      </c>
      <c r="F851" s="2" t="inlineStr">
        <is>
          <t>Alfredo Maia; Paula Santos; Paulo Raimundo</t>
        </is>
      </c>
      <c r="G851" s="2" t="inlineStr">
        <is>
          <t>Art. 27.º-A (aditamento)</t>
        </is>
      </c>
      <c r="H851" s="2" t="n"/>
      <c r="I851" s="2" t="n"/>
      <c r="J851" s="2" t="n"/>
      <c r="K851" s="2" t="n"/>
      <c r="L851" s="2" t="inlineStr">
        <is>
          <t>Artigo 27.º-A (Alteração ao Decreto-Lei n.º 243/2015, de 19 de outubro)</t>
        </is>
      </c>
      <c r="M851" s="4" t="n"/>
      <c r="N851" s="4" t="n"/>
      <c r="O851" s="2" t="n"/>
      <c r="P851" s="2" t="n"/>
      <c r="Q851" s="2" t="n"/>
      <c r="R851" s="2" t="n"/>
      <c r="S851" s="2" t="inlineStr">
        <is>
          <t>Rejeitado(a) em Comissão</t>
        </is>
      </c>
      <c r="T851" s="2" t="inlineStr">
        <is>
          <t>Rejeitada</t>
        </is>
      </c>
      <c r="U851" s="2" t="inlineStr">
        <is>
          <t>Favor: CH, L, PCP, BE, PAN; Contra: PSD, CDS-PP; Abstenção: PS, IL</t>
        </is>
      </c>
      <c r="V851" s="3" t="n">
        <v>45981</v>
      </c>
      <c r="W851" s="2" t="inlineStr">
        <is>
          <t>AR: https://www.parlamento.pt/OrcamentoEstado/Paginas/DetalhePropostaAlteracao.aspx?BID=24021 PDF: https://app.parlamento.pt/webutils/docs/doc.pdf?path=6148523063484d364c793942556b356c6443397a6158526c63793959566b6c4a544556484c3039464c7a49774d6a59794d4449314d5441774f5339515153396b596a45315a444d324e4331684e6a41794c545177597a417459544e694f5330354f54457a4d5459774f44646b5a574d756347526d&amp;Fich=db15d364-a602-40c0-a3b9-991316087dec.pdf&amp;Inline=true</t>
        </is>
      </c>
      <c r="X851" s="2" t="inlineStr">
        <is>
          <t>Assuntos Constitucionais, Direitos, Liberdades e Garantias</t>
        </is>
      </c>
      <c r="Y851" s="2" t="inlineStr">
        <is>
          <t>Articulado</t>
        </is>
      </c>
      <c r="Z851" s="2" t="inlineStr">
        <is>
          <t>Aditamento (Artigo PPL)</t>
        </is>
      </c>
      <c r="AA851" s="2" t="inlineStr">
        <is>
          <t>Rejeitado(a) em Comissão</t>
        </is>
      </c>
      <c r="AB851" s="2" t="inlineStr"/>
      <c r="AC851" s="2" t="inlineStr"/>
      <c r="AD851" s="2" t="inlineStr">
        <is>
          <t>1</t>
        </is>
      </c>
      <c r="AE851" s="2" t="inlineStr">
        <is>
          <t>24021</t>
        </is>
      </c>
      <c r="AF851" s="2" t="inlineStr">
        <is>
          <t>https://www.parlamento.pt/OrcamentoEstado/Paginas/DetalhePropostaAlteracao.aspx?BID=24021</t>
        </is>
      </c>
      <c r="AG851" s="2" t="inlineStr">
        <is>
          <t>https://app.parlamento.pt/webutils/docs/doc.pdf?path=6148523063484d364c793942556b356c6443397a6158526c63793959566b6c4a544556484c3039464c7a49774d6a59794d4449314d5441774f5339515153396b596a45315a444d324e4331684e6a41794c545177597a417459544e694f5330354f54457a4d5459774f44646b5a574d756347526d&amp;Fich=db15d364-a602-40c0-a3b9-991316087dec.pdf&amp;Inline=true</t>
        </is>
      </c>
      <c r="AH851" s="3" t="n">
        <v>46321.77847222222</v>
      </c>
      <c r="AI851" s="3" t="n">
        <v>46321.78055555555</v>
      </c>
      <c r="AJ851" s="2" t="inlineStr"/>
    </row>
    <row r="852">
      <c r="A852" s="2" t="n">
        <v>851</v>
      </c>
      <c r="B852" s="2" t="inlineStr">
        <is>
          <t>796C</t>
        </is>
      </c>
      <c r="C852" s="3" t="n">
        <v>45967.48472222222</v>
      </c>
      <c r="D852" s="2" t="inlineStr">
        <is>
          <t>Original</t>
        </is>
      </c>
      <c r="E852" s="2" t="inlineStr">
        <is>
          <t>BE</t>
        </is>
      </c>
      <c r="F852" s="2" t="inlineStr">
        <is>
          <t>Mariana Mortágua</t>
        </is>
      </c>
      <c r="G852" s="2" t="inlineStr">
        <is>
          <t>Art. 112.º-A (aditamento)</t>
        </is>
      </c>
      <c r="H852" s="2" t="n"/>
      <c r="I852" s="2" t="n"/>
      <c r="J852" s="2" t="n"/>
      <c r="K852" s="2" t="n"/>
      <c r="L852" s="2" t="inlineStr">
        <is>
          <t>Artigo 112.º-A (Subsídio Social de Mobilidade)</t>
        </is>
      </c>
      <c r="M852" s="4" t="n"/>
      <c r="N852" s="4" t="n"/>
      <c r="O852" s="2" t="n"/>
      <c r="P852" s="2" t="n"/>
      <c r="Q852" s="2" t="n"/>
      <c r="R852" s="2" t="n"/>
      <c r="S852" s="2" t="inlineStr">
        <is>
          <t>Rejeitado(a) em Comissão</t>
        </is>
      </c>
      <c r="T852" s="2" t="inlineStr">
        <is>
          <t>Rejeitada</t>
        </is>
      </c>
      <c r="U852" s="2" t="inlineStr">
        <is>
          <t>Favor: CH, L, PCP, BE, PAN; Contra: PSD, CDS-PP; Abstenção: PS, IL</t>
        </is>
      </c>
      <c r="V852" s="3" t="n">
        <v>45982</v>
      </c>
      <c r="W852" s="2" t="inlineStr">
        <is>
          <t>AR: https://www.parlamento.pt/OrcamentoEstado/Paginas/DetalhePropostaAlteracao.aspx?BID=24022 PDF: https://app.parlamento.pt/webutils/docs/doc.pdf?path=6148523063484d364c793942556b356c6443397a6158526c63793959566b6c4a544556484c3039464c7a49774d6a59794d4449314d5441774f5339515153396d4d4752685a6a497a5a53316d4d5449784c545268597a417459544d324e43316b4f444d7a5a546c685a5745314f5463756347526d&amp;Fich=f0daf23e-f121-4ac0-a364-d833e9aea597.pdf&amp;Inline=true</t>
        </is>
      </c>
      <c r="X852" s="2" t="inlineStr">
        <is>
          <t>Infraestruturas, Mobilidade e Habitação</t>
        </is>
      </c>
      <c r="Y852" s="2" t="inlineStr">
        <is>
          <t>Articulado</t>
        </is>
      </c>
      <c r="Z852" s="2" t="inlineStr">
        <is>
          <t>Aditamento (Artigo PPL)</t>
        </is>
      </c>
      <c r="AA852" s="2" t="inlineStr">
        <is>
          <t>Rejeitado(a) em Comissão</t>
        </is>
      </c>
      <c r="AB852" s="2" t="inlineStr"/>
      <c r="AC852" s="2" t="inlineStr"/>
      <c r="AD852" s="2" t="inlineStr">
        <is>
          <t>1</t>
        </is>
      </c>
      <c r="AE852" s="2" t="inlineStr">
        <is>
          <t>24022</t>
        </is>
      </c>
      <c r="AF852" s="2" t="inlineStr">
        <is>
          <t>https://www.parlamento.pt/OrcamentoEstado/Paginas/DetalhePropostaAlteracao.aspx?BID=24022</t>
        </is>
      </c>
      <c r="AG852" s="2" t="inlineStr">
        <is>
          <t>https://app.parlamento.pt/webutils/docs/doc.pdf?path=6148523063484d364c793942556b356c6443397a6158526c63793959566b6c4a544556484c3039464c7a49774d6a59794d4449314d5441774f5339515153396d4d4752685a6a497a5a53316d4d5449784c545268597a417459544d324e43316b4f444d7a5a546c685a5745314f5463756347526d&amp;Fich=f0daf23e-f121-4ac0-a364-d833e9aea597.pdf&amp;Inline=true</t>
        </is>
      </c>
      <c r="AH852" s="3" t="n">
        <v>46321.77847222222</v>
      </c>
      <c r="AI852" s="3" t="n">
        <v>46321.78055555555</v>
      </c>
      <c r="AJ852" s="2" t="inlineStr"/>
    </row>
    <row r="853">
      <c r="A853" s="2" t="n">
        <v>852</v>
      </c>
      <c r="B853" s="2" t="inlineStr">
        <is>
          <t>797C</t>
        </is>
      </c>
      <c r="C853" s="3" t="n">
        <v>45967.48541666667</v>
      </c>
      <c r="D853" s="2" t="inlineStr">
        <is>
          <t>Original</t>
        </is>
      </c>
      <c r="E853" s="2" t="inlineStr">
        <is>
          <t>PCP</t>
        </is>
      </c>
      <c r="F853" s="2" t="inlineStr">
        <is>
          <t>Alfredo Maia; Paula Santos; Paulo Raimundo</t>
        </is>
      </c>
      <c r="G853" s="2" t="inlineStr">
        <is>
          <t>Art. 27.º-A (aditamento)</t>
        </is>
      </c>
      <c r="H853" s="2" t="n"/>
      <c r="I853" s="2" t="n"/>
      <c r="J853" s="2" t="n"/>
      <c r="K853" s="2" t="n"/>
      <c r="L853" s="2" t="inlineStr">
        <is>
          <t>Artigo 27.º-A (Aquisição de viaturas para as Forças de Segurança)</t>
        </is>
      </c>
      <c r="M853" s="4" t="n"/>
      <c r="N853" s="4" t="n"/>
      <c r="O853" s="2" t="n"/>
      <c r="P853" s="2" t="n"/>
      <c r="Q853" s="2" t="n"/>
      <c r="R853" s="2" t="n"/>
      <c r="S853" s="2" t="inlineStr">
        <is>
          <t>Rejeitado(a) em Comissão</t>
        </is>
      </c>
      <c r="T853" s="2" t="inlineStr">
        <is>
          <t>Rejeitada</t>
        </is>
      </c>
      <c r="U853" s="2" t="inlineStr">
        <is>
          <t>Favor: CH, L, PCP, BE, PAN; Contra: PSD, CDS-PP; Abstenção: PS, IL</t>
        </is>
      </c>
      <c r="V853" s="3" t="n">
        <v>45981</v>
      </c>
      <c r="W853" s="2" t="inlineStr">
        <is>
          <t>AR: https://www.parlamento.pt/OrcamentoEstado/Paginas/DetalhePropostaAlteracao.aspx?BID=24023 PDF: https://app.parlamento.pt/webutils/docs/doc.pdf?path=6148523063484d364c793942556b356c6443397a6158526c63793959566b6c4a544556484c3039464c7a49774d6a59794d4449314d5441774f533951515338344e445931595745784d4330324d6d526c4c5451314d474d74595467784d6931694d7a566b4d7a4a6a4e544d3059544d756347526d&amp;Fich=8465aa10-62de-450c-a812-b35d32c534a3.pdf&amp;Inline=true</t>
        </is>
      </c>
      <c r="X853" s="2" t="inlineStr">
        <is>
          <t>Assuntos Constitucionais, Direitos, Liberdades e Garantias</t>
        </is>
      </c>
      <c r="Y853" s="2" t="inlineStr">
        <is>
          <t>Articulado</t>
        </is>
      </c>
      <c r="Z853" s="2" t="inlineStr">
        <is>
          <t>Aditamento (Artigo PPL)</t>
        </is>
      </c>
      <c r="AA853" s="2" t="inlineStr">
        <is>
          <t>Rejeitado(a) em Comissão</t>
        </is>
      </c>
      <c r="AB853" s="2" t="inlineStr"/>
      <c r="AC853" s="2" t="inlineStr"/>
      <c r="AD853" s="2" t="inlineStr">
        <is>
          <t>1</t>
        </is>
      </c>
      <c r="AE853" s="2" t="inlineStr">
        <is>
          <t>24023</t>
        </is>
      </c>
      <c r="AF853" s="2" t="inlineStr">
        <is>
          <t>https://www.parlamento.pt/OrcamentoEstado/Paginas/DetalhePropostaAlteracao.aspx?BID=24023</t>
        </is>
      </c>
      <c r="AG853" s="2" t="inlineStr">
        <is>
          <t>https://app.parlamento.pt/webutils/docs/doc.pdf?path=6148523063484d364c793942556b356c6443397a6158526c63793959566b6c4a544556484c3039464c7a49774d6a59794d4449314d5441774f533951515338344e445931595745784d4330324d6d526c4c5451314d474d74595467784d6931694d7a566b4d7a4a6a4e544d3059544d756347526d&amp;Fich=8465aa10-62de-450c-a812-b35d32c534a3.pdf&amp;Inline=true</t>
        </is>
      </c>
      <c r="AH853" s="3" t="n">
        <v>46321.77847222222</v>
      </c>
      <c r="AI853" s="3" t="n">
        <v>46321.78055555555</v>
      </c>
      <c r="AJ853" s="2" t="inlineStr"/>
    </row>
    <row r="854">
      <c r="A854" s="2" t="n">
        <v>853</v>
      </c>
      <c r="B854" s="2" t="inlineStr">
        <is>
          <t>798C</t>
        </is>
      </c>
      <c r="C854" s="3" t="n">
        <v>45967.48611111111</v>
      </c>
      <c r="D854" s="2" t="inlineStr">
        <is>
          <t>Original</t>
        </is>
      </c>
      <c r="E854" s="2" t="inlineStr">
        <is>
          <t>BE</t>
        </is>
      </c>
      <c r="F854" s="2" t="inlineStr">
        <is>
          <t>Mariana Mortágua</t>
        </is>
      </c>
      <c r="G854" s="2" t="inlineStr">
        <is>
          <t>Art. 112.º-A (aditamento)</t>
        </is>
      </c>
      <c r="H854" s="2" t="n"/>
      <c r="I854" s="2" t="n"/>
      <c r="J854" s="2" t="n"/>
      <c r="K854" s="2" t="n"/>
      <c r="L854" s="2" t="inlineStr">
        <is>
          <t>Artigo 112.º-A (Regularização dos processos de integração de trabalhadores da RDP-Açores, RTP-Açores e dos bolseiros de investigação na Universidade dos Açores)</t>
        </is>
      </c>
      <c r="M854" s="4" t="n"/>
      <c r="N854" s="4" t="n"/>
      <c r="O854" s="2" t="n"/>
      <c r="P854" s="2" t="n"/>
      <c r="Q854" s="2" t="n"/>
      <c r="R854" s="2" t="n"/>
      <c r="S854" s="2" t="inlineStr">
        <is>
          <t>Rejeitado(a) em Comissão</t>
        </is>
      </c>
      <c r="T854" s="2" t="inlineStr">
        <is>
          <t>Rejeitada</t>
        </is>
      </c>
      <c r="U854" s="2" t="inlineStr">
        <is>
          <t>Favor: CH, L, PCP, BE, PAN; Contra: PSD, IL, CDS-PP; Abstenção: PS</t>
        </is>
      </c>
      <c r="V854" s="3" t="n">
        <v>45982</v>
      </c>
      <c r="W854" s="2" t="inlineStr">
        <is>
          <t>AR: https://www.parlamento.pt/OrcamentoEstado/Paginas/DetalhePropostaAlteracao.aspx?BID=24024 PDF: https://app.parlamento.pt/webutils/docs/doc.pdf?path=6148523063484d364c793942556b356c6443397a6158526c63793959566b6c4a544556484c3039464c7a49774d6a59794d4449314d5441774f5339515153383359544e6a4d6d51345a6931694d6d56684c54526b4e6a517459546b304e43316b59546c6a5a4449314e5459314f4459756347526d&amp;Fich=7a3c2d8f-b2ea-4d64-a944-da9cd2556586.pdf&amp;Inline=true</t>
        </is>
      </c>
      <c r="X854" s="2" t="inlineStr">
        <is>
          <t>Trabalho, Segurança Social e Inclusão</t>
        </is>
      </c>
      <c r="Y854" s="2" t="inlineStr">
        <is>
          <t>Articulado</t>
        </is>
      </c>
      <c r="Z854" s="2" t="inlineStr">
        <is>
          <t>Aditamento (Artigo PPL)</t>
        </is>
      </c>
      <c r="AA854" s="2" t="inlineStr">
        <is>
          <t>Rejeitado(a) em Comissão</t>
        </is>
      </c>
      <c r="AB854" s="2" t="inlineStr"/>
      <c r="AC854" s="2" t="inlineStr"/>
      <c r="AD854" s="2" t="inlineStr">
        <is>
          <t>1</t>
        </is>
      </c>
      <c r="AE854" s="2" t="inlineStr">
        <is>
          <t>24024</t>
        </is>
      </c>
      <c r="AF854" s="2" t="inlineStr">
        <is>
          <t>https://www.parlamento.pt/OrcamentoEstado/Paginas/DetalhePropostaAlteracao.aspx?BID=24024</t>
        </is>
      </c>
      <c r="AG854" s="2" t="inlineStr">
        <is>
          <t>https://app.parlamento.pt/webutils/docs/doc.pdf?path=6148523063484d364c793942556b356c6443397a6158526c63793959566b6c4a544556484c3039464c7a49774d6a59794d4449314d5441774f5339515153383359544e6a4d6d51345a6931694d6d56684c54526b4e6a517459546b304e43316b59546c6a5a4449314e5459314f4459756347526d&amp;Fich=7a3c2d8f-b2ea-4d64-a944-da9cd2556586.pdf&amp;Inline=true</t>
        </is>
      </c>
      <c r="AH854" s="3" t="n">
        <v>46321.77847222222</v>
      </c>
      <c r="AI854" s="3" t="n">
        <v>46321.78055555555</v>
      </c>
      <c r="AJ854" s="2" t="inlineStr"/>
    </row>
    <row r="855">
      <c r="A855" s="2" t="n">
        <v>854</v>
      </c>
      <c r="B855" s="2" t="inlineStr">
        <is>
          <t>799C</t>
        </is>
      </c>
      <c r="C855" s="3" t="n">
        <v>45967.48680555556</v>
      </c>
      <c r="D855" s="2" t="inlineStr">
        <is>
          <t>Original</t>
        </is>
      </c>
      <c r="E855" s="2" t="inlineStr">
        <is>
          <t>L</t>
        </is>
      </c>
      <c r="F855" s="2" t="inlineStr">
        <is>
          <t>Filipa Pinto; Isabel Mendes Lopes; Jorge Pinto; Patrícia Gonçalves; Paulo Muacho; Rui Tavares</t>
        </is>
      </c>
      <c r="G855" s="2" t="inlineStr">
        <is>
          <t>Art. 119.º-A (aditamento)</t>
        </is>
      </c>
      <c r="H855" s="2" t="n"/>
      <c r="I855" s="2" t="n"/>
      <c r="J855" s="2" t="n"/>
      <c r="K855" s="2" t="n"/>
      <c r="L855" s="2" t="inlineStr">
        <is>
          <t>Artigo 119.º-A (Alargamento do projeto piloto de desmaterialização e integração dos sistemas de informação da saúde nos serviços prisionais e de reinserção social)</t>
        </is>
      </c>
      <c r="M855" s="4" t="n"/>
      <c r="N855" s="4" t="n"/>
      <c r="O855" s="2" t="n"/>
      <c r="P855" s="2" t="n"/>
      <c r="Q855" s="2" t="n"/>
      <c r="R855" s="2" t="n"/>
      <c r="S855" s="2" t="inlineStr">
        <is>
          <t>Rejeitado(a) em Comissão</t>
        </is>
      </c>
      <c r="T855" s="2" t="inlineStr">
        <is>
          <t>Rejeitada</t>
        </is>
      </c>
      <c r="U855" s="2" t="inlineStr">
        <is>
          <t>Favor: IL, L, PCP, BE, PAN; Contra: PSD, CH, CDS-PP; Abstenção: PS</t>
        </is>
      </c>
      <c r="V855" s="3" t="n">
        <v>45985</v>
      </c>
      <c r="W855" s="2" t="inlineStr">
        <is>
          <t>AR: https://www.parlamento.pt/OrcamentoEstado/Paginas/DetalhePropostaAlteracao.aspx?BID=24025 PDF: https://app.parlamento.pt/webutils/docs/doc.pdf?path=6148523063484d364c793942556b356c6443397a6158526c63793959566b6c4a544556484c3039464c7a49774d6a59794d4449314d5441774f533951515338354f475933596a6b305a693030597a4a6c4c5451334e6d5574596a45784e7931694d7a45314d57526d4e5449784e5467756347526d&amp;Fich=98f7b94f-4c2e-476e-b117-b3151df52158.pdf&amp;Inline=true</t>
        </is>
      </c>
      <c r="X855" s="2" t="inlineStr">
        <is>
          <t>Saúde</t>
        </is>
      </c>
      <c r="Y855" s="2" t="inlineStr">
        <is>
          <t>Articulado</t>
        </is>
      </c>
      <c r="Z855" s="2" t="inlineStr">
        <is>
          <t>Aditamento (Artigo PPL)</t>
        </is>
      </c>
      <c r="AA855" s="2" t="inlineStr">
        <is>
          <t>Rejeitado(a) em Comissão</t>
        </is>
      </c>
      <c r="AB855" s="2" t="inlineStr"/>
      <c r="AC855" s="2" t="inlineStr"/>
      <c r="AD855" s="2" t="inlineStr">
        <is>
          <t>1</t>
        </is>
      </c>
      <c r="AE855" s="2" t="inlineStr">
        <is>
          <t>24025</t>
        </is>
      </c>
      <c r="AF855" s="2" t="inlineStr">
        <is>
          <t>https://www.parlamento.pt/OrcamentoEstado/Paginas/DetalhePropostaAlteracao.aspx?BID=24025</t>
        </is>
      </c>
      <c r="AG855" s="2" t="inlineStr">
        <is>
          <t>https://app.parlamento.pt/webutils/docs/doc.pdf?path=6148523063484d364c793942556b356c6443397a6158526c63793959566b6c4a544556484c3039464c7a49774d6a59794d4449314d5441774f533951515338354f475933596a6b305a693030597a4a6c4c5451334e6d5574596a45784e7931694d7a45314d57526d4e5449784e5467756347526d&amp;Fich=98f7b94f-4c2e-476e-b117-b3151df52158.pdf&amp;Inline=true</t>
        </is>
      </c>
      <c r="AH855" s="3" t="n">
        <v>46321.77847222222</v>
      </c>
      <c r="AI855" s="3" t="n">
        <v>46321.78055555555</v>
      </c>
      <c r="AJ855" s="2" t="inlineStr"/>
    </row>
    <row r="856">
      <c r="A856" s="2" t="n">
        <v>855</v>
      </c>
      <c r="B856" s="2" t="inlineStr">
        <is>
          <t>800C-1</t>
        </is>
      </c>
      <c r="C856" s="3" t="n">
        <v>45967.4875</v>
      </c>
      <c r="D856" s="2" t="inlineStr">
        <is>
          <t>Original</t>
        </is>
      </c>
      <c r="E856" s="2" t="inlineStr">
        <is>
          <t>IL</t>
        </is>
      </c>
      <c r="F856" s="2" t="inlineStr">
        <is>
          <t>Angélique Da Teresa; Carlos Guimarães Pinto; Joana Cordeiro; Jorge Miguel Teixeira; Mariana Leitão; Mário Amorim Lopes; Miguel Rangel; Rodrigo Saraiva; Rui Rocha</t>
        </is>
      </c>
      <c r="G856" s="2" t="inlineStr">
        <is>
          <t>Art. 136.º-B (aditamento)</t>
        </is>
      </c>
      <c r="H856" s="2" t="n"/>
      <c r="I856" s="2" t="n"/>
      <c r="J856" s="2" t="n"/>
      <c r="K856" s="2" t="n"/>
      <c r="L856" s="2" t="inlineStr">
        <is>
          <t>Artigo 136.º-B (Alteração ao Regime jurídico de Proteção social na parentalidade no âmbito do sistema previdencial e no subsistema de solidariedade)</t>
        </is>
      </c>
      <c r="M856" s="4" t="n"/>
      <c r="N856" s="4" t="n"/>
      <c r="O856" s="2" t="n"/>
      <c r="P856" s="2" t="n"/>
      <c r="Q856" s="2" t="n"/>
      <c r="R856" s="2" t="n"/>
      <c r="S856" s="2" t="inlineStr">
        <is>
          <t>Rejeitado(a) em Comissão</t>
        </is>
      </c>
      <c r="T856" s="2" t="inlineStr">
        <is>
          <t>Rejeitada</t>
        </is>
      </c>
      <c r="U856" s="2" t="inlineStr">
        <is>
          <t>Favor: IL, L, BE, PAN; Contra: PSD, PCP, CDS-PP; Abstenção: CH, PS</t>
        </is>
      </c>
      <c r="V856" s="3" t="n">
        <v>45987</v>
      </c>
      <c r="W856" s="2" t="inlineStr">
        <is>
          <t>AR: https://www.parlamento.pt/OrcamentoEstado/Paginas/DetalhePropostaAlteracao.aspx?BID=24027 PDF: https://app.parlamento.pt/webutils/docs/doc.pdf?path=6148523063484d364c793942556b356c6443397a6158526c63793959566b6c4a544556484c3039464c7a49774d6a59794d4449314d5441774f533951515339684e5745794e7a51794e5331684e5445314c545269597a41744f4456684d79316b596a466a4d446b774d7a526b4e6a59756347526d&amp;Fich=a5a27425-a515-4bc0-85a3-db1c09034d66.pdf&amp;Inline=true</t>
        </is>
      </c>
      <c r="X856" s="2" t="inlineStr">
        <is>
          <t>Saúde; Trabalho, Segurança Social e Inclusão</t>
        </is>
      </c>
      <c r="Y856" s="2" t="inlineStr">
        <is>
          <t>Articulado</t>
        </is>
      </c>
      <c r="Z856" s="2" t="inlineStr">
        <is>
          <t>Aditamento (Artigo PPL)</t>
        </is>
      </c>
      <c r="AA856" s="2" t="inlineStr">
        <is>
          <t>Rejeitado(a) em Comissão</t>
        </is>
      </c>
      <c r="AB856" s="2" t="inlineStr"/>
      <c r="AC856" s="2" t="inlineStr">
        <is>
          <t>1</t>
        </is>
      </c>
      <c r="AD856" s="2" t="inlineStr">
        <is>
          <t>1</t>
        </is>
      </c>
      <c r="AE856" s="2" t="inlineStr">
        <is>
          <t>24027</t>
        </is>
      </c>
      <c r="AF856" s="2" t="inlineStr">
        <is>
          <t>https://www.parlamento.pt/OrcamentoEstado/Paginas/DetalhePropostaAlteracao.aspx?BID=24027</t>
        </is>
      </c>
      <c r="AG856" s="2" t="inlineStr">
        <is>
          <t>https://app.parlamento.pt/webutils/docs/doc.pdf?path=6148523063484d364c793942556b356c6443397a6158526c63793959566b6c4a544556484c3039464c7a49774d6a59794d4449314d5441774f533951515339684e5745794e7a51794e5331684e5445314c545269597a41744f4456684d79316b596a466a4d446b774d7a526b4e6a59756347526d&amp;Fich=a5a27425-a515-4bc0-85a3-db1c09034d66.pdf&amp;Inline=true</t>
        </is>
      </c>
      <c r="AH856" s="3" t="n">
        <v>46321.77847222222</v>
      </c>
      <c r="AI856" s="3" t="n">
        <v>46321.78055555555</v>
      </c>
      <c r="AJ856" s="2" t="inlineStr"/>
    </row>
    <row r="857">
      <c r="A857" s="2" t="n">
        <v>856</v>
      </c>
      <c r="B857" s="2" t="inlineStr">
        <is>
          <t>800C-2</t>
        </is>
      </c>
      <c r="C857" s="3" t="n">
        <v>45967.4875</v>
      </c>
      <c r="D857" s="2" t="inlineStr">
        <is>
          <t>Original</t>
        </is>
      </c>
      <c r="E857" s="2" t="inlineStr">
        <is>
          <t>IL</t>
        </is>
      </c>
      <c r="F857" s="2" t="inlineStr">
        <is>
          <t>Angélique Da Teresa; Carlos Guimarães Pinto; Joana Cordeiro; Jorge Miguel Teixeira; Mariana Leitão; Mário Amorim Lopes; Miguel Rangel; Rodrigo Saraiva; Rui Rocha</t>
        </is>
      </c>
      <c r="G857" s="2" t="inlineStr">
        <is>
          <t>Art. 136.º-C (aditamento)</t>
        </is>
      </c>
      <c r="H857" s="2" t="n"/>
      <c r="I857" s="2" t="n"/>
      <c r="J857" s="2" t="n"/>
      <c r="K857" s="2" t="n"/>
      <c r="L857" s="2" t="inlineStr">
        <is>
          <t>Artigo 136.º-C (Alteração ao Regulamento da Proteção na parentalidade, no âmbito da eventualidade maternidade, paternidade e adoção, dos trabalhadores que exercem funções públicas integrados no regime de proteção social convergente)</t>
        </is>
      </c>
      <c r="M857" s="4" t="n"/>
      <c r="N857" s="4" t="n"/>
      <c r="O857" s="2" t="n"/>
      <c r="P857" s="2" t="n"/>
      <c r="Q857" s="2" t="n"/>
      <c r="R857" s="2" t="n"/>
      <c r="S857" s="2" t="inlineStr">
        <is>
          <t>Rejeitado(a) em Comissão</t>
        </is>
      </c>
      <c r="T857" s="2" t="inlineStr">
        <is>
          <t>Rejeitada</t>
        </is>
      </c>
      <c r="U857" s="2" t="inlineStr">
        <is>
          <t>Favor: IL, L, BE, PAN; Contra: PSD, PCP, CDS-PP; Abstenção: CH, PS</t>
        </is>
      </c>
      <c r="V857" s="3" t="n">
        <v>45987</v>
      </c>
      <c r="W857" s="2" t="inlineStr">
        <is>
          <t>AR: https://www.parlamento.pt/OrcamentoEstado/Paginas/DetalhePropostaAlteracao.aspx?BID=24476 PDF: https://app.parlamento.pt/webutils/docs/doc.pdf?path=6148523063484d364c793942556b356c6443397a6158526c63793959566b6c4a544556484c3039464c7a49774d6a59794d4449314d5441774f533951515338354e3249345932466d596931684e7a4d334c5451354e4449744f474d784d4330314d7a49774e4755304d4751335a444d756347526d&amp;Fich=97b8cafb-a737-4942-8c10-53204e40d7d3.pdf&amp;Inline=true</t>
        </is>
      </c>
      <c r="X857" s="2" t="inlineStr">
        <is>
          <t>Saúde; Trabalho, Segurança Social e Inclusão</t>
        </is>
      </c>
      <c r="Y857" s="2" t="inlineStr">
        <is>
          <t>Articulado</t>
        </is>
      </c>
      <c r="Z857" s="2" t="inlineStr">
        <is>
          <t>Aditamento (Artigo PPL)</t>
        </is>
      </c>
      <c r="AA857" s="2" t="inlineStr">
        <is>
          <t>Rejeitado(a) em Comissão</t>
        </is>
      </c>
      <c r="AB857" s="2" t="inlineStr"/>
      <c r="AC857" s="2" t="inlineStr">
        <is>
          <t>2</t>
        </is>
      </c>
      <c r="AD857" s="2" t="inlineStr">
        <is>
          <t>1</t>
        </is>
      </c>
      <c r="AE857" s="2" t="inlineStr">
        <is>
          <t>24476</t>
        </is>
      </c>
      <c r="AF857" s="2" t="inlineStr">
        <is>
          <t>https://www.parlamento.pt/OrcamentoEstado/Paginas/DetalhePropostaAlteracao.aspx?BID=24476</t>
        </is>
      </c>
      <c r="AG857" s="2" t="inlineStr">
        <is>
          <t>https://app.parlamento.pt/webutils/docs/doc.pdf?path=6148523063484d364c793942556b356c6443397a6158526c63793959566b6c4a544556484c3039464c7a49774d6a59794d4449314d5441774f533951515338354e3249345932466d596931684e7a4d334c5451354e4449744f474d784d4330314d7a49774e4755304d4751335a444d756347526d&amp;Fich=97b8cafb-a737-4942-8c10-53204e40d7d3.pdf&amp;Inline=true</t>
        </is>
      </c>
      <c r="AH857" s="3" t="n">
        <v>46321.77847222222</v>
      </c>
      <c r="AI857" s="3" t="n">
        <v>46321.78055555555</v>
      </c>
      <c r="AJ857" s="2" t="inlineStr"/>
    </row>
    <row r="858">
      <c r="A858" s="2" t="n">
        <v>857</v>
      </c>
      <c r="B858" s="2" t="inlineStr">
        <is>
          <t>801C</t>
        </is>
      </c>
      <c r="C858" s="3" t="n">
        <v>45967.48958333334</v>
      </c>
      <c r="D858" s="2" t="inlineStr">
        <is>
          <t>Original</t>
        </is>
      </c>
      <c r="E858" s="2" t="inlineStr">
        <is>
          <t>BE</t>
        </is>
      </c>
      <c r="F858" s="2" t="inlineStr">
        <is>
          <t>Mariana Mortágua</t>
        </is>
      </c>
      <c r="G858" s="2" t="inlineStr">
        <is>
          <t>Art. 112.º-A (aditamento)</t>
        </is>
      </c>
      <c r="H858" s="2" t="n"/>
      <c r="I858" s="2" t="n"/>
      <c r="J858" s="2" t="n"/>
      <c r="K858" s="2" t="n"/>
      <c r="L858" s="2" t="inlineStr">
        <is>
          <t>Artigo 112.º-A (Concurso Extraordinário para Contratação de Oficiais de Justiça para os Tribunais da RAA)</t>
        </is>
      </c>
      <c r="M858" s="4" t="n"/>
      <c r="N858" s="4" t="n"/>
      <c r="O858" s="2" t="n"/>
      <c r="P858" s="2" t="n"/>
      <c r="Q858" s="2" t="n"/>
      <c r="R858" s="2" t="n"/>
      <c r="S858" s="2" t="inlineStr">
        <is>
          <t>Rejeitado(a) em Comissão</t>
        </is>
      </c>
      <c r="T858" s="2" t="inlineStr">
        <is>
          <t>Rejeitada</t>
        </is>
      </c>
      <c r="U858" s="2" t="inlineStr">
        <is>
          <t>Favor: CH, L, PCP, BE, PAN; Contra: PSD, CDS-PP; Abstenção: PS, IL</t>
        </is>
      </c>
      <c r="V858" s="3" t="n">
        <v>45982</v>
      </c>
      <c r="W858" s="2" t="inlineStr">
        <is>
          <t>AR: https://www.parlamento.pt/OrcamentoEstado/Paginas/DetalhePropostaAlteracao.aspx?BID=24031 PDF: https://app.parlamento.pt/webutils/docs/doc.pdf?path=6148523063484d364c793942556b356c6443397a6158526c63793959566b6c4a544556484c3039464c7a49774d6a59794d4449314d5441774f533951515338354f546c694d5468684e5331685957597a4c5451774d3251744f546c684f4330324d6a41354e47526a4d5759315a4441756347526d&amp;Fich=999b18a5-aaf3-403d-99a8-62094dc1f5d0.pdf&amp;Inline=true</t>
        </is>
      </c>
      <c r="X858" s="2" t="inlineStr">
        <is>
          <t>Assuntos Constitucionais, Direitos, Liberdades e Garantias</t>
        </is>
      </c>
      <c r="Y858" s="2" t="inlineStr">
        <is>
          <t>Articulado</t>
        </is>
      </c>
      <c r="Z858" s="2" t="inlineStr">
        <is>
          <t>Aditamento (Artigo PPL)</t>
        </is>
      </c>
      <c r="AA858" s="2" t="inlineStr">
        <is>
          <t>Rejeitado(a) em Comissão</t>
        </is>
      </c>
      <c r="AB858" s="2" t="inlineStr"/>
      <c r="AC858" s="2" t="inlineStr"/>
      <c r="AD858" s="2" t="inlineStr">
        <is>
          <t>1</t>
        </is>
      </c>
      <c r="AE858" s="2" t="inlineStr">
        <is>
          <t>24031</t>
        </is>
      </c>
      <c r="AF858" s="2" t="inlineStr">
        <is>
          <t>https://www.parlamento.pt/OrcamentoEstado/Paginas/DetalhePropostaAlteracao.aspx?BID=24031</t>
        </is>
      </c>
      <c r="AG858" s="2" t="inlineStr">
        <is>
          <t>https://app.parlamento.pt/webutils/docs/doc.pdf?path=6148523063484d364c793942556b356c6443397a6158526c63793959566b6c4a544556484c3039464c7a49774d6a59794d4449314d5441774f533951515338354f546c694d5468684e5331685957597a4c5451774d3251744f546c684f4330324d6a41354e47526a4d5759315a4441756347526d&amp;Fich=999b18a5-aaf3-403d-99a8-62094dc1f5d0.pdf&amp;Inline=true</t>
        </is>
      </c>
      <c r="AH858" s="3" t="n">
        <v>46321.77847222222</v>
      </c>
      <c r="AI858" s="3" t="n">
        <v>46321.78055555555</v>
      </c>
      <c r="AJ858" s="2" t="inlineStr"/>
    </row>
    <row r="859">
      <c r="A859" s="2" t="n">
        <v>858</v>
      </c>
      <c r="B859" s="2" t="inlineStr">
        <is>
          <t>802C</t>
        </is>
      </c>
      <c r="C859" s="3" t="n">
        <v>45967.49097222222</v>
      </c>
      <c r="D859" s="2" t="inlineStr">
        <is>
          <t>Original</t>
        </is>
      </c>
      <c r="E859" s="2" t="inlineStr">
        <is>
          <t>PCP</t>
        </is>
      </c>
      <c r="F859" s="2" t="inlineStr">
        <is>
          <t>Alfredo Maia; Paula Santos; Paulo Raimundo</t>
        </is>
      </c>
      <c r="G859" s="2" t="inlineStr">
        <is>
          <t>Art. 46.º-A (aditamento)</t>
        </is>
      </c>
      <c r="H859" s="2" t="n"/>
      <c r="I859" s="2" t="n"/>
      <c r="J859" s="2" t="n"/>
      <c r="K859" s="2" t="n"/>
      <c r="L859" s="2" t="inlineStr">
        <is>
          <t>Artigo 46.º-A (Definição e regulamentação de um regime laboral e de aposentação específico para os profissionais das forças e serviços de segurança)</t>
        </is>
      </c>
      <c r="M859" s="4" t="n"/>
      <c r="N859" s="4" t="n"/>
      <c r="O859" s="2" t="n"/>
      <c r="P859" s="2" t="n"/>
      <c r="Q859" s="2" t="n"/>
      <c r="R859" s="2" t="n"/>
      <c r="S859" s="2" t="inlineStr">
        <is>
          <t>Rejeitado(a) em Comissão</t>
        </is>
      </c>
      <c r="T859" s="2" t="inlineStr">
        <is>
          <t>Rejeitada</t>
        </is>
      </c>
      <c r="U859" s="2" t="inlineStr">
        <is>
          <t>Favor: CH, L, PCP, BE, PAN; Contra: PSD, IL, CDS-PP; Abstenção: PS</t>
        </is>
      </c>
      <c r="V859" s="3" t="n">
        <v>45981</v>
      </c>
      <c r="W859" s="2" t="inlineStr">
        <is>
          <t>AR: https://www.parlamento.pt/OrcamentoEstado/Paginas/DetalhePropostaAlteracao.aspx?BID=24033 PDF: https://app.parlamento.pt/webutils/docs/doc.pdf?path=6148523063484d364c793942556b356c6443397a6158526c63793959566b6c4a544556484c3039464c7a49774d6a59794d4449314d5441774f53395151533877596a466a5a6d517a5a69316c4d6a686c4c5451774d6a557459544d354d43316c5a6a63784d6a63774d544933596a41756347526d&amp;Fich=0b1cfd3f-e28e-4025-a390-ef71270127b0.pdf&amp;Inline=true</t>
        </is>
      </c>
      <c r="X859" s="2" t="inlineStr">
        <is>
          <t>Assuntos Constitucionais, Direitos, Liberdades e Garantias</t>
        </is>
      </c>
      <c r="Y859" s="2" t="inlineStr">
        <is>
          <t>Articulado</t>
        </is>
      </c>
      <c r="Z859" s="2" t="inlineStr">
        <is>
          <t>Aditamento (Artigo PPL)</t>
        </is>
      </c>
      <c r="AA859" s="2" t="inlineStr">
        <is>
          <t>Rejeitado(a) em Comissão</t>
        </is>
      </c>
      <c r="AB859" s="2" t="inlineStr"/>
      <c r="AC859" s="2" t="inlineStr"/>
      <c r="AD859" s="2" t="inlineStr">
        <is>
          <t>1</t>
        </is>
      </c>
      <c r="AE859" s="2" t="inlineStr">
        <is>
          <t>24033</t>
        </is>
      </c>
      <c r="AF859" s="2" t="inlineStr">
        <is>
          <t>https://www.parlamento.pt/OrcamentoEstado/Paginas/DetalhePropostaAlteracao.aspx?BID=24033</t>
        </is>
      </c>
      <c r="AG859" s="2" t="inlineStr">
        <is>
          <t>https://app.parlamento.pt/webutils/docs/doc.pdf?path=6148523063484d364c793942556b356c6443397a6158526c63793959566b6c4a544556484c3039464c7a49774d6a59794d4449314d5441774f53395151533877596a466a5a6d517a5a69316c4d6a686c4c5451774d6a557459544d354d43316c5a6a63784d6a63774d544933596a41756347526d&amp;Fich=0b1cfd3f-e28e-4025-a390-ef71270127b0.pdf&amp;Inline=true</t>
        </is>
      </c>
      <c r="AH859" s="3" t="n">
        <v>46321.77847222222</v>
      </c>
      <c r="AI859" s="3" t="n">
        <v>46321.78055555555</v>
      </c>
      <c r="AJ859" s="2" t="inlineStr"/>
    </row>
    <row r="860">
      <c r="A860" s="2" t="n">
        <v>859</v>
      </c>
      <c r="B860" s="2" t="inlineStr">
        <is>
          <t>803C</t>
        </is>
      </c>
      <c r="C860" s="3" t="n">
        <v>45967.49097222222</v>
      </c>
      <c r="D860" s="2" t="inlineStr">
        <is>
          <t>Original</t>
        </is>
      </c>
      <c r="E860" s="2" t="inlineStr">
        <is>
          <t>BE</t>
        </is>
      </c>
      <c r="F860" s="2" t="inlineStr">
        <is>
          <t>Mariana Mortágua</t>
        </is>
      </c>
      <c r="G860" s="2" t="inlineStr">
        <is>
          <t>Art. 112.º-A (aditamento)</t>
        </is>
      </c>
      <c r="H860" s="2" t="n"/>
      <c r="I860" s="2" t="n"/>
      <c r="J860" s="2" t="n"/>
      <c r="K860" s="2" t="n"/>
      <c r="L860" s="2" t="inlineStr">
        <is>
          <t>Artigo 112.º-A (Plano Estratégico Plurianual para o Centro Regional dos Açores da Rádio Televisão Portuguesa)</t>
        </is>
      </c>
      <c r="M860" s="4" t="n"/>
      <c r="N860" s="4" t="n"/>
      <c r="O860" s="2" t="n"/>
      <c r="P860" s="2" t="n"/>
      <c r="Q860" s="2" t="n"/>
      <c r="R860" s="2" t="n"/>
      <c r="S860" s="2" t="inlineStr">
        <is>
          <t>Rejeitado(a) em Comissão</t>
        </is>
      </c>
      <c r="T860" s="2" t="inlineStr">
        <is>
          <t>Rejeitada</t>
        </is>
      </c>
      <c r="U860" s="2" t="inlineStr">
        <is>
          <t>Favor: PS, L, PCP, BE, PAN; Contra: PSD, IL, CDS-PP; Abstenção: CH</t>
        </is>
      </c>
      <c r="V860" s="3" t="n">
        <v>45982</v>
      </c>
      <c r="W860" s="2" t="inlineStr">
        <is>
          <t>AR: https://www.parlamento.pt/OrcamentoEstado/Paginas/DetalhePropostaAlteracao.aspx?BID=24035 PDF: https://app.parlamento.pt/webutils/docs/doc.pdf?path=6148523063484d364c793942556b356c6443397a6158526c63793959566b6c4a544556484c3039464c7a49774d6a59794d4449314d5441774f533951515338314e5463354e324d794e4330784e7a45784c5451354e7a6374596a4e6d5a4330774f4459785a444d31597a41334d4755756347526d&amp;Fich=55797c24-1711-4977-b3fd-0861d35c070e.pdf&amp;Inline=true</t>
        </is>
      </c>
      <c r="X860" s="2" t="inlineStr">
        <is>
          <t>Cultura, Comunicação, Juventude e Desporto</t>
        </is>
      </c>
      <c r="Y860" s="2" t="inlineStr">
        <is>
          <t>Articulado</t>
        </is>
      </c>
      <c r="Z860" s="2" t="inlineStr">
        <is>
          <t>Aditamento (Artigo PPL)</t>
        </is>
      </c>
      <c r="AA860" s="2" t="inlineStr">
        <is>
          <t>Rejeitado(a) em Comissão</t>
        </is>
      </c>
      <c r="AB860" s="2" t="inlineStr"/>
      <c r="AC860" s="2" t="inlineStr"/>
      <c r="AD860" s="2" t="inlineStr">
        <is>
          <t>1</t>
        </is>
      </c>
      <c r="AE860" s="2" t="inlineStr">
        <is>
          <t>24035</t>
        </is>
      </c>
      <c r="AF860" s="2" t="inlineStr">
        <is>
          <t>https://www.parlamento.pt/OrcamentoEstado/Paginas/DetalhePropostaAlteracao.aspx?BID=24035</t>
        </is>
      </c>
      <c r="AG860" s="2" t="inlineStr">
        <is>
          <t>https://app.parlamento.pt/webutils/docs/doc.pdf?path=6148523063484d364c793942556b356c6443397a6158526c63793959566b6c4a544556484c3039464c7a49774d6a59794d4449314d5441774f533951515338314e5463354e324d794e4330784e7a45784c5451354e7a6374596a4e6d5a4330774f4459785a444d31597a41334d4755756347526d&amp;Fich=55797c24-1711-4977-b3fd-0861d35c070e.pdf&amp;Inline=true</t>
        </is>
      </c>
      <c r="AH860" s="3" t="n">
        <v>46321.77847222222</v>
      </c>
      <c r="AI860" s="3" t="n">
        <v>46321.78055555555</v>
      </c>
      <c r="AJ860" s="2" t="inlineStr"/>
    </row>
    <row r="861">
      <c r="A861" s="2" t="n">
        <v>860</v>
      </c>
      <c r="B861" s="2" t="inlineStr">
        <is>
          <t>804C</t>
        </is>
      </c>
      <c r="C861" s="3" t="n">
        <v>45967.49166666667</v>
      </c>
      <c r="D861" s="2" t="inlineStr">
        <is>
          <t>Original</t>
        </is>
      </c>
      <c r="E861" s="2" t="inlineStr">
        <is>
          <t>PCP</t>
        </is>
      </c>
      <c r="F861" s="2" t="inlineStr">
        <is>
          <t>Alfredo Maia; Paula Santos; Paulo Raimundo</t>
        </is>
      </c>
      <c r="G861" s="2" t="inlineStr">
        <is>
          <t>Art. 28.º (eliminação)</t>
        </is>
      </c>
      <c r="H861" s="2" t="n"/>
      <c r="I861" s="2" t="n"/>
      <c r="J861" s="2" t="n"/>
      <c r="K861" s="2" t="n"/>
      <c r="L861" s="2" t="inlineStr">
        <is>
          <t>N.º 3, Artigo 28.º</t>
        </is>
      </c>
      <c r="M861" s="4" t="n"/>
      <c r="N861" s="4" t="n"/>
      <c r="O861" s="2" t="n"/>
      <c r="P861" s="2" t="n"/>
      <c r="Q861" s="2" t="n"/>
      <c r="R861" s="2" t="n"/>
      <c r="S861" s="2" t="inlineStr">
        <is>
          <t>Rejeitado(a) em Comissão</t>
        </is>
      </c>
      <c r="T861" s="2" t="inlineStr">
        <is>
          <t>Rejeitada</t>
        </is>
      </c>
      <c r="U861" s="2" t="inlineStr">
        <is>
          <t>Favor: CH, L, PCP, BE, PAN; Contra: PSD, IL, CDS-PP; Abstenção: PS</t>
        </is>
      </c>
      <c r="V861" s="3" t="n">
        <v>45981</v>
      </c>
      <c r="W861" s="2" t="inlineStr">
        <is>
          <t>AR: https://www.parlamento.pt/OrcamentoEstado/Paginas/DetalhePropostaAlteracao.aspx?BID=24037 PDF: https://app.parlamento.pt/webutils/docs/doc.pdf?path=6148523063484d364c793942556b356c6443397a6158526c63793959566b6c4a544556484c3039464c7a49774d6a59794d4449314d5441774f53395151533878595449344e6a63315a69307a4d446c6d4c5451344f4449744f5445354e793032597a6b7a5a6a6c6d4d444933597a41756347526d&amp;Fich=1a28675f-309f-4882-9197-6c93f9f027c0.pdf&amp;Inline=true</t>
        </is>
      </c>
      <c r="X861" s="2" t="inlineStr">
        <is>
          <t>Assuntos Constitucionais, Direitos, Liberdades e Garantias</t>
        </is>
      </c>
      <c r="Y861" s="2" t="inlineStr">
        <is>
          <t>Articulado</t>
        </is>
      </c>
      <c r="Z861" s="2" t="inlineStr">
        <is>
          <t>Eliminação</t>
        </is>
      </c>
      <c r="AA861" s="2" t="inlineStr">
        <is>
          <t>Rejeitado(a) em Comissão</t>
        </is>
      </c>
      <c r="AB861" s="2" t="inlineStr"/>
      <c r="AC861" s="2" t="inlineStr"/>
      <c r="AD861" s="2" t="inlineStr">
        <is>
          <t>1</t>
        </is>
      </c>
      <c r="AE861" s="2" t="inlineStr">
        <is>
          <t>24037</t>
        </is>
      </c>
      <c r="AF861" s="2" t="inlineStr">
        <is>
          <t>https://www.parlamento.pt/OrcamentoEstado/Paginas/DetalhePropostaAlteracao.aspx?BID=24037</t>
        </is>
      </c>
      <c r="AG861" s="2" t="inlineStr">
        <is>
          <t>https://app.parlamento.pt/webutils/docs/doc.pdf?path=6148523063484d364c793942556b356c6443397a6158526c63793959566b6c4a544556484c3039464c7a49774d6a59794d4449314d5441774f53395151533878595449344e6a63315a69307a4d446c6d4c5451344f4449744f5445354e793032597a6b7a5a6a6c6d4d444933597a41756347526d&amp;Fich=1a28675f-309f-4882-9197-6c93f9f027c0.pdf&amp;Inline=true</t>
        </is>
      </c>
      <c r="AH861" s="3" t="n">
        <v>46321.77847222222</v>
      </c>
      <c r="AI861" s="3" t="n">
        <v>46321.78055555555</v>
      </c>
      <c r="AJ861" s="2" t="inlineStr"/>
    </row>
    <row r="862">
      <c r="A862" s="2" t="n">
        <v>861</v>
      </c>
      <c r="B862" s="2" t="inlineStr">
        <is>
          <t>805C</t>
        </is>
      </c>
      <c r="C862" s="3" t="n">
        <v>45967.49236111111</v>
      </c>
      <c r="D862" s="2" t="inlineStr">
        <is>
          <t>Original</t>
        </is>
      </c>
      <c r="E862" s="2" t="inlineStr">
        <is>
          <t>BE</t>
        </is>
      </c>
      <c r="F862" s="2" t="inlineStr">
        <is>
          <t>Mariana Mortágua</t>
        </is>
      </c>
      <c r="G862" s="2" t="inlineStr">
        <is>
          <t>Art. 112.º-A (aditamento)</t>
        </is>
      </c>
      <c r="H862" s="2" t="n"/>
      <c r="I862" s="2" t="n"/>
      <c r="J862" s="2" t="n"/>
      <c r="K862" s="2" t="n"/>
      <c r="L862" s="2" t="inlineStr">
        <is>
          <t>Artigo 112.º-A (Aditamento ao Código do Imposto sobre o Rendimento das Pessoas Singulares)</t>
        </is>
      </c>
      <c r="M862" s="4" t="n"/>
      <c r="N862" s="4" t="n"/>
      <c r="O862" s="2" t="n"/>
      <c r="P862" s="2" t="n"/>
      <c r="Q862" s="2" t="n"/>
      <c r="R862" s="2" t="n"/>
      <c r="S862" s="2" t="inlineStr">
        <is>
          <t>Rejeitado(a) em Comissão</t>
        </is>
      </c>
      <c r="T862" s="2" t="inlineStr">
        <is>
          <t>Rejeitada</t>
        </is>
      </c>
      <c r="U862" s="2" t="inlineStr">
        <is>
          <t>Favor: IL, L, PCP, BE, PAN; Contra: PSD, CDS-PP; Abstenção: CH, PS</t>
        </is>
      </c>
      <c r="V862" s="3" t="n">
        <v>45982</v>
      </c>
      <c r="W862" s="2" t="inlineStr">
        <is>
          <t>AR: https://www.parlamento.pt/OrcamentoEstado/Paginas/DetalhePropostaAlteracao.aspx?BID=24038 PDF: https://app.parlamento.pt/webutils/docs/doc.pdf?path=6148523063484d364c793942556b356c6443397a6158526c63793959566b6c4a544556484c3039464c7a49774d6a59794d4449314d5441774f5339515153396d4f44497759324a6c4e433032597a566d4c5451344d5459744f5451344e6930314d324d7a4e574e6a5a4463784f4745756347526d&amp;Fich=f820cbe4-6c5f-4816-9486-53c35ccd718a.pdf&amp;Inline=true</t>
        </is>
      </c>
      <c r="X862" s="2" t="inlineStr">
        <is>
          <t>Orçamento, Finanças e Administração Pública</t>
        </is>
      </c>
      <c r="Y862" s="2" t="inlineStr">
        <is>
          <t>Articulado</t>
        </is>
      </c>
      <c r="Z862" s="2" t="inlineStr">
        <is>
          <t>Aditamento (Artigo PPL)</t>
        </is>
      </c>
      <c r="AA862" s="2" t="inlineStr">
        <is>
          <t>Rejeitado(a) em Comissão</t>
        </is>
      </c>
      <c r="AB862" s="2" t="inlineStr"/>
      <c r="AC862" s="2" t="inlineStr"/>
      <c r="AD862" s="2" t="inlineStr">
        <is>
          <t>1</t>
        </is>
      </c>
      <c r="AE862" s="2" t="inlineStr">
        <is>
          <t>24038</t>
        </is>
      </c>
      <c r="AF862" s="2" t="inlineStr">
        <is>
          <t>https://www.parlamento.pt/OrcamentoEstado/Paginas/DetalhePropostaAlteracao.aspx?BID=24038</t>
        </is>
      </c>
      <c r="AG862" s="2" t="inlineStr">
        <is>
          <t>https://app.parlamento.pt/webutils/docs/doc.pdf?path=6148523063484d364c793942556b356c6443397a6158526c63793959566b6c4a544556484c3039464c7a49774d6a59794d4449314d5441774f5339515153396d4f44497759324a6c4e433032597a566d4c5451344d5459744f5451344e6930314d324d7a4e574e6a5a4463784f4745756347526d&amp;Fich=f820cbe4-6c5f-4816-9486-53c35ccd718a.pdf&amp;Inline=true</t>
        </is>
      </c>
      <c r="AH862" s="3" t="n">
        <v>46321.77847222222</v>
      </c>
      <c r="AI862" s="3" t="n">
        <v>46321.78055555555</v>
      </c>
      <c r="AJ862" s="2" t="inlineStr"/>
    </row>
    <row r="863">
      <c r="A863" s="2" t="n">
        <v>862</v>
      </c>
      <c r="B863" s="2" t="inlineStr">
        <is>
          <t>806C</t>
        </is>
      </c>
      <c r="C863" s="3" t="n">
        <v>45967.49375</v>
      </c>
      <c r="D863" s="2" t="inlineStr">
        <is>
          <t>Original</t>
        </is>
      </c>
      <c r="E863" s="2" t="inlineStr">
        <is>
          <t>PCP</t>
        </is>
      </c>
      <c r="F863" s="2" t="inlineStr">
        <is>
          <t>Alfredo Maia; Paula Santos; Paulo Raimundo</t>
        </is>
      </c>
      <c r="G863" s="2" t="inlineStr">
        <is>
          <t>Art. 113.º-A (aditamento)</t>
        </is>
      </c>
      <c r="H863" s="2" t="n"/>
      <c r="I863" s="2" t="n"/>
      <c r="J863" s="2" t="n"/>
      <c r="K863" s="2" t="n"/>
      <c r="L863" s="2" t="inlineStr">
        <is>
          <t>Artigo 113.º-A (Plano plurianual de aquisição de meios aéreos para a proteção civil)</t>
        </is>
      </c>
      <c r="M863" s="4" t="n"/>
      <c r="N863" s="4" t="n"/>
      <c r="O863" s="2" t="n"/>
      <c r="P863" s="2" t="n"/>
      <c r="Q863" s="2" t="n"/>
      <c r="R863" s="2" t="n"/>
      <c r="S863" s="2" t="inlineStr">
        <is>
          <t>Aprovado(a) Parcialmente em Comissão</t>
        </is>
      </c>
      <c r="T863" s="2" t="inlineStr">
        <is>
          <t>Aprovada parcialmente</t>
        </is>
      </c>
      <c r="U863" s="2" t="inlineStr">
        <is>
          <t>Favor: L, PCP, BE, PAN; Contra: PSD, CDS-PP; Abstenção: CH, PS, IL</t>
        </is>
      </c>
      <c r="V863" s="3" t="n">
        <v>45985</v>
      </c>
      <c r="W863" s="2" t="inlineStr">
        <is>
          <t>AR: https://www.parlamento.pt/OrcamentoEstado/Paginas/DetalhePropostaAlteracao.aspx?BID=24040 PDF: https://app.parlamento.pt/webutils/docs/doc.pdf?path=6148523063484d364c793942556b356c6443397a6158526c63793959566b6c4a544556484c3039464c7a49774d6a59794d4449314d5441774f5339515153396a4f4746684d4451354d7930354d446c684c5451784e6a59745957497a4f4330324e444e6d596a6b31597a4d784e6d51756347526d&amp;Fich=c8aa0493-909a-4166-ab38-643fb95c316d.pdf&amp;Inline=true</t>
        </is>
      </c>
      <c r="X863" s="2" t="inlineStr">
        <is>
          <t>Assuntos Constitucionais, Direitos, Liberdades e Garantias</t>
        </is>
      </c>
      <c r="Y863" s="2" t="inlineStr">
        <is>
          <t>Articulado</t>
        </is>
      </c>
      <c r="Z863" s="2" t="inlineStr">
        <is>
          <t>Aditamento (Artigo PPL)</t>
        </is>
      </c>
      <c r="AA863" s="2" t="inlineStr">
        <is>
          <t>Aprovado(a) Parcialmente em Comissão</t>
        </is>
      </c>
      <c r="AB863" s="2" t="inlineStr"/>
      <c r="AC863" s="2" t="inlineStr"/>
      <c r="AD863" s="2" t="inlineStr">
        <is>
          <t>1</t>
        </is>
      </c>
      <c r="AE863" s="2" t="inlineStr">
        <is>
          <t>24040</t>
        </is>
      </c>
      <c r="AF863" s="2" t="inlineStr">
        <is>
          <t>https://www.parlamento.pt/OrcamentoEstado/Paginas/DetalhePropostaAlteracao.aspx?BID=24040</t>
        </is>
      </c>
      <c r="AG863" s="2" t="inlineStr">
        <is>
          <t>https://app.parlamento.pt/webutils/docs/doc.pdf?path=6148523063484d364c793942556b356c6443397a6158526c63793959566b6c4a544556484c3039464c7a49774d6a59794d4449314d5441774f5339515153396a4f4746684d4451354d7930354d446c684c5451784e6a59745957497a4f4330324e444e6d596a6b31597a4d784e6d51756347526d&amp;Fich=c8aa0493-909a-4166-ab38-643fb95c316d.pdf&amp;Inline=true</t>
        </is>
      </c>
      <c r="AH863" s="3" t="n">
        <v>46321.77847222222</v>
      </c>
      <c r="AI863" s="3" t="n">
        <v>46321.78055555555</v>
      </c>
      <c r="AJ863" s="2" t="inlineStr"/>
    </row>
    <row r="864">
      <c r="A864" s="2" t="n">
        <v>863</v>
      </c>
      <c r="B864" s="2" t="inlineStr">
        <is>
          <t>807C</t>
        </is>
      </c>
      <c r="C864" s="3" t="n">
        <v>45967.49375</v>
      </c>
      <c r="D864" s="2" t="inlineStr">
        <is>
          <t>Original</t>
        </is>
      </c>
      <c r="E864" s="2" t="inlineStr">
        <is>
          <t>BE</t>
        </is>
      </c>
      <c r="F864" s="2" t="inlineStr">
        <is>
          <t>Mariana Mortágua</t>
        </is>
      </c>
      <c r="G864" s="2" t="inlineStr">
        <is>
          <t>Art. 112.º-A (aditamento)</t>
        </is>
      </c>
      <c r="H864" s="2" t="n"/>
      <c r="I864" s="2" t="n"/>
      <c r="J864" s="2" t="n"/>
      <c r="K864" s="2" t="n"/>
      <c r="L864" s="2" t="inlineStr">
        <is>
          <t>Artigo 112.º-A (Reforço do financiamento às instituições públicas de ensino superior das regiões autónomas)</t>
        </is>
      </c>
      <c r="M864" s="4" t="n"/>
      <c r="N864" s="4" t="n"/>
      <c r="O864" s="2" t="n"/>
      <c r="P864" s="2" t="n"/>
      <c r="Q864" s="2" t="n"/>
      <c r="R864" s="2" t="n"/>
      <c r="S864" s="2" t="inlineStr">
        <is>
          <t>Rejeitado(a) em Comissão</t>
        </is>
      </c>
      <c r="T864" s="2" t="inlineStr">
        <is>
          <t>Rejeitada</t>
        </is>
      </c>
      <c r="U864" s="2" t="inlineStr">
        <is>
          <t>Favor: PS, L, PCP, BE, PAN; Contra: PSD, CDS-PP; Abstenção: CH, IL</t>
        </is>
      </c>
      <c r="V864" s="3" t="n">
        <v>45987</v>
      </c>
      <c r="W864" s="2" t="inlineStr">
        <is>
          <t>AR: https://www.parlamento.pt/OrcamentoEstado/Paginas/DetalhePropostaAlteracao.aspx?BID=24041 PDF: https://app.parlamento.pt/webutils/docs/doc.pdf?path=6148523063484d364c793942556b356c6443397a6158526c63793959566b6c4a544556484c3039464c7a49774d6a59794d4449314d5441774f533951515338314f5759774d54686d59793031596d526a4c5451334d545974595749324d5330314d7a45344e47526a4e4452684e6a41756347526d&amp;Fich=59f018fc-5bdc-4716-ab61-53184dc44a60.pdf&amp;Inline=true</t>
        </is>
      </c>
      <c r="X864" s="2" t="inlineStr">
        <is>
          <t>Educação e Ciência</t>
        </is>
      </c>
      <c r="Y864" s="2" t="inlineStr">
        <is>
          <t>Articulado</t>
        </is>
      </c>
      <c r="Z864" s="2" t="inlineStr">
        <is>
          <t>Aditamento (Artigo PPL)</t>
        </is>
      </c>
      <c r="AA864" s="2" t="inlineStr">
        <is>
          <t>Rejeitado(a) em Comissão</t>
        </is>
      </c>
      <c r="AB864" s="2" t="inlineStr"/>
      <c r="AC864" s="2" t="inlineStr"/>
      <c r="AD864" s="2" t="inlineStr">
        <is>
          <t>1</t>
        </is>
      </c>
      <c r="AE864" s="2" t="inlineStr">
        <is>
          <t>24041</t>
        </is>
      </c>
      <c r="AF864" s="2" t="inlineStr">
        <is>
          <t>https://www.parlamento.pt/OrcamentoEstado/Paginas/DetalhePropostaAlteracao.aspx?BID=24041</t>
        </is>
      </c>
      <c r="AG864" s="2" t="inlineStr">
        <is>
          <t>https://app.parlamento.pt/webutils/docs/doc.pdf?path=6148523063484d364c793942556b356c6443397a6158526c63793959566b6c4a544556484c3039464c7a49774d6a59794d4449314d5441774f533951515338314f5759774d54686d59793031596d526a4c5451334d545974595749324d5330314d7a45344e47526a4e4452684e6a41756347526d&amp;Fich=59f018fc-5bdc-4716-ab61-53184dc44a60.pdf&amp;Inline=true</t>
        </is>
      </c>
      <c r="AH864" s="3" t="n">
        <v>46321.77847222222</v>
      </c>
      <c r="AI864" s="3" t="n">
        <v>46321.78055555555</v>
      </c>
      <c r="AJ864" s="2" t="inlineStr"/>
    </row>
    <row r="865">
      <c r="A865" s="2" t="n">
        <v>864</v>
      </c>
      <c r="B865" s="2" t="inlineStr">
        <is>
          <t>808C</t>
        </is>
      </c>
      <c r="C865" s="3" t="n">
        <v>45967.49444444444</v>
      </c>
      <c r="D865" s="2" t="inlineStr">
        <is>
          <t>Original</t>
        </is>
      </c>
      <c r="E865" s="2" t="inlineStr">
        <is>
          <t>BE</t>
        </is>
      </c>
      <c r="F865" s="2" t="inlineStr">
        <is>
          <t>Mariana Mortágua</t>
        </is>
      </c>
      <c r="G865" s="2" t="inlineStr">
        <is>
          <t>Art. 112.º-A (aditamento)</t>
        </is>
      </c>
      <c r="H865" s="2" t="n"/>
      <c r="I865" s="2" t="n"/>
      <c r="J865" s="2" t="n"/>
      <c r="K865" s="2" t="n"/>
      <c r="L865" s="2" t="inlineStr">
        <is>
          <t>Artigo 112.º-A (Requalificação das instalações da Cadeia de Apoio da Horta)</t>
        </is>
      </c>
      <c r="M865" s="4" t="n"/>
      <c r="N865" s="4" t="n"/>
      <c r="O865" s="2" t="n"/>
      <c r="P865" s="2" t="n"/>
      <c r="Q865" s="2" t="n"/>
      <c r="R865" s="2" t="n"/>
      <c r="S865" s="2" t="inlineStr">
        <is>
          <t>Aprovado(a) em Comissão</t>
        </is>
      </c>
      <c r="T865" s="2" t="inlineStr">
        <is>
          <t>Aprovada</t>
        </is>
      </c>
      <c r="U865" s="2" t="inlineStr">
        <is>
          <t>Favor: CH, PS, L, PCP, BE, PAN; Contra: PSD, CDS-PP; Abstenção: IL</t>
        </is>
      </c>
      <c r="V865" s="3" t="n">
        <v>45982</v>
      </c>
      <c r="W865" s="2" t="inlineStr">
        <is>
          <t>AR: https://www.parlamento.pt/OrcamentoEstado/Paginas/DetalhePropostaAlteracao.aspx?BID=24042 PDF: https://app.parlamento.pt/webutils/docs/doc.pdf?path=6148523063484d364c793942556b356c6443397a6158526c63793959566b6c4a544556484c3039464c7a49774d6a59794d4449314d5441774f533951515338345a6a4d35597a6b795953307759544a6c4c54526c4f5751744f545534597930354e6a63304d6d55354e3249334e7a55756347526d&amp;Fich=8f39c92a-0a2e-4e9d-958c-96742e97b775.pdf&amp;Inline=true</t>
        </is>
      </c>
      <c r="X865" s="2" t="inlineStr">
        <is>
          <t>Assuntos Constitucionais, Direitos, Liberdades e Garantias</t>
        </is>
      </c>
      <c r="Y865" s="2" t="inlineStr">
        <is>
          <t>Articulado</t>
        </is>
      </c>
      <c r="Z865" s="2" t="inlineStr">
        <is>
          <t>Aditamento (Artigo PPL)</t>
        </is>
      </c>
      <c r="AA865" s="2" t="inlineStr">
        <is>
          <t>Aprovado(a) em Comissão</t>
        </is>
      </c>
      <c r="AB865" s="2" t="inlineStr"/>
      <c r="AC865" s="2" t="inlineStr"/>
      <c r="AD865" s="2" t="inlineStr">
        <is>
          <t>1</t>
        </is>
      </c>
      <c r="AE865" s="2" t="inlineStr">
        <is>
          <t>24042</t>
        </is>
      </c>
      <c r="AF865" s="2" t="inlineStr">
        <is>
          <t>https://www.parlamento.pt/OrcamentoEstado/Paginas/DetalhePropostaAlteracao.aspx?BID=24042</t>
        </is>
      </c>
      <c r="AG865" s="2" t="inlineStr">
        <is>
          <t>https://app.parlamento.pt/webutils/docs/doc.pdf?path=6148523063484d364c793942556b356c6443397a6158526c63793959566b6c4a544556484c3039464c7a49774d6a59794d4449314d5441774f533951515338345a6a4d35597a6b795953307759544a6c4c54526c4f5751744f545534597930354e6a63304d6d55354e3249334e7a55756347526d&amp;Fich=8f39c92a-0a2e-4e9d-958c-96742e97b775.pdf&amp;Inline=true</t>
        </is>
      </c>
      <c r="AH865" s="3" t="n">
        <v>46321.77847222222</v>
      </c>
      <c r="AI865" s="3" t="n">
        <v>46321.78055555555</v>
      </c>
      <c r="AJ865" s="2" t="inlineStr"/>
    </row>
    <row r="866">
      <c r="A866" s="2" t="n">
        <v>865</v>
      </c>
      <c r="B866" s="2" t="inlineStr">
        <is>
          <t>809C</t>
        </is>
      </c>
      <c r="C866" s="3" t="n">
        <v>45967.49513888889</v>
      </c>
      <c r="D866" s="2" t="inlineStr">
        <is>
          <t>Original</t>
        </is>
      </c>
      <c r="E866" s="2" t="inlineStr">
        <is>
          <t>IL</t>
        </is>
      </c>
      <c r="F866" s="2" t="inlineStr">
        <is>
          <t>Angélique Da Teresa; Carlos Guimarães Pinto; Joana Cordeiro; Jorge Miguel Teixeira; Mariana Leitão; Mário Amorim Lopes; Miguel Rangel; Rodrigo Saraiva; Rui Rocha</t>
        </is>
      </c>
      <c r="G866" s="2" t="inlineStr">
        <is>
          <t>Art. 137.º-A (aditamento)</t>
        </is>
      </c>
      <c r="H866" s="2" t="n"/>
      <c r="I866" s="2" t="n"/>
      <c r="J866" s="2" t="n"/>
      <c r="K866" s="2" t="n"/>
      <c r="L866" s="2" t="inlineStr">
        <is>
          <t>Artigo 137.º-A (Alargamento da gratuitidade das creches)</t>
        </is>
      </c>
      <c r="M866" s="4" t="n"/>
      <c r="N866" s="4" t="n"/>
      <c r="O866" s="2" t="n"/>
      <c r="P866" s="2" t="n"/>
      <c r="Q866" s="2" t="n"/>
      <c r="R866" s="2" t="n"/>
      <c r="S866" s="2" t="inlineStr">
        <is>
          <t>Rejeitado(a) em Comissão</t>
        </is>
      </c>
      <c r="T866" s="2" t="inlineStr">
        <is>
          <t>Rejeitada</t>
        </is>
      </c>
      <c r="U866" s="2" t="inlineStr">
        <is>
          <t>Favor: CH, IL, PAN; Contra: PSD, PS, L, PCP, CDS-PP, BE</t>
        </is>
      </c>
      <c r="V866" s="3" t="n">
        <v>45987</v>
      </c>
      <c r="W866" s="2" t="inlineStr">
        <is>
          <t>AR: https://www.parlamento.pt/OrcamentoEstado/Paginas/DetalhePropostaAlteracao.aspx?BID=24043 PDF: https://app.parlamento.pt/webutils/docs/doc.pdf?path=6148523063484d364c793942556b356c6443397a6158526c63793959566b6c4a544556484c3039464c7a49774d6a59794d4449314d5441774f533951515338304e5464694d4755354d69316d597a59314c5451774d544974596a4d31595331684d7a51324e6d4d354e7a4a6b5a4445756347526d&amp;Fich=457b0e92-fc65-4012-b35a-a3466c972dd1.pdf&amp;Inline=true</t>
        </is>
      </c>
      <c r="X866" s="2" t="inlineStr">
        <is>
          <t>Trabalho, Segurança Social e Inclusão</t>
        </is>
      </c>
      <c r="Y866" s="2" t="inlineStr">
        <is>
          <t>Articulado</t>
        </is>
      </c>
      <c r="Z866" s="2" t="inlineStr">
        <is>
          <t>Aditamento (Artigo PPL)</t>
        </is>
      </c>
      <c r="AA866" s="2" t="inlineStr">
        <is>
          <t>Rejeitado(a) em Comissão</t>
        </is>
      </c>
      <c r="AB866" s="2" t="inlineStr"/>
      <c r="AC866" s="2" t="inlineStr"/>
      <c r="AD866" s="2" t="inlineStr">
        <is>
          <t>1</t>
        </is>
      </c>
      <c r="AE866" s="2" t="inlineStr">
        <is>
          <t>24043</t>
        </is>
      </c>
      <c r="AF866" s="2" t="inlineStr">
        <is>
          <t>https://www.parlamento.pt/OrcamentoEstado/Paginas/DetalhePropostaAlteracao.aspx?BID=24043</t>
        </is>
      </c>
      <c r="AG866" s="2" t="inlineStr">
        <is>
          <t>https://app.parlamento.pt/webutils/docs/doc.pdf?path=6148523063484d364c793942556b356c6443397a6158526c63793959566b6c4a544556484c3039464c7a49774d6a59794d4449314d5441774f533951515338304e5464694d4755354d69316d597a59314c5451774d544974596a4d31595331684d7a51324e6d4d354e7a4a6b5a4445756347526d&amp;Fich=457b0e92-fc65-4012-b35a-a3466c972dd1.pdf&amp;Inline=true</t>
        </is>
      </c>
      <c r="AH866" s="3" t="n">
        <v>46321.77847222222</v>
      </c>
      <c r="AI866" s="3" t="n">
        <v>46321.78055555555</v>
      </c>
      <c r="AJ866" s="2" t="inlineStr"/>
    </row>
    <row r="867">
      <c r="A867" s="2" t="n">
        <v>866</v>
      </c>
      <c r="B867" s="2" t="inlineStr">
        <is>
          <t>810C</t>
        </is>
      </c>
      <c r="C867" s="3" t="n">
        <v>45967.49513888889</v>
      </c>
      <c r="D867" s="2" t="inlineStr">
        <is>
          <t>Original</t>
        </is>
      </c>
      <c r="E867" s="2" t="inlineStr">
        <is>
          <t>PCP</t>
        </is>
      </c>
      <c r="F867" s="2" t="inlineStr">
        <is>
          <t>Alfredo Maia; Paula Santos; Paulo Raimundo</t>
        </is>
      </c>
      <c r="G867" s="2" t="inlineStr">
        <is>
          <t>Art. 136.º-A (aditamento)</t>
        </is>
      </c>
      <c r="H867" s="2" t="n"/>
      <c r="I867" s="2" t="n"/>
      <c r="J867" s="2" t="n"/>
      <c r="K867" s="2" t="n"/>
      <c r="L867" s="2" t="inlineStr">
        <is>
          <t>Artigo 136.º-A (Alterações ao Decreto-Lei n.º 106/2002, de 13 de abril)</t>
        </is>
      </c>
      <c r="M867" s="4" t="n"/>
      <c r="N867" s="4" t="n"/>
      <c r="O867" s="2" t="n"/>
      <c r="P867" s="2" t="n"/>
      <c r="Q867" s="2" t="n"/>
      <c r="R867" s="2" t="n"/>
      <c r="S867" s="2" t="inlineStr">
        <is>
          <t>Rejeitado(a) em Comissão</t>
        </is>
      </c>
      <c r="T867" s="2" t="inlineStr">
        <is>
          <t>Rejeitada</t>
        </is>
      </c>
      <c r="U867" s="2" t="inlineStr">
        <is>
          <t>Favor: CH, L, PCP, BE, PAN; Contra: PSD, IL, CDS-PP; Abstenção: PS</t>
        </is>
      </c>
      <c r="V867" s="3" t="n">
        <v>45987</v>
      </c>
      <c r="W867" s="2" t="inlineStr">
        <is>
          <t>AR: https://www.parlamento.pt/OrcamentoEstado/Paginas/DetalhePropostaAlteracao.aspx?BID=24044 PDF: https://app.parlamento.pt/webutils/docs/doc.pdf?path=6148523063484d364c793942556b356c6443397a6158526c63793959566b6c4a544556484c3039464c7a49774d6a59794d4449314d5441774f5339515153396d5a4459774d3252685a69316d597a4d784c54526d5a5451744f474e6a4f5330304d4449304d5464695a5441784d6a45756347526d&amp;Fich=fd603daf-fc31-4fe4-8cc9-402417be0121.pdf&amp;Inline=true</t>
        </is>
      </c>
      <c r="X867" s="2" t="inlineStr">
        <is>
          <t>Assuntos Constitucionais, Direitos, Liberdades e Garantias</t>
        </is>
      </c>
      <c r="Y867" s="2" t="inlineStr">
        <is>
          <t>Articulado</t>
        </is>
      </c>
      <c r="Z867" s="2" t="inlineStr">
        <is>
          <t>Aditamento (Artigo PPL)</t>
        </is>
      </c>
      <c r="AA867" s="2" t="inlineStr">
        <is>
          <t>Rejeitado(a) em Comissão</t>
        </is>
      </c>
      <c r="AB867" s="2" t="inlineStr"/>
      <c r="AC867" s="2" t="inlineStr"/>
      <c r="AD867" s="2" t="inlineStr">
        <is>
          <t>1</t>
        </is>
      </c>
      <c r="AE867" s="2" t="inlineStr">
        <is>
          <t>24044</t>
        </is>
      </c>
      <c r="AF867" s="2" t="inlineStr">
        <is>
          <t>https://www.parlamento.pt/OrcamentoEstado/Paginas/DetalhePropostaAlteracao.aspx?BID=24044</t>
        </is>
      </c>
      <c r="AG867" s="2" t="inlineStr">
        <is>
          <t>https://app.parlamento.pt/webutils/docs/doc.pdf?path=6148523063484d364c793942556b356c6443397a6158526c63793959566b6c4a544556484c3039464c7a49774d6a59794d4449314d5441774f5339515153396d5a4459774d3252685a69316d597a4d784c54526d5a5451744f474e6a4f5330304d4449304d5464695a5441784d6a45756347526d&amp;Fich=fd603daf-fc31-4fe4-8cc9-402417be0121.pdf&amp;Inline=true</t>
        </is>
      </c>
      <c r="AH867" s="3" t="n">
        <v>46321.77847222222</v>
      </c>
      <c r="AI867" s="3" t="n">
        <v>46321.78055555555</v>
      </c>
      <c r="AJ867" s="2" t="inlineStr"/>
    </row>
    <row r="868">
      <c r="A868" s="2" t="n">
        <v>867</v>
      </c>
      <c r="B868" s="2" t="inlineStr">
        <is>
          <t>811C</t>
        </is>
      </c>
      <c r="C868" s="3" t="n">
        <v>45967.49583333333</v>
      </c>
      <c r="D868" s="2" t="inlineStr">
        <is>
          <t>Original</t>
        </is>
      </c>
      <c r="E868" s="2" t="inlineStr">
        <is>
          <t>PCP</t>
        </is>
      </c>
      <c r="F868" s="2" t="inlineStr">
        <is>
          <t>Alfredo Maia; Paula Santos; Paulo Raimundo</t>
        </is>
      </c>
      <c r="G868" s="2" t="inlineStr">
        <is>
          <t>Art. 136.º-A (aditamento)</t>
        </is>
      </c>
      <c r="H868" s="2" t="n"/>
      <c r="I868" s="2" t="n"/>
      <c r="J868" s="2" t="n"/>
      <c r="K868" s="2" t="n"/>
      <c r="L868" s="2" t="inlineStr">
        <is>
          <t>Artigo 136.º-A (Alterações ao Decreto-Lei n.º 241/2007, de 21 de junho)</t>
        </is>
      </c>
      <c r="M868" s="4" t="n"/>
      <c r="N868" s="4" t="n"/>
      <c r="O868" s="2" t="n"/>
      <c r="P868" s="2" t="n"/>
      <c r="Q868" s="2" t="n"/>
      <c r="R868" s="2" t="n"/>
      <c r="S868" s="2" t="inlineStr">
        <is>
          <t>Rejeitado(a) em Comissão</t>
        </is>
      </c>
      <c r="T868" s="2" t="inlineStr">
        <is>
          <t>Rejeitada</t>
        </is>
      </c>
      <c r="U868" s="2" t="inlineStr">
        <is>
          <t>Favor: CH, L, PCP, BE, PAN; Contra: PSD, IL, CDS-PP; Abstenção: PS</t>
        </is>
      </c>
      <c r="V868" s="3" t="n">
        <v>45987</v>
      </c>
      <c r="W868" s="2" t="inlineStr">
        <is>
          <t>AR: https://www.parlamento.pt/OrcamentoEstado/Paginas/DetalhePropostaAlteracao.aspx?BID=24045 PDF: https://app.parlamento.pt/webutils/docs/doc.pdf?path=6148523063484d364c793942556b356c6443397a6158526c63793959566b6c4a544556484c3039464c7a49774d6a59794d4449314d5441774f5339515153396c4e6d55304d4463355a4330315a4759784c545134596d49744f445a6c5a53316a596a6c694d6d4a6b596a633259574d756347526d&amp;Fich=e6e4079d-5df1-48bb-86ee-cb9b2bdb76ac.pdf&amp;Inline=true</t>
        </is>
      </c>
      <c r="X868" s="2" t="inlineStr">
        <is>
          <t>Assuntos Constitucionais, Direitos, Liberdades e Garantias</t>
        </is>
      </c>
      <c r="Y868" s="2" t="inlineStr">
        <is>
          <t>Articulado</t>
        </is>
      </c>
      <c r="Z868" s="2" t="inlineStr">
        <is>
          <t>Aditamento (Artigo PPL)</t>
        </is>
      </c>
      <c r="AA868" s="2" t="inlineStr">
        <is>
          <t>Rejeitado(a) em Comissão</t>
        </is>
      </c>
      <c r="AB868" s="2" t="inlineStr"/>
      <c r="AC868" s="2" t="inlineStr"/>
      <c r="AD868" s="2" t="inlineStr">
        <is>
          <t>1</t>
        </is>
      </c>
      <c r="AE868" s="2" t="inlineStr">
        <is>
          <t>24045</t>
        </is>
      </c>
      <c r="AF868" s="2" t="inlineStr">
        <is>
          <t>https://www.parlamento.pt/OrcamentoEstado/Paginas/DetalhePropostaAlteracao.aspx?BID=24045</t>
        </is>
      </c>
      <c r="AG868" s="2" t="inlineStr">
        <is>
          <t>https://app.parlamento.pt/webutils/docs/doc.pdf?path=6148523063484d364c793942556b356c6443397a6158526c63793959566b6c4a544556484c3039464c7a49774d6a59794d4449314d5441774f5339515153396c4e6d55304d4463355a4330315a4759784c545134596d49744f445a6c5a53316a596a6c694d6d4a6b596a633259574d756347526d&amp;Fich=e6e4079d-5df1-48bb-86ee-cb9b2bdb76ac.pdf&amp;Inline=true</t>
        </is>
      </c>
      <c r="AH868" s="3" t="n">
        <v>46321.77847222222</v>
      </c>
      <c r="AI868" s="3" t="n">
        <v>46321.78055555555</v>
      </c>
      <c r="AJ868" s="2" t="inlineStr"/>
    </row>
    <row r="869">
      <c r="A869" s="2" t="n">
        <v>868</v>
      </c>
      <c r="B869" s="2" t="inlineStr">
        <is>
          <t>812C</t>
        </is>
      </c>
      <c r="C869" s="3" t="n">
        <v>45967.49583333333</v>
      </c>
      <c r="D869" s="2" t="inlineStr">
        <is>
          <t>Original</t>
        </is>
      </c>
      <c r="E869" s="2" t="inlineStr">
        <is>
          <t>BE</t>
        </is>
      </c>
      <c r="F869" s="2" t="inlineStr">
        <is>
          <t>Mariana Mortágua</t>
        </is>
      </c>
      <c r="G869" s="2" t="inlineStr">
        <is>
          <t>Art. 112.º-A (aditamento)</t>
        </is>
      </c>
      <c r="H869" s="2" t="n"/>
      <c r="I869" s="2" t="n"/>
      <c r="J869" s="2" t="n"/>
      <c r="K869" s="2" t="n"/>
      <c r="L869" s="2" t="inlineStr">
        <is>
          <t>Artigo 112.º-A (Reparação dos danos ambientais decorrentes da atividade militar estrangeira na ilha Terceira)</t>
        </is>
      </c>
      <c r="M869" s="4" t="n"/>
      <c r="N869" s="4" t="n"/>
      <c r="O869" s="2" t="n"/>
      <c r="P869" s="2" t="n"/>
      <c r="Q869" s="2" t="n"/>
      <c r="R869" s="2" t="n"/>
      <c r="S869" s="2" t="inlineStr">
        <is>
          <t>Rejeitado(a) em Comissão</t>
        </is>
      </c>
      <c r="T869" s="2" t="inlineStr">
        <is>
          <t>Rejeitada</t>
        </is>
      </c>
      <c r="U869" s="2" t="inlineStr">
        <is>
          <t>Favor: IL, L, PCP, BE, PAN; Contra: PSD, CDS-PP; Abstenção: CH, PS</t>
        </is>
      </c>
      <c r="V869" s="3" t="n">
        <v>45982</v>
      </c>
      <c r="W869" s="2" t="inlineStr">
        <is>
          <t>AR: https://www.parlamento.pt/OrcamentoEstado/Paginas/DetalhePropostaAlteracao.aspx?BID=24046 PDF: https://app.parlamento.pt/webutils/docs/doc.pdf?path=6148523063484d364c793942556b356c6443397a6158526c63793959566b6c4a544556484c3039464c7a49774d6a59794d4449314d5441774f533951515338355a5456685a57466b596930344d7a5a6a4c5451315a6a55745954426c5953307a596d49345a4441324d7a67794f4463756347526d&amp;Fich=9e5aeadb-836c-45f5-a0ea-3bb8d0638287.pdf&amp;Inline=true</t>
        </is>
      </c>
      <c r="X869" s="2" t="inlineStr">
        <is>
          <t>Ambiente e Energia</t>
        </is>
      </c>
      <c r="Y869" s="2" t="inlineStr">
        <is>
          <t>Articulado</t>
        </is>
      </c>
      <c r="Z869" s="2" t="inlineStr">
        <is>
          <t>Aditamento (Artigo PPL)</t>
        </is>
      </c>
      <c r="AA869" s="2" t="inlineStr">
        <is>
          <t>Rejeitado(a) em Comissão</t>
        </is>
      </c>
      <c r="AB869" s="2" t="inlineStr"/>
      <c r="AC869" s="2" t="inlineStr"/>
      <c r="AD869" s="2" t="inlineStr">
        <is>
          <t>1</t>
        </is>
      </c>
      <c r="AE869" s="2" t="inlineStr">
        <is>
          <t>24046</t>
        </is>
      </c>
      <c r="AF869" s="2" t="inlineStr">
        <is>
          <t>https://www.parlamento.pt/OrcamentoEstado/Paginas/DetalhePropostaAlteracao.aspx?BID=24046</t>
        </is>
      </c>
      <c r="AG869" s="2" t="inlineStr">
        <is>
          <t>https://app.parlamento.pt/webutils/docs/doc.pdf?path=6148523063484d364c793942556b356c6443397a6158526c63793959566b6c4a544556484c3039464c7a49774d6a59794d4449314d5441774f533951515338355a5456685a57466b596930344d7a5a6a4c5451315a6a55745954426c5953307a596d49345a4441324d7a67794f4463756347526d&amp;Fich=9e5aeadb-836c-45f5-a0ea-3bb8d0638287.pdf&amp;Inline=true</t>
        </is>
      </c>
      <c r="AH869" s="3" t="n">
        <v>46321.77847222222</v>
      </c>
      <c r="AI869" s="3" t="n">
        <v>46321.78055555555</v>
      </c>
      <c r="AJ869" s="2" t="inlineStr"/>
    </row>
    <row r="870">
      <c r="A870" s="2" t="n">
        <v>869</v>
      </c>
      <c r="B870" s="2" t="inlineStr">
        <is>
          <t>813C</t>
        </is>
      </c>
      <c r="C870" s="3" t="n">
        <v>45967.49652777778</v>
      </c>
      <c r="D870" s="2" t="inlineStr">
        <is>
          <t>Original</t>
        </is>
      </c>
      <c r="E870" s="2" t="inlineStr">
        <is>
          <t>PCP</t>
        </is>
      </c>
      <c r="F870" s="2" t="inlineStr">
        <is>
          <t>Alfredo Maia; Paula Santos; Paulo Raimundo</t>
        </is>
      </c>
      <c r="G870" s="2" t="inlineStr">
        <is>
          <t>Art. 128.º-A (aditamento)</t>
        </is>
      </c>
      <c r="H870" s="2" t="n"/>
      <c r="I870" s="2" t="n"/>
      <c r="J870" s="2" t="n"/>
      <c r="K870" s="2" t="n"/>
      <c r="L870" s="2" t="inlineStr">
        <is>
          <t>Artigo 128.º-A (Revisão do Protocolo das AHBV com o INEM e a ANEPC)</t>
        </is>
      </c>
      <c r="M870" s="4" t="n"/>
      <c r="N870" s="4" t="n"/>
      <c r="O870" s="2" t="n"/>
      <c r="P870" s="2" t="n"/>
      <c r="Q870" s="2" t="n"/>
      <c r="R870" s="2" t="n"/>
      <c r="S870" s="2" t="inlineStr">
        <is>
          <t>Rejeitado(a) em Comissão</t>
        </is>
      </c>
      <c r="T870" s="2" t="inlineStr">
        <is>
          <t>Rejeitada</t>
        </is>
      </c>
      <c r="U870" s="2" t="inlineStr">
        <is>
          <t>Favor: CH, L, PCP, BE, PAN; Contra: PSD, CDS-PP; Abstenção: PS, IL</t>
        </is>
      </c>
      <c r="V870" s="3" t="n">
        <v>45985</v>
      </c>
      <c r="W870" s="2" t="inlineStr">
        <is>
          <t>AR: https://www.parlamento.pt/OrcamentoEstado/Paginas/DetalhePropostaAlteracao.aspx?BID=24048 PDF: https://app.parlamento.pt/webutils/docs/doc.pdf?path=6148523063484d364c793942556b356c6443397a6158526c63793959566b6c4a544556484c3039464c7a49774d6a59794d4449314d5441774f533951515338355a546468596a68685a6930774e4459774c54526a4e44597459574e6c596931684e4441784e6a49774e6a637a4e7a59756347526d&amp;Fich=9e7ab8af-0460-4c46-aceb-a40162067376.pdf&amp;Inline=true</t>
        </is>
      </c>
      <c r="X870" s="2" t="inlineStr">
        <is>
          <t>Assuntos Constitucionais, Direitos, Liberdades e Garantias</t>
        </is>
      </c>
      <c r="Y870" s="2" t="inlineStr">
        <is>
          <t>Articulado</t>
        </is>
      </c>
      <c r="Z870" s="2" t="inlineStr">
        <is>
          <t>Aditamento (Artigo PPL)</t>
        </is>
      </c>
      <c r="AA870" s="2" t="inlineStr">
        <is>
          <t>Rejeitado(a) em Comissão</t>
        </is>
      </c>
      <c r="AB870" s="2" t="inlineStr"/>
      <c r="AC870" s="2" t="inlineStr"/>
      <c r="AD870" s="2" t="inlineStr">
        <is>
          <t>1</t>
        </is>
      </c>
      <c r="AE870" s="2" t="inlineStr">
        <is>
          <t>24048</t>
        </is>
      </c>
      <c r="AF870" s="2" t="inlineStr">
        <is>
          <t>https://www.parlamento.pt/OrcamentoEstado/Paginas/DetalhePropostaAlteracao.aspx?BID=24048</t>
        </is>
      </c>
      <c r="AG870" s="2" t="inlineStr">
        <is>
          <t>https://app.parlamento.pt/webutils/docs/doc.pdf?path=6148523063484d364c793942556b356c6443397a6158526c63793959566b6c4a544556484c3039464c7a49774d6a59794d4449314d5441774f533951515338355a546468596a68685a6930774e4459774c54526a4e44597459574e6c596931684e4441784e6a49774e6a637a4e7a59756347526d&amp;Fich=9e7ab8af-0460-4c46-aceb-a40162067376.pdf&amp;Inline=true</t>
        </is>
      </c>
      <c r="AH870" s="3" t="n">
        <v>46321.77847222222</v>
      </c>
      <c r="AI870" s="3" t="n">
        <v>46321.78055555555</v>
      </c>
      <c r="AJ870" s="2" t="inlineStr"/>
    </row>
    <row r="871">
      <c r="A871" s="2" t="n">
        <v>870</v>
      </c>
      <c r="B871" s="2" t="inlineStr">
        <is>
          <t>814C</t>
        </is>
      </c>
      <c r="C871" s="3" t="n">
        <v>45967.49652777778</v>
      </c>
      <c r="D871" s="2" t="inlineStr">
        <is>
          <t>Original</t>
        </is>
      </c>
      <c r="E871" s="2" t="inlineStr">
        <is>
          <t>L</t>
        </is>
      </c>
      <c r="F871" s="2" t="inlineStr">
        <is>
          <t>Filipa Pinto; Isabel Mendes Lopes; Jorge Pinto; Patrícia Gonçalves; Paulo Muacho; Rui Tavares</t>
        </is>
      </c>
      <c r="G871" s="2" t="inlineStr">
        <is>
          <t>Art. 119.º-A (aditamento)</t>
        </is>
      </c>
      <c r="H871" s="2" t="n"/>
      <c r="I871" s="2" t="n"/>
      <c r="J871" s="2" t="n"/>
      <c r="K871" s="2" t="n"/>
      <c r="L871" s="2" t="inlineStr">
        <is>
          <t>Artigo 119.º-A (Criação de Urgência Básica no Centro de Saúde da Marinha Grande)</t>
        </is>
      </c>
      <c r="M871" s="4" t="n"/>
      <c r="N871" s="4" t="n"/>
      <c r="O871" s="2" t="n"/>
      <c r="P871" s="2" t="n"/>
      <c r="Q871" s="2" t="n"/>
      <c r="R871" s="2" t="n"/>
      <c r="S871" s="2" t="inlineStr">
        <is>
          <t>Rejeitado(a) em Comissão</t>
        </is>
      </c>
      <c r="T871" s="2" t="inlineStr">
        <is>
          <t>Rejeitada</t>
        </is>
      </c>
      <c r="U871" s="2" t="inlineStr">
        <is>
          <t>Favor: CH, L, PCP, BE, PAN; Contra: PSD, CDS-PP; Abstenção: PS, IL</t>
        </is>
      </c>
      <c r="V871" s="3" t="n">
        <v>45985</v>
      </c>
      <c r="W871" s="2" t="inlineStr">
        <is>
          <t>AR: https://www.parlamento.pt/OrcamentoEstado/Paginas/DetalhePropostaAlteracao.aspx?BID=24049 PDF: https://app.parlamento.pt/webutils/docs/doc.pdf?path=6148523063484d364c793942556b356c6443397a6158526c63793959566b6c4a544556484c3039464c7a49774d6a59794d4449314d5441774f533951515338774d7a59344e32593259693030595449344c5451324e3251744f546b794e6930784e3251315a54557a4f44686d596a41756347526d&amp;Fich=03687f6b-4a28-467d-9926-17d5e5388fb0.pdf&amp;Inline=true</t>
        </is>
      </c>
      <c r="X871" s="2" t="inlineStr">
        <is>
          <t>Saúde</t>
        </is>
      </c>
      <c r="Y871" s="2" t="inlineStr">
        <is>
          <t>Articulado</t>
        </is>
      </c>
      <c r="Z871" s="2" t="inlineStr">
        <is>
          <t>Aditamento (Artigo PPL)</t>
        </is>
      </c>
      <c r="AA871" s="2" t="inlineStr">
        <is>
          <t>Rejeitado(a) em Comissão</t>
        </is>
      </c>
      <c r="AB871" s="2" t="inlineStr"/>
      <c r="AC871" s="2" t="inlineStr"/>
      <c r="AD871" s="2" t="inlineStr">
        <is>
          <t>1</t>
        </is>
      </c>
      <c r="AE871" s="2" t="inlineStr">
        <is>
          <t>24049</t>
        </is>
      </c>
      <c r="AF871" s="2" t="inlineStr">
        <is>
          <t>https://www.parlamento.pt/OrcamentoEstado/Paginas/DetalhePropostaAlteracao.aspx?BID=24049</t>
        </is>
      </c>
      <c r="AG871" s="2" t="inlineStr">
        <is>
          <t>https://app.parlamento.pt/webutils/docs/doc.pdf?path=6148523063484d364c793942556b356c6443397a6158526c63793959566b6c4a544556484c3039464c7a49774d6a59794d4449314d5441774f533951515338774d7a59344e32593259693030595449344c5451324e3251744f546b794e6930784e3251315a54557a4f44686d596a41756347526d&amp;Fich=03687f6b-4a28-467d-9926-17d5e5388fb0.pdf&amp;Inline=true</t>
        </is>
      </c>
      <c r="AH871" s="3" t="n">
        <v>46321.77847222222</v>
      </c>
      <c r="AI871" s="3" t="n">
        <v>46321.78055555555</v>
      </c>
      <c r="AJ871" s="2" t="inlineStr"/>
    </row>
    <row r="872">
      <c r="A872" s="2" t="n">
        <v>871</v>
      </c>
      <c r="B872" s="2" t="inlineStr">
        <is>
          <t>815C</t>
        </is>
      </c>
      <c r="C872" s="3" t="n">
        <v>45967.49722222222</v>
      </c>
      <c r="D872" s="2" t="inlineStr">
        <is>
          <t>Original</t>
        </is>
      </c>
      <c r="E872" s="2" t="inlineStr">
        <is>
          <t>PCP</t>
        </is>
      </c>
      <c r="F872" s="2" t="inlineStr">
        <is>
          <t>Alfredo Maia; Paula Santos; Paulo Raimundo</t>
        </is>
      </c>
      <c r="G872" s="2" t="inlineStr">
        <is>
          <t>Art. 136.º-A (aditamento)</t>
        </is>
      </c>
      <c r="H872" s="2" t="n"/>
      <c r="I872" s="2" t="n"/>
      <c r="J872" s="2" t="n"/>
      <c r="K872" s="2" t="n"/>
      <c r="L872" s="2" t="inlineStr">
        <is>
          <t>Artigo 136.º-A (Fundo de proteção social do bombeiro)</t>
        </is>
      </c>
      <c r="M872" s="4" t="n"/>
      <c r="N872" s="4" t="n"/>
      <c r="O872" s="2" t="n"/>
      <c r="P872" s="2" t="n"/>
      <c r="Q872" s="2" t="n"/>
      <c r="R872" s="2" t="n"/>
      <c r="S872" s="2" t="inlineStr">
        <is>
          <t>Rejeitado(a) em Comissão</t>
        </is>
      </c>
      <c r="T872" s="2" t="inlineStr">
        <is>
          <t>Rejeitada</t>
        </is>
      </c>
      <c r="U872" s="2" t="inlineStr">
        <is>
          <t>Favor: CH, L, PCP, BE, PAN; Contra: PSD, IL, CDS-PP; Abstenção: PS</t>
        </is>
      </c>
      <c r="V872" s="3" t="n">
        <v>45987</v>
      </c>
      <c r="W872" s="2" t="inlineStr">
        <is>
          <t>AR: https://www.parlamento.pt/OrcamentoEstado/Paginas/DetalhePropostaAlteracao.aspx?BID=24050 PDF: https://app.parlamento.pt/webutils/docs/doc.pdf?path=6148523063484d364c793942556b356c6443397a6158526c63793959566b6c4a544556484c3039464c7a49774d6a59794d4449314d5441774f5339515153387a5a474d35595745354f4330775954686c4c5451334e3249744f4755794e5330314e4445334e6d5931593259774e324d756347526d&amp;Fich=3dc9aa98-0a8e-477b-8e25-54176f5cf07c.pdf&amp;Inline=true</t>
        </is>
      </c>
      <c r="X872" s="2" t="inlineStr">
        <is>
          <t>Assuntos Constitucionais, Direitos, Liberdades e Garantias</t>
        </is>
      </c>
      <c r="Y872" s="2" t="inlineStr">
        <is>
          <t>Articulado</t>
        </is>
      </c>
      <c r="Z872" s="2" t="inlineStr">
        <is>
          <t>Aditamento (Artigo PPL)</t>
        </is>
      </c>
      <c r="AA872" s="2" t="inlineStr">
        <is>
          <t>Rejeitado(a) em Comissão</t>
        </is>
      </c>
      <c r="AB872" s="2" t="inlineStr"/>
      <c r="AC872" s="2" t="inlineStr"/>
      <c r="AD872" s="2" t="inlineStr">
        <is>
          <t>1</t>
        </is>
      </c>
      <c r="AE872" s="2" t="inlineStr">
        <is>
          <t>24050</t>
        </is>
      </c>
      <c r="AF872" s="2" t="inlineStr">
        <is>
          <t>https://www.parlamento.pt/OrcamentoEstado/Paginas/DetalhePropostaAlteracao.aspx?BID=24050</t>
        </is>
      </c>
      <c r="AG872" s="2" t="inlineStr">
        <is>
          <t>https://app.parlamento.pt/webutils/docs/doc.pdf?path=6148523063484d364c793942556b356c6443397a6158526c63793959566b6c4a544556484c3039464c7a49774d6a59794d4449314d5441774f5339515153387a5a474d35595745354f4330775954686c4c5451334e3249744f4755794e5330314e4445334e6d5931593259774e324d756347526d&amp;Fich=3dc9aa98-0a8e-477b-8e25-54176f5cf07c.pdf&amp;Inline=true</t>
        </is>
      </c>
      <c r="AH872" s="3" t="n">
        <v>46321.77847222222</v>
      </c>
      <c r="AI872" s="3" t="n">
        <v>46321.78055555555</v>
      </c>
      <c r="AJ872" s="2" t="inlineStr"/>
    </row>
    <row r="873">
      <c r="A873" s="2" t="n">
        <v>872</v>
      </c>
      <c r="B873" s="2" t="inlineStr">
        <is>
          <t>816C</t>
        </is>
      </c>
      <c r="C873" s="3" t="n">
        <v>45967.49722222222</v>
      </c>
      <c r="D873" s="2" t="inlineStr">
        <is>
          <t>Original</t>
        </is>
      </c>
      <c r="E873" s="2" t="inlineStr">
        <is>
          <t>PCP</t>
        </is>
      </c>
      <c r="F873" s="2" t="inlineStr">
        <is>
          <t>Alfredo Maia; Paula Santos; Paulo Raimundo</t>
        </is>
      </c>
      <c r="G873" s="2" t="inlineStr">
        <is>
          <t>Art. 128.º-A (aditamento)</t>
        </is>
      </c>
      <c r="H873" s="2" t="n"/>
      <c r="I873" s="2" t="n"/>
      <c r="J873" s="2" t="n"/>
      <c r="K873" s="2" t="n"/>
      <c r="L873" s="2" t="inlineStr">
        <is>
          <t>Artigo 128.º-A (Investimentos em equipamentos e instalações dos Corpos de Bombeiros)</t>
        </is>
      </c>
      <c r="M873" s="4" t="n"/>
      <c r="N873" s="4" t="n"/>
      <c r="O873" s="2" t="n"/>
      <c r="P873" s="2" t="n"/>
      <c r="Q873" s="2" t="n"/>
      <c r="R873" s="2" t="n"/>
      <c r="S873" s="2" t="inlineStr">
        <is>
          <t>Rejeitado(a) em Comissão</t>
        </is>
      </c>
      <c r="T873" s="2" t="inlineStr">
        <is>
          <t>Rejeitada</t>
        </is>
      </c>
      <c r="U873" s="2" t="inlineStr">
        <is>
          <t>Favor: CH, L, PCP, BE, PAN; Contra: PSD, CDS-PP; Abstenção: PS, IL</t>
        </is>
      </c>
      <c r="V873" s="3" t="n">
        <v>45985</v>
      </c>
      <c r="W873" s="2" t="inlineStr">
        <is>
          <t>AR: https://www.parlamento.pt/OrcamentoEstado/Paginas/DetalhePropostaAlteracao.aspx?BID=24051 PDF: https://app.parlamento.pt/webutils/docs/doc.pdf?path=6148523063484d364c793942556b356c6443397a6158526c63793959566b6c4a544556484c3039464c7a49774d6a59794d4449314d5441774f533951515338314e4463784e324e6c4d533077597a4a6d4c5452694d7a5974596d56694f5330324f44646d4e3249334f54466d5a5749756347526d&amp;Fich=54717ce1-0c2f-4b36-beb9-687f7b791feb.pdf&amp;Inline=true</t>
        </is>
      </c>
      <c r="X873" s="2" t="inlineStr">
        <is>
          <t>Assuntos Constitucionais, Direitos, Liberdades e Garantias</t>
        </is>
      </c>
      <c r="Y873" s="2" t="inlineStr">
        <is>
          <t>Articulado</t>
        </is>
      </c>
      <c r="Z873" s="2" t="inlineStr">
        <is>
          <t>Aditamento (Artigo PPL)</t>
        </is>
      </c>
      <c r="AA873" s="2" t="inlineStr">
        <is>
          <t>Rejeitado(a) em Comissão</t>
        </is>
      </c>
      <c r="AB873" s="2" t="inlineStr"/>
      <c r="AC873" s="2" t="inlineStr"/>
      <c r="AD873" s="2" t="inlineStr">
        <is>
          <t>1</t>
        </is>
      </c>
      <c r="AE873" s="2" t="inlineStr">
        <is>
          <t>24051</t>
        </is>
      </c>
      <c r="AF873" s="2" t="inlineStr">
        <is>
          <t>https://www.parlamento.pt/OrcamentoEstado/Paginas/DetalhePropostaAlteracao.aspx?BID=24051</t>
        </is>
      </c>
      <c r="AG873" s="2" t="inlineStr">
        <is>
          <t>https://app.parlamento.pt/webutils/docs/doc.pdf?path=6148523063484d364c793942556b356c6443397a6158526c63793959566b6c4a544556484c3039464c7a49774d6a59794d4449314d5441774f533951515338314e4463784e324e6c4d533077597a4a6d4c5452694d7a5974596d56694f5330324f44646d4e3249334f54466d5a5749756347526d&amp;Fich=54717ce1-0c2f-4b36-beb9-687f7b791feb.pdf&amp;Inline=true</t>
        </is>
      </c>
      <c r="AH873" s="3" t="n">
        <v>46321.77847222222</v>
      </c>
      <c r="AI873" s="3" t="n">
        <v>46321.78055555555</v>
      </c>
      <c r="AJ873" s="2" t="inlineStr"/>
    </row>
    <row r="874">
      <c r="A874" s="2" t="n">
        <v>873</v>
      </c>
      <c r="B874" s="2" t="inlineStr">
        <is>
          <t>817C</t>
        </is>
      </c>
      <c r="C874" s="3" t="n">
        <v>45967.49791666667</v>
      </c>
      <c r="D874" s="2" t="inlineStr">
        <is>
          <t>Original</t>
        </is>
      </c>
      <c r="E874" s="2" t="inlineStr">
        <is>
          <t>PCP</t>
        </is>
      </c>
      <c r="F874" s="2" t="inlineStr">
        <is>
          <t>Alfredo Maia; Paula Santos; Paulo Raimundo</t>
        </is>
      </c>
      <c r="G874" s="2" t="inlineStr">
        <is>
          <t>Art. 128.º-A (aditamento)</t>
        </is>
      </c>
      <c r="H874" s="2" t="n"/>
      <c r="I874" s="2" t="n"/>
      <c r="J874" s="2" t="n"/>
      <c r="K874" s="2" t="n"/>
      <c r="L874" s="2" t="inlineStr">
        <is>
          <t>Artigo 128.º-A (Acesso à PSI por bombeiros e agentes de proteção civil vítimas de acidentes)</t>
        </is>
      </c>
      <c r="M874" s="4" t="n"/>
      <c r="N874" s="4" t="n"/>
      <c r="O874" s="2" t="n"/>
      <c r="P874" s="2" t="n"/>
      <c r="Q874" s="2" t="n"/>
      <c r="R874" s="2" t="n"/>
      <c r="S874" s="2" t="inlineStr">
        <is>
          <t>Rejeitado(a) em Comissão</t>
        </is>
      </c>
      <c r="T874" s="2" t="inlineStr">
        <is>
          <t>Rejeitada</t>
        </is>
      </c>
      <c r="U874" s="2" t="inlineStr">
        <is>
          <t>Favor: CH, L, PCP, BE, PAN; Contra: PSD, IL, CDS-PP; Abstenção: PS</t>
        </is>
      </c>
      <c r="V874" s="3" t="n">
        <v>45985</v>
      </c>
      <c r="W874" s="2" t="inlineStr">
        <is>
          <t>AR: https://www.parlamento.pt/OrcamentoEstado/Paginas/DetalhePropostaAlteracao.aspx?BID=24052 PDF: https://app.parlamento.pt/webutils/docs/doc.pdf?path=6148523063484d364c793942556b356c6443397a6158526c63793959566b6c4a544556484c3039464c7a49774d6a59794d4449314d5441774f53395151533830596a526a597a41354f4330354d6a41314c5451784d544174595445324f4330784f5445315a444d784e4745354e7a67756347526d&amp;Fich=4b4cc098-9205-4110-a168-1915d314a978.pdf&amp;Inline=true</t>
        </is>
      </c>
      <c r="X874" s="2" t="inlineStr">
        <is>
          <t>Assuntos Constitucionais, Direitos, Liberdades e Garantias</t>
        </is>
      </c>
      <c r="Y874" s="2" t="inlineStr">
        <is>
          <t>Articulado</t>
        </is>
      </c>
      <c r="Z874" s="2" t="inlineStr">
        <is>
          <t>Aditamento (Artigo PPL)</t>
        </is>
      </c>
      <c r="AA874" s="2" t="inlineStr">
        <is>
          <t>Rejeitado(a) em Comissão</t>
        </is>
      </c>
      <c r="AB874" s="2" t="inlineStr"/>
      <c r="AC874" s="2" t="inlineStr"/>
      <c r="AD874" s="2" t="inlineStr">
        <is>
          <t>1</t>
        </is>
      </c>
      <c r="AE874" s="2" t="inlineStr">
        <is>
          <t>24052</t>
        </is>
      </c>
      <c r="AF874" s="2" t="inlineStr">
        <is>
          <t>https://www.parlamento.pt/OrcamentoEstado/Paginas/DetalhePropostaAlteracao.aspx?BID=24052</t>
        </is>
      </c>
      <c r="AG874" s="2" t="inlineStr">
        <is>
          <t>https://app.parlamento.pt/webutils/docs/doc.pdf?path=6148523063484d364c793942556b356c6443397a6158526c63793959566b6c4a544556484c3039464c7a49774d6a59794d4449314d5441774f53395151533830596a526a597a41354f4330354d6a41314c5451784d544174595445324f4330784f5445315a444d784e4745354e7a67756347526d&amp;Fich=4b4cc098-9205-4110-a168-1915d314a978.pdf&amp;Inline=true</t>
        </is>
      </c>
      <c r="AH874" s="3" t="n">
        <v>46321.77847222222</v>
      </c>
      <c r="AI874" s="3" t="n">
        <v>46321.78055555555</v>
      </c>
      <c r="AJ874" s="2" t="inlineStr"/>
    </row>
    <row r="875">
      <c r="A875" s="2" t="n">
        <v>874</v>
      </c>
      <c r="B875" s="2" t="inlineStr">
        <is>
          <t>818C</t>
        </is>
      </c>
      <c r="C875" s="3" t="n">
        <v>45967.49791666667</v>
      </c>
      <c r="D875" s="2" t="inlineStr">
        <is>
          <t>Original</t>
        </is>
      </c>
      <c r="E875" s="2" t="inlineStr">
        <is>
          <t>BE</t>
        </is>
      </c>
      <c r="F875" s="2" t="inlineStr">
        <is>
          <t>Mariana Mortágua</t>
        </is>
      </c>
      <c r="G875" s="2" t="inlineStr">
        <is>
          <t>Art. 7.º (aditamento)</t>
        </is>
      </c>
      <c r="H875" s="2" t="n"/>
      <c r="I875" s="2" t="n"/>
      <c r="J875" s="2" t="n"/>
      <c r="K875" s="2" t="n"/>
      <c r="L875" s="2" t="inlineStr">
        <is>
          <t>Nova Verba 1, Mapa de alterações e transferências orçamentais, Artigo 7.º</t>
        </is>
      </c>
      <c r="M875" s="4" t="n"/>
      <c r="N875" s="4" t="n"/>
      <c r="O875" s="2" t="n"/>
      <c r="P875" s="2" t="n"/>
      <c r="Q875" s="2" t="n"/>
      <c r="R875" s="2" t="n"/>
      <c r="S875" s="2" t="inlineStr">
        <is>
          <t>Rejeitado(a) em Comissão</t>
        </is>
      </c>
      <c r="T875" s="2" t="inlineStr">
        <is>
          <t>Rejeitada</t>
        </is>
      </c>
      <c r="U875" s="2" t="inlineStr">
        <is>
          <t>Favor: L, PCP, BE, PAN; Contra: PSD, CH, IL, CDS-PP; Abstenção: PS</t>
        </is>
      </c>
      <c r="V875" s="3" t="n">
        <v>45987</v>
      </c>
      <c r="W875" s="2" t="inlineStr">
        <is>
          <t>AR: https://www.parlamento.pt/OrcamentoEstado/Paginas/DetalhePropostaAlteracao.aspx?BID=24053 PDF: https://app.parlamento.pt/webutils/docs/doc.pdf?path=6148523063484d364c793942556b356c6443397a6158526c63793959566b6c4a544556484c3039464c7a49774d6a59794d4449314d5441774f5339515153387a4e6a5a6a5a444d345a6930314f445a694c5452684e5759744f4441354e79316b5a6a526b4e44686b4f474a695a4749756347526d&amp;Fich=366cd38f-586b-4a5f-8097-df4d48d8bbdb.pdf&amp;Inline=true</t>
        </is>
      </c>
      <c r="X875" s="2" t="inlineStr">
        <is>
          <t>Assuntos Constitucionais, Direitos, Liberdades e Garantias; Orçamento, Finanças e Administração Pública</t>
        </is>
      </c>
      <c r="Y875" s="2" t="inlineStr">
        <is>
          <t>Mapas</t>
        </is>
      </c>
      <c r="Z875" s="2" t="inlineStr">
        <is>
          <t>Aditamento (Números e Alíneas)</t>
        </is>
      </c>
      <c r="AA875" s="2" t="inlineStr">
        <is>
          <t>Rejeitado(a) em Comissão</t>
        </is>
      </c>
      <c r="AB875" s="2" t="inlineStr"/>
      <c r="AC875" s="2" t="inlineStr"/>
      <c r="AD875" s="2" t="inlineStr">
        <is>
          <t>1</t>
        </is>
      </c>
      <c r="AE875" s="2" t="inlineStr">
        <is>
          <t>24053</t>
        </is>
      </c>
      <c r="AF875" s="2" t="inlineStr">
        <is>
          <t>https://www.parlamento.pt/OrcamentoEstado/Paginas/DetalhePropostaAlteracao.aspx?BID=24053</t>
        </is>
      </c>
      <c r="AG875" s="2" t="inlineStr">
        <is>
          <t>https://app.parlamento.pt/webutils/docs/doc.pdf?path=6148523063484d364c793942556b356c6443397a6158526c63793959566b6c4a544556484c3039464c7a49774d6a59794d4449314d5441774f5339515153387a4e6a5a6a5a444d345a6930314f445a694c5452684e5759744f4441354e79316b5a6a526b4e44686b4f474a695a4749756347526d&amp;Fich=366cd38f-586b-4a5f-8097-df4d48d8bbdb.pdf&amp;Inline=true</t>
        </is>
      </c>
      <c r="AH875" s="3" t="n">
        <v>46321.77847222222</v>
      </c>
      <c r="AI875" s="3" t="n">
        <v>46321.78055555555</v>
      </c>
      <c r="AJ875" s="2" t="inlineStr"/>
    </row>
    <row r="876">
      <c r="A876" s="2" t="n">
        <v>875</v>
      </c>
      <c r="B876" s="2" t="inlineStr">
        <is>
          <t>819C</t>
        </is>
      </c>
      <c r="C876" s="3" t="n">
        <v>45967.49861111111</v>
      </c>
      <c r="D876" s="2" t="inlineStr">
        <is>
          <t>Original</t>
        </is>
      </c>
      <c r="E876" s="2" t="inlineStr">
        <is>
          <t>PCP</t>
        </is>
      </c>
      <c r="F876" s="2" t="inlineStr">
        <is>
          <t>Alfredo Maia; Paula Santos; Paulo Raimundo</t>
        </is>
      </c>
      <c r="G876" s="2" t="inlineStr">
        <is>
          <t>Art. 107.º-A (aditamento)</t>
        </is>
      </c>
      <c r="H876" s="2" t="n"/>
      <c r="I876" s="2" t="n"/>
      <c r="J876" s="2" t="n"/>
      <c r="K876" s="2" t="n"/>
      <c r="L876" s="2" t="inlineStr">
        <is>
          <t>Artigo 107.º-A (Proteção Civil)</t>
        </is>
      </c>
      <c r="M876" s="4" t="n"/>
      <c r="N876" s="4" t="n"/>
      <c r="O876" s="2" t="n"/>
      <c r="P876" s="2" t="n"/>
      <c r="Q876" s="2" t="n"/>
      <c r="R876" s="2" t="n"/>
      <c r="S876" s="2" t="inlineStr">
        <is>
          <t>Rejeitado(a) em Comissão</t>
        </is>
      </c>
      <c r="T876" s="2" t="inlineStr">
        <is>
          <t>Rejeitada</t>
        </is>
      </c>
      <c r="U876" s="2" t="inlineStr">
        <is>
          <t>Favor: L, PCP, BE, PAN; Contra: PSD, IL, CDS-PP; Abstenção: CH, PS</t>
        </is>
      </c>
      <c r="V876" s="3" t="n">
        <v>45982</v>
      </c>
      <c r="W876" s="2" t="inlineStr">
        <is>
          <t>AR: https://www.parlamento.pt/OrcamentoEstado/Paginas/DetalhePropostaAlteracao.aspx?BID=24054 PDF: https://app.parlamento.pt/webutils/docs/doc.pdf?path=6148523063484d364c793942556b356c6443397a6158526c63793959566b6c4a544556484c3039464c7a49774d6a59794d4449314d5441774f533951515339694f4756694d5467794d6930344e3255334c5452684f546774596d51794e6930304d6d597a4e5449314f444d785a5451756347526d&amp;Fich=b8eb1822-87e7-4a98-bd26-42f3525831e4.pdf&amp;Inline=true</t>
        </is>
      </c>
      <c r="X876" s="2" t="inlineStr">
        <is>
          <t>Assuntos Constitucionais, Direitos, Liberdades e Garantias</t>
        </is>
      </c>
      <c r="Y876" s="2" t="inlineStr">
        <is>
          <t>Articulado</t>
        </is>
      </c>
      <c r="Z876" s="2" t="inlineStr">
        <is>
          <t>Aditamento (Artigo PPL)</t>
        </is>
      </c>
      <c r="AA876" s="2" t="inlineStr">
        <is>
          <t>Rejeitado(a) em Comissão</t>
        </is>
      </c>
      <c r="AB876" s="2" t="inlineStr"/>
      <c r="AC876" s="2" t="inlineStr"/>
      <c r="AD876" s="2" t="inlineStr">
        <is>
          <t>1</t>
        </is>
      </c>
      <c r="AE876" s="2" t="inlineStr">
        <is>
          <t>24054</t>
        </is>
      </c>
      <c r="AF876" s="2" t="inlineStr">
        <is>
          <t>https://www.parlamento.pt/OrcamentoEstado/Paginas/DetalhePropostaAlteracao.aspx?BID=24054</t>
        </is>
      </c>
      <c r="AG876" s="2" t="inlineStr">
        <is>
          <t>https://app.parlamento.pt/webutils/docs/doc.pdf?path=6148523063484d364c793942556b356c6443397a6158526c63793959566b6c4a544556484c3039464c7a49774d6a59794d4449314d5441774f533951515339694f4756694d5467794d6930344e3255334c5452684f546774596d51794e6930304d6d597a4e5449314f444d785a5451756347526d&amp;Fich=b8eb1822-87e7-4a98-bd26-42f3525831e4.pdf&amp;Inline=true</t>
        </is>
      </c>
      <c r="AH876" s="3" t="n">
        <v>46321.77847222222</v>
      </c>
      <c r="AI876" s="3" t="n">
        <v>46321.78055555555</v>
      </c>
      <c r="AJ876" s="2" t="inlineStr"/>
    </row>
    <row r="877">
      <c r="A877" s="2" t="n">
        <v>876</v>
      </c>
      <c r="B877" s="2" t="inlineStr">
        <is>
          <t>820C</t>
        </is>
      </c>
      <c r="C877" s="3" t="n">
        <v>45967.49930555555</v>
      </c>
      <c r="D877" s="2" t="inlineStr">
        <is>
          <t>Original</t>
        </is>
      </c>
      <c r="E877" s="2" t="inlineStr">
        <is>
          <t>PCP</t>
        </is>
      </c>
      <c r="F877" s="2" t="inlineStr">
        <is>
          <t>Alfredo Maia; Paula Santos; Paulo Raimundo</t>
        </is>
      </c>
      <c r="G877" s="2" t="inlineStr">
        <is>
          <t>Art. 136.º-A (aditamento)</t>
        </is>
      </c>
      <c r="H877" s="2" t="n"/>
      <c r="I877" s="2" t="n"/>
      <c r="J877" s="2" t="n"/>
      <c r="K877" s="2" t="n"/>
      <c r="L877" s="2" t="inlineStr">
        <is>
          <t>Artigo 136.º-A (Alteração à Lei n.º 94/2015, de 13 de agosto)</t>
        </is>
      </c>
      <c r="M877" s="4" t="n"/>
      <c r="N877" s="4" t="n"/>
      <c r="O877" s="2" t="n"/>
      <c r="P877" s="2" t="n"/>
      <c r="Q877" s="2" t="n"/>
      <c r="R877" s="2" t="n"/>
      <c r="S877" s="2" t="inlineStr">
        <is>
          <t>Rejeitado(a) em Comissão</t>
        </is>
      </c>
      <c r="T877" s="2" t="inlineStr">
        <is>
          <t>Rejeitada</t>
        </is>
      </c>
      <c r="U877" s="2" t="inlineStr">
        <is>
          <t>Favor: L, PCP, BE, PAN; Contra: PSD, CH, IL, CDS-PP; Abstenção: PS</t>
        </is>
      </c>
      <c r="V877" s="3" t="n">
        <v>45987</v>
      </c>
      <c r="W877" s="2" t="inlineStr">
        <is>
          <t>AR: https://www.parlamento.pt/OrcamentoEstado/Paginas/DetalhePropostaAlteracao.aspx?BID=24055 PDF: https://app.parlamento.pt/webutils/docs/doc.pdf?path=6148523063484d364c793942556b356c6443397a6158526c63793959566b6c4a544556484c3039464c7a49774d6a59794d4449314d5441774f533951515338775a54497a5a54526a5953316b4d6a4e684c5452684d4755744f475a69597930794e44526b4f445132596a41345a474d756347526d&amp;Fich=0e23e4ca-d23a-4a0e-8fbc-244d846b08dc.pdf&amp;Inline=true</t>
        </is>
      </c>
      <c r="X877" s="2" t="inlineStr">
        <is>
          <t>Assuntos Constitucionais, Direitos, Liberdades e Garantias</t>
        </is>
      </c>
      <c r="Y877" s="2" t="inlineStr">
        <is>
          <t>Articulado</t>
        </is>
      </c>
      <c r="Z877" s="2" t="inlineStr">
        <is>
          <t>Aditamento (Artigo PPL)</t>
        </is>
      </c>
      <c r="AA877" s="2" t="inlineStr">
        <is>
          <t>Rejeitado(a) em Comissão</t>
        </is>
      </c>
      <c r="AB877" s="2" t="inlineStr"/>
      <c r="AC877" s="2" t="inlineStr"/>
      <c r="AD877" s="2" t="inlineStr">
        <is>
          <t>1</t>
        </is>
      </c>
      <c r="AE877" s="2" t="inlineStr">
        <is>
          <t>24055</t>
        </is>
      </c>
      <c r="AF877" s="2" t="inlineStr">
        <is>
          <t>https://www.parlamento.pt/OrcamentoEstado/Paginas/DetalhePropostaAlteracao.aspx?BID=24055</t>
        </is>
      </c>
      <c r="AG877" s="2" t="inlineStr">
        <is>
          <t>https://app.parlamento.pt/webutils/docs/doc.pdf?path=6148523063484d364c793942556b356c6443397a6158526c63793959566b6c4a544556484c3039464c7a49774d6a59794d4449314d5441774f533951515338775a54497a5a54526a5953316b4d6a4e684c5452684d4755744f475a69597930794e44526b4f445132596a41345a474d756347526d&amp;Fich=0e23e4ca-d23a-4a0e-8fbc-244d846b08dc.pdf&amp;Inline=true</t>
        </is>
      </c>
      <c r="AH877" s="3" t="n">
        <v>46321.77847222222</v>
      </c>
      <c r="AI877" s="3" t="n">
        <v>46321.78055555555</v>
      </c>
      <c r="AJ877" s="2" t="inlineStr"/>
    </row>
    <row r="878">
      <c r="A878" s="2" t="n">
        <v>877</v>
      </c>
      <c r="B878" s="2" t="inlineStr">
        <is>
          <t>821C</t>
        </is>
      </c>
      <c r="C878" s="3" t="n">
        <v>45967.49930555555</v>
      </c>
      <c r="D878" s="2" t="inlineStr">
        <is>
          <t>Original</t>
        </is>
      </c>
      <c r="E878" s="2" t="inlineStr">
        <is>
          <t>BE</t>
        </is>
      </c>
      <c r="F878" s="2" t="inlineStr">
        <is>
          <t>Mariana Mortágua</t>
        </is>
      </c>
      <c r="G878" s="2" t="inlineStr">
        <is>
          <t>Art. 113.º-A (aditamento)</t>
        </is>
      </c>
      <c r="H878" s="2" t="n"/>
      <c r="I878" s="2" t="n"/>
      <c r="J878" s="2" t="n"/>
      <c r="K878" s="2" t="n"/>
      <c r="L878" s="2" t="inlineStr">
        <is>
          <t>Artigo 113.º-A (Devolução do Hospital de Fafe à gestão pública)</t>
        </is>
      </c>
      <c r="M878" s="4" t="n"/>
      <c r="N878" s="4" t="n"/>
      <c r="O878" s="2" t="n"/>
      <c r="P878" s="2" t="n"/>
      <c r="Q878" s="2" t="n"/>
      <c r="R878" s="2" t="n"/>
      <c r="S878" s="2" t="inlineStr">
        <is>
          <t>Rejeitado(a) em Comissão</t>
        </is>
      </c>
      <c r="T878" s="2" t="inlineStr">
        <is>
          <t>Rejeitada</t>
        </is>
      </c>
      <c r="U878" s="2" t="inlineStr">
        <is>
          <t>Favor: L, PCP, BE, PAN; Contra: PSD, CH, IL, CDS-PP; Abstenção: PS</t>
        </is>
      </c>
      <c r="V878" s="3" t="n">
        <v>45985</v>
      </c>
      <c r="W878" s="2" t="inlineStr">
        <is>
          <t>AR: https://www.parlamento.pt/OrcamentoEstado/Paginas/DetalhePropostaAlteracao.aspx?BID=24056 PDF: https://app.parlamento.pt/webutils/docs/doc.pdf?path=6148523063484d364c793942556b356c6443397a6158526c63793959566b6c4a544556484c3039464c7a49774d6a59794d4449314d5441774f5339515153387a5a6a4d774d44646d5a5330334f4459304c5451304f5467744f5452684e6930774f44526a4d3249775a6d45314d446b756347526d&amp;Fich=3f3007fe-7864-4498-94a6-084c3b0fa509.pdf&amp;Inline=true</t>
        </is>
      </c>
      <c r="X878" s="2" t="inlineStr">
        <is>
          <t>Saúde</t>
        </is>
      </c>
      <c r="Y878" s="2" t="inlineStr">
        <is>
          <t>Articulado</t>
        </is>
      </c>
      <c r="Z878" s="2" t="inlineStr">
        <is>
          <t>Aditamento (Artigo PPL)</t>
        </is>
      </c>
      <c r="AA878" s="2" t="inlineStr">
        <is>
          <t>Rejeitado(a) em Comissão</t>
        </is>
      </c>
      <c r="AB878" s="2" t="inlineStr"/>
      <c r="AC878" s="2" t="inlineStr"/>
      <c r="AD878" s="2" t="inlineStr">
        <is>
          <t>1</t>
        </is>
      </c>
      <c r="AE878" s="2" t="inlineStr">
        <is>
          <t>24056</t>
        </is>
      </c>
      <c r="AF878" s="2" t="inlineStr">
        <is>
          <t>https://www.parlamento.pt/OrcamentoEstado/Paginas/DetalhePropostaAlteracao.aspx?BID=24056</t>
        </is>
      </c>
      <c r="AG878" s="2" t="inlineStr">
        <is>
          <t>https://app.parlamento.pt/webutils/docs/doc.pdf?path=6148523063484d364c793942556b356c6443397a6158526c63793959566b6c4a544556484c3039464c7a49774d6a59794d4449314d5441774f5339515153387a5a6a4d774d44646d5a5330334f4459304c5451304f5467744f5452684e6930774f44526a4d3249775a6d45314d446b756347526d&amp;Fich=3f3007fe-7864-4498-94a6-084c3b0fa509.pdf&amp;Inline=true</t>
        </is>
      </c>
      <c r="AH878" s="3" t="n">
        <v>46321.77847222222</v>
      </c>
      <c r="AI878" s="3" t="n">
        <v>46321.78055555555</v>
      </c>
      <c r="AJ878" s="2" t="inlineStr"/>
    </row>
    <row r="879">
      <c r="A879" s="2" t="n">
        <v>878</v>
      </c>
      <c r="B879" s="2" t="inlineStr">
        <is>
          <t>822C-1</t>
        </is>
      </c>
      <c r="C879" s="3" t="n">
        <v>45967.5</v>
      </c>
      <c r="D879" s="2" t="inlineStr">
        <is>
          <t>Original</t>
        </is>
      </c>
      <c r="E879" s="2" t="inlineStr">
        <is>
          <t>PCP</t>
        </is>
      </c>
      <c r="F879" s="2" t="inlineStr">
        <is>
          <t>Alfredo Maia; Paula Santos; Paulo Raimundo</t>
        </is>
      </c>
      <c r="G879" s="2" t="inlineStr">
        <is>
          <t>Art. 113.º (substituição)</t>
        </is>
      </c>
      <c r="H879" s="2" t="n"/>
      <c r="I879" s="2" t="n"/>
      <c r="J879" s="2" t="n"/>
      <c r="K879" s="2" t="n"/>
      <c r="L879" s="2" t="inlineStr">
        <is>
          <t>N.º 2, Artigo 113.º</t>
        </is>
      </c>
      <c r="M879" s="4" t="n"/>
      <c r="N879" s="4" t="n"/>
      <c r="O879" s="2" t="n"/>
      <c r="P879" s="2" t="n"/>
      <c r="Q879" s="2" t="n"/>
      <c r="R879" s="2" t="n"/>
      <c r="S879" s="2" t="inlineStr">
        <is>
          <t>Rejeitado(a) em Comissão</t>
        </is>
      </c>
      <c r="T879" s="2" t="inlineStr">
        <is>
          <t>Rejeitada</t>
        </is>
      </c>
      <c r="U879" s="2" t="inlineStr">
        <is>
          <t>Favor: PCP, BE, PAN; Contra: PSD, IL, CDS-PP; Abstenção: CH, PS, L</t>
        </is>
      </c>
      <c r="V879" s="3" t="n">
        <v>45985</v>
      </c>
      <c r="W879" s="2" t="inlineStr">
        <is>
          <t>AR: https://www.parlamento.pt/OrcamentoEstado/Paginas/DetalhePropostaAlteracao.aspx?BID=24057 PDF: https://app.parlamento.pt/webutils/docs/doc.pdf?path=6148523063484d364c793942556b356c6443397a6158526c63793959566b6c4a544556484c3039464c7a49774d6a59794d4449314d5441774f533951515338304e4755784f5445305a4330305a574d344c5451794f4463744f5759774e79316c5a6d49314d47566b4e7a59335a6d59756347526d&amp;Fich=44e1914d-4ec8-4287-9f07-efb50ed767ff.pdf&amp;Inline=true</t>
        </is>
      </c>
      <c r="X879" s="2" t="inlineStr">
        <is>
          <t>Assuntos Constitucionais, Direitos, Liberdades e Garantias</t>
        </is>
      </c>
      <c r="Y879" s="2" t="inlineStr">
        <is>
          <t>Articulado</t>
        </is>
      </c>
      <c r="Z879" s="2" t="inlineStr">
        <is>
          <t>Substituição</t>
        </is>
      </c>
      <c r="AA879" s="2" t="inlineStr">
        <is>
          <t>Rejeitado(a) em Comissão</t>
        </is>
      </c>
      <c r="AB879" s="2" t="inlineStr"/>
      <c r="AC879" s="2" t="inlineStr">
        <is>
          <t>1</t>
        </is>
      </c>
      <c r="AD879" s="2" t="inlineStr">
        <is>
          <t>1</t>
        </is>
      </c>
      <c r="AE879" s="2" t="inlineStr">
        <is>
          <t>24057</t>
        </is>
      </c>
      <c r="AF879" s="2" t="inlineStr">
        <is>
          <t>https://www.parlamento.pt/OrcamentoEstado/Paginas/DetalhePropostaAlteracao.aspx?BID=24057</t>
        </is>
      </c>
      <c r="AG879" s="2" t="inlineStr">
        <is>
          <t>https://app.parlamento.pt/webutils/docs/doc.pdf?path=6148523063484d364c793942556b356c6443397a6158526c63793959566b6c4a544556484c3039464c7a49774d6a59794d4449314d5441774f533951515338304e4755784f5445305a4330305a574d344c5451794f4463744f5759774e79316c5a6d49314d47566b4e7a59335a6d59756347526d&amp;Fich=44e1914d-4ec8-4287-9f07-efb50ed767ff.pdf&amp;Inline=true</t>
        </is>
      </c>
      <c r="AH879" s="3" t="n">
        <v>46321.77847222222</v>
      </c>
      <c r="AI879" s="3" t="n">
        <v>46321.78055555555</v>
      </c>
      <c r="AJ879" s="2" t="inlineStr"/>
    </row>
    <row r="880">
      <c r="A880" s="2" t="n">
        <v>879</v>
      </c>
      <c r="B880" s="2" t="inlineStr">
        <is>
          <t>822C-2</t>
        </is>
      </c>
      <c r="C880" s="3" t="n">
        <v>45967.5</v>
      </c>
      <c r="D880" s="2" t="inlineStr">
        <is>
          <t>Original</t>
        </is>
      </c>
      <c r="E880" s="2" t="inlineStr">
        <is>
          <t>PCP</t>
        </is>
      </c>
      <c r="F880" s="2" t="inlineStr">
        <is>
          <t>Alfredo Maia; Paula Santos; Paulo Raimundo</t>
        </is>
      </c>
      <c r="G880" s="2" t="inlineStr">
        <is>
          <t>Art. 113.º (aditamento)</t>
        </is>
      </c>
      <c r="H880" s="2" t="n"/>
      <c r="I880" s="2" t="n"/>
      <c r="J880" s="2" t="n"/>
      <c r="K880" s="2" t="n"/>
      <c r="L880" s="2" t="inlineStr">
        <is>
          <t>N.º 5, Artigo 113.º</t>
        </is>
      </c>
      <c r="M880" s="4" t="n"/>
      <c r="N880" s="4" t="n"/>
      <c r="O880" s="2" t="n"/>
      <c r="P880" s="2" t="n"/>
      <c r="Q880" s="2" t="n"/>
      <c r="R880" s="2" t="n"/>
      <c r="S880" s="2" t="inlineStr">
        <is>
          <t>Rejeitado(a) em Comissão</t>
        </is>
      </c>
      <c r="T880" s="2" t="inlineStr">
        <is>
          <t>Rejeitada</t>
        </is>
      </c>
      <c r="U880" s="2" t="inlineStr">
        <is>
          <t>Favor: CH, IL, L, PCP, BE, PAN; Contra: PSD, CDS-PP; Abstenção: PS</t>
        </is>
      </c>
      <c r="V880" s="3" t="n">
        <v>45985</v>
      </c>
      <c r="W880" s="2" t="inlineStr">
        <is>
          <t>AR: https://www.parlamento.pt/OrcamentoEstado/Paginas/DetalhePropostaAlteracao.aspx?BID=24202 PDF: https://app.parlamento.pt/webutils/docs/doc.pdf?path=6148523063484d364c793942556b356c6443397a6158526c63793959566b6c4a544556484c3039464c7a49774d6a59794d4449314d5441774f533951515338355a54686d4e3255345953307a4f44426d4c5451354e7a4974595749305a5330304e444d33597a5532597a6b324e6a4d756347526d&amp;Fich=9e8f7e8a-380f-4972-ab4e-4437c56c9663.pdf&amp;Inline=true</t>
        </is>
      </c>
      <c r="X880" s="2" t="inlineStr">
        <is>
          <t>Assuntos Constitucionais, Direitos, Liberdades e Garantias</t>
        </is>
      </c>
      <c r="Y880" s="2" t="inlineStr">
        <is>
          <t>Articulado</t>
        </is>
      </c>
      <c r="Z880" s="2" t="inlineStr">
        <is>
          <t>Aditamento (Números e Alíneas)</t>
        </is>
      </c>
      <c r="AA880" s="2" t="inlineStr">
        <is>
          <t>Rejeitado(a) em Comissão</t>
        </is>
      </c>
      <c r="AB880" s="2" t="inlineStr"/>
      <c r="AC880" s="2" t="inlineStr">
        <is>
          <t>2</t>
        </is>
      </c>
      <c r="AD880" s="2" t="inlineStr">
        <is>
          <t>1</t>
        </is>
      </c>
      <c r="AE880" s="2" t="inlineStr">
        <is>
          <t>24202</t>
        </is>
      </c>
      <c r="AF880" s="2" t="inlineStr">
        <is>
          <t>https://www.parlamento.pt/OrcamentoEstado/Paginas/DetalhePropostaAlteracao.aspx?BID=24202</t>
        </is>
      </c>
      <c r="AG880" s="2" t="inlineStr">
        <is>
          <t>https://app.parlamento.pt/webutils/docs/doc.pdf?path=6148523063484d364c793942556b356c6443397a6158526c63793959566b6c4a544556484c3039464c7a49774d6a59794d4449314d5441774f533951515338355a54686d4e3255345953307a4f44426d4c5451354e7a4974595749305a5330304e444d33597a5532597a6b324e6a4d756347526d&amp;Fich=9e8f7e8a-380f-4972-ab4e-4437c56c9663.pdf&amp;Inline=true</t>
        </is>
      </c>
      <c r="AH880" s="3" t="n">
        <v>46321.77847222222</v>
      </c>
      <c r="AI880" s="3" t="n">
        <v>46321.78055555555</v>
      </c>
      <c r="AJ880" s="2" t="inlineStr"/>
    </row>
    <row r="881">
      <c r="A881" s="2" t="n">
        <v>880</v>
      </c>
      <c r="B881" s="2" t="inlineStr">
        <is>
          <t>823C</t>
        </is>
      </c>
      <c r="C881" s="3" t="n">
        <v>45967.50069444445</v>
      </c>
      <c r="D881" s="2" t="inlineStr">
        <is>
          <t>Original</t>
        </is>
      </c>
      <c r="E881" s="2" t="inlineStr">
        <is>
          <t>L</t>
        </is>
      </c>
      <c r="F881" s="2" t="inlineStr">
        <is>
          <t>Filipa Pinto; Isabel Mendes Lopes; Jorge Pinto; Patrícia Gonçalves; Paulo Muacho; Rui Tavares</t>
        </is>
      </c>
      <c r="G881" s="2" t="inlineStr">
        <is>
          <t>Art. 127.º-A (aditamento)</t>
        </is>
      </c>
      <c r="H881" s="2" t="n"/>
      <c r="I881" s="2" t="n"/>
      <c r="J881" s="2" t="n"/>
      <c r="K881" s="2" t="n"/>
      <c r="L881" s="2" t="inlineStr">
        <is>
          <t>Artigo 127.º-A (Banco Português de Germoplasma Vegetal)</t>
        </is>
      </c>
      <c r="M881" s="4" t="n"/>
      <c r="N881" s="4" t="n"/>
      <c r="O881" s="2" t="n"/>
      <c r="P881" s="2" t="n"/>
      <c r="Q881" s="2" t="n"/>
      <c r="R881" s="2" t="n"/>
      <c r="S881" s="2" t="inlineStr">
        <is>
          <t>Rejeitado(a) em Comissão</t>
        </is>
      </c>
      <c r="T881" s="2" t="inlineStr">
        <is>
          <t>Rejeitada</t>
        </is>
      </c>
      <c r="U881" s="2" t="inlineStr">
        <is>
          <t>Favor: IL, L, PCP, BE, PAN; Contra: PSD, CDS-PP; Abstenção: CH, PS</t>
        </is>
      </c>
      <c r="V881" s="3" t="n">
        <v>45985</v>
      </c>
      <c r="W881" s="2" t="inlineStr">
        <is>
          <t>AR: https://www.parlamento.pt/OrcamentoEstado/Paginas/DetalhePropostaAlteracao.aspx?BID=24058 PDF: https://app.parlamento.pt/webutils/docs/doc.pdf?path=6148523063484d364c793942556b356c6443397a6158526c63793959566b6c4a544556484c3039464c7a49774d6a59794d4449314d5441774f533951515338314e6a566c59545177595330775a6a6c694c5452684e7a4574596a6b7a4d69316c5a6a68694e6d51774e7a41324d324d756347526d&amp;Fich=565ea40a-0f9b-4a71-b932-ef8b6d07063c.pdf&amp;Inline=true</t>
        </is>
      </c>
      <c r="X881" s="2" t="inlineStr">
        <is>
          <t>Agricultura e Pescas</t>
        </is>
      </c>
      <c r="Y881" s="2" t="inlineStr">
        <is>
          <t>Articulado</t>
        </is>
      </c>
      <c r="Z881" s="2" t="inlineStr">
        <is>
          <t>Aditamento (Artigo PPL)</t>
        </is>
      </c>
      <c r="AA881" s="2" t="inlineStr">
        <is>
          <t>Rejeitado(a) em Comissão</t>
        </is>
      </c>
      <c r="AB881" s="2" t="inlineStr"/>
      <c r="AC881" s="2" t="inlineStr"/>
      <c r="AD881" s="2" t="inlineStr">
        <is>
          <t>1</t>
        </is>
      </c>
      <c r="AE881" s="2" t="inlineStr">
        <is>
          <t>24058</t>
        </is>
      </c>
      <c r="AF881" s="2" t="inlineStr">
        <is>
          <t>https://www.parlamento.pt/OrcamentoEstado/Paginas/DetalhePropostaAlteracao.aspx?BID=24058</t>
        </is>
      </c>
      <c r="AG881" s="2" t="inlineStr">
        <is>
          <t>https://app.parlamento.pt/webutils/docs/doc.pdf?path=6148523063484d364c793942556b356c6443397a6158526c63793959566b6c4a544556484c3039464c7a49774d6a59794d4449314d5441774f533951515338314e6a566c59545177595330775a6a6c694c5452684e7a4574596a6b7a4d69316c5a6a68694e6d51774e7a41324d324d756347526d&amp;Fich=565ea40a-0f9b-4a71-b932-ef8b6d07063c.pdf&amp;Inline=true</t>
        </is>
      </c>
      <c r="AH881" s="3" t="n">
        <v>46321.77847222222</v>
      </c>
      <c r="AI881" s="3" t="n">
        <v>46321.78055555555</v>
      </c>
      <c r="AJ881" s="2" t="inlineStr"/>
    </row>
    <row r="882">
      <c r="A882" s="2" t="n">
        <v>881</v>
      </c>
      <c r="B882" s="2" t="inlineStr">
        <is>
          <t>824C</t>
        </is>
      </c>
      <c r="C882" s="3" t="n">
        <v>45967.50347222222</v>
      </c>
      <c r="D882" s="2" t="inlineStr">
        <is>
          <t>Original</t>
        </is>
      </c>
      <c r="E882" s="2" t="inlineStr">
        <is>
          <t>L</t>
        </is>
      </c>
      <c r="F882" s="2" t="inlineStr">
        <is>
          <t>Filipa Pinto; Isabel Mendes Lopes; Jorge Pinto; Patrícia Gonçalves; Paulo Muacho; Rui Tavares</t>
        </is>
      </c>
      <c r="G882" s="2" t="inlineStr">
        <is>
          <t>Art. 118.º-A (aditamento)</t>
        </is>
      </c>
      <c r="H882" s="2" t="n"/>
      <c r="I882" s="2" t="n"/>
      <c r="J882" s="2" t="n"/>
      <c r="K882" s="2" t="n"/>
      <c r="L882" s="2" t="inlineStr">
        <is>
          <t>Artigo 118.º-A (Passe gratuito para todos os estudantes do ensino superior)</t>
        </is>
      </c>
      <c r="M882" s="4" t="n"/>
      <c r="N882" s="4" t="n"/>
      <c r="O882" s="2" t="n"/>
      <c r="P882" s="2" t="n"/>
      <c r="Q882" s="2" t="n"/>
      <c r="R882" s="2" t="n"/>
      <c r="S882" s="2" t="inlineStr">
        <is>
          <t>Rejeitado(a) em Comissão</t>
        </is>
      </c>
      <c r="T882" s="2" t="inlineStr">
        <is>
          <t>Rejeitada</t>
        </is>
      </c>
      <c r="U882" s="2" t="inlineStr">
        <is>
          <t>Favor: CH, L, PCP, BE, PAN; Contra: PSD, IL, CDS-PP; Abstenção: PS</t>
        </is>
      </c>
      <c r="V882" s="3" t="n">
        <v>45985</v>
      </c>
      <c r="W882" s="2" t="inlineStr">
        <is>
          <t>AR: https://www.parlamento.pt/OrcamentoEstado/Paginas/DetalhePropostaAlteracao.aspx?BID=24059 PDF: https://app.parlamento.pt/webutils/docs/doc.pdf?path=6148523063484d364c793942556b356c6443397a6158526c63793959566b6c4a544556484c3039464c7a49774d6a59794d4449314d5441774f53395151533968597a51794e446b355a4330354d4445774c5452694e6d51744f54426a4f4330335a4441354e546c6b4e574d354e6d4d756347526d&amp;Fich=ac42499d-9010-4b6d-90c8-7d0959d5c96c.pdf&amp;Inline=true</t>
        </is>
      </c>
      <c r="X882" s="2" t="inlineStr">
        <is>
          <t>Educação e Ciência</t>
        </is>
      </c>
      <c r="Y882" s="2" t="inlineStr">
        <is>
          <t>Articulado</t>
        </is>
      </c>
      <c r="Z882" s="2" t="inlineStr">
        <is>
          <t>Aditamento (Artigo PPL)</t>
        </is>
      </c>
      <c r="AA882" s="2" t="inlineStr">
        <is>
          <t>Rejeitado(a) em Comissão</t>
        </is>
      </c>
      <c r="AB882" s="2" t="inlineStr"/>
      <c r="AC882" s="2" t="inlineStr"/>
      <c r="AD882" s="2" t="inlineStr">
        <is>
          <t>1</t>
        </is>
      </c>
      <c r="AE882" s="2" t="inlineStr">
        <is>
          <t>24059</t>
        </is>
      </c>
      <c r="AF882" s="2" t="inlineStr">
        <is>
          <t>https://www.parlamento.pt/OrcamentoEstado/Paginas/DetalhePropostaAlteracao.aspx?BID=24059</t>
        </is>
      </c>
      <c r="AG882" s="2" t="inlineStr">
        <is>
          <t>https://app.parlamento.pt/webutils/docs/doc.pdf?path=6148523063484d364c793942556b356c6443397a6158526c63793959566b6c4a544556484c3039464c7a49774d6a59794d4449314d5441774f53395151533968597a51794e446b355a4330354d4445774c5452694e6d51744f54426a4f4330335a4441354e546c6b4e574d354e6d4d756347526d&amp;Fich=ac42499d-9010-4b6d-90c8-7d0959d5c96c.pdf&amp;Inline=true</t>
        </is>
      </c>
      <c r="AH882" s="3" t="n">
        <v>46321.77847222222</v>
      </c>
      <c r="AI882" s="3" t="n">
        <v>46321.78055555555</v>
      </c>
      <c r="AJ882" s="2" t="inlineStr"/>
    </row>
    <row r="883">
      <c r="A883" s="2" t="n">
        <v>882</v>
      </c>
      <c r="B883" s="2" t="inlineStr">
        <is>
          <t>825C</t>
        </is>
      </c>
      <c r="C883" s="3" t="n">
        <v>45967.50486111111</v>
      </c>
      <c r="D883" s="2" t="inlineStr">
        <is>
          <t>Original</t>
        </is>
      </c>
      <c r="E883" s="2" t="inlineStr">
        <is>
          <t>BE</t>
        </is>
      </c>
      <c r="F883" s="2" t="inlineStr">
        <is>
          <t>Mariana Mortágua</t>
        </is>
      </c>
      <c r="G883" s="2" t="inlineStr">
        <is>
          <t>Art. 38.º-J (aditamento)</t>
        </is>
      </c>
      <c r="H883" s="2" t="n"/>
      <c r="I883" s="2" t="n"/>
      <c r="J883" s="2" t="n"/>
      <c r="K883" s="2" t="n"/>
      <c r="L883" s="2" t="inlineStr">
        <is>
          <t>Artigo 38.º-J (Integração dos trabalhadores do call center do Instituto da Segurança Social)</t>
        </is>
      </c>
      <c r="M883" s="4" t="n"/>
      <c r="N883" s="4" t="n"/>
      <c r="O883" s="2" t="n"/>
      <c r="P883" s="2" t="n"/>
      <c r="Q883" s="2" t="n"/>
      <c r="R883" s="2" t="n"/>
      <c r="S883" s="2" t="inlineStr">
        <is>
          <t>Rejeitado(a) em Comissão</t>
        </is>
      </c>
      <c r="T883" s="2" t="inlineStr">
        <is>
          <t>Rejeitada</t>
        </is>
      </c>
      <c r="U883" s="2" t="inlineStr">
        <is>
          <t>Favor: CH, L, PCP, BE, PAN; Contra: PSD, IL, CDS-PP; Abstenção: PS</t>
        </is>
      </c>
      <c r="V883" s="3" t="n">
        <v>45981</v>
      </c>
      <c r="W883" s="2" t="inlineStr">
        <is>
          <t>AR: https://www.parlamento.pt/OrcamentoEstado/Paginas/DetalhePropostaAlteracao.aspx?BID=24060 PDF: https://app.parlamento.pt/webutils/docs/doc.pdf?path=6148523063484d364c793942556b356c6443397a6158526c63793959566b6c4a544556484c3039464c7a49774d6a59794d4449314d5441774f5339515153387959545933596d4e6c5a4330784e6a49354c5451354d446b7459546c6d4f4330794d6d51314d544d314d5455345a4445756347526d&amp;Fich=2a67bced-1629-4909-a9f8-22d5135158d1.pdf&amp;Inline=true</t>
        </is>
      </c>
      <c r="X883" s="2" t="inlineStr">
        <is>
          <t>Trabalho, Segurança Social e Inclusão</t>
        </is>
      </c>
      <c r="Y883" s="2" t="inlineStr">
        <is>
          <t>Articulado</t>
        </is>
      </c>
      <c r="Z883" s="2" t="inlineStr">
        <is>
          <t>Aditamento (Artigo PPL)</t>
        </is>
      </c>
      <c r="AA883" s="2" t="inlineStr">
        <is>
          <t>Rejeitado(a) em Comissão</t>
        </is>
      </c>
      <c r="AB883" s="2" t="inlineStr"/>
      <c r="AC883" s="2" t="inlineStr"/>
      <c r="AD883" s="2" t="inlineStr">
        <is>
          <t>1</t>
        </is>
      </c>
      <c r="AE883" s="2" t="inlineStr">
        <is>
          <t>24060</t>
        </is>
      </c>
      <c r="AF883" s="2" t="inlineStr">
        <is>
          <t>https://www.parlamento.pt/OrcamentoEstado/Paginas/DetalhePropostaAlteracao.aspx?BID=24060</t>
        </is>
      </c>
      <c r="AG883" s="2" t="inlineStr">
        <is>
          <t>https://app.parlamento.pt/webutils/docs/doc.pdf?path=6148523063484d364c793942556b356c6443397a6158526c63793959566b6c4a544556484c3039464c7a49774d6a59794d4449314d5441774f5339515153387959545933596d4e6c5a4330784e6a49354c5451354d446b7459546c6d4f4330794d6d51314d544d314d5455345a4445756347526d&amp;Fich=2a67bced-1629-4909-a9f8-22d5135158d1.pdf&amp;Inline=true</t>
        </is>
      </c>
      <c r="AH883" s="3" t="n">
        <v>46321.77847222222</v>
      </c>
      <c r="AI883" s="3" t="n">
        <v>46321.78055555555</v>
      </c>
      <c r="AJ883" s="2" t="inlineStr"/>
    </row>
    <row r="884">
      <c r="A884" s="2" t="n">
        <v>883</v>
      </c>
      <c r="B884" s="2" t="inlineStr">
        <is>
          <t>826C</t>
        </is>
      </c>
      <c r="C884" s="3" t="n">
        <v>45967.50555555556</v>
      </c>
      <c r="D884" s="2" t="inlineStr">
        <is>
          <t>Original</t>
        </is>
      </c>
      <c r="E884" s="2" t="inlineStr">
        <is>
          <t>IL</t>
        </is>
      </c>
      <c r="F884" s="2" t="inlineStr">
        <is>
          <t>Angélique Da Teresa; Carlos Guimarães Pinto; Joana Cordeiro; Jorge Miguel Teixeira; Mariana Leitão; Mário Amorim Lopes; Miguel Rangel; Rodrigo Saraiva; Rui Rocha</t>
        </is>
      </c>
      <c r="G884" s="2" t="inlineStr">
        <is>
          <t>Art. 60.º (aditamento)</t>
        </is>
      </c>
      <c r="H884" s="2" t="n"/>
      <c r="I884" s="2" t="n"/>
      <c r="J884" s="2" t="n"/>
      <c r="K884" s="2" t="n"/>
      <c r="L884" s="2" t="inlineStr">
        <is>
          <t>Novo N.º 5, Artigo 12.º do Código do IRS</t>
        </is>
      </c>
      <c r="M884" s="4" t="n"/>
      <c r="N884" s="4" t="n"/>
      <c r="O884" s="2" t="n"/>
      <c r="P884" s="2" t="n"/>
      <c r="Q884" s="2" t="n"/>
      <c r="R884" s="2" t="n"/>
      <c r="S884" s="2" t="inlineStr">
        <is>
          <t>Rejeitado(a) em Comissão</t>
        </is>
      </c>
      <c r="T884" s="2" t="inlineStr">
        <is>
          <t>Rejeitada</t>
        </is>
      </c>
      <c r="U884" s="2" t="inlineStr">
        <is>
          <t>Favor: CH, IL, L, BE, PAN; Contra: PSD, CDS-PP; Abstenção: PS, PCP</t>
        </is>
      </c>
      <c r="V884" s="3" t="n">
        <v>45981</v>
      </c>
      <c r="W884" s="2" t="inlineStr">
        <is>
          <t>AR: https://www.parlamento.pt/OrcamentoEstado/Paginas/DetalhePropostaAlteracao.aspx?BID=24061 PDF: https://app.parlamento.pt/webutils/docs/doc.pdf?path=6148523063484d364c793942556b356c6443397a6158526c63793959566b6c4a544556484c3039464c7a49774d6a59794d4449314d5441774f533951515338794d6d56694e6a6b325a6930304d4745314c545133596a63744f4441794d793035595749315a4745774d7a45355a5441756347526d&amp;Fich=22eb696f-40a5-47b7-8023-9ab5da0319e0.pdf&amp;Inline=true</t>
        </is>
      </c>
      <c r="X884" s="2" t="inlineStr">
        <is>
          <t>Orçamento, Finanças e Administração Pública; Trabalho, Segurança Social e Inclusão</t>
        </is>
      </c>
      <c r="Y884" s="2" t="inlineStr">
        <is>
          <t>Articulado</t>
        </is>
      </c>
      <c r="Z884" s="2" t="inlineStr">
        <is>
          <t>Aditamento (Números e Alíneas)</t>
        </is>
      </c>
      <c r="AA884" s="2" t="inlineStr">
        <is>
          <t>Rejeitado(a) em Comissão</t>
        </is>
      </c>
      <c r="AB884" s="2" t="inlineStr"/>
      <c r="AC884" s="2" t="inlineStr"/>
      <c r="AD884" s="2" t="inlineStr">
        <is>
          <t>1</t>
        </is>
      </c>
      <c r="AE884" s="2" t="inlineStr">
        <is>
          <t>24061</t>
        </is>
      </c>
      <c r="AF884" s="2" t="inlineStr">
        <is>
          <t>https://www.parlamento.pt/OrcamentoEstado/Paginas/DetalhePropostaAlteracao.aspx?BID=24061</t>
        </is>
      </c>
      <c r="AG884" s="2" t="inlineStr">
        <is>
          <t>https://app.parlamento.pt/webutils/docs/doc.pdf?path=6148523063484d364c793942556b356c6443397a6158526c63793959566b6c4a544556484c3039464c7a49774d6a59794d4449314d5441774f533951515338794d6d56694e6a6b325a6930304d4745314c545133596a63744f4441794d793035595749315a4745774d7a45355a5441756347526d&amp;Fich=22eb696f-40a5-47b7-8023-9ab5da0319e0.pdf&amp;Inline=true</t>
        </is>
      </c>
      <c r="AH884" s="3" t="n">
        <v>46321.77847222222</v>
      </c>
      <c r="AI884" s="3" t="n">
        <v>46321.78055555555</v>
      </c>
      <c r="AJ884" s="2" t="inlineStr"/>
    </row>
    <row r="885">
      <c r="A885" s="2" t="n">
        <v>884</v>
      </c>
      <c r="B885" s="2" t="inlineStr">
        <is>
          <t>827C</t>
        </is>
      </c>
      <c r="C885" s="3" t="n">
        <v>45967.50694444445</v>
      </c>
      <c r="D885" s="2" t="inlineStr">
        <is>
          <t>Original</t>
        </is>
      </c>
      <c r="E885" s="2" t="inlineStr">
        <is>
          <t>L</t>
        </is>
      </c>
      <c r="F885" s="2" t="inlineStr">
        <is>
          <t>Filipa Pinto; Isabel Mendes Lopes; Jorge Pinto; Patrícia Gonçalves; Paulo Muacho; Rui Tavares</t>
        </is>
      </c>
      <c r="G885" s="2" t="inlineStr">
        <is>
          <t>Art. 20.º-A (aditamento)</t>
        </is>
      </c>
      <c r="H885" s="2" t="n"/>
      <c r="I885" s="2" t="n"/>
      <c r="J885" s="2" t="n"/>
      <c r="K885" s="2" t="n"/>
      <c r="L885" s="2" t="inlineStr">
        <is>
          <t>Artigo 20.º-A (Correção das distorções remuneratórias dos docentes que ingressaram na carreira antes de 1 de janeiro de 2011)</t>
        </is>
      </c>
      <c r="M885" s="4" t="n"/>
      <c r="N885" s="4" t="n"/>
      <c r="O885" s="2" t="n"/>
      <c r="P885" s="2" t="n"/>
      <c r="Q885" s="2" t="n"/>
      <c r="R885" s="2" t="n"/>
      <c r="S885" s="2" t="inlineStr">
        <is>
          <t>Rejeitado(a) em Comissão</t>
        </is>
      </c>
      <c r="T885" s="2" t="inlineStr">
        <is>
          <t>Rejeitada</t>
        </is>
      </c>
      <c r="U885" s="2" t="inlineStr">
        <is>
          <t>Favor: CH, L, PCP, BE, PAN; Contra: PSD, CDS-PP; Abstenção: PS, IL</t>
        </is>
      </c>
      <c r="V885" s="3" t="n">
        <v>45981</v>
      </c>
      <c r="W885" s="2" t="inlineStr">
        <is>
          <t>AR: https://www.parlamento.pt/OrcamentoEstado/Paginas/DetalhePropostaAlteracao.aspx?BID=24062 PDF: https://app.parlamento.pt/webutils/docs/doc.pdf?path=6148523063484d364c793942556b356c6443397a6158526c63793959566b6c4a544556484c3039464c7a49774d6a59794d4449314d5441774f533951515338335a6a49784e4449794d6930354d44557a4c54526c59575574596d49774e5330334f47466d5954646b4e545534596d49756347526d&amp;Fich=7f214222-9053-4eae-bb05-78afa7d558bb.pdf&amp;Inline=true</t>
        </is>
      </c>
      <c r="X885" s="2" t="inlineStr">
        <is>
          <t>Educação e Ciência</t>
        </is>
      </c>
      <c r="Y885" s="2" t="inlineStr">
        <is>
          <t>Articulado</t>
        </is>
      </c>
      <c r="Z885" s="2" t="inlineStr">
        <is>
          <t>Aditamento (Artigo PPL)</t>
        </is>
      </c>
      <c r="AA885" s="2" t="inlineStr">
        <is>
          <t>Rejeitado(a) em Comissão</t>
        </is>
      </c>
      <c r="AB885" s="2" t="inlineStr"/>
      <c r="AC885" s="2" t="inlineStr"/>
      <c r="AD885" s="2" t="inlineStr">
        <is>
          <t>1</t>
        </is>
      </c>
      <c r="AE885" s="2" t="inlineStr">
        <is>
          <t>24062</t>
        </is>
      </c>
      <c r="AF885" s="2" t="inlineStr">
        <is>
          <t>https://www.parlamento.pt/OrcamentoEstado/Paginas/DetalhePropostaAlteracao.aspx?BID=24062</t>
        </is>
      </c>
      <c r="AG885" s="2" t="inlineStr">
        <is>
          <t>https://app.parlamento.pt/webutils/docs/doc.pdf?path=6148523063484d364c793942556b356c6443397a6158526c63793959566b6c4a544556484c3039464c7a49774d6a59794d4449314d5441774f533951515338335a6a49784e4449794d6930354d44557a4c54526c59575574596d49774e5330334f47466d5954646b4e545534596d49756347526d&amp;Fich=7f214222-9053-4eae-bb05-78afa7d558bb.pdf&amp;Inline=true</t>
        </is>
      </c>
      <c r="AH885" s="3" t="n">
        <v>46321.77847222222</v>
      </c>
      <c r="AI885" s="3" t="n">
        <v>46321.78055555555</v>
      </c>
      <c r="AJ885" s="2" t="inlineStr"/>
    </row>
    <row r="886">
      <c r="A886" s="2" t="n">
        <v>885</v>
      </c>
      <c r="B886" s="2" t="inlineStr">
        <is>
          <t>828C</t>
        </is>
      </c>
      <c r="C886" s="3" t="n">
        <v>45967.50694444445</v>
      </c>
      <c r="D886" s="2" t="inlineStr">
        <is>
          <t>Original</t>
        </is>
      </c>
      <c r="E886" s="2" t="inlineStr">
        <is>
          <t>PCP</t>
        </is>
      </c>
      <c r="F886" s="2" t="inlineStr">
        <is>
          <t>Alfredo Maia; Paula Santos; Paulo Raimundo</t>
        </is>
      </c>
      <c r="G886" s="2" t="inlineStr">
        <is>
          <t>Art. 136.º-A (aditamento)</t>
        </is>
      </c>
      <c r="H886" s="2" t="n"/>
      <c r="I886" s="2" t="n"/>
      <c r="J886" s="2" t="n"/>
      <c r="K886" s="2" t="n"/>
      <c r="L886" s="2" t="inlineStr">
        <is>
          <t>Artigo 136.º-A (Alteração à Lei nº 4/2007, de 16 de janeiro que aprova as Bases Gerais do Sistema de Segurança Social)</t>
        </is>
      </c>
      <c r="M886" s="4" t="n"/>
      <c r="N886" s="4" t="n"/>
      <c r="O886" s="2" t="n"/>
      <c r="P886" s="2" t="n"/>
      <c r="Q886" s="2" t="n"/>
      <c r="R886" s="2" t="n"/>
      <c r="S886" s="2" t="inlineStr">
        <is>
          <t>Rejeitado(a) em Comissão</t>
        </is>
      </c>
      <c r="T886" s="2" t="inlineStr">
        <is>
          <t>Rejeitada</t>
        </is>
      </c>
      <c r="U886" s="2" t="inlineStr">
        <is>
          <t>Favor: CH, L, PCP, BE, PAN; Contra: PSD, IL, CDS-PP; Abstenção: PS</t>
        </is>
      </c>
      <c r="V886" s="3" t="n">
        <v>45987</v>
      </c>
      <c r="W886" s="2" t="inlineStr">
        <is>
          <t>AR: https://www.parlamento.pt/OrcamentoEstado/Paginas/DetalhePropostaAlteracao.aspx?BID=24063 PDF: https://app.parlamento.pt/webutils/docs/doc.pdf?path=6148523063484d364c793942556b356c6443397a6158526c63793959566b6c4a544556484c3039464c7a49774d6a59794d4449314d5441774f53395151533879596d4a6a4d5745774e69307a4e444e6a4c54526b5a6d4974596d566d5953307a4d444179595455304e546c6b5a4449756347526d&amp;Fich=2bbc1a06-343c-4dfb-befa-3002a5459dd2.pdf&amp;Inline=true</t>
        </is>
      </c>
      <c r="X886" s="2" t="inlineStr">
        <is>
          <t>Trabalho, Segurança Social e Inclusão</t>
        </is>
      </c>
      <c r="Y886" s="2" t="inlineStr">
        <is>
          <t>Articulado</t>
        </is>
      </c>
      <c r="Z886" s="2" t="inlineStr">
        <is>
          <t>Aditamento (Artigo PPL)</t>
        </is>
      </c>
      <c r="AA886" s="2" t="inlineStr">
        <is>
          <t>Rejeitado(a) em Comissão</t>
        </is>
      </c>
      <c r="AB886" s="2" t="inlineStr"/>
      <c r="AC886" s="2" t="inlineStr"/>
      <c r="AD886" s="2" t="inlineStr">
        <is>
          <t>1</t>
        </is>
      </c>
      <c r="AE886" s="2" t="inlineStr">
        <is>
          <t>24063</t>
        </is>
      </c>
      <c r="AF886" s="2" t="inlineStr">
        <is>
          <t>https://www.parlamento.pt/OrcamentoEstado/Paginas/DetalhePropostaAlteracao.aspx?BID=24063</t>
        </is>
      </c>
      <c r="AG886" s="2" t="inlineStr">
        <is>
          <t>https://app.parlamento.pt/webutils/docs/doc.pdf?path=6148523063484d364c793942556b356c6443397a6158526c63793959566b6c4a544556484c3039464c7a49774d6a59794d4449314d5441774f53395151533879596d4a6a4d5745774e69307a4e444e6a4c54526b5a6d4974596d566d5953307a4d444179595455304e546c6b5a4449756347526d&amp;Fich=2bbc1a06-343c-4dfb-befa-3002a5459dd2.pdf&amp;Inline=true</t>
        </is>
      </c>
      <c r="AH886" s="3" t="n">
        <v>46321.77847222222</v>
      </c>
      <c r="AI886" s="3" t="n">
        <v>46321.78055555555</v>
      </c>
      <c r="AJ886" s="2" t="inlineStr"/>
    </row>
    <row r="887">
      <c r="A887" s="2" t="n">
        <v>886</v>
      </c>
      <c r="B887" s="2" t="inlineStr">
        <is>
          <t>829C</t>
        </is>
      </c>
      <c r="C887" s="3" t="n">
        <v>45967.50763888889</v>
      </c>
      <c r="D887" s="2" t="inlineStr">
        <is>
          <t>Original</t>
        </is>
      </c>
      <c r="E887" s="2" t="inlineStr">
        <is>
          <t>PCP</t>
        </is>
      </c>
      <c r="F887" s="2" t="inlineStr">
        <is>
          <t>Alfredo Maia; Paula Santos; Paulo Raimundo</t>
        </is>
      </c>
      <c r="G887" s="2" t="inlineStr">
        <is>
          <t>Art. 136.º-A (aditamento)</t>
        </is>
      </c>
      <c r="H887" s="2" t="n"/>
      <c r="I887" s="2" t="n"/>
      <c r="J887" s="2" t="n"/>
      <c r="K887" s="2" t="n"/>
      <c r="L887" s="2" t="inlineStr">
        <is>
          <t>Artigo 136.º-A (Alteração da Lei da Finanças Regionais)</t>
        </is>
      </c>
      <c r="M887" s="4" t="n"/>
      <c r="N887" s="4" t="n"/>
      <c r="O887" s="2" t="n"/>
      <c r="P887" s="2" t="n"/>
      <c r="Q887" s="2" t="n"/>
      <c r="R887" s="2" t="n"/>
      <c r="S887" s="2" t="inlineStr">
        <is>
          <t>Rejeitado(a) em Comissão</t>
        </is>
      </c>
      <c r="T887" s="2" t="inlineStr">
        <is>
          <t>Rejeitada</t>
        </is>
      </c>
      <c r="U887" s="2" t="inlineStr">
        <is>
          <t>Favor: CH, PCP, BE, PAN; Contra: PSD, PS, CDS-PP; Abstenção: IL, L</t>
        </is>
      </c>
      <c r="V887" s="3" t="n">
        <v>45987</v>
      </c>
      <c r="W887" s="2" t="inlineStr">
        <is>
          <t>AR: https://www.parlamento.pt/OrcamentoEstado/Paginas/DetalhePropostaAlteracao.aspx?BID=24064 PDF: https://app.parlamento.pt/webutils/docs/doc.pdf?path=6148523063484d364c793942556b356c6443397a6158526c63793959566b6c4a544556484c3039464c7a49774d6a59794d4449314d5441774f533951515338314f545a6a4d6a68684d533169597a49304c5451325a5455744f475a6d5a5330334e574e6b4e6a6778596a6b30593255756347526d&amp;Fich=596c28a1-bc24-46e5-8ffe-75cd681b94ce.pdf&amp;Inline=true</t>
        </is>
      </c>
      <c r="X887" s="2" t="inlineStr">
        <is>
          <t>Orçamento, Finanças e Administração Pública</t>
        </is>
      </c>
      <c r="Y887" s="2" t="inlineStr">
        <is>
          <t>Articulado</t>
        </is>
      </c>
      <c r="Z887" s="2" t="inlineStr">
        <is>
          <t>Aditamento (Artigo PPL)</t>
        </is>
      </c>
      <c r="AA887" s="2" t="inlineStr">
        <is>
          <t>Rejeitado(a) em Comissão</t>
        </is>
      </c>
      <c r="AB887" s="2" t="inlineStr"/>
      <c r="AC887" s="2" t="inlineStr"/>
      <c r="AD887" s="2" t="inlineStr">
        <is>
          <t>1</t>
        </is>
      </c>
      <c r="AE887" s="2" t="inlineStr">
        <is>
          <t>24064</t>
        </is>
      </c>
      <c r="AF887" s="2" t="inlineStr">
        <is>
          <t>https://www.parlamento.pt/OrcamentoEstado/Paginas/DetalhePropostaAlteracao.aspx?BID=24064</t>
        </is>
      </c>
      <c r="AG887" s="2" t="inlineStr">
        <is>
          <t>https://app.parlamento.pt/webutils/docs/doc.pdf?path=6148523063484d364c793942556b356c6443397a6158526c63793959566b6c4a544556484c3039464c7a49774d6a59794d4449314d5441774f533951515338314f545a6a4d6a68684d533169597a49304c5451325a5455744f475a6d5a5330334e574e6b4e6a6778596a6b30593255756347526d&amp;Fich=596c28a1-bc24-46e5-8ffe-75cd681b94ce.pdf&amp;Inline=true</t>
        </is>
      </c>
      <c r="AH887" s="3" t="n">
        <v>46321.77847222222</v>
      </c>
      <c r="AI887" s="3" t="n">
        <v>46321.78055555555</v>
      </c>
      <c r="AJ887" s="2" t="inlineStr"/>
    </row>
    <row r="888">
      <c r="A888" s="2" t="n">
        <v>887</v>
      </c>
      <c r="B888" s="2" t="inlineStr">
        <is>
          <t>830C</t>
        </is>
      </c>
      <c r="C888" s="3" t="n">
        <v>45967.50833333333</v>
      </c>
      <c r="D888" s="2" t="inlineStr">
        <is>
          <t>Original</t>
        </is>
      </c>
      <c r="E888" s="2" t="inlineStr">
        <is>
          <t>PCP</t>
        </is>
      </c>
      <c r="F888" s="2" t="inlineStr">
        <is>
          <t>Alfredo Maia; Paula Santos; Paulo Raimundo</t>
        </is>
      </c>
      <c r="G888" s="2" t="inlineStr">
        <is>
          <t>Art. 112.º-A (aditamento)</t>
        </is>
      </c>
      <c r="H888" s="2" t="n"/>
      <c r="I888" s="2" t="n"/>
      <c r="J888" s="2" t="n"/>
      <c r="K888" s="2" t="n"/>
      <c r="L888" s="2" t="inlineStr">
        <is>
          <t>Artigo 112.º-A (Compensação dos sobrecustos da insularidade e da ultraperiferia para instituições públicas de ensino superior das regiões autónomas)</t>
        </is>
      </c>
      <c r="M888" s="4" t="n"/>
      <c r="N888" s="4" t="n"/>
      <c r="O888" s="2" t="n"/>
      <c r="P888" s="2" t="n"/>
      <c r="Q888" s="2" t="n"/>
      <c r="R888" s="2" t="n"/>
      <c r="S888" s="2" t="inlineStr">
        <is>
          <t>Rejeitado(a) em Comissão</t>
        </is>
      </c>
      <c r="T888" s="2" t="inlineStr">
        <is>
          <t>Rejeitada</t>
        </is>
      </c>
      <c r="U888" s="2" t="inlineStr">
        <is>
          <t>Favor: L, PCP, BE, PAN; Contra: PSD, CDS-PP; Abstenção: CH, PS, IL</t>
        </is>
      </c>
      <c r="V888" s="3" t="n">
        <v>45982</v>
      </c>
      <c r="W888" s="2" t="inlineStr">
        <is>
          <t>AR: https://www.parlamento.pt/OrcamentoEstado/Paginas/DetalhePropostaAlteracao.aspx?BID=24065 PDF: https://app.parlamento.pt/webutils/docs/doc.pdf?path=6148523063484d364c793942556b356c6443397a6158526c63793959566b6c4a544556484c3039464c7a49774d6a59794d4449314d5441774f5339515153387a5a475933595752685a53316a5a446c6c4c5451344e324974596a646b4f4330354e4441344e7a5a6b4e7a4e6c4e4455756347526d&amp;Fich=3df7adae-cd9e-487b-b7d8-940876d73e45.pdf&amp;Inline=true</t>
        </is>
      </c>
      <c r="X888" s="2" t="inlineStr">
        <is>
          <t>Educação e Ciência</t>
        </is>
      </c>
      <c r="Y888" s="2" t="inlineStr">
        <is>
          <t>Articulado</t>
        </is>
      </c>
      <c r="Z888" s="2" t="inlineStr">
        <is>
          <t>Aditamento (Artigo PPL)</t>
        </is>
      </c>
      <c r="AA888" s="2" t="inlineStr">
        <is>
          <t>Rejeitado(a) em Comissão</t>
        </is>
      </c>
      <c r="AB888" s="2" t="inlineStr"/>
      <c r="AC888" s="2" t="inlineStr"/>
      <c r="AD888" s="2" t="inlineStr">
        <is>
          <t>1</t>
        </is>
      </c>
      <c r="AE888" s="2" t="inlineStr">
        <is>
          <t>24065</t>
        </is>
      </c>
      <c r="AF888" s="2" t="inlineStr">
        <is>
          <t>https://www.parlamento.pt/OrcamentoEstado/Paginas/DetalhePropostaAlteracao.aspx?BID=24065</t>
        </is>
      </c>
      <c r="AG888" s="2" t="inlineStr">
        <is>
          <t>https://app.parlamento.pt/webutils/docs/doc.pdf?path=6148523063484d364c793942556b356c6443397a6158526c63793959566b6c4a544556484c3039464c7a49774d6a59794d4449314d5441774f5339515153387a5a475933595752685a53316a5a446c6c4c5451344e324974596a646b4f4330354e4441344e7a5a6b4e7a4e6c4e4455756347526d&amp;Fich=3df7adae-cd9e-487b-b7d8-940876d73e45.pdf&amp;Inline=true</t>
        </is>
      </c>
      <c r="AH888" s="3" t="n">
        <v>46321.77847222222</v>
      </c>
      <c r="AI888" s="3" t="n">
        <v>46321.78055555555</v>
      </c>
      <c r="AJ888" s="2" t="inlineStr"/>
    </row>
    <row r="889">
      <c r="A889" s="2" t="n">
        <v>888</v>
      </c>
      <c r="B889" s="2" t="inlineStr">
        <is>
          <t>831C</t>
        </is>
      </c>
      <c r="C889" s="3" t="n">
        <v>45967.50833333333</v>
      </c>
      <c r="D889" s="2" t="inlineStr">
        <is>
          <t>Original</t>
        </is>
      </c>
      <c r="E889" s="2" t="inlineStr">
        <is>
          <t>BE</t>
        </is>
      </c>
      <c r="F889" s="2" t="inlineStr">
        <is>
          <t>Mariana Mortágua</t>
        </is>
      </c>
      <c r="G889" s="2" t="inlineStr">
        <is>
          <t>Art. 21.º-A (aditamento)</t>
        </is>
      </c>
      <c r="H889" s="2" t="n"/>
      <c r="I889" s="2" t="n"/>
      <c r="J889" s="2" t="n"/>
      <c r="K889" s="2" t="n"/>
      <c r="L889" s="2" t="inlineStr">
        <is>
          <t>Artigo 21.º-A (Promoção da Igualdade nos Serviços Públicos)</t>
        </is>
      </c>
      <c r="M889" s="4" t="n"/>
      <c r="N889" s="4" t="n"/>
      <c r="O889" s="2" t="n"/>
      <c r="P889" s="2" t="n"/>
      <c r="Q889" s="2" t="n"/>
      <c r="R889" s="2" t="n"/>
      <c r="S889" s="2" t="inlineStr">
        <is>
          <t>Rejeitado(a) em Comissão</t>
        </is>
      </c>
      <c r="T889" s="2" t="inlineStr">
        <is>
          <t>Rejeitada</t>
        </is>
      </c>
      <c r="U889" s="2" t="inlineStr">
        <is>
          <t>Favor: PS, L, PCP, BE, PAN; Contra: PSD, CH, IL, CDS-PP</t>
        </is>
      </c>
      <c r="V889" s="3" t="n">
        <v>45981</v>
      </c>
      <c r="W889" s="2" t="inlineStr">
        <is>
          <t>AR: https://www.parlamento.pt/OrcamentoEstado/Paginas/DetalhePropostaAlteracao.aspx?BID=24066 PDF: https://app.parlamento.pt/webutils/docs/doc.pdf?path=6148523063484d364c793942556b356c6443397a6158526c63793959566b6c4a544556484c3039464c7a49774d6a59794d4449314d5441774f533951515338324e6a4e6d4e444e695a6931694e7a6c684c5452694e446b744f544e6b4f43316d59324d784e4445314f5759314d5445756347526d&amp;Fich=663f43bf-b79a-4b49-93d8-fcc14159f511.pdf&amp;Inline=true</t>
        </is>
      </c>
      <c r="X889" s="2" t="inlineStr">
        <is>
          <t>Assuntos Constitucionais, Direitos, Liberdades e Garantias</t>
        </is>
      </c>
      <c r="Y889" s="2" t="inlineStr">
        <is>
          <t>Articulado</t>
        </is>
      </c>
      <c r="Z889" s="2" t="inlineStr">
        <is>
          <t>Aditamento (Artigo PPL)</t>
        </is>
      </c>
      <c r="AA889" s="2" t="inlineStr">
        <is>
          <t>Rejeitado(a) em Comissão</t>
        </is>
      </c>
      <c r="AB889" s="2" t="inlineStr"/>
      <c r="AC889" s="2" t="inlineStr"/>
      <c r="AD889" s="2" t="inlineStr">
        <is>
          <t>1</t>
        </is>
      </c>
      <c r="AE889" s="2" t="inlineStr">
        <is>
          <t>24066</t>
        </is>
      </c>
      <c r="AF889" s="2" t="inlineStr">
        <is>
          <t>https://www.parlamento.pt/OrcamentoEstado/Paginas/DetalhePropostaAlteracao.aspx?BID=24066</t>
        </is>
      </c>
      <c r="AG889" s="2" t="inlineStr">
        <is>
          <t>https://app.parlamento.pt/webutils/docs/doc.pdf?path=6148523063484d364c793942556b356c6443397a6158526c63793959566b6c4a544556484c3039464c7a49774d6a59794d4449314d5441774f533951515338324e6a4e6d4e444e695a6931694e7a6c684c5452694e446b744f544e6b4f43316d59324d784e4445314f5759314d5445756347526d&amp;Fich=663f43bf-b79a-4b49-93d8-fcc14159f511.pdf&amp;Inline=true</t>
        </is>
      </c>
      <c r="AH889" s="3" t="n">
        <v>46321.77847222222</v>
      </c>
      <c r="AI889" s="3" t="n">
        <v>46321.78055555555</v>
      </c>
      <c r="AJ889" s="2" t="inlineStr"/>
    </row>
    <row r="890">
      <c r="A890" s="2" t="n">
        <v>889</v>
      </c>
      <c r="B890" s="2" t="inlineStr">
        <is>
          <t>832C</t>
        </is>
      </c>
      <c r="C890" s="3" t="n">
        <v>45967.50972222222</v>
      </c>
      <c r="D890" s="2" t="inlineStr">
        <is>
          <t>Original</t>
        </is>
      </c>
      <c r="E890" s="2" t="inlineStr">
        <is>
          <t>BE</t>
        </is>
      </c>
      <c r="F890" s="2" t="inlineStr">
        <is>
          <t>Mariana Mortágua</t>
        </is>
      </c>
      <c r="G890" s="2" t="inlineStr">
        <is>
          <t>Art. 119.º-A (aditamento)</t>
        </is>
      </c>
      <c r="H890" s="2" t="n"/>
      <c r="I890" s="2" t="n"/>
      <c r="J890" s="2" t="n"/>
      <c r="K890" s="2" t="n"/>
      <c r="L890" s="2" t="inlineStr">
        <is>
          <t>Artigo 119.º-A (Laboratório Nacional do Medicamento)</t>
        </is>
      </c>
      <c r="M890" s="4" t="n"/>
      <c r="N890" s="4" t="n"/>
      <c r="O890" s="2" t="n"/>
      <c r="P890" s="2" t="n"/>
      <c r="Q890" s="2" t="n"/>
      <c r="R890" s="2" t="n"/>
      <c r="S890" s="2" t="inlineStr">
        <is>
          <t>Rejeitado(a) em Comissão</t>
        </is>
      </c>
      <c r="T890" s="2" t="inlineStr">
        <is>
          <t>Rejeitada</t>
        </is>
      </c>
      <c r="U890" s="2" t="inlineStr">
        <is>
          <t>Favor: L, PCP, BE, PAN; Contra: PSD, IL, CDS-PP; Abstenção: CH, PS</t>
        </is>
      </c>
      <c r="V890" s="3" t="n">
        <v>45985</v>
      </c>
      <c r="W890" s="2" t="inlineStr">
        <is>
          <t>AR: https://www.parlamento.pt/OrcamentoEstado/Paginas/DetalhePropostaAlteracao.aspx?BID=24067 PDF: https://app.parlamento.pt/webutils/docs/doc.pdf?path=6148523063484d364c793942556b356c6443397a6158526c63793959566b6c4a544556484c3039464c7a49774d6a59794d4449314d5441774f533951515338314d6d59304f4455794d7930334f4441314c54526b596d45744f54526b4d533168596d5a6b596a49784d4745324e5751756347526d&amp;Fich=52f48523-7805-4dba-94d1-abfdb210a65d.pdf&amp;Inline=true</t>
        </is>
      </c>
      <c r="X890" s="2" t="inlineStr">
        <is>
          <t>Saúde</t>
        </is>
      </c>
      <c r="Y890" s="2" t="inlineStr">
        <is>
          <t>Articulado</t>
        </is>
      </c>
      <c r="Z890" s="2" t="inlineStr">
        <is>
          <t>Aditamento (Artigo PPL)</t>
        </is>
      </c>
      <c r="AA890" s="2" t="inlineStr">
        <is>
          <t>Rejeitado(a) em Comissão</t>
        </is>
      </c>
      <c r="AB890" s="2" t="inlineStr"/>
      <c r="AC890" s="2" t="inlineStr"/>
      <c r="AD890" s="2" t="inlineStr">
        <is>
          <t>1</t>
        </is>
      </c>
      <c r="AE890" s="2" t="inlineStr">
        <is>
          <t>24067</t>
        </is>
      </c>
      <c r="AF890" s="2" t="inlineStr">
        <is>
          <t>https://www.parlamento.pt/OrcamentoEstado/Paginas/DetalhePropostaAlteracao.aspx?BID=24067</t>
        </is>
      </c>
      <c r="AG890" s="2" t="inlineStr">
        <is>
          <t>https://app.parlamento.pt/webutils/docs/doc.pdf?path=6148523063484d364c793942556b356c6443397a6158526c63793959566b6c4a544556484c3039464c7a49774d6a59794d4449314d5441774f533951515338314d6d59304f4455794d7930334f4441314c54526b596d45744f54526b4d533168596d5a6b596a49784d4745324e5751756347526d&amp;Fich=52f48523-7805-4dba-94d1-abfdb210a65d.pdf&amp;Inline=true</t>
        </is>
      </c>
      <c r="AH890" s="3" t="n">
        <v>46321.77847222222</v>
      </c>
      <c r="AI890" s="3" t="n">
        <v>46321.78055555555</v>
      </c>
      <c r="AJ890" s="2" t="inlineStr"/>
    </row>
    <row r="891">
      <c r="A891" s="2" t="n">
        <v>890</v>
      </c>
      <c r="B891" s="2" t="inlineStr">
        <is>
          <t>833C</t>
        </is>
      </c>
      <c r="C891" s="3" t="n">
        <v>45967.50972222222</v>
      </c>
      <c r="D891" s="2" t="inlineStr">
        <is>
          <t>Original</t>
        </is>
      </c>
      <c r="E891" s="2" t="inlineStr">
        <is>
          <t>PCP</t>
        </is>
      </c>
      <c r="F891" s="2" t="inlineStr">
        <is>
          <t>Alfredo Maia; Paula Santos; Paulo Raimundo</t>
        </is>
      </c>
      <c r="G891" s="2" t="inlineStr">
        <is>
          <t>Art. 7.º (aditamento)</t>
        </is>
      </c>
      <c r="H891" s="2" t="n"/>
      <c r="I891" s="2" t="n"/>
      <c r="J891" s="2" t="n"/>
      <c r="K891" s="2" t="n"/>
      <c r="L891" s="2" t="inlineStr">
        <is>
          <t>Nova Verba 89, Mapa de alterações e transferências orçamentais, Artigo 7.º</t>
        </is>
      </c>
      <c r="M891" s="4" t="n"/>
      <c r="N891" s="4" t="n"/>
      <c r="O891" s="2" t="n"/>
      <c r="P891" s="2" t="n"/>
      <c r="Q891" s="2" t="n"/>
      <c r="R891" s="2" t="n"/>
      <c r="S891" s="2" t="inlineStr">
        <is>
          <t>Rejeitado(a) em Comissão</t>
        </is>
      </c>
      <c r="T891" s="2" t="inlineStr">
        <is>
          <t>Rejeitada</t>
        </is>
      </c>
      <c r="U891" s="2" t="inlineStr">
        <is>
          <t>Favor: PS, L, PCP, BE, PAN; Contra: PSD, CDS-PP; Abstenção: CH, IL</t>
        </is>
      </c>
      <c r="V891" s="3" t="n">
        <v>45987</v>
      </c>
      <c r="W891" s="2" t="inlineStr">
        <is>
          <t>AR: https://www.parlamento.pt/OrcamentoEstado/Paginas/DetalhePropostaAlteracao.aspx?BID=24068 PDF: https://app.parlamento.pt/webutils/docs/doc.pdf?path=6148523063484d364c793942556b356c6443397a6158526c63793959566b6c4a544556484c3039464c7a49774d6a59794d4449314d5441774f5339515153396d5932526b4e5749784e79316d4f4449784c5451354d5749744f4456694e7930344e7a6b785a475a6d596a52684e3259756347526d&amp;Fich=fcdd5b17-f821-491b-85b7-8791dffb4a7f.pdf&amp;Inline=true</t>
        </is>
      </c>
      <c r="X891" s="2" t="inlineStr">
        <is>
          <t>Trabalho, Segurança Social e Inclusão</t>
        </is>
      </c>
      <c r="Y891" s="2" t="inlineStr">
        <is>
          <t>Articulado</t>
        </is>
      </c>
      <c r="Z891" s="2" t="inlineStr">
        <is>
          <t>Aditamento (Números e Alíneas)</t>
        </is>
      </c>
      <c r="AA891" s="2" t="inlineStr">
        <is>
          <t>Rejeitado(a) em Comissão</t>
        </is>
      </c>
      <c r="AB891" s="2" t="inlineStr"/>
      <c r="AC891" s="2" t="inlineStr"/>
      <c r="AD891" s="2" t="inlineStr">
        <is>
          <t>1</t>
        </is>
      </c>
      <c r="AE891" s="2" t="inlineStr">
        <is>
          <t>24068</t>
        </is>
      </c>
      <c r="AF891" s="2" t="inlineStr">
        <is>
          <t>https://www.parlamento.pt/OrcamentoEstado/Paginas/DetalhePropostaAlteracao.aspx?BID=24068</t>
        </is>
      </c>
      <c r="AG891" s="2" t="inlineStr">
        <is>
          <t>https://app.parlamento.pt/webutils/docs/doc.pdf?path=6148523063484d364c793942556b356c6443397a6158526c63793959566b6c4a544556484c3039464c7a49774d6a59794d4449314d5441774f5339515153396d5932526b4e5749784e79316d4f4449784c5451354d5749744f4456694e7930344e7a6b785a475a6d596a52684e3259756347526d&amp;Fich=fcdd5b17-f821-491b-85b7-8791dffb4a7f.pdf&amp;Inline=true</t>
        </is>
      </c>
      <c r="AH891" s="3" t="n">
        <v>46321.77847222222</v>
      </c>
      <c r="AI891" s="3" t="n">
        <v>46321.78055555555</v>
      </c>
      <c r="AJ891" s="2" t="inlineStr"/>
    </row>
    <row r="892">
      <c r="A892" s="2" t="n">
        <v>891</v>
      </c>
      <c r="B892" s="2" t="inlineStr">
        <is>
          <t>834C</t>
        </is>
      </c>
      <c r="C892" s="3" t="n">
        <v>45967.50972222222</v>
      </c>
      <c r="D892" s="2" t="inlineStr">
        <is>
          <t>Original</t>
        </is>
      </c>
      <c r="E892" s="2" t="inlineStr">
        <is>
          <t>L</t>
        </is>
      </c>
      <c r="F892" s="2" t="inlineStr">
        <is>
          <t>Filipa Pinto; Isabel Mendes Lopes; Jorge Pinto; Patrícia Gonçalves; Paulo Muacho; Rui Tavares</t>
        </is>
      </c>
      <c r="G892" s="2" t="inlineStr">
        <is>
          <t>Art. 63.º-A (aditamento)</t>
        </is>
      </c>
      <c r="H892" s="2" t="n"/>
      <c r="I892" s="2" t="n"/>
      <c r="J892" s="2" t="n"/>
      <c r="K892" s="2" t="n"/>
      <c r="L892" s="2" t="inlineStr">
        <is>
          <t>Artigo 64.º-A (Alteração ao Código do Imposto sobre o Valor Acrescentado)</t>
        </is>
      </c>
      <c r="M892" s="4" t="n"/>
      <c r="N892" s="4" t="n"/>
      <c r="O892" s="2" t="n"/>
      <c r="P892" s="2" t="n"/>
      <c r="Q892" s="2" t="n"/>
      <c r="R892" s="2" t="n"/>
      <c r="S892" s="2" t="inlineStr">
        <is>
          <t>Rejeitado(a) em Comissão</t>
        </is>
      </c>
      <c r="T892" s="2" t="inlineStr">
        <is>
          <t>Rejeitada</t>
        </is>
      </c>
      <c r="U892" s="2" t="inlineStr">
        <is>
          <t>Favor: IL, L, BE, PAN; Contra: PSD, CH, PCP, CDS-PP; Abstenção: PS</t>
        </is>
      </c>
      <c r="V892" s="3" t="n">
        <v>45982</v>
      </c>
      <c r="W892" s="2" t="inlineStr">
        <is>
          <t>AR: https://www.parlamento.pt/OrcamentoEstado/Paginas/DetalhePropostaAlteracao.aspx?BID=24069 PDF: https://app.parlamento.pt/webutils/docs/doc.pdf?path=6148523063484d364c793942556b356c6443397a6158526c63793959566b6c4a544556484c3039464c7a49774d6a59794d4449314d5441774f5339515153396d4d4759355a44497a4d53316a4d5449794c545135596a4d744f4751774e7930774d4759774f545933597a4e6a4d5441756347526d&amp;Fich=f0f9d231-c122-49b3-8d07-00f0967c3c10.pdf&amp;Inline=true</t>
        </is>
      </c>
      <c r="X892" s="2" t="inlineStr">
        <is>
          <t>Orçamento, Finanças e Administração Pública</t>
        </is>
      </c>
      <c r="Y892" s="2" t="inlineStr">
        <is>
          <t>Articulado</t>
        </is>
      </c>
      <c r="Z892" s="2" t="inlineStr">
        <is>
          <t>Aditamento (Artigo PPL)</t>
        </is>
      </c>
      <c r="AA892" s="2" t="inlineStr">
        <is>
          <t>Rejeitado(a) em Comissão</t>
        </is>
      </c>
      <c r="AB892" s="2" t="inlineStr"/>
      <c r="AC892" s="2" t="inlineStr"/>
      <c r="AD892" s="2" t="inlineStr">
        <is>
          <t>1</t>
        </is>
      </c>
      <c r="AE892" s="2" t="inlineStr">
        <is>
          <t>24069</t>
        </is>
      </c>
      <c r="AF892" s="2" t="inlineStr">
        <is>
          <t>https://www.parlamento.pt/OrcamentoEstado/Paginas/DetalhePropostaAlteracao.aspx?BID=24069</t>
        </is>
      </c>
      <c r="AG892" s="2" t="inlineStr">
        <is>
          <t>https://app.parlamento.pt/webutils/docs/doc.pdf?path=6148523063484d364c793942556b356c6443397a6158526c63793959566b6c4a544556484c3039464c7a49774d6a59794d4449314d5441774f5339515153396d4d4759355a44497a4d53316a4d5449794c545135596a4d744f4751774e7930774d4759774f545933597a4e6a4d5441756347526d&amp;Fich=f0f9d231-c122-49b3-8d07-00f0967c3c10.pdf&amp;Inline=true</t>
        </is>
      </c>
      <c r="AH892" s="3" t="n">
        <v>46321.77847222222</v>
      </c>
      <c r="AI892" s="3" t="n">
        <v>46321.78055555555</v>
      </c>
      <c r="AJ892" s="2" t="inlineStr"/>
    </row>
    <row r="893">
      <c r="A893" s="2" t="n">
        <v>892</v>
      </c>
      <c r="B893" s="2" t="inlineStr">
        <is>
          <t>835C</t>
        </is>
      </c>
      <c r="C893" s="3" t="n">
        <v>45967.51041666666</v>
      </c>
      <c r="D893" s="2" t="inlineStr">
        <is>
          <t>Original</t>
        </is>
      </c>
      <c r="E893" s="2" t="inlineStr">
        <is>
          <t>PCP</t>
        </is>
      </c>
      <c r="F893" s="2" t="inlineStr">
        <is>
          <t>Alfredo Maia; Paula Santos; Paulo Raimundo</t>
        </is>
      </c>
      <c r="G893" s="2" t="inlineStr">
        <is>
          <t>Art. 112.º-A (aditamento)</t>
        </is>
      </c>
      <c r="H893" s="2" t="n"/>
      <c r="I893" s="2" t="n"/>
      <c r="J893" s="2" t="n"/>
      <c r="K893" s="2" t="n"/>
      <c r="L893" s="2" t="inlineStr">
        <is>
          <t>Artigo 112.º-A (Levantamento de necessidades em matéria de Registo e Notariado e suprimento de insuficiências na Região Autónoma dos Açores)</t>
        </is>
      </c>
      <c r="M893" s="4" t="n"/>
      <c r="N893" s="4" t="n"/>
      <c r="O893" s="2" t="n"/>
      <c r="P893" s="2" t="n"/>
      <c r="Q893" s="2" t="n"/>
      <c r="R893" s="2" t="n"/>
      <c r="S893" s="2" t="inlineStr">
        <is>
          <t>Rejeitado(a) em Comissão</t>
        </is>
      </c>
      <c r="T893" s="2" t="inlineStr">
        <is>
          <t>Rejeitada</t>
        </is>
      </c>
      <c r="U893" s="2" t="inlineStr">
        <is>
          <t>Favor: PS, L, PCP, BE, PAN; Contra: PSD, CDS-PP; Abstenção: CH, IL</t>
        </is>
      </c>
      <c r="V893" s="3" t="n">
        <v>45982</v>
      </c>
      <c r="W893" s="2" t="inlineStr">
        <is>
          <t>AR: https://www.parlamento.pt/OrcamentoEstado/Paginas/DetalhePropostaAlteracao.aspx?BID=24070 PDF: https://app.parlamento.pt/webutils/docs/doc.pdf?path=6148523063484d364c793942556b356c6443397a6158526c63793959566b6c4a544556484c3039464c7a49774d6a59794d4449314d5441774f533951515338334d6d4a6c596a4d30597930334d545a6b4c5452684e47457459574a6b4e693168596d4a6d4d6a4a6c4e7a41784d5749756347526d&amp;Fich=72beb34c-716d-4a4a-abd6-abbf22e7011b.pdf&amp;Inline=true</t>
        </is>
      </c>
      <c r="X893" s="2" t="inlineStr">
        <is>
          <t>Assuntos Constitucionais, Direitos, Liberdades e Garantias</t>
        </is>
      </c>
      <c r="Y893" s="2" t="inlineStr">
        <is>
          <t>Articulado</t>
        </is>
      </c>
      <c r="Z893" s="2" t="inlineStr">
        <is>
          <t>Aditamento (Artigo PPL)</t>
        </is>
      </c>
      <c r="AA893" s="2" t="inlineStr">
        <is>
          <t>Rejeitado(a) em Comissão</t>
        </is>
      </c>
      <c r="AB893" s="2" t="inlineStr"/>
      <c r="AC893" s="2" t="inlineStr"/>
      <c r="AD893" s="2" t="inlineStr">
        <is>
          <t>1</t>
        </is>
      </c>
      <c r="AE893" s="2" t="inlineStr">
        <is>
          <t>24070</t>
        </is>
      </c>
      <c r="AF893" s="2" t="inlineStr">
        <is>
          <t>https://www.parlamento.pt/OrcamentoEstado/Paginas/DetalhePropostaAlteracao.aspx?BID=24070</t>
        </is>
      </c>
      <c r="AG893" s="2" t="inlineStr">
        <is>
          <t>https://app.parlamento.pt/webutils/docs/doc.pdf?path=6148523063484d364c793942556b356c6443397a6158526c63793959566b6c4a544556484c3039464c7a49774d6a59794d4449314d5441774f533951515338334d6d4a6c596a4d30597930334d545a6b4c5452684e47457459574a6b4e693168596d4a6d4d6a4a6c4e7a41784d5749756347526d&amp;Fich=72beb34c-716d-4a4a-abd6-abbf22e7011b.pdf&amp;Inline=true</t>
        </is>
      </c>
      <c r="AH893" s="3" t="n">
        <v>46321.77847222222</v>
      </c>
      <c r="AI893" s="3" t="n">
        <v>46321.78055555555</v>
      </c>
      <c r="AJ893" s="2" t="inlineStr"/>
    </row>
    <row r="894">
      <c r="A894" s="2" t="n">
        <v>893</v>
      </c>
      <c r="B894" s="2" t="inlineStr">
        <is>
          <t>836C</t>
        </is>
      </c>
      <c r="C894" s="3" t="n">
        <v>45967.51041666666</v>
      </c>
      <c r="D894" s="2" t="inlineStr">
        <is>
          <t>Original</t>
        </is>
      </c>
      <c r="E894" s="2" t="inlineStr">
        <is>
          <t>IL</t>
        </is>
      </c>
      <c r="F894" s="2" t="inlineStr">
        <is>
          <t>Angélique Da Teresa; Carlos Guimarães Pinto; Joana Cordeiro; Jorge Miguel Teixeira; Mariana Leitão; Mário Amorim Lopes; Miguel Rangel; Rodrigo Saraiva; Rui Rocha</t>
        </is>
      </c>
      <c r="G894" s="2" t="inlineStr">
        <is>
          <t>Art. 38.º-B (aditamento)</t>
        </is>
      </c>
      <c r="H894" s="2" t="n"/>
      <c r="I894" s="2" t="n"/>
      <c r="J894" s="2" t="n"/>
      <c r="K894" s="2" t="n"/>
      <c r="L894" s="2" t="inlineStr">
        <is>
          <t>Artigo 38.º-B (Transferência dos encargos com responsabilidade social das Empresas para a Segurança Social)</t>
        </is>
      </c>
      <c r="M894" s="4" t="n"/>
      <c r="N894" s="4" t="n"/>
      <c r="O894" s="2" t="n"/>
      <c r="P894" s="2" t="n"/>
      <c r="Q894" s="2" t="n"/>
      <c r="R894" s="2" t="n"/>
      <c r="S894" s="2" t="inlineStr">
        <is>
          <t>Rejeitado(a) em Comissão</t>
        </is>
      </c>
      <c r="T894" s="2" t="inlineStr">
        <is>
          <t>Rejeitada</t>
        </is>
      </c>
      <c r="U894" s="2" t="inlineStr">
        <is>
          <t>Favor: CH, IL; Contra: PSD, PS, L, PCP, CDS-PP, BE; Abstenção: PAN</t>
        </is>
      </c>
      <c r="V894" s="3" t="n">
        <v>45981</v>
      </c>
      <c r="W894" s="2" t="inlineStr">
        <is>
          <t>AR: https://www.parlamento.pt/OrcamentoEstado/Paginas/DetalhePropostaAlteracao.aspx?BID=24071 PDF: https://app.parlamento.pt/webutils/docs/doc.pdf?path=6148523063484d364c793942556b356c6443397a6158526c63793959566b6c4a544556484c3039464c7a49774d6a59794d4449314d5441774f533951515338334f5759774e6a4d304f433078597a45774c545133597a51744f5459304d5330784e324a6a4e575a6d4d3255774d5467756347526d&amp;Fich=79f06348-1c10-47c4-9641-17bc5ff3e018.pdf&amp;Inline=true</t>
        </is>
      </c>
      <c r="X894" s="2" t="inlineStr">
        <is>
          <t>Orçamento, Finanças e Administração Pública; Trabalho, Segurança Social e Inclusão</t>
        </is>
      </c>
      <c r="Y894" s="2" t="inlineStr">
        <is>
          <t>Articulado</t>
        </is>
      </c>
      <c r="Z894" s="2" t="inlineStr">
        <is>
          <t>Aditamento (Artigo PPL)</t>
        </is>
      </c>
      <c r="AA894" s="2" t="inlineStr">
        <is>
          <t>Rejeitado(a) em Comissão</t>
        </is>
      </c>
      <c r="AB894" s="2" t="inlineStr"/>
      <c r="AC894" s="2" t="inlineStr"/>
      <c r="AD894" s="2" t="inlineStr">
        <is>
          <t>1</t>
        </is>
      </c>
      <c r="AE894" s="2" t="inlineStr">
        <is>
          <t>24071</t>
        </is>
      </c>
      <c r="AF894" s="2" t="inlineStr">
        <is>
          <t>https://www.parlamento.pt/OrcamentoEstado/Paginas/DetalhePropostaAlteracao.aspx?BID=24071</t>
        </is>
      </c>
      <c r="AG894" s="2" t="inlineStr">
        <is>
          <t>https://app.parlamento.pt/webutils/docs/doc.pdf?path=6148523063484d364c793942556b356c6443397a6158526c63793959566b6c4a544556484c3039464c7a49774d6a59794d4449314d5441774f533951515338334f5759774e6a4d304f433078597a45774c545133597a51744f5459304d5330784e324a6a4e575a6d4d3255774d5467756347526d&amp;Fich=79f06348-1c10-47c4-9641-17bc5ff3e018.pdf&amp;Inline=true</t>
        </is>
      </c>
      <c r="AH894" s="3" t="n">
        <v>46321.77847222222</v>
      </c>
      <c r="AI894" s="3" t="n">
        <v>46321.78055555555</v>
      </c>
      <c r="AJ894" s="2" t="inlineStr"/>
    </row>
    <row r="895">
      <c r="A895" s="2" t="n">
        <v>894</v>
      </c>
      <c r="B895" s="2" t="inlineStr">
        <is>
          <t>837C</t>
        </is>
      </c>
      <c r="C895" s="3" t="n">
        <v>45967.51111111111</v>
      </c>
      <c r="D895" s="2" t="inlineStr">
        <is>
          <t>Original</t>
        </is>
      </c>
      <c r="E895" s="2" t="inlineStr">
        <is>
          <t>BE</t>
        </is>
      </c>
      <c r="F895" s="2" t="inlineStr">
        <is>
          <t>Mariana Mortágua</t>
        </is>
      </c>
      <c r="G895" s="2" t="inlineStr">
        <is>
          <t>Art. 119.º-A (aditamento)</t>
        </is>
      </c>
      <c r="H895" s="2" t="n"/>
      <c r="I895" s="2" t="n"/>
      <c r="J895" s="2" t="n"/>
      <c r="K895" s="2" t="n"/>
      <c r="L895" s="2" t="inlineStr">
        <is>
          <t>Artigo 119.º-A (Medidas para a área da saúde mental em Portugal)</t>
        </is>
      </c>
      <c r="M895" s="4" t="n"/>
      <c r="N895" s="4" t="n"/>
      <c r="O895" s="2" t="n"/>
      <c r="P895" s="2" t="n"/>
      <c r="Q895" s="2" t="n"/>
      <c r="R895" s="2" t="n"/>
      <c r="S895" s="2" t="inlineStr">
        <is>
          <t>Rejeitado(a) em Comissão</t>
        </is>
      </c>
      <c r="T895" s="2" t="inlineStr">
        <is>
          <t>Rejeitada</t>
        </is>
      </c>
      <c r="U895" s="2" t="inlineStr">
        <is>
          <t>Favor: L, PCP, BE, PAN; Contra: PSD, CDS-PP; Abstenção: CH, PS, IL</t>
        </is>
      </c>
      <c r="V895" s="3" t="n">
        <v>45985</v>
      </c>
      <c r="W895" s="2" t="inlineStr">
        <is>
          <t>AR: https://www.parlamento.pt/OrcamentoEstado/Paginas/DetalhePropostaAlteracao.aspx?BID=24072 PDF: https://app.parlamento.pt/webutils/docs/doc.pdf?path=6148523063484d364c793942556b356c6443397a6158526c63793959566b6c4a544556484c3039464c7a49774d6a59794d4449314d5441774f5339515153396b4d7a67774f5441794d4330354d3259794c5451315a4751744f5755335a5330314e5745344f44513059575a684e5441756347526d&amp;Fich=d3809020-93f2-45dd-9e7e-55a8844afa50.pdf&amp;Inline=true</t>
        </is>
      </c>
      <c r="X895" s="2" t="inlineStr">
        <is>
          <t>Saúde</t>
        </is>
      </c>
      <c r="Y895" s="2" t="inlineStr">
        <is>
          <t>Articulado</t>
        </is>
      </c>
      <c r="Z895" s="2" t="inlineStr">
        <is>
          <t>Aditamento (Artigo PPL)</t>
        </is>
      </c>
      <c r="AA895" s="2" t="inlineStr">
        <is>
          <t>Rejeitado(a) em Comissão</t>
        </is>
      </c>
      <c r="AB895" s="2" t="inlineStr"/>
      <c r="AC895" s="2" t="inlineStr"/>
      <c r="AD895" s="2" t="inlineStr">
        <is>
          <t>1</t>
        </is>
      </c>
      <c r="AE895" s="2" t="inlineStr">
        <is>
          <t>24072</t>
        </is>
      </c>
      <c r="AF895" s="2" t="inlineStr">
        <is>
          <t>https://www.parlamento.pt/OrcamentoEstado/Paginas/DetalhePropostaAlteracao.aspx?BID=24072</t>
        </is>
      </c>
      <c r="AG895" s="2" t="inlineStr">
        <is>
          <t>https://app.parlamento.pt/webutils/docs/doc.pdf?path=6148523063484d364c793942556b356c6443397a6158526c63793959566b6c4a544556484c3039464c7a49774d6a59794d4449314d5441774f5339515153396b4d7a67774f5441794d4330354d3259794c5451315a4751744f5755335a5330314e5745344f44513059575a684e5441756347526d&amp;Fich=d3809020-93f2-45dd-9e7e-55a8844afa50.pdf&amp;Inline=true</t>
        </is>
      </c>
      <c r="AH895" s="3" t="n">
        <v>46321.77847222222</v>
      </c>
      <c r="AI895" s="3" t="n">
        <v>46321.78055555555</v>
      </c>
      <c r="AJ895" s="2" t="inlineStr"/>
    </row>
    <row r="896">
      <c r="A896" s="2" t="n">
        <v>895</v>
      </c>
      <c r="B896" s="2" t="inlineStr">
        <is>
          <t>838C</t>
        </is>
      </c>
      <c r="C896" s="3" t="n">
        <v>45967.51111111111</v>
      </c>
      <c r="D896" s="2" t="inlineStr">
        <is>
          <t>Original</t>
        </is>
      </c>
      <c r="E896" s="2" t="inlineStr">
        <is>
          <t>PCP</t>
        </is>
      </c>
      <c r="F896" s="2" t="inlineStr">
        <is>
          <t>Alfredo Maia; Paula Santos; Paulo Raimundo</t>
        </is>
      </c>
      <c r="G896" s="2" t="inlineStr">
        <is>
          <t>Art. 112.º-A (aditamento)</t>
        </is>
      </c>
      <c r="H896" s="2" t="n"/>
      <c r="I896" s="2" t="n"/>
      <c r="J896" s="2" t="n"/>
      <c r="K896" s="2" t="n"/>
      <c r="L896" s="2" t="inlineStr">
        <is>
          <t>Artigo 112.º-A (Apoio extraordinário à Região Autónoma dos Açores para a promoção de habitação)</t>
        </is>
      </c>
      <c r="M896" s="4" t="n"/>
      <c r="N896" s="4" t="n"/>
      <c r="O896" s="2" t="n"/>
      <c r="P896" s="2" t="n"/>
      <c r="Q896" s="2" t="n"/>
      <c r="R896" s="2" t="n"/>
      <c r="S896" s="2" t="inlineStr">
        <is>
          <t>Rejeitado(a) em Comissão</t>
        </is>
      </c>
      <c r="T896" s="2" t="inlineStr">
        <is>
          <t>Rejeitada</t>
        </is>
      </c>
      <c r="U896" s="2" t="inlineStr">
        <is>
          <t>Favor: L, PCP, BE, PAN; Contra: PSD, CDS-PP; Abstenção: CH, PS, IL</t>
        </is>
      </c>
      <c r="V896" s="3" t="n">
        <v>45982</v>
      </c>
      <c r="W896" s="2" t="inlineStr">
        <is>
          <t>AR: https://www.parlamento.pt/OrcamentoEstado/Paginas/DetalhePropostaAlteracao.aspx?BID=24073 PDF: https://app.parlamento.pt/webutils/docs/doc.pdf?path=6148523063484d364c793942556b356c6443397a6158526c63793959566b6c4a544556484c3039464c7a49774d6a59794d4449314d5441774f5339515153396c4d4467324d545134596930314f444a684c54526c4d575174596d4d354e69316a4d7a6c69597a59325a4745344d5745756347526d&amp;Fich=e086148b-582a-4e1d-bc96-c39bc66da81a.pdf&amp;Inline=true</t>
        </is>
      </c>
      <c r="X896" s="2" t="inlineStr">
        <is>
          <t>Infraestruturas, Mobilidade e Habitação</t>
        </is>
      </c>
      <c r="Y896" s="2" t="inlineStr">
        <is>
          <t>Articulado</t>
        </is>
      </c>
      <c r="Z896" s="2" t="inlineStr">
        <is>
          <t>Aditamento (Artigo PPL)</t>
        </is>
      </c>
      <c r="AA896" s="2" t="inlineStr">
        <is>
          <t>Rejeitado(a) em Comissão</t>
        </is>
      </c>
      <c r="AB896" s="2" t="inlineStr"/>
      <c r="AC896" s="2" t="inlineStr"/>
      <c r="AD896" s="2" t="inlineStr">
        <is>
          <t>1</t>
        </is>
      </c>
      <c r="AE896" s="2" t="inlineStr">
        <is>
          <t>24073</t>
        </is>
      </c>
      <c r="AF896" s="2" t="inlineStr">
        <is>
          <t>https://www.parlamento.pt/OrcamentoEstado/Paginas/DetalhePropostaAlteracao.aspx?BID=24073</t>
        </is>
      </c>
      <c r="AG896" s="2" t="inlineStr">
        <is>
          <t>https://app.parlamento.pt/webutils/docs/doc.pdf?path=6148523063484d364c793942556b356c6443397a6158526c63793959566b6c4a544556484c3039464c7a49774d6a59794d4449314d5441774f5339515153396c4d4467324d545134596930314f444a684c54526c4d575174596d4d354e69316a4d7a6c69597a59325a4745344d5745756347526d&amp;Fich=e086148b-582a-4e1d-bc96-c39bc66da81a.pdf&amp;Inline=true</t>
        </is>
      </c>
      <c r="AH896" s="3" t="n">
        <v>46321.77847222222</v>
      </c>
      <c r="AI896" s="3" t="n">
        <v>46321.78055555555</v>
      </c>
      <c r="AJ896" s="2" t="inlineStr"/>
    </row>
    <row r="897">
      <c r="A897" s="2" t="n">
        <v>896</v>
      </c>
      <c r="B897" s="2" t="inlineStr">
        <is>
          <t>839C</t>
        </is>
      </c>
      <c r="C897" s="3" t="n">
        <v>45967.5125</v>
      </c>
      <c r="D897" s="2" t="inlineStr">
        <is>
          <t>Original</t>
        </is>
      </c>
      <c r="E897" s="2" t="inlineStr">
        <is>
          <t>BE</t>
        </is>
      </c>
      <c r="F897" s="2" t="inlineStr">
        <is>
          <t>Mariana Mortágua</t>
        </is>
      </c>
      <c r="G897" s="2" t="inlineStr">
        <is>
          <t>Art. 81.º-A (aditamento)</t>
        </is>
      </c>
      <c r="H897" s="2" t="n"/>
      <c r="I897" s="2" t="n"/>
      <c r="J897" s="2" t="n"/>
      <c r="K897" s="2" t="n"/>
      <c r="L897" s="2" t="inlineStr">
        <is>
          <t>Artigo 81.º-A (Integração de mediadores socioculturais na AIMA)</t>
        </is>
      </c>
      <c r="M897" s="4" t="n"/>
      <c r="N897" s="4" t="n"/>
      <c r="O897" s="2" t="n"/>
      <c r="P897" s="2" t="n"/>
      <c r="Q897" s="2" t="n"/>
      <c r="R897" s="2" t="n"/>
      <c r="S897" s="2" t="inlineStr">
        <is>
          <t>Rejeitado(a) em Comissão</t>
        </is>
      </c>
      <c r="T897" s="2" t="inlineStr">
        <is>
          <t>Rejeitada</t>
        </is>
      </c>
      <c r="U897" s="2" t="inlineStr">
        <is>
          <t>Favor: L, PCP, BE, PAN; Contra: PSD, CH, IL, CDS-PP; Abstenção: PS</t>
        </is>
      </c>
      <c r="V897" s="3" t="n">
        <v>45982</v>
      </c>
      <c r="W897" s="2" t="inlineStr">
        <is>
          <t>AR: https://www.parlamento.pt/OrcamentoEstado/Paginas/DetalhePropostaAlteracao.aspx?BID=24074 PDF: https://app.parlamento.pt/webutils/docs/doc.pdf?path=6148523063484d364c793942556b356c6443397a6158526c63793959566b6c4a544556484c3039464c7a49774d6a59794d4449314d5441774f533951515338354f4751305a4445314f4330774e7a51304c5452694d5467744f4745774d53316b59545a694e32526c596a49305a5441756347526d&amp;Fich=98d4d158-0744-4b18-8a01-da6b7deb24e0.pdf&amp;Inline=true</t>
        </is>
      </c>
      <c r="X897" s="2" t="inlineStr">
        <is>
          <t>Assuntos Constitucionais, Direitos, Liberdades e Garantias</t>
        </is>
      </c>
      <c r="Y897" s="2" t="inlineStr">
        <is>
          <t>Articulado</t>
        </is>
      </c>
      <c r="Z897" s="2" t="inlineStr">
        <is>
          <t>Aditamento (Artigo PPL)</t>
        </is>
      </c>
      <c r="AA897" s="2" t="inlineStr">
        <is>
          <t>Rejeitado(a) em Comissão</t>
        </is>
      </c>
      <c r="AB897" s="2" t="inlineStr"/>
      <c r="AC897" s="2" t="inlineStr"/>
      <c r="AD897" s="2" t="inlineStr">
        <is>
          <t>1</t>
        </is>
      </c>
      <c r="AE897" s="2" t="inlineStr">
        <is>
          <t>24074</t>
        </is>
      </c>
      <c r="AF897" s="2" t="inlineStr">
        <is>
          <t>https://www.parlamento.pt/OrcamentoEstado/Paginas/DetalhePropostaAlteracao.aspx?BID=24074</t>
        </is>
      </c>
      <c r="AG897" s="2" t="inlineStr">
        <is>
          <t>https://app.parlamento.pt/webutils/docs/doc.pdf?path=6148523063484d364c793942556b356c6443397a6158526c63793959566b6c4a544556484c3039464c7a49774d6a59794d4449314d5441774f533951515338354f4751305a4445314f4330774e7a51304c5452694d5467744f4745774d53316b59545a694e32526c596a49305a5441756347526d&amp;Fich=98d4d158-0744-4b18-8a01-da6b7deb24e0.pdf&amp;Inline=true</t>
        </is>
      </c>
      <c r="AH897" s="3" t="n">
        <v>46321.77847222222</v>
      </c>
      <c r="AI897" s="3" t="n">
        <v>46321.78055555555</v>
      </c>
      <c r="AJ897" s="2" t="inlineStr"/>
    </row>
    <row r="898">
      <c r="A898" s="2" t="n">
        <v>897</v>
      </c>
      <c r="B898" s="2" t="inlineStr">
        <is>
          <t>840C</t>
        </is>
      </c>
      <c r="C898" s="3" t="n">
        <v>45967.5125</v>
      </c>
      <c r="D898" s="2" t="inlineStr">
        <is>
          <t>Original</t>
        </is>
      </c>
      <c r="E898" s="2" t="inlineStr">
        <is>
          <t>PCP</t>
        </is>
      </c>
      <c r="F898" s="2" t="inlineStr">
        <is>
          <t>Alfredo Maia; Paula Santos; Paulo Raimundo</t>
        </is>
      </c>
      <c r="G898" s="2" t="inlineStr">
        <is>
          <t>Art. 112.º-A (aditamento)</t>
        </is>
      </c>
      <c r="H898" s="2" t="n"/>
      <c r="I898" s="2" t="n"/>
      <c r="J898" s="2" t="n"/>
      <c r="K898" s="2" t="n"/>
      <c r="L898" s="2" t="inlineStr">
        <is>
          <t>Artigo 112.º-A (Centro de Produção da RTP-Açores)</t>
        </is>
      </c>
      <c r="M898" s="4" t="n"/>
      <c r="N898" s="4" t="n"/>
      <c r="O898" s="2" t="n"/>
      <c r="P898" s="2" t="n"/>
      <c r="Q898" s="2" t="n"/>
      <c r="R898" s="2" t="n"/>
      <c r="S898" s="2" t="inlineStr">
        <is>
          <t>Rejeitado(a) em Comissão</t>
        </is>
      </c>
      <c r="T898" s="2" t="inlineStr">
        <is>
          <t>Rejeitada</t>
        </is>
      </c>
      <c r="U898" s="2" t="inlineStr">
        <is>
          <t>Favor: CH, L, PCP, BE, PAN; Contra: PSD, IL, CDS-PP; Abstenção: PS</t>
        </is>
      </c>
      <c r="V898" s="3" t="n">
        <v>45982</v>
      </c>
      <c r="W898" s="2" t="inlineStr">
        <is>
          <t>AR: https://www.parlamento.pt/OrcamentoEstado/Paginas/DetalhePropostaAlteracao.aspx?BID=24075 PDF: https://app.parlamento.pt/webutils/docs/doc.pdf?path=6148523063484d364c793942556b356c6443397a6158526c63793959566b6c4a544556484c3039464c7a49774d6a59794d4449314d5441774f533951515338335957466d5a54566c4d5331695a6a41344c54526d5a475574596a4d794e5330334e6a6b354d5467314d32597a4f5451756347526d&amp;Fich=7aafe5e1-bf08-4fde-b325-76991853f394.pdf&amp;Inline=true</t>
        </is>
      </c>
      <c r="X898" s="2" t="inlineStr">
        <is>
          <t>Cultura, Comunicação, Juventude e Desporto</t>
        </is>
      </c>
      <c r="Y898" s="2" t="inlineStr">
        <is>
          <t>Articulado</t>
        </is>
      </c>
      <c r="Z898" s="2" t="inlineStr">
        <is>
          <t>Aditamento (Artigo PPL)</t>
        </is>
      </c>
      <c r="AA898" s="2" t="inlineStr">
        <is>
          <t>Rejeitado(a) em Comissão</t>
        </is>
      </c>
      <c r="AB898" s="2" t="inlineStr"/>
      <c r="AC898" s="2" t="inlineStr"/>
      <c r="AD898" s="2" t="inlineStr">
        <is>
          <t>1</t>
        </is>
      </c>
      <c r="AE898" s="2" t="inlineStr">
        <is>
          <t>24075</t>
        </is>
      </c>
      <c r="AF898" s="2" t="inlineStr">
        <is>
          <t>https://www.parlamento.pt/OrcamentoEstado/Paginas/DetalhePropostaAlteracao.aspx?BID=24075</t>
        </is>
      </c>
      <c r="AG898" s="2" t="inlineStr">
        <is>
          <t>https://app.parlamento.pt/webutils/docs/doc.pdf?path=6148523063484d364c793942556b356c6443397a6158526c63793959566b6c4a544556484c3039464c7a49774d6a59794d4449314d5441774f533951515338335957466d5a54566c4d5331695a6a41344c54526d5a475574596a4d794e5330334e6a6b354d5467314d32597a4f5451756347526d&amp;Fich=7aafe5e1-bf08-4fde-b325-76991853f394.pdf&amp;Inline=true</t>
        </is>
      </c>
      <c r="AH898" s="3" t="n">
        <v>46321.77847222222</v>
      </c>
      <c r="AI898" s="3" t="n">
        <v>46321.78055555555</v>
      </c>
      <c r="AJ898" s="2" t="inlineStr"/>
    </row>
    <row r="899">
      <c r="A899" s="2" t="n">
        <v>898</v>
      </c>
      <c r="B899" s="2" t="inlineStr">
        <is>
          <t>841C</t>
        </is>
      </c>
      <c r="C899" s="3" t="n">
        <v>45967.51388888889</v>
      </c>
      <c r="D899" s="2" t="inlineStr">
        <is>
          <t>Original</t>
        </is>
      </c>
      <c r="E899" s="2" t="inlineStr">
        <is>
          <t>PCP</t>
        </is>
      </c>
      <c r="F899" s="2" t="inlineStr">
        <is>
          <t>Alfredo Maia; Paula Santos; Paulo Raimundo</t>
        </is>
      </c>
      <c r="G899" s="2" t="inlineStr">
        <is>
          <t>Art. 112.º-A (aditamento)</t>
        </is>
      </c>
      <c r="H899" s="2" t="n"/>
      <c r="I899" s="2" t="n"/>
      <c r="J899" s="2" t="n"/>
      <c r="K899" s="2" t="n"/>
      <c r="L899" s="2" t="inlineStr">
        <is>
          <t>Artigo 112.º-A (Contratação dos oficiais de justiça para assegurar o funcionamento adequado dos tribunais e do Ministério Público na Região Autónoma dos Açores)</t>
        </is>
      </c>
      <c r="M899" s="4" t="n"/>
      <c r="N899" s="4" t="n"/>
      <c r="O899" s="2" t="n"/>
      <c r="P899" s="2" t="n"/>
      <c r="Q899" s="2" t="n"/>
      <c r="R899" s="2" t="n"/>
      <c r="S899" s="2" t="inlineStr">
        <is>
          <t>Aprovado(a) Parcialmente em Comissão</t>
        </is>
      </c>
      <c r="T899" s="2" t="inlineStr">
        <is>
          <t>Aprovada parcialmente</t>
        </is>
      </c>
      <c r="U899" s="2" t="inlineStr">
        <is>
          <t>Favor: CH, PS, L, PCP, BE, PAN; Contra: PSD, CDS-PP; Abstenção: IL</t>
        </is>
      </c>
      <c r="V899" s="3" t="n">
        <v>45982</v>
      </c>
      <c r="W899" s="2" t="inlineStr">
        <is>
          <t>AR: https://www.parlamento.pt/OrcamentoEstado/Paginas/DetalhePropostaAlteracao.aspx?BID=24076 PDF: https://app.parlamento.pt/webutils/docs/doc.pdf?path=6148523063484d364c793942556b356c6443397a6158526c63793959566b6c4a544556484c3039464c7a49774d6a59794d4449314d5441774f533951515338304d3251335954646c4e5330354e4745344c5451354e446b74595755775979316d5a544d784e44426d4f4459324e5441756347526d&amp;Fich=43d7a7e5-94a8-4949-ae0c-fe3140f86650.pdf&amp;Inline=true</t>
        </is>
      </c>
      <c r="X899" s="2" t="inlineStr">
        <is>
          <t>Assuntos Constitucionais, Direitos, Liberdades e Garantias</t>
        </is>
      </c>
      <c r="Y899" s="2" t="inlineStr">
        <is>
          <t>Articulado</t>
        </is>
      </c>
      <c r="Z899" s="2" t="inlineStr">
        <is>
          <t>Aditamento (Artigo PPL)</t>
        </is>
      </c>
      <c r="AA899" s="2" t="inlineStr">
        <is>
          <t>Aprovado(a) Parcialmente em Comissão</t>
        </is>
      </c>
      <c r="AB899" s="2" t="inlineStr"/>
      <c r="AC899" s="2" t="inlineStr"/>
      <c r="AD899" s="2" t="inlineStr">
        <is>
          <t>1</t>
        </is>
      </c>
      <c r="AE899" s="2" t="inlineStr">
        <is>
          <t>24076</t>
        </is>
      </c>
      <c r="AF899" s="2" t="inlineStr">
        <is>
          <t>https://www.parlamento.pt/OrcamentoEstado/Paginas/DetalhePropostaAlteracao.aspx?BID=24076</t>
        </is>
      </c>
      <c r="AG899" s="2" t="inlineStr">
        <is>
          <t>https://app.parlamento.pt/webutils/docs/doc.pdf?path=6148523063484d364c793942556b356c6443397a6158526c63793959566b6c4a544556484c3039464c7a49774d6a59794d4449314d5441774f533951515338304d3251335954646c4e5330354e4745344c5451354e446b74595755775979316d5a544d784e44426d4f4459324e5441756347526d&amp;Fich=43d7a7e5-94a8-4949-ae0c-fe3140f86650.pdf&amp;Inline=true</t>
        </is>
      </c>
      <c r="AH899" s="3" t="n">
        <v>46321.77847222222</v>
      </c>
      <c r="AI899" s="3" t="n">
        <v>46321.78055555555</v>
      </c>
      <c r="AJ899" s="2" t="inlineStr"/>
    </row>
    <row r="900">
      <c r="A900" s="2" t="n">
        <v>899</v>
      </c>
      <c r="B900" s="2" t="inlineStr">
        <is>
          <t>842C</t>
        </is>
      </c>
      <c r="C900" s="3" t="n">
        <v>45967.51388888889</v>
      </c>
      <c r="D900" s="2" t="inlineStr">
        <is>
          <t>Original</t>
        </is>
      </c>
      <c r="E900" s="2" t="inlineStr">
        <is>
          <t>PCP</t>
        </is>
      </c>
      <c r="F900" s="2" t="inlineStr">
        <is>
          <t>Alfredo Maia; Paula Santos; Paulo Raimundo</t>
        </is>
      </c>
      <c r="G900" s="2" t="inlineStr">
        <is>
          <t>Art. 112.º-A (aditamento)</t>
        </is>
      </c>
      <c r="H900" s="2" t="n"/>
      <c r="I900" s="2" t="n"/>
      <c r="J900" s="2" t="n"/>
      <c r="K900" s="2" t="n"/>
      <c r="L900" s="2" t="inlineStr">
        <is>
          <t>Artigo 112.º-A (Descontaminação dos solos e aquíferos na Ilha Terceira)</t>
        </is>
      </c>
      <c r="M900" s="4" t="n"/>
      <c r="N900" s="4" t="n"/>
      <c r="O900" s="2" t="n"/>
      <c r="P900" s="2" t="n"/>
      <c r="Q900" s="2" t="n"/>
      <c r="R900" s="2" t="n"/>
      <c r="S900" s="2" t="inlineStr">
        <is>
          <t>Rejeitado(a) em Comissão</t>
        </is>
      </c>
      <c r="T900" s="2" t="inlineStr">
        <is>
          <t>Rejeitada</t>
        </is>
      </c>
      <c r="U900" s="2" t="inlineStr">
        <is>
          <t>Favor: IL, L, PCP, BE, PAN; Contra: PSD, CDS-PP; Abstenção: CH, PS</t>
        </is>
      </c>
      <c r="V900" s="3" t="n">
        <v>45982</v>
      </c>
      <c r="W900" s="2" t="inlineStr">
        <is>
          <t>AR: https://www.parlamento.pt/OrcamentoEstado/Paginas/DetalhePropostaAlteracao.aspx?BID=24077 PDF: https://app.parlamento.pt/webutils/docs/doc.pdf?path=6148523063484d364c793942556b356c6443397a6158526c63793959566b6c4a544556484c3039464c7a49774d6a59794d4449314d5441774f533951515338334e4463774e5449305a43307a4d6a49314c5451324e7a49745954646a4e69316a4e324a6b4e444d784d7a4d774f5463756347526d&amp;Fich=7470524d-3225-4672-a7c6-c7bd43133097.pdf&amp;Inline=true</t>
        </is>
      </c>
      <c r="X900" s="2" t="inlineStr">
        <is>
          <t>Ambiente e Energia</t>
        </is>
      </c>
      <c r="Y900" s="2" t="inlineStr">
        <is>
          <t>Articulado</t>
        </is>
      </c>
      <c r="Z900" s="2" t="inlineStr">
        <is>
          <t>Aditamento (Artigo PPL)</t>
        </is>
      </c>
      <c r="AA900" s="2" t="inlineStr">
        <is>
          <t>Rejeitado(a) em Comissão</t>
        </is>
      </c>
      <c r="AB900" s="2" t="inlineStr"/>
      <c r="AC900" s="2" t="inlineStr"/>
      <c r="AD900" s="2" t="inlineStr">
        <is>
          <t>1</t>
        </is>
      </c>
      <c r="AE900" s="2" t="inlineStr">
        <is>
          <t>24077</t>
        </is>
      </c>
      <c r="AF900" s="2" t="inlineStr">
        <is>
          <t>https://www.parlamento.pt/OrcamentoEstado/Paginas/DetalhePropostaAlteracao.aspx?BID=24077</t>
        </is>
      </c>
      <c r="AG900" s="2" t="inlineStr">
        <is>
          <t>https://app.parlamento.pt/webutils/docs/doc.pdf?path=6148523063484d364c793942556b356c6443397a6158526c63793959566b6c4a544556484c3039464c7a49774d6a59794d4449314d5441774f533951515338334e4463774e5449305a43307a4d6a49314c5451324e7a49745954646a4e69316a4e324a6b4e444d784d7a4d774f5463756347526d&amp;Fich=7470524d-3225-4672-a7c6-c7bd43133097.pdf&amp;Inline=true</t>
        </is>
      </c>
      <c r="AH900" s="3" t="n">
        <v>46321.77847222222</v>
      </c>
      <c r="AI900" s="3" t="n">
        <v>46321.78055555555</v>
      </c>
      <c r="AJ900" s="2" t="inlineStr"/>
    </row>
    <row r="901">
      <c r="A901" s="2" t="n">
        <v>900</v>
      </c>
      <c r="B901" s="2" t="inlineStr">
        <is>
          <t>843C</t>
        </is>
      </c>
      <c r="C901" s="3" t="n">
        <v>45967.51458333333</v>
      </c>
      <c r="D901" s="2" t="inlineStr">
        <is>
          <t>Original</t>
        </is>
      </c>
      <c r="E901" s="2" t="inlineStr">
        <is>
          <t>PCP</t>
        </is>
      </c>
      <c r="F901" s="2" t="inlineStr">
        <is>
          <t>Alfredo Maia; Paula Santos; Paulo Raimundo</t>
        </is>
      </c>
      <c r="G901" s="2" t="inlineStr">
        <is>
          <t>Art. 112.º-A (aditamento)</t>
        </is>
      </c>
      <c r="H901" s="2" t="n"/>
      <c r="I901" s="2" t="n"/>
      <c r="J901" s="2" t="n"/>
      <c r="K901" s="2" t="n"/>
      <c r="L901" s="2" t="inlineStr">
        <is>
          <t>Artigo 112.º-A (Estabelecimento prisional da Ilha Terceira)</t>
        </is>
      </c>
      <c r="M901" s="4" t="n"/>
      <c r="N901" s="4" t="n"/>
      <c r="O901" s="2" t="n"/>
      <c r="P901" s="2" t="n"/>
      <c r="Q901" s="2" t="n"/>
      <c r="R901" s="2" t="n"/>
      <c r="S901" s="2" t="inlineStr">
        <is>
          <t>Rejeitado(a) em Comissão</t>
        </is>
      </c>
      <c r="T901" s="2" t="inlineStr">
        <is>
          <t>Rejeitada</t>
        </is>
      </c>
      <c r="U901" s="2" t="inlineStr">
        <is>
          <t>Favor: CH, L, PCP, BE, PAN; Contra: PSD, CDS-PP; Abstenção: PS, IL</t>
        </is>
      </c>
      <c r="V901" s="3" t="n">
        <v>45982</v>
      </c>
      <c r="W901" s="2" t="inlineStr">
        <is>
          <t>AR: https://www.parlamento.pt/OrcamentoEstado/Paginas/DetalhePropostaAlteracao.aspx?BID=24078 PDF: https://app.parlamento.pt/webutils/docs/doc.pdf?path=6148523063484d364c793942556b356c6443397a6158526c63793959566b6c4a544556484c3039464c7a49774d6a59794d4449314d5441774f533951515339684d5755345a57466d5a53316a595463324c545133597a63744f54526a597931684e6d4a6a4e5752684e6d4a6b4e6a41756347526d&amp;Fich=a1e8eafe-ca76-47c7-94cc-a6bc5da6bd60.pdf&amp;Inline=true</t>
        </is>
      </c>
      <c r="X901" s="2" t="inlineStr">
        <is>
          <t>Assuntos Constitucionais, Direitos, Liberdades e Garantias</t>
        </is>
      </c>
      <c r="Y901" s="2" t="inlineStr">
        <is>
          <t>Articulado</t>
        </is>
      </c>
      <c r="Z901" s="2" t="inlineStr">
        <is>
          <t>Aditamento (Artigo PPL)</t>
        </is>
      </c>
      <c r="AA901" s="2" t="inlineStr">
        <is>
          <t>Rejeitado(a) em Comissão</t>
        </is>
      </c>
      <c r="AB901" s="2" t="inlineStr"/>
      <c r="AC901" s="2" t="inlineStr"/>
      <c r="AD901" s="2" t="inlineStr">
        <is>
          <t>1</t>
        </is>
      </c>
      <c r="AE901" s="2" t="inlineStr">
        <is>
          <t>24078</t>
        </is>
      </c>
      <c r="AF901" s="2" t="inlineStr">
        <is>
          <t>https://www.parlamento.pt/OrcamentoEstado/Paginas/DetalhePropostaAlteracao.aspx?BID=24078</t>
        </is>
      </c>
      <c r="AG901" s="2" t="inlineStr">
        <is>
          <t>https://app.parlamento.pt/webutils/docs/doc.pdf?path=6148523063484d364c793942556b356c6443397a6158526c63793959566b6c4a544556484c3039464c7a49774d6a59794d4449314d5441774f533951515339684d5755345a57466d5a53316a595463324c545133597a63744f54526a597931684e6d4a6a4e5752684e6d4a6b4e6a41756347526d&amp;Fich=a1e8eafe-ca76-47c7-94cc-a6bc5da6bd60.pdf&amp;Inline=true</t>
        </is>
      </c>
      <c r="AH901" s="3" t="n">
        <v>46321.77847222222</v>
      </c>
      <c r="AI901" s="3" t="n">
        <v>46321.78055555555</v>
      </c>
      <c r="AJ901" s="2" t="inlineStr"/>
    </row>
    <row r="902">
      <c r="A902" s="2" t="n">
        <v>901</v>
      </c>
      <c r="B902" s="2" t="inlineStr">
        <is>
          <t>844C</t>
        </is>
      </c>
      <c r="C902" s="3" t="n">
        <v>45967.51527777778</v>
      </c>
      <c r="D902" s="2" t="inlineStr">
        <is>
          <t>Original</t>
        </is>
      </c>
      <c r="E902" s="2" t="inlineStr">
        <is>
          <t>BE</t>
        </is>
      </c>
      <c r="F902" s="2" t="inlineStr">
        <is>
          <t>Mariana Mortágua</t>
        </is>
      </c>
      <c r="G902" s="2" t="inlineStr">
        <is>
          <t>Art. 112.º-A (aditamento)</t>
        </is>
      </c>
      <c r="H902" s="2" t="n"/>
      <c r="I902" s="2" t="n"/>
      <c r="J902" s="2" t="n"/>
      <c r="K902" s="2" t="n"/>
      <c r="L902" s="2" t="inlineStr">
        <is>
          <t>Artigo 112.º-A (Revisão da carreira de Vigilante da Natureza)</t>
        </is>
      </c>
      <c r="M902" s="4" t="n"/>
      <c r="N902" s="4" t="n"/>
      <c r="O902" s="2" t="n"/>
      <c r="P902" s="2" t="n"/>
      <c r="Q902" s="2" t="n"/>
      <c r="R902" s="2" t="n"/>
      <c r="S902" s="2" t="inlineStr">
        <is>
          <t>Rejeitado(a) em Comissão</t>
        </is>
      </c>
      <c r="T902" s="2" t="inlineStr">
        <is>
          <t>Rejeitada</t>
        </is>
      </c>
      <c r="U902" s="2" t="inlineStr">
        <is>
          <t>Favor: CH, L, PCP, BE, PAN; Contra: PSD, CDS-PP; Abstenção: PS, IL</t>
        </is>
      </c>
      <c r="V902" s="3" t="n">
        <v>45982</v>
      </c>
      <c r="W902" s="2" t="inlineStr">
        <is>
          <t>AR: https://www.parlamento.pt/OrcamentoEstado/Paginas/DetalhePropostaAlteracao.aspx?BID=24079 PDF: https://app.parlamento.pt/webutils/docs/doc.pdf?path=6148523063484d364c793942556b356c6443397a6158526c63793959566b6c4a544556484c3039464c7a49774d6a59794d4449314d5441774f533951515339684e446c6d4e5441784f5330324d4745354c54526a4e475574596a646a4d7930794d7a686a4e7a59795a446b774e7a63756347526d&amp;Fich=a49f5019-60a9-4c4e-b7c3-238c762d9077.pdf&amp;Inline=true</t>
        </is>
      </c>
      <c r="X902" s="2" t="inlineStr">
        <is>
          <t>Orçamento, Finanças e Administração Pública</t>
        </is>
      </c>
      <c r="Y902" s="2" t="inlineStr">
        <is>
          <t>Articulado</t>
        </is>
      </c>
      <c r="Z902" s="2" t="inlineStr">
        <is>
          <t>Aditamento (Artigo PPL)</t>
        </is>
      </c>
      <c r="AA902" s="2" t="inlineStr">
        <is>
          <t>Rejeitado(a) em Comissão</t>
        </is>
      </c>
      <c r="AB902" s="2" t="inlineStr"/>
      <c r="AC902" s="2" t="inlineStr"/>
      <c r="AD902" s="2" t="inlineStr">
        <is>
          <t>1</t>
        </is>
      </c>
      <c r="AE902" s="2" t="inlineStr">
        <is>
          <t>24079</t>
        </is>
      </c>
      <c r="AF902" s="2" t="inlineStr">
        <is>
          <t>https://www.parlamento.pt/OrcamentoEstado/Paginas/DetalhePropostaAlteracao.aspx?BID=24079</t>
        </is>
      </c>
      <c r="AG902" s="2" t="inlineStr">
        <is>
          <t>https://app.parlamento.pt/webutils/docs/doc.pdf?path=6148523063484d364c793942556b356c6443397a6158526c63793959566b6c4a544556484c3039464c7a49774d6a59794d4449314d5441774f533951515339684e446c6d4e5441784f5330324d4745354c54526a4e475574596a646a4d7930794d7a686a4e7a59795a446b774e7a63756347526d&amp;Fich=a49f5019-60a9-4c4e-b7c3-238c762d9077.pdf&amp;Inline=true</t>
        </is>
      </c>
      <c r="AH902" s="3" t="n">
        <v>46321.77847222222</v>
      </c>
      <c r="AI902" s="3" t="n">
        <v>46321.78055555555</v>
      </c>
      <c r="AJ902" s="2" t="inlineStr"/>
    </row>
    <row r="903">
      <c r="A903" s="2" t="n">
        <v>902</v>
      </c>
      <c r="B903" s="2" t="inlineStr">
        <is>
          <t>845C</t>
        </is>
      </c>
      <c r="C903" s="3" t="n">
        <v>45967.51527777778</v>
      </c>
      <c r="D903" s="2" t="inlineStr">
        <is>
          <t>Original</t>
        </is>
      </c>
      <c r="E903" s="2" t="inlineStr">
        <is>
          <t>PCP</t>
        </is>
      </c>
      <c r="F903" s="2" t="inlineStr">
        <is>
          <t>Alfredo Maia; Paula Santos; Paulo Raimundo</t>
        </is>
      </c>
      <c r="G903" s="2" t="inlineStr">
        <is>
          <t>Art. 112.º-A (aditamento)</t>
        </is>
      </c>
      <c r="H903" s="2" t="n"/>
      <c r="I903" s="2" t="n"/>
      <c r="J903" s="2" t="n"/>
      <c r="K903" s="2" t="n"/>
      <c r="L903" s="2" t="inlineStr">
        <is>
          <t>Artigo 112.º-A (Reforço de meios humanos para o Comando Regional dos Açores da PSP)</t>
        </is>
      </c>
      <c r="M903" s="4" t="n"/>
      <c r="N903" s="4" t="n"/>
      <c r="O903" s="2" t="n"/>
      <c r="P903" s="2" t="n"/>
      <c r="Q903" s="2" t="n"/>
      <c r="R903" s="2" t="n"/>
      <c r="S903" s="2" t="inlineStr">
        <is>
          <t>Rejeitado(a) em Comissão</t>
        </is>
      </c>
      <c r="T903" s="2" t="inlineStr">
        <is>
          <t>Rejeitada</t>
        </is>
      </c>
      <c r="U903" s="2" t="inlineStr">
        <is>
          <t>Favor: CH, L, PCP, BE, PAN; Contra: PSD, CDS-PP; Abstenção: PS, IL</t>
        </is>
      </c>
      <c r="V903" s="3" t="n">
        <v>45982</v>
      </c>
      <c r="W903" s="2" t="inlineStr">
        <is>
          <t>AR: https://www.parlamento.pt/OrcamentoEstado/Paginas/DetalhePropostaAlteracao.aspx?BID=24080 PDF: https://app.parlamento.pt/webutils/docs/doc.pdf?path=6148523063484d364c793942556b356c6443397a6158526c63793959566b6c4a544556484c3039464c7a49774d6a59794d4449314d5441774f5339515153396c4e47466b4d7a41355a5330774d57526a4c545179597a6b744f44466b4d7930774d4468695a546b334e6d5a6a5a5451756347526d&amp;Fich=e4ad309e-01dc-42c9-81d3-008be976fce4.pdf&amp;Inline=true</t>
        </is>
      </c>
      <c r="X903" s="2" t="inlineStr">
        <is>
          <t>Assuntos Constitucionais, Direitos, Liberdades e Garantias</t>
        </is>
      </c>
      <c r="Y903" s="2" t="inlineStr">
        <is>
          <t>Articulado</t>
        </is>
      </c>
      <c r="Z903" s="2" t="inlineStr">
        <is>
          <t>Aditamento (Artigo PPL)</t>
        </is>
      </c>
      <c r="AA903" s="2" t="inlineStr">
        <is>
          <t>Rejeitado(a) em Comissão</t>
        </is>
      </c>
      <c r="AB903" s="2" t="inlineStr"/>
      <c r="AC903" s="2" t="inlineStr"/>
      <c r="AD903" s="2" t="inlineStr">
        <is>
          <t>1</t>
        </is>
      </c>
      <c r="AE903" s="2" t="inlineStr">
        <is>
          <t>24080</t>
        </is>
      </c>
      <c r="AF903" s="2" t="inlineStr">
        <is>
          <t>https://www.parlamento.pt/OrcamentoEstado/Paginas/DetalhePropostaAlteracao.aspx?BID=24080</t>
        </is>
      </c>
      <c r="AG903" s="2" t="inlineStr">
        <is>
          <t>https://app.parlamento.pt/webutils/docs/doc.pdf?path=6148523063484d364c793942556b356c6443397a6158526c63793959566b6c4a544556484c3039464c7a49774d6a59794d4449314d5441774f5339515153396c4e47466b4d7a41355a5330774d57526a4c545179597a6b744f44466b4d7930774d4468695a546b334e6d5a6a5a5451756347526d&amp;Fich=e4ad309e-01dc-42c9-81d3-008be976fce4.pdf&amp;Inline=true</t>
        </is>
      </c>
      <c r="AH903" s="3" t="n">
        <v>46321.77847222222</v>
      </c>
      <c r="AI903" s="3" t="n">
        <v>46321.78055555555</v>
      </c>
      <c r="AJ903" s="2" t="inlineStr"/>
    </row>
    <row r="904">
      <c r="A904" s="2" t="n">
        <v>903</v>
      </c>
      <c r="B904" s="2" t="inlineStr">
        <is>
          <t>846C</t>
        </is>
      </c>
      <c r="C904" s="3" t="n">
        <v>45967.51597222222</v>
      </c>
      <c r="D904" s="2" t="inlineStr">
        <is>
          <t>Original</t>
        </is>
      </c>
      <c r="E904" s="2" t="inlineStr">
        <is>
          <t>PCP</t>
        </is>
      </c>
      <c r="F904" s="2" t="inlineStr">
        <is>
          <t>Alfredo Maia; Paula Santos; Paulo Raimundo</t>
        </is>
      </c>
      <c r="G904" s="2" t="inlineStr">
        <is>
          <t>Art. 112.º-A (aditamento)</t>
        </is>
      </c>
      <c r="H904" s="2" t="n"/>
      <c r="I904" s="2" t="n"/>
      <c r="J904" s="2" t="n"/>
      <c r="K904" s="2" t="n"/>
      <c r="L904" s="2" t="inlineStr">
        <is>
          <t>Artigo 112.º-A (Plano de remodelação e construção de novas esquadras da PSP na Região Autónoma dos Açores)</t>
        </is>
      </c>
      <c r="M904" s="4" t="n"/>
      <c r="N904" s="4" t="n"/>
      <c r="O904" s="2" t="n"/>
      <c r="P904" s="2" t="n"/>
      <c r="Q904" s="2" t="n"/>
      <c r="R904" s="2" t="n"/>
      <c r="S904" s="2" t="inlineStr">
        <is>
          <t>Rejeitado(a) em Comissão</t>
        </is>
      </c>
      <c r="T904" s="2" t="inlineStr">
        <is>
          <t>Rejeitada</t>
        </is>
      </c>
      <c r="U904" s="2" t="inlineStr">
        <is>
          <t>Favor: CH, L, PCP, BE, PAN; Contra: PSD, CDS-PP; Abstenção: PS, IL</t>
        </is>
      </c>
      <c r="V904" s="3" t="n">
        <v>45982</v>
      </c>
      <c r="W904" s="2" t="inlineStr">
        <is>
          <t>AR: https://www.parlamento.pt/OrcamentoEstado/Paginas/DetalhePropostaAlteracao.aspx?BID=24081 PDF: https://app.parlamento.pt/webutils/docs/doc.pdf?path=6148523063484d364c793942556b356c6443397a6158526c63793959566b6c4a544556484c3039464c7a49774d6a59794d4449314d5441774f533951515338774d4755784d7a51775a69316c5a545a6d4c54517a596a6774596a5a694f43316c59544978593256695a4755334d4463756347526d&amp;Fich=00e1340f-ee6f-43b8-b6b8-ea21cebde707.pdf&amp;Inline=true</t>
        </is>
      </c>
      <c r="X904" s="2" t="inlineStr">
        <is>
          <t>Assuntos Constitucionais, Direitos, Liberdades e Garantias</t>
        </is>
      </c>
      <c r="Y904" s="2" t="inlineStr">
        <is>
          <t>Articulado</t>
        </is>
      </c>
      <c r="Z904" s="2" t="inlineStr">
        <is>
          <t>Aditamento (Artigo PPL)</t>
        </is>
      </c>
      <c r="AA904" s="2" t="inlineStr">
        <is>
          <t>Rejeitado(a) em Comissão</t>
        </is>
      </c>
      <c r="AB904" s="2" t="inlineStr"/>
      <c r="AC904" s="2" t="inlineStr"/>
      <c r="AD904" s="2" t="inlineStr">
        <is>
          <t>1</t>
        </is>
      </c>
      <c r="AE904" s="2" t="inlineStr">
        <is>
          <t>24081</t>
        </is>
      </c>
      <c r="AF904" s="2" t="inlineStr">
        <is>
          <t>https://www.parlamento.pt/OrcamentoEstado/Paginas/DetalhePropostaAlteracao.aspx?BID=24081</t>
        </is>
      </c>
      <c r="AG904" s="2" t="inlineStr">
        <is>
          <t>https://app.parlamento.pt/webutils/docs/doc.pdf?path=6148523063484d364c793942556b356c6443397a6158526c63793959566b6c4a544556484c3039464c7a49774d6a59794d4449314d5441774f533951515338774d4755784d7a51775a69316c5a545a6d4c54517a596a6774596a5a694f43316c59544978593256695a4755334d4463756347526d&amp;Fich=00e1340f-ee6f-43b8-b6b8-ea21cebde707.pdf&amp;Inline=true</t>
        </is>
      </c>
      <c r="AH904" s="3" t="n">
        <v>46321.77847222222</v>
      </c>
      <c r="AI904" s="3" t="n">
        <v>46321.78055555555</v>
      </c>
      <c r="AJ904" s="2" t="inlineStr"/>
    </row>
    <row r="905">
      <c r="A905" s="2" t="n">
        <v>904</v>
      </c>
      <c r="B905" s="2" t="inlineStr">
        <is>
          <t>847C</t>
        </is>
      </c>
      <c r="C905" s="3" t="n">
        <v>45967.51666666667</v>
      </c>
      <c r="D905" s="2" t="inlineStr">
        <is>
          <t>Original</t>
        </is>
      </c>
      <c r="E905" s="2" t="inlineStr">
        <is>
          <t>PCP</t>
        </is>
      </c>
      <c r="F905" s="2" t="inlineStr">
        <is>
          <t>Alfredo Maia; Paula Santos; Paulo Raimundo</t>
        </is>
      </c>
      <c r="G905" s="2" t="inlineStr">
        <is>
          <t>Art. 136.º-A (aditamento)</t>
        </is>
      </c>
      <c r="H905" s="2" t="n"/>
      <c r="I905" s="2" t="n"/>
      <c r="J905" s="2" t="n"/>
      <c r="K905" s="2" t="n"/>
      <c r="L905" s="2" t="inlineStr">
        <is>
          <t>Artigo 136.º-A (Reposição dos valores das penalizações das pensões dos ex-trabalhadores da Base das Lajes entre 2015 e 2023 (alteração à Lei n.º 32/96, de 16 de agosto))</t>
        </is>
      </c>
      <c r="M905" s="4" t="n"/>
      <c r="N905" s="4" t="n"/>
      <c r="O905" s="2" t="n"/>
      <c r="P905" s="2" t="n"/>
      <c r="Q905" s="2" t="n"/>
      <c r="R905" s="2" t="n"/>
      <c r="S905" s="2" t="inlineStr">
        <is>
          <t>Rejeitado(a) em Comissão</t>
        </is>
      </c>
      <c r="T905" s="2" t="inlineStr">
        <is>
          <t>Rejeitada</t>
        </is>
      </c>
      <c r="U905" s="2" t="inlineStr">
        <is>
          <t>Favor: CH, L, PCP, BE, PAN; Contra: PSD, PS, CDS-PP; Abstenção: IL</t>
        </is>
      </c>
      <c r="V905" s="3" t="n">
        <v>45987</v>
      </c>
      <c r="W905" s="2" t="inlineStr">
        <is>
          <t>AR: https://www.parlamento.pt/OrcamentoEstado/Paginas/DetalhePropostaAlteracao.aspx?BID=24082 PDF: https://app.parlamento.pt/webutils/docs/doc.pdf?path=6148523063484d364c793942556b356c6443397a6158526c63793959566b6c4a544556484c3039464c7a49774d6a59794d4449314d5441774f5339515153396a5a6d5a694e6d51335a6930354e324d784c54526b596d45744f5449795a5330794e6a466d4f544d324e7a566d4d6a55756347526d&amp;Fich=cffb6d7f-97c1-4dba-922e-261f93675f25.pdf&amp;Inline=true</t>
        </is>
      </c>
      <c r="X905" s="2" t="inlineStr">
        <is>
          <t>Trabalho, Segurança Social e Inclusão</t>
        </is>
      </c>
      <c r="Y905" s="2" t="inlineStr">
        <is>
          <t>Articulado</t>
        </is>
      </c>
      <c r="Z905" s="2" t="inlineStr">
        <is>
          <t>Aditamento (Artigo PPL)</t>
        </is>
      </c>
      <c r="AA905" s="2" t="inlineStr">
        <is>
          <t>Rejeitado(a) em Comissão</t>
        </is>
      </c>
      <c r="AB905" s="2" t="inlineStr"/>
      <c r="AC905" s="2" t="inlineStr"/>
      <c r="AD905" s="2" t="inlineStr">
        <is>
          <t>1</t>
        </is>
      </c>
      <c r="AE905" s="2" t="inlineStr">
        <is>
          <t>24082</t>
        </is>
      </c>
      <c r="AF905" s="2" t="inlineStr">
        <is>
          <t>https://www.parlamento.pt/OrcamentoEstado/Paginas/DetalhePropostaAlteracao.aspx?BID=24082</t>
        </is>
      </c>
      <c r="AG905" s="2" t="inlineStr">
        <is>
          <t>https://app.parlamento.pt/webutils/docs/doc.pdf?path=6148523063484d364c793942556b356c6443397a6158526c63793959566b6c4a544556484c3039464c7a49774d6a59794d4449314d5441774f5339515153396a5a6d5a694e6d51335a6930354e324d784c54526b596d45744f5449795a5330794e6a466d4f544d324e7a566d4d6a55756347526d&amp;Fich=cffb6d7f-97c1-4dba-922e-261f93675f25.pdf&amp;Inline=true</t>
        </is>
      </c>
      <c r="AH905" s="3" t="n">
        <v>46321.77847222222</v>
      </c>
      <c r="AI905" s="3" t="n">
        <v>46321.78055555555</v>
      </c>
      <c r="AJ905" s="2" t="inlineStr"/>
    </row>
    <row r="906">
      <c r="A906" s="2" t="n">
        <v>905</v>
      </c>
      <c r="B906" s="2" t="inlineStr">
        <is>
          <t>848C</t>
        </is>
      </c>
      <c r="C906" s="3" t="n">
        <v>45967.51666666667</v>
      </c>
      <c r="D906" s="2" t="inlineStr">
        <is>
          <t>Original</t>
        </is>
      </c>
      <c r="E906" s="2" t="inlineStr">
        <is>
          <t>BE</t>
        </is>
      </c>
      <c r="F906" s="2" t="inlineStr">
        <is>
          <t>Mariana Mortágua</t>
        </is>
      </c>
      <c r="G906" s="2" t="inlineStr">
        <is>
          <t>Art. 90.º-A (aditamento)</t>
        </is>
      </c>
      <c r="H906" s="2" t="n"/>
      <c r="I906" s="2" t="n"/>
      <c r="J906" s="2" t="n"/>
      <c r="K906" s="2" t="n"/>
      <c r="L906" s="2" t="inlineStr">
        <is>
          <t>Artigo 90.º-A (Valorização da carreira dos Oficiais de Justiça)</t>
        </is>
      </c>
      <c r="M906" s="4" t="n"/>
      <c r="N906" s="4" t="n"/>
      <c r="O906" s="2" t="n"/>
      <c r="P906" s="2" t="n"/>
      <c r="Q906" s="2" t="n"/>
      <c r="R906" s="2" t="n"/>
      <c r="S906" s="2" t="inlineStr">
        <is>
          <t>Rejeitado(a) em Comissão</t>
        </is>
      </c>
      <c r="T906" s="2" t="inlineStr">
        <is>
          <t>Rejeitada</t>
        </is>
      </c>
      <c r="U906" s="2" t="inlineStr">
        <is>
          <t>Favor: CH, L, PCP, BE, PAN; Contra: PSD, CDS-PP; Abstenção: PS, IL</t>
        </is>
      </c>
      <c r="V906" s="3" t="n">
        <v>45981</v>
      </c>
      <c r="W906" s="2" t="inlineStr">
        <is>
          <t>AR: https://www.parlamento.pt/OrcamentoEstado/Paginas/DetalhePropostaAlteracao.aspx?BID=24083 PDF: https://app.parlamento.pt/webutils/docs/doc.pdf?path=6148523063484d364c793942556b356c6443397a6158526c63793959566b6c4a544556484c3039464c7a49774d6a59794d4449314d5441774f5339515153396c4e6a41314f544e684f4330324e7a55324c5451334d6d45744f4459335979307a4d445668596d51334e6d466d5a5745756347526d&amp;Fich=e60593a8-6756-472a-867c-305abd76afea.pdf&amp;Inline=true</t>
        </is>
      </c>
      <c r="X906" s="2" t="inlineStr">
        <is>
          <t>Assuntos Constitucionais, Direitos, Liberdades e Garantias</t>
        </is>
      </c>
      <c r="Y906" s="2" t="inlineStr">
        <is>
          <t>Articulado</t>
        </is>
      </c>
      <c r="Z906" s="2" t="inlineStr">
        <is>
          <t>Aditamento (Artigo PPL)</t>
        </is>
      </c>
      <c r="AA906" s="2" t="inlineStr">
        <is>
          <t>Rejeitado(a) em Comissão</t>
        </is>
      </c>
      <c r="AB906" s="2" t="inlineStr"/>
      <c r="AC906" s="2" t="inlineStr"/>
      <c r="AD906" s="2" t="inlineStr">
        <is>
          <t>1</t>
        </is>
      </c>
      <c r="AE906" s="2" t="inlineStr">
        <is>
          <t>24083</t>
        </is>
      </c>
      <c r="AF906" s="2" t="inlineStr">
        <is>
          <t>https://www.parlamento.pt/OrcamentoEstado/Paginas/DetalhePropostaAlteracao.aspx?BID=24083</t>
        </is>
      </c>
      <c r="AG906" s="2" t="inlineStr">
        <is>
          <t>https://app.parlamento.pt/webutils/docs/doc.pdf?path=6148523063484d364c793942556b356c6443397a6158526c63793959566b6c4a544556484c3039464c7a49774d6a59794d4449314d5441774f5339515153396c4e6a41314f544e684f4330324e7a55324c5451334d6d45744f4459335979307a4d445668596d51334e6d466d5a5745756347526d&amp;Fich=e60593a8-6756-472a-867c-305abd76afea.pdf&amp;Inline=true</t>
        </is>
      </c>
      <c r="AH906" s="3" t="n">
        <v>46321.77847222222</v>
      </c>
      <c r="AI906" s="3" t="n">
        <v>46321.78055555555</v>
      </c>
      <c r="AJ906" s="2" t="inlineStr"/>
    </row>
    <row r="907">
      <c r="A907" s="2" t="n">
        <v>906</v>
      </c>
      <c r="B907" s="2" t="inlineStr">
        <is>
          <t>849C</t>
        </is>
      </c>
      <c r="C907" s="3" t="n">
        <v>45967.51736111111</v>
      </c>
      <c r="D907" s="2" t="inlineStr">
        <is>
          <t>Original</t>
        </is>
      </c>
      <c r="E907" s="2" t="inlineStr">
        <is>
          <t>PCP</t>
        </is>
      </c>
      <c r="F907" s="2" t="inlineStr">
        <is>
          <t>Alfredo Maia; Paula Santos; Paulo Raimundo</t>
        </is>
      </c>
      <c r="G907" s="2" t="inlineStr">
        <is>
          <t>Art. 112.º-A (aditamento)</t>
        </is>
      </c>
      <c r="H907" s="2" t="n"/>
      <c r="I907" s="2" t="n"/>
      <c r="J907" s="2" t="n"/>
      <c r="K907" s="2" t="n"/>
      <c r="L907" s="2" t="inlineStr">
        <is>
          <t>Artigo 112.º-A (Substituição dos Cabos Submarinos)</t>
        </is>
      </c>
      <c r="M907" s="4" t="n"/>
      <c r="N907" s="4" t="n"/>
      <c r="O907" s="2" t="n"/>
      <c r="P907" s="2" t="n"/>
      <c r="Q907" s="2" t="n"/>
      <c r="R907" s="2" t="n"/>
      <c r="S907" s="2" t="inlineStr">
        <is>
          <t>Rejeitado(a) em Comissão</t>
        </is>
      </c>
      <c r="T907" s="2" t="inlineStr">
        <is>
          <t>Rejeitada</t>
        </is>
      </c>
      <c r="U907" s="2" t="inlineStr">
        <is>
          <t>Favor: IL, L, PCP, BE, PAN; Contra: PSD, CDS-PP; Abstenção: CH, PS</t>
        </is>
      </c>
      <c r="V907" s="3" t="n">
        <v>45982</v>
      </c>
      <c r="W907" s="2" t="inlineStr">
        <is>
          <t>AR: https://www.parlamento.pt/OrcamentoEstado/Paginas/DetalhePropostaAlteracao.aspx?BID=24084 PDF: https://app.parlamento.pt/webutils/docs/doc.pdf?path=6148523063484d364c793942556b356c6443397a6158526c63793959566b6c4a544556484c3039464c7a49774d6a59794d4449314d5441774f53395151533830597a55324d6a637a4f43316b593245334c5451314e6d4d744f5455314f5330334d6a497a4e6d4669597a6334596d59756347526d&amp;Fich=4c562738-dca7-456c-9559-72236abc78bf.pdf&amp;Inline=true</t>
        </is>
      </c>
      <c r="X907" s="2" t="inlineStr">
        <is>
          <t>Infraestruturas, Mobilidade e Habitação</t>
        </is>
      </c>
      <c r="Y907" s="2" t="inlineStr">
        <is>
          <t>Articulado</t>
        </is>
      </c>
      <c r="Z907" s="2" t="inlineStr">
        <is>
          <t>Aditamento (Artigo PPL)</t>
        </is>
      </c>
      <c r="AA907" s="2" t="inlineStr">
        <is>
          <t>Rejeitado(a) em Comissão</t>
        </is>
      </c>
      <c r="AB907" s="2" t="inlineStr"/>
      <c r="AC907" s="2" t="inlineStr"/>
      <c r="AD907" s="2" t="inlineStr">
        <is>
          <t>1</t>
        </is>
      </c>
      <c r="AE907" s="2" t="inlineStr">
        <is>
          <t>24084</t>
        </is>
      </c>
      <c r="AF907" s="2" t="inlineStr">
        <is>
          <t>https://www.parlamento.pt/OrcamentoEstado/Paginas/DetalhePropostaAlteracao.aspx?BID=24084</t>
        </is>
      </c>
      <c r="AG907" s="2" t="inlineStr">
        <is>
          <t>https://app.parlamento.pt/webutils/docs/doc.pdf?path=6148523063484d364c793942556b356c6443397a6158526c63793959566b6c4a544556484c3039464c7a49774d6a59794d4449314d5441774f53395151533830597a55324d6a637a4f43316b593245334c5451314e6d4d744f5455314f5330334d6a497a4e6d4669597a6334596d59756347526d&amp;Fich=4c562738-dca7-456c-9559-72236abc78bf.pdf&amp;Inline=true</t>
        </is>
      </c>
      <c r="AH907" s="3" t="n">
        <v>46321.77847222222</v>
      </c>
      <c r="AI907" s="3" t="n">
        <v>46321.78055555555</v>
      </c>
      <c r="AJ907" s="2" t="inlineStr"/>
    </row>
    <row r="908">
      <c r="A908" s="2" t="n">
        <v>907</v>
      </c>
      <c r="B908" s="2" t="inlineStr">
        <is>
          <t>850C</t>
        </is>
      </c>
      <c r="C908" s="3" t="n">
        <v>45967.51805555556</v>
      </c>
      <c r="D908" s="2" t="inlineStr">
        <is>
          <t>Original</t>
        </is>
      </c>
      <c r="E908" s="2" t="inlineStr">
        <is>
          <t>PCP</t>
        </is>
      </c>
      <c r="F908" s="2" t="inlineStr">
        <is>
          <t>Alfredo Maia; Paula Santos; Paulo Raimundo</t>
        </is>
      </c>
      <c r="G908" s="2" t="inlineStr">
        <is>
          <t>Art. 7.º (substituição)</t>
        </is>
      </c>
      <c r="H908" s="2" t="n"/>
      <c r="I908" s="2" t="n"/>
      <c r="J908" s="2" t="n"/>
      <c r="K908" s="2" t="n"/>
      <c r="L908" s="2" t="inlineStr">
        <is>
          <t>Verba 71, Mapa de alterações e transferências orçamentais, Artigo 7.º</t>
        </is>
      </c>
      <c r="M908" s="4" t="n"/>
      <c r="N908" s="4" t="n"/>
      <c r="O908" s="2" t="n"/>
      <c r="P908" s="2" t="n"/>
      <c r="Q908" s="2" t="n"/>
      <c r="R908" s="2" t="n"/>
      <c r="S908" s="2" t="inlineStr">
        <is>
          <t>Rejeitado(a) em Comissão</t>
        </is>
      </c>
      <c r="T908" s="2" t="inlineStr">
        <is>
          <t>Rejeitada</t>
        </is>
      </c>
      <c r="U908" s="2" t="inlineStr">
        <is>
          <t>Favor: IL, L, PCP, BE, PAN; Contra: PSD, CDS-PP; Abstenção: CH, PS</t>
        </is>
      </c>
      <c r="V908" s="3" t="n">
        <v>45987</v>
      </c>
      <c r="W908" s="2" t="inlineStr">
        <is>
          <t>AR: https://www.parlamento.pt/OrcamentoEstado/Paginas/DetalhePropostaAlteracao.aspx?BID=24085 PDF: https://app.parlamento.pt/webutils/docs/doc.pdf?path=6148523063484d364c793942556b356c6443397a6158526c63793959566b6c4a544556484c3039464c7a49774d6a59794d4449314d5441774f533951515339695954466c4f446b324d533035597a6b344c5451314d3245744f44466b4f5330794e325a6d5a5445344f445668597a63756347526d&amp;Fich=ba1e8961-9c98-453a-81d9-27ffe1885ac7.pdf&amp;Inline=true</t>
        </is>
      </c>
      <c r="X908" s="2" t="inlineStr">
        <is>
          <t>Infraestruturas, Mobilidade e Habitação</t>
        </is>
      </c>
      <c r="Y908" s="2" t="inlineStr">
        <is>
          <t>Articulado</t>
        </is>
      </c>
      <c r="Z908" s="2" t="inlineStr">
        <is>
          <t>Substituição</t>
        </is>
      </c>
      <c r="AA908" s="2" t="inlineStr">
        <is>
          <t>Rejeitado(a) em Comissão</t>
        </is>
      </c>
      <c r="AB908" s="2" t="inlineStr"/>
      <c r="AC908" s="2" t="inlineStr"/>
      <c r="AD908" s="2" t="inlineStr">
        <is>
          <t>1</t>
        </is>
      </c>
      <c r="AE908" s="2" t="inlineStr">
        <is>
          <t>24085</t>
        </is>
      </c>
      <c r="AF908" s="2" t="inlineStr">
        <is>
          <t>https://www.parlamento.pt/OrcamentoEstado/Paginas/DetalhePropostaAlteracao.aspx?BID=24085</t>
        </is>
      </c>
      <c r="AG908" s="2" t="inlineStr">
        <is>
          <t>https://app.parlamento.pt/webutils/docs/doc.pdf?path=6148523063484d364c793942556b356c6443397a6158526c63793959566b6c4a544556484c3039464c7a49774d6a59794d4449314d5441774f533951515339695954466c4f446b324d533035597a6b344c5451314d3245744f44466b4f5330794e325a6d5a5445344f445668597a63756347526d&amp;Fich=ba1e8961-9c98-453a-81d9-27ffe1885ac7.pdf&amp;Inline=true</t>
        </is>
      </c>
      <c r="AH908" s="3" t="n">
        <v>46321.77847222222</v>
      </c>
      <c r="AI908" s="3" t="n">
        <v>46321.78055555555</v>
      </c>
      <c r="AJ908" s="2" t="inlineStr"/>
    </row>
    <row r="909">
      <c r="A909" s="2" t="n">
        <v>908</v>
      </c>
      <c r="B909" s="2" t="inlineStr">
        <is>
          <t>851C</t>
        </is>
      </c>
      <c r="C909" s="3" t="n">
        <v>45967.51875</v>
      </c>
      <c r="D909" s="2" t="inlineStr">
        <is>
          <t>Original</t>
        </is>
      </c>
      <c r="E909" s="2" t="inlineStr">
        <is>
          <t>PCP</t>
        </is>
      </c>
      <c r="F909" s="2" t="inlineStr">
        <is>
          <t>Alfredo Maia; Paula Santos; Paulo Raimundo</t>
        </is>
      </c>
      <c r="G909" s="2" t="inlineStr">
        <is>
          <t>Art. 112.º-A (aditamento)</t>
        </is>
      </c>
      <c r="H909" s="2" t="n"/>
      <c r="I909" s="2" t="n"/>
      <c r="J909" s="2" t="n"/>
      <c r="K909" s="2" t="n"/>
      <c r="L909" s="2" t="inlineStr">
        <is>
          <t>Artigo 112.º-A (Alternativa aeroportuária na Ilha da Madeira)</t>
        </is>
      </c>
      <c r="M909" s="4" t="n"/>
      <c r="N909" s="4" t="n"/>
      <c r="O909" s="2" t="n"/>
      <c r="P909" s="2" t="n"/>
      <c r="Q909" s="2" t="n"/>
      <c r="R909" s="2" t="n"/>
      <c r="S909" s="2" t="inlineStr">
        <is>
          <t>Rejeitado(a) em Comissão</t>
        </is>
      </c>
      <c r="T909" s="2" t="inlineStr">
        <is>
          <t>Rejeitada</t>
        </is>
      </c>
      <c r="U909" s="2" t="inlineStr">
        <is>
          <t>Favor: CH, PCP, BE; Contra: PSD, PS, L, CDS-PP; Abstenção: IL, PAN</t>
        </is>
      </c>
      <c r="V909" s="3" t="n">
        <v>45982</v>
      </c>
      <c r="W909" s="2" t="inlineStr">
        <is>
          <t>AR: https://www.parlamento.pt/OrcamentoEstado/Paginas/DetalhePropostaAlteracao.aspx?BID=24086 PDF: https://app.parlamento.pt/webutils/docs/doc.pdf?path=6148523063484d364c793942556b356c6443397a6158526c63793959566b6c4a544556484c3039464c7a49774d6a59794d4449314d5441774f5339515153387a4f4445354e6a426c5a6930775a6a5a694c5451355a574d744f444a685a69307a4d4451314f4749334e54426a4f4459756347526d&amp;Fich=381960ef-0f6b-49ec-82af-30458b750c86.pdf&amp;Inline=true</t>
        </is>
      </c>
      <c r="X909" s="2" t="inlineStr">
        <is>
          <t>Infraestruturas, Mobilidade e Habitação</t>
        </is>
      </c>
      <c r="Y909" s="2" t="inlineStr">
        <is>
          <t>Articulado</t>
        </is>
      </c>
      <c r="Z909" s="2" t="inlineStr">
        <is>
          <t>Aditamento (Artigo PPL)</t>
        </is>
      </c>
      <c r="AA909" s="2" t="inlineStr">
        <is>
          <t>Rejeitado(a) em Comissão</t>
        </is>
      </c>
      <c r="AB909" s="2" t="inlineStr"/>
      <c r="AC909" s="2" t="inlineStr"/>
      <c r="AD909" s="2" t="inlineStr">
        <is>
          <t>1</t>
        </is>
      </c>
      <c r="AE909" s="2" t="inlineStr">
        <is>
          <t>24086</t>
        </is>
      </c>
      <c r="AF909" s="2" t="inlineStr">
        <is>
          <t>https://www.parlamento.pt/OrcamentoEstado/Paginas/DetalhePropostaAlteracao.aspx?BID=24086</t>
        </is>
      </c>
      <c r="AG909" s="2" t="inlineStr">
        <is>
          <t>https://app.parlamento.pt/webutils/docs/doc.pdf?path=6148523063484d364c793942556b356c6443397a6158526c63793959566b6c4a544556484c3039464c7a49774d6a59794d4449314d5441774f5339515153387a4f4445354e6a426c5a6930775a6a5a694c5451355a574d744f444a685a69307a4d4451314f4749334e54426a4f4459756347526d&amp;Fich=381960ef-0f6b-49ec-82af-30458b750c86.pdf&amp;Inline=true</t>
        </is>
      </c>
      <c r="AH909" s="3" t="n">
        <v>46321.77847222222</v>
      </c>
      <c r="AI909" s="3" t="n">
        <v>46321.78055555555</v>
      </c>
      <c r="AJ909" s="2" t="inlineStr"/>
    </row>
    <row r="910">
      <c r="A910" s="2" t="n">
        <v>909</v>
      </c>
      <c r="B910" s="2" t="inlineStr">
        <is>
          <t>852C</t>
        </is>
      </c>
      <c r="C910" s="3" t="n">
        <v>45967.51944444444</v>
      </c>
      <c r="D910" s="2" t="inlineStr">
        <is>
          <t>Original</t>
        </is>
      </c>
      <c r="E910" s="2" t="inlineStr">
        <is>
          <t>PCP</t>
        </is>
      </c>
      <c r="F910" s="2" t="inlineStr">
        <is>
          <t>Alfredo Maia; Paula Santos; Paulo Raimundo</t>
        </is>
      </c>
      <c r="G910" s="2" t="inlineStr">
        <is>
          <t>Art. 112.º-A (aditamento)</t>
        </is>
      </c>
      <c r="H910" s="2" t="n"/>
      <c r="I910" s="2" t="n"/>
      <c r="J910" s="2" t="n"/>
      <c r="K910" s="2" t="n"/>
      <c r="L910" s="2" t="inlineStr">
        <is>
          <t>Artigo 112.º-A (Apoio extraordinário à Região Autónoma da Madeira para a promoção de habitação)</t>
        </is>
      </c>
      <c r="M910" s="4" t="n"/>
      <c r="N910" s="4" t="n"/>
      <c r="O910" s="2" t="n"/>
      <c r="P910" s="2" t="n"/>
      <c r="Q910" s="2" t="n"/>
      <c r="R910" s="2" t="n"/>
      <c r="S910" s="2" t="inlineStr">
        <is>
          <t>Rejeitado(a) em Comissão</t>
        </is>
      </c>
      <c r="T910" s="2" t="inlineStr">
        <is>
          <t>Rejeitada</t>
        </is>
      </c>
      <c r="U910" s="2" t="inlineStr">
        <is>
          <t>Favor: L, PCP, BE, PAN; Contra: PSD, IL, CDS-PP; Abstenção: CH, PS</t>
        </is>
      </c>
      <c r="V910" s="3" t="n">
        <v>45982</v>
      </c>
      <c r="W910" s="2" t="inlineStr">
        <is>
          <t>AR: https://www.parlamento.pt/OrcamentoEstado/Paginas/DetalhePropostaAlteracao.aspx?BID=24087 PDF: https://app.parlamento.pt/webutils/docs/doc.pdf?path=6148523063484d364c793942556b356c6443397a6158526c63793959566b6c4a544556484c3039464c7a49774d6a59794d4449314d5441774f5339515153396b4d474e6c4d6a426a5a6930335a446b344c5451784d5445744f4442684d4330314f4467794d6a526c4d57526a5a4449756347526d&amp;Fich=d0ce20cf-7d98-4111-80a0-588224e1dcd2.pdf&amp;Inline=true</t>
        </is>
      </c>
      <c r="X910" s="2" t="inlineStr">
        <is>
          <t>Infraestruturas, Mobilidade e Habitação</t>
        </is>
      </c>
      <c r="Y910" s="2" t="inlineStr">
        <is>
          <t>Articulado</t>
        </is>
      </c>
      <c r="Z910" s="2" t="inlineStr">
        <is>
          <t>Aditamento (Artigo PPL)</t>
        </is>
      </c>
      <c r="AA910" s="2" t="inlineStr">
        <is>
          <t>Rejeitado(a) em Comissão</t>
        </is>
      </c>
      <c r="AB910" s="2" t="inlineStr"/>
      <c r="AC910" s="2" t="inlineStr"/>
      <c r="AD910" s="2" t="inlineStr">
        <is>
          <t>1</t>
        </is>
      </c>
      <c r="AE910" s="2" t="inlineStr">
        <is>
          <t>24087</t>
        </is>
      </c>
      <c r="AF910" s="2" t="inlineStr">
        <is>
          <t>https://www.parlamento.pt/OrcamentoEstado/Paginas/DetalhePropostaAlteracao.aspx?BID=24087</t>
        </is>
      </c>
      <c r="AG910" s="2" t="inlineStr">
        <is>
          <t>https://app.parlamento.pt/webutils/docs/doc.pdf?path=6148523063484d364c793942556b356c6443397a6158526c63793959566b6c4a544556484c3039464c7a49774d6a59794d4449314d5441774f5339515153396b4d474e6c4d6a426a5a6930335a446b344c5451784d5445744f4442684d4330314f4467794d6a526c4d57526a5a4449756347526d&amp;Fich=d0ce20cf-7d98-4111-80a0-588224e1dcd2.pdf&amp;Inline=true</t>
        </is>
      </c>
      <c r="AH910" s="3" t="n">
        <v>46321.77847222222</v>
      </c>
      <c r="AI910" s="3" t="n">
        <v>46321.78055555555</v>
      </c>
      <c r="AJ910" s="2" t="inlineStr"/>
    </row>
    <row r="911">
      <c r="A911" s="2" t="n">
        <v>910</v>
      </c>
      <c r="B911" s="2" t="inlineStr">
        <is>
          <t>853C</t>
        </is>
      </c>
      <c r="C911" s="3" t="n">
        <v>45967.52013888889</v>
      </c>
      <c r="D911" s="2" t="inlineStr">
        <is>
          <t>Original</t>
        </is>
      </c>
      <c r="E911" s="2" t="inlineStr">
        <is>
          <t>BE</t>
        </is>
      </c>
      <c r="F911" s="2" t="inlineStr">
        <is>
          <t>Mariana Mortágua</t>
        </is>
      </c>
      <c r="G911" s="2" t="inlineStr">
        <is>
          <t>Art. 68.º-A (aditamento)</t>
        </is>
      </c>
      <c r="H911" s="2" t="n"/>
      <c r="I911" s="2" t="n"/>
      <c r="J911" s="2" t="n"/>
      <c r="K911" s="2" t="n"/>
      <c r="L911" s="2" t="inlineStr">
        <is>
          <t>Artigo 68.º-A (Fundo Terra de Miranda)</t>
        </is>
      </c>
      <c r="M911" s="4" t="n"/>
      <c r="N911" s="4" t="n"/>
      <c r="O911" s="2" t="n"/>
      <c r="P911" s="2" t="n"/>
      <c r="Q911" s="2" t="n"/>
      <c r="R911" s="2" t="n"/>
      <c r="S911" s="2" t="inlineStr">
        <is>
          <t>Rejeitado(a) em Plenário</t>
        </is>
      </c>
      <c r="T911" s="2" t="inlineStr">
        <is>
          <t>Rejeitada</t>
        </is>
      </c>
      <c r="U911" s="2" t="inlineStr">
        <is>
          <t>Favor: CH, L, BE, PAN, JPP; Contra: PSD, IL, CDS-PP; Abstenção: PS, PCP</t>
        </is>
      </c>
      <c r="V911" s="3" t="n">
        <v>45985</v>
      </c>
      <c r="W911" s="2" t="inlineStr">
        <is>
          <t>Avocada a Plenário. AR: https://www.parlamento.pt/OrcamentoEstado/Paginas/DetalhePropostaAlteracao.aspx?BID=24088 PDF: https://app.parlamento.pt/webutils/docs/doc.pdf?path=6148523063484d364c793942556b356c6443397a6158526c63793959566b6c4a544556484c3039464c7a49774d6a59794d4449314d5441774f53395151533833595751774e54466a5a4330305932526d4c54526c5a574574596a566d5953316d59324e6d4d6a56684d546b354e5759756347526d&amp;Fich=7ad051cd-4cdf-4eea-b5fa-fccf25a1995f.pdf&amp;Inline=true</t>
        </is>
      </c>
      <c r="X911" s="2" t="inlineStr">
        <is>
          <t>Orçamento, Finanças e Administração Pública</t>
        </is>
      </c>
      <c r="Y911" s="2" t="inlineStr">
        <is>
          <t>Articulado</t>
        </is>
      </c>
      <c r="Z911" s="2" t="inlineStr">
        <is>
          <t>Aditamento (Artigo PPL)</t>
        </is>
      </c>
      <c r="AA911" s="2" t="inlineStr">
        <is>
          <t>Rejeitado(a) em Plenário</t>
        </is>
      </c>
      <c r="AB911" s="2" t="inlineStr">
        <is>
          <t>S</t>
        </is>
      </c>
      <c r="AC911" s="2" t="inlineStr"/>
      <c r="AD911" s="2" t="inlineStr">
        <is>
          <t>2</t>
        </is>
      </c>
      <c r="AE911" s="2" t="inlineStr">
        <is>
          <t>24088</t>
        </is>
      </c>
      <c r="AF911" s="2" t="inlineStr">
        <is>
          <t>https://www.parlamento.pt/OrcamentoEstado/Paginas/DetalhePropostaAlteracao.aspx?BID=24088</t>
        </is>
      </c>
      <c r="AG911" s="2" t="inlineStr">
        <is>
          <t>https://app.parlamento.pt/webutils/docs/doc.pdf?path=6148523063484d364c793942556b356c6443397a6158526c63793959566b6c4a544556484c3039464c7a49774d6a59794d4449314d5441774f53395151533833595751774e54466a5a4330305932526d4c54526c5a574574596a566d5953316d59324e6d4d6a56684d546b354e5759756347526d&amp;Fich=7ad051cd-4cdf-4eea-b5fa-fccf25a1995f.pdf&amp;Inline=true</t>
        </is>
      </c>
      <c r="AH911" s="3" t="n">
        <v>46321.77847222222</v>
      </c>
      <c r="AI911" s="3" t="n">
        <v>46321.78055555555</v>
      </c>
      <c r="AJ911" s="2" t="inlineStr"/>
    </row>
    <row r="912">
      <c r="A912" s="2" t="n">
        <v>911</v>
      </c>
      <c r="B912" s="2" t="inlineStr">
        <is>
          <t>854C</t>
        </is>
      </c>
      <c r="C912" s="3" t="n">
        <v>45967.52083333334</v>
      </c>
      <c r="D912" s="2" t="inlineStr">
        <is>
          <t>Original</t>
        </is>
      </c>
      <c r="E912" s="2" t="inlineStr">
        <is>
          <t>PCP</t>
        </is>
      </c>
      <c r="F912" s="2" t="inlineStr">
        <is>
          <t>Alfredo Maia; Paula Santos; Paulo Raimundo</t>
        </is>
      </c>
      <c r="G912" s="2" t="inlineStr">
        <is>
          <t>Art. 112.º-A (aditamento)</t>
        </is>
      </c>
      <c r="H912" s="2" t="n"/>
      <c r="I912" s="2" t="n"/>
      <c r="J912" s="2" t="n"/>
      <c r="K912" s="2" t="n"/>
      <c r="L912" s="2" t="inlineStr">
        <is>
          <t>Artigo 112.º-A (Apoios para a renovação da frota pesqueira do Peixe Espada Preto)</t>
        </is>
      </c>
      <c r="M912" s="4" t="n"/>
      <c r="N912" s="4" t="n"/>
      <c r="O912" s="2" t="n"/>
      <c r="P912" s="2" t="n"/>
      <c r="Q912" s="2" t="n"/>
      <c r="R912" s="2" t="n"/>
      <c r="S912" s="2" t="inlineStr">
        <is>
          <t>Rejeitado(a) em Comissão</t>
        </is>
      </c>
      <c r="T912" s="2" t="inlineStr">
        <is>
          <t>Rejeitada</t>
        </is>
      </c>
      <c r="U912" s="2" t="inlineStr">
        <is>
          <t>Favor: CH, PCP, BE; Contra: PSD, IL, CDS-PP, PAN; Abstenção: PS, L</t>
        </is>
      </c>
      <c r="V912" s="3" t="n">
        <v>45982</v>
      </c>
      <c r="W912" s="2" t="inlineStr">
        <is>
          <t>AR: https://www.parlamento.pt/OrcamentoEstado/Paginas/DetalhePropostaAlteracao.aspx?BID=24089 PDF: https://app.parlamento.pt/webutils/docs/doc.pdf?path=6148523063484d364c793942556b356c6443397a6158526c63793959566b6c4a544556484c3039464c7a49774d6a59794d4449314d5441774f5339515153396c4e44566d4f44646b5a43316d4d3259334c5451784d3255744f5459774e5331684d54426c59324e694e44466c597a59756347526d&amp;Fich=e45f87dd-f3f7-413e-9605-a10eccb41ec6.pdf&amp;Inline=true</t>
        </is>
      </c>
      <c r="X912" s="2" t="inlineStr">
        <is>
          <t>Agricultura e Pescas</t>
        </is>
      </c>
      <c r="Y912" s="2" t="inlineStr">
        <is>
          <t>Articulado</t>
        </is>
      </c>
      <c r="Z912" s="2" t="inlineStr">
        <is>
          <t>Aditamento (Artigo PPL)</t>
        </is>
      </c>
      <c r="AA912" s="2" t="inlineStr">
        <is>
          <t>Rejeitado(a) em Comissão</t>
        </is>
      </c>
      <c r="AB912" s="2" t="inlineStr"/>
      <c r="AC912" s="2" t="inlineStr"/>
      <c r="AD912" s="2" t="inlineStr">
        <is>
          <t>1</t>
        </is>
      </c>
      <c r="AE912" s="2" t="inlineStr">
        <is>
          <t>24089</t>
        </is>
      </c>
      <c r="AF912" s="2" t="inlineStr">
        <is>
          <t>https://www.parlamento.pt/OrcamentoEstado/Paginas/DetalhePropostaAlteracao.aspx?BID=24089</t>
        </is>
      </c>
      <c r="AG912" s="2" t="inlineStr">
        <is>
          <t>https://app.parlamento.pt/webutils/docs/doc.pdf?path=6148523063484d364c793942556b356c6443397a6158526c63793959566b6c4a544556484c3039464c7a49774d6a59794d4449314d5441774f5339515153396c4e44566d4f44646b5a43316d4d3259334c5451784d3255744f5459774e5331684d54426c59324e694e44466c597a59756347526d&amp;Fich=e45f87dd-f3f7-413e-9605-a10eccb41ec6.pdf&amp;Inline=true</t>
        </is>
      </c>
      <c r="AH912" s="3" t="n">
        <v>46321.77847222222</v>
      </c>
      <c r="AI912" s="3" t="n">
        <v>46321.78055555555</v>
      </c>
      <c r="AJ912" s="2" t="inlineStr"/>
    </row>
    <row r="913">
      <c r="A913" s="2" t="n">
        <v>912</v>
      </c>
      <c r="B913" s="2" t="inlineStr">
        <is>
          <t>855C</t>
        </is>
      </c>
      <c r="C913" s="3" t="n">
        <v>45967.52361111111</v>
      </c>
      <c r="D913" s="2" t="inlineStr">
        <is>
          <t>Original</t>
        </is>
      </c>
      <c r="E913" s="2" t="inlineStr">
        <is>
          <t>PCP</t>
        </is>
      </c>
      <c r="F913" s="2" t="inlineStr">
        <is>
          <t>Alfredo Maia; Paula Santos; Paulo Raimundo</t>
        </is>
      </c>
      <c r="G913" s="2" t="inlineStr">
        <is>
          <t>Art. 112.º-A (aditamento)</t>
        </is>
      </c>
      <c r="H913" s="2" t="n"/>
      <c r="I913" s="2" t="n"/>
      <c r="J913" s="2" t="n"/>
      <c r="K913" s="2" t="n"/>
      <c r="L913" s="2" t="inlineStr">
        <is>
          <t>Artigo 112.º-A (Contratação dos Oficiais de Justiça para assegurar o funcionamento adequado dos Tribunais e do Ministério Público na Região Autónoma da Madeira)</t>
        </is>
      </c>
      <c r="M913" s="4" t="n"/>
      <c r="N913" s="4" t="n"/>
      <c r="O913" s="2" t="n"/>
      <c r="P913" s="2" t="n"/>
      <c r="Q913" s="2" t="n"/>
      <c r="R913" s="2" t="n"/>
      <c r="S913" s="2" t="inlineStr">
        <is>
          <t>Rejeitado(a) em Comissão</t>
        </is>
      </c>
      <c r="T913" s="2" t="inlineStr">
        <is>
          <t>Rejeitada</t>
        </is>
      </c>
      <c r="U913" s="2" t="inlineStr">
        <is>
          <t>Favor: CH, L, PCP, BE, PAN; Contra: PSD, CDS-PP; Abstenção: PS, IL</t>
        </is>
      </c>
      <c r="V913" s="3" t="n">
        <v>45982</v>
      </c>
      <c r="W913" s="2" t="inlineStr">
        <is>
          <t>AR: https://www.parlamento.pt/OrcamentoEstado/Paginas/DetalhePropostaAlteracao.aspx?BID=24090 PDF: https://app.parlamento.pt/webutils/docs/doc.pdf?path=6148523063484d364c793942556b356c6443397a6158526c63793959566b6c4a544556484c3039464c7a49774d6a59794d4449314d5441774f533951515338334f546b775957553059533033596a45304c54526b4e546b744f4455314e5331694f4459354f574d344d4745785a574d756347526d&amp;Fich=7990ae4a-7b14-4d59-8555-b8699c80a1ec.pdf&amp;Inline=true</t>
        </is>
      </c>
      <c r="X913" s="2" t="inlineStr">
        <is>
          <t>Assuntos Constitucionais, Direitos, Liberdades e Garantias</t>
        </is>
      </c>
      <c r="Y913" s="2" t="inlineStr">
        <is>
          <t>Articulado</t>
        </is>
      </c>
      <c r="Z913" s="2" t="inlineStr">
        <is>
          <t>Aditamento (Artigo PPL)</t>
        </is>
      </c>
      <c r="AA913" s="2" t="inlineStr">
        <is>
          <t>Rejeitado(a) em Comissão</t>
        </is>
      </c>
      <c r="AB913" s="2" t="inlineStr"/>
      <c r="AC913" s="2" t="inlineStr"/>
      <c r="AD913" s="2" t="inlineStr">
        <is>
          <t>1</t>
        </is>
      </c>
      <c r="AE913" s="2" t="inlineStr">
        <is>
          <t>24090</t>
        </is>
      </c>
      <c r="AF913" s="2" t="inlineStr">
        <is>
          <t>https://www.parlamento.pt/OrcamentoEstado/Paginas/DetalhePropostaAlteracao.aspx?BID=24090</t>
        </is>
      </c>
      <c r="AG913" s="2" t="inlineStr">
        <is>
          <t>https://app.parlamento.pt/webutils/docs/doc.pdf?path=6148523063484d364c793942556b356c6443397a6158526c63793959566b6c4a544556484c3039464c7a49774d6a59794d4449314d5441774f533951515338334f546b775957553059533033596a45304c54526b4e546b744f4455314e5331694f4459354f574d344d4745785a574d756347526d&amp;Fich=7990ae4a-7b14-4d59-8555-b8699c80a1ec.pdf&amp;Inline=true</t>
        </is>
      </c>
      <c r="AH913" s="3" t="n">
        <v>46321.77847222222</v>
      </c>
      <c r="AI913" s="3" t="n">
        <v>46321.78055555555</v>
      </c>
      <c r="AJ913" s="2" t="inlineStr"/>
    </row>
    <row r="914">
      <c r="A914" s="2" t="n">
        <v>913</v>
      </c>
      <c r="B914" s="2" t="inlineStr">
        <is>
          <t>856C</t>
        </is>
      </c>
      <c r="C914" s="3" t="n">
        <v>45967.52430555555</v>
      </c>
      <c r="D914" s="2" t="inlineStr">
        <is>
          <t>Original</t>
        </is>
      </c>
      <c r="E914" s="2" t="inlineStr">
        <is>
          <t>BE</t>
        </is>
      </c>
      <c r="F914" s="2" t="inlineStr">
        <is>
          <t>Mariana Mortágua</t>
        </is>
      </c>
      <c r="G914" s="2" t="inlineStr">
        <is>
          <t>Art. 112.º-A (aditamento)</t>
        </is>
      </c>
      <c r="H914" s="2" t="n"/>
      <c r="I914" s="2" t="n"/>
      <c r="J914" s="2" t="n"/>
      <c r="K914" s="2" t="n"/>
      <c r="L914" s="2" t="inlineStr">
        <is>
          <t>Artigo 112.º-A (Aumento da Remuneração Mensal Mínima Garantida)</t>
        </is>
      </c>
      <c r="M914" s="4" t="n"/>
      <c r="N914" s="4" t="n"/>
      <c r="O914" s="2" t="n"/>
      <c r="P914" s="2" t="n"/>
      <c r="Q914" s="2" t="n"/>
      <c r="R914" s="2" t="n"/>
      <c r="S914" s="2" t="inlineStr">
        <is>
          <t>Rejeitado(a) em Comissão</t>
        </is>
      </c>
      <c r="T914" s="2" t="inlineStr">
        <is>
          <t>Rejeitada</t>
        </is>
      </c>
      <c r="U914" s="2" t="inlineStr">
        <is>
          <t>Favor: L, PCP, BE, PAN; Contra: PSD, IL, CDS-PP; Abstenção: CH, PS</t>
        </is>
      </c>
      <c r="V914" s="3" t="n">
        <v>45982</v>
      </c>
      <c r="W914" s="2" t="inlineStr">
        <is>
          <t>AR: https://www.parlamento.pt/OrcamentoEstado/Paginas/DetalhePropostaAlteracao.aspx?BID=24091 PDF: https://app.parlamento.pt/webutils/docs/doc.pdf?path=6148523063484d364c793942556b356c6443397a6158526c63793959566b6c4a544556484c3039464c7a49774d6a59794d4449314d5441774f5339515153387a4e57517a595451344d4331694d4759314c545177596a637459574d34595330344d474d335a54597a4e7a646b5a4449756347526d&amp;Fich=35d3a480-b0f5-40b7-ac8a-80c7e6377dd2.pdf&amp;Inline=true</t>
        </is>
      </c>
      <c r="X914" s="2" t="inlineStr">
        <is>
          <t>Trabalho, Segurança Social e Inclusão</t>
        </is>
      </c>
      <c r="Y914" s="2" t="inlineStr">
        <is>
          <t>Articulado</t>
        </is>
      </c>
      <c r="Z914" s="2" t="inlineStr">
        <is>
          <t>Aditamento (Artigo PPL)</t>
        </is>
      </c>
      <c r="AA914" s="2" t="inlineStr">
        <is>
          <t>Rejeitado(a) em Comissão</t>
        </is>
      </c>
      <c r="AB914" s="2" t="inlineStr"/>
      <c r="AC914" s="2" t="inlineStr"/>
      <c r="AD914" s="2" t="inlineStr">
        <is>
          <t>1</t>
        </is>
      </c>
      <c r="AE914" s="2" t="inlineStr">
        <is>
          <t>24091</t>
        </is>
      </c>
      <c r="AF914" s="2" t="inlineStr">
        <is>
          <t>https://www.parlamento.pt/OrcamentoEstado/Paginas/DetalhePropostaAlteracao.aspx?BID=24091</t>
        </is>
      </c>
      <c r="AG914" s="2" t="inlineStr">
        <is>
          <t>https://app.parlamento.pt/webutils/docs/doc.pdf?path=6148523063484d364c793942556b356c6443397a6158526c63793959566b6c4a544556484c3039464c7a49774d6a59794d4449314d5441774f5339515153387a4e57517a595451344d4331694d4759314c545177596a637459574d34595330344d474d335a54597a4e7a646b5a4449756347526d&amp;Fich=35d3a480-b0f5-40b7-ac8a-80c7e6377dd2.pdf&amp;Inline=true</t>
        </is>
      </c>
      <c r="AH914" s="3" t="n">
        <v>46321.77847222222</v>
      </c>
      <c r="AI914" s="3" t="n">
        <v>46321.78055555555</v>
      </c>
      <c r="AJ914" s="2" t="inlineStr"/>
    </row>
    <row r="915">
      <c r="A915" s="2" t="n">
        <v>914</v>
      </c>
      <c r="B915" s="2" t="inlineStr">
        <is>
          <t>857C</t>
        </is>
      </c>
      <c r="C915" s="3" t="n">
        <v>45967.52569444444</v>
      </c>
      <c r="D915" s="2" t="inlineStr">
        <is>
          <t>Original</t>
        </is>
      </c>
      <c r="E915" s="2" t="inlineStr">
        <is>
          <t>PCP</t>
        </is>
      </c>
      <c r="F915" s="2" t="inlineStr">
        <is>
          <t>Alfredo Maia; Paula Santos; Paulo Raimundo</t>
        </is>
      </c>
      <c r="G915" s="2" t="inlineStr">
        <is>
          <t>Art. 112.º-A (aditamento)</t>
        </is>
      </c>
      <c r="H915" s="2" t="n"/>
      <c r="I915" s="2" t="n"/>
      <c r="J915" s="2" t="n"/>
      <c r="K915" s="2" t="n"/>
      <c r="L915" s="2" t="inlineStr">
        <is>
          <t>Artigo 112.º-A (Estabelecimento Prisional do Funchal)</t>
        </is>
      </c>
      <c r="M915" s="4" t="n"/>
      <c r="N915" s="4" t="n"/>
      <c r="O915" s="2" t="n"/>
      <c r="P915" s="2" t="n"/>
      <c r="Q915" s="2" t="n"/>
      <c r="R915" s="2" t="n"/>
      <c r="S915" s="2" t="inlineStr">
        <is>
          <t>Rejeitado(a) em Comissão</t>
        </is>
      </c>
      <c r="T915" s="2" t="inlineStr">
        <is>
          <t>Rejeitada</t>
        </is>
      </c>
      <c r="U915" s="2" t="inlineStr">
        <is>
          <t>Favor: CH, L, PCP, BE, PAN; Contra: PSD, CDS-PP; Abstenção: PS, IL</t>
        </is>
      </c>
      <c r="V915" s="3" t="n">
        <v>45982</v>
      </c>
      <c r="W915" s="2" t="inlineStr">
        <is>
          <t>AR: https://www.parlamento.pt/OrcamentoEstado/Paginas/DetalhePropostaAlteracao.aspx?BID=24092 PDF: https://app.parlamento.pt/webutils/docs/doc.pdf?path=6148523063484d364c793942556b356c6443397a6158526c63793959566b6c4a544556484c3039464c7a49774d6a59794d4449314d5441774f533951515338344e7a646c4e546331596930324d3255794c5452694e574d744f4449334f5330774e6a51775a47466d4e6a646a4d3259756347526d&amp;Fich=877e575b-63e2-4b5c-8279-0640daf67c3f.pdf&amp;Inline=true</t>
        </is>
      </c>
      <c r="X915" s="2" t="inlineStr">
        <is>
          <t>Assuntos Constitucionais, Direitos, Liberdades e Garantias</t>
        </is>
      </c>
      <c r="Y915" s="2" t="inlineStr">
        <is>
          <t>Articulado</t>
        </is>
      </c>
      <c r="Z915" s="2" t="inlineStr">
        <is>
          <t>Aditamento (Artigo PPL)</t>
        </is>
      </c>
      <c r="AA915" s="2" t="inlineStr">
        <is>
          <t>Rejeitado(a) em Comissão</t>
        </is>
      </c>
      <c r="AB915" s="2" t="inlineStr"/>
      <c r="AC915" s="2" t="inlineStr"/>
      <c r="AD915" s="2" t="inlineStr">
        <is>
          <t>1</t>
        </is>
      </c>
      <c r="AE915" s="2" t="inlineStr">
        <is>
          <t>24092</t>
        </is>
      </c>
      <c r="AF915" s="2" t="inlineStr">
        <is>
          <t>https://www.parlamento.pt/OrcamentoEstado/Paginas/DetalhePropostaAlteracao.aspx?BID=24092</t>
        </is>
      </c>
      <c r="AG915" s="2" t="inlineStr">
        <is>
          <t>https://app.parlamento.pt/webutils/docs/doc.pdf?path=6148523063484d364c793942556b356c6443397a6158526c63793959566b6c4a544556484c3039464c7a49774d6a59794d4449314d5441774f533951515338344e7a646c4e546331596930324d3255794c5452694e574d744f4449334f5330774e6a51775a47466d4e6a646a4d3259756347526d&amp;Fich=877e575b-63e2-4b5c-8279-0640daf67c3f.pdf&amp;Inline=true</t>
        </is>
      </c>
      <c r="AH915" s="3" t="n">
        <v>46321.77847222222</v>
      </c>
      <c r="AI915" s="3" t="n">
        <v>46321.78055555555</v>
      </c>
      <c r="AJ915" s="2" t="inlineStr"/>
    </row>
    <row r="916">
      <c r="A916" s="2" t="n">
        <v>915</v>
      </c>
      <c r="B916" s="2" t="inlineStr">
        <is>
          <t>858C</t>
        </is>
      </c>
      <c r="C916" s="3" t="n">
        <v>45967.52777777778</v>
      </c>
      <c r="D916" s="2" t="inlineStr">
        <is>
          <t>Original</t>
        </is>
      </c>
      <c r="E916" s="2" t="inlineStr">
        <is>
          <t>PCP</t>
        </is>
      </c>
      <c r="F916" s="2" t="inlineStr">
        <is>
          <t>Alfredo Maia; Paula Santos; Paulo Raimundo</t>
        </is>
      </c>
      <c r="G916" s="2" t="inlineStr">
        <is>
          <t>Art. 112.º-A (aditamento)</t>
        </is>
      </c>
      <c r="H916" s="2" t="n"/>
      <c r="I916" s="2" t="n"/>
      <c r="J916" s="2" t="n"/>
      <c r="K916" s="2" t="n"/>
      <c r="L916" s="2" t="inlineStr">
        <is>
          <t>Artigo 112.º-A (Hospital Central da Madeira)</t>
        </is>
      </c>
      <c r="M916" s="4" t="n"/>
      <c r="N916" s="4" t="n"/>
      <c r="O916" s="2" t="n"/>
      <c r="P916" s="2" t="n"/>
      <c r="Q916" s="2" t="n"/>
      <c r="R916" s="2" t="n"/>
      <c r="S916" s="2" t="inlineStr">
        <is>
          <t>Aprovado(a) em Comissão</t>
        </is>
      </c>
      <c r="T916" s="2" t="inlineStr">
        <is>
          <t>Aprovada</t>
        </is>
      </c>
      <c r="U916" s="2" t="inlineStr">
        <is>
          <t>Favor: CH, PS, L, BE, PAN; Contra: PSD, CDS-PP; Abstenção: IL</t>
        </is>
      </c>
      <c r="V916" s="3" t="n">
        <v>45982</v>
      </c>
      <c r="W916" s="2" t="inlineStr">
        <is>
          <t>AR: https://www.parlamento.pt/OrcamentoEstado/Paginas/DetalhePropostaAlteracao.aspx?BID=24093 PDF: https://app.parlamento.pt/webutils/docs/doc.pdf?path=6148523063484d364c793942556b356c6443397a6158526c63793959566b6c4a544556484c3039464c7a49774d6a59794d4449314d5441774f533951515339694e4455345a5455784e5330354e7a526b4c5451325a6a5974596d466d595330324e574e6b5a6d49774e6a51345a4463756347526d&amp;Fich=b458e515-974d-46f6-bafa-65cdfb0648d7.pdf&amp;Inline=true</t>
        </is>
      </c>
      <c r="X916" s="2" t="inlineStr">
        <is>
          <t>Saúde</t>
        </is>
      </c>
      <c r="Y916" s="2" t="inlineStr">
        <is>
          <t>Articulado</t>
        </is>
      </c>
      <c r="Z916" s="2" t="inlineStr">
        <is>
          <t>Aditamento (Artigo PPL)</t>
        </is>
      </c>
      <c r="AA916" s="2" t="inlineStr">
        <is>
          <t>Aprovado(a) em Comissão</t>
        </is>
      </c>
      <c r="AB916" s="2" t="inlineStr"/>
      <c r="AC916" s="2" t="inlineStr"/>
      <c r="AD916" s="2" t="inlineStr">
        <is>
          <t>1</t>
        </is>
      </c>
      <c r="AE916" s="2" t="inlineStr">
        <is>
          <t>24093</t>
        </is>
      </c>
      <c r="AF916" s="2" t="inlineStr">
        <is>
          <t>https://www.parlamento.pt/OrcamentoEstado/Paginas/DetalhePropostaAlteracao.aspx?BID=24093</t>
        </is>
      </c>
      <c r="AG916" s="2" t="inlineStr">
        <is>
          <t>https://app.parlamento.pt/webutils/docs/doc.pdf?path=6148523063484d364c793942556b356c6443397a6158526c63793959566b6c4a544556484c3039464c7a49774d6a59794d4449314d5441774f533951515339694e4455345a5455784e5330354e7a526b4c5451325a6a5974596d466d595330324e574e6b5a6d49774e6a51345a4463756347526d&amp;Fich=b458e515-974d-46f6-bafa-65cdfb0648d7.pdf&amp;Inline=true</t>
        </is>
      </c>
      <c r="AH916" s="3" t="n">
        <v>46321.77847222222</v>
      </c>
      <c r="AI916" s="3" t="n">
        <v>46321.78055555555</v>
      </c>
      <c r="AJ916" s="2" t="inlineStr"/>
    </row>
    <row r="917">
      <c r="A917" s="2" t="n">
        <v>916</v>
      </c>
      <c r="B917" s="2" t="inlineStr">
        <is>
          <t>859C</t>
        </is>
      </c>
      <c r="C917" s="3" t="n">
        <v>45967.52777777778</v>
      </c>
      <c r="D917" s="2" t="inlineStr">
        <is>
          <t>Original</t>
        </is>
      </c>
      <c r="E917" s="2" t="inlineStr">
        <is>
          <t>BE</t>
        </is>
      </c>
      <c r="F917" s="2" t="inlineStr">
        <is>
          <t>Mariana Mortágua</t>
        </is>
      </c>
      <c r="G917" s="2" t="inlineStr">
        <is>
          <t>Art. 112.º-C (aditamento)</t>
        </is>
      </c>
      <c r="H917" s="2" t="n"/>
      <c r="I917" s="2" t="n"/>
      <c r="J917" s="2" t="n"/>
      <c r="K917" s="2" t="n"/>
      <c r="L917" s="2" t="inlineStr">
        <is>
          <t>Artigo 112.º-C (Aditamento do subsídio de refeição ao Código do Trabalho)</t>
        </is>
      </c>
      <c r="M917" s="4" t="n"/>
      <c r="N917" s="4" t="n"/>
      <c r="O917" s="2" t="n"/>
      <c r="P917" s="2" t="n"/>
      <c r="Q917" s="2" t="n"/>
      <c r="R917" s="2" t="n"/>
      <c r="S917" s="2" t="inlineStr">
        <is>
          <t>Rejeitado(a) em Plenário</t>
        </is>
      </c>
      <c r="T917" s="2" t="inlineStr">
        <is>
          <t>Rejeitada</t>
        </is>
      </c>
      <c r="U917" s="2" t="inlineStr">
        <is>
          <t>Favor: CH, L, PCP, BE, PAN, JPP; Contra: PSD, IL, CDS-PP; Abstenção: PS</t>
        </is>
      </c>
      <c r="V917" s="3" t="n">
        <v>45985</v>
      </c>
      <c r="W917" s="2" t="inlineStr">
        <is>
          <t>Avocada a Plenário. AR: https://www.parlamento.pt/OrcamentoEstado/Paginas/DetalhePropostaAlteracao.aspx?BID=24094 PDF: https://app.parlamento.pt/webutils/docs/doc.pdf?path=6148523063484d364c793942556b356c6443397a6158526c63793959566b6c4a544556484c3039464c7a49774d6a59794d4449314d5441774f5339515153396d4d6d49774d6a51324f43316c5a54686c4c5451334e574d74596a4a6c4e53316a596d526c4d7a677a595749305a4463756347526d&amp;Fich=f2b02468-ee8e-475c-b2e5-cbde383ab4d7.pdf&amp;Inline=true</t>
        </is>
      </c>
      <c r="X917" s="2" t="inlineStr">
        <is>
          <t>Trabalho, Segurança Social e Inclusão</t>
        </is>
      </c>
      <c r="Y917" s="2" t="inlineStr">
        <is>
          <t>Articulado</t>
        </is>
      </c>
      <c r="Z917" s="2" t="inlineStr">
        <is>
          <t>Aditamento (Artigo PPL)</t>
        </is>
      </c>
      <c r="AA917" s="2" t="inlineStr">
        <is>
          <t>Rejeitado(a) em Plenário</t>
        </is>
      </c>
      <c r="AB917" s="2" t="inlineStr">
        <is>
          <t>S</t>
        </is>
      </c>
      <c r="AC917" s="2" t="inlineStr"/>
      <c r="AD917" s="2" t="inlineStr">
        <is>
          <t>2</t>
        </is>
      </c>
      <c r="AE917" s="2" t="inlineStr">
        <is>
          <t>24094</t>
        </is>
      </c>
      <c r="AF917" s="2" t="inlineStr">
        <is>
          <t>https://www.parlamento.pt/OrcamentoEstado/Paginas/DetalhePropostaAlteracao.aspx?BID=24094</t>
        </is>
      </c>
      <c r="AG917" s="2" t="inlineStr">
        <is>
          <t>https://app.parlamento.pt/webutils/docs/doc.pdf?path=6148523063484d364c793942556b356c6443397a6158526c63793959566b6c4a544556484c3039464c7a49774d6a59794d4449314d5441774f5339515153396d4d6d49774d6a51324f43316c5a54686c4c5451334e574d74596a4a6c4e53316a596d526c4d7a677a595749305a4463756347526d&amp;Fich=f2b02468-ee8e-475c-b2e5-cbde383ab4d7.pdf&amp;Inline=true</t>
        </is>
      </c>
      <c r="AH917" s="3" t="n">
        <v>46321.77847222222</v>
      </c>
      <c r="AI917" s="3" t="n">
        <v>46321.78055555555</v>
      </c>
      <c r="AJ917" s="2" t="inlineStr"/>
    </row>
    <row r="918">
      <c r="A918" s="2" t="n">
        <v>917</v>
      </c>
      <c r="B918" s="2" t="inlineStr">
        <is>
          <t>860C</t>
        </is>
      </c>
      <c r="C918" s="3" t="n">
        <v>45967.52847222222</v>
      </c>
      <c r="D918" s="2" t="inlineStr">
        <is>
          <t>Original</t>
        </is>
      </c>
      <c r="E918" s="2" t="inlineStr">
        <is>
          <t>PCP</t>
        </is>
      </c>
      <c r="F918" s="2" t="inlineStr">
        <is>
          <t>Alfredo Maia; Paula Santos; Paulo Raimundo</t>
        </is>
      </c>
      <c r="G918" s="2" t="inlineStr">
        <is>
          <t>Art. 112.º-A (aditamento)</t>
        </is>
      </c>
      <c r="H918" s="2" t="n"/>
      <c r="I918" s="2" t="n"/>
      <c r="J918" s="2" t="n"/>
      <c r="K918" s="2" t="n"/>
      <c r="L918" s="2" t="inlineStr">
        <is>
          <t>Artigo 112.º-A (Operacionalidade do Posto Marítimo na Ilha Selvagem Grande)</t>
        </is>
      </c>
      <c r="M918" s="4" t="n"/>
      <c r="N918" s="4" t="n"/>
      <c r="O918" s="2" t="n"/>
      <c r="P918" s="2" t="n"/>
      <c r="Q918" s="2" t="n"/>
      <c r="R918" s="2" t="n"/>
      <c r="S918" s="2" t="inlineStr">
        <is>
          <t>Aprovado(a) em Comissão</t>
        </is>
      </c>
      <c r="T918" s="2" t="inlineStr">
        <is>
          <t>Aprovada</t>
        </is>
      </c>
      <c r="U918" s="2" t="inlineStr">
        <is>
          <t>Favor: CH, PS, IL, L, PCP, BE, PAN; Contra: PSD, CDS-PP</t>
        </is>
      </c>
      <c r="V918" s="3" t="n">
        <v>45982</v>
      </c>
      <c r="W918" s="2" t="inlineStr">
        <is>
          <t>AR: https://www.parlamento.pt/OrcamentoEstado/Paginas/DetalhePropostaAlteracao.aspx?BID=24095 PDF: https://app.parlamento.pt/webutils/docs/doc.pdf?path=6148523063484d364c793942556b356c6443397a6158526c63793959566b6c4a544556484c3039464c7a49774d6a59794d4449314d5441774f533951515338344d47566b4e4467354f4330334f44466d4c54526a4d544974595749784d7930314d6a6c6c4d7a4a6d4e446b304d3259756347526d&amp;Fich=80ed4898-781f-4c12-ab13-529e32f4943f.pdf&amp;Inline=true</t>
        </is>
      </c>
      <c r="X918" s="2" t="inlineStr">
        <is>
          <t>Infraestruturas, Mobilidade e Habitação</t>
        </is>
      </c>
      <c r="Y918" s="2" t="inlineStr">
        <is>
          <t>Articulado</t>
        </is>
      </c>
      <c r="Z918" s="2" t="inlineStr">
        <is>
          <t>Aditamento (Artigo PPL)</t>
        </is>
      </c>
      <c r="AA918" s="2" t="inlineStr">
        <is>
          <t>Aprovado(a) em Comissão</t>
        </is>
      </c>
      <c r="AB918" s="2" t="inlineStr"/>
      <c r="AC918" s="2" t="inlineStr"/>
      <c r="AD918" s="2" t="inlineStr">
        <is>
          <t>1</t>
        </is>
      </c>
      <c r="AE918" s="2" t="inlineStr">
        <is>
          <t>24095</t>
        </is>
      </c>
      <c r="AF918" s="2" t="inlineStr">
        <is>
          <t>https://www.parlamento.pt/OrcamentoEstado/Paginas/DetalhePropostaAlteracao.aspx?BID=24095</t>
        </is>
      </c>
      <c r="AG918" s="2" t="inlineStr">
        <is>
          <t>https://app.parlamento.pt/webutils/docs/doc.pdf?path=6148523063484d364c793942556b356c6443397a6158526c63793959566b6c4a544556484c3039464c7a49774d6a59794d4449314d5441774f533951515338344d47566b4e4467354f4330334f44466d4c54526a4d544974595749784d7930314d6a6c6c4d7a4a6d4e446b304d3259756347526d&amp;Fich=80ed4898-781f-4c12-ab13-529e32f4943f.pdf&amp;Inline=true</t>
        </is>
      </c>
      <c r="AH918" s="3" t="n">
        <v>46321.77847222222</v>
      </c>
      <c r="AI918" s="3" t="n">
        <v>46321.78055555555</v>
      </c>
      <c r="AJ918" s="2" t="inlineStr"/>
    </row>
    <row r="919">
      <c r="A919" s="2" t="n">
        <v>918</v>
      </c>
      <c r="B919" s="2" t="inlineStr">
        <is>
          <t>861C</t>
        </is>
      </c>
      <c r="C919" s="3" t="n">
        <v>45967.52916666667</v>
      </c>
      <c r="D919" s="2" t="inlineStr">
        <is>
          <t>Original</t>
        </is>
      </c>
      <c r="E919" s="2" t="inlineStr">
        <is>
          <t>PCP</t>
        </is>
      </c>
      <c r="F919" s="2" t="inlineStr">
        <is>
          <t>Alfredo Maia; Paula Santos; Paulo Raimundo</t>
        </is>
      </c>
      <c r="G919" s="2" t="inlineStr">
        <is>
          <t>Art. 112.º-A (aditamento)</t>
        </is>
      </c>
      <c r="H919" s="2" t="n"/>
      <c r="I919" s="2" t="n"/>
      <c r="J919" s="2" t="n"/>
      <c r="K919" s="2" t="n"/>
      <c r="L919" s="2" t="inlineStr">
        <is>
          <t>Artigo 112.º-A (Plano de Remodelação dos Tribunais na Região Autónoma da Madeira)</t>
        </is>
      </c>
      <c r="M919" s="4" t="n"/>
      <c r="N919" s="4" t="n"/>
      <c r="O919" s="2" t="n"/>
      <c r="P919" s="2" t="n"/>
      <c r="Q919" s="2" t="n"/>
      <c r="R919" s="2" t="n"/>
      <c r="S919" s="2" t="inlineStr">
        <is>
          <t>Rejeitado(a) em Comissão</t>
        </is>
      </c>
      <c r="T919" s="2" t="inlineStr">
        <is>
          <t>Rejeitada</t>
        </is>
      </c>
      <c r="U919" s="2" t="inlineStr">
        <is>
          <t>Favor: L, PCP, BE, PAN; Contra: PSD, CDS-PP; Abstenção: CH, PS, IL</t>
        </is>
      </c>
      <c r="V919" s="3" t="n">
        <v>45982</v>
      </c>
      <c r="W919" s="2" t="inlineStr">
        <is>
          <t>AR: https://www.parlamento.pt/OrcamentoEstado/Paginas/DetalhePropostaAlteracao.aspx?BID=24096 PDF: https://app.parlamento.pt/webutils/docs/doc.pdf?path=6148523063484d364c793942556b356c6443397a6158526c63793959566b6c4a544556484c3039464c7a49774d6a59794d4449314d5441774f533951515338304e325934597a55315a53316c4e6a6b344c54517a4e7a67744f4468695a6931694f44417a4e6a677a4e5467354d6a55756347526d&amp;Fich=47f8c55e-e698-4378-88bf-b80368358925.pdf&amp;Inline=true</t>
        </is>
      </c>
      <c r="X919" s="2" t="inlineStr">
        <is>
          <t>Assuntos Constitucionais, Direitos, Liberdades e Garantias</t>
        </is>
      </c>
      <c r="Y919" s="2" t="inlineStr">
        <is>
          <t>Articulado</t>
        </is>
      </c>
      <c r="Z919" s="2" t="inlineStr">
        <is>
          <t>Aditamento (Artigo PPL)</t>
        </is>
      </c>
      <c r="AA919" s="2" t="inlineStr">
        <is>
          <t>Rejeitado(a) em Comissão</t>
        </is>
      </c>
      <c r="AB919" s="2" t="inlineStr"/>
      <c r="AC919" s="2" t="inlineStr"/>
      <c r="AD919" s="2" t="inlineStr">
        <is>
          <t>1</t>
        </is>
      </c>
      <c r="AE919" s="2" t="inlineStr">
        <is>
          <t>24096</t>
        </is>
      </c>
      <c r="AF919" s="2" t="inlineStr">
        <is>
          <t>https://www.parlamento.pt/OrcamentoEstado/Paginas/DetalhePropostaAlteracao.aspx?BID=24096</t>
        </is>
      </c>
      <c r="AG919" s="2" t="inlineStr">
        <is>
          <t>https://app.parlamento.pt/webutils/docs/doc.pdf?path=6148523063484d364c793942556b356c6443397a6158526c63793959566b6c4a544556484c3039464c7a49774d6a59794d4449314d5441774f533951515338304e325934597a55315a53316c4e6a6b344c54517a4e7a67744f4468695a6931694f44417a4e6a677a4e5467354d6a55756347526d&amp;Fich=47f8c55e-e698-4378-88bf-b80368358925.pdf&amp;Inline=true</t>
        </is>
      </c>
      <c r="AH919" s="3" t="n">
        <v>46321.77847222222</v>
      </c>
      <c r="AI919" s="3" t="n">
        <v>46321.78055555555</v>
      </c>
      <c r="AJ919" s="2" t="inlineStr"/>
    </row>
    <row r="920">
      <c r="A920" s="2" t="n">
        <v>919</v>
      </c>
      <c r="B920" s="2" t="inlineStr">
        <is>
          <t>862C</t>
        </is>
      </c>
      <c r="C920" s="3" t="n">
        <v>45967.52916666667</v>
      </c>
      <c r="D920" s="2" t="inlineStr">
        <is>
          <t>Original</t>
        </is>
      </c>
      <c r="E920" s="2" t="inlineStr">
        <is>
          <t>PCP</t>
        </is>
      </c>
      <c r="F920" s="2" t="inlineStr">
        <is>
          <t>Alfredo Maia; Paula Santos; Paulo Raimundo</t>
        </is>
      </c>
      <c r="G920" s="2" t="inlineStr">
        <is>
          <t>Art. 112.º-A (aditamento)</t>
        </is>
      </c>
      <c r="H920" s="2" t="n"/>
      <c r="I920" s="2" t="n"/>
      <c r="J920" s="2" t="n"/>
      <c r="K920" s="2" t="n"/>
      <c r="L920" s="2" t="inlineStr">
        <is>
          <t>Artigo 112.º-A (Plano de remodelação e construção de novas esquadras da PSP na Região Autónoma da Madeira)</t>
        </is>
      </c>
      <c r="M920" s="4" t="n"/>
      <c r="N920" s="4" t="n"/>
      <c r="O920" s="2" t="n"/>
      <c r="P920" s="2" t="n"/>
      <c r="Q920" s="2" t="n"/>
      <c r="R920" s="2" t="n"/>
      <c r="S920" s="2" t="inlineStr">
        <is>
          <t>Rejeitado(a) em Comissão</t>
        </is>
      </c>
      <c r="T920" s="2" t="inlineStr">
        <is>
          <t>Rejeitada</t>
        </is>
      </c>
      <c r="U920" s="2" t="inlineStr">
        <is>
          <t>Favor: PCP, BE, PAN; Contra: PSD, CDS-PP; Abstenção: CH, PS, IL</t>
        </is>
      </c>
      <c r="V920" s="3" t="n">
        <v>45982</v>
      </c>
      <c r="W920" s="2" t="inlineStr">
        <is>
          <t>AR: https://www.parlamento.pt/OrcamentoEstado/Paginas/DetalhePropostaAlteracao.aspx?BID=24097 PDF: https://app.parlamento.pt/webutils/docs/doc.pdf?path=6148523063484d364c793942556b356c6443397a6158526c63793959566b6c4a544556484c3039464c7a49774d6a59794d4449314d5441774f5339515153396c593251344d4452694e5330794d324d304c5452694e7a67744f4755304e79316c4e6a67774e5745775a6d49324d6a59756347526d&amp;Fich=ecd804b5-23c4-4b78-8e47-e6805a0fb626.pdf&amp;Inline=true</t>
        </is>
      </c>
      <c r="X920" s="2" t="inlineStr">
        <is>
          <t>Assuntos Constitucionais, Direitos, Liberdades e Garantias</t>
        </is>
      </c>
      <c r="Y920" s="2" t="inlineStr">
        <is>
          <t>Articulado</t>
        </is>
      </c>
      <c r="Z920" s="2" t="inlineStr">
        <is>
          <t>Aditamento (Artigo PPL)</t>
        </is>
      </c>
      <c r="AA920" s="2" t="inlineStr">
        <is>
          <t>Rejeitado(a) em Comissão</t>
        </is>
      </c>
      <c r="AB920" s="2" t="inlineStr"/>
      <c r="AC920" s="2" t="inlineStr"/>
      <c r="AD920" s="2" t="inlineStr">
        <is>
          <t>1</t>
        </is>
      </c>
      <c r="AE920" s="2" t="inlineStr">
        <is>
          <t>24097</t>
        </is>
      </c>
      <c r="AF920" s="2" t="inlineStr">
        <is>
          <t>https://www.parlamento.pt/OrcamentoEstado/Paginas/DetalhePropostaAlteracao.aspx?BID=24097</t>
        </is>
      </c>
      <c r="AG920" s="2" t="inlineStr">
        <is>
          <t>https://app.parlamento.pt/webutils/docs/doc.pdf?path=6148523063484d364c793942556b356c6443397a6158526c63793959566b6c4a544556484c3039464c7a49774d6a59794d4449314d5441774f5339515153396c593251344d4452694e5330794d324d304c5452694e7a67744f4755304e79316c4e6a67774e5745775a6d49324d6a59756347526d&amp;Fich=ecd804b5-23c4-4b78-8e47-e6805a0fb626.pdf&amp;Inline=true</t>
        </is>
      </c>
      <c r="AH920" s="3" t="n">
        <v>46321.77847222222</v>
      </c>
      <c r="AI920" s="3" t="n">
        <v>46321.78055555555</v>
      </c>
      <c r="AJ920" s="2" t="inlineStr"/>
    </row>
    <row r="921">
      <c r="A921" s="2" t="n">
        <v>920</v>
      </c>
      <c r="B921" s="2" t="inlineStr">
        <is>
          <t>863C</t>
        </is>
      </c>
      <c r="C921" s="3" t="n">
        <v>45967.52986111111</v>
      </c>
      <c r="D921" s="2" t="inlineStr">
        <is>
          <t>Original</t>
        </is>
      </c>
      <c r="E921" s="2" t="inlineStr">
        <is>
          <t>PCP</t>
        </is>
      </c>
      <c r="F921" s="2" t="inlineStr">
        <is>
          <t>Alfredo Maia; Paula Santos; Paulo Raimundo</t>
        </is>
      </c>
      <c r="G921" s="2" t="inlineStr">
        <is>
          <t>Art. 112.º-A (aditamento)</t>
        </is>
      </c>
      <c r="H921" s="2" t="n"/>
      <c r="I921" s="2" t="n"/>
      <c r="J921" s="2" t="n"/>
      <c r="K921" s="2" t="n"/>
      <c r="L921" s="2" t="inlineStr">
        <is>
          <t>Artigo 112.º-A (Posto Marítimo na Selvagem Grande)</t>
        </is>
      </c>
      <c r="M921" s="4" t="n"/>
      <c r="N921" s="4" t="n"/>
      <c r="O921" s="2" t="n"/>
      <c r="P921" s="2" t="n"/>
      <c r="Q921" s="2" t="n"/>
      <c r="R921" s="2" t="n"/>
      <c r="S921" s="2" t="inlineStr">
        <is>
          <t>Rejeitado(a) em Comissão</t>
        </is>
      </c>
      <c r="T921" s="2" t="inlineStr">
        <is>
          <t>Rejeitada</t>
        </is>
      </c>
      <c r="U921" s="2" t="inlineStr">
        <is>
          <t>Favor: CH, IL, L, PCP, BE, PAN; Contra: PSD, CDS-PP; Abstenção: PS</t>
        </is>
      </c>
      <c r="V921" s="3" t="n">
        <v>45982</v>
      </c>
      <c r="W921" s="2" t="inlineStr">
        <is>
          <t>AR: https://www.parlamento.pt/OrcamentoEstado/Paginas/DetalhePropostaAlteracao.aspx?BID=24098 PDF: https://app.parlamento.pt/webutils/docs/doc.pdf?path=6148523063484d364c793942556b356c6443397a6158526c63793959566b6c4a544556484c3039464c7a49774d6a59794d4449314d5441774f5339515153396d4e474e6c4f54557a5a69316b5a444d304c545177597a67744f574d774d7930774e32593559324d784e3251325a6d45756347526d&amp;Fich=f4ce953f-dd34-40c8-9c03-07f9cc17d6fa.pdf&amp;Inline=true</t>
        </is>
      </c>
      <c r="X921" s="2" t="inlineStr">
        <is>
          <t>Infraestruturas, Mobilidade e Habitação</t>
        </is>
      </c>
      <c r="Y921" s="2" t="inlineStr">
        <is>
          <t>Articulado</t>
        </is>
      </c>
      <c r="Z921" s="2" t="inlineStr">
        <is>
          <t>Aditamento (Artigo PPL)</t>
        </is>
      </c>
      <c r="AA921" s="2" t="inlineStr">
        <is>
          <t>Rejeitado(a) em Comissão</t>
        </is>
      </c>
      <c r="AB921" s="2" t="inlineStr"/>
      <c r="AC921" s="2" t="inlineStr"/>
      <c r="AD921" s="2" t="inlineStr">
        <is>
          <t>1</t>
        </is>
      </c>
      <c r="AE921" s="2" t="inlineStr">
        <is>
          <t>24098</t>
        </is>
      </c>
      <c r="AF921" s="2" t="inlineStr">
        <is>
          <t>https://www.parlamento.pt/OrcamentoEstado/Paginas/DetalhePropostaAlteracao.aspx?BID=24098</t>
        </is>
      </c>
      <c r="AG921" s="2" t="inlineStr">
        <is>
          <t>https://app.parlamento.pt/webutils/docs/doc.pdf?path=6148523063484d364c793942556b356c6443397a6158526c63793959566b6c4a544556484c3039464c7a49774d6a59794d4449314d5441774f5339515153396d4e474e6c4f54557a5a69316b5a444d304c545177597a67744f574d774d7930774e32593559324d784e3251325a6d45756347526d&amp;Fich=f4ce953f-dd34-40c8-9c03-07f9cc17d6fa.pdf&amp;Inline=true</t>
        </is>
      </c>
      <c r="AH921" s="3" t="n">
        <v>46321.77847222222</v>
      </c>
      <c r="AI921" s="3" t="n">
        <v>46321.78055555555</v>
      </c>
      <c r="AJ921" s="2" t="inlineStr"/>
    </row>
    <row r="922">
      <c r="A922" s="2" t="n">
        <v>921</v>
      </c>
      <c r="B922" s="2" t="inlineStr">
        <is>
          <t>864C</t>
        </is>
      </c>
      <c r="C922" s="3" t="n">
        <v>45967.53055555555</v>
      </c>
      <c r="D922" s="2" t="inlineStr">
        <is>
          <t>Original</t>
        </is>
      </c>
      <c r="E922" s="2" t="inlineStr">
        <is>
          <t>PCP</t>
        </is>
      </c>
      <c r="F922" s="2" t="inlineStr">
        <is>
          <t>Alfredo Maia; Paula Santos; Paulo Raimundo</t>
        </is>
      </c>
      <c r="G922" s="2" t="inlineStr">
        <is>
          <t>Art. 112.º-A (aditamento)</t>
        </is>
      </c>
      <c r="H922" s="2" t="n"/>
      <c r="I922" s="2" t="n"/>
      <c r="J922" s="2" t="n"/>
      <c r="K922" s="2" t="n"/>
      <c r="L922" s="2" t="inlineStr">
        <is>
          <t>Artigo 112.º-A (Reforço de meios humanos para o Comando Regional da Madeira da PSP)</t>
        </is>
      </c>
      <c r="M922" s="4" t="n"/>
      <c r="N922" s="4" t="n"/>
      <c r="O922" s="2" t="n"/>
      <c r="P922" s="2" t="n"/>
      <c r="Q922" s="2" t="n"/>
      <c r="R922" s="2" t="n"/>
      <c r="S922" s="2" t="inlineStr">
        <is>
          <t>Rejeitado(a) em Comissão</t>
        </is>
      </c>
      <c r="T922" s="2" t="inlineStr">
        <is>
          <t>Rejeitada</t>
        </is>
      </c>
      <c r="U922" s="2" t="inlineStr">
        <is>
          <t>Favor: CH, L, PCP, BE, PAN; Contra: PSD, CDS-PP; Abstenção: PS, IL</t>
        </is>
      </c>
      <c r="V922" s="3" t="n">
        <v>45982</v>
      </c>
      <c r="W922" s="2" t="inlineStr">
        <is>
          <t>AR: https://www.parlamento.pt/OrcamentoEstado/Paginas/DetalhePropostaAlteracao.aspx?BID=24099 PDF: https://app.parlamento.pt/webutils/docs/doc.pdf?path=6148523063484d364c793942556b356c6443397a6158526c63793959566b6c4a544556484c3039464c7a49774d6a59794d4449314d5441774f533951515338794f446b335a6a55335a4330354e4456684c54526a4d6a67744f4755314d6930794f5467355a545977596a4532595463756347526d&amp;Fich=2897f57d-945a-4c28-8e52-2989e60b16a7.pdf&amp;Inline=true</t>
        </is>
      </c>
      <c r="X922" s="2" t="inlineStr">
        <is>
          <t>Assuntos Constitucionais, Direitos, Liberdades e Garantias</t>
        </is>
      </c>
      <c r="Y922" s="2" t="inlineStr">
        <is>
          <t>Articulado</t>
        </is>
      </c>
      <c r="Z922" s="2" t="inlineStr">
        <is>
          <t>Aditamento (Artigo PPL)</t>
        </is>
      </c>
      <c r="AA922" s="2" t="inlineStr">
        <is>
          <t>Rejeitado(a) em Comissão</t>
        </is>
      </c>
      <c r="AB922" s="2" t="inlineStr"/>
      <c r="AC922" s="2" t="inlineStr"/>
      <c r="AD922" s="2" t="inlineStr">
        <is>
          <t>1</t>
        </is>
      </c>
      <c r="AE922" s="2" t="inlineStr">
        <is>
          <t>24099</t>
        </is>
      </c>
      <c r="AF922" s="2" t="inlineStr">
        <is>
          <t>https://www.parlamento.pt/OrcamentoEstado/Paginas/DetalhePropostaAlteracao.aspx?BID=24099</t>
        </is>
      </c>
      <c r="AG922" s="2" t="inlineStr">
        <is>
          <t>https://app.parlamento.pt/webutils/docs/doc.pdf?path=6148523063484d364c793942556b356c6443397a6158526c63793959566b6c4a544556484c3039464c7a49774d6a59794d4449314d5441774f533951515338794f446b335a6a55335a4330354e4456684c54526a4d6a67744f4755314d6930794f5467355a545977596a4532595463756347526d&amp;Fich=2897f57d-945a-4c28-8e52-2989e60b16a7.pdf&amp;Inline=true</t>
        </is>
      </c>
      <c r="AH922" s="3" t="n">
        <v>46321.77847222222</v>
      </c>
      <c r="AI922" s="3" t="n">
        <v>46321.78055555555</v>
      </c>
      <c r="AJ922" s="2" t="inlineStr"/>
    </row>
    <row r="923">
      <c r="A923" s="2" t="n">
        <v>922</v>
      </c>
      <c r="B923" s="2" t="inlineStr">
        <is>
          <t>865C</t>
        </is>
      </c>
      <c r="C923" s="3" t="n">
        <v>45967.53125</v>
      </c>
      <c r="D923" s="2" t="inlineStr">
        <is>
          <t>Original</t>
        </is>
      </c>
      <c r="E923" s="2" t="inlineStr">
        <is>
          <t>PCP</t>
        </is>
      </c>
      <c r="F923" s="2" t="inlineStr">
        <is>
          <t>Alfredo Maia; Paula Santos; Paulo Raimundo</t>
        </is>
      </c>
      <c r="G923" s="2" t="inlineStr">
        <is>
          <t>Art. 112.º-A (aditamento)</t>
        </is>
      </c>
      <c r="H923" s="2" t="n"/>
      <c r="I923" s="2" t="n"/>
      <c r="J923" s="2" t="n"/>
      <c r="K923" s="2" t="n"/>
      <c r="L923" s="2" t="inlineStr">
        <is>
          <t>Artigo 112.º-A (Reforço de recursos humanos para aumentar a capacidade de resposta de ajuda domiciliária na Região Autónoma da Madeira)</t>
        </is>
      </c>
      <c r="M923" s="4" t="n"/>
      <c r="N923" s="4" t="n"/>
      <c r="O923" s="2" t="n"/>
      <c r="P923" s="2" t="n"/>
      <c r="Q923" s="2" t="n"/>
      <c r="R923" s="2" t="n"/>
      <c r="S923" s="2" t="inlineStr">
        <is>
          <t>Rejeitado(a) em Comissão</t>
        </is>
      </c>
      <c r="T923" s="2" t="inlineStr">
        <is>
          <t>Rejeitada</t>
        </is>
      </c>
      <c r="U923" s="2" t="inlineStr">
        <is>
          <t>Favor: CH, L, PCP, BE, PAN; Contra: PSD, IL, CDS-PP; Abstenção: PS</t>
        </is>
      </c>
      <c r="V923" s="3" t="n">
        <v>45982</v>
      </c>
      <c r="W923" s="2" t="inlineStr">
        <is>
          <t>AR: https://www.parlamento.pt/OrcamentoEstado/Paginas/DetalhePropostaAlteracao.aspx?BID=24100 PDF: https://app.parlamento.pt/webutils/docs/doc.pdf?path=6148523063484d364c793942556b356c6443397a6158526c63793959566b6c4a544556484c3039464c7a49774d6a59794d4449314d5441774f533951515339684d6a466b4d7a566d5a4331694e6a5a6a4c5452684d3249744f4745314d5330794d6a417a4d3251314e6d4669597a41756347526d&amp;Fich=a21d35fd-b66c-4a3b-8a51-22033d56abc0.pdf&amp;Inline=true</t>
        </is>
      </c>
      <c r="X923" s="2" t="inlineStr">
        <is>
          <t>Trabalho, Segurança Social e Inclusão</t>
        </is>
      </c>
      <c r="Y923" s="2" t="inlineStr">
        <is>
          <t>Articulado</t>
        </is>
      </c>
      <c r="Z923" s="2" t="inlineStr">
        <is>
          <t>Aditamento (Artigo PPL)</t>
        </is>
      </c>
      <c r="AA923" s="2" t="inlineStr">
        <is>
          <t>Rejeitado(a) em Comissão</t>
        </is>
      </c>
      <c r="AB923" s="2" t="inlineStr"/>
      <c r="AC923" s="2" t="inlineStr"/>
      <c r="AD923" s="2" t="inlineStr">
        <is>
          <t>1</t>
        </is>
      </c>
      <c r="AE923" s="2" t="inlineStr">
        <is>
          <t>24100</t>
        </is>
      </c>
      <c r="AF923" s="2" t="inlineStr">
        <is>
          <t>https://www.parlamento.pt/OrcamentoEstado/Paginas/DetalhePropostaAlteracao.aspx?BID=24100</t>
        </is>
      </c>
      <c r="AG923" s="2" t="inlineStr">
        <is>
          <t>https://app.parlamento.pt/webutils/docs/doc.pdf?path=6148523063484d364c793942556b356c6443397a6158526c63793959566b6c4a544556484c3039464c7a49774d6a59794d4449314d5441774f533951515339684d6a466b4d7a566d5a4331694e6a5a6a4c5452684d3249744f4745314d5330794d6a417a4d3251314e6d4669597a41756347526d&amp;Fich=a21d35fd-b66c-4a3b-8a51-22033d56abc0.pdf&amp;Inline=true</t>
        </is>
      </c>
      <c r="AH923" s="3" t="n">
        <v>46321.77847222222</v>
      </c>
      <c r="AI923" s="3" t="n">
        <v>46321.78055555555</v>
      </c>
      <c r="AJ923" s="2" t="inlineStr"/>
    </row>
    <row r="924">
      <c r="A924" s="2" t="n">
        <v>923</v>
      </c>
      <c r="B924" s="2" t="inlineStr">
        <is>
          <t>866C</t>
        </is>
      </c>
      <c r="C924" s="3" t="n">
        <v>45967.53194444445</v>
      </c>
      <c r="D924" s="2" t="inlineStr">
        <is>
          <t>Original</t>
        </is>
      </c>
      <c r="E924" s="2" t="inlineStr">
        <is>
          <t>PCP</t>
        </is>
      </c>
      <c r="F924" s="2" t="inlineStr">
        <is>
          <t>Alfredo Maia; Paula Santos; Paulo Raimundo</t>
        </is>
      </c>
      <c r="G924" s="2" t="inlineStr">
        <is>
          <t>Art. 112.º-A (aditamento)</t>
        </is>
      </c>
      <c r="H924" s="2" t="n"/>
      <c r="I924" s="2" t="n"/>
      <c r="J924" s="2" t="n"/>
      <c r="K924" s="2" t="n"/>
      <c r="L924" s="2" t="inlineStr">
        <is>
          <t>Artigo 112.º-A (Centro de Produção da RTP-Madeira)</t>
        </is>
      </c>
      <c r="M924" s="4" t="n"/>
      <c r="N924" s="4" t="n"/>
      <c r="O924" s="2" t="n"/>
      <c r="P924" s="2" t="n"/>
      <c r="Q924" s="2" t="n"/>
      <c r="R924" s="2" t="n"/>
      <c r="S924" s="2" t="inlineStr">
        <is>
          <t>Rejeitado(a) em Comissão</t>
        </is>
      </c>
      <c r="T924" s="2" t="inlineStr">
        <is>
          <t>Rejeitada</t>
        </is>
      </c>
      <c r="U924" s="2" t="inlineStr">
        <is>
          <t>Favor: L, PCP, BE, PAN; Contra: PSD, IL, CDS-PP; Abstenção: CH, PS</t>
        </is>
      </c>
      <c r="V924" s="3" t="n">
        <v>45982</v>
      </c>
      <c r="W924" s="2" t="inlineStr">
        <is>
          <t>AR: https://www.parlamento.pt/OrcamentoEstado/Paginas/DetalhePropostaAlteracao.aspx?BID=24101 PDF: https://app.parlamento.pt/webutils/docs/doc.pdf?path=6148523063484d364c793942556b356c6443397a6158526c63793959566b6c4a544556484c3039464c7a49774d6a59794d4449314d5441774f5339515153396d597a4d345a6a4d324d6930314e444d314c54526c4f5759744f474d345969316b4d32517a4d5746694f5445344e6a45756347526d&amp;Fich=fc38f362-5435-4e9f-8c8b-d3d31ab91861.pdf&amp;Inline=true</t>
        </is>
      </c>
      <c r="X924" s="2" t="inlineStr">
        <is>
          <t>Cultura, Comunicação, Juventude e Desporto</t>
        </is>
      </c>
      <c r="Y924" s="2" t="inlineStr">
        <is>
          <t>Articulado</t>
        </is>
      </c>
      <c r="Z924" s="2" t="inlineStr">
        <is>
          <t>Aditamento (Artigo PPL)</t>
        </is>
      </c>
      <c r="AA924" s="2" t="inlineStr">
        <is>
          <t>Rejeitado(a) em Comissão</t>
        </is>
      </c>
      <c r="AB924" s="2" t="inlineStr"/>
      <c r="AC924" s="2" t="inlineStr"/>
      <c r="AD924" s="2" t="inlineStr">
        <is>
          <t>1</t>
        </is>
      </c>
      <c r="AE924" s="2" t="inlineStr">
        <is>
          <t>24101</t>
        </is>
      </c>
      <c r="AF924" s="2" t="inlineStr">
        <is>
          <t>https://www.parlamento.pt/OrcamentoEstado/Paginas/DetalhePropostaAlteracao.aspx?BID=24101</t>
        </is>
      </c>
      <c r="AG924" s="2" t="inlineStr">
        <is>
          <t>https://app.parlamento.pt/webutils/docs/doc.pdf?path=6148523063484d364c793942556b356c6443397a6158526c63793959566b6c4a544556484c3039464c7a49774d6a59794d4449314d5441774f5339515153396d597a4d345a6a4d324d6930314e444d314c54526c4f5759744f474d345969316b4d32517a4d5746694f5445344e6a45756347526d&amp;Fich=fc38f362-5435-4e9f-8c8b-d3d31ab91861.pdf&amp;Inline=true</t>
        </is>
      </c>
      <c r="AH924" s="3" t="n">
        <v>46321.77847222222</v>
      </c>
      <c r="AI924" s="3" t="n">
        <v>46321.78055555555</v>
      </c>
      <c r="AJ924" s="2" t="inlineStr"/>
    </row>
    <row r="925">
      <c r="A925" s="2" t="n">
        <v>924</v>
      </c>
      <c r="B925" s="2" t="inlineStr">
        <is>
          <t>867C</t>
        </is>
      </c>
      <c r="C925" s="3" t="n">
        <v>45967.53263888889</v>
      </c>
      <c r="D925" s="2" t="inlineStr">
        <is>
          <t>Original</t>
        </is>
      </c>
      <c r="E925" s="2" t="inlineStr">
        <is>
          <t>PCP</t>
        </is>
      </c>
      <c r="F925" s="2" t="inlineStr">
        <is>
          <t>Alfredo Maia; Paula Santos; Paulo Raimundo</t>
        </is>
      </c>
      <c r="G925" s="2" t="inlineStr">
        <is>
          <t>Art. 112.º-A (aditamento)</t>
        </is>
      </c>
      <c r="H925" s="2" t="n"/>
      <c r="I925" s="2" t="n"/>
      <c r="J925" s="2" t="n"/>
      <c r="K925" s="2" t="n"/>
      <c r="L925" s="2" t="inlineStr">
        <is>
          <t>Artigo 112.º-A (Transporte marítimo regular de passageiros entre a Ilha da Madeira e o Continente)</t>
        </is>
      </c>
      <c r="M925" s="4" t="n"/>
      <c r="N925" s="4" t="n"/>
      <c r="O925" s="2" t="n"/>
      <c r="P925" s="2" t="n"/>
      <c r="Q925" s="2" t="n"/>
      <c r="R925" s="2" t="n"/>
      <c r="S925" s="2" t="inlineStr">
        <is>
          <t>Rejeitado(a) em Comissão</t>
        </is>
      </c>
      <c r="T925" s="2" t="inlineStr">
        <is>
          <t>Rejeitada</t>
        </is>
      </c>
      <c r="U925" s="2" t="inlineStr">
        <is>
          <t>Favor: L, PCP, BE, PAN; Contra: PSD, IL, CDS-PP; Abstenção: CH, PS</t>
        </is>
      </c>
      <c r="V925" s="3" t="n">
        <v>45982</v>
      </c>
      <c r="W925" s="2" t="inlineStr">
        <is>
          <t>AR: https://www.parlamento.pt/OrcamentoEstado/Paginas/DetalhePropostaAlteracao.aspx?BID=24102 PDF: https://app.parlamento.pt/webutils/docs/doc.pdf?path=6148523063484d364c793942556b356c6443397a6158526c63793959566b6c4a544556484c3039464c7a49774d6a59794d4449314d5441774f5339515153396d4e475a6a59574e684e7931694e7a646b4c5451304d4751744f57466d4e5330334e545a6d4f4745774e7a6b304f544d756347526d&amp;Fich=f4fcaca7-b77d-440d-9af5-756f8a079493.pdf&amp;Inline=true</t>
        </is>
      </c>
      <c r="X925" s="2" t="inlineStr">
        <is>
          <t>Infraestruturas, Mobilidade e Habitação</t>
        </is>
      </c>
      <c r="Y925" s="2" t="inlineStr">
        <is>
          <t>Articulado</t>
        </is>
      </c>
      <c r="Z925" s="2" t="inlineStr">
        <is>
          <t>Aditamento (Artigo PPL)</t>
        </is>
      </c>
      <c r="AA925" s="2" t="inlineStr">
        <is>
          <t>Rejeitado(a) em Comissão</t>
        </is>
      </c>
      <c r="AB925" s="2" t="inlineStr"/>
      <c r="AC925" s="2" t="inlineStr"/>
      <c r="AD925" s="2" t="inlineStr">
        <is>
          <t>1</t>
        </is>
      </c>
      <c r="AE925" s="2" t="inlineStr">
        <is>
          <t>24102</t>
        </is>
      </c>
      <c r="AF925" s="2" t="inlineStr">
        <is>
          <t>https://www.parlamento.pt/OrcamentoEstado/Paginas/DetalhePropostaAlteracao.aspx?BID=24102</t>
        </is>
      </c>
      <c r="AG925" s="2" t="inlineStr">
        <is>
          <t>https://app.parlamento.pt/webutils/docs/doc.pdf?path=6148523063484d364c793942556b356c6443397a6158526c63793959566b6c4a544556484c3039464c7a49774d6a59794d4449314d5441774f5339515153396d4e475a6a59574e684e7931694e7a646b4c5451304d4751744f57466d4e5330334e545a6d4f4745774e7a6b304f544d756347526d&amp;Fich=f4fcaca7-b77d-440d-9af5-756f8a079493.pdf&amp;Inline=true</t>
        </is>
      </c>
      <c r="AH925" s="3" t="n">
        <v>46321.77847222222</v>
      </c>
      <c r="AI925" s="3" t="n">
        <v>46321.78055555555</v>
      </c>
      <c r="AJ925" s="2" t="inlineStr"/>
    </row>
    <row r="926">
      <c r="A926" s="2" t="n">
        <v>925</v>
      </c>
      <c r="B926" s="2" t="inlineStr">
        <is>
          <t>868C</t>
        </is>
      </c>
      <c r="C926" s="3" t="n">
        <v>45967.53333333333</v>
      </c>
      <c r="D926" s="2" t="inlineStr">
        <is>
          <t>Original</t>
        </is>
      </c>
      <c r="E926" s="2" t="inlineStr">
        <is>
          <t>PCP</t>
        </is>
      </c>
      <c r="F926" s="2" t="inlineStr">
        <is>
          <t>Alfredo Maia; Paula Santos; Paulo Raimundo</t>
        </is>
      </c>
      <c r="G926" s="2" t="inlineStr">
        <is>
          <t>Art. 112.º-A (aditamento)</t>
        </is>
      </c>
      <c r="H926" s="2" t="n"/>
      <c r="I926" s="2" t="n"/>
      <c r="J926" s="2" t="n"/>
      <c r="K926" s="2" t="n"/>
      <c r="L926" s="2" t="inlineStr">
        <is>
          <t>Artigo 112.º-A (Redução de taxas aeroportuárias nos aeroportos da Madeira e do Porto Santo)</t>
        </is>
      </c>
      <c r="M926" s="4" t="n"/>
      <c r="N926" s="4" t="n"/>
      <c r="O926" s="2" t="n"/>
      <c r="P926" s="2" t="n"/>
      <c r="Q926" s="2" t="n"/>
      <c r="R926" s="2" t="n"/>
      <c r="S926" s="2" t="inlineStr">
        <is>
          <t>Rejeitado(a) em Comissão</t>
        </is>
      </c>
      <c r="T926" s="2" t="inlineStr">
        <is>
          <t>Rejeitada</t>
        </is>
      </c>
      <c r="U926" s="2" t="inlineStr">
        <is>
          <t>Favor: CH, PCP, BE; Contra: PSD, IL, CDS-PP, PAN; Abstenção: PS, L</t>
        </is>
      </c>
      <c r="V926" s="3" t="n">
        <v>45982</v>
      </c>
      <c r="W926" s="2" t="inlineStr">
        <is>
          <t>AR: https://www.parlamento.pt/OrcamentoEstado/Paginas/DetalhePropostaAlteracao.aspx?BID=24103 PDF: https://app.parlamento.pt/webutils/docs/doc.pdf?path=6148523063484d364c793942556b356c6443397a6158526c63793959566b6c4a544556484c3039464c7a49774d6a59794d4449314d5441774f5339515153396d4d445a69597a526a4d4331684e7a67324c545131596d45744f444d774d4330355a6a51774e7a63354d474d305a6a41756347526d&amp;Fich=f06bc4c0-a786-45ba-8300-9f407790c4f0.pdf&amp;Inline=true</t>
        </is>
      </c>
      <c r="X926" s="2" t="inlineStr">
        <is>
          <t>Infraestruturas, Mobilidade e Habitação</t>
        </is>
      </c>
      <c r="Y926" s="2" t="inlineStr">
        <is>
          <t>Articulado</t>
        </is>
      </c>
      <c r="Z926" s="2" t="inlineStr">
        <is>
          <t>Aditamento (Artigo PPL)</t>
        </is>
      </c>
      <c r="AA926" s="2" t="inlineStr">
        <is>
          <t>Rejeitado(a) em Comissão</t>
        </is>
      </c>
      <c r="AB926" s="2" t="inlineStr"/>
      <c r="AC926" s="2" t="inlineStr"/>
      <c r="AD926" s="2" t="inlineStr">
        <is>
          <t>1</t>
        </is>
      </c>
      <c r="AE926" s="2" t="inlineStr">
        <is>
          <t>24103</t>
        </is>
      </c>
      <c r="AF926" s="2" t="inlineStr">
        <is>
          <t>https://www.parlamento.pt/OrcamentoEstado/Paginas/DetalhePropostaAlteracao.aspx?BID=24103</t>
        </is>
      </c>
      <c r="AG926" s="2" t="inlineStr">
        <is>
          <t>https://app.parlamento.pt/webutils/docs/doc.pdf?path=6148523063484d364c793942556b356c6443397a6158526c63793959566b6c4a544556484c3039464c7a49774d6a59794d4449314d5441774f5339515153396d4d445a69597a526a4d4331684e7a67324c545131596d45744f444d774d4330355a6a51774e7a63354d474d305a6a41756347526d&amp;Fich=f06bc4c0-a786-45ba-8300-9f407790c4f0.pdf&amp;Inline=true</t>
        </is>
      </c>
      <c r="AH926" s="3" t="n">
        <v>46321.77847222222</v>
      </c>
      <c r="AI926" s="3" t="n">
        <v>46321.78055555555</v>
      </c>
      <c r="AJ926" s="2" t="inlineStr"/>
    </row>
    <row r="927">
      <c r="A927" s="2" t="n">
        <v>926</v>
      </c>
      <c r="B927" s="2" t="inlineStr">
        <is>
          <t>869C</t>
        </is>
      </c>
      <c r="C927" s="3" t="n">
        <v>45967.53402777778</v>
      </c>
      <c r="D927" s="2" t="inlineStr">
        <is>
          <t>Original</t>
        </is>
      </c>
      <c r="E927" s="2" t="inlineStr">
        <is>
          <t>PCP</t>
        </is>
      </c>
      <c r="F927" s="2" t="inlineStr">
        <is>
          <t>Alfredo Maia; Paula Santos; Paulo Raimundo</t>
        </is>
      </c>
      <c r="G927" s="2" t="inlineStr">
        <is>
          <t>Art. 27.º-A (aditamento)</t>
        </is>
      </c>
      <c r="H927" s="2" t="n"/>
      <c r="I927" s="2" t="n"/>
      <c r="J927" s="2" t="n"/>
      <c r="K927" s="2" t="n"/>
      <c r="L927" s="2" t="inlineStr">
        <is>
          <t>Artigo 27.º-A (Remuneração mínima garantida para os trabalhadores da administração pública central e instituições e institutos dependentes do Estado a desempenhar funções na Região Autónoma da Madeira)</t>
        </is>
      </c>
      <c r="M927" s="4" t="n"/>
      <c r="N927" s="4" t="n"/>
      <c r="O927" s="2" t="n"/>
      <c r="P927" s="2" t="n"/>
      <c r="Q927" s="2" t="n"/>
      <c r="R927" s="2" t="n"/>
      <c r="S927" s="2" t="inlineStr">
        <is>
          <t>Rejeitado(a) em Comissão</t>
        </is>
      </c>
      <c r="T927" s="2" t="inlineStr">
        <is>
          <t>Rejeitada</t>
        </is>
      </c>
      <c r="U927" s="2" t="inlineStr">
        <is>
          <t>Favor: CH, L, PCP, BE, PAN; Contra: PSD, IL, CDS-PP; Abstenção: PS</t>
        </is>
      </c>
      <c r="V927" s="3" t="n">
        <v>45981</v>
      </c>
      <c r="W927" s="2" t="inlineStr">
        <is>
          <t>AR: https://www.parlamento.pt/OrcamentoEstado/Paginas/DetalhePropostaAlteracao.aspx?BID=24104 PDF: https://app.parlamento.pt/webutils/docs/doc.pdf?path=6148523063484d364c793942556b356c6443397a6158526c63793959566b6c4a544556484c3039464c7a49774d6a59794d4449314d5441774f5339515153396c59545a694e474d794f5330344d44526c4c5451354e7a4d744f5751355a6930774f5446684e5463355a5759344f4441756347526d&amp;Fich=ea6b4c29-804e-4973-9d9f-091a579ef880.pdf&amp;Inline=true</t>
        </is>
      </c>
      <c r="X927" s="2" t="inlineStr">
        <is>
          <t>Trabalho, Segurança Social e Inclusão</t>
        </is>
      </c>
      <c r="Y927" s="2" t="inlineStr">
        <is>
          <t>Articulado</t>
        </is>
      </c>
      <c r="Z927" s="2" t="inlineStr">
        <is>
          <t>Aditamento (Artigo PPL)</t>
        </is>
      </c>
      <c r="AA927" s="2" t="inlineStr">
        <is>
          <t>Rejeitado(a) em Comissão</t>
        </is>
      </c>
      <c r="AB927" s="2" t="inlineStr"/>
      <c r="AC927" s="2" t="inlineStr"/>
      <c r="AD927" s="2" t="inlineStr">
        <is>
          <t>1</t>
        </is>
      </c>
      <c r="AE927" s="2" t="inlineStr">
        <is>
          <t>24104</t>
        </is>
      </c>
      <c r="AF927" s="2" t="inlineStr">
        <is>
          <t>https://www.parlamento.pt/OrcamentoEstado/Paginas/DetalhePropostaAlteracao.aspx?BID=24104</t>
        </is>
      </c>
      <c r="AG927" s="2" t="inlineStr">
        <is>
          <t>https://app.parlamento.pt/webutils/docs/doc.pdf?path=6148523063484d364c793942556b356c6443397a6158526c63793959566b6c4a544556484c3039464c7a49774d6a59794d4449314d5441774f5339515153396c59545a694e474d794f5330344d44526c4c5451354e7a4d744f5751355a6930774f5446684e5463355a5759344f4441756347526d&amp;Fich=ea6b4c29-804e-4973-9d9f-091a579ef880.pdf&amp;Inline=true</t>
        </is>
      </c>
      <c r="AH927" s="3" t="n">
        <v>46321.77847222222</v>
      </c>
      <c r="AI927" s="3" t="n">
        <v>46321.78055555555</v>
      </c>
      <c r="AJ927" s="2" t="inlineStr"/>
    </row>
    <row r="928">
      <c r="A928" s="2" t="n">
        <v>927</v>
      </c>
      <c r="B928" s="2" t="inlineStr">
        <is>
          <t>870C</t>
        </is>
      </c>
      <c r="C928" s="3" t="n">
        <v>45967.58194444444</v>
      </c>
      <c r="D928" s="2" t="inlineStr">
        <is>
          <t>Original</t>
        </is>
      </c>
      <c r="E928" s="2" t="inlineStr">
        <is>
          <t>L</t>
        </is>
      </c>
      <c r="F928" s="2" t="inlineStr">
        <is>
          <t>Filipa Pinto; Isabel Mendes Lopes; Jorge Pinto; Patrícia Gonçalves; Paulo Muacho; Rui Tavares</t>
        </is>
      </c>
      <c r="G928" s="2" t="inlineStr">
        <is>
          <t>Art. 60.º (aditamento)</t>
        </is>
      </c>
      <c r="H928" s="2" t="n"/>
      <c r="I928" s="2" t="n"/>
      <c r="J928" s="2" t="n"/>
      <c r="K928" s="2" t="n"/>
      <c r="L928" s="2" t="inlineStr">
        <is>
          <t>N.º 11, Artigo 22.º do Código do IRS</t>
        </is>
      </c>
      <c r="M928" s="4" t="n"/>
      <c r="N928" s="4" t="n"/>
      <c r="O928" s="2" t="n"/>
      <c r="P928" s="2" t="n"/>
      <c r="Q928" s="2" t="n"/>
      <c r="R928" s="2" t="n"/>
      <c r="S928" s="2" t="inlineStr">
        <is>
          <t>Rejeitado(a) em Comissão</t>
        </is>
      </c>
      <c r="T928" s="2" t="inlineStr">
        <is>
          <t>Rejeitada</t>
        </is>
      </c>
      <c r="U928" s="2" t="inlineStr">
        <is>
          <t>Favor: PS, IL, L, BE, PAN; Contra: PSD, CDS-PP; Abstenção: CH, PCP</t>
        </is>
      </c>
      <c r="V928" s="3" t="n">
        <v>45981</v>
      </c>
      <c r="W928" s="2" t="inlineStr">
        <is>
          <t>AR: https://www.parlamento.pt/OrcamentoEstado/Paginas/DetalhePropostaAlteracao.aspx?BID=24105 PDF: https://app.parlamento.pt/webutils/docs/doc.pdf?path=6148523063484d364c793942556b356c6443397a6158526c63793959566b6c4a544556484c3039464c7a49774d6a59794d4449314d5441774f5339515153396a4f575a6d4e6a646c4d5330784e6a51344c54526d5a544d744f475135595331684d474e6d4d574d354d7a55774e3245756347526d&amp;Fich=c9ff67e1-1648-4fe3-8d9a-a0cf1c93507a.pdf&amp;Inline=true</t>
        </is>
      </c>
      <c r="X928" s="2" t="inlineStr">
        <is>
          <t>Orçamento, Finanças e Administração Pública</t>
        </is>
      </c>
      <c r="Y928" s="2" t="inlineStr">
        <is>
          <t>Articulado</t>
        </is>
      </c>
      <c r="Z928" s="2" t="inlineStr">
        <is>
          <t>Aditamento (Números e Alíneas)</t>
        </is>
      </c>
      <c r="AA928" s="2" t="inlineStr">
        <is>
          <t>Rejeitado(a) em Comissão</t>
        </is>
      </c>
      <c r="AB928" s="2" t="inlineStr"/>
      <c r="AC928" s="2" t="inlineStr"/>
      <c r="AD928" s="2" t="inlineStr">
        <is>
          <t>1</t>
        </is>
      </c>
      <c r="AE928" s="2" t="inlineStr">
        <is>
          <t>24105</t>
        </is>
      </c>
      <c r="AF928" s="2" t="inlineStr">
        <is>
          <t>https://www.parlamento.pt/OrcamentoEstado/Paginas/DetalhePropostaAlteracao.aspx?BID=24105</t>
        </is>
      </c>
      <c r="AG928" s="2" t="inlineStr">
        <is>
          <t>https://app.parlamento.pt/webutils/docs/doc.pdf?path=6148523063484d364c793942556b356c6443397a6158526c63793959566b6c4a544556484c3039464c7a49774d6a59794d4449314d5441774f5339515153396a4f575a6d4e6a646c4d5330784e6a51344c54526d5a544d744f475135595331684d474e6d4d574d354d7a55774e3245756347526d&amp;Fich=c9ff67e1-1648-4fe3-8d9a-a0cf1c93507a.pdf&amp;Inline=true</t>
        </is>
      </c>
      <c r="AH928" s="3" t="n">
        <v>46321.77847222222</v>
      </c>
      <c r="AI928" s="3" t="n">
        <v>46321.78055555555</v>
      </c>
      <c r="AJ928" s="2" t="inlineStr"/>
    </row>
    <row r="929">
      <c r="A929" s="2" t="n">
        <v>928</v>
      </c>
      <c r="B929" s="2" t="inlineStr">
        <is>
          <t>871C</t>
        </is>
      </c>
      <c r="C929" s="3" t="n">
        <v>45967.58402777778</v>
      </c>
      <c r="D929" s="2" t="inlineStr">
        <is>
          <t>Original</t>
        </is>
      </c>
      <c r="E929" s="2" t="inlineStr">
        <is>
          <t>L</t>
        </is>
      </c>
      <c r="F929" s="2" t="inlineStr">
        <is>
          <t>Filipa Pinto; Isabel Mendes Lopes; Jorge Pinto; Patrícia Gonçalves; Paulo Muacho; Rui Tavares</t>
        </is>
      </c>
      <c r="G929" s="2" t="inlineStr">
        <is>
          <t>Art. 83.º-A (aditamento)</t>
        </is>
      </c>
      <c r="H929" s="2" t="n"/>
      <c r="I929" s="2" t="n"/>
      <c r="J929" s="2" t="n"/>
      <c r="K929" s="2" t="n"/>
      <c r="L929" s="2" t="inlineStr">
        <is>
          <t>Artigo 83.º-A (Alargamento do regime de crédito bonificado à habitação aos membros do agregado familiar da pessoa com deficiência)</t>
        </is>
      </c>
      <c r="M929" s="4" t="n"/>
      <c r="N929" s="4" t="n"/>
      <c r="O929" s="2" t="n"/>
      <c r="P929" s="2" t="n"/>
      <c r="Q929" s="2" t="n"/>
      <c r="R929" s="2" t="n"/>
      <c r="S929" s="2" t="inlineStr">
        <is>
          <t>Rejeitado(a) em Comissão</t>
        </is>
      </c>
      <c r="T929" s="2" t="inlineStr">
        <is>
          <t>Rejeitada</t>
        </is>
      </c>
      <c r="U929" s="2" t="inlineStr">
        <is>
          <t>Favor: L, PCP, BE, PAN; Contra: PSD, CDS-PP; Abstenção: CH, PS, IL</t>
        </is>
      </c>
      <c r="V929" s="3" t="n">
        <v>45982</v>
      </c>
      <c r="W929" s="2" t="inlineStr">
        <is>
          <t>AR: https://www.parlamento.pt/OrcamentoEstado/Paginas/DetalhePropostaAlteracao.aspx?BID=24106 PDF: https://app.parlamento.pt/webutils/docs/doc.pdf?path=6148523063484d364c793942556b356c6443397a6158526c63793959566b6c4a544556484c3039464c7a49774d6a59794d4449314d5441774f533951515338774d5451784e545268596931695a5459324c5451344d6d49744f4468684e6930774e7a6b354e574d7a4d544669595467756347526d&amp;Fich=014154ab-be66-482b-88a6-07995c311ba8.pdf&amp;Inline=true</t>
        </is>
      </c>
      <c r="X929" s="2" t="inlineStr">
        <is>
          <t>Infraestruturas, Mobilidade e Habitação</t>
        </is>
      </c>
      <c r="Y929" s="2" t="inlineStr">
        <is>
          <t>Articulado</t>
        </is>
      </c>
      <c r="Z929" s="2" t="inlineStr">
        <is>
          <t>Aditamento (Artigo PPL)</t>
        </is>
      </c>
      <c r="AA929" s="2" t="inlineStr">
        <is>
          <t>Rejeitado(a) em Comissão</t>
        </is>
      </c>
      <c r="AB929" s="2" t="inlineStr"/>
      <c r="AC929" s="2" t="inlineStr"/>
      <c r="AD929" s="2" t="inlineStr">
        <is>
          <t>1</t>
        </is>
      </c>
      <c r="AE929" s="2" t="inlineStr">
        <is>
          <t>24106</t>
        </is>
      </c>
      <c r="AF929" s="2" t="inlineStr">
        <is>
          <t>https://www.parlamento.pt/OrcamentoEstado/Paginas/DetalhePropostaAlteracao.aspx?BID=24106</t>
        </is>
      </c>
      <c r="AG929" s="2" t="inlineStr">
        <is>
          <t>https://app.parlamento.pt/webutils/docs/doc.pdf?path=6148523063484d364c793942556b356c6443397a6158526c63793959566b6c4a544556484c3039464c7a49774d6a59794d4449314d5441774f533951515338774d5451784e545268596931695a5459324c5451344d6d49744f4468684e6930774e7a6b354e574d7a4d544669595467756347526d&amp;Fich=014154ab-be66-482b-88a6-07995c311ba8.pdf&amp;Inline=true</t>
        </is>
      </c>
      <c r="AH929" s="3" t="n">
        <v>46321.77847222222</v>
      </c>
      <c r="AI929" s="3" t="n">
        <v>46321.78055555555</v>
      </c>
      <c r="AJ929" s="2" t="inlineStr"/>
    </row>
    <row r="930">
      <c r="A930" s="2" t="n">
        <v>929</v>
      </c>
      <c r="B930" s="2" t="inlineStr">
        <is>
          <t>872C</t>
        </is>
      </c>
      <c r="C930" s="3" t="n">
        <v>45967.58611111111</v>
      </c>
      <c r="D930" s="2" t="inlineStr">
        <is>
          <t>Original</t>
        </is>
      </c>
      <c r="E930" s="2" t="inlineStr">
        <is>
          <t>L</t>
        </is>
      </c>
      <c r="F930" s="2" t="inlineStr">
        <is>
          <t>Filipa Pinto; Isabel Mendes Lopes; Jorge Pinto; Patrícia Gonçalves; Paulo Muacho; Rui Tavares</t>
        </is>
      </c>
      <c r="G930" s="2" t="inlineStr">
        <is>
          <t>Art. 112.º-A (aditamento)</t>
        </is>
      </c>
      <c r="H930" s="2" t="n"/>
      <c r="I930" s="2" t="n"/>
      <c r="J930" s="2" t="n"/>
      <c r="K930" s="2" t="n"/>
      <c r="L930" s="2" t="inlineStr">
        <is>
          <t>Artigo 112.º-A (Criação do Programa Bairro é Comunidade)</t>
        </is>
      </c>
      <c r="M930" s="4" t="n"/>
      <c r="N930" s="4" t="n"/>
      <c r="O930" s="2" t="n"/>
      <c r="P930" s="2" t="n"/>
      <c r="Q930" s="2" t="n"/>
      <c r="R930" s="2" t="n"/>
      <c r="S930" s="2" t="inlineStr">
        <is>
          <t>Rejeitado(a) em Comissão</t>
        </is>
      </c>
      <c r="T930" s="2" t="inlineStr">
        <is>
          <t>Rejeitada</t>
        </is>
      </c>
      <c r="U930" s="2" t="inlineStr">
        <is>
          <t>Favor: L, BE, PAN; Contra: PSD, CH, IL, CDS-PP; Abstenção: PS, PCP</t>
        </is>
      </c>
      <c r="V930" s="3" t="n">
        <v>45982</v>
      </c>
      <c r="W930" s="2" t="inlineStr">
        <is>
          <t>AR: https://www.parlamento.pt/OrcamentoEstado/Paginas/DetalhePropostaAlteracao.aspx?BID=24107 PDF: https://app.parlamento.pt/webutils/docs/doc.pdf?path=6148523063484d364c793942556b356c6443397a6158526c63793959566b6c4a544556484c3039464c7a49774d6a59794d4449314d5441774f533951515339695a5445304f574d354d4330355a4759774c5451354f446374596a4668597930325a6a5931596d56684f5449305a5451756347526d&amp;Fich=be149c90-9df0-4987-b1ac-6f65bea924e4.pdf&amp;Inline=true</t>
        </is>
      </c>
      <c r="X930" s="2" t="inlineStr">
        <is>
          <t>Infraestruturas, Mobilidade e Habitação</t>
        </is>
      </c>
      <c r="Y930" s="2" t="inlineStr">
        <is>
          <t>Articulado</t>
        </is>
      </c>
      <c r="Z930" s="2" t="inlineStr">
        <is>
          <t>Aditamento (Artigo PPL)</t>
        </is>
      </c>
      <c r="AA930" s="2" t="inlineStr">
        <is>
          <t>Rejeitado(a) em Comissão</t>
        </is>
      </c>
      <c r="AB930" s="2" t="inlineStr"/>
      <c r="AC930" s="2" t="inlineStr"/>
      <c r="AD930" s="2" t="inlineStr">
        <is>
          <t>1</t>
        </is>
      </c>
      <c r="AE930" s="2" t="inlineStr">
        <is>
          <t>24107</t>
        </is>
      </c>
      <c r="AF930" s="2" t="inlineStr">
        <is>
          <t>https://www.parlamento.pt/OrcamentoEstado/Paginas/DetalhePropostaAlteracao.aspx?BID=24107</t>
        </is>
      </c>
      <c r="AG930" s="2" t="inlineStr">
        <is>
          <t>https://app.parlamento.pt/webutils/docs/doc.pdf?path=6148523063484d364c793942556b356c6443397a6158526c63793959566b6c4a544556484c3039464c7a49774d6a59794d4449314d5441774f533951515339695a5445304f574d354d4330355a4759774c5451354f446374596a4668597930325a6a5931596d56684f5449305a5451756347526d&amp;Fich=be149c90-9df0-4987-b1ac-6f65bea924e4.pdf&amp;Inline=true</t>
        </is>
      </c>
      <c r="AH930" s="3" t="n">
        <v>46321.77847222222</v>
      </c>
      <c r="AI930" s="3" t="n">
        <v>46321.78055555555</v>
      </c>
      <c r="AJ930" s="2" t="inlineStr"/>
    </row>
    <row r="931">
      <c r="A931" s="2" t="n">
        <v>930</v>
      </c>
      <c r="B931" s="2" t="inlineStr">
        <is>
          <t>873C</t>
        </is>
      </c>
      <c r="C931" s="3" t="n">
        <v>45967.5875</v>
      </c>
      <c r="D931" s="2" t="inlineStr">
        <is>
          <t>Original</t>
        </is>
      </c>
      <c r="E931" s="2" t="inlineStr">
        <is>
          <t>L</t>
        </is>
      </c>
      <c r="F931" s="2" t="inlineStr">
        <is>
          <t>Filipa Pinto; Isabel Mendes Lopes; Jorge Pinto; Patrícia Gonçalves; Paulo Muacho; Rui Tavares</t>
        </is>
      </c>
      <c r="G931" s="2" t="inlineStr">
        <is>
          <t>Art. 112.º-A (aditamento)</t>
        </is>
      </c>
      <c r="H931" s="2" t="n"/>
      <c r="I931" s="2" t="n"/>
      <c r="J931" s="2" t="n"/>
      <c r="K931" s="2" t="n"/>
      <c r="L931" s="2" t="inlineStr">
        <is>
          <t>Artigo 112.º-A (Cria o Fundo para a Habitação Pública)</t>
        </is>
      </c>
      <c r="M931" s="4" t="n"/>
      <c r="N931" s="4" t="n"/>
      <c r="O931" s="2" t="n"/>
      <c r="P931" s="2" t="n"/>
      <c r="Q931" s="2" t="n"/>
      <c r="R931" s="2" t="n"/>
      <c r="S931" s="2" t="inlineStr">
        <is>
          <t>Rejeitado(a) em Plenário</t>
        </is>
      </c>
      <c r="T931" s="2" t="inlineStr">
        <is>
          <t>Rejeitada</t>
        </is>
      </c>
      <c r="U931" s="2" t="inlineStr">
        <is>
          <t>Favor: L, PCP, BE, PAN, JPP; Contra: PSD, CH, IL, CDS-PP; Abstenção: PS</t>
        </is>
      </c>
      <c r="V931" s="3" t="n">
        <v>45985</v>
      </c>
      <c r="W931" s="2" t="inlineStr">
        <is>
          <t>Avocada a Plenário. AR: https://www.parlamento.pt/OrcamentoEstado/Paginas/DetalhePropostaAlteracao.aspx?BID=24108 PDF: https://app.parlamento.pt/webutils/docs/doc.pdf?path=6148523063484d364c793942556b356c6443397a6158526c63793959566b6c4a544556484c3039464c7a49774d6a59794d4449314d5441774f533951515338344e6a52685a5759354f5330314e544a6d4c545131596a51744f4456694e69307a4e6d526a5932526a4f574e6c4d6a67756347526d&amp;Fich=864aef99-552f-45b4-85b6-36dccdc9ce28.pdf&amp;Inline=true</t>
        </is>
      </c>
      <c r="X931" s="2" t="inlineStr">
        <is>
          <t>Infraestruturas, Mobilidade e Habitação</t>
        </is>
      </c>
      <c r="Y931" s="2" t="inlineStr">
        <is>
          <t>Articulado</t>
        </is>
      </c>
      <c r="Z931" s="2" t="inlineStr">
        <is>
          <t>Aditamento (Artigo PPL)</t>
        </is>
      </c>
      <c r="AA931" s="2" t="inlineStr">
        <is>
          <t>Rejeitado(a) em Plenário</t>
        </is>
      </c>
      <c r="AB931" s="2" t="inlineStr">
        <is>
          <t>S</t>
        </is>
      </c>
      <c r="AC931" s="2" t="inlineStr"/>
      <c r="AD931" s="2" t="inlineStr">
        <is>
          <t>2</t>
        </is>
      </c>
      <c r="AE931" s="2" t="inlineStr">
        <is>
          <t>24108</t>
        </is>
      </c>
      <c r="AF931" s="2" t="inlineStr">
        <is>
          <t>https://www.parlamento.pt/OrcamentoEstado/Paginas/DetalhePropostaAlteracao.aspx?BID=24108</t>
        </is>
      </c>
      <c r="AG931" s="2" t="inlineStr">
        <is>
          <t>https://app.parlamento.pt/webutils/docs/doc.pdf?path=6148523063484d364c793942556b356c6443397a6158526c63793959566b6c4a544556484c3039464c7a49774d6a59794d4449314d5441774f533951515338344e6a52685a5759354f5330314e544a6d4c545131596a51744f4456694e69307a4e6d526a5932526a4f574e6c4d6a67756347526d&amp;Fich=864aef99-552f-45b4-85b6-36dccdc9ce28.pdf&amp;Inline=true</t>
        </is>
      </c>
      <c r="AH931" s="3" t="n">
        <v>46321.77847222222</v>
      </c>
      <c r="AI931" s="3" t="n">
        <v>46321.78055555555</v>
      </c>
      <c r="AJ931" s="2" t="inlineStr"/>
    </row>
    <row r="932">
      <c r="A932" s="2" t="n">
        <v>931</v>
      </c>
      <c r="B932" s="2" t="inlineStr">
        <is>
          <t>874C</t>
        </is>
      </c>
      <c r="C932" s="3" t="n">
        <v>45967.59027777778</v>
      </c>
      <c r="D932" s="2" t="inlineStr">
        <is>
          <t>Original</t>
        </is>
      </c>
      <c r="E932" s="2" t="inlineStr">
        <is>
          <t>L</t>
        </is>
      </c>
      <c r="F932" s="2" t="inlineStr">
        <is>
          <t>Filipa Pinto; Isabel Mendes Lopes; Jorge Pinto; Patrícia Gonçalves; Paulo Muacho; Rui Tavares</t>
        </is>
      </c>
      <c r="G932" s="2" t="inlineStr">
        <is>
          <t>Art. 46.º-A (aditamento)</t>
        </is>
      </c>
      <c r="H932" s="2" t="n"/>
      <c r="I932" s="2" t="n"/>
      <c r="J932" s="2" t="n"/>
      <c r="K932" s="2" t="n"/>
      <c r="L932" s="2" t="inlineStr">
        <is>
          <t>Artigo 46.º-A (Aumento do Abono de Família)</t>
        </is>
      </c>
      <c r="M932" s="4" t="n"/>
      <c r="N932" s="4" t="n"/>
      <c r="O932" s="2" t="n"/>
      <c r="P932" s="2" t="n"/>
      <c r="Q932" s="2" t="n"/>
      <c r="R932" s="2" t="n"/>
      <c r="S932" s="2" t="inlineStr">
        <is>
          <t>Rejeitado(a) em Comissão</t>
        </is>
      </c>
      <c r="T932" s="2" t="inlineStr">
        <is>
          <t>Rejeitada</t>
        </is>
      </c>
      <c r="U932" s="2" t="inlineStr">
        <is>
          <t>Favor: CH, IL, L, PCP, BE, PAN; Contra: PSD, CDS-PP; Abstenção: PS</t>
        </is>
      </c>
      <c r="V932" s="3" t="n">
        <v>45981</v>
      </c>
      <c r="W932" s="2" t="inlineStr">
        <is>
          <t>AR: https://www.parlamento.pt/OrcamentoEstado/Paginas/DetalhePropostaAlteracao.aspx?BID=24109 PDF: https://app.parlamento.pt/webutils/docs/doc.pdf?path=6148523063484d364c793942556b356c6443397a6158526c63793959566b6c4a544556484c3039464c7a49774d6a59794d4449314d5441774f5339515153387a5a474d7a4e7a4d324e793078595451354c5451305a445974596a5a6c597930354d7a4a6d5a6a41344d5756694e5445756347526d&amp;Fich=3dc37367-1a49-44d6-b6ec-932ff081eb51.pdf&amp;Inline=true</t>
        </is>
      </c>
      <c r="X932" s="2" t="inlineStr">
        <is>
          <t>Trabalho, Segurança Social e Inclusão</t>
        </is>
      </c>
      <c r="Y932" s="2" t="inlineStr">
        <is>
          <t>Articulado</t>
        </is>
      </c>
      <c r="Z932" s="2" t="inlineStr">
        <is>
          <t>Aditamento (Artigo PPL)</t>
        </is>
      </c>
      <c r="AA932" s="2" t="inlineStr">
        <is>
          <t>Rejeitado(a) em Comissão</t>
        </is>
      </c>
      <c r="AB932" s="2" t="inlineStr"/>
      <c r="AC932" s="2" t="inlineStr"/>
      <c r="AD932" s="2" t="inlineStr">
        <is>
          <t>1</t>
        </is>
      </c>
      <c r="AE932" s="2" t="inlineStr">
        <is>
          <t>24109</t>
        </is>
      </c>
      <c r="AF932" s="2" t="inlineStr">
        <is>
          <t>https://www.parlamento.pt/OrcamentoEstado/Paginas/DetalhePropostaAlteracao.aspx?BID=24109</t>
        </is>
      </c>
      <c r="AG932" s="2" t="inlineStr">
        <is>
          <t>https://app.parlamento.pt/webutils/docs/doc.pdf?path=6148523063484d364c793942556b356c6443397a6158526c63793959566b6c4a544556484c3039464c7a49774d6a59794d4449314d5441774f5339515153387a5a474d7a4e7a4d324e793078595451354c5451305a445974596a5a6c597930354d7a4a6d5a6a41344d5756694e5445756347526d&amp;Fich=3dc37367-1a49-44d6-b6ec-932ff081eb51.pdf&amp;Inline=true</t>
        </is>
      </c>
      <c r="AH932" s="3" t="n">
        <v>46321.77847222222</v>
      </c>
      <c r="AI932" s="3" t="n">
        <v>46321.78055555555</v>
      </c>
      <c r="AJ932" s="2" t="inlineStr"/>
    </row>
    <row r="933">
      <c r="A933" s="2" t="n">
        <v>932</v>
      </c>
      <c r="B933" s="2" t="inlineStr">
        <is>
          <t>875C</t>
        </is>
      </c>
      <c r="C933" s="3" t="n">
        <v>45967.59166666667</v>
      </c>
      <c r="D933" s="2" t="inlineStr">
        <is>
          <t>Original</t>
        </is>
      </c>
      <c r="E933" s="2" t="inlineStr">
        <is>
          <t>BE</t>
        </is>
      </c>
      <c r="F933" s="2" t="inlineStr">
        <is>
          <t>Mariana Mortágua</t>
        </is>
      </c>
      <c r="G933" s="2" t="inlineStr">
        <is>
          <t>Art. 38.º-F (aditamento)</t>
        </is>
      </c>
      <c r="H933" s="2" t="n"/>
      <c r="I933" s="2" t="n"/>
      <c r="J933" s="2" t="n"/>
      <c r="K933" s="2" t="n"/>
      <c r="L933" s="2" t="inlineStr">
        <is>
          <t>Artigo 38.º-F (Aumento extraordinário das pensões)</t>
        </is>
      </c>
      <c r="M933" s="4" t="n"/>
      <c r="N933" s="4" t="n"/>
      <c r="O933" s="2" t="n"/>
      <c r="P933" s="2" t="n"/>
      <c r="Q933" s="2" t="n"/>
      <c r="R933" s="2" t="n"/>
      <c r="S933" s="2" t="inlineStr">
        <is>
          <t>Rejeitado(a) em Comissão</t>
        </is>
      </c>
      <c r="T933" s="2" t="inlineStr">
        <is>
          <t>Rejeitada</t>
        </is>
      </c>
      <c r="U933" s="2" t="inlineStr">
        <is>
          <t>Favor: CH, L, PCP, BE, PAN; Contra: PSD, IL, CDS-PP; Abstenção: PS</t>
        </is>
      </c>
      <c r="V933" s="3" t="n">
        <v>45981</v>
      </c>
      <c r="W933" s="2" t="inlineStr">
        <is>
          <t>AR: https://www.parlamento.pt/OrcamentoEstado/Paginas/DetalhePropostaAlteracao.aspx?BID=24110 PDF: https://app.parlamento.pt/webutils/docs/doc.pdf?path=6148523063484d364c793942556b356c6443397a6158526c63793959566b6c4a544556484c3039464c7a49774d6a59794d4449314d5441774f5339515153396c4f4449774f445a6b596931684e7a677a4c54526b5a5445744f5745324d793031595451784d474a695a545931597a49756347526d&amp;Fich=e82086db-a783-4de1-9a63-5a410bbe65c2.pdf&amp;Inline=true</t>
        </is>
      </c>
      <c r="X933" s="2" t="inlineStr">
        <is>
          <t>Trabalho, Segurança Social e Inclusão</t>
        </is>
      </c>
      <c r="Y933" s="2" t="inlineStr">
        <is>
          <t>Articulado</t>
        </is>
      </c>
      <c r="Z933" s="2" t="inlineStr">
        <is>
          <t>Aditamento (Artigo PPL)</t>
        </is>
      </c>
      <c r="AA933" s="2" t="inlineStr">
        <is>
          <t>Rejeitado(a) em Comissão</t>
        </is>
      </c>
      <c r="AB933" s="2" t="inlineStr"/>
      <c r="AC933" s="2" t="inlineStr"/>
      <c r="AD933" s="2" t="inlineStr">
        <is>
          <t>1</t>
        </is>
      </c>
      <c r="AE933" s="2" t="inlineStr">
        <is>
          <t>24110</t>
        </is>
      </c>
      <c r="AF933" s="2" t="inlineStr">
        <is>
          <t>https://www.parlamento.pt/OrcamentoEstado/Paginas/DetalhePropostaAlteracao.aspx?BID=24110</t>
        </is>
      </c>
      <c r="AG933" s="2" t="inlineStr">
        <is>
          <t>https://app.parlamento.pt/webutils/docs/doc.pdf?path=6148523063484d364c793942556b356c6443397a6158526c63793959566b6c4a544556484c3039464c7a49774d6a59794d4449314d5441774f5339515153396c4f4449774f445a6b596931684e7a677a4c54526b5a5445744f5745324d793031595451784d474a695a545931597a49756347526d&amp;Fich=e82086db-a783-4de1-9a63-5a410bbe65c2.pdf&amp;Inline=true</t>
        </is>
      </c>
      <c r="AH933" s="3" t="n">
        <v>46321.77847222222</v>
      </c>
      <c r="AI933" s="3" t="n">
        <v>46321.78055555555</v>
      </c>
      <c r="AJ933" s="2" t="inlineStr"/>
    </row>
    <row r="934">
      <c r="A934" s="2" t="n">
        <v>933</v>
      </c>
      <c r="B934" s="2" t="inlineStr">
        <is>
          <t>876C</t>
        </is>
      </c>
      <c r="C934" s="3" t="n">
        <v>45967.59305555555</v>
      </c>
      <c r="D934" s="2" t="inlineStr">
        <is>
          <t>Original</t>
        </is>
      </c>
      <c r="E934" s="2" t="inlineStr">
        <is>
          <t>BE</t>
        </is>
      </c>
      <c r="F934" s="2" t="inlineStr">
        <is>
          <t>Mariana Mortágua</t>
        </is>
      </c>
      <c r="G934" s="2" t="inlineStr">
        <is>
          <t>Art. 18.º-A (aditamento)</t>
        </is>
      </c>
      <c r="H934" s="2" t="n"/>
      <c r="I934" s="2" t="n"/>
      <c r="J934" s="2" t="n"/>
      <c r="K934" s="2" t="n"/>
      <c r="L934" s="2" t="inlineStr">
        <is>
          <t>Artigo 18.º-A (Atualização do subsídio de refeição)</t>
        </is>
      </c>
      <c r="M934" s="4" t="n"/>
      <c r="N934" s="4" t="n"/>
      <c r="O934" s="2" t="n"/>
      <c r="P934" s="2" t="n"/>
      <c r="Q934" s="2" t="n"/>
      <c r="R934" s="2" t="n"/>
      <c r="S934" s="2" t="inlineStr">
        <is>
          <t>Rejeitado(a) em Comissão</t>
        </is>
      </c>
      <c r="T934" s="2" t="inlineStr">
        <is>
          <t>Rejeitada</t>
        </is>
      </c>
      <c r="U934" s="2" t="inlineStr">
        <is>
          <t>Favor: CH, L, PCP, BE, PAN; Contra: PSD, IL, CDS-PP; Abstenção: PS</t>
        </is>
      </c>
      <c r="V934" s="3" t="n">
        <v>45982</v>
      </c>
      <c r="W934" s="2" t="inlineStr">
        <is>
          <t>AR: https://www.parlamento.pt/OrcamentoEstado/Paginas/DetalhePropostaAlteracao.aspx?BID=24111 PDF: https://app.parlamento.pt/webutils/docs/doc.pdf?path=6148523063484d364c793942556b356c6443397a6158526c63793959566b6c4a544556484c3039464c7a49774d6a59794d4449314d5441774f533951515338774e54466d4f445268596930795a47566c4c5451314e6d5974596d49784e6931684d5749344e5751784e325977593249756347526d&amp;Fich=051f84ab-2dee-456f-bb16-a1b85d17f0cb.pdf&amp;Inline=true</t>
        </is>
      </c>
      <c r="X934" s="2" t="inlineStr">
        <is>
          <t>Trabalho, Segurança Social e Inclusão</t>
        </is>
      </c>
      <c r="Y934" s="2" t="inlineStr">
        <is>
          <t>Articulado</t>
        </is>
      </c>
      <c r="Z934" s="2" t="inlineStr">
        <is>
          <t>Aditamento (Artigo PPL)</t>
        </is>
      </c>
      <c r="AA934" s="2" t="inlineStr">
        <is>
          <t>Rejeitado(a) em Comissão</t>
        </is>
      </c>
      <c r="AB934" s="2" t="inlineStr"/>
      <c r="AC934" s="2" t="inlineStr"/>
      <c r="AD934" s="2" t="inlineStr">
        <is>
          <t>1</t>
        </is>
      </c>
      <c r="AE934" s="2" t="inlineStr">
        <is>
          <t>24111</t>
        </is>
      </c>
      <c r="AF934" s="2" t="inlineStr">
        <is>
          <t>https://www.parlamento.pt/OrcamentoEstado/Paginas/DetalhePropostaAlteracao.aspx?BID=24111</t>
        </is>
      </c>
      <c r="AG934" s="2" t="inlineStr">
        <is>
          <t>https://app.parlamento.pt/webutils/docs/doc.pdf?path=6148523063484d364c793942556b356c6443397a6158526c63793959566b6c4a544556484c3039464c7a49774d6a59794d4449314d5441774f533951515338774e54466d4f445268596930795a47566c4c5451314e6d5974596d49784e6931684d5749344e5751784e325977593249756347526d&amp;Fich=051f84ab-2dee-456f-bb16-a1b85d17f0cb.pdf&amp;Inline=true</t>
        </is>
      </c>
      <c r="AH934" s="3" t="n">
        <v>46321.77847222222</v>
      </c>
      <c r="AI934" s="3" t="n">
        <v>46321.78055555555</v>
      </c>
      <c r="AJ934" s="2" t="inlineStr"/>
    </row>
    <row r="935">
      <c r="A935" s="2" t="n">
        <v>934</v>
      </c>
      <c r="B935" s="2" t="inlineStr">
        <is>
          <t>877C</t>
        </is>
      </c>
      <c r="C935" s="3" t="n">
        <v>45967.59513888889</v>
      </c>
      <c r="D935" s="2" t="inlineStr">
        <is>
          <t>Original</t>
        </is>
      </c>
      <c r="E935" s="2" t="inlineStr">
        <is>
          <t>L</t>
        </is>
      </c>
      <c r="F935" s="2" t="inlineStr">
        <is>
          <t>Filipa Pinto; Isabel Mendes Lopes; Jorge Pinto; Patrícia Gonçalves; Paulo Muacho; Rui Tavares</t>
        </is>
      </c>
      <c r="G935" s="2" t="inlineStr">
        <is>
          <t>Art. 113.º-A (aditamento)</t>
        </is>
      </c>
      <c r="H935" s="2" t="n"/>
      <c r="I935" s="2" t="n"/>
      <c r="J935" s="2" t="n"/>
      <c r="K935" s="2" t="n"/>
      <c r="L935" s="2" t="inlineStr">
        <is>
          <t>Artigo 113.º-A (Plano Nacional de capacitação de professores para o ensino de Português Nível Zero)</t>
        </is>
      </c>
      <c r="M935" s="4" t="n"/>
      <c r="N935" s="4" t="n"/>
      <c r="O935" s="2" t="n"/>
      <c r="P935" s="2" t="n"/>
      <c r="Q935" s="2" t="n"/>
      <c r="R935" s="2" t="n"/>
      <c r="S935" s="2" t="inlineStr">
        <is>
          <t>Rejeitado(a) em Comissão</t>
        </is>
      </c>
      <c r="T935" s="2" t="inlineStr">
        <is>
          <t>Rejeitada</t>
        </is>
      </c>
      <c r="U935" s="2" t="inlineStr">
        <is>
          <t>Favor: L, BE, PAN; Contra: PSD, CH, CDS-PP; Abstenção: PS, IL, PCP</t>
        </is>
      </c>
      <c r="V935" s="3" t="n">
        <v>45985</v>
      </c>
      <c r="W935" s="2" t="inlineStr">
        <is>
          <t>AR: https://www.parlamento.pt/OrcamentoEstado/Paginas/DetalhePropostaAlteracao.aspx?BID=24112 PDF: https://app.parlamento.pt/webutils/docs/doc.pdf?path=6148523063484d364c793942556b356c6443397a6158526c63793959566b6c4a544556484c3039464c7a49774d6a59794d4449314d5441774f533951515338784d6a426d4d7a426b4d4331694d6d45774c5451775a444574596a45784d4330344f546c694f474a6c4f4749344f474d756347526d&amp;Fich=120f30d0-b2a0-40d1-b110-899b8be8b88c.pdf&amp;Inline=true</t>
        </is>
      </c>
      <c r="X935" s="2" t="inlineStr">
        <is>
          <t>Educação e Ciência</t>
        </is>
      </c>
      <c r="Y935" s="2" t="inlineStr">
        <is>
          <t>Articulado</t>
        </is>
      </c>
      <c r="Z935" s="2" t="inlineStr">
        <is>
          <t>Aditamento (Artigo PPL)</t>
        </is>
      </c>
      <c r="AA935" s="2" t="inlineStr">
        <is>
          <t>Rejeitado(a) em Comissão</t>
        </is>
      </c>
      <c r="AB935" s="2" t="inlineStr"/>
      <c r="AC935" s="2" t="inlineStr"/>
      <c r="AD935" s="2" t="inlineStr">
        <is>
          <t>1</t>
        </is>
      </c>
      <c r="AE935" s="2" t="inlineStr">
        <is>
          <t>24112</t>
        </is>
      </c>
      <c r="AF935" s="2" t="inlineStr">
        <is>
          <t>https://www.parlamento.pt/OrcamentoEstado/Paginas/DetalhePropostaAlteracao.aspx?BID=24112</t>
        </is>
      </c>
      <c r="AG935" s="2" t="inlineStr">
        <is>
          <t>https://app.parlamento.pt/webutils/docs/doc.pdf?path=6148523063484d364c793942556b356c6443397a6158526c63793959566b6c4a544556484c3039464c7a49774d6a59794d4449314d5441774f533951515338784d6a426d4d7a426b4d4331694d6d45774c5451775a444574596a45784d4330344f546c694f474a6c4f4749344f474d756347526d&amp;Fich=120f30d0-b2a0-40d1-b110-899b8be8b88c.pdf&amp;Inline=true</t>
        </is>
      </c>
      <c r="AH935" s="3" t="n">
        <v>46321.77847222222</v>
      </c>
      <c r="AI935" s="3" t="n">
        <v>46321.78055555555</v>
      </c>
      <c r="AJ935" s="2" t="inlineStr"/>
    </row>
    <row r="936">
      <c r="A936" s="2" t="n">
        <v>935</v>
      </c>
      <c r="B936" s="2" t="inlineStr">
        <is>
          <t>878C</t>
        </is>
      </c>
      <c r="C936" s="3" t="n">
        <v>45967.59722222222</v>
      </c>
      <c r="D936" s="2" t="inlineStr">
        <is>
          <t>Original</t>
        </is>
      </c>
      <c r="E936" s="2" t="inlineStr">
        <is>
          <t>BE</t>
        </is>
      </c>
      <c r="F936" s="2" t="inlineStr">
        <is>
          <t>Mariana Mortágua</t>
        </is>
      </c>
      <c r="G936" s="2" t="inlineStr">
        <is>
          <t>Art. 22.º-A (aditamento)</t>
        </is>
      </c>
      <c r="H936" s="2" t="n"/>
      <c r="I936" s="2" t="n"/>
      <c r="J936" s="2" t="n"/>
      <c r="K936" s="2" t="n"/>
      <c r="L936" s="2" t="inlineStr">
        <is>
          <t>Artigo 22.º-A (Vencimentos, Estatutos de Risco e Exclusividade dos Profissionais do Serviço Nacional de Saúde)</t>
        </is>
      </c>
      <c r="M936" s="4" t="n"/>
      <c r="N936" s="4" t="n"/>
      <c r="O936" s="2" t="n"/>
      <c r="P936" s="2" t="n"/>
      <c r="Q936" s="2" t="n"/>
      <c r="R936" s="2" t="n"/>
      <c r="S936" s="2" t="inlineStr">
        <is>
          <t>Rejeitado(a) em Comissão</t>
        </is>
      </c>
      <c r="T936" s="2" t="inlineStr">
        <is>
          <t>Rejeitada</t>
        </is>
      </c>
      <c r="U936" s="2" t="inlineStr">
        <is>
          <t>Favor: CH, L, PCP, BE, PAN; Contra: PSD, IL, CDS-PP; Abstenção: PS</t>
        </is>
      </c>
      <c r="V936" s="3" t="n">
        <v>45981</v>
      </c>
      <c r="W936" s="2" t="inlineStr">
        <is>
          <t>AR: https://www.parlamento.pt/OrcamentoEstado/Paginas/DetalhePropostaAlteracao.aspx?BID=24113 PDF: https://app.parlamento.pt/webutils/docs/doc.pdf?path=6148523063484d364c793942556b356c6443397a6158526c63793959566b6c4a544556484c3039464c7a49774d6a59794d4449314d5441774f5339515153387a4e7a67334f54566d4e6930794e7a55354c54526b5a4755744f4455335a4330334e7a49314e32566b4d574d344e6a55756347526d&amp;Fich=378795f6-2759-4dde-857d-77257ed1c865.pdf&amp;Inline=true</t>
        </is>
      </c>
      <c r="X936" s="2" t="inlineStr">
        <is>
          <t>Saúde</t>
        </is>
      </c>
      <c r="Y936" s="2" t="inlineStr">
        <is>
          <t>Articulado</t>
        </is>
      </c>
      <c r="Z936" s="2" t="inlineStr">
        <is>
          <t>Aditamento (Artigo PPL)</t>
        </is>
      </c>
      <c r="AA936" s="2" t="inlineStr">
        <is>
          <t>Rejeitado(a) em Comissão</t>
        </is>
      </c>
      <c r="AB936" s="2" t="inlineStr"/>
      <c r="AC936" s="2" t="inlineStr"/>
      <c r="AD936" s="2" t="inlineStr">
        <is>
          <t>1</t>
        </is>
      </c>
      <c r="AE936" s="2" t="inlineStr">
        <is>
          <t>24113</t>
        </is>
      </c>
      <c r="AF936" s="2" t="inlineStr">
        <is>
          <t>https://www.parlamento.pt/OrcamentoEstado/Paginas/DetalhePropostaAlteracao.aspx?BID=24113</t>
        </is>
      </c>
      <c r="AG936" s="2" t="inlineStr">
        <is>
          <t>https://app.parlamento.pt/webutils/docs/doc.pdf?path=6148523063484d364c793942556b356c6443397a6158526c63793959566b6c4a544556484c3039464c7a49774d6a59794d4449314d5441774f5339515153387a4e7a67334f54566d4e6930794e7a55354c54526b5a4755744f4455335a4330334e7a49314e32566b4d574d344e6a55756347526d&amp;Fich=378795f6-2759-4dde-857d-77257ed1c865.pdf&amp;Inline=true</t>
        </is>
      </c>
      <c r="AH936" s="3" t="n">
        <v>46321.77847222222</v>
      </c>
      <c r="AI936" s="3" t="n">
        <v>46321.78055555555</v>
      </c>
      <c r="AJ936" s="2" t="inlineStr"/>
    </row>
    <row r="937">
      <c r="A937" s="2" t="n">
        <v>936</v>
      </c>
      <c r="B937" s="2" t="inlineStr">
        <is>
          <t>879C</t>
        </is>
      </c>
      <c r="C937" s="3" t="n">
        <v>45967.59861111111</v>
      </c>
      <c r="D937" s="2" t="inlineStr">
        <is>
          <t>Original</t>
        </is>
      </c>
      <c r="E937" s="2" t="inlineStr">
        <is>
          <t>BE</t>
        </is>
      </c>
      <c r="F937" s="2" t="inlineStr">
        <is>
          <t>Mariana Mortágua</t>
        </is>
      </c>
      <c r="G937" s="2" t="inlineStr">
        <is>
          <t>Art. 22.º-A (aditamento)</t>
        </is>
      </c>
      <c r="H937" s="2" t="n"/>
      <c r="I937" s="2" t="n"/>
      <c r="J937" s="2" t="n"/>
      <c r="K937" s="2" t="n"/>
      <c r="L937" s="2" t="inlineStr">
        <is>
          <t>Artigo 22.º-A (Alteração ao Decreto-Lei n.º 177/2009, de 4 de agosto)</t>
        </is>
      </c>
      <c r="M937" s="4" t="n"/>
      <c r="N937" s="4" t="n"/>
      <c r="O937" s="2" t="n"/>
      <c r="P937" s="2" t="n"/>
      <c r="Q937" s="2" t="n"/>
      <c r="R937" s="2" t="n"/>
      <c r="S937" s="2" t="inlineStr">
        <is>
          <t>Rejeitado(a) em Comissão</t>
        </is>
      </c>
      <c r="T937" s="2" t="inlineStr">
        <is>
          <t>Rejeitada</t>
        </is>
      </c>
      <c r="U937" s="2" t="inlineStr">
        <is>
          <t>Favor: CH, L, PCP, BE, PAN; Contra: PSD, IL, CDS-PP; Abstenção: PS</t>
        </is>
      </c>
      <c r="V937" s="3" t="n">
        <v>45981</v>
      </c>
      <c r="W937" s="2" t="inlineStr">
        <is>
          <t>AR: https://www.parlamento.pt/OrcamentoEstado/Paginas/DetalhePropostaAlteracao.aspx?BID=24115 PDF: https://app.parlamento.pt/webutils/docs/doc.pdf?path=6148523063484d364c793942556b356c6443397a6158526c63793959566b6c4a544556484c3039464c7a49774d6a59794d4449314d5441774f533951515338775a545179597a497a4f533034596d4e6c4c5451334e446b744f54526b5953307a4d6a4133596a45795a54466d4d544d756347526d&amp;Fich=0e42c239-8bce-4749-94da-3207b12e1f13.pdf&amp;Inline=true</t>
        </is>
      </c>
      <c r="X937" s="2" t="inlineStr">
        <is>
          <t>Saúde</t>
        </is>
      </c>
      <c r="Y937" s="2" t="inlineStr">
        <is>
          <t>Articulado</t>
        </is>
      </c>
      <c r="Z937" s="2" t="inlineStr">
        <is>
          <t>Aditamento (Artigo PPL)</t>
        </is>
      </c>
      <c r="AA937" s="2" t="inlineStr">
        <is>
          <t>Rejeitado(a) em Comissão</t>
        </is>
      </c>
      <c r="AB937" s="2" t="inlineStr"/>
      <c r="AC937" s="2" t="inlineStr"/>
      <c r="AD937" s="2" t="inlineStr">
        <is>
          <t>1</t>
        </is>
      </c>
      <c r="AE937" s="2" t="inlineStr">
        <is>
          <t>24115</t>
        </is>
      </c>
      <c r="AF937" s="2" t="inlineStr">
        <is>
          <t>https://www.parlamento.pt/OrcamentoEstado/Paginas/DetalhePropostaAlteracao.aspx?BID=24115</t>
        </is>
      </c>
      <c r="AG937" s="2" t="inlineStr">
        <is>
          <t>https://app.parlamento.pt/webutils/docs/doc.pdf?path=6148523063484d364c793942556b356c6443397a6158526c63793959566b6c4a544556484c3039464c7a49774d6a59794d4449314d5441774f533951515338775a545179597a497a4f533034596d4e6c4c5451334e446b744f54526b5953307a4d6a4133596a45795a54466d4d544d756347526d&amp;Fich=0e42c239-8bce-4749-94da-3207b12e1f13.pdf&amp;Inline=true</t>
        </is>
      </c>
      <c r="AH937" s="3" t="n">
        <v>46321.77847222222</v>
      </c>
      <c r="AI937" s="3" t="n">
        <v>46321.78055555555</v>
      </c>
      <c r="AJ937" s="2" t="inlineStr"/>
    </row>
    <row r="938">
      <c r="A938" s="2" t="n">
        <v>937</v>
      </c>
      <c r="B938" s="2" t="inlineStr">
        <is>
          <t>880C</t>
        </is>
      </c>
      <c r="C938" s="3" t="n">
        <v>45967.60138888889</v>
      </c>
      <c r="D938" s="2" t="inlineStr">
        <is>
          <t>Original</t>
        </is>
      </c>
      <c r="E938" s="2" t="inlineStr">
        <is>
          <t>BE</t>
        </is>
      </c>
      <c r="F938" s="2" t="inlineStr">
        <is>
          <t>Mariana Mortágua</t>
        </is>
      </c>
      <c r="G938" s="2" t="inlineStr">
        <is>
          <t>Art. 112.º-A (aditamento)</t>
        </is>
      </c>
      <c r="H938" s="2" t="n"/>
      <c r="I938" s="2" t="n"/>
      <c r="J938" s="2" t="n"/>
      <c r="K938" s="2" t="n"/>
      <c r="L938" s="2" t="inlineStr">
        <is>
          <t>Artigo 112.º-A (Aditamento à Lei n.º 6/2006, de 27 de fevereiro)</t>
        </is>
      </c>
      <c r="M938" s="4" t="n"/>
      <c r="N938" s="4" t="n"/>
      <c r="O938" s="2" t="n"/>
      <c r="P938" s="2" t="n"/>
      <c r="Q938" s="2" t="n"/>
      <c r="R938" s="2" t="n"/>
      <c r="S938" s="2" t="inlineStr">
        <is>
          <t>Rejeitado(a) em Comissão</t>
        </is>
      </c>
      <c r="T938" s="2" t="inlineStr">
        <is>
          <t>Rejeitada</t>
        </is>
      </c>
      <c r="U938" s="2" t="inlineStr">
        <is>
          <t>Favor: L, PCP, BE, PAN; Contra: PSD, CH, PS, IL, CDS-PP</t>
        </is>
      </c>
      <c r="V938" s="3" t="n">
        <v>45982</v>
      </c>
      <c r="W938" s="2" t="inlineStr">
        <is>
          <t>AR: https://www.parlamento.pt/OrcamentoEstado/Paginas/DetalhePropostaAlteracao.aspx?BID=24116 PDF: https://app.parlamento.pt/webutils/docs/doc.pdf?path=6148523063484d364c793942556b356c6443397a6158526c63793959566b6c4a544556484c3039464c7a49774d6a59794d4449314d5441774f5339515153396d4d4463344d5468695979316b5a44497a4c54526b4d6d45744f57466c595330794e44637a4e6a67785a54646a4e5751756347526d&amp;Fich=f07818bc-dd23-4d2a-9aea-2473681e7c5d.pdf&amp;Inline=true</t>
        </is>
      </c>
      <c r="X938" s="2" t="inlineStr">
        <is>
          <t>Infraestruturas, Mobilidade e Habitação</t>
        </is>
      </c>
      <c r="Y938" s="2" t="inlineStr">
        <is>
          <t>Articulado</t>
        </is>
      </c>
      <c r="Z938" s="2" t="inlineStr">
        <is>
          <t>Aditamento (Artigo PPL)</t>
        </is>
      </c>
      <c r="AA938" s="2" t="inlineStr">
        <is>
          <t>Rejeitado(a) em Comissão</t>
        </is>
      </c>
      <c r="AB938" s="2" t="inlineStr"/>
      <c r="AC938" s="2" t="inlineStr"/>
      <c r="AD938" s="2" t="inlineStr">
        <is>
          <t>1</t>
        </is>
      </c>
      <c r="AE938" s="2" t="inlineStr">
        <is>
          <t>24116</t>
        </is>
      </c>
      <c r="AF938" s="2" t="inlineStr">
        <is>
          <t>https://www.parlamento.pt/OrcamentoEstado/Paginas/DetalhePropostaAlteracao.aspx?BID=24116</t>
        </is>
      </c>
      <c r="AG938" s="2" t="inlineStr">
        <is>
          <t>https://app.parlamento.pt/webutils/docs/doc.pdf?path=6148523063484d364c793942556b356c6443397a6158526c63793959566b6c4a544556484c3039464c7a49774d6a59794d4449314d5441774f5339515153396d4d4463344d5468695979316b5a44497a4c54526b4d6d45744f57466c595330794e44637a4e6a67785a54646a4e5751756347526d&amp;Fich=f07818bc-dd23-4d2a-9aea-2473681e7c5d.pdf&amp;Inline=true</t>
        </is>
      </c>
      <c r="AH938" s="3" t="n">
        <v>46321.77847222222</v>
      </c>
      <c r="AI938" s="3" t="n">
        <v>46321.78055555555</v>
      </c>
      <c r="AJ938" s="2" t="inlineStr"/>
    </row>
    <row r="939">
      <c r="A939" s="2" t="n">
        <v>938</v>
      </c>
      <c r="B939" s="2" t="inlineStr">
        <is>
          <t>881C</t>
        </is>
      </c>
      <c r="C939" s="3" t="n">
        <v>45967.60277777778</v>
      </c>
      <c r="D939" s="2" t="inlineStr">
        <is>
          <t>Original</t>
        </is>
      </c>
      <c r="E939" s="2" t="inlineStr">
        <is>
          <t>BE</t>
        </is>
      </c>
      <c r="F939" s="2" t="inlineStr">
        <is>
          <t>Mariana Mortágua</t>
        </is>
      </c>
      <c r="G939" s="2" t="inlineStr">
        <is>
          <t>Art. 112.º-A (aditamento)</t>
        </is>
      </c>
      <c r="H939" s="2" t="n"/>
      <c r="I939" s="2" t="n"/>
      <c r="J939" s="2" t="n"/>
      <c r="K939" s="2" t="n"/>
      <c r="L939" s="2" t="inlineStr">
        <is>
          <t>Artigo 112.º-A (Regime especial de mobilização de fogos devolutos para habitação)</t>
        </is>
      </c>
      <c r="M939" s="4" t="n"/>
      <c r="N939" s="4" t="n"/>
      <c r="O939" s="2" t="n"/>
      <c r="P939" s="2" t="n"/>
      <c r="Q939" s="2" t="n"/>
      <c r="R939" s="2" t="n"/>
      <c r="S939" s="2" t="inlineStr">
        <is>
          <t>Rejeitado(a) em Comissão</t>
        </is>
      </c>
      <c r="T939" s="2" t="inlineStr">
        <is>
          <t>Rejeitada</t>
        </is>
      </c>
      <c r="U939" s="2" t="inlineStr">
        <is>
          <t>Favor: PCP, BE, PAN; Contra: PSD, CH, IL, CDS-PP; Abstenção: PS, L</t>
        </is>
      </c>
      <c r="V939" s="3" t="n">
        <v>45982</v>
      </c>
      <c r="W939" s="2" t="inlineStr">
        <is>
          <t>AR: https://www.parlamento.pt/OrcamentoEstado/Paginas/DetalhePropostaAlteracao.aspx?BID=24117 PDF: https://app.parlamento.pt/webutils/docs/doc.pdf?path=6148523063484d364c793942556b356c6443397a6158526c63793959566b6c4a544556484c3039464c7a49774d6a59794d4449314d5441774f533951515338314e6d49304d5463315a4330794d6a646b4c5451784f5759744f4445784e53307a596d4d344f4459794e546c6d4e7a41756347526d&amp;Fich=56b4175d-227d-419f-8115-3bc886259f70.pdf&amp;Inline=true</t>
        </is>
      </c>
      <c r="X939" s="2" t="inlineStr">
        <is>
          <t>Infraestruturas, Mobilidade e Habitação</t>
        </is>
      </c>
      <c r="Y939" s="2" t="inlineStr">
        <is>
          <t>Articulado</t>
        </is>
      </c>
      <c r="Z939" s="2" t="inlineStr">
        <is>
          <t>Aditamento (Artigo PPL)</t>
        </is>
      </c>
      <c r="AA939" s="2" t="inlineStr">
        <is>
          <t>Rejeitado(a) em Comissão</t>
        </is>
      </c>
      <c r="AB939" s="2" t="inlineStr"/>
      <c r="AC939" s="2" t="inlineStr"/>
      <c r="AD939" s="2" t="inlineStr">
        <is>
          <t>1</t>
        </is>
      </c>
      <c r="AE939" s="2" t="inlineStr">
        <is>
          <t>24117</t>
        </is>
      </c>
      <c r="AF939" s="2" t="inlineStr">
        <is>
          <t>https://www.parlamento.pt/OrcamentoEstado/Paginas/DetalhePropostaAlteracao.aspx?BID=24117</t>
        </is>
      </c>
      <c r="AG939" s="2" t="inlineStr">
        <is>
          <t>https://app.parlamento.pt/webutils/docs/doc.pdf?path=6148523063484d364c793942556b356c6443397a6158526c63793959566b6c4a544556484c3039464c7a49774d6a59794d4449314d5441774f533951515338314e6d49304d5463315a4330794d6a646b4c5451784f5759744f4445784e53307a596d4d344f4459794e546c6d4e7a41756347526d&amp;Fich=56b4175d-227d-419f-8115-3bc886259f70.pdf&amp;Inline=true</t>
        </is>
      </c>
      <c r="AH939" s="3" t="n">
        <v>46321.77847222222</v>
      </c>
      <c r="AI939" s="3" t="n">
        <v>46321.78055555555</v>
      </c>
      <c r="AJ939" s="2" t="inlineStr"/>
    </row>
    <row r="940">
      <c r="A940" s="2" t="n">
        <v>939</v>
      </c>
      <c r="B940" s="2" t="inlineStr">
        <is>
          <t>882C</t>
        </is>
      </c>
      <c r="C940" s="3" t="n">
        <v>45967.60625</v>
      </c>
      <c r="D940" s="2" t="inlineStr">
        <is>
          <t>Original</t>
        </is>
      </c>
      <c r="E940" s="2" t="inlineStr">
        <is>
          <t>BE</t>
        </is>
      </c>
      <c r="F940" s="2" t="inlineStr">
        <is>
          <t>Mariana Mortágua</t>
        </is>
      </c>
      <c r="G940" s="2" t="inlineStr">
        <is>
          <t>Art. 113.º-A (aditamento)</t>
        </is>
      </c>
      <c r="H940" s="2" t="n"/>
      <c r="I940" s="2" t="n"/>
      <c r="J940" s="2" t="n"/>
      <c r="K940" s="2" t="n"/>
      <c r="L940" s="2" t="inlineStr">
        <is>
          <t>Artigo 113.º-A (Valorização dos Bombeiros)</t>
        </is>
      </c>
      <c r="M940" s="4" t="n"/>
      <c r="N940" s="4" t="n"/>
      <c r="O940" s="2" t="n"/>
      <c r="P940" s="2" t="n"/>
      <c r="Q940" s="2" t="n"/>
      <c r="R940" s="2" t="n"/>
      <c r="S940" s="2" t="inlineStr">
        <is>
          <t>Rejeitado(a) em Comissão</t>
        </is>
      </c>
      <c r="T940" s="2" t="inlineStr">
        <is>
          <t>Rejeitada</t>
        </is>
      </c>
      <c r="U940" s="2" t="inlineStr">
        <is>
          <t>Favor: CH, L, PCP, BE, PAN; Contra: PSD, IL, CDS-PP; Abstenção: PS</t>
        </is>
      </c>
      <c r="V940" s="3" t="n">
        <v>45985</v>
      </c>
      <c r="W940" s="2" t="inlineStr">
        <is>
          <t>AR: https://www.parlamento.pt/OrcamentoEstado/Paginas/DetalhePropostaAlteracao.aspx?BID=24118 PDF: https://app.parlamento.pt/webutils/docs/doc.pdf?path=6148523063484d364c793942556b356c6443397a6158526c63793959566b6c4a544556484c3039464c7a49774d6a59794d4449314d5441774f533951515339685a574d784e7a466a4d6931685a6a566c4c5451355a6a457459544d345a4330344e4467314f4755345a4755324d6a45756347526d&amp;Fich=aec171c2-af5e-49f1-a38d-84858e8de621.pdf&amp;Inline=true</t>
        </is>
      </c>
      <c r="X940" s="2" t="inlineStr">
        <is>
          <t>Assuntos Constitucionais, Direitos, Liberdades e Garantias</t>
        </is>
      </c>
      <c r="Y940" s="2" t="inlineStr">
        <is>
          <t>Articulado</t>
        </is>
      </c>
      <c r="Z940" s="2" t="inlineStr">
        <is>
          <t>Aditamento (Artigo PPL)</t>
        </is>
      </c>
      <c r="AA940" s="2" t="inlineStr">
        <is>
          <t>Rejeitado(a) em Comissão</t>
        </is>
      </c>
      <c r="AB940" s="2" t="inlineStr"/>
      <c r="AC940" s="2" t="inlineStr"/>
      <c r="AD940" s="2" t="inlineStr">
        <is>
          <t>1</t>
        </is>
      </c>
      <c r="AE940" s="2" t="inlineStr">
        <is>
          <t>24118</t>
        </is>
      </c>
      <c r="AF940" s="2" t="inlineStr">
        <is>
          <t>https://www.parlamento.pt/OrcamentoEstado/Paginas/DetalhePropostaAlteracao.aspx?BID=24118</t>
        </is>
      </c>
      <c r="AG940" s="2" t="inlineStr">
        <is>
          <t>https://app.parlamento.pt/webutils/docs/doc.pdf?path=6148523063484d364c793942556b356c6443397a6158526c63793959566b6c4a544556484c3039464c7a49774d6a59794d4449314d5441774f533951515339685a574d784e7a466a4d6931685a6a566c4c5451355a6a457459544d345a4330344e4467314f4755345a4755324d6a45756347526d&amp;Fich=aec171c2-af5e-49f1-a38d-84858e8de621.pdf&amp;Inline=true</t>
        </is>
      </c>
      <c r="AH940" s="3" t="n">
        <v>46321.77847222222</v>
      </c>
      <c r="AI940" s="3" t="n">
        <v>46321.78055555555</v>
      </c>
      <c r="AJ940" s="2" t="inlineStr"/>
    </row>
    <row r="941">
      <c r="A941" s="2" t="n">
        <v>940</v>
      </c>
      <c r="B941" s="2" t="inlineStr">
        <is>
          <t>883C</t>
        </is>
      </c>
      <c r="C941" s="3" t="n">
        <v>45967.60833333333</v>
      </c>
      <c r="D941" s="2" t="inlineStr">
        <is>
          <t>Original</t>
        </is>
      </c>
      <c r="E941" s="2" t="inlineStr">
        <is>
          <t>BE</t>
        </is>
      </c>
      <c r="F941" s="2" t="inlineStr">
        <is>
          <t>Mariana Mortágua</t>
        </is>
      </c>
      <c r="G941" s="2" t="inlineStr">
        <is>
          <t>Art. 116.º-A (aditamento)</t>
        </is>
      </c>
      <c r="H941" s="2" t="n"/>
      <c r="I941" s="2" t="n"/>
      <c r="J941" s="2" t="n"/>
      <c r="K941" s="2" t="n"/>
      <c r="L941" s="2" t="inlineStr">
        <is>
          <t>Artigo 116.º-A (Limitação das propinas em todos os ciclos de estudo)</t>
        </is>
      </c>
      <c r="M941" s="4" t="n"/>
      <c r="N941" s="4" t="n"/>
      <c r="O941" s="2" t="n"/>
      <c r="P941" s="2" t="n"/>
      <c r="Q941" s="2" t="n"/>
      <c r="R941" s="2" t="n"/>
      <c r="S941" s="2" t="inlineStr">
        <is>
          <t>Rejeitado(a) em Comissão</t>
        </is>
      </c>
      <c r="T941" s="2" t="inlineStr">
        <is>
          <t>Rejeitada</t>
        </is>
      </c>
      <c r="U941" s="2" t="inlineStr">
        <is>
          <t>Favor: L, PCP, BE, PAN; Contra: PSD, CH, IL, CDS-PP; Abstenção: PS</t>
        </is>
      </c>
      <c r="V941" s="3" t="n">
        <v>45985</v>
      </c>
      <c r="W941" s="2" t="inlineStr">
        <is>
          <t>AR: https://www.parlamento.pt/OrcamentoEstado/Paginas/DetalhePropostaAlteracao.aspx?BID=24119 PDF: https://app.parlamento.pt/webutils/docs/doc.pdf?path=6148523063484d364c793942556b356c6443397a6158526c63793959566b6c4a544556484c3039464c7a49774d6a59794d4449314d5441774f5339515153396d4e544e6b4f4445314f4330335a6a67334c545179596a6b74596a46695a4330354d6d59314e44646b4e54677a5a6d59756347526d&amp;Fich=f53d8158-7f87-42b9-b1bd-92f547d583ff.pdf&amp;Inline=true</t>
        </is>
      </c>
      <c r="X941" s="2" t="inlineStr">
        <is>
          <t>Educação e Ciência</t>
        </is>
      </c>
      <c r="Y941" s="2" t="inlineStr">
        <is>
          <t>Articulado</t>
        </is>
      </c>
      <c r="Z941" s="2" t="inlineStr">
        <is>
          <t>Aditamento (Artigo PPL)</t>
        </is>
      </c>
      <c r="AA941" s="2" t="inlineStr">
        <is>
          <t>Rejeitado(a) em Comissão</t>
        </is>
      </c>
      <c r="AB941" s="2" t="inlineStr"/>
      <c r="AC941" s="2" t="inlineStr"/>
      <c r="AD941" s="2" t="inlineStr">
        <is>
          <t>1</t>
        </is>
      </c>
      <c r="AE941" s="2" t="inlineStr">
        <is>
          <t>24119</t>
        </is>
      </c>
      <c r="AF941" s="2" t="inlineStr">
        <is>
          <t>https://www.parlamento.pt/OrcamentoEstado/Paginas/DetalhePropostaAlteracao.aspx?BID=24119</t>
        </is>
      </c>
      <c r="AG941" s="2" t="inlineStr">
        <is>
          <t>https://app.parlamento.pt/webutils/docs/doc.pdf?path=6148523063484d364c793942556b356c6443397a6158526c63793959566b6c4a544556484c3039464c7a49774d6a59794d4449314d5441774f5339515153396d4e544e6b4f4445314f4330335a6a67334c545179596a6b74596a46695a4330354d6d59314e44646b4e54677a5a6d59756347526d&amp;Fich=f53d8158-7f87-42b9-b1bd-92f547d583ff.pdf&amp;Inline=true</t>
        </is>
      </c>
      <c r="AH941" s="3" t="n">
        <v>46321.77847222222</v>
      </c>
      <c r="AI941" s="3" t="n">
        <v>46321.78055555555</v>
      </c>
      <c r="AJ941" s="2" t="inlineStr"/>
    </row>
    <row r="942">
      <c r="A942" s="2" t="n">
        <v>941</v>
      </c>
      <c r="B942" s="2" t="inlineStr">
        <is>
          <t>884C</t>
        </is>
      </c>
      <c r="C942" s="3" t="n">
        <v>45967.60972222222</v>
      </c>
      <c r="D942" s="2" t="inlineStr">
        <is>
          <t>Original</t>
        </is>
      </c>
      <c r="E942" s="2" t="inlineStr">
        <is>
          <t>BE</t>
        </is>
      </c>
      <c r="F942" s="2" t="inlineStr">
        <is>
          <t>Mariana Mortágua</t>
        </is>
      </c>
      <c r="G942" s="2" t="inlineStr">
        <is>
          <t>116.º-A (aditamento)</t>
        </is>
      </c>
      <c r="H942" s="2" t="n"/>
      <c r="I942" s="2" t="n"/>
      <c r="J942" s="2" t="n"/>
      <c r="K942" s="2" t="n"/>
      <c r="L942" s="2" t="inlineStr">
        <is>
          <t>116.º-A (Fim das propinas)</t>
        </is>
      </c>
      <c r="M942" s="4" t="n"/>
      <c r="N942" s="4" t="n"/>
      <c r="O942" s="2" t="n"/>
      <c r="P942" s="2" t="n"/>
      <c r="Q942" s="2" t="n"/>
      <c r="R942" s="2" t="n"/>
      <c r="S942" s="2" t="inlineStr">
        <is>
          <t>Rejeitado(a) em Comissão</t>
        </is>
      </c>
      <c r="T942" s="2" t="inlineStr">
        <is>
          <t>Rejeitada</t>
        </is>
      </c>
      <c r="U942" s="2" t="inlineStr">
        <is>
          <t>Favor: L, PCP, BE, PAN; Contra: PSD, CH, IL, CDS-PP; Abstenção: PS</t>
        </is>
      </c>
      <c r="V942" s="3" t="n">
        <v>45985</v>
      </c>
      <c r="W942" s="2" t="inlineStr">
        <is>
          <t>AR: https://www.parlamento.pt/OrcamentoEstado/Paginas/DetalhePropostaAlteracao.aspx?BID=24120 PDF: https://app.parlamento.pt/webutils/docs/doc.pdf?path=6148523063484d364c793942556b356c6443397a6158526c63793959566b6c4a544556484c3039464c7a49774d6a59794d4449314d5441774f5339515153396b5a6a4d345a6d5a684d7930335a4467794c545179596d51744f5745304e693078597a4d794f47497a4e4749785a4445756347526d&amp;Fich=df38ffa3-7d82-42bd-9a46-1c328b34b1d1.pdf&amp;Inline=true</t>
        </is>
      </c>
      <c r="X942" s="2" t="inlineStr">
        <is>
          <t>Educação e Ciência</t>
        </is>
      </c>
      <c r="Y942" s="2" t="inlineStr">
        <is>
          <t>Articulado</t>
        </is>
      </c>
      <c r="Z942" s="2" t="inlineStr">
        <is>
          <t>Aditamento (Artigo PPL)</t>
        </is>
      </c>
      <c r="AA942" s="2" t="inlineStr">
        <is>
          <t>Rejeitado(a) em Comissão</t>
        </is>
      </c>
      <c r="AB942" s="2" t="inlineStr"/>
      <c r="AC942" s="2" t="inlineStr"/>
      <c r="AD942" s="2" t="inlineStr">
        <is>
          <t>1</t>
        </is>
      </c>
      <c r="AE942" s="2" t="inlineStr">
        <is>
          <t>24120</t>
        </is>
      </c>
      <c r="AF942" s="2" t="inlineStr">
        <is>
          <t>https://www.parlamento.pt/OrcamentoEstado/Paginas/DetalhePropostaAlteracao.aspx?BID=24120</t>
        </is>
      </c>
      <c r="AG942" s="2" t="inlineStr">
        <is>
          <t>https://app.parlamento.pt/webutils/docs/doc.pdf?path=6148523063484d364c793942556b356c6443397a6158526c63793959566b6c4a544556484c3039464c7a49774d6a59794d4449314d5441774f5339515153396b5a6a4d345a6d5a684d7930335a4467794c545179596d51744f5745304e693078597a4d794f47497a4e4749785a4445756347526d&amp;Fich=df38ffa3-7d82-42bd-9a46-1c328b34b1d1.pdf&amp;Inline=true</t>
        </is>
      </c>
      <c r="AH942" s="3" t="n">
        <v>46321.77847222222</v>
      </c>
      <c r="AI942" s="3" t="n">
        <v>46321.78055555555</v>
      </c>
      <c r="AJ942" s="2" t="inlineStr"/>
    </row>
    <row r="943">
      <c r="A943" s="2" t="n">
        <v>942</v>
      </c>
      <c r="B943" s="2" t="inlineStr">
        <is>
          <t>885C</t>
        </is>
      </c>
      <c r="C943" s="3" t="n">
        <v>45967.61180555556</v>
      </c>
      <c r="D943" s="2" t="inlineStr">
        <is>
          <t>Original</t>
        </is>
      </c>
      <c r="E943" s="2" t="inlineStr">
        <is>
          <t>BE</t>
        </is>
      </c>
      <c r="F943" s="2" t="inlineStr">
        <is>
          <t>Mariana Mortágua</t>
        </is>
      </c>
      <c r="G943" s="2" t="inlineStr">
        <is>
          <t>Art. 112.º-A (aditamento)</t>
        </is>
      </c>
      <c r="H943" s="2" t="n"/>
      <c r="I943" s="2" t="n"/>
      <c r="J943" s="2" t="n"/>
      <c r="K943" s="2" t="n"/>
      <c r="L943" s="2" t="inlineStr">
        <is>
          <t>Artigo 112.º-A (Programa Artigo 78 Direito à Fruição e Criação Cultural)</t>
        </is>
      </c>
      <c r="M943" s="4" t="n"/>
      <c r="N943" s="4" t="n"/>
      <c r="O943" s="2" t="n"/>
      <c r="P943" s="2" t="n"/>
      <c r="Q943" s="2" t="n"/>
      <c r="R943" s="2" t="n"/>
      <c r="S943" s="2" t="inlineStr">
        <is>
          <t>Rejeitado(a) em Comissão</t>
        </is>
      </c>
      <c r="T943" s="2" t="inlineStr">
        <is>
          <t>Rejeitada</t>
        </is>
      </c>
      <c r="U943" s="2" t="inlineStr">
        <is>
          <t>Favor: L, PCP, BE, PAN; Contra: PSD, CH, CDS-PP; Abstenção: PS, IL</t>
        </is>
      </c>
      <c r="V943" s="3" t="n">
        <v>45982</v>
      </c>
      <c r="W943" s="2" t="inlineStr">
        <is>
          <t>AR: https://www.parlamento.pt/OrcamentoEstado/Paginas/DetalhePropostaAlteracao.aspx?BID=24121 PDF: https://app.parlamento.pt/webutils/docs/doc.pdf?path=6148523063484d364c793942556b356c6443397a6158526c63793959566b6c4a544556484c3039464c7a49774d6a59794d4449314d5441774f53395151533830596d55314d7a557a5a6930354f5451354c545178596a5574596a426d4d7930344f5455344d7a67334d4449354d6a63756347526d&amp;Fich=4be5353f-9949-41b5-b0f3-895838702927.pdf&amp;Inline=true</t>
        </is>
      </c>
      <c r="X943" s="2" t="inlineStr">
        <is>
          <t>Cultura, Comunicação, Juventude e Desporto</t>
        </is>
      </c>
      <c r="Y943" s="2" t="inlineStr">
        <is>
          <t>Articulado</t>
        </is>
      </c>
      <c r="Z943" s="2" t="inlineStr">
        <is>
          <t>Aditamento (Artigo PPL)</t>
        </is>
      </c>
      <c r="AA943" s="2" t="inlineStr">
        <is>
          <t>Rejeitado(a) em Comissão</t>
        </is>
      </c>
      <c r="AB943" s="2" t="inlineStr"/>
      <c r="AC943" s="2" t="inlineStr"/>
      <c r="AD943" s="2" t="inlineStr">
        <is>
          <t>1</t>
        </is>
      </c>
      <c r="AE943" s="2" t="inlineStr">
        <is>
          <t>24121</t>
        </is>
      </c>
      <c r="AF943" s="2" t="inlineStr">
        <is>
          <t>https://www.parlamento.pt/OrcamentoEstado/Paginas/DetalhePropostaAlteracao.aspx?BID=24121</t>
        </is>
      </c>
      <c r="AG943" s="2" t="inlineStr">
        <is>
          <t>https://app.parlamento.pt/webutils/docs/doc.pdf?path=6148523063484d364c793942556b356c6443397a6158526c63793959566b6c4a544556484c3039464c7a49774d6a59794d4449314d5441774f53395151533830596d55314d7a557a5a6930354f5451354c545178596a5574596a426d4d7930344f5455344d7a67334d4449354d6a63756347526d&amp;Fich=4be5353f-9949-41b5-b0f3-895838702927.pdf&amp;Inline=true</t>
        </is>
      </c>
      <c r="AH943" s="3" t="n">
        <v>46321.77847222222</v>
      </c>
      <c r="AI943" s="3" t="n">
        <v>46321.78055555555</v>
      </c>
      <c r="AJ943" s="2" t="inlineStr"/>
    </row>
    <row r="944">
      <c r="A944" s="2" t="n">
        <v>943</v>
      </c>
      <c r="B944" s="2" t="inlineStr">
        <is>
          <t>886C</t>
        </is>
      </c>
      <c r="C944" s="3" t="n">
        <v>45967.61527777778</v>
      </c>
      <c r="D944" s="2" t="inlineStr">
        <is>
          <t>Original</t>
        </is>
      </c>
      <c r="E944" s="2" t="inlineStr">
        <is>
          <t>BE</t>
        </is>
      </c>
      <c r="F944" s="2" t="inlineStr">
        <is>
          <t>Mariana Mortágua</t>
        </is>
      </c>
      <c r="G944" s="2" t="inlineStr">
        <is>
          <t>Art. 123.º-A (aditamento)</t>
        </is>
      </c>
      <c r="H944" s="2" t="n"/>
      <c r="I944" s="2" t="n"/>
      <c r="J944" s="2" t="n"/>
      <c r="K944" s="2" t="n"/>
      <c r="L944" s="2" t="inlineStr">
        <is>
          <t>Artigo 123.º-A (Passe gratuito para jovens sub25+TP)</t>
        </is>
      </c>
      <c r="M944" s="4" t="n"/>
      <c r="N944" s="4" t="n"/>
      <c r="O944" s="2" t="n"/>
      <c r="P944" s="2" t="n"/>
      <c r="Q944" s="2" t="n"/>
      <c r="R944" s="2" t="n"/>
      <c r="S944" s="2" t="inlineStr">
        <is>
          <t>Rejeitado(a) em Comissão</t>
        </is>
      </c>
      <c r="T944" s="2" t="inlineStr">
        <is>
          <t>Rejeitada</t>
        </is>
      </c>
      <c r="U944" s="2" t="inlineStr">
        <is>
          <t>Favor: CH, L, PCP, BE, PAN; Contra: PSD, IL, CDS-PP; Abstenção: PS</t>
        </is>
      </c>
      <c r="V944" s="3" t="n">
        <v>45985</v>
      </c>
      <c r="W944" s="2" t="inlineStr">
        <is>
          <t>AR: https://www.parlamento.pt/OrcamentoEstado/Paginas/DetalhePropostaAlteracao.aspx?BID=24122 PDF: https://app.parlamento.pt/webutils/docs/doc.pdf?path=6148523063484d364c793942556b356c6443397a6158526c63793959566b6c4a544556484c3039464c7a49774d6a59794d4449314d5441774f5339515153396b4f544a6b596a566d4e6930795a47566c4c54526d4d324d74596d5a6a596930354d5751784e474d784e7a67315a6a4d756347526d&amp;Fich=d92db5f6-2dee-4f3c-bfcb-91d14c1785f3.pdf&amp;Inline=true</t>
        </is>
      </c>
      <c r="X944" s="2" t="inlineStr">
        <is>
          <t>Infraestruturas, Mobilidade e Habitação</t>
        </is>
      </c>
      <c r="Y944" s="2" t="inlineStr">
        <is>
          <t>Articulado</t>
        </is>
      </c>
      <c r="Z944" s="2" t="inlineStr">
        <is>
          <t>Aditamento (Artigo PPL)</t>
        </is>
      </c>
      <c r="AA944" s="2" t="inlineStr">
        <is>
          <t>Rejeitado(a) em Comissão</t>
        </is>
      </c>
      <c r="AB944" s="2" t="inlineStr"/>
      <c r="AC944" s="2" t="inlineStr"/>
      <c r="AD944" s="2" t="inlineStr">
        <is>
          <t>1</t>
        </is>
      </c>
      <c r="AE944" s="2" t="inlineStr">
        <is>
          <t>24122</t>
        </is>
      </c>
      <c r="AF944" s="2" t="inlineStr">
        <is>
          <t>https://www.parlamento.pt/OrcamentoEstado/Paginas/DetalhePropostaAlteracao.aspx?BID=24122</t>
        </is>
      </c>
      <c r="AG944" s="2" t="inlineStr">
        <is>
          <t>https://app.parlamento.pt/webutils/docs/doc.pdf?path=6148523063484d364c793942556b356c6443397a6158526c63793959566b6c4a544556484c3039464c7a49774d6a59794d4449314d5441774f5339515153396b4f544a6b596a566d4e6930795a47566c4c54526d4d324d74596d5a6a596930354d5751784e474d784e7a67315a6a4d756347526d&amp;Fich=d92db5f6-2dee-4f3c-bfcb-91d14c1785f3.pdf&amp;Inline=true</t>
        </is>
      </c>
      <c r="AH944" s="3" t="n">
        <v>46321.77847222222</v>
      </c>
      <c r="AI944" s="3" t="n">
        <v>46321.78055555555</v>
      </c>
      <c r="AJ944" s="2" t="inlineStr"/>
    </row>
    <row r="945">
      <c r="A945" s="2" t="n">
        <v>944</v>
      </c>
      <c r="B945" s="2" t="inlineStr">
        <is>
          <t>887C</t>
        </is>
      </c>
      <c r="C945" s="3" t="n">
        <v>45967.61736111111</v>
      </c>
      <c r="D945" s="2" t="inlineStr">
        <is>
          <t>Original</t>
        </is>
      </c>
      <c r="E945" s="2" t="inlineStr">
        <is>
          <t>BE</t>
        </is>
      </c>
      <c r="F945" s="2" t="inlineStr">
        <is>
          <t>Mariana Mortágua</t>
        </is>
      </c>
      <c r="G945" s="2" t="inlineStr">
        <is>
          <t>Art. 123.º-A (aditamento)</t>
        </is>
      </c>
      <c r="H945" s="2" t="n"/>
      <c r="I945" s="2" t="n"/>
      <c r="J945" s="2" t="n"/>
      <c r="K945" s="2" t="n"/>
      <c r="L945" s="2" t="inlineStr">
        <is>
          <t>Artigo 123.º-A (Redução dos passes dos transportes coletivos de passageiros)</t>
        </is>
      </c>
      <c r="M945" s="4" t="n"/>
      <c r="N945" s="4" t="n"/>
      <c r="O945" s="2" t="n"/>
      <c r="P945" s="2" t="n"/>
      <c r="Q945" s="2" t="n"/>
      <c r="R945" s="2" t="n"/>
      <c r="S945" s="2" t="inlineStr">
        <is>
          <t>Rejeitado(a) em Comissão</t>
        </is>
      </c>
      <c r="T945" s="2" t="inlineStr">
        <is>
          <t>Rejeitada</t>
        </is>
      </c>
      <c r="U945" s="2" t="inlineStr">
        <is>
          <t>Favor: CH, L, PCP, BE, PAN; Contra: PSD, IL, CDS-PP; Abstenção: PS</t>
        </is>
      </c>
      <c r="V945" s="3" t="n">
        <v>45985</v>
      </c>
      <c r="W945" s="2" t="inlineStr">
        <is>
          <t>AR: https://www.parlamento.pt/OrcamentoEstado/Paginas/DetalhePropostaAlteracao.aspx?BID=24123 PDF: https://app.parlamento.pt/webutils/docs/doc.pdf?path=6148523063484d364c793942556b356c6443397a6158526c63793959566b6c4a544556484c3039464c7a49774d6a59794d4449314d5441774f53395151533832596a6c694f544d31595331694f545a694c54526b4e7a67744f546b304d4330784e444d344e4755774e3259334d7a49756347526d&amp;Fich=6b9b935a-b96b-4d78-9940-14384e07f732.pdf&amp;Inline=true</t>
        </is>
      </c>
      <c r="X945" s="2" t="inlineStr">
        <is>
          <t>Infraestruturas, Mobilidade e Habitação</t>
        </is>
      </c>
      <c r="Y945" s="2" t="inlineStr">
        <is>
          <t>Articulado</t>
        </is>
      </c>
      <c r="Z945" s="2" t="inlineStr">
        <is>
          <t>Aditamento (Artigo PPL)</t>
        </is>
      </c>
      <c r="AA945" s="2" t="inlineStr">
        <is>
          <t>Rejeitado(a) em Comissão</t>
        </is>
      </c>
      <c r="AB945" s="2" t="inlineStr"/>
      <c r="AC945" s="2" t="inlineStr"/>
      <c r="AD945" s="2" t="inlineStr">
        <is>
          <t>1</t>
        </is>
      </c>
      <c r="AE945" s="2" t="inlineStr">
        <is>
          <t>24123</t>
        </is>
      </c>
      <c r="AF945" s="2" t="inlineStr">
        <is>
          <t>https://www.parlamento.pt/OrcamentoEstado/Paginas/DetalhePropostaAlteracao.aspx?BID=24123</t>
        </is>
      </c>
      <c r="AG945" s="2" t="inlineStr">
        <is>
          <t>https://app.parlamento.pt/webutils/docs/doc.pdf?path=6148523063484d364c793942556b356c6443397a6158526c63793959566b6c4a544556484c3039464c7a49774d6a59794d4449314d5441774f53395151533832596a6c694f544d31595331694f545a694c54526b4e7a67744f546b304d4330784e444d344e4755774e3259334d7a49756347526d&amp;Fich=6b9b935a-b96b-4d78-9940-14384e07f732.pdf&amp;Inline=true</t>
        </is>
      </c>
      <c r="AH945" s="3" t="n">
        <v>46321.77847222222</v>
      </c>
      <c r="AI945" s="3" t="n">
        <v>46321.78055555555</v>
      </c>
      <c r="AJ945" s="2" t="inlineStr"/>
    </row>
    <row r="946">
      <c r="A946" s="2" t="n">
        <v>945</v>
      </c>
      <c r="B946" s="2" t="inlineStr">
        <is>
          <t>888C</t>
        </is>
      </c>
      <c r="C946" s="3" t="n">
        <v>45967.63402777778</v>
      </c>
      <c r="D946" s="2" t="inlineStr">
        <is>
          <t>Original</t>
        </is>
      </c>
      <c r="E946" s="2" t="inlineStr">
        <is>
          <t>BE</t>
        </is>
      </c>
      <c r="F946" s="2" t="inlineStr">
        <is>
          <t>Mariana Mortágua</t>
        </is>
      </c>
      <c r="G946" s="2" t="inlineStr">
        <is>
          <t>Art. 90.º-A (aditamento)</t>
        </is>
      </c>
      <c r="H946" s="2" t="n"/>
      <c r="I946" s="2" t="n"/>
      <c r="J946" s="2" t="n"/>
      <c r="K946" s="2" t="n"/>
      <c r="L946" s="2" t="inlineStr">
        <is>
          <t>Artigo 90.º-A (Procedimentos concursais para admissão de efetivos para o Corpo da Guarda Prisional)</t>
        </is>
      </c>
      <c r="M946" s="4" t="n"/>
      <c r="N946" s="4" t="n"/>
      <c r="O946" s="2" t="n"/>
      <c r="P946" s="2" t="n"/>
      <c r="Q946" s="2" t="n"/>
      <c r="R946" s="2" t="n"/>
      <c r="S946" s="2" t="inlineStr">
        <is>
          <t>Rejeitado(a) em Comissão</t>
        </is>
      </c>
      <c r="T946" s="2" t="inlineStr">
        <is>
          <t>Rejeitada</t>
        </is>
      </c>
      <c r="U946" s="2" t="inlineStr">
        <is>
          <t>Favor: CH, L, PCP, BE, PAN; Contra: PSD, CDS-PP; Abstenção: PS, IL</t>
        </is>
      </c>
      <c r="V946" s="3" t="n">
        <v>45982</v>
      </c>
      <c r="W946" s="2" t="inlineStr">
        <is>
          <t>AR: https://www.parlamento.pt/OrcamentoEstado/Paginas/DetalhePropostaAlteracao.aspx?BID=24124 PDF: https://app.parlamento.pt/webutils/docs/doc.pdf?path=6148523063484d364c793942556b356c6443397a6158526c63793959566b6c4a544556484c3039464c7a49774d6a59794d4449314d5441774f533951515338344e544d774f4459334f5330305a4467314c5452694e544974595455314e79316c4d6a6b7a5a6d55304e6a67325a4455756347526d&amp;Fich=85308679-4d85-4b52-a557-e293fe4686d5.pdf&amp;Inline=true</t>
        </is>
      </c>
      <c r="X946" s="2" t="inlineStr">
        <is>
          <t>Assuntos Constitucionais, Direitos, Liberdades e Garantias</t>
        </is>
      </c>
      <c r="Y946" s="2" t="inlineStr">
        <is>
          <t>Articulado</t>
        </is>
      </c>
      <c r="Z946" s="2" t="inlineStr">
        <is>
          <t>Aditamento (Artigo PPL)</t>
        </is>
      </c>
      <c r="AA946" s="2" t="inlineStr">
        <is>
          <t>Rejeitado(a) em Comissão</t>
        </is>
      </c>
      <c r="AB946" s="2" t="inlineStr"/>
      <c r="AC946" s="2" t="inlineStr"/>
      <c r="AD946" s="2" t="inlineStr">
        <is>
          <t>1</t>
        </is>
      </c>
      <c r="AE946" s="2" t="inlineStr">
        <is>
          <t>24124</t>
        </is>
      </c>
      <c r="AF946" s="2" t="inlineStr">
        <is>
          <t>https://www.parlamento.pt/OrcamentoEstado/Paginas/DetalhePropostaAlteracao.aspx?BID=24124</t>
        </is>
      </c>
      <c r="AG946" s="2" t="inlineStr">
        <is>
          <t>https://app.parlamento.pt/webutils/docs/doc.pdf?path=6148523063484d364c793942556b356c6443397a6158526c63793959566b6c4a544556484c3039464c7a49774d6a59794d4449314d5441774f533951515338344e544d774f4459334f5330305a4467314c5452694e544974595455314e79316c4d6a6b7a5a6d55304e6a67325a4455756347526d&amp;Fich=85308679-4d85-4b52-a557-e293fe4686d5.pdf&amp;Inline=true</t>
        </is>
      </c>
      <c r="AH946" s="3" t="n">
        <v>46321.77847222222</v>
      </c>
      <c r="AI946" s="3" t="n">
        <v>46321.78055555555</v>
      </c>
      <c r="AJ946" s="2" t="inlineStr"/>
    </row>
    <row r="947">
      <c r="A947" s="2" t="n">
        <v>946</v>
      </c>
      <c r="B947" s="2" t="inlineStr">
        <is>
          <t>889C</t>
        </is>
      </c>
      <c r="C947" s="3" t="n">
        <v>45967.63472222222</v>
      </c>
      <c r="D947" s="2" t="inlineStr">
        <is>
          <t>Original</t>
        </is>
      </c>
      <c r="E947" s="2" t="inlineStr">
        <is>
          <t>BE</t>
        </is>
      </c>
      <c r="F947" s="2" t="inlineStr">
        <is>
          <t>Mariana Mortágua</t>
        </is>
      </c>
      <c r="G947" s="2" t="inlineStr">
        <is>
          <t>Art. 20.º-A (aditamento)</t>
        </is>
      </c>
      <c r="H947" s="2" t="n"/>
      <c r="I947" s="2" t="n"/>
      <c r="J947" s="2" t="n"/>
      <c r="K947" s="2" t="n"/>
      <c r="L947" s="2" t="inlineStr">
        <is>
          <t>Artigo 20.º-A (Contratação de Arqueólogos para o Ministério da Cultura)</t>
        </is>
      </c>
      <c r="M947" s="4" t="n"/>
      <c r="N947" s="4" t="n"/>
      <c r="O947" s="2" t="n"/>
      <c r="P947" s="2" t="n"/>
      <c r="Q947" s="2" t="n"/>
      <c r="R947" s="2" t="n"/>
      <c r="S947" s="2" t="inlineStr">
        <is>
          <t>Rejeitado(a) em Comissão</t>
        </is>
      </c>
      <c r="T947" s="2" t="inlineStr">
        <is>
          <t>Rejeitada</t>
        </is>
      </c>
      <c r="U947" s="2" t="inlineStr">
        <is>
          <t>Favor: L, PCP, BE, PAN; Contra: PSD, IL, CDS-PP; Abstenção: CH, PS</t>
        </is>
      </c>
      <c r="V947" s="3" t="n">
        <v>45981</v>
      </c>
      <c r="W947" s="2" t="inlineStr">
        <is>
          <t>AR: https://www.parlamento.pt/OrcamentoEstado/Paginas/DetalhePropostaAlteracao.aspx?BID=24125 PDF: https://app.parlamento.pt/webutils/docs/doc.pdf?path=6148523063484d364c793942556b356c6443397a6158526c63793959566b6c4a544556484c3039464c7a49774d6a59794d4449314d5441774f533951515338324f444a6b5a44686b5a6930344f54646d4c54526a4d574d74596a45324d7930314d6a41794f544d784d446b334e5751756347526d&amp;Fich=682dd8df-897f-4c1c-b163-52029310975d.pdf&amp;Inline=true</t>
        </is>
      </c>
      <c r="X947" s="2" t="inlineStr">
        <is>
          <t>Cultura, Comunicação, Juventude e Desporto</t>
        </is>
      </c>
      <c r="Y947" s="2" t="inlineStr">
        <is>
          <t>Articulado</t>
        </is>
      </c>
      <c r="Z947" s="2" t="inlineStr">
        <is>
          <t>Aditamento (Artigo PPL)</t>
        </is>
      </c>
      <c r="AA947" s="2" t="inlineStr">
        <is>
          <t>Rejeitado(a) em Comissão</t>
        </is>
      </c>
      <c r="AB947" s="2" t="inlineStr"/>
      <c r="AC947" s="2" t="inlineStr"/>
      <c r="AD947" s="2" t="inlineStr">
        <is>
          <t>1</t>
        </is>
      </c>
      <c r="AE947" s="2" t="inlineStr">
        <is>
          <t>24125</t>
        </is>
      </c>
      <c r="AF947" s="2" t="inlineStr">
        <is>
          <t>https://www.parlamento.pt/OrcamentoEstado/Paginas/DetalhePropostaAlteracao.aspx?BID=24125</t>
        </is>
      </c>
      <c r="AG947" s="2" t="inlineStr">
        <is>
          <t>https://app.parlamento.pt/webutils/docs/doc.pdf?path=6148523063484d364c793942556b356c6443397a6158526c63793959566b6c4a544556484c3039464c7a49774d6a59794d4449314d5441774f533951515338324f444a6b5a44686b5a6930344f54646d4c54526a4d574d74596a45324d7930314d6a41794f544d784d446b334e5751756347526d&amp;Fich=682dd8df-897f-4c1c-b163-52029310975d.pdf&amp;Inline=true</t>
        </is>
      </c>
      <c r="AH947" s="3" t="n">
        <v>46321.77847222222</v>
      </c>
      <c r="AI947" s="3" t="n">
        <v>46321.78055555555</v>
      </c>
      <c r="AJ947" s="2" t="inlineStr"/>
    </row>
    <row r="948">
      <c r="A948" s="2" t="n">
        <v>947</v>
      </c>
      <c r="B948" s="2" t="inlineStr">
        <is>
          <t>890C</t>
        </is>
      </c>
      <c r="C948" s="3" t="n">
        <v>45967.63611111111</v>
      </c>
      <c r="D948" s="2" t="inlineStr">
        <is>
          <t>Original</t>
        </is>
      </c>
      <c r="E948" s="2" t="inlineStr">
        <is>
          <t>BE</t>
        </is>
      </c>
      <c r="F948" s="2" t="inlineStr">
        <is>
          <t>Mariana Mortágua</t>
        </is>
      </c>
      <c r="G948" s="2" t="inlineStr">
        <is>
          <t>Art. 20.º-A (aditamento)</t>
        </is>
      </c>
      <c r="H948" s="2" t="n"/>
      <c r="I948" s="2" t="n"/>
      <c r="J948" s="2" t="n"/>
      <c r="K948" s="2" t="n"/>
      <c r="L948" s="2" t="inlineStr">
        <is>
          <t>Artigo 20.º-A (Médicos dentistas no SNS)</t>
        </is>
      </c>
      <c r="M948" s="4" t="n"/>
      <c r="N948" s="4" t="n"/>
      <c r="O948" s="2" t="n"/>
      <c r="P948" s="2" t="n"/>
      <c r="Q948" s="2" t="n"/>
      <c r="R948" s="2" t="n"/>
      <c r="S948" s="2" t="inlineStr">
        <is>
          <t>Rejeitado(a) em Comissão</t>
        </is>
      </c>
      <c r="T948" s="2" t="inlineStr">
        <is>
          <t>Rejeitada</t>
        </is>
      </c>
      <c r="U948" s="2" t="inlineStr">
        <is>
          <t>Favor: CH, IL, L, PCP, BE, PAN; Contra: PSD, CDS-PP; Abstenção: PS</t>
        </is>
      </c>
      <c r="V948" s="3" t="n">
        <v>45981</v>
      </c>
      <c r="W948" s="2" t="inlineStr">
        <is>
          <t>AR: https://www.parlamento.pt/OrcamentoEstado/Paginas/DetalhePropostaAlteracao.aspx?BID=24126 PDF: https://app.parlamento.pt/webutils/docs/doc.pdf?path=6148523063484d364c793942556b356c6443397a6158526c63793959566b6c4a544556484c3039464c7a49774d6a59794d4449314d5441774f533951515338355a6a55794d6d49774f4330314f544d354c5451324e4449744f574d7a4e69316d4e44686b4f5755784e47466a5a6d51756347526d&amp;Fich=9f522b08-5939-4642-9c36-f48d9e14acfd.pdf&amp;Inline=true</t>
        </is>
      </c>
      <c r="X948" s="2" t="inlineStr">
        <is>
          <t>Saúde</t>
        </is>
      </c>
      <c r="Y948" s="2" t="inlineStr">
        <is>
          <t>Articulado</t>
        </is>
      </c>
      <c r="Z948" s="2" t="inlineStr">
        <is>
          <t>Aditamento (Artigo PPL)</t>
        </is>
      </c>
      <c r="AA948" s="2" t="inlineStr">
        <is>
          <t>Rejeitado(a) em Comissão</t>
        </is>
      </c>
      <c r="AB948" s="2" t="inlineStr"/>
      <c r="AC948" s="2" t="inlineStr"/>
      <c r="AD948" s="2" t="inlineStr">
        <is>
          <t>1</t>
        </is>
      </c>
      <c r="AE948" s="2" t="inlineStr">
        <is>
          <t>24126</t>
        </is>
      </c>
      <c r="AF948" s="2" t="inlineStr">
        <is>
          <t>https://www.parlamento.pt/OrcamentoEstado/Paginas/DetalhePropostaAlteracao.aspx?BID=24126</t>
        </is>
      </c>
      <c r="AG948" s="2" t="inlineStr">
        <is>
          <t>https://app.parlamento.pt/webutils/docs/doc.pdf?path=6148523063484d364c793942556b356c6443397a6158526c63793959566b6c4a544556484c3039464c7a49774d6a59794d4449314d5441774f533951515338355a6a55794d6d49774f4330314f544d354c5451324e4449744f574d7a4e69316d4e44686b4f5755784e47466a5a6d51756347526d&amp;Fich=9f522b08-5939-4642-9c36-f48d9e14acfd.pdf&amp;Inline=true</t>
        </is>
      </c>
      <c r="AH948" s="3" t="n">
        <v>46321.77847222222</v>
      </c>
      <c r="AI948" s="3" t="n">
        <v>46321.78055555555</v>
      </c>
      <c r="AJ948" s="2" t="inlineStr"/>
    </row>
    <row r="949">
      <c r="A949" s="2" t="n">
        <v>948</v>
      </c>
      <c r="B949" s="2" t="inlineStr">
        <is>
          <t>891C</t>
        </is>
      </c>
      <c r="C949" s="3" t="n">
        <v>45967.6375</v>
      </c>
      <c r="D949" s="2" t="inlineStr">
        <is>
          <t>Original</t>
        </is>
      </c>
      <c r="E949" s="2" t="inlineStr">
        <is>
          <t>BE</t>
        </is>
      </c>
      <c r="F949" s="2" t="inlineStr">
        <is>
          <t>Mariana Mortágua</t>
        </is>
      </c>
      <c r="G949" s="2" t="inlineStr">
        <is>
          <t>Art. 20.º-A (aditamento)</t>
        </is>
      </c>
      <c r="H949" s="2" t="n"/>
      <c r="I949" s="2" t="n"/>
      <c r="J949" s="2" t="n"/>
      <c r="K949" s="2" t="n"/>
      <c r="L949" s="2" t="inlineStr">
        <is>
          <t>Artigo 20.º-A (Farmacêuticos do SNS)</t>
        </is>
      </c>
      <c r="M949" s="4" t="n"/>
      <c r="N949" s="4" t="n"/>
      <c r="O949" s="2" t="n"/>
      <c r="P949" s="2" t="n"/>
      <c r="Q949" s="2" t="n"/>
      <c r="R949" s="2" t="n"/>
      <c r="S949" s="2" t="inlineStr">
        <is>
          <t>Rejeitado(a) em Comissão</t>
        </is>
      </c>
      <c r="T949" s="2" t="inlineStr">
        <is>
          <t>Rejeitada</t>
        </is>
      </c>
      <c r="U949" s="2" t="inlineStr">
        <is>
          <t>Favor: CH, L, PCP, BE, PAN; Contra: PSD, CDS-PP; Abstenção: PS, IL</t>
        </is>
      </c>
      <c r="V949" s="3" t="n">
        <v>45981</v>
      </c>
      <c r="W949" s="2" t="inlineStr">
        <is>
          <t>AR: https://www.parlamento.pt/OrcamentoEstado/Paginas/DetalhePropostaAlteracao.aspx?BID=24127 PDF: https://app.parlamento.pt/webutils/docs/doc.pdf?path=6148523063484d364c793942556b356c6443397a6158526c63793959566b6c4a544556484c3039464c7a49774d6a59794d4449314d5441774f5339515153396a4d5468684d47566a4e6930344d54517a4c5451354d574974596a566a4e43316b597a4e695a6d4668597a4e684f574d756347526d&amp;Fich=c18a0ec6-8143-491b-b5c4-dc3bfaac3a9c.pdf&amp;Inline=true</t>
        </is>
      </c>
      <c r="X949" s="2" t="inlineStr">
        <is>
          <t>Saúde</t>
        </is>
      </c>
      <c r="Y949" s="2" t="inlineStr">
        <is>
          <t>Articulado</t>
        </is>
      </c>
      <c r="Z949" s="2" t="inlineStr">
        <is>
          <t>Aditamento (Artigo PPL)</t>
        </is>
      </c>
      <c r="AA949" s="2" t="inlineStr">
        <is>
          <t>Rejeitado(a) em Comissão</t>
        </is>
      </c>
      <c r="AB949" s="2" t="inlineStr"/>
      <c r="AC949" s="2" t="inlineStr"/>
      <c r="AD949" s="2" t="inlineStr">
        <is>
          <t>1</t>
        </is>
      </c>
      <c r="AE949" s="2" t="inlineStr">
        <is>
          <t>24127</t>
        </is>
      </c>
      <c r="AF949" s="2" t="inlineStr">
        <is>
          <t>https://www.parlamento.pt/OrcamentoEstado/Paginas/DetalhePropostaAlteracao.aspx?BID=24127</t>
        </is>
      </c>
      <c r="AG949" s="2" t="inlineStr">
        <is>
          <t>https://app.parlamento.pt/webutils/docs/doc.pdf?path=6148523063484d364c793942556b356c6443397a6158526c63793959566b6c4a544556484c3039464c7a49774d6a59794d4449314d5441774f5339515153396a4d5468684d47566a4e6930344d54517a4c5451354d574974596a566a4e43316b597a4e695a6d4668597a4e684f574d756347526d&amp;Fich=c18a0ec6-8143-491b-b5c4-dc3bfaac3a9c.pdf&amp;Inline=true</t>
        </is>
      </c>
      <c r="AH949" s="3" t="n">
        <v>46321.77847222222</v>
      </c>
      <c r="AI949" s="3" t="n">
        <v>46321.78055555555</v>
      </c>
      <c r="AJ949" s="2" t="inlineStr"/>
    </row>
    <row r="950">
      <c r="A950" s="2" t="n">
        <v>949</v>
      </c>
      <c r="B950" s="2" t="inlineStr">
        <is>
          <t>892C</t>
        </is>
      </c>
      <c r="C950" s="3" t="n">
        <v>45967.63888888889</v>
      </c>
      <c r="D950" s="2" t="inlineStr">
        <is>
          <t>Original</t>
        </is>
      </c>
      <c r="E950" s="2" t="inlineStr">
        <is>
          <t>BE</t>
        </is>
      </c>
      <c r="F950" s="2" t="inlineStr">
        <is>
          <t>Mariana Mortágua</t>
        </is>
      </c>
      <c r="G950" s="2" t="inlineStr">
        <is>
          <t>Art. 20.º-A (aditamento)</t>
        </is>
      </c>
      <c r="H950" s="2" t="n"/>
      <c r="I950" s="2" t="n"/>
      <c r="J950" s="2" t="n"/>
      <c r="K950" s="2" t="n"/>
      <c r="L950" s="2" t="inlineStr">
        <is>
          <t>Artigo 20.º-A (Nutricionistas no SNS)</t>
        </is>
      </c>
      <c r="M950" s="4" t="n"/>
      <c r="N950" s="4" t="n"/>
      <c r="O950" s="2" t="n"/>
      <c r="P950" s="2" t="n"/>
      <c r="Q950" s="2" t="n"/>
      <c r="R950" s="2" t="n"/>
      <c r="S950" s="2" t="inlineStr">
        <is>
          <t>Rejeitado(a) em Comissão</t>
        </is>
      </c>
      <c r="T950" s="2" t="inlineStr">
        <is>
          <t>Rejeitada</t>
        </is>
      </c>
      <c r="U950" s="2" t="inlineStr">
        <is>
          <t>Favor: CH, L, PCP, BE, PAN; Contra: PSD, IL, CDS-PP; Abstenção: PS</t>
        </is>
      </c>
      <c r="V950" s="3" t="n">
        <v>45981</v>
      </c>
      <c r="W950" s="2" t="inlineStr">
        <is>
          <t>AR: https://www.parlamento.pt/OrcamentoEstado/Paginas/DetalhePropostaAlteracao.aspx?BID=24128 PDF: https://app.parlamento.pt/webutils/docs/doc.pdf?path=6148523063484d364c793942556b356c6443397a6158526c63793959566b6c4a544556484c3039464c7a49774d6a59794d4449314d5441774f533951515339684d6d4a6b4d54557a4d43316d4e4467334c5451785a5749744f54426a5969316d4f5463344d7a4932596d4d345a474d756347526d&amp;Fich=a2bd1530-f487-41eb-90cb-f978326bc8dc.pdf&amp;Inline=true</t>
        </is>
      </c>
      <c r="X950" s="2" t="inlineStr">
        <is>
          <t>Saúde</t>
        </is>
      </c>
      <c r="Y950" s="2" t="inlineStr">
        <is>
          <t>Articulado</t>
        </is>
      </c>
      <c r="Z950" s="2" t="inlineStr">
        <is>
          <t>Aditamento (Artigo PPL)</t>
        </is>
      </c>
      <c r="AA950" s="2" t="inlineStr">
        <is>
          <t>Rejeitado(a) em Comissão</t>
        </is>
      </c>
      <c r="AB950" s="2" t="inlineStr"/>
      <c r="AC950" s="2" t="inlineStr"/>
      <c r="AD950" s="2" t="inlineStr">
        <is>
          <t>1</t>
        </is>
      </c>
      <c r="AE950" s="2" t="inlineStr">
        <is>
          <t>24128</t>
        </is>
      </c>
      <c r="AF950" s="2" t="inlineStr">
        <is>
          <t>https://www.parlamento.pt/OrcamentoEstado/Paginas/DetalhePropostaAlteracao.aspx?BID=24128</t>
        </is>
      </c>
      <c r="AG950" s="2" t="inlineStr">
        <is>
          <t>https://app.parlamento.pt/webutils/docs/doc.pdf?path=6148523063484d364c793942556b356c6443397a6158526c63793959566b6c4a544556484c3039464c7a49774d6a59794d4449314d5441774f533951515339684d6d4a6b4d54557a4d43316d4e4467334c5451785a5749744f54426a5969316d4f5463344d7a4932596d4d345a474d756347526d&amp;Fich=a2bd1530-f487-41eb-90cb-f978326bc8dc.pdf&amp;Inline=true</t>
        </is>
      </c>
      <c r="AH950" s="3" t="n">
        <v>46321.77847222222</v>
      </c>
      <c r="AI950" s="3" t="n">
        <v>46321.78055555555</v>
      </c>
      <c r="AJ950" s="2" t="inlineStr"/>
    </row>
    <row r="951">
      <c r="A951" s="2" t="n">
        <v>950</v>
      </c>
      <c r="B951" s="2" t="inlineStr">
        <is>
          <t>893C</t>
        </is>
      </c>
      <c r="C951" s="3" t="n">
        <v>45967.64097222222</v>
      </c>
      <c r="D951" s="2" t="inlineStr">
        <is>
          <t>Original</t>
        </is>
      </c>
      <c r="E951" s="2" t="inlineStr">
        <is>
          <t>BE</t>
        </is>
      </c>
      <c r="F951" s="2" t="inlineStr">
        <is>
          <t>Mariana Mortágua</t>
        </is>
      </c>
      <c r="G951" s="2" t="inlineStr">
        <is>
          <t>Art. 20.º-A (aditamento)</t>
        </is>
      </c>
      <c r="H951" s="2" t="n"/>
      <c r="I951" s="2" t="n"/>
      <c r="J951" s="2" t="n"/>
      <c r="K951" s="2" t="n"/>
      <c r="L951" s="2" t="inlineStr">
        <is>
          <t>Artigo 20.º-A (Valorização da carreira de Técnico Superior de Diagnóstico e Terapêutica)</t>
        </is>
      </c>
      <c r="M951" s="4" t="n"/>
      <c r="N951" s="4" t="n"/>
      <c r="O951" s="2" t="n"/>
      <c r="P951" s="2" t="n"/>
      <c r="Q951" s="2" t="n"/>
      <c r="R951" s="2" t="n"/>
      <c r="S951" s="2" t="inlineStr">
        <is>
          <t>Rejeitado(a) em Comissão</t>
        </is>
      </c>
      <c r="T951" s="2" t="inlineStr">
        <is>
          <t>Rejeitada</t>
        </is>
      </c>
      <c r="U951" s="2" t="inlineStr">
        <is>
          <t>Favor: CH, L, PCP, BE, PAN; Contra: PSD, CDS-PP; Abstenção: PS, IL</t>
        </is>
      </c>
      <c r="V951" s="3" t="n">
        <v>45981</v>
      </c>
      <c r="W951" s="2" t="inlineStr">
        <is>
          <t>AR: https://www.parlamento.pt/OrcamentoEstado/Paginas/DetalhePropostaAlteracao.aspx?BID=24129 PDF: https://app.parlamento.pt/webutils/docs/doc.pdf?path=6148523063484d364c793942556b356c6443397a6158526c63793959566b6c4a544556484c3039464c7a49774d6a59794d4449314d5441774f5339515153387a596a417a5a5455344e69316b5a47526a4c5451344d5441744f4449324e4331694d446b774e6d45324e6a5a6c4e7a45756347526d&amp;Fich=3b03e586-dddc-4810-8264-b0906a666e71.pdf&amp;Inline=true</t>
        </is>
      </c>
      <c r="X951" s="2" t="inlineStr">
        <is>
          <t>Saúde</t>
        </is>
      </c>
      <c r="Y951" s="2" t="inlineStr">
        <is>
          <t>Articulado</t>
        </is>
      </c>
      <c r="Z951" s="2" t="inlineStr">
        <is>
          <t>Aditamento (Artigo PPL)</t>
        </is>
      </c>
      <c r="AA951" s="2" t="inlineStr">
        <is>
          <t>Rejeitado(a) em Comissão</t>
        </is>
      </c>
      <c r="AB951" s="2" t="inlineStr"/>
      <c r="AC951" s="2" t="inlineStr"/>
      <c r="AD951" s="2" t="inlineStr">
        <is>
          <t>1</t>
        </is>
      </c>
      <c r="AE951" s="2" t="inlineStr">
        <is>
          <t>24129</t>
        </is>
      </c>
      <c r="AF951" s="2" t="inlineStr">
        <is>
          <t>https://www.parlamento.pt/OrcamentoEstado/Paginas/DetalhePropostaAlteracao.aspx?BID=24129</t>
        </is>
      </c>
      <c r="AG951" s="2" t="inlineStr">
        <is>
          <t>https://app.parlamento.pt/webutils/docs/doc.pdf?path=6148523063484d364c793942556b356c6443397a6158526c63793959566b6c4a544556484c3039464c7a49774d6a59794d4449314d5441774f5339515153387a596a417a5a5455344e69316b5a47526a4c5451344d5441744f4449324e4331694d446b774e6d45324e6a5a6c4e7a45756347526d&amp;Fich=3b03e586-dddc-4810-8264-b0906a666e71.pdf&amp;Inline=true</t>
        </is>
      </c>
      <c r="AH951" s="3" t="n">
        <v>46321.77847222222</v>
      </c>
      <c r="AI951" s="3" t="n">
        <v>46321.78055555555</v>
      </c>
      <c r="AJ951" s="2" t="inlineStr"/>
    </row>
    <row r="952">
      <c r="A952" s="2" t="n">
        <v>951</v>
      </c>
      <c r="B952" s="2" t="inlineStr">
        <is>
          <t>894C</t>
        </is>
      </c>
      <c r="C952" s="3" t="n">
        <v>45967.64236111111</v>
      </c>
      <c r="D952" s="2" t="inlineStr">
        <is>
          <t>Original</t>
        </is>
      </c>
      <c r="E952" s="2" t="inlineStr">
        <is>
          <t>BE</t>
        </is>
      </c>
      <c r="F952" s="2" t="inlineStr">
        <is>
          <t>Mariana Mortágua</t>
        </is>
      </c>
      <c r="G952" s="2" t="inlineStr">
        <is>
          <t>Art. 22.º-A (aditamento)</t>
        </is>
      </c>
      <c r="H952" s="2" t="n"/>
      <c r="I952" s="2" t="n"/>
      <c r="J952" s="2" t="n"/>
      <c r="K952" s="2" t="n"/>
      <c r="L952" s="2" t="inlineStr">
        <is>
          <t>Artigo 22.º-A (Enfermeiros especialistas)</t>
        </is>
      </c>
      <c r="M952" s="4" t="n"/>
      <c r="N952" s="4" t="n"/>
      <c r="O952" s="2" t="n"/>
      <c r="P952" s="2" t="n"/>
      <c r="Q952" s="2" t="n"/>
      <c r="R952" s="2" t="n"/>
      <c r="S952" s="2" t="inlineStr">
        <is>
          <t>Rejeitado(a) em Comissão</t>
        </is>
      </c>
      <c r="T952" s="2" t="inlineStr">
        <is>
          <t>Rejeitada</t>
        </is>
      </c>
      <c r="U952" s="2" t="inlineStr">
        <is>
          <t>Favor: CH, L, PCP, BE, PAN; Contra: PSD, IL, CDS-PP; Abstenção: PS</t>
        </is>
      </c>
      <c r="V952" s="3" t="n">
        <v>45981</v>
      </c>
      <c r="W952" s="2" t="inlineStr">
        <is>
          <t>AR: https://www.parlamento.pt/OrcamentoEstado/Paginas/DetalhePropostaAlteracao.aspx?BID=24130 PDF: https://app.parlamento.pt/webutils/docs/doc.pdf?path=6148523063484d364c793942556b356c6443397a6158526c63793959566b6c4a544556484c3039464c7a49774d6a59794d4449314d5441774f533951515338334d6a6b35597a4d7a5a433031596d51304c54526d4d6a63744f57466c5a43316a4e446b324f4752694e6a5668596d45756347526d&amp;Fich=7299c33d-5bd4-4f27-9aed-c4968db65aba.pdf&amp;Inline=true</t>
        </is>
      </c>
      <c r="X952" s="2" t="inlineStr">
        <is>
          <t>Saúde</t>
        </is>
      </c>
      <c r="Y952" s="2" t="inlineStr">
        <is>
          <t>Articulado</t>
        </is>
      </c>
      <c r="Z952" s="2" t="inlineStr">
        <is>
          <t>Aditamento (Artigo PPL)</t>
        </is>
      </c>
      <c r="AA952" s="2" t="inlineStr">
        <is>
          <t>Rejeitado(a) em Comissão</t>
        </is>
      </c>
      <c r="AB952" s="2" t="inlineStr"/>
      <c r="AC952" s="2" t="inlineStr"/>
      <c r="AD952" s="2" t="inlineStr">
        <is>
          <t>1</t>
        </is>
      </c>
      <c r="AE952" s="2" t="inlineStr">
        <is>
          <t>24130</t>
        </is>
      </c>
      <c r="AF952" s="2" t="inlineStr">
        <is>
          <t>https://www.parlamento.pt/OrcamentoEstado/Paginas/DetalhePropostaAlteracao.aspx?BID=24130</t>
        </is>
      </c>
      <c r="AG952" s="2" t="inlineStr">
        <is>
          <t>https://app.parlamento.pt/webutils/docs/doc.pdf?path=6148523063484d364c793942556b356c6443397a6158526c63793959566b6c4a544556484c3039464c7a49774d6a59794d4449314d5441774f533951515338334d6a6b35597a4d7a5a433031596d51304c54526d4d6a63744f57466c5a43316a4e446b324f4752694e6a5668596d45756347526d&amp;Fich=7299c33d-5bd4-4f27-9aed-c4968db65aba.pdf&amp;Inline=true</t>
        </is>
      </c>
      <c r="AH952" s="3" t="n">
        <v>46321.77847222222</v>
      </c>
      <c r="AI952" s="3" t="n">
        <v>46321.78055555555</v>
      </c>
      <c r="AJ952" s="2" t="inlineStr"/>
    </row>
    <row r="953">
      <c r="A953" s="2" t="n">
        <v>952</v>
      </c>
      <c r="B953" s="2" t="inlineStr">
        <is>
          <t>895C</t>
        </is>
      </c>
      <c r="C953" s="3" t="n">
        <v>45967.64305555556</v>
      </c>
      <c r="D953" s="2" t="inlineStr">
        <is>
          <t>Original</t>
        </is>
      </c>
      <c r="E953" s="2" t="inlineStr">
        <is>
          <t>BE</t>
        </is>
      </c>
      <c r="F953" s="2" t="inlineStr">
        <is>
          <t>Mariana Mortágua</t>
        </is>
      </c>
      <c r="G953" s="2" t="inlineStr">
        <is>
          <t>Art. 22.º-A (aditamento)</t>
        </is>
      </c>
      <c r="H953" s="2" t="n"/>
      <c r="I953" s="2" t="n"/>
      <c r="J953" s="2" t="n"/>
      <c r="K953" s="2" t="n"/>
      <c r="L953" s="2" t="inlineStr">
        <is>
          <t>Artigo 22.º-A (Valorização da carreira de enfermagem)</t>
        </is>
      </c>
      <c r="M953" s="4" t="n"/>
      <c r="N953" s="4" t="n"/>
      <c r="O953" s="2" t="n"/>
      <c r="P953" s="2" t="n"/>
      <c r="Q953" s="2" t="n"/>
      <c r="R953" s="2" t="n"/>
      <c r="S953" s="2" t="inlineStr">
        <is>
          <t>Rejeitado(a) em Comissão</t>
        </is>
      </c>
      <c r="T953" s="2" t="inlineStr">
        <is>
          <t>Rejeitada</t>
        </is>
      </c>
      <c r="U953" s="2" t="inlineStr">
        <is>
          <t>Favor: CH, L, PCP, BE, PAN; Contra: PSD, IL, CDS-PP; Abstenção: PS</t>
        </is>
      </c>
      <c r="V953" s="3" t="n">
        <v>45981</v>
      </c>
      <c r="W953" s="2" t="inlineStr">
        <is>
          <t>AR: https://www.parlamento.pt/OrcamentoEstado/Paginas/DetalhePropostaAlteracao.aspx?BID=24131 PDF: https://app.parlamento.pt/webutils/docs/doc.pdf?path=6148523063484d364c793942556b356c6443397a6158526c63793959566b6c4a544556484c3039464c7a49774d6a59794d4449314d5441774f533951515338774d325a695a4451335953316b4e6d55324c5451774d7a6b74596a49774f43316c4e474e684e545a684d4755324e4755756347526d&amp;Fich=03fbd47a-d6e6-4039-b208-e4ca56a0e64e.pdf&amp;Inline=true</t>
        </is>
      </c>
      <c r="X953" s="2" t="inlineStr">
        <is>
          <t>Saúde</t>
        </is>
      </c>
      <c r="Y953" s="2" t="inlineStr">
        <is>
          <t>Articulado</t>
        </is>
      </c>
      <c r="Z953" s="2" t="inlineStr">
        <is>
          <t>Aditamento (Artigo PPL)</t>
        </is>
      </c>
      <c r="AA953" s="2" t="inlineStr">
        <is>
          <t>Rejeitado(a) em Comissão</t>
        </is>
      </c>
      <c r="AB953" s="2" t="inlineStr"/>
      <c r="AC953" s="2" t="inlineStr"/>
      <c r="AD953" s="2" t="inlineStr">
        <is>
          <t>1</t>
        </is>
      </c>
      <c r="AE953" s="2" t="inlineStr">
        <is>
          <t>24131</t>
        </is>
      </c>
      <c r="AF953" s="2" t="inlineStr">
        <is>
          <t>https://www.parlamento.pt/OrcamentoEstado/Paginas/DetalhePropostaAlteracao.aspx?BID=24131</t>
        </is>
      </c>
      <c r="AG953" s="2" t="inlineStr">
        <is>
          <t>https://app.parlamento.pt/webutils/docs/doc.pdf?path=6148523063484d364c793942556b356c6443397a6158526c63793959566b6c4a544556484c3039464c7a49774d6a59794d4449314d5441774f533951515338774d325a695a4451335953316b4e6d55324c5451774d7a6b74596a49774f43316c4e474e684e545a684d4755324e4755756347526d&amp;Fich=03fbd47a-d6e6-4039-b208-e4ca56a0e64e.pdf&amp;Inline=true</t>
        </is>
      </c>
      <c r="AH953" s="3" t="n">
        <v>46321.77847222222</v>
      </c>
      <c r="AI953" s="3" t="n">
        <v>46321.78055555555</v>
      </c>
      <c r="AJ953" s="2" t="inlineStr"/>
    </row>
    <row r="954">
      <c r="A954" s="2" t="n">
        <v>953</v>
      </c>
      <c r="B954" s="2" t="inlineStr">
        <is>
          <t>896C</t>
        </is>
      </c>
      <c r="C954" s="3" t="n">
        <v>45967.64444444444</v>
      </c>
      <c r="D954" s="2" t="inlineStr">
        <is>
          <t>Original</t>
        </is>
      </c>
      <c r="E954" s="2" t="inlineStr">
        <is>
          <t>BE</t>
        </is>
      </c>
      <c r="F954" s="2" t="inlineStr">
        <is>
          <t>Mariana Mortágua</t>
        </is>
      </c>
      <c r="G954" s="2" t="inlineStr">
        <is>
          <t>Art. 38.º-A (aditamento)</t>
        </is>
      </c>
      <c r="H954" s="2" t="n"/>
      <c r="I954" s="2" t="n"/>
      <c r="J954" s="2" t="n"/>
      <c r="K954" s="2" t="n"/>
      <c r="L954" s="2" t="inlineStr">
        <is>
          <t>Artigo 38.º-A (Redução da incidência das contribuições para a SAD e ADM)</t>
        </is>
      </c>
      <c r="M954" s="4" t="n"/>
      <c r="N954" s="4" t="n"/>
      <c r="O954" s="2" t="n"/>
      <c r="P954" s="2" t="n"/>
      <c r="Q954" s="2" t="n"/>
      <c r="R954" s="2" t="n"/>
      <c r="S954" s="2" t="inlineStr">
        <is>
          <t>Rejeitado(a) em Comissão</t>
        </is>
      </c>
      <c r="T954" s="2" t="inlineStr">
        <is>
          <t>Rejeitada</t>
        </is>
      </c>
      <c r="U954" s="2" t="inlineStr">
        <is>
          <t>Favor: CH, L, PCP, BE, PAN; Contra: PSD, CDS-PP; Abstenção: PS, IL</t>
        </is>
      </c>
      <c r="V954" s="3" t="n">
        <v>45981</v>
      </c>
      <c r="W954" s="2" t="inlineStr">
        <is>
          <t>AR: https://www.parlamento.pt/OrcamentoEstado/Paginas/DetalhePropostaAlteracao.aspx?BID=24132 PDF: https://app.parlamento.pt/webutils/docs/doc.pdf?path=6148523063484d364c793942556b356c6443397a6158526c63793959566b6c4a544556484c3039464c7a49774d6a59794d4449314d5441774f5339515153396b4e6a557a4e7a55304d7930324e4759324c5451784d324d744f5751785a69316859574d344d7a4d334f574a6c4e7a4d756347526d&amp;Fich=d6537543-64f6-413c-9d1f-aac83379be73.pdf&amp;Inline=true</t>
        </is>
      </c>
      <c r="X954" s="2" t="inlineStr">
        <is>
          <t>Trabalho, Segurança Social e Inclusão</t>
        </is>
      </c>
      <c r="Y954" s="2" t="inlineStr">
        <is>
          <t>Articulado</t>
        </is>
      </c>
      <c r="Z954" s="2" t="inlineStr">
        <is>
          <t>Aditamento (Artigo PPL)</t>
        </is>
      </c>
      <c r="AA954" s="2" t="inlineStr">
        <is>
          <t>Rejeitado(a) em Comissão</t>
        </is>
      </c>
      <c r="AB954" s="2" t="inlineStr"/>
      <c r="AC954" s="2" t="inlineStr"/>
      <c r="AD954" s="2" t="inlineStr">
        <is>
          <t>1</t>
        </is>
      </c>
      <c r="AE954" s="2" t="inlineStr">
        <is>
          <t>24132</t>
        </is>
      </c>
      <c r="AF954" s="2" t="inlineStr">
        <is>
          <t>https://www.parlamento.pt/OrcamentoEstado/Paginas/DetalhePropostaAlteracao.aspx?BID=24132</t>
        </is>
      </c>
      <c r="AG954" s="2" t="inlineStr">
        <is>
          <t>https://app.parlamento.pt/webutils/docs/doc.pdf?path=6148523063484d364c793942556b356c6443397a6158526c63793959566b6c4a544556484c3039464c7a49774d6a59794d4449314d5441774f5339515153396b4e6a557a4e7a55304d7930324e4759324c5451784d324d744f5751785a69316859574d344d7a4d334f574a6c4e7a4d756347526d&amp;Fich=d6537543-64f6-413c-9d1f-aac83379be73.pdf&amp;Inline=true</t>
        </is>
      </c>
      <c r="AH954" s="3" t="n">
        <v>46321.77847222222</v>
      </c>
      <c r="AI954" s="3" t="n">
        <v>46321.78055555555</v>
      </c>
      <c r="AJ954" s="2" t="inlineStr"/>
    </row>
    <row r="955">
      <c r="A955" s="2" t="n">
        <v>954</v>
      </c>
      <c r="B955" s="2" t="inlineStr">
        <is>
          <t>897C</t>
        </is>
      </c>
      <c r="C955" s="3" t="n">
        <v>45967.64652777778</v>
      </c>
      <c r="D955" s="2" t="inlineStr">
        <is>
          <t>Original</t>
        </is>
      </c>
      <c r="E955" s="2" t="inlineStr">
        <is>
          <t>BE</t>
        </is>
      </c>
      <c r="F955" s="2" t="inlineStr">
        <is>
          <t>Mariana Mortágua</t>
        </is>
      </c>
      <c r="G955" s="2" t="inlineStr">
        <is>
          <t>Art. 119.º-A (aditamento)</t>
        </is>
      </c>
      <c r="H955" s="2" t="n"/>
      <c r="I955" s="2" t="n"/>
      <c r="J955" s="2" t="n"/>
      <c r="K955" s="2" t="n"/>
      <c r="L955" s="2" t="inlineStr">
        <is>
          <t>Artigo 119.º-A (Regime de comparticipação de óculos e lentes, aparelhos auditivos e próteses dentárias)</t>
        </is>
      </c>
      <c r="M955" s="4" t="n"/>
      <c r="N955" s="4" t="n"/>
      <c r="O955" s="2" t="n"/>
      <c r="P955" s="2" t="n"/>
      <c r="Q955" s="2" t="n"/>
      <c r="R955" s="2" t="n"/>
      <c r="S955" s="2" t="inlineStr">
        <is>
          <t>Rejeitado(a) em Comissão</t>
        </is>
      </c>
      <c r="T955" s="2" t="inlineStr">
        <is>
          <t>Rejeitada</t>
        </is>
      </c>
      <c r="U955" s="2" t="inlineStr">
        <is>
          <t>Favor: L, PCP, BE, PAN; Contra: PSD, IL, CDS-PP; Abstenção: CH, PS</t>
        </is>
      </c>
      <c r="V955" s="3" t="n">
        <v>45985</v>
      </c>
      <c r="W955" s="2" t="inlineStr">
        <is>
          <t>AR: https://www.parlamento.pt/OrcamentoEstado/Paginas/DetalhePropostaAlteracao.aspx?BID=24133 PDF: https://app.parlamento.pt/webutils/docs/doc.pdf?path=6148523063484d364c793942556b356c6443397a6158526c63793959566b6c4a544556484c3039464c7a49774d6a59794d4449314d5441774f5339515153396b5a6a686b4d7a5a684d4330344d6a68694c5451344e6d59745957466b4f43307a4f57513059546c694f575930595751756347526d&amp;Fich=df8d36a0-828b-486f-aad8-39d4a9b9f4ad.pdf&amp;Inline=true</t>
        </is>
      </c>
      <c r="X955" s="2" t="inlineStr">
        <is>
          <t>Saúde</t>
        </is>
      </c>
      <c r="Y955" s="2" t="inlineStr">
        <is>
          <t>Articulado</t>
        </is>
      </c>
      <c r="Z955" s="2" t="inlineStr">
        <is>
          <t>Aditamento (Artigo PPL)</t>
        </is>
      </c>
      <c r="AA955" s="2" t="inlineStr">
        <is>
          <t>Rejeitado(a) em Comissão</t>
        </is>
      </c>
      <c r="AB955" s="2" t="inlineStr"/>
      <c r="AC955" s="2" t="inlineStr"/>
      <c r="AD955" s="2" t="inlineStr">
        <is>
          <t>1</t>
        </is>
      </c>
      <c r="AE955" s="2" t="inlineStr">
        <is>
          <t>24133</t>
        </is>
      </c>
      <c r="AF955" s="2" t="inlineStr">
        <is>
          <t>https://www.parlamento.pt/OrcamentoEstado/Paginas/DetalhePropostaAlteracao.aspx?BID=24133</t>
        </is>
      </c>
      <c r="AG955" s="2" t="inlineStr">
        <is>
          <t>https://app.parlamento.pt/webutils/docs/doc.pdf?path=6148523063484d364c793942556b356c6443397a6158526c63793959566b6c4a544556484c3039464c7a49774d6a59794d4449314d5441774f5339515153396b5a6a686b4d7a5a684d4330344d6a68694c5451344e6d59745957466b4f43307a4f57513059546c694f575930595751756347526d&amp;Fich=df8d36a0-828b-486f-aad8-39d4a9b9f4ad.pdf&amp;Inline=true</t>
        </is>
      </c>
      <c r="AH955" s="3" t="n">
        <v>46321.77847222222</v>
      </c>
      <c r="AI955" s="3" t="n">
        <v>46321.78055555555</v>
      </c>
      <c r="AJ955" s="2" t="inlineStr"/>
    </row>
    <row r="956">
      <c r="A956" s="2" t="n">
        <v>955</v>
      </c>
      <c r="B956" s="2" t="inlineStr">
        <is>
          <t>898C</t>
        </is>
      </c>
      <c r="C956" s="3" t="n">
        <v>45967.64791666667</v>
      </c>
      <c r="D956" s="2" t="inlineStr">
        <is>
          <t>Original</t>
        </is>
      </c>
      <c r="E956" s="2" t="inlineStr">
        <is>
          <t>BE</t>
        </is>
      </c>
      <c r="F956" s="2" t="inlineStr">
        <is>
          <t>Mariana Mortágua</t>
        </is>
      </c>
      <c r="G956" s="2" t="inlineStr">
        <is>
          <t>Art. 22.º-A (aditamento)</t>
        </is>
      </c>
      <c r="H956" s="2" t="n"/>
      <c r="I956" s="2" t="n"/>
      <c r="J956" s="2" t="n"/>
      <c r="K956" s="2" t="n"/>
      <c r="L956" s="2" t="inlineStr">
        <is>
          <t>Artigo 22.º-A (Comparticipação da vacina contra o HPV)</t>
        </is>
      </c>
      <c r="M956" s="4" t="n"/>
      <c r="N956" s="4" t="n"/>
      <c r="O956" s="2" t="n"/>
      <c r="P956" s="2" t="n"/>
      <c r="Q956" s="2" t="n"/>
      <c r="R956" s="2" t="n"/>
      <c r="S956" s="2" t="inlineStr">
        <is>
          <t>Rejeitado(a) em Comissão</t>
        </is>
      </c>
      <c r="T956" s="2" t="inlineStr">
        <is>
          <t>Rejeitada</t>
        </is>
      </c>
      <c r="U956" s="2" t="inlineStr">
        <is>
          <t>Favor: CH, IL, L, BE, PAN; Contra: PSD, CDS-PP; Abstenção: PS, PCP</t>
        </is>
      </c>
      <c r="V956" s="3" t="n">
        <v>45981</v>
      </c>
      <c r="W956" s="2" t="inlineStr">
        <is>
          <t>AR: https://www.parlamento.pt/OrcamentoEstado/Paginas/DetalhePropostaAlteracao.aspx?BID=24134 PDF: https://app.parlamento.pt/webutils/docs/doc.pdf?path=6148523063484d364c793942556b356c6443397a6158526c63793959566b6c4a544556484c3039464c7a49774d6a59794d4449314d5441774f533951515338795a5445785a54686a595330324e574a684c5451354e6a517459546b7a4f5331694e7a52695a6a417a4f47566b5a4463756347526d&amp;Fich=2e11e8ca-65ba-4964-a939-b74bf038edd7.pdf&amp;Inline=true</t>
        </is>
      </c>
      <c r="X956" s="2" t="inlineStr">
        <is>
          <t>Saúde</t>
        </is>
      </c>
      <c r="Y956" s="2" t="inlineStr">
        <is>
          <t>Articulado</t>
        </is>
      </c>
      <c r="Z956" s="2" t="inlineStr">
        <is>
          <t>Aditamento (Artigo PPL)</t>
        </is>
      </c>
      <c r="AA956" s="2" t="inlineStr">
        <is>
          <t>Rejeitado(a) em Comissão</t>
        </is>
      </c>
      <c r="AB956" s="2" t="inlineStr"/>
      <c r="AC956" s="2" t="inlineStr"/>
      <c r="AD956" s="2" t="inlineStr">
        <is>
          <t>1</t>
        </is>
      </c>
      <c r="AE956" s="2" t="inlineStr">
        <is>
          <t>24134</t>
        </is>
      </c>
      <c r="AF956" s="2" t="inlineStr">
        <is>
          <t>https://www.parlamento.pt/OrcamentoEstado/Paginas/DetalhePropostaAlteracao.aspx?BID=24134</t>
        </is>
      </c>
      <c r="AG956" s="2" t="inlineStr">
        <is>
          <t>https://app.parlamento.pt/webutils/docs/doc.pdf?path=6148523063484d364c793942556b356c6443397a6158526c63793959566b6c4a544556484c3039464c7a49774d6a59794d4449314d5441774f533951515338795a5445785a54686a595330324e574a684c5451354e6a517459546b7a4f5331694e7a52695a6a417a4f47566b5a4463756347526d&amp;Fich=2e11e8ca-65ba-4964-a939-b74bf038edd7.pdf&amp;Inline=true</t>
        </is>
      </c>
      <c r="AH956" s="3" t="n">
        <v>46321.77847222222</v>
      </c>
      <c r="AI956" s="3" t="n">
        <v>46321.78055555555</v>
      </c>
      <c r="AJ956" s="2" t="inlineStr"/>
    </row>
    <row r="957">
      <c r="A957" s="2" t="n">
        <v>956</v>
      </c>
      <c r="B957" s="2" t="inlineStr">
        <is>
          <t>899C</t>
        </is>
      </c>
      <c r="C957" s="3" t="n">
        <v>45967.65208333333</v>
      </c>
      <c r="D957" s="2" t="inlineStr">
        <is>
          <t>Original</t>
        </is>
      </c>
      <c r="E957" s="2" t="inlineStr">
        <is>
          <t>Vários</t>
        </is>
      </c>
      <c r="F957" s="2" t="inlineStr">
        <is>
          <t>Alberto Fonseca; Francisco Pimentel; Hugo Carneiro; Hugo Soares; João Pinho de Almeida; Paulo Núncio</t>
        </is>
      </c>
      <c r="G957" s="2" t="inlineStr">
        <is>
          <t>Art. 8.º (substituição)</t>
        </is>
      </c>
      <c r="H957" s="2" t="n"/>
      <c r="I957" s="2" t="n"/>
      <c r="J957" s="2" t="n"/>
      <c r="K957" s="2" t="n"/>
      <c r="L957" s="2" t="inlineStr">
        <is>
          <t>Corpo do N.º 18, Artigo 8.º</t>
        </is>
      </c>
      <c r="M957" s="4" t="n"/>
      <c r="N957" s="4" t="n"/>
      <c r="O957" s="2" t="n"/>
      <c r="P957" s="2" t="n"/>
      <c r="Q957" s="2" t="n"/>
      <c r="R957" s="2" t="n"/>
      <c r="S957" s="2" t="inlineStr">
        <is>
          <t>Aprovado(a) em Comissão</t>
        </is>
      </c>
      <c r="T957" s="2" t="inlineStr">
        <is>
          <t>Aprovada</t>
        </is>
      </c>
      <c r="U957" s="2" t="inlineStr">
        <is>
          <t>Favor: PSD, CDS-PP, PAN; Abstenção: CH, PS, IL, L, PCP, BE</t>
        </is>
      </c>
      <c r="V957" s="3" t="n">
        <v>45981</v>
      </c>
      <c r="W957" s="2" t="inlineStr">
        <is>
          <t>AR: https://www.parlamento.pt/OrcamentoEstado/Paginas/DetalhePropostaAlteracao.aspx?BID=24135 PDF: https://app.parlamento.pt/webutils/docs/doc.pdf?path=6148523063484d364c793942556b356c6443397a6158526c63793959566b6c4a544556484c3039464c7a49774d6a59794d4449314d5441774f533951515338355a574577596d51784e4330784f444d774c54513059574d745954466c5953307a4e4755354d575930596d5a6d5a6a55756347526d&amp;Fich=9ea0bd14-1830-44ac-a1ea-34e91f4bfff5.pdf&amp;Inline=true</t>
        </is>
      </c>
      <c r="X957" s="2" t="inlineStr">
        <is>
          <t>Orçamento, Finanças e Administração Pública</t>
        </is>
      </c>
      <c r="Y957" s="2" t="inlineStr">
        <is>
          <t>Articulado</t>
        </is>
      </c>
      <c r="Z957" s="2" t="inlineStr">
        <is>
          <t>Substituição</t>
        </is>
      </c>
      <c r="AA957" s="2" t="inlineStr">
        <is>
          <t>Aprovado(a) em Comissão</t>
        </is>
      </c>
      <c r="AB957" s="2" t="inlineStr"/>
      <c r="AC957" s="2" t="inlineStr"/>
      <c r="AD957" s="2" t="inlineStr">
        <is>
          <t>1</t>
        </is>
      </c>
      <c r="AE957" s="2" t="inlineStr">
        <is>
          <t>24135</t>
        </is>
      </c>
      <c r="AF957" s="2" t="inlineStr">
        <is>
          <t>https://www.parlamento.pt/OrcamentoEstado/Paginas/DetalhePropostaAlteracao.aspx?BID=24135</t>
        </is>
      </c>
      <c r="AG957" s="2" t="inlineStr">
        <is>
          <t>https://app.parlamento.pt/webutils/docs/doc.pdf?path=6148523063484d364c793942556b356c6443397a6158526c63793959566b6c4a544556484c3039464c7a49774d6a59794d4449314d5441774f533951515338355a574577596d51784e4330784f444d774c54513059574d745954466c5953307a4e4755354d575930596d5a6d5a6a55756347526d&amp;Fich=9ea0bd14-1830-44ac-a1ea-34e91f4bfff5.pdf&amp;Inline=true</t>
        </is>
      </c>
      <c r="AH957" s="3" t="n">
        <v>46321.77847222222</v>
      </c>
      <c r="AI957" s="3" t="n">
        <v>46321.78055555555</v>
      </c>
      <c r="AJ957" s="2" t="inlineStr"/>
    </row>
    <row r="958">
      <c r="A958" s="2" t="n">
        <v>957</v>
      </c>
      <c r="B958" s="2" t="inlineStr">
        <is>
          <t>900C</t>
        </is>
      </c>
      <c r="C958" s="3" t="n">
        <v>45967.65277777778</v>
      </c>
      <c r="D958" s="2" t="inlineStr">
        <is>
          <t>Original</t>
        </is>
      </c>
      <c r="E958" s="2" t="inlineStr">
        <is>
          <t>BE</t>
        </is>
      </c>
      <c r="F958" s="2" t="inlineStr">
        <is>
          <t>Mariana Mortágua</t>
        </is>
      </c>
      <c r="G958" s="2" t="inlineStr">
        <is>
          <t>Art. 35.º-A (aditamento)</t>
        </is>
      </c>
      <c r="H958" s="2" t="n"/>
      <c r="I958" s="2" t="n"/>
      <c r="J958" s="2" t="n"/>
      <c r="K958" s="2" t="n"/>
      <c r="L958" s="2" t="inlineStr">
        <is>
          <t>Artigo 35.º-A (Integração do Arsenal do Alfeite, SA na estrutura da Marinha Portuguesa)</t>
        </is>
      </c>
      <c r="M958" s="4" t="n"/>
      <c r="N958" s="4" t="n"/>
      <c r="O958" s="2" t="n"/>
      <c r="P958" s="2" t="n"/>
      <c r="Q958" s="2" t="n"/>
      <c r="R958" s="2" t="n"/>
      <c r="S958" s="2" t="inlineStr">
        <is>
          <t>Rejeitado(a) em Comissão</t>
        </is>
      </c>
      <c r="T958" s="2" t="inlineStr">
        <is>
          <t>Rejeitada</t>
        </is>
      </c>
      <c r="U958" s="2" t="inlineStr">
        <is>
          <t>Favor: L, PCP, BE, PAN; Contra: PSD, CDS-PP; Abstenção: CH, PS, IL</t>
        </is>
      </c>
      <c r="V958" s="3" t="n">
        <v>45981</v>
      </c>
      <c r="W958" s="2" t="inlineStr">
        <is>
          <t>AR: https://www.parlamento.pt/OrcamentoEstado/Paginas/DetalhePropostaAlteracao.aspx?BID=24136 PDF: https://app.parlamento.pt/webutils/docs/doc.pdf?path=6148523063484d364c793942556b356c6443397a6158526c63793959566b6c4a544556484c3039464c7a49774d6a59794d4449314d5441774f533951515338324d544135596a426c4d5330334e4749774c54517a4e6a6b744f545a6b5a69316c4e446b344e47466a4e7a42695a5463756347526d&amp;Fich=6109b0e1-74b0-4369-96df-e4984ac70be7.pdf&amp;Inline=true</t>
        </is>
      </c>
      <c r="X958" s="2" t="inlineStr">
        <is>
          <t>Defesa Nacional</t>
        </is>
      </c>
      <c r="Y958" s="2" t="inlineStr">
        <is>
          <t>Articulado</t>
        </is>
      </c>
      <c r="Z958" s="2" t="inlineStr">
        <is>
          <t>Aditamento (Artigo PPL)</t>
        </is>
      </c>
      <c r="AA958" s="2" t="inlineStr">
        <is>
          <t>Rejeitado(a) em Comissão</t>
        </is>
      </c>
      <c r="AB958" s="2" t="inlineStr"/>
      <c r="AC958" s="2" t="inlineStr"/>
      <c r="AD958" s="2" t="inlineStr">
        <is>
          <t>1</t>
        </is>
      </c>
      <c r="AE958" s="2" t="inlineStr">
        <is>
          <t>24136</t>
        </is>
      </c>
      <c r="AF958" s="2" t="inlineStr">
        <is>
          <t>https://www.parlamento.pt/OrcamentoEstado/Paginas/DetalhePropostaAlteracao.aspx?BID=24136</t>
        </is>
      </c>
      <c r="AG958" s="2" t="inlineStr">
        <is>
          <t>https://app.parlamento.pt/webutils/docs/doc.pdf?path=6148523063484d364c793942556b356c6443397a6158526c63793959566b6c4a544556484c3039464c7a49774d6a59794d4449314d5441774f533951515338324d544135596a426c4d5330334e4749774c54517a4e6a6b744f545a6b5a69316c4e446b344e47466a4e7a42695a5463756347526d&amp;Fich=6109b0e1-74b0-4369-96df-e4984ac70be7.pdf&amp;Inline=true</t>
        </is>
      </c>
      <c r="AH958" s="3" t="n">
        <v>46321.77847222222</v>
      </c>
      <c r="AI958" s="3" t="n">
        <v>46321.78055555555</v>
      </c>
      <c r="AJ958" s="2" t="inlineStr"/>
    </row>
    <row r="959">
      <c r="A959" s="2" t="n">
        <v>958</v>
      </c>
      <c r="B959" s="2" t="inlineStr">
        <is>
          <t>901C</t>
        </is>
      </c>
      <c r="C959" s="3" t="n">
        <v>45967.65486111111</v>
      </c>
      <c r="D959" s="2" t="inlineStr">
        <is>
          <t>Original</t>
        </is>
      </c>
      <c r="E959" s="2" t="inlineStr">
        <is>
          <t>BE</t>
        </is>
      </c>
      <c r="F959" s="2" t="inlineStr">
        <is>
          <t>Mariana Mortágua</t>
        </is>
      </c>
      <c r="G959" s="2" t="inlineStr">
        <is>
          <t>Art. 38.º-A (aditamento)</t>
        </is>
      </c>
      <c r="H959" s="2" t="n"/>
      <c r="I959" s="2" t="n"/>
      <c r="J959" s="2" t="n"/>
      <c r="K959" s="2" t="n"/>
      <c r="L959" s="2" t="inlineStr">
        <is>
          <t>Artigo 38.º-A (Proteção social da Advocacia e Solicitadoria)</t>
        </is>
      </c>
      <c r="M959" s="4" t="n"/>
      <c r="N959" s="4" t="n"/>
      <c r="O959" s="2" t="n"/>
      <c r="P959" s="2" t="n"/>
      <c r="Q959" s="2" t="n"/>
      <c r="R959" s="2" t="n"/>
      <c r="S959" s="2" t="inlineStr">
        <is>
          <t>Rejeitado(a) em Comissão</t>
        </is>
      </c>
      <c r="T959" s="2" t="inlineStr">
        <is>
          <t>Rejeitada</t>
        </is>
      </c>
      <c r="U959" s="2" t="inlineStr">
        <is>
          <t>Favor: CH, IL, L, PCP, BE, PAN; Contra: PSD, CDS-PP; Abstenção: PS</t>
        </is>
      </c>
      <c r="V959" s="3" t="n">
        <v>45981</v>
      </c>
      <c r="W959" s="2" t="inlineStr">
        <is>
          <t>AR: https://www.parlamento.pt/OrcamentoEstado/Paginas/DetalhePropostaAlteracao.aspx?BID=24137 PDF: https://app.parlamento.pt/webutils/docs/doc.pdf?path=6148523063484d364c793942556b356c6443397a6158526c63793959566b6c4a544556484c3039464c7a49774d6a59794d4449314d5441774f533951515338334d5459334e4755784e5330774e5449784c5451325a4455744f4459324f4330774e6a45304f546b334e7a49784d7a4d756347526d&amp;Fich=71674e15-0521-46d5-8668-061499772133.pdf&amp;Inline=true</t>
        </is>
      </c>
      <c r="X959" s="2" t="inlineStr">
        <is>
          <t>Assuntos Constitucionais, Direitos, Liberdades e Garantias; Trabalho, Segurança Social e Inclusão</t>
        </is>
      </c>
      <c r="Y959" s="2" t="inlineStr">
        <is>
          <t>Articulado</t>
        </is>
      </c>
      <c r="Z959" s="2" t="inlineStr">
        <is>
          <t>Aditamento (Artigo PPL)</t>
        </is>
      </c>
      <c r="AA959" s="2" t="inlineStr">
        <is>
          <t>Rejeitado(a) em Comissão</t>
        </is>
      </c>
      <c r="AB959" s="2" t="inlineStr"/>
      <c r="AC959" s="2" t="inlineStr"/>
      <c r="AD959" s="2" t="inlineStr">
        <is>
          <t>1</t>
        </is>
      </c>
      <c r="AE959" s="2" t="inlineStr">
        <is>
          <t>24137</t>
        </is>
      </c>
      <c r="AF959" s="2" t="inlineStr">
        <is>
          <t>https://www.parlamento.pt/OrcamentoEstado/Paginas/DetalhePropostaAlteracao.aspx?BID=24137</t>
        </is>
      </c>
      <c r="AG959" s="2" t="inlineStr">
        <is>
          <t>https://app.parlamento.pt/webutils/docs/doc.pdf?path=6148523063484d364c793942556b356c6443397a6158526c63793959566b6c4a544556484c3039464c7a49774d6a59794d4449314d5441774f533951515338334d5459334e4755784e5330774e5449784c5451325a4455744f4459324f4330774e6a45304f546b334e7a49784d7a4d756347526d&amp;Fich=71674e15-0521-46d5-8668-061499772133.pdf&amp;Inline=true</t>
        </is>
      </c>
      <c r="AH959" s="3" t="n">
        <v>46321.77847222222</v>
      </c>
      <c r="AI959" s="3" t="n">
        <v>46321.78055555555</v>
      </c>
      <c r="AJ959" s="2" t="inlineStr"/>
    </row>
    <row r="960">
      <c r="A960" s="2" t="n">
        <v>959</v>
      </c>
      <c r="B960" s="2" t="inlineStr">
        <is>
          <t>902C</t>
        </is>
      </c>
      <c r="C960" s="3" t="n">
        <v>45967.65555555555</v>
      </c>
      <c r="D960" s="2" t="inlineStr">
        <is>
          <t>Original</t>
        </is>
      </c>
      <c r="E960" s="2" t="inlineStr">
        <is>
          <t>Vários</t>
        </is>
      </c>
      <c r="F960" s="2" t="inlineStr">
        <is>
          <t>Alberto Fonseca; Francisco Pimentel; Hugo Carneiro; Hugo Soares; João Pinho de Almeida; Paulo Núncio</t>
        </is>
      </c>
      <c r="G960" s="2" t="inlineStr">
        <is>
          <t>Art. 81.º (substituição)</t>
        </is>
      </c>
      <c r="H960" s="2" t="n"/>
      <c r="I960" s="2" t="n"/>
      <c r="J960" s="2" t="n"/>
      <c r="K960" s="2" t="n"/>
      <c r="L960" s="2" t="inlineStr">
        <is>
          <t>N.º 5, Artigo 81.º</t>
        </is>
      </c>
      <c r="M960" s="4" t="n"/>
      <c r="N960" s="4" t="n"/>
      <c r="O960" s="2" t="n"/>
      <c r="P960" s="2" t="n"/>
      <c r="Q960" s="2" t="n"/>
      <c r="R960" s="2" t="n"/>
      <c r="S960" s="2" t="inlineStr">
        <is>
          <t>Aprovado(a) em Comissão</t>
        </is>
      </c>
      <c r="T960" s="2" t="inlineStr">
        <is>
          <t>Aprovada</t>
        </is>
      </c>
      <c r="U960" s="2" t="inlineStr">
        <is>
          <t>Favor: PSD, CDS-PP; Contra: L, PCP, BE; Abstenção: CH, PS, IL, PAN</t>
        </is>
      </c>
      <c r="V960" s="3" t="n">
        <v>45982</v>
      </c>
      <c r="W960" s="2" t="inlineStr">
        <is>
          <t>AR: https://www.parlamento.pt/OrcamentoEstado/Paginas/DetalhePropostaAlteracao.aspx?BID=24138 PDF: https://app.parlamento.pt/webutils/docs/doc.pdf?path=6148523063484d364c793942556b356c6443397a6158526c63793959566b6c4a544556484c3039464c7a49774d6a59794d4449314d5441774f53395151533832596d466b5957597a597930324f475a694c54517a4e325174596a4a6b4e53316a4f5759775a4751314d574e6a4e3259756347526d&amp;Fich=6badaf3c-68fb-437d-b2d5-c9f0dd51cc7f.pdf&amp;Inline=true</t>
        </is>
      </c>
      <c r="X960" s="2" t="inlineStr">
        <is>
          <t>Orçamento, Finanças e Administração Pública</t>
        </is>
      </c>
      <c r="Y960" s="2" t="inlineStr">
        <is>
          <t>Articulado</t>
        </is>
      </c>
      <c r="Z960" s="2" t="inlineStr">
        <is>
          <t>Substituição</t>
        </is>
      </c>
      <c r="AA960" s="2" t="inlineStr">
        <is>
          <t>Aprovado(a) em Comissão</t>
        </is>
      </c>
      <c r="AB960" s="2" t="inlineStr"/>
      <c r="AC960" s="2" t="inlineStr"/>
      <c r="AD960" s="2" t="inlineStr">
        <is>
          <t>1</t>
        </is>
      </c>
      <c r="AE960" s="2" t="inlineStr">
        <is>
          <t>24138</t>
        </is>
      </c>
      <c r="AF960" s="2" t="inlineStr">
        <is>
          <t>https://www.parlamento.pt/OrcamentoEstado/Paginas/DetalhePropostaAlteracao.aspx?BID=24138</t>
        </is>
      </c>
      <c r="AG960" s="2" t="inlineStr">
        <is>
          <t>https://app.parlamento.pt/webutils/docs/doc.pdf?path=6148523063484d364c793942556b356c6443397a6158526c63793959566b6c4a544556484c3039464c7a49774d6a59794d4449314d5441774f53395151533832596d466b5957597a597930324f475a694c54517a4e325174596a4a6b4e53316a4f5759775a4751314d574e6a4e3259756347526d&amp;Fich=6badaf3c-68fb-437d-b2d5-c9f0dd51cc7f.pdf&amp;Inline=true</t>
        </is>
      </c>
      <c r="AH960" s="3" t="n">
        <v>46321.77847222222</v>
      </c>
      <c r="AI960" s="3" t="n">
        <v>46321.78055555555</v>
      </c>
      <c r="AJ960" s="2" t="inlineStr"/>
    </row>
    <row r="961">
      <c r="A961" s="2" t="n">
        <v>960</v>
      </c>
      <c r="B961" s="2" t="inlineStr">
        <is>
          <t>903C</t>
        </is>
      </c>
      <c r="C961" s="3" t="n">
        <v>45967.65625</v>
      </c>
      <c r="D961" s="2" t="inlineStr">
        <is>
          <t>Original</t>
        </is>
      </c>
      <c r="E961" s="2" t="inlineStr">
        <is>
          <t>BE</t>
        </is>
      </c>
      <c r="F961" s="2" t="inlineStr">
        <is>
          <t>Mariana Mortágua</t>
        </is>
      </c>
      <c r="G961" s="2" t="inlineStr">
        <is>
          <t>Art. 60.º (aditamento)</t>
        </is>
      </c>
      <c r="H961" s="2" t="n"/>
      <c r="I961" s="2" t="n"/>
      <c r="J961" s="2" t="n"/>
      <c r="K961" s="2" t="n"/>
      <c r="L961" s="2" t="inlineStr">
        <is>
          <t>N.º 11, Artigo 22.º do Código do IRS</t>
        </is>
      </c>
      <c r="M961" s="4" t="n"/>
      <c r="N961" s="4" t="n"/>
      <c r="O961" s="2" t="n"/>
      <c r="P961" s="2" t="n"/>
      <c r="Q961" s="2" t="n"/>
      <c r="R961" s="2" t="n"/>
      <c r="S961" s="2" t="inlineStr">
        <is>
          <t>Rejeitado(a) em Comissão</t>
        </is>
      </c>
      <c r="T961" s="2" t="inlineStr">
        <is>
          <t>Rejeitada</t>
        </is>
      </c>
      <c r="U961" s="2" t="inlineStr">
        <is>
          <t>Favor: L, PCP, BE, PAN; Contra: PSD, CH, IL, CDS-PP; Abstenção: PS</t>
        </is>
      </c>
      <c r="V961" s="3" t="n">
        <v>45981</v>
      </c>
      <c r="W961" s="2" t="inlineStr">
        <is>
          <t>AR: https://www.parlamento.pt/OrcamentoEstado/Paginas/DetalhePropostaAlteracao.aspx?BID=24139 PDF: https://app.parlamento.pt/webutils/docs/doc.pdf?path=6148523063484d364c793942556b356c6443397a6158526c63793959566b6c4a544556484c3039464c7a49774d6a59794d4449314d5441774f533951515338334f44637a4e4749785969316d4e6a68694c5451314f5745744f574e694f53316b4d6d55794d6d51784d6a4a6d4d7a63756347526d&amp;Fich=78734b1b-f68b-459a-9cb9-d2e22d122f37.pdf&amp;Inline=true</t>
        </is>
      </c>
      <c r="X961" s="2" t="inlineStr">
        <is>
          <t>Orçamento, Finanças e Administração Pública</t>
        </is>
      </c>
      <c r="Y961" s="2" t="inlineStr">
        <is>
          <t>Articulado</t>
        </is>
      </c>
      <c r="Z961" s="2" t="inlineStr">
        <is>
          <t>Aditamento (Números e Alíneas)</t>
        </is>
      </c>
      <c r="AA961" s="2" t="inlineStr">
        <is>
          <t>Rejeitado(a) em Comissão</t>
        </is>
      </c>
      <c r="AB961" s="2" t="inlineStr"/>
      <c r="AC961" s="2" t="inlineStr"/>
      <c r="AD961" s="2" t="inlineStr">
        <is>
          <t>1</t>
        </is>
      </c>
      <c r="AE961" s="2" t="inlineStr">
        <is>
          <t>24139</t>
        </is>
      </c>
      <c r="AF961" s="2" t="inlineStr">
        <is>
          <t>https://www.parlamento.pt/OrcamentoEstado/Paginas/DetalhePropostaAlteracao.aspx?BID=24139</t>
        </is>
      </c>
      <c r="AG961" s="2" t="inlineStr">
        <is>
          <t>https://app.parlamento.pt/webutils/docs/doc.pdf?path=6148523063484d364c793942556b356c6443397a6158526c63793959566b6c4a544556484c3039464c7a49774d6a59794d4449314d5441774f533951515338334f44637a4e4749785969316d4e6a68694c5451314f5745744f574e694f53316b4d6d55794d6d51784d6a4a6d4d7a63756347526d&amp;Fich=78734b1b-f68b-459a-9cb9-d2e22d122f37.pdf&amp;Inline=true</t>
        </is>
      </c>
      <c r="AH961" s="3" t="n">
        <v>46321.77847222222</v>
      </c>
      <c r="AI961" s="3" t="n">
        <v>46321.78055555555</v>
      </c>
      <c r="AJ961" s="2" t="inlineStr"/>
    </row>
    <row r="962">
      <c r="A962" s="2" t="n">
        <v>961</v>
      </c>
      <c r="B962" s="2" t="inlineStr">
        <is>
          <t>904C-1</t>
        </is>
      </c>
      <c r="C962" s="3" t="n">
        <v>45967.65694444445</v>
      </c>
      <c r="D962" s="2" t="inlineStr">
        <is>
          <t>Original</t>
        </is>
      </c>
      <c r="E962" s="2" t="inlineStr">
        <is>
          <t>BE</t>
        </is>
      </c>
      <c r="F962" s="2" t="inlineStr">
        <is>
          <t>Mariana Mortágua</t>
        </is>
      </c>
      <c r="G962" s="2" t="inlineStr">
        <is>
          <t>Art. 60.º (aditamento)</t>
        </is>
      </c>
      <c r="H962" s="2" t="n"/>
      <c r="I962" s="2" t="n"/>
      <c r="J962" s="2" t="n"/>
      <c r="K962" s="2" t="n"/>
      <c r="L962" s="2" t="inlineStr">
        <is>
          <t>Subalínea 6, Alínea b), N.º 1, Alínea h), N.º 4, N.º 24, Artigo 10.º do Código do IRS</t>
        </is>
      </c>
      <c r="M962" s="4" t="n"/>
      <c r="N962" s="4" t="n"/>
      <c r="O962" s="2" t="n"/>
      <c r="P962" s="2" t="n"/>
      <c r="Q962" s="2" t="n"/>
      <c r="R962" s="2" t="n"/>
      <c r="S962" s="2" t="inlineStr">
        <is>
          <t>Rejeitado(a) em Comissão</t>
        </is>
      </c>
      <c r="T962" s="2" t="inlineStr">
        <is>
          <t>Rejeitada</t>
        </is>
      </c>
      <c r="U962" s="2" t="inlineStr">
        <is>
          <t>Favor: L, PCP, BE, PAN; Contra: PSD, IL, CDS-PP; Abstenção: CH, PS</t>
        </is>
      </c>
      <c r="V962" s="3" t="n">
        <v>45981</v>
      </c>
      <c r="W962" s="2" t="inlineStr">
        <is>
          <t>AR: https://www.parlamento.pt/OrcamentoEstado/Paginas/DetalhePropostaAlteracao.aspx?BID=24140 PDF: https://app.parlamento.pt/webutils/docs/doc.pdf?path=6148523063484d364c793942556b356c6443397a6158526c63793959566b6c4a544556484c3039464c7a49774d6a59794d4449314d5441774f5339515153396c5a574933597a673059793169597a51354c5451784e574d745957497a596930355a5445794e5745344d474d775a6a63756347526d&amp;Fich=eeb7c84c-bc49-415c-ab3b-9e125a80c0f7.pdf&amp;Inline=true</t>
        </is>
      </c>
      <c r="X962" s="2" t="inlineStr">
        <is>
          <t>Orçamento, Finanças e Administração Pública</t>
        </is>
      </c>
      <c r="Y962" s="2" t="inlineStr">
        <is>
          <t>Articulado</t>
        </is>
      </c>
      <c r="Z962" s="2" t="inlineStr">
        <is>
          <t>Aditamento (Números e Alíneas)</t>
        </is>
      </c>
      <c r="AA962" s="2" t="inlineStr">
        <is>
          <t>Rejeitado(a) em Comissão</t>
        </is>
      </c>
      <c r="AB962" s="2" t="inlineStr"/>
      <c r="AC962" s="2" t="inlineStr">
        <is>
          <t>1</t>
        </is>
      </c>
      <c r="AD962" s="2" t="inlineStr">
        <is>
          <t>2</t>
        </is>
      </c>
      <c r="AE962" s="2" t="inlineStr">
        <is>
          <t>24140</t>
        </is>
      </c>
      <c r="AF962" s="2" t="inlineStr">
        <is>
          <t>https://www.parlamento.pt/OrcamentoEstado/Paginas/DetalhePropostaAlteracao.aspx?BID=24140</t>
        </is>
      </c>
      <c r="AG962" s="2" t="inlineStr">
        <is>
          <t>https://app.parlamento.pt/webutils/docs/doc.pdf?path=6148523063484d364c793942556b356c6443397a6158526c63793959566b6c4a544556484c3039464c7a49774d6a59794d4449314d5441774f5339515153396c5a574933597a673059793169597a51354c5451784e574d745957497a596930355a5445794e5745344d474d775a6a63756347526d&amp;Fich=eeb7c84c-bc49-415c-ab3b-9e125a80c0f7.pdf&amp;Inline=true</t>
        </is>
      </c>
      <c r="AH962" s="3" t="n">
        <v>46321.77847222222</v>
      </c>
      <c r="AI962" s="3" t="n">
        <v>46321.78055555555</v>
      </c>
      <c r="AJ962" s="2" t="inlineStr"/>
    </row>
    <row r="963">
      <c r="A963" s="2" t="n">
        <v>962</v>
      </c>
      <c r="B963" s="2" t="inlineStr">
        <is>
          <t>904C-2</t>
        </is>
      </c>
      <c r="C963" s="3" t="n">
        <v>45967.65694444445</v>
      </c>
      <c r="D963" s="2" t="inlineStr">
        <is>
          <t>Original</t>
        </is>
      </c>
      <c r="E963" s="2" t="inlineStr">
        <is>
          <t>BE</t>
        </is>
      </c>
      <c r="F963" s="2" t="inlineStr">
        <is>
          <t>Mariana Mortágua</t>
        </is>
      </c>
      <c r="G963" s="2" t="inlineStr">
        <is>
          <t>Art. 60.º (substituição)</t>
        </is>
      </c>
      <c r="H963" s="2" t="n"/>
      <c r="I963" s="2" t="n"/>
      <c r="J963" s="2" t="n"/>
      <c r="K963" s="2" t="n"/>
      <c r="L963" s="2" t="inlineStr">
        <is>
          <t>Alínea a), N.º 4, N.º 18, N.º 19, N.º 20, N.º 21, N.º 22, Artigo 10.º do Código do IRS</t>
        </is>
      </c>
      <c r="M963" s="4" t="n"/>
      <c r="N963" s="4" t="n"/>
      <c r="O963" s="2" t="n"/>
      <c r="P963" s="2" t="n"/>
      <c r="Q963" s="2" t="n"/>
      <c r="R963" s="2" t="n"/>
      <c r="S963" s="2" t="inlineStr">
        <is>
          <t>Rejeitado(a) em Comissão</t>
        </is>
      </c>
      <c r="T963" s="2" t="inlineStr">
        <is>
          <t>Rejeitada</t>
        </is>
      </c>
      <c r="U963" s="2" t="inlineStr">
        <is>
          <t>Favor: L, PCP, BE, PAN; Contra: PSD, IL, CDS-PP; Abstenção: CH, PS</t>
        </is>
      </c>
      <c r="V963" s="3" t="n">
        <v>45981</v>
      </c>
      <c r="W963" s="2" t="inlineStr">
        <is>
          <t>AR: https://www.parlamento.pt/OrcamentoEstado/Paginas/DetalhePropostaAlteracao.aspx?BID=25359 PDF: https://app.parlamento.pt/webutils/docs/doc.pdf?path=6148523063484d364c793942556b356c6443397a6158526c63793959566b6c4a544556484c3039464c7a49774d6a59794d4449314d5441774f533951515338315a54646c5a54566b5a5331694e6a4a684c5451784d574574596d55334f5330354f5759304d6a5a694d6a566c4f5463756347526d&amp;Fich=5e7ee5de-b62a-411a-be79-99f426b25e97.pdf&amp;Inline=true</t>
        </is>
      </c>
      <c r="X963" s="2" t="inlineStr">
        <is>
          <t>Orçamento, Finanças e Administração Pública</t>
        </is>
      </c>
      <c r="Y963" s="2" t="inlineStr">
        <is>
          <t>Articulado</t>
        </is>
      </c>
      <c r="Z963" s="2" t="inlineStr">
        <is>
          <t>Substituição</t>
        </is>
      </c>
      <c r="AA963" s="2" t="inlineStr">
        <is>
          <t>Rejeitado(a) em Comissão</t>
        </is>
      </c>
      <c r="AB963" s="2" t="inlineStr"/>
      <c r="AC963" s="2" t="inlineStr">
        <is>
          <t>2</t>
        </is>
      </c>
      <c r="AD963" s="2" t="inlineStr">
        <is>
          <t>2</t>
        </is>
      </c>
      <c r="AE963" s="2" t="inlineStr">
        <is>
          <t>25359</t>
        </is>
      </c>
      <c r="AF963" s="2" t="inlineStr">
        <is>
          <t>https://www.parlamento.pt/OrcamentoEstado/Paginas/DetalhePropostaAlteracao.aspx?BID=25359</t>
        </is>
      </c>
      <c r="AG963" s="2" t="inlineStr">
        <is>
          <t>https://app.parlamento.pt/webutils/docs/doc.pdf?path=6148523063484d364c793942556b356c6443397a6158526c63793959566b6c4a544556484c3039464c7a49774d6a59794d4449314d5441774f533951515338315a54646c5a54566b5a5331694e6a4a684c5451784d574574596d55334f5330354f5759304d6a5a694d6a566c4f5463756347526d&amp;Fich=5e7ee5de-b62a-411a-be79-99f426b25e97.pdf&amp;Inline=true</t>
        </is>
      </c>
      <c r="AH963" s="3" t="n">
        <v>46321.77847222222</v>
      </c>
      <c r="AI963" s="3" t="n">
        <v>46321.78055555555</v>
      </c>
      <c r="AJ963" s="2" t="inlineStr"/>
    </row>
    <row r="964">
      <c r="A964" s="2" t="n">
        <v>963</v>
      </c>
      <c r="B964" s="2" t="inlineStr">
        <is>
          <t>905C</t>
        </is>
      </c>
      <c r="C964" s="3" t="n">
        <v>45967.65833333333</v>
      </c>
      <c r="D964" s="2" t="inlineStr">
        <is>
          <t>Original</t>
        </is>
      </c>
      <c r="E964" s="2" t="inlineStr">
        <is>
          <t>BE</t>
        </is>
      </c>
      <c r="F964" s="2" t="inlineStr">
        <is>
          <t>Mariana Mortágua</t>
        </is>
      </c>
      <c r="G964" s="2" t="inlineStr">
        <is>
          <t>Art. 60.º (substituição)</t>
        </is>
      </c>
      <c r="H964" s="2" t="n"/>
      <c r="I964" s="2" t="n"/>
      <c r="J964" s="2" t="n"/>
      <c r="K964" s="2" t="n"/>
      <c r="L964" s="2" t="inlineStr">
        <is>
          <t>Alínea b), Alínea c), Alínea d), N.º 1, Artigo 78.º-E do Código do IRS</t>
        </is>
      </c>
      <c r="M964" s="4" t="n"/>
      <c r="N964" s="4" t="n"/>
      <c r="O964" s="2" t="n"/>
      <c r="P964" s="2" t="n"/>
      <c r="Q964" s="2" t="n"/>
      <c r="R964" s="2" t="n"/>
      <c r="S964" s="2" t="inlineStr">
        <is>
          <t>Rejeitado(a) em Comissão</t>
        </is>
      </c>
      <c r="T964" s="2" t="inlineStr">
        <is>
          <t>Rejeitada</t>
        </is>
      </c>
      <c r="U964" s="2" t="inlineStr">
        <is>
          <t>Favor: CH, IL, L, BE, PAN; Contra: PSD, CDS-PP; Abstenção: PS, PCP</t>
        </is>
      </c>
      <c r="V964" s="3" t="n">
        <v>45981</v>
      </c>
      <c r="W964" s="2" t="inlineStr">
        <is>
          <t>AR: https://www.parlamento.pt/OrcamentoEstado/Paginas/DetalhePropostaAlteracao.aspx?BID=24141 PDF: https://app.parlamento.pt/webutils/docs/doc.pdf?path=6148523063484d364c793942556b356c6443397a6158526c63793959566b6c4a544556484c3039464c7a49774d6a59794d4449314d5441774f533951515338335a4463314d6d55324e5330774d324e684c54526d4d3255744f4751774e7930794d6a59315a6a4d304e7a426b4d7a41756347526d&amp;Fich=7d752e65-03ca-4f3e-8d07-2265f3470d30.pdf&amp;Inline=true</t>
        </is>
      </c>
      <c r="X964" s="2" t="inlineStr">
        <is>
          <t>Orçamento, Finanças e Administração Pública</t>
        </is>
      </c>
      <c r="Y964" s="2" t="inlineStr">
        <is>
          <t>Articulado</t>
        </is>
      </c>
      <c r="Z964" s="2" t="inlineStr">
        <is>
          <t>Substituição</t>
        </is>
      </c>
      <c r="AA964" s="2" t="inlineStr">
        <is>
          <t>Rejeitado(a) em Comissão</t>
        </is>
      </c>
      <c r="AB964" s="2" t="inlineStr"/>
      <c r="AC964" s="2" t="inlineStr"/>
      <c r="AD964" s="2" t="inlineStr">
        <is>
          <t>1</t>
        </is>
      </c>
      <c r="AE964" s="2" t="inlineStr">
        <is>
          <t>24141</t>
        </is>
      </c>
      <c r="AF964" s="2" t="inlineStr">
        <is>
          <t>https://www.parlamento.pt/OrcamentoEstado/Paginas/DetalhePropostaAlteracao.aspx?BID=24141</t>
        </is>
      </c>
      <c r="AG964" s="2" t="inlineStr">
        <is>
          <t>https://app.parlamento.pt/webutils/docs/doc.pdf?path=6148523063484d364c793942556b356c6443397a6158526c63793959566b6c4a544556484c3039464c7a49774d6a59794d4449314d5441774f533951515338335a4463314d6d55324e5330774d324e684c54526d4d3255744f4751774e7930794d6a59315a6a4d304e7a426b4d7a41756347526d&amp;Fich=7d752e65-03ca-4f3e-8d07-2265f3470d30.pdf&amp;Inline=true</t>
        </is>
      </c>
      <c r="AH964" s="3" t="n">
        <v>46321.77847222222</v>
      </c>
      <c r="AI964" s="3" t="n">
        <v>46321.78055555555</v>
      </c>
      <c r="AJ964" s="2" t="inlineStr"/>
    </row>
    <row r="965">
      <c r="A965" s="2" t="n">
        <v>964</v>
      </c>
      <c r="B965" s="2" t="inlineStr">
        <is>
          <t>906C</t>
        </is>
      </c>
      <c r="C965" s="3" t="n">
        <v>45967.65902777778</v>
      </c>
      <c r="D965" s="2" t="inlineStr">
        <is>
          <t>Original</t>
        </is>
      </c>
      <c r="E965" s="2" t="inlineStr">
        <is>
          <t>BE</t>
        </is>
      </c>
      <c r="F965" s="2" t="inlineStr">
        <is>
          <t>Mariana Mortágua</t>
        </is>
      </c>
      <c r="G965" s="2" t="inlineStr">
        <is>
          <t>Art. 61.º (substituição)</t>
        </is>
      </c>
      <c r="H965" s="2" t="n"/>
      <c r="I965" s="2" t="n"/>
      <c r="J965" s="2" t="n"/>
      <c r="K965" s="2" t="n"/>
      <c r="L965" s="2" t="inlineStr">
        <is>
          <t>N.º 16, Artigo 43.º do Código do IRC</t>
        </is>
      </c>
      <c r="M965" s="4" t="n"/>
      <c r="N965" s="4" t="n"/>
      <c r="O965" s="2" t="n"/>
      <c r="P965" s="2" t="n"/>
      <c r="Q965" s="2" t="n"/>
      <c r="R965" s="2" t="n"/>
      <c r="S965" s="2" t="inlineStr">
        <is>
          <t>Rejeitado(a) em Comissão</t>
        </is>
      </c>
      <c r="T965" s="2" t="inlineStr">
        <is>
          <t>Rejeitada</t>
        </is>
      </c>
      <c r="U965" s="2" t="inlineStr">
        <is>
          <t>Favor: PS, PCP, BE; Contra: PSD, IL, CDS-PP, PAN; Abstenção: CH, L</t>
        </is>
      </c>
      <c r="V965" s="3" t="n">
        <v>45981</v>
      </c>
      <c r="W965" s="2" t="inlineStr">
        <is>
          <t>AR: https://www.parlamento.pt/OrcamentoEstado/Paginas/DetalhePropostaAlteracao.aspx?BID=24142 PDF: https://app.parlamento.pt/webutils/docs/doc.pdf?path=6148523063484d364c793942556b356c6443397a6158526c63793959566b6c4a544556484c3039464c7a49774d6a59794d4449314d5441774f533951515338784f4759305a5755785a4330304e3256694c54526a4d4441744f474a694d43316c5a4446684d6d45794e7a6c6c4f5751756347526d&amp;Fich=18f4ee1d-47eb-4c00-8bb0-ed1a2a279e9d.pdf&amp;Inline=true</t>
        </is>
      </c>
      <c r="X965" s="2" t="inlineStr">
        <is>
          <t>Orçamento, Finanças e Administração Pública</t>
        </is>
      </c>
      <c r="Y965" s="2" t="inlineStr">
        <is>
          <t>Articulado</t>
        </is>
      </c>
      <c r="Z965" s="2" t="inlineStr">
        <is>
          <t>Substituição</t>
        </is>
      </c>
      <c r="AA965" s="2" t="inlineStr">
        <is>
          <t>Rejeitado(a) em Comissão</t>
        </is>
      </c>
      <c r="AB965" s="2" t="inlineStr"/>
      <c r="AC965" s="2" t="inlineStr"/>
      <c r="AD965" s="2" t="inlineStr">
        <is>
          <t>1</t>
        </is>
      </c>
      <c r="AE965" s="2" t="inlineStr">
        <is>
          <t>24142</t>
        </is>
      </c>
      <c r="AF965" s="2" t="inlineStr">
        <is>
          <t>https://www.parlamento.pt/OrcamentoEstado/Paginas/DetalhePropostaAlteracao.aspx?BID=24142</t>
        </is>
      </c>
      <c r="AG965" s="2" t="inlineStr">
        <is>
          <t>https://app.parlamento.pt/webutils/docs/doc.pdf?path=6148523063484d364c793942556b356c6443397a6158526c63793959566b6c4a544556484c3039464c7a49774d6a59794d4449314d5441774f533951515338784f4759305a5755785a4330304e3256694c54526a4d4441744f474a694d43316c5a4446684d6d45794e7a6c6c4f5751756347526d&amp;Fich=18f4ee1d-47eb-4c00-8bb0-ed1a2a279e9d.pdf&amp;Inline=true</t>
        </is>
      </c>
      <c r="AH965" s="3" t="n">
        <v>46321.77847222222</v>
      </c>
      <c r="AI965" s="3" t="n">
        <v>46321.78055555555</v>
      </c>
      <c r="AJ965" s="2" t="inlineStr"/>
    </row>
    <row r="966">
      <c r="A966" s="2" t="n">
        <v>965</v>
      </c>
      <c r="B966" s="2" t="inlineStr">
        <is>
          <t>907C-1</t>
        </is>
      </c>
      <c r="C966" s="3" t="n">
        <v>45967.66041666667</v>
      </c>
      <c r="D966" s="2" t="inlineStr">
        <is>
          <t>Original</t>
        </is>
      </c>
      <c r="E966" s="2" t="inlineStr">
        <is>
          <t>BE</t>
        </is>
      </c>
      <c r="F966" s="2" t="inlineStr">
        <is>
          <t>Mariana Mortágua</t>
        </is>
      </c>
      <c r="G966" s="2" t="inlineStr">
        <is>
          <t>Art. 61.º (substituição)</t>
        </is>
      </c>
      <c r="H966" s="2" t="n"/>
      <c r="I966" s="2" t="n"/>
      <c r="J966" s="2" t="n"/>
      <c r="K966" s="2" t="n"/>
      <c r="L966" s="2" t="inlineStr">
        <is>
          <t>Tabela, N.º 1, Alínea a), Alínea b), N.º 2, Artigo 87.º-A do Código do IRC</t>
        </is>
      </c>
      <c r="M966" s="4" t="n"/>
      <c r="N966" s="4" t="n"/>
      <c r="O966" s="2" t="n"/>
      <c r="P966" s="2" t="n"/>
      <c r="Q966" s="2" t="n"/>
      <c r="R966" s="2" t="n"/>
      <c r="S966" s="2" t="inlineStr">
        <is>
          <t>Rejeitado(a) em Comissão</t>
        </is>
      </c>
      <c r="T966" s="2" t="inlineStr">
        <is>
          <t>Rejeitada</t>
        </is>
      </c>
      <c r="U966" s="2" t="inlineStr">
        <is>
          <t>Favor: L, PCP, BE, PAN; Contra: PSD, CH, PS, IL, CDS-PP</t>
        </is>
      </c>
      <c r="V966" s="3" t="n">
        <v>45981</v>
      </c>
      <c r="W966" s="2" t="inlineStr">
        <is>
          <t>AR: https://www.parlamento.pt/OrcamentoEstado/Paginas/DetalhePropostaAlteracao.aspx?BID=24143 PDF: https://app.parlamento.pt/webutils/docs/doc.pdf?path=6148523063484d364c793942556b356c6443397a6158526c63793959566b6c4a544556484c3039464c7a49774d6a59794d4449314d5441774f5339515153396a596d5a694e6d557759693078593251304c5451344e474574596a526a4e693035596d526a5a54686a4d5455314e6a67756347526d&amp;Fich=cbfb6e0b-1cd4-484a-b4c6-9bdce8c15568.pdf&amp;Inline=true</t>
        </is>
      </c>
      <c r="X966" s="2" t="inlineStr">
        <is>
          <t>Orçamento, Finanças e Administração Pública</t>
        </is>
      </c>
      <c r="Y966" s="2" t="inlineStr">
        <is>
          <t>Articulado</t>
        </is>
      </c>
      <c r="Z966" s="2" t="inlineStr">
        <is>
          <t>Substituição</t>
        </is>
      </c>
      <c r="AA966" s="2" t="inlineStr">
        <is>
          <t>Rejeitado(a) em Comissão</t>
        </is>
      </c>
      <c r="AB966" s="2" t="inlineStr"/>
      <c r="AC966" s="2" t="inlineStr">
        <is>
          <t>1</t>
        </is>
      </c>
      <c r="AD966" s="2" t="inlineStr">
        <is>
          <t>1</t>
        </is>
      </c>
      <c r="AE966" s="2" t="inlineStr">
        <is>
          <t>24143</t>
        </is>
      </c>
      <c r="AF966" s="2" t="inlineStr">
        <is>
          <t>https://www.parlamento.pt/OrcamentoEstado/Paginas/DetalhePropostaAlteracao.aspx?BID=24143</t>
        </is>
      </c>
      <c r="AG966" s="2" t="inlineStr">
        <is>
          <t>https://app.parlamento.pt/webutils/docs/doc.pdf?path=6148523063484d364c793942556b356c6443397a6158526c63793959566b6c4a544556484c3039464c7a49774d6a59794d4449314d5441774f5339515153396a596d5a694e6d557759693078593251304c5451344e474574596a526a4e693035596d526a5a54686a4d5455314e6a67756347526d&amp;Fich=cbfb6e0b-1cd4-484a-b4c6-9bdce8c15568.pdf&amp;Inline=true</t>
        </is>
      </c>
      <c r="AH966" s="3" t="n">
        <v>46321.77847222222</v>
      </c>
      <c r="AI966" s="3" t="n">
        <v>46321.78055555555</v>
      </c>
      <c r="AJ966" s="2" t="inlineStr"/>
    </row>
    <row r="967">
      <c r="A967" s="2" t="n">
        <v>966</v>
      </c>
      <c r="B967" s="2" t="inlineStr">
        <is>
          <t>907C-2</t>
        </is>
      </c>
      <c r="C967" s="3" t="n">
        <v>45967.66041666667</v>
      </c>
      <c r="D967" s="2" t="inlineStr">
        <is>
          <t>Original</t>
        </is>
      </c>
      <c r="E967" s="2" t="inlineStr">
        <is>
          <t>BE</t>
        </is>
      </c>
      <c r="F967" s="2" t="inlineStr">
        <is>
          <t>Mariana Mortágua</t>
        </is>
      </c>
      <c r="G967" s="2" t="inlineStr">
        <is>
          <t>Art. 61.º (aditamento)</t>
        </is>
      </c>
      <c r="H967" s="2" t="n"/>
      <c r="I967" s="2" t="n"/>
      <c r="J967" s="2" t="n"/>
      <c r="K967" s="2" t="n"/>
      <c r="L967" s="2" t="inlineStr">
        <is>
          <t>Alínea c), N.º 2, Artigo 87.º-A do Código do IRC</t>
        </is>
      </c>
      <c r="M967" s="4" t="n"/>
      <c r="N967" s="4" t="n"/>
      <c r="O967" s="2" t="n"/>
      <c r="P967" s="2" t="n"/>
      <c r="Q967" s="2" t="n"/>
      <c r="R967" s="2" t="n"/>
      <c r="S967" s="2" t="inlineStr">
        <is>
          <t>Rejeitado(a) em Comissão</t>
        </is>
      </c>
      <c r="T967" s="2" t="inlineStr">
        <is>
          <t>Rejeitada</t>
        </is>
      </c>
      <c r="U967" s="2" t="inlineStr">
        <is>
          <t>Favor: L, PCP, BE, PAN; Contra: PSD, CH, PS, IL, CDS-PP</t>
        </is>
      </c>
      <c r="V967" s="3" t="n">
        <v>45981</v>
      </c>
      <c r="W967" s="2" t="inlineStr">
        <is>
          <t>AR: https://www.parlamento.pt/OrcamentoEstado/Paginas/DetalhePropostaAlteracao.aspx?BID=25381 PDF: https://app.parlamento.pt/webutils/docs/doc.pdf?path=6148523063484d364c793942556b356c6443397a6158526c63793959566b6c4a544556484c3039464c7a49774d6a59794d4449314d5441774f533951515338795a6d466a4e3255774d6930784d6d59354c545177595755744f5463305a43307a596d5a6b4d5751774f446b355a5755756347526d&amp;Fich=2fac7e02-12f9-40ae-974d-3bfd1d0899ee.pdf&amp;Inline=true</t>
        </is>
      </c>
      <c r="X967" s="2" t="inlineStr">
        <is>
          <t>Orçamento, Finanças e Administração Pública</t>
        </is>
      </c>
      <c r="Y967" s="2" t="inlineStr">
        <is>
          <t>Articulado</t>
        </is>
      </c>
      <c r="Z967" s="2" t="inlineStr">
        <is>
          <t>Aditamento (Números e Alíneas)</t>
        </is>
      </c>
      <c r="AA967" s="2" t="inlineStr">
        <is>
          <t>Rejeitado(a) em Comissão</t>
        </is>
      </c>
      <c r="AB967" s="2" t="inlineStr"/>
      <c r="AC967" s="2" t="inlineStr">
        <is>
          <t>2</t>
        </is>
      </c>
      <c r="AD967" s="2" t="inlineStr">
        <is>
          <t>1</t>
        </is>
      </c>
      <c r="AE967" s="2" t="inlineStr">
        <is>
          <t>25381</t>
        </is>
      </c>
      <c r="AF967" s="2" t="inlineStr">
        <is>
          <t>https://www.parlamento.pt/OrcamentoEstado/Paginas/DetalhePropostaAlteracao.aspx?BID=25381</t>
        </is>
      </c>
      <c r="AG967" s="2" t="inlineStr">
        <is>
          <t>https://app.parlamento.pt/webutils/docs/doc.pdf?path=6148523063484d364c793942556b356c6443397a6158526c63793959566b6c4a544556484c3039464c7a49774d6a59794d4449314d5441774f533951515338795a6d466a4e3255774d6930784d6d59354c545177595755744f5463305a43307a596d5a6b4d5751774f446b355a5755756347526d&amp;Fich=2fac7e02-12f9-40ae-974d-3bfd1d0899ee.pdf&amp;Inline=true</t>
        </is>
      </c>
      <c r="AH967" s="3" t="n">
        <v>46321.77847222222</v>
      </c>
      <c r="AI967" s="3" t="n">
        <v>46321.78055555555</v>
      </c>
      <c r="AJ967" s="2" t="inlineStr"/>
    </row>
    <row r="968">
      <c r="A968" s="2" t="n">
        <v>967</v>
      </c>
      <c r="B968" s="2" t="inlineStr">
        <is>
          <t>908C</t>
        </is>
      </c>
      <c r="C968" s="3" t="n">
        <v>45967.66041666667</v>
      </c>
      <c r="D968" s="2" t="inlineStr">
        <is>
          <t>Original</t>
        </is>
      </c>
      <c r="E968" s="2" t="inlineStr">
        <is>
          <t>Vários</t>
        </is>
      </c>
      <c r="F968" s="2" t="inlineStr">
        <is>
          <t>Alberto Fonseca; Carla Barros; Francisco Pimentel; Helga Correia; Hugo Carneiro; Hugo Soares; Isaura Morais; João Pinho de Almeida; Paulo Núncio</t>
        </is>
      </c>
      <c r="G968" s="2" t="inlineStr">
        <is>
          <t>Art. 80.º (aditamento)</t>
        </is>
      </c>
      <c r="H968" s="2" t="n"/>
      <c r="I968" s="2" t="n"/>
      <c r="J968" s="2" t="n"/>
      <c r="K968" s="2" t="n"/>
      <c r="L968" s="2" t="inlineStr">
        <is>
          <t>N.º 5, Artigo 80.º</t>
        </is>
      </c>
      <c r="M968" s="4" t="n"/>
      <c r="N968" s="4" t="n"/>
      <c r="O968" s="2" t="n"/>
      <c r="P968" s="2" t="n"/>
      <c r="Q968" s="2" t="n"/>
      <c r="R968" s="2" t="n"/>
      <c r="S968" s="2" t="inlineStr">
        <is>
          <t>Aprovado(a) em Comissão</t>
        </is>
      </c>
      <c r="T968" s="2" t="inlineStr">
        <is>
          <t>Aprovada</t>
        </is>
      </c>
      <c r="U968" s="2" t="inlineStr">
        <is>
          <t>Favor: PSD, IL, PCP, CDS-PP; Contra: CH, PAN; Abstenção: PS, L, BE</t>
        </is>
      </c>
      <c r="V968" s="3" t="n">
        <v>45982</v>
      </c>
      <c r="W968" s="2" t="inlineStr">
        <is>
          <t>AR: https://www.parlamento.pt/OrcamentoEstado/Paginas/DetalhePropostaAlteracao.aspx?BID=24144 PDF: https://app.parlamento.pt/webutils/docs/doc.pdf?path=6148523063484d364c793942556b356c6443397a6158526c63793959566b6c4a544556484c3039464c7a49774d6a59794d4449314d5441774f5339515153396a4e3259334d47466d5a4331694d574a6b4c5451354d3259744f5451774e5330304d5446694e44566b4e6a51795a5759756347526d&amp;Fich=c7f70afd-b1bd-493f-9405-411b45d642ef.pdf&amp;Inline=true</t>
        </is>
      </c>
      <c r="X968" s="2" t="inlineStr">
        <is>
          <t>Orçamento, Finanças e Administração Pública</t>
        </is>
      </c>
      <c r="Y968" s="2" t="inlineStr">
        <is>
          <t>Articulado</t>
        </is>
      </c>
      <c r="Z968" s="2" t="inlineStr">
        <is>
          <t>Aditamento (Números e Alíneas)</t>
        </is>
      </c>
      <c r="AA968" s="2" t="inlineStr">
        <is>
          <t>Aprovado(a) em Comissão</t>
        </is>
      </c>
      <c r="AB968" s="2" t="inlineStr"/>
      <c r="AC968" s="2" t="inlineStr"/>
      <c r="AD968" s="2" t="inlineStr">
        <is>
          <t>1</t>
        </is>
      </c>
      <c r="AE968" s="2" t="inlineStr">
        <is>
          <t>24144</t>
        </is>
      </c>
      <c r="AF968" s="2" t="inlineStr">
        <is>
          <t>https://www.parlamento.pt/OrcamentoEstado/Paginas/DetalhePropostaAlteracao.aspx?BID=24144</t>
        </is>
      </c>
      <c r="AG968" s="2" t="inlineStr">
        <is>
          <t>https://app.parlamento.pt/webutils/docs/doc.pdf?path=6148523063484d364c793942556b356c6443397a6158526c63793959566b6c4a544556484c3039464c7a49774d6a59794d4449314d5441774f5339515153396a4e3259334d47466d5a4331694d574a6b4c5451354d3259744f5451774e5330304d5446694e44566b4e6a51795a5759756347526d&amp;Fich=c7f70afd-b1bd-493f-9405-411b45d642ef.pdf&amp;Inline=true</t>
        </is>
      </c>
      <c r="AH968" s="3" t="n">
        <v>46321.77847222222</v>
      </c>
      <c r="AI968" s="3" t="n">
        <v>46321.78055555555</v>
      </c>
      <c r="AJ968" s="2" t="inlineStr"/>
    </row>
    <row r="969">
      <c r="A969" s="2" t="n">
        <v>968</v>
      </c>
      <c r="B969" s="2" t="inlineStr">
        <is>
          <t>909C</t>
        </is>
      </c>
      <c r="C969" s="3" t="n">
        <v>45967.66180555556</v>
      </c>
      <c r="D969" s="2" t="inlineStr">
        <is>
          <t>Original</t>
        </is>
      </c>
      <c r="E969" s="2" t="inlineStr">
        <is>
          <t>BE</t>
        </is>
      </c>
      <c r="F969" s="2" t="inlineStr">
        <is>
          <t>Mariana Mortágua</t>
        </is>
      </c>
      <c r="G969" s="2" t="inlineStr">
        <is>
          <t>Art. 62.º-A (aditamento)</t>
        </is>
      </c>
      <c r="H969" s="2" t="n"/>
      <c r="I969" s="2" t="n"/>
      <c r="J969" s="2" t="n"/>
      <c r="K969" s="2" t="n"/>
      <c r="L969" s="2" t="inlineStr">
        <is>
          <t>Artigo 62.º-A (Taxa especial sobre transações financeiras para paraísos fiscais)</t>
        </is>
      </c>
      <c r="M969" s="4" t="n"/>
      <c r="N969" s="4" t="n"/>
      <c r="O969" s="2" t="n"/>
      <c r="P969" s="2" t="n"/>
      <c r="Q969" s="2" t="n"/>
      <c r="R969" s="2" t="n"/>
      <c r="S969" s="2" t="inlineStr">
        <is>
          <t>Rejeitado(a) em Comissão</t>
        </is>
      </c>
      <c r="T969" s="2" t="inlineStr">
        <is>
          <t>Rejeitada</t>
        </is>
      </c>
      <c r="U969" s="2" t="inlineStr">
        <is>
          <t>Favor: L, PCP, BE, PAN; Contra: PSD, IL, CDS-PP; Abstenção: CH, PS</t>
        </is>
      </c>
      <c r="V969" s="3" t="n">
        <v>45981</v>
      </c>
      <c r="W969" s="2" t="inlineStr">
        <is>
          <t>AR: https://www.parlamento.pt/OrcamentoEstado/Paginas/DetalhePropostaAlteracao.aspx?BID=24145 PDF: https://app.parlamento.pt/webutils/docs/doc.pdf?path=6148523063484d364c793942556b356c6443397a6158526c63793959566b6c4a544556484c3039464c7a49774d6a59794d4449314d5441774f5339515153396c596a6c684d7a45794e7930344d6a45774c5452694f5441744f544d30595330784e6d4a694d6a4e694e445930597a67756347526d&amp;Fich=eb9a3127-8210-4b90-934a-16bb23b464c8.pdf&amp;Inline=true</t>
        </is>
      </c>
      <c r="X969" s="2" t="inlineStr">
        <is>
          <t>Orçamento, Finanças e Administração Pública</t>
        </is>
      </c>
      <c r="Y969" s="2" t="inlineStr">
        <is>
          <t>Articulado</t>
        </is>
      </c>
      <c r="Z969" s="2" t="inlineStr">
        <is>
          <t>Aditamento (Artigo PPL)</t>
        </is>
      </c>
      <c r="AA969" s="2" t="inlineStr">
        <is>
          <t>Rejeitado(a) em Comissão</t>
        </is>
      </c>
      <c r="AB969" s="2" t="inlineStr"/>
      <c r="AC969" s="2" t="inlineStr"/>
      <c r="AD969" s="2" t="inlineStr">
        <is>
          <t>1</t>
        </is>
      </c>
      <c r="AE969" s="2" t="inlineStr">
        <is>
          <t>24145</t>
        </is>
      </c>
      <c r="AF969" s="2" t="inlineStr">
        <is>
          <t>https://www.parlamento.pt/OrcamentoEstado/Paginas/DetalhePropostaAlteracao.aspx?BID=24145</t>
        </is>
      </c>
      <c r="AG969" s="2" t="inlineStr">
        <is>
          <t>https://app.parlamento.pt/webutils/docs/doc.pdf?path=6148523063484d364c793942556b356c6443397a6158526c63793959566b6c4a544556484c3039464c7a49774d6a59794d4449314d5441774f5339515153396c596a6c684d7a45794e7930344d6a45774c5452694f5441744f544d30595330784e6d4a694d6a4e694e445930597a67756347526d&amp;Fich=eb9a3127-8210-4b90-934a-16bb23b464c8.pdf&amp;Inline=true</t>
        </is>
      </c>
      <c r="AH969" s="3" t="n">
        <v>46321.77847222222</v>
      </c>
      <c r="AI969" s="3" t="n">
        <v>46321.78055555555</v>
      </c>
      <c r="AJ969" s="2" t="inlineStr"/>
    </row>
    <row r="970">
      <c r="A970" s="2" t="n">
        <v>969</v>
      </c>
      <c r="B970" s="2" t="inlineStr">
        <is>
          <t>910C</t>
        </is>
      </c>
      <c r="C970" s="3" t="n">
        <v>45967.66319444445</v>
      </c>
      <c r="D970" s="2" t="inlineStr">
        <is>
          <t>Original</t>
        </is>
      </c>
      <c r="E970" s="2" t="inlineStr">
        <is>
          <t>BE</t>
        </is>
      </c>
      <c r="F970" s="2" t="inlineStr">
        <is>
          <t>Mariana Mortágua</t>
        </is>
      </c>
      <c r="G970" s="2" t="inlineStr">
        <is>
          <t>Art. 63.º-A (aditamento)</t>
        </is>
      </c>
      <c r="H970" s="2" t="n"/>
      <c r="I970" s="2" t="n"/>
      <c r="J970" s="2" t="n"/>
      <c r="K970" s="2" t="n"/>
      <c r="L970" s="2" t="inlineStr">
        <is>
          <t>Artigo 63.º-A (Alteração à lista I anexa ao Código do Imposto sobre o Valor Acrescentado)</t>
        </is>
      </c>
      <c r="M970" s="4" t="n"/>
      <c r="N970" s="4" t="n"/>
      <c r="O970" s="2" t="n"/>
      <c r="P970" s="2" t="n"/>
      <c r="Q970" s="2" t="n"/>
      <c r="R970" s="2" t="n"/>
      <c r="S970" s="2" t="inlineStr">
        <is>
          <t>Rejeitado(a) em Comissão</t>
        </is>
      </c>
      <c r="T970" s="2" t="inlineStr">
        <is>
          <t>Rejeitada</t>
        </is>
      </c>
      <c r="U970" s="2" t="inlineStr">
        <is>
          <t>Favor: CH, IL, PCP, BE, PAN; Contra: PSD, CDS-PP; Abstenção: PS, L</t>
        </is>
      </c>
      <c r="V970" s="3" t="n">
        <v>45987</v>
      </c>
      <c r="W970" s="2" t="inlineStr">
        <is>
          <t>AR: https://www.parlamento.pt/OrcamentoEstado/Paginas/DetalhePropostaAlteracao.aspx?BID=24146 PDF: https://app.parlamento.pt/webutils/docs/doc.pdf?path=6148523063484d364c793942556b356c6443397a6158526c63793959566b6c4a544556484c3039464c7a49774d6a59794d4449314d5441774f533951515338344f4467314d6d4d785a43303159324d354c54517a5a5755744f444e6d5a6930304e3245794d574a684d574979597a4d756347526d&amp;Fich=88852c1d-5cc9-43ee-83ff-47a21ba1b2c3.pdf&amp;Inline=true</t>
        </is>
      </c>
      <c r="X970" s="2" t="inlineStr">
        <is>
          <t>Orçamento, Finanças e Administração Pública</t>
        </is>
      </c>
      <c r="Y970" s="2" t="inlineStr">
        <is>
          <t>Articulado</t>
        </is>
      </c>
      <c r="Z970" s="2" t="inlineStr">
        <is>
          <t>Aditamento (Artigo PPL)</t>
        </is>
      </c>
      <c r="AA970" s="2" t="inlineStr">
        <is>
          <t>Rejeitado(a) em Comissão</t>
        </is>
      </c>
      <c r="AB970" s="2" t="inlineStr"/>
      <c r="AC970" s="2" t="inlineStr"/>
      <c r="AD970" s="2" t="inlineStr">
        <is>
          <t>1</t>
        </is>
      </c>
      <c r="AE970" s="2" t="inlineStr">
        <is>
          <t>24146</t>
        </is>
      </c>
      <c r="AF970" s="2" t="inlineStr">
        <is>
          <t>https://www.parlamento.pt/OrcamentoEstado/Paginas/DetalhePropostaAlteracao.aspx?BID=24146</t>
        </is>
      </c>
      <c r="AG970" s="2" t="inlineStr">
        <is>
          <t>https://app.parlamento.pt/webutils/docs/doc.pdf?path=6148523063484d364c793942556b356c6443397a6158526c63793959566b6c4a544556484c3039464c7a49774d6a59794d4449314d5441774f533951515338344f4467314d6d4d785a43303159324d354c54517a5a5755744f444e6d5a6930304e3245794d574a684d574979597a4d756347526d&amp;Fich=88852c1d-5cc9-43ee-83ff-47a21ba1b2c3.pdf&amp;Inline=true</t>
        </is>
      </c>
      <c r="AH970" s="3" t="n">
        <v>46321.77847222222</v>
      </c>
      <c r="AI970" s="3" t="n">
        <v>46321.78055555555</v>
      </c>
      <c r="AJ970" s="2" t="inlineStr"/>
    </row>
    <row r="971">
      <c r="A971" s="2" t="n">
        <v>970</v>
      </c>
      <c r="B971" s="2" t="inlineStr">
        <is>
          <t>911C</t>
        </is>
      </c>
      <c r="C971" s="3" t="n">
        <v>45967.66527777778</v>
      </c>
      <c r="D971" s="2" t="inlineStr">
        <is>
          <t>Original</t>
        </is>
      </c>
      <c r="E971" s="2" t="inlineStr">
        <is>
          <t>BE</t>
        </is>
      </c>
      <c r="F971" s="2" t="inlineStr">
        <is>
          <t>Mariana Mortágua</t>
        </is>
      </c>
      <c r="G971" s="2" t="inlineStr">
        <is>
          <t>Art. 63.º-A (aditamento)</t>
        </is>
      </c>
      <c r="H971" s="2" t="n"/>
      <c r="I971" s="2" t="n"/>
      <c r="J971" s="2" t="n"/>
      <c r="K971" s="2" t="n"/>
      <c r="L971" s="2" t="inlineStr">
        <is>
          <t>Artigo 63.º-A (Aditamento à lista I anexa ao Código do Imposto sobre o Valor Acrescentado)</t>
        </is>
      </c>
      <c r="M971" s="4" t="n"/>
      <c r="N971" s="4" t="n"/>
      <c r="O971" s="2" t="n"/>
      <c r="P971" s="2" t="n"/>
      <c r="Q971" s="2" t="n"/>
      <c r="R971" s="2" t="n"/>
      <c r="S971" s="2" t="inlineStr">
        <is>
          <t>Rejeitado(a) em Comissão</t>
        </is>
      </c>
      <c r="T971" s="2" t="inlineStr">
        <is>
          <t>Rejeitada</t>
        </is>
      </c>
      <c r="U971" s="2" t="inlineStr">
        <is>
          <t>Favor: CH, IL, PCP, BE, PAN; Contra: PSD, CDS-PP; Abstenção: PS, L</t>
        </is>
      </c>
      <c r="V971" s="3" t="n">
        <v>45982</v>
      </c>
      <c r="W971" s="2" t="inlineStr">
        <is>
          <t>AR: https://www.parlamento.pt/OrcamentoEstado/Paginas/DetalhePropostaAlteracao.aspx?BID=24147 PDF: https://app.parlamento.pt/webutils/docs/doc.pdf?path=6148523063484d364c793942556b356c6443397a6158526c63793959566b6c4a544556484c3039464c7a49774d6a59794d4449314d5441774f533951515338795a6a4a6a4d544a6d4e7930354e7a6c6c4c54526d5a6d4d744f4751354f433079593249354d324a6d4e7a4e694d4745756347526d&amp;Fich=2f2c12f7-979e-4ffc-8d98-2cb93bf73b0a.pdf&amp;Inline=true</t>
        </is>
      </c>
      <c r="X971" s="2" t="inlineStr">
        <is>
          <t>Orçamento, Finanças e Administração Pública</t>
        </is>
      </c>
      <c r="Y971" s="2" t="inlineStr">
        <is>
          <t>Articulado</t>
        </is>
      </c>
      <c r="Z971" s="2" t="inlineStr">
        <is>
          <t>Aditamento (Artigo PPL)</t>
        </is>
      </c>
      <c r="AA971" s="2" t="inlineStr">
        <is>
          <t>Rejeitado(a) em Comissão</t>
        </is>
      </c>
      <c r="AB971" s="2" t="inlineStr"/>
      <c r="AC971" s="2" t="inlineStr"/>
      <c r="AD971" s="2" t="inlineStr">
        <is>
          <t>1</t>
        </is>
      </c>
      <c r="AE971" s="2" t="inlineStr">
        <is>
          <t>24147</t>
        </is>
      </c>
      <c r="AF971" s="2" t="inlineStr">
        <is>
          <t>https://www.parlamento.pt/OrcamentoEstado/Paginas/DetalhePropostaAlteracao.aspx?BID=24147</t>
        </is>
      </c>
      <c r="AG971" s="2" t="inlineStr">
        <is>
          <t>https://app.parlamento.pt/webutils/docs/doc.pdf?path=6148523063484d364c793942556b356c6443397a6158526c63793959566b6c4a544556484c3039464c7a49774d6a59794d4449314d5441774f533951515338795a6a4a6a4d544a6d4e7930354e7a6c6c4c54526d5a6d4d744f4751354f433079593249354d324a6d4e7a4e694d4745756347526d&amp;Fich=2f2c12f7-979e-4ffc-8d98-2cb93bf73b0a.pdf&amp;Inline=true</t>
        </is>
      </c>
      <c r="AH971" s="3" t="n">
        <v>46321.77847222222</v>
      </c>
      <c r="AI971" s="3" t="n">
        <v>46321.78055555555</v>
      </c>
      <c r="AJ971" s="2" t="inlineStr"/>
    </row>
    <row r="972">
      <c r="A972" s="2" t="n">
        <v>971</v>
      </c>
      <c r="B972" s="2" t="inlineStr">
        <is>
          <t>912C</t>
        </is>
      </c>
      <c r="C972" s="3" t="n">
        <v>45967.66666666666</v>
      </c>
      <c r="D972" s="2" t="inlineStr">
        <is>
          <t>Original</t>
        </is>
      </c>
      <c r="E972" s="2" t="inlineStr">
        <is>
          <t>BE</t>
        </is>
      </c>
      <c r="F972" s="2" t="inlineStr">
        <is>
          <t>Mariana Mortágua</t>
        </is>
      </c>
      <c r="G972" s="2" t="inlineStr">
        <is>
          <t>Art. 63.º-A (aditamento)</t>
        </is>
      </c>
      <c r="H972" s="2" t="n"/>
      <c r="I972" s="2" t="n"/>
      <c r="J972" s="2" t="n"/>
      <c r="K972" s="2" t="n"/>
      <c r="L972" s="2" t="inlineStr">
        <is>
          <t>Artigo 63.º-A (Aditamento à lista I anexa ao Código do Imposto sobre o Valor Acrescentado)</t>
        </is>
      </c>
      <c r="M972" s="4" t="n"/>
      <c r="N972" s="4" t="n"/>
      <c r="O972" s="2" t="n"/>
      <c r="P972" s="2" t="n"/>
      <c r="Q972" s="2" t="n"/>
      <c r="R972" s="2" t="n"/>
      <c r="S972" s="2" t="inlineStr">
        <is>
          <t>Rejeitado(a) em Comissão</t>
        </is>
      </c>
      <c r="T972" s="2" t="inlineStr">
        <is>
          <t>Rejeitada</t>
        </is>
      </c>
      <c r="U972" s="2" t="inlineStr">
        <is>
          <t>Favor: CH, L, PCP, BE, PAN; Contra: PSD, CDS-PP; Abstenção: PS, IL</t>
        </is>
      </c>
      <c r="V972" s="3" t="n">
        <v>45982</v>
      </c>
      <c r="W972" s="2" t="inlineStr">
        <is>
          <t>AR: https://www.parlamento.pt/OrcamentoEstado/Paginas/DetalhePropostaAlteracao.aspx?BID=24148 PDF: https://app.parlamento.pt/webutils/docs/doc.pdf?path=6148523063484d364c793942556b356c6443397a6158526c63793959566b6c4a544556484c3039464c7a49774d6a59794d4449314d5441774f5339515153396c4d444932597a49345a43316a4e6a426a4c5451795a6d45744f5451784f5330795a574e6b4d574d304d546334596d59756347526d&amp;Fich=e026c28d-c60c-42fa-9419-2ecd1c4178bf.pdf&amp;Inline=true</t>
        </is>
      </c>
      <c r="X972" s="2" t="inlineStr">
        <is>
          <t>Orçamento, Finanças e Administração Pública</t>
        </is>
      </c>
      <c r="Y972" s="2" t="inlineStr">
        <is>
          <t>Articulado</t>
        </is>
      </c>
      <c r="Z972" s="2" t="inlineStr">
        <is>
          <t>Aditamento (Artigo PPL)</t>
        </is>
      </c>
      <c r="AA972" s="2" t="inlineStr">
        <is>
          <t>Rejeitado(a) em Comissão</t>
        </is>
      </c>
      <c r="AB972" s="2" t="inlineStr"/>
      <c r="AC972" s="2" t="inlineStr"/>
      <c r="AD972" s="2" t="inlineStr">
        <is>
          <t>1</t>
        </is>
      </c>
      <c r="AE972" s="2" t="inlineStr">
        <is>
          <t>24148</t>
        </is>
      </c>
      <c r="AF972" s="2" t="inlineStr">
        <is>
          <t>https://www.parlamento.pt/OrcamentoEstado/Paginas/DetalhePropostaAlteracao.aspx?BID=24148</t>
        </is>
      </c>
      <c r="AG972" s="2" t="inlineStr">
        <is>
          <t>https://app.parlamento.pt/webutils/docs/doc.pdf?path=6148523063484d364c793942556b356c6443397a6158526c63793959566b6c4a544556484c3039464c7a49774d6a59794d4449314d5441774f5339515153396c4d444932597a49345a43316a4e6a426a4c5451795a6d45744f5451784f5330795a574e6b4d574d304d546334596d59756347526d&amp;Fich=e026c28d-c60c-42fa-9419-2ecd1c4178bf.pdf&amp;Inline=true</t>
        </is>
      </c>
      <c r="AH972" s="3" t="n">
        <v>46321.77847222222</v>
      </c>
      <c r="AI972" s="3" t="n">
        <v>46321.78055555555</v>
      </c>
      <c r="AJ972" s="2" t="inlineStr"/>
    </row>
    <row r="973">
      <c r="A973" s="2" t="n">
        <v>972</v>
      </c>
      <c r="B973" s="2" t="inlineStr">
        <is>
          <t>913C</t>
        </is>
      </c>
      <c r="C973" s="3" t="n">
        <v>45967.66805555556</v>
      </c>
      <c r="D973" s="2" t="inlineStr">
        <is>
          <t>Original</t>
        </is>
      </c>
      <c r="E973" s="2" t="inlineStr">
        <is>
          <t>BE</t>
        </is>
      </c>
      <c r="F973" s="2" t="inlineStr">
        <is>
          <t>Mariana Mortágua</t>
        </is>
      </c>
      <c r="G973" s="2" t="inlineStr">
        <is>
          <t>Art. 63.º-A (aditamento)</t>
        </is>
      </c>
      <c r="H973" s="2" t="n"/>
      <c r="I973" s="2" t="n"/>
      <c r="J973" s="2" t="n"/>
      <c r="K973" s="2" t="n"/>
      <c r="L973" s="2" t="inlineStr">
        <is>
          <t>Artigo 63.º-A (Alteração à lista I anexa ao Código do Imposto sobre o Valor Acrescentado)</t>
        </is>
      </c>
      <c r="M973" s="4" t="n"/>
      <c r="N973" s="4" t="n"/>
      <c r="O973" s="2" t="n"/>
      <c r="P973" s="2" t="n"/>
      <c r="Q973" s="2" t="n"/>
      <c r="R973" s="2" t="n"/>
      <c r="S973" s="2" t="inlineStr">
        <is>
          <t>Rejeitado(a) em Comissão</t>
        </is>
      </c>
      <c r="T973" s="2" t="inlineStr">
        <is>
          <t>Rejeitada</t>
        </is>
      </c>
      <c r="U973" s="2" t="inlineStr">
        <is>
          <t>Favor: L, BE, PAN; Contra: PSD, IL, PCP, CDS-PP; Abstenção: CH, PS</t>
        </is>
      </c>
      <c r="V973" s="3" t="n">
        <v>45982</v>
      </c>
      <c r="W973" s="2" t="inlineStr">
        <is>
          <t>AR: https://www.parlamento.pt/OrcamentoEstado/Paginas/DetalhePropostaAlteracao.aspx?BID=24149 PDF: https://app.parlamento.pt/webutils/docs/doc.pdf?path=6148523063484d364c793942556b356c6443397a6158526c63793959566b6c4a544556484c3039464c7a49774d6a59794d4449314d5441774f533951515338324e54466a4e5463345a53316b4f5441354c5451794d3255744f5759344f5330304e5449325954526a4e546b315a4759756347526d&amp;Fich=651c578e-d909-423e-9f89-4526a4c595df.pdf&amp;Inline=true</t>
        </is>
      </c>
      <c r="X973" s="2" t="inlineStr">
        <is>
          <t>Orçamento, Finanças e Administração Pública</t>
        </is>
      </c>
      <c r="Y973" s="2" t="inlineStr">
        <is>
          <t>Articulado</t>
        </is>
      </c>
      <c r="Z973" s="2" t="inlineStr">
        <is>
          <t>Aditamento (Artigo PPL)</t>
        </is>
      </c>
      <c r="AA973" s="2" t="inlineStr">
        <is>
          <t>Rejeitado(a) em Comissão</t>
        </is>
      </c>
      <c r="AB973" s="2" t="inlineStr"/>
      <c r="AC973" s="2" t="inlineStr"/>
      <c r="AD973" s="2" t="inlineStr">
        <is>
          <t>1</t>
        </is>
      </c>
      <c r="AE973" s="2" t="inlineStr">
        <is>
          <t>24149</t>
        </is>
      </c>
      <c r="AF973" s="2" t="inlineStr">
        <is>
          <t>https://www.parlamento.pt/OrcamentoEstado/Paginas/DetalhePropostaAlteracao.aspx?BID=24149</t>
        </is>
      </c>
      <c r="AG973" s="2" t="inlineStr">
        <is>
          <t>https://app.parlamento.pt/webutils/docs/doc.pdf?path=6148523063484d364c793942556b356c6443397a6158526c63793959566b6c4a544556484c3039464c7a49774d6a59794d4449314d5441774f533951515338324e54466a4e5463345a53316b4f5441354c5451794d3255744f5759344f5330304e5449325954526a4e546b315a4759756347526d&amp;Fich=651c578e-d909-423e-9f89-4526a4c595df.pdf&amp;Inline=true</t>
        </is>
      </c>
      <c r="AH973" s="3" t="n">
        <v>46321.77847222222</v>
      </c>
      <c r="AI973" s="3" t="n">
        <v>46321.78055555555</v>
      </c>
      <c r="AJ973" s="2" t="inlineStr"/>
    </row>
    <row r="974">
      <c r="A974" s="2" t="n">
        <v>973</v>
      </c>
      <c r="B974" s="2" t="inlineStr">
        <is>
          <t>914C</t>
        </is>
      </c>
      <c r="C974" s="3" t="n">
        <v>45967.66805555556</v>
      </c>
      <c r="D974" s="2" t="inlineStr">
        <is>
          <t>Original</t>
        </is>
      </c>
      <c r="E974" s="2" t="inlineStr">
        <is>
          <t>L</t>
        </is>
      </c>
      <c r="F974" s="2" t="inlineStr">
        <is>
          <t>Filipa Pinto; Isabel Mendes Lopes; Jorge Pinto; Patrícia Gonçalves; Paulo Muacho; Rui Tavares</t>
        </is>
      </c>
      <c r="G974" s="2" t="inlineStr">
        <is>
          <t>Art. 112.º-A (aditamento)</t>
        </is>
      </c>
      <c r="H974" s="2" t="n"/>
      <c r="I974" s="2" t="n"/>
      <c r="J974" s="2" t="n"/>
      <c r="K974" s="2" t="n"/>
      <c r="L974" s="2" t="inlineStr">
        <is>
          <t>Artigo 112.º-A (Forças Nacionais Destacadas)</t>
        </is>
      </c>
      <c r="M974" s="4" t="n"/>
      <c r="N974" s="4" t="n"/>
      <c r="O974" s="2" t="n"/>
      <c r="P974" s="2" t="n"/>
      <c r="Q974" s="2" t="n"/>
      <c r="R974" s="2" t="n"/>
      <c r="S974" s="2" t="inlineStr">
        <is>
          <t>Rejeitado(a) em Comissão</t>
        </is>
      </c>
      <c r="T974" s="2" t="inlineStr">
        <is>
          <t>Rejeitada</t>
        </is>
      </c>
      <c r="U974" s="2" t="inlineStr">
        <is>
          <t>Favor: CH, L, BE, PAN; Contra: PSD, CDS-PP; Abstenção: PS, IL, PCP</t>
        </is>
      </c>
      <c r="V974" s="3" t="n">
        <v>45982</v>
      </c>
      <c r="W974" s="2" t="inlineStr">
        <is>
          <t>AR: https://www.parlamento.pt/OrcamentoEstado/Paginas/DetalhePropostaAlteracao.aspx?BID=24150 PDF: https://app.parlamento.pt/webutils/docs/doc.pdf?path=6148523063484d364c793942556b356c6443397a6158526c63793959566b6c4a544556484c3039464c7a49774d6a59794d4449314d5441774f533951515338324e324d344d6d51794d4330334e474a6d4c5451334e6a67744f574533597931694d7a59335a6a41345a54426b4f5451756347526d&amp;Fich=67c82d20-74bf-4768-9a7c-b367f08e0d94.pdf&amp;Inline=true</t>
        </is>
      </c>
      <c r="X974" s="2" t="inlineStr">
        <is>
          <t>Defesa Nacional</t>
        </is>
      </c>
      <c r="Y974" s="2" t="inlineStr">
        <is>
          <t>Articulado</t>
        </is>
      </c>
      <c r="Z974" s="2" t="inlineStr">
        <is>
          <t>Aditamento (Artigo PPL)</t>
        </is>
      </c>
      <c r="AA974" s="2" t="inlineStr">
        <is>
          <t>Rejeitado(a) em Comissão</t>
        </is>
      </c>
      <c r="AB974" s="2" t="inlineStr"/>
      <c r="AC974" s="2" t="inlineStr"/>
      <c r="AD974" s="2" t="inlineStr">
        <is>
          <t>1</t>
        </is>
      </c>
      <c r="AE974" s="2" t="inlineStr">
        <is>
          <t>24150</t>
        </is>
      </c>
      <c r="AF974" s="2" t="inlineStr">
        <is>
          <t>https://www.parlamento.pt/OrcamentoEstado/Paginas/DetalhePropostaAlteracao.aspx?BID=24150</t>
        </is>
      </c>
      <c r="AG974" s="2" t="inlineStr">
        <is>
          <t>https://app.parlamento.pt/webutils/docs/doc.pdf?path=6148523063484d364c793942556b356c6443397a6158526c63793959566b6c4a544556484c3039464c7a49774d6a59794d4449314d5441774f533951515338324e324d344d6d51794d4330334e474a6d4c5451334e6a67744f574533597931694d7a59335a6a41345a54426b4f5451756347526d&amp;Fich=67c82d20-74bf-4768-9a7c-b367f08e0d94.pdf&amp;Inline=true</t>
        </is>
      </c>
      <c r="AH974" s="3" t="n">
        <v>46321.77847222222</v>
      </c>
      <c r="AI974" s="3" t="n">
        <v>46321.78055555555</v>
      </c>
      <c r="AJ974" s="2" t="inlineStr"/>
    </row>
    <row r="975">
      <c r="A975" s="2" t="n">
        <v>974</v>
      </c>
      <c r="B975" s="2" t="inlineStr">
        <is>
          <t>915C</t>
        </is>
      </c>
      <c r="C975" s="3" t="n">
        <v>45967.66944444444</v>
      </c>
      <c r="D975" s="2" t="inlineStr">
        <is>
          <t>Original</t>
        </is>
      </c>
      <c r="E975" s="2" t="inlineStr">
        <is>
          <t>BE</t>
        </is>
      </c>
      <c r="F975" s="2" t="inlineStr">
        <is>
          <t>Mariana Mortágua</t>
        </is>
      </c>
      <c r="G975" s="2" t="inlineStr">
        <is>
          <t>80.º-A (aditamento)</t>
        </is>
      </c>
      <c r="H975" s="2" t="n"/>
      <c r="I975" s="2" t="n"/>
      <c r="J975" s="2" t="n"/>
      <c r="K975" s="2" t="n"/>
      <c r="L975" s="2" t="inlineStr">
        <is>
          <t>80.º-A (Imposto sobre determinados Serviços Digitais)</t>
        </is>
      </c>
      <c r="M975" s="4" t="n"/>
      <c r="N975" s="4" t="n"/>
      <c r="O975" s="2" t="n"/>
      <c r="P975" s="2" t="n"/>
      <c r="Q975" s="2" t="n"/>
      <c r="R975" s="2" t="n"/>
      <c r="S975" s="2" t="inlineStr">
        <is>
          <t>Rejeitado(a) em Comissão</t>
        </is>
      </c>
      <c r="T975" s="2" t="inlineStr">
        <is>
          <t>Rejeitada</t>
        </is>
      </c>
      <c r="U975" s="2" t="inlineStr">
        <is>
          <t>Favor: L, PCP, BE, PAN; Contra: PSD, CH, IL, CDS-PP; Abstenção: PS</t>
        </is>
      </c>
      <c r="V975" s="3" t="n">
        <v>45982</v>
      </c>
      <c r="W975" s="2" t="inlineStr">
        <is>
          <t>AR: https://www.parlamento.pt/OrcamentoEstado/Paginas/DetalhePropostaAlteracao.aspx?BID=24151 PDF: https://app.parlamento.pt/webutils/docs/doc.pdf?path=6148523063484d364c793942556b356c6443397a6158526c63793959566b6c4a544556484c3039464c7a49774d6a59794d4449314d5441774f53395151533878596a51355a5745774d6930775a6a4d314c5451794e7a6374596a4a694f4330334e324e6a4d4759315a5463344e6a6b756347526d&amp;Fich=1b49ea02-0f35-4277-b2b8-77cc0f5e7869.pdf&amp;Inline=true</t>
        </is>
      </c>
      <c r="X975" s="2" t="inlineStr">
        <is>
          <t>Orçamento, Finanças e Administração Pública</t>
        </is>
      </c>
      <c r="Y975" s="2" t="inlineStr">
        <is>
          <t>Articulado</t>
        </is>
      </c>
      <c r="Z975" s="2" t="inlineStr">
        <is>
          <t>Aditamento (Artigo PPL)</t>
        </is>
      </c>
      <c r="AA975" s="2" t="inlineStr">
        <is>
          <t>Rejeitado(a) em Comissão</t>
        </is>
      </c>
      <c r="AB975" s="2" t="inlineStr"/>
      <c r="AC975" s="2" t="inlineStr"/>
      <c r="AD975" s="2" t="inlineStr">
        <is>
          <t>1</t>
        </is>
      </c>
      <c r="AE975" s="2" t="inlineStr">
        <is>
          <t>24151</t>
        </is>
      </c>
      <c r="AF975" s="2" t="inlineStr">
        <is>
          <t>https://www.parlamento.pt/OrcamentoEstado/Paginas/DetalhePropostaAlteracao.aspx?BID=24151</t>
        </is>
      </c>
      <c r="AG975" s="2" t="inlineStr">
        <is>
          <t>https://app.parlamento.pt/webutils/docs/doc.pdf?path=6148523063484d364c793942556b356c6443397a6158526c63793959566b6c4a544556484c3039464c7a49774d6a59794d4449314d5441774f53395151533878596a51355a5745774d6930775a6a4d314c5451794e7a6374596a4a694f4330334e324e6a4d4759315a5463344e6a6b756347526d&amp;Fich=1b49ea02-0f35-4277-b2b8-77cc0f5e7869.pdf&amp;Inline=true</t>
        </is>
      </c>
      <c r="AH975" s="3" t="n">
        <v>46321.77847222222</v>
      </c>
      <c r="AI975" s="3" t="n">
        <v>46321.78055555555</v>
      </c>
      <c r="AJ975" s="2" t="inlineStr"/>
    </row>
    <row r="976">
      <c r="A976" s="2" t="n">
        <v>975</v>
      </c>
      <c r="B976" s="2" t="inlineStr">
        <is>
          <t>916C</t>
        </is>
      </c>
      <c r="C976" s="3" t="n">
        <v>45967.67083333333</v>
      </c>
      <c r="D976" s="2" t="inlineStr">
        <is>
          <t>Original</t>
        </is>
      </c>
      <c r="E976" s="2" t="inlineStr">
        <is>
          <t>BE</t>
        </is>
      </c>
      <c r="F976" s="2" t="inlineStr">
        <is>
          <t>Mariana Mortágua</t>
        </is>
      </c>
      <c r="G976" s="2" t="inlineStr">
        <is>
          <t>Art. 74.º (substituição)</t>
        </is>
      </c>
      <c r="H976" s="2" t="n"/>
      <c r="I976" s="2" t="n"/>
      <c r="J976" s="2" t="n"/>
      <c r="K976" s="2" t="n"/>
      <c r="L976" s="2" t="inlineStr">
        <is>
          <t>Artigo 74.º-A</t>
        </is>
      </c>
      <c r="M976" s="4" t="n"/>
      <c r="N976" s="4" t="n"/>
      <c r="O976" s="2" t="n"/>
      <c r="P976" s="2" t="n"/>
      <c r="Q976" s="2" t="n"/>
      <c r="R976" s="2" t="n"/>
      <c r="S976" s="2" t="inlineStr">
        <is>
          <t>Rejeitado(a) em Comissão</t>
        </is>
      </c>
      <c r="T976" s="2" t="inlineStr">
        <is>
          <t>Rejeitada</t>
        </is>
      </c>
      <c r="U976" s="2" t="inlineStr">
        <is>
          <t>Favor: L, PCP, BE, PAN; Contra: PSD, CH, IL, CDS-PP; Abstenção: PS</t>
        </is>
      </c>
      <c r="V976" s="3" t="n">
        <v>45982</v>
      </c>
      <c r="W976" s="2" t="inlineStr">
        <is>
          <t>AR: https://www.parlamento.pt/OrcamentoEstado/Paginas/DetalhePropostaAlteracao.aspx?BID=24152 PDF: https://app.parlamento.pt/webutils/docs/doc.pdf?path=6148523063484d364c793942556b356c6443397a6158526c63793959566b6c4a544556484c3039464c7a49774d6a59794d4449314d5441774f533951515339695a6d4a6b596a4e6a4e6930324d6a6b344c54526c4e575574596a59324d4331684d7a41784f5455784f475a6c4d4441756347526d&amp;Fich=bfbdb3c6-6298-4e5e-b660-a3019518fe00.pdf&amp;Inline=true</t>
        </is>
      </c>
      <c r="X976" s="2" t="inlineStr">
        <is>
          <t>Orçamento, Finanças e Administração Pública</t>
        </is>
      </c>
      <c r="Y976" s="2" t="inlineStr">
        <is>
          <t>Articulado</t>
        </is>
      </c>
      <c r="Z976" s="2" t="inlineStr">
        <is>
          <t>Substituição</t>
        </is>
      </c>
      <c r="AA976" s="2" t="inlineStr">
        <is>
          <t>Rejeitado(a) em Comissão</t>
        </is>
      </c>
      <c r="AB976" s="2" t="inlineStr"/>
      <c r="AC976" s="2" t="inlineStr"/>
      <c r="AD976" s="2" t="inlineStr">
        <is>
          <t>1</t>
        </is>
      </c>
      <c r="AE976" s="2" t="inlineStr">
        <is>
          <t>24152</t>
        </is>
      </c>
      <c r="AF976" s="2" t="inlineStr">
        <is>
          <t>https://www.parlamento.pt/OrcamentoEstado/Paginas/DetalhePropostaAlteracao.aspx?BID=24152</t>
        </is>
      </c>
      <c r="AG976" s="2" t="inlineStr">
        <is>
          <t>https://app.parlamento.pt/webutils/docs/doc.pdf?path=6148523063484d364c793942556b356c6443397a6158526c63793959566b6c4a544556484c3039464c7a49774d6a59794d4449314d5441774f533951515339695a6d4a6b596a4e6a4e6930324d6a6b344c54526c4e575574596a59324d4331684d7a41784f5455784f475a6c4d4441756347526d&amp;Fich=bfbdb3c6-6298-4e5e-b660-a3019518fe00.pdf&amp;Inline=true</t>
        </is>
      </c>
      <c r="AH976" s="3" t="n">
        <v>46321.77847222222</v>
      </c>
      <c r="AI976" s="3" t="n">
        <v>46321.78055555555</v>
      </c>
      <c r="AJ976" s="2" t="inlineStr"/>
    </row>
    <row r="977">
      <c r="A977" s="2" t="n">
        <v>976</v>
      </c>
      <c r="B977" s="2" t="inlineStr">
        <is>
          <t>917C</t>
        </is>
      </c>
      <c r="C977" s="3" t="n">
        <v>45967.67083333333</v>
      </c>
      <c r="D977" s="2" t="inlineStr">
        <is>
          <t>Original</t>
        </is>
      </c>
      <c r="E977" s="2" t="inlineStr">
        <is>
          <t>L</t>
        </is>
      </c>
      <c r="F977" s="2" t="inlineStr">
        <is>
          <t>Filipa Pinto; Isabel Mendes Lopes; Jorge Pinto; Patrícia Gonçalves; Paulo Muacho; Rui Tavares</t>
        </is>
      </c>
      <c r="G977" s="2" t="inlineStr">
        <is>
          <t>Art. 112º- A (aditamento)</t>
        </is>
      </c>
      <c r="H977" s="2" t="n"/>
      <c r="I977" s="2" t="n"/>
      <c r="J977" s="2" t="n"/>
      <c r="K977" s="2" t="n"/>
      <c r="L977" s="2" t="inlineStr">
        <is>
          <t>Artigo 112º- A (Programa de distribuição nacional de kits de emergência para gestão de crises)</t>
        </is>
      </c>
      <c r="M977" s="4" t="n"/>
      <c r="N977" s="4" t="n"/>
      <c r="O977" s="2" t="n"/>
      <c r="P977" s="2" t="n"/>
      <c r="Q977" s="2" t="n"/>
      <c r="R977" s="2" t="n"/>
      <c r="S977" s="2" t="inlineStr">
        <is>
          <t>Rejeitado(a) em Comissão</t>
        </is>
      </c>
      <c r="T977" s="2" t="inlineStr">
        <is>
          <t>Rejeitada</t>
        </is>
      </c>
      <c r="U977" s="2" t="inlineStr">
        <is>
          <t>Favor: L, BE, PAN; Contra: PSD, CH, PCP, CDS-PP; Abstenção: PS, IL</t>
        </is>
      </c>
      <c r="V977" s="3" t="n">
        <v>45982</v>
      </c>
      <c r="W977" s="2" t="inlineStr">
        <is>
          <t>AR: https://www.parlamento.pt/OrcamentoEstado/Paginas/DetalhePropostaAlteracao.aspx?BID=24153 PDF: https://app.parlamento.pt/webutils/docs/doc.pdf?path=6148523063484d364c793942556b356c6443397a6158526c63793959566b6c4a544556484c3039464c7a49774d6a59794d4449314d5441774f533951515338784e5755785a4459344e43316c4e4463324c5451334e546774596d51794e5330314e7a5930597a6b354e5459794f5459756347526d&amp;Fich=15e1d684-e476-4758-bd25-5764c9956296.pdf&amp;Inline=true</t>
        </is>
      </c>
      <c r="X977" s="2" t="inlineStr">
        <is>
          <t>Defesa Nacional</t>
        </is>
      </c>
      <c r="Y977" s="2" t="inlineStr">
        <is>
          <t>Articulado</t>
        </is>
      </c>
      <c r="Z977" s="2" t="inlineStr">
        <is>
          <t>Aditamento (Artigo PPL)</t>
        </is>
      </c>
      <c r="AA977" s="2" t="inlineStr">
        <is>
          <t>Rejeitado(a) em Comissão</t>
        </is>
      </c>
      <c r="AB977" s="2" t="inlineStr"/>
      <c r="AC977" s="2" t="inlineStr"/>
      <c r="AD977" s="2" t="inlineStr">
        <is>
          <t>1</t>
        </is>
      </c>
      <c r="AE977" s="2" t="inlineStr">
        <is>
          <t>24153</t>
        </is>
      </c>
      <c r="AF977" s="2" t="inlineStr">
        <is>
          <t>https://www.parlamento.pt/OrcamentoEstado/Paginas/DetalhePropostaAlteracao.aspx?BID=24153</t>
        </is>
      </c>
      <c r="AG977" s="2" t="inlineStr">
        <is>
          <t>https://app.parlamento.pt/webutils/docs/doc.pdf?path=6148523063484d364c793942556b356c6443397a6158526c63793959566b6c4a544556484c3039464c7a49774d6a59794d4449314d5441774f533951515338784e5755785a4459344e43316c4e4463324c5451334e546774596d51794e5330314e7a5930597a6b354e5459794f5459756347526d&amp;Fich=15e1d684-e476-4758-bd25-5764c9956296.pdf&amp;Inline=true</t>
        </is>
      </c>
      <c r="AH977" s="3" t="n">
        <v>46321.77847222222</v>
      </c>
      <c r="AI977" s="3" t="n">
        <v>46321.78055555555</v>
      </c>
      <c r="AJ977" s="2" t="inlineStr"/>
    </row>
    <row r="978">
      <c r="A978" s="2" t="n">
        <v>977</v>
      </c>
      <c r="B978" s="2" t="inlineStr">
        <is>
          <t>918C</t>
        </is>
      </c>
      <c r="C978" s="3" t="n">
        <v>45967.67152777778</v>
      </c>
      <c r="D978" s="2" t="inlineStr">
        <is>
          <t>Original</t>
        </is>
      </c>
      <c r="E978" s="2" t="inlineStr">
        <is>
          <t>BE</t>
        </is>
      </c>
      <c r="F978" s="2" t="inlineStr">
        <is>
          <t>Mariana Mortágua</t>
        </is>
      </c>
      <c r="G978" s="2" t="inlineStr">
        <is>
          <t>Art. 80.º-A (aditamento)</t>
        </is>
      </c>
      <c r="H978" s="2" t="n"/>
      <c r="I978" s="2" t="n"/>
      <c r="J978" s="2" t="n"/>
      <c r="K978" s="2" t="n"/>
      <c r="L978" s="2" t="inlineStr">
        <is>
          <t>Artigo 80.º-A (Imposto de solidariedade sobre as grandes fortunas)</t>
        </is>
      </c>
      <c r="M978" s="4" t="n"/>
      <c r="N978" s="4" t="n"/>
      <c r="O978" s="2" t="n"/>
      <c r="P978" s="2" t="n"/>
      <c r="Q978" s="2" t="n"/>
      <c r="R978" s="2" t="n"/>
      <c r="S978" s="2" t="inlineStr">
        <is>
          <t>Rejeitado(a) em Comissão</t>
        </is>
      </c>
      <c r="T978" s="2" t="inlineStr">
        <is>
          <t>Rejeitada</t>
        </is>
      </c>
      <c r="U978" s="2" t="inlineStr">
        <is>
          <t>Favor: L, PCP, BE, PAN; Contra: PSD, CH, IL, CDS-PP; Abstenção: PS</t>
        </is>
      </c>
      <c r="V978" s="3" t="n">
        <v>45982</v>
      </c>
      <c r="W978" s="2" t="inlineStr">
        <is>
          <t>AR: https://www.parlamento.pt/OrcamentoEstado/Paginas/DetalhePropostaAlteracao.aspx?BID=24154 PDF: https://app.parlamento.pt/webutils/docs/doc.pdf?path=6148523063484d364c793942556b356c6443397a6158526c63793959566b6c4a544556484c3039464c7a49774d6a59794d4449314d5441774f533951515338344e32517a5a6a5a6b4e533169595749784c54526a4d444d744f444268595330774f475a6c59545a694e7a4a694e446b756347526d&amp;Fich=87d3f6d5-bab1-4c03-80aa-08fea6b72b49.pdf&amp;Inline=true</t>
        </is>
      </c>
      <c r="X978" s="2" t="inlineStr">
        <is>
          <t>Orçamento, Finanças e Administração Pública</t>
        </is>
      </c>
      <c r="Y978" s="2" t="inlineStr">
        <is>
          <t>Articulado</t>
        </is>
      </c>
      <c r="Z978" s="2" t="inlineStr">
        <is>
          <t>Aditamento (Artigo PPL)</t>
        </is>
      </c>
      <c r="AA978" s="2" t="inlineStr">
        <is>
          <t>Rejeitado(a) em Comissão</t>
        </is>
      </c>
      <c r="AB978" s="2" t="inlineStr"/>
      <c r="AC978" s="2" t="inlineStr"/>
      <c r="AD978" s="2" t="inlineStr">
        <is>
          <t>1</t>
        </is>
      </c>
      <c r="AE978" s="2" t="inlineStr">
        <is>
          <t>24154</t>
        </is>
      </c>
      <c r="AF978" s="2" t="inlineStr">
        <is>
          <t>https://www.parlamento.pt/OrcamentoEstado/Paginas/DetalhePropostaAlteracao.aspx?BID=24154</t>
        </is>
      </c>
      <c r="AG978" s="2" t="inlineStr">
        <is>
          <t>https://app.parlamento.pt/webutils/docs/doc.pdf?path=6148523063484d364c793942556b356c6443397a6158526c63793959566b6c4a544556484c3039464c7a49774d6a59794d4449314d5441774f533951515338344e32517a5a6a5a6b4e533169595749784c54526a4d444d744f444268595330774f475a6c59545a694e7a4a694e446b756347526d&amp;Fich=87d3f6d5-bab1-4c03-80aa-08fea6b72b49.pdf&amp;Inline=true</t>
        </is>
      </c>
      <c r="AH978" s="3" t="n">
        <v>46321.77847222222</v>
      </c>
      <c r="AI978" s="3" t="n">
        <v>46321.78055555555</v>
      </c>
      <c r="AJ978" s="2" t="inlineStr"/>
    </row>
    <row r="979">
      <c r="A979" s="2" t="n">
        <v>978</v>
      </c>
      <c r="B979" s="2" t="inlineStr">
        <is>
          <t>919C</t>
        </is>
      </c>
      <c r="C979" s="3" t="n">
        <v>45967.67291666667</v>
      </c>
      <c r="D979" s="2" t="inlineStr">
        <is>
          <t>Original</t>
        </is>
      </c>
      <c r="E979" s="2" t="inlineStr">
        <is>
          <t>L</t>
        </is>
      </c>
      <c r="F979" s="2" t="inlineStr">
        <is>
          <t>Filipa Pinto; Isabel Mendes Lopes; Jorge Pinto; Patrícia Gonçalves; Paulo Muacho; Rui Tavares</t>
        </is>
      </c>
      <c r="G979" s="2" t="inlineStr">
        <is>
          <t>Art. 21.º-A (aditamento)</t>
        </is>
      </c>
      <c r="H979" s="2" t="n"/>
      <c r="I979" s="2" t="n"/>
      <c r="J979" s="2" t="n"/>
      <c r="K979" s="2" t="n"/>
      <c r="L979" s="2" t="inlineStr">
        <is>
          <t>Artigo 21.º-A (Recrutamento de professores de Português Língua Não Materna no Ensino Básico e Secundário)</t>
        </is>
      </c>
      <c r="M979" s="4" t="n"/>
      <c r="N979" s="4" t="n"/>
      <c r="O979" s="2" t="n"/>
      <c r="P979" s="2" t="n"/>
      <c r="Q979" s="2" t="n"/>
      <c r="R979" s="2" t="n"/>
      <c r="S979" s="2" t="inlineStr">
        <is>
          <t>Rejeitado(a) em Comissão</t>
        </is>
      </c>
      <c r="T979" s="2" t="inlineStr">
        <is>
          <t>Rejeitada</t>
        </is>
      </c>
      <c r="U979" s="2" t="inlineStr">
        <is>
          <t>Favor: IL, L, PCP, BE, PAN; Contra: PSD, CH, CDS-PP; Abstenção: PS</t>
        </is>
      </c>
      <c r="V979" s="3" t="n">
        <v>45981</v>
      </c>
      <c r="W979" s="2" t="inlineStr">
        <is>
          <t>AR: https://www.parlamento.pt/OrcamentoEstado/Paginas/DetalhePropostaAlteracao.aspx?BID=24155 PDF: https://app.parlamento.pt/webutils/docs/doc.pdf?path=6148523063484d364c793942556b356c6443397a6158526c63793959566b6c4a544556484c3039464c7a49774d6a59794d4449314d5441774f533951515338334e446b344d574d7a4e6930355a6a4d334c5451324f574d74595749774d793032597a637a4d324979596a417a597a49756347526d&amp;Fich=74981c36-9f37-469c-ab03-6c733b2b03c2.pdf&amp;Inline=true</t>
        </is>
      </c>
      <c r="X979" s="2" t="inlineStr">
        <is>
          <t>Educação e Ciência</t>
        </is>
      </c>
      <c r="Y979" s="2" t="inlineStr">
        <is>
          <t>Articulado</t>
        </is>
      </c>
      <c r="Z979" s="2" t="inlineStr">
        <is>
          <t>Aditamento (Artigo PPL)</t>
        </is>
      </c>
      <c r="AA979" s="2" t="inlineStr">
        <is>
          <t>Rejeitado(a) em Comissão</t>
        </is>
      </c>
      <c r="AB979" s="2" t="inlineStr"/>
      <c r="AC979" s="2" t="inlineStr"/>
      <c r="AD979" s="2" t="inlineStr">
        <is>
          <t>1</t>
        </is>
      </c>
      <c r="AE979" s="2" t="inlineStr">
        <is>
          <t>24155</t>
        </is>
      </c>
      <c r="AF979" s="2" t="inlineStr">
        <is>
          <t>https://www.parlamento.pt/OrcamentoEstado/Paginas/DetalhePropostaAlteracao.aspx?BID=24155</t>
        </is>
      </c>
      <c r="AG979" s="2" t="inlineStr">
        <is>
          <t>https://app.parlamento.pt/webutils/docs/doc.pdf?path=6148523063484d364c793942556b356c6443397a6158526c63793959566b6c4a544556484c3039464c7a49774d6a59794d4449314d5441774f533951515338334e446b344d574d7a4e6930355a6a4d334c5451324f574d74595749774d793032597a637a4d324979596a417a597a49756347526d&amp;Fich=74981c36-9f37-469c-ab03-6c733b2b03c2.pdf&amp;Inline=true</t>
        </is>
      </c>
      <c r="AH979" s="3" t="n">
        <v>46321.77847222222</v>
      </c>
      <c r="AI979" s="3" t="n">
        <v>46321.78055555555</v>
      </c>
      <c r="AJ979" s="2" t="inlineStr"/>
    </row>
    <row r="980">
      <c r="A980" s="2" t="n">
        <v>979</v>
      </c>
      <c r="B980" s="2" t="inlineStr">
        <is>
          <t>920C</t>
        </is>
      </c>
      <c r="C980" s="3" t="n">
        <v>45967.67430555556</v>
      </c>
      <c r="D980" s="2" t="inlineStr">
        <is>
          <t>Original</t>
        </is>
      </c>
      <c r="E980" s="2" t="inlineStr">
        <is>
          <t>BE</t>
        </is>
      </c>
      <c r="F980" s="2" t="inlineStr">
        <is>
          <t>Mariana Mortágua</t>
        </is>
      </c>
      <c r="G980" s="2" t="inlineStr">
        <is>
          <t>Art. 108.º-A (aditamento)</t>
        </is>
      </c>
      <c r="H980" s="2" t="n"/>
      <c r="I980" s="2" t="n"/>
      <c r="J980" s="2" t="n"/>
      <c r="K980" s="2" t="n"/>
      <c r="L980" s="2" t="inlineStr">
        <is>
          <t>Artigo 108.º-A (Interdição de apoios públicos a espetáculos com sofrimento animal)</t>
        </is>
      </c>
      <c r="M980" s="4" t="n"/>
      <c r="N980" s="4" t="n"/>
      <c r="O980" s="2" t="n"/>
      <c r="P980" s="2" t="n"/>
      <c r="Q980" s="2" t="n"/>
      <c r="R980" s="2" t="n"/>
      <c r="S980" s="2" t="inlineStr">
        <is>
          <t>Rejeitado(a) em Comissão</t>
        </is>
      </c>
      <c r="T980" s="2" t="inlineStr">
        <is>
          <t>Rejeitada</t>
        </is>
      </c>
      <c r="U980" s="2" t="inlineStr">
        <is>
          <t>Favor: IL, L, BE, PAN; Contra: PSD, CH, PCP, CDS-PP; Abstenção: PS</t>
        </is>
      </c>
      <c r="V980" s="3" t="n">
        <v>45982</v>
      </c>
      <c r="W980" s="2" t="inlineStr">
        <is>
          <t>AR: https://www.parlamento.pt/OrcamentoEstado/Paginas/DetalhePropostaAlteracao.aspx?BID=24156 PDF: https://app.parlamento.pt/webutils/docs/doc.pdf?path=6148523063484d364c793942556b356c6443397a6158526c63793959566b6c4a544556484c3039464c7a49774d6a59794d4449314d5441774f5339515153396a4f54646a4e3249774f4331684e544d324c54517a596a6b7459574d774e53307a4d5759345a444531597a5979596a41756347526d&amp;Fich=c97c7b08-a536-43b9-ac05-31f8d15c62b0.pdf&amp;Inline=true</t>
        </is>
      </c>
      <c r="X980" s="2" t="inlineStr">
        <is>
          <t>Cultura, Comunicação, Juventude e Desporto</t>
        </is>
      </c>
      <c r="Y980" s="2" t="inlineStr">
        <is>
          <t>Articulado</t>
        </is>
      </c>
      <c r="Z980" s="2" t="inlineStr">
        <is>
          <t>Aditamento (Artigo PPL)</t>
        </is>
      </c>
      <c r="AA980" s="2" t="inlineStr">
        <is>
          <t>Rejeitado(a) em Comissão</t>
        </is>
      </c>
      <c r="AB980" s="2" t="inlineStr"/>
      <c r="AC980" s="2" t="inlineStr"/>
      <c r="AD980" s="2" t="inlineStr">
        <is>
          <t>1</t>
        </is>
      </c>
      <c r="AE980" s="2" t="inlineStr">
        <is>
          <t>24156</t>
        </is>
      </c>
      <c r="AF980" s="2" t="inlineStr">
        <is>
          <t>https://www.parlamento.pt/OrcamentoEstado/Paginas/DetalhePropostaAlteracao.aspx?BID=24156</t>
        </is>
      </c>
      <c r="AG980" s="2" t="inlineStr">
        <is>
          <t>https://app.parlamento.pt/webutils/docs/doc.pdf?path=6148523063484d364c793942556b356c6443397a6158526c63793959566b6c4a544556484c3039464c7a49774d6a59794d4449314d5441774f5339515153396a4f54646a4e3249774f4331684e544d324c54517a596a6b7459574d774e53307a4d5759345a444531597a5979596a41756347526d&amp;Fich=c97c7b08-a536-43b9-ac05-31f8d15c62b0.pdf&amp;Inline=true</t>
        </is>
      </c>
      <c r="AH980" s="3" t="n">
        <v>46321.77847222222</v>
      </c>
      <c r="AI980" s="3" t="n">
        <v>46321.78055555555</v>
      </c>
      <c r="AJ980" s="2" t="inlineStr"/>
    </row>
    <row r="981">
      <c r="A981" s="2" t="n">
        <v>980</v>
      </c>
      <c r="B981" s="2" t="inlineStr">
        <is>
          <t>921C-1</t>
        </is>
      </c>
      <c r="C981" s="3" t="n">
        <v>45967.67638888889</v>
      </c>
      <c r="D981" s="2" t="inlineStr">
        <is>
          <t>Original</t>
        </is>
      </c>
      <c r="E981" s="2" t="inlineStr">
        <is>
          <t>L</t>
        </is>
      </c>
      <c r="F981" s="2" t="inlineStr">
        <is>
          <t>Filipa Pinto; Isabel Mendes Lopes; Jorge Pinto; Patrícia Gonçalves; Paulo Muacho; Rui Tavares</t>
        </is>
      </c>
      <c r="G981" s="2" t="inlineStr">
        <is>
          <t>Art. 20.º-A (aditamento)</t>
        </is>
      </c>
      <c r="H981" s="2" t="n"/>
      <c r="I981" s="2" t="n"/>
      <c r="J981" s="2" t="n"/>
      <c r="K981" s="2" t="n"/>
      <c r="L981" s="2" t="inlineStr">
        <is>
          <t>Artigo 20.º-A (Alteração ao Decreto-Lei n.º 79/2014, de 14 de maio)</t>
        </is>
      </c>
      <c r="M981" s="4" t="n"/>
      <c r="N981" s="4" t="n"/>
      <c r="O981" s="2" t="n"/>
      <c r="P981" s="2" t="n"/>
      <c r="Q981" s="2" t="n"/>
      <c r="R981" s="2" t="n"/>
      <c r="S981" s="2" t="inlineStr">
        <is>
          <t>Rejeitado(a) em Comissão</t>
        </is>
      </c>
      <c r="T981" s="2" t="inlineStr">
        <is>
          <t>Rejeitada</t>
        </is>
      </c>
      <c r="U981" s="2" t="inlineStr">
        <is>
          <t>Favor: CH, L, PCP, BE, PAN; Contra: PSD, IL, CDS-PP; Abstenção: PS</t>
        </is>
      </c>
      <c r="V981" s="3" t="n">
        <v>45981</v>
      </c>
      <c r="W981" s="2" t="inlineStr">
        <is>
          <t>AR: https://www.parlamento.pt/OrcamentoEstado/Paginas/DetalhePropostaAlteracao.aspx?BID=24157 PDF: https://app.parlamento.pt/webutils/docs/doc.pdf?path=6148523063484d364c793942556b356c6443397a6158526c63793959566b6c4a544556484c3039464c7a49774d6a59794d4449314d5441774f5339515153396b4d544935597a646c4d4331684d544d354c545131597a5974596a566b5a5331684e4756684e5451334d4441794e6a59756347526d&amp;Fich=d129c7e0-a139-45c6-b5de-a4ea54700266.pdf&amp;Inline=true</t>
        </is>
      </c>
      <c r="X981" s="2" t="inlineStr">
        <is>
          <t>Educação e Ciência</t>
        </is>
      </c>
      <c r="Y981" s="2" t="inlineStr">
        <is>
          <t>Articulado</t>
        </is>
      </c>
      <c r="Z981" s="2" t="inlineStr">
        <is>
          <t>Aditamento (Artigo PPL)</t>
        </is>
      </c>
      <c r="AA981" s="2" t="inlineStr">
        <is>
          <t>Rejeitado(a) em Comissão</t>
        </is>
      </c>
      <c r="AB981" s="2" t="inlineStr"/>
      <c r="AC981" s="2" t="inlineStr">
        <is>
          <t>1</t>
        </is>
      </c>
      <c r="AD981" s="2" t="inlineStr">
        <is>
          <t>1</t>
        </is>
      </c>
      <c r="AE981" s="2" t="inlineStr">
        <is>
          <t>24157</t>
        </is>
      </c>
      <c r="AF981" s="2" t="inlineStr">
        <is>
          <t>https://www.parlamento.pt/OrcamentoEstado/Paginas/DetalhePropostaAlteracao.aspx?BID=24157</t>
        </is>
      </c>
      <c r="AG981" s="2" t="inlineStr">
        <is>
          <t>https://app.parlamento.pt/webutils/docs/doc.pdf?path=6148523063484d364c793942556b356c6443397a6158526c63793959566b6c4a544556484c3039464c7a49774d6a59794d4449314d5441774f5339515153396b4d544935597a646c4d4331684d544d354c545131597a5974596a566b5a5331684e4756684e5451334d4441794e6a59756347526d&amp;Fich=d129c7e0-a139-45c6-b5de-a4ea54700266.pdf&amp;Inline=true</t>
        </is>
      </c>
      <c r="AH981" s="3" t="n">
        <v>46321.77847222222</v>
      </c>
      <c r="AI981" s="3" t="n">
        <v>46321.78055555555</v>
      </c>
      <c r="AJ981" s="2" t="inlineStr"/>
    </row>
    <row r="982">
      <c r="A982" s="2" t="n">
        <v>981</v>
      </c>
      <c r="B982" s="2" t="inlineStr">
        <is>
          <t>921C-2</t>
        </is>
      </c>
      <c r="C982" s="3" t="n">
        <v>45967.67638888889</v>
      </c>
      <c r="D982" s="2" t="inlineStr">
        <is>
          <t>Original</t>
        </is>
      </c>
      <c r="E982" s="2" t="inlineStr">
        <is>
          <t>L</t>
        </is>
      </c>
      <c r="F982" s="2" t="inlineStr">
        <is>
          <t>Filipa Pinto; Isabel Mendes Lopes; Jorge Pinto; Patrícia Gonçalves; Paulo Muacho; Rui Tavares</t>
        </is>
      </c>
      <c r="G982" s="2" t="inlineStr">
        <is>
          <t>Art. 138.º (aditamento)</t>
        </is>
      </c>
      <c r="H982" s="2" t="n"/>
      <c r="I982" s="2" t="n"/>
      <c r="J982" s="2" t="n"/>
      <c r="K982" s="2" t="n"/>
      <c r="L982" s="2" t="inlineStr">
        <is>
          <t>Alínea c), Artigo 138.º</t>
        </is>
      </c>
      <c r="M982" s="4" t="n"/>
      <c r="N982" s="4" t="n"/>
      <c r="O982" s="2" t="n"/>
      <c r="P982" s="2" t="n"/>
      <c r="Q982" s="2" t="n"/>
      <c r="R982" s="2" t="n"/>
      <c r="S982" s="2" t="inlineStr">
        <is>
          <t>Rejeitado(a) em Comissão</t>
        </is>
      </c>
      <c r="T982" s="2" t="inlineStr">
        <is>
          <t>Rejeitada</t>
        </is>
      </c>
      <c r="U982" s="2" t="inlineStr">
        <is>
          <t>Favor: CH, L, BE, PAN; Contra: PSD, IL, CDS-PP; Abstenção: PS, PCP</t>
        </is>
      </c>
      <c r="V982" s="3" t="n">
        <v>45987</v>
      </c>
      <c r="W982" s="2" t="inlineStr">
        <is>
          <t>AR: https://www.parlamento.pt/OrcamentoEstado/Paginas/DetalhePropostaAlteracao.aspx?BID=24962 PDF: https://app.parlamento.pt/webutils/docs/doc.pdf?path=6148523063484d364c793942556b356c6443397a6158526c63793959566b6c4a544556484c3039464c7a49774d6a59794d4449314d5441774f533951515338794f5456684d6a49784d4331694f4441794c545177596d5574596a63774e79316d59544a6d4e4749315a6a49795a5445756347526d&amp;Fich=295a2210-b802-40be-b707-fa2f4b5f22e1.pdf&amp;Inline=true</t>
        </is>
      </c>
      <c r="X982" s="2" t="inlineStr">
        <is>
          <t>Educação e Ciência</t>
        </is>
      </c>
      <c r="Y982" s="2" t="inlineStr">
        <is>
          <t>Articulado</t>
        </is>
      </c>
      <c r="Z982" s="2" t="inlineStr">
        <is>
          <t>Aditamento (Números e Alíneas)</t>
        </is>
      </c>
      <c r="AA982" s="2" t="inlineStr">
        <is>
          <t>Rejeitado(a) em Comissão</t>
        </is>
      </c>
      <c r="AB982" s="2" t="inlineStr"/>
      <c r="AC982" s="2" t="inlineStr">
        <is>
          <t>2</t>
        </is>
      </c>
      <c r="AD982" s="2" t="inlineStr">
        <is>
          <t>1</t>
        </is>
      </c>
      <c r="AE982" s="2" t="inlineStr">
        <is>
          <t>24962</t>
        </is>
      </c>
      <c r="AF982" s="2" t="inlineStr">
        <is>
          <t>https://www.parlamento.pt/OrcamentoEstado/Paginas/DetalhePropostaAlteracao.aspx?BID=24962</t>
        </is>
      </c>
      <c r="AG982" s="2" t="inlineStr">
        <is>
          <t>https://app.parlamento.pt/webutils/docs/doc.pdf?path=6148523063484d364c793942556b356c6443397a6158526c63793959566b6c4a544556484c3039464c7a49774d6a59794d4449314d5441774f533951515338794f5456684d6a49784d4331694f4441794c545177596d5574596a63774e79316d59544a6d4e4749315a6a49795a5445756347526d&amp;Fich=295a2210-b802-40be-b707-fa2f4b5f22e1.pdf&amp;Inline=true</t>
        </is>
      </c>
      <c r="AH982" s="3" t="n">
        <v>46321.77847222222</v>
      </c>
      <c r="AI982" s="3" t="n">
        <v>46321.78055555555</v>
      </c>
      <c r="AJ982" s="2" t="inlineStr"/>
    </row>
    <row r="983">
      <c r="A983" s="2" t="n">
        <v>982</v>
      </c>
      <c r="B983" s="2" t="inlineStr">
        <is>
          <t>922C</t>
        </is>
      </c>
      <c r="C983" s="3" t="n">
        <v>45967.67916666667</v>
      </c>
      <c r="D983" s="2" t="inlineStr">
        <is>
          <t>Original</t>
        </is>
      </c>
      <c r="E983" s="2" t="inlineStr">
        <is>
          <t>L</t>
        </is>
      </c>
      <c r="F983" s="2" t="inlineStr">
        <is>
          <t>Filipa Pinto; Isabel Mendes Lopes; Jorge Pinto; Patrícia Gonçalves; Paulo Muacho; Rui Tavares</t>
        </is>
      </c>
      <c r="G983" s="2" t="inlineStr">
        <is>
          <t>Art. 107.º-A (aditamento)</t>
        </is>
      </c>
      <c r="H983" s="2" t="n"/>
      <c r="I983" s="2" t="n"/>
      <c r="J983" s="2" t="n"/>
      <c r="K983" s="2" t="n"/>
      <c r="L983" s="2" t="inlineStr">
        <is>
          <t>Artigo 107.º-A (Garantia de material escolar para todos os alunos do Ensino Básico e Secundário)</t>
        </is>
      </c>
      <c r="M983" s="4" t="n"/>
      <c r="N983" s="4" t="n"/>
      <c r="O983" s="2" t="n"/>
      <c r="P983" s="2" t="n"/>
      <c r="Q983" s="2" t="n"/>
      <c r="R983" s="2" t="n"/>
      <c r="S983" s="2" t="inlineStr">
        <is>
          <t>Rejeitado(a) em Comissão</t>
        </is>
      </c>
      <c r="T983" s="2" t="inlineStr">
        <is>
          <t>Rejeitada</t>
        </is>
      </c>
      <c r="U983" s="2" t="inlineStr">
        <is>
          <t>Favor: L, PCP, BE, PAN; Contra: PSD, CH, IL, CDS-PP; Abstenção: PS</t>
        </is>
      </c>
      <c r="V983" s="3" t="n">
        <v>45982</v>
      </c>
      <c r="W983" s="2" t="inlineStr">
        <is>
          <t>AR: https://www.parlamento.pt/OrcamentoEstado/Paginas/DetalhePropostaAlteracao.aspx?BID=24158 PDF: https://app.parlamento.pt/webutils/docs/doc.pdf?path=6148523063484d364c793942556b356c6443397a6158526c63793959566b6c4a544556484c3039464c7a49774d6a59794d4449314d5441774f533951515338784d474935597a4534595330325a47517a4c5451795a5441744f57526b4d79307a4d7a426a4d3251314d5441304d7a41756347526d&amp;Fich=10b9c18a-6dd3-42e0-9dd3-330c3d510430.pdf&amp;Inline=true</t>
        </is>
      </c>
      <c r="X983" s="2" t="inlineStr">
        <is>
          <t>Educação e Ciência</t>
        </is>
      </c>
      <c r="Y983" s="2" t="inlineStr">
        <is>
          <t>Articulado</t>
        </is>
      </c>
      <c r="Z983" s="2" t="inlineStr">
        <is>
          <t>Aditamento (Artigo PPL)</t>
        </is>
      </c>
      <c r="AA983" s="2" t="inlineStr">
        <is>
          <t>Rejeitado(a) em Comissão</t>
        </is>
      </c>
      <c r="AB983" s="2" t="inlineStr"/>
      <c r="AC983" s="2" t="inlineStr"/>
      <c r="AD983" s="2" t="inlineStr">
        <is>
          <t>1</t>
        </is>
      </c>
      <c r="AE983" s="2" t="inlineStr">
        <is>
          <t>24158</t>
        </is>
      </c>
      <c r="AF983" s="2" t="inlineStr">
        <is>
          <t>https://www.parlamento.pt/OrcamentoEstado/Paginas/DetalhePropostaAlteracao.aspx?BID=24158</t>
        </is>
      </c>
      <c r="AG983" s="2" t="inlineStr">
        <is>
          <t>https://app.parlamento.pt/webutils/docs/doc.pdf?path=6148523063484d364c793942556b356c6443397a6158526c63793959566b6c4a544556484c3039464c7a49774d6a59794d4449314d5441774f533951515338784d474935597a4534595330325a47517a4c5451795a5441744f57526b4d79307a4d7a426a4d3251314d5441304d7a41756347526d&amp;Fich=10b9c18a-6dd3-42e0-9dd3-330c3d510430.pdf&amp;Inline=true</t>
        </is>
      </c>
      <c r="AH983" s="3" t="n">
        <v>46321.77847222222</v>
      </c>
      <c r="AI983" s="3" t="n">
        <v>46321.78055555555</v>
      </c>
      <c r="AJ983" s="2" t="inlineStr"/>
    </row>
    <row r="984">
      <c r="A984" s="2" t="n">
        <v>983</v>
      </c>
      <c r="B984" s="2" t="inlineStr">
        <is>
          <t>923C</t>
        </is>
      </c>
      <c r="C984" s="3" t="n">
        <v>45967.67916666667</v>
      </c>
      <c r="D984" s="2" t="inlineStr">
        <is>
          <t>Original</t>
        </is>
      </c>
      <c r="E984" s="2" t="inlineStr">
        <is>
          <t>BE</t>
        </is>
      </c>
      <c r="F984" s="2" t="inlineStr">
        <is>
          <t>Mariana Mortágua</t>
        </is>
      </c>
      <c r="G984" s="2" t="inlineStr">
        <is>
          <t>Art. 108.º-A (aditamento)</t>
        </is>
      </c>
      <c r="H984" s="2" t="n"/>
      <c r="I984" s="2" t="n"/>
      <c r="J984" s="2" t="n"/>
      <c r="K984" s="2" t="n"/>
      <c r="L984" s="2" t="inlineStr">
        <is>
          <t>Artigo 108.º-A (Apoio a santuários animais)</t>
        </is>
      </c>
      <c r="M984" s="4" t="n"/>
      <c r="N984" s="4" t="n"/>
      <c r="O984" s="2" t="n"/>
      <c r="P984" s="2" t="n"/>
      <c r="Q984" s="2" t="n"/>
      <c r="R984" s="2" t="n"/>
      <c r="S984" s="2" t="inlineStr">
        <is>
          <t>Rejeitado(a) em Comissão</t>
        </is>
      </c>
      <c r="T984" s="2" t="inlineStr">
        <is>
          <t>Rejeitada</t>
        </is>
      </c>
      <c r="U984" s="2" t="inlineStr">
        <is>
          <t>Favor: CH, L, BE, PAN; Contra: PSD, IL, CDS-PP; Abstenção: PS, PCP</t>
        </is>
      </c>
      <c r="V984" s="3" t="n">
        <v>45982</v>
      </c>
      <c r="W984" s="2" t="inlineStr">
        <is>
          <t>AR: https://www.parlamento.pt/OrcamentoEstado/Paginas/DetalhePropostaAlteracao.aspx?BID=24159 PDF: https://app.parlamento.pt/webutils/docs/doc.pdf?path=6148523063484d364c793942556b356c6443397a6158526c63793959566b6c4a544556484c3039464c7a49774d6a59794d4449314d5441774f5339515153396a4d6a67305a444e6b4d5330774e444a6b4c54526a596a41744f4463354d7930335954526d4f4749784f47466a593255756347526d&amp;Fich=c284d3d1-042d-4cb0-8793-7a4f8b18acce.pdf&amp;Inline=true</t>
        </is>
      </c>
      <c r="X984" s="2" t="inlineStr">
        <is>
          <t>Ambiente e Energia</t>
        </is>
      </c>
      <c r="Y984" s="2" t="inlineStr">
        <is>
          <t>Articulado</t>
        </is>
      </c>
      <c r="Z984" s="2" t="inlineStr">
        <is>
          <t>Aditamento (Artigo PPL)</t>
        </is>
      </c>
      <c r="AA984" s="2" t="inlineStr">
        <is>
          <t>Rejeitado(a) em Comissão</t>
        </is>
      </c>
      <c r="AB984" s="2" t="inlineStr"/>
      <c r="AC984" s="2" t="inlineStr"/>
      <c r="AD984" s="2" t="inlineStr">
        <is>
          <t>1</t>
        </is>
      </c>
      <c r="AE984" s="2" t="inlineStr">
        <is>
          <t>24159</t>
        </is>
      </c>
      <c r="AF984" s="2" t="inlineStr">
        <is>
          <t>https://www.parlamento.pt/OrcamentoEstado/Paginas/DetalhePropostaAlteracao.aspx?BID=24159</t>
        </is>
      </c>
      <c r="AG984" s="2" t="inlineStr">
        <is>
          <t>https://app.parlamento.pt/webutils/docs/doc.pdf?path=6148523063484d364c793942556b356c6443397a6158526c63793959566b6c4a544556484c3039464c7a49774d6a59794d4449314d5441774f5339515153396a4d6a67305a444e6b4d5330774e444a6b4c54526a596a41744f4463354d7930335954526d4f4749784f47466a593255756347526d&amp;Fich=c284d3d1-042d-4cb0-8793-7a4f8b18acce.pdf&amp;Inline=true</t>
        </is>
      </c>
      <c r="AH984" s="3" t="n">
        <v>46321.77847222222</v>
      </c>
      <c r="AI984" s="3" t="n">
        <v>46321.78055555555</v>
      </c>
      <c r="AJ984" s="2" t="inlineStr"/>
    </row>
    <row r="985">
      <c r="A985" s="2" t="n">
        <v>984</v>
      </c>
      <c r="B985" s="2" t="inlineStr">
        <is>
          <t>924C-1</t>
        </is>
      </c>
      <c r="C985" s="3" t="n">
        <v>45967.68055555555</v>
      </c>
      <c r="D985" s="2" t="inlineStr">
        <is>
          <t>Original</t>
        </is>
      </c>
      <c r="E985" s="2" t="inlineStr">
        <is>
          <t>IL</t>
        </is>
      </c>
      <c r="F985" s="2" t="inlineStr">
        <is>
          <t>Angélique Da Teresa; Carlos Guimarães Pinto; Joana Cordeiro; Jorge Miguel Teixeira; Mariana Leitão; Mário Amorim Lopes; Miguel Rangel; Rodrigo Saraiva; Rui Rocha</t>
        </is>
      </c>
      <c r="G985" s="2" t="inlineStr">
        <is>
          <t>Art. 63.º (substituição)</t>
        </is>
      </c>
      <c r="H985" s="2" t="n"/>
      <c r="I985" s="2" t="n"/>
      <c r="J985" s="2" t="n"/>
      <c r="K985" s="2" t="n"/>
      <c r="L985" s="2" t="inlineStr">
        <is>
          <t>Verba 1, Lista I anexa ao Código do IVA</t>
        </is>
      </c>
      <c r="M985" s="4" t="n"/>
      <c r="N985" s="4" t="n"/>
      <c r="O985" s="2" t="n"/>
      <c r="P985" s="2" t="n"/>
      <c r="Q985" s="2" t="n"/>
      <c r="R985" s="2" t="n"/>
      <c r="S985" s="2" t="inlineStr">
        <is>
          <t>Rejeitado(a) em Comissão</t>
        </is>
      </c>
      <c r="T985" s="2" t="inlineStr">
        <is>
          <t>Rejeitada</t>
        </is>
      </c>
      <c r="U985" s="2" t="inlineStr">
        <is>
          <t>Favor: CH, IL, PAN; Contra: PSD, L, CDS-PP, BE; Abstenção: PS, PCP</t>
        </is>
      </c>
      <c r="V985" s="3" t="n">
        <v>45982</v>
      </c>
      <c r="W985" s="2" t="inlineStr">
        <is>
          <t>AR: https://www.parlamento.pt/OrcamentoEstado/Paginas/DetalhePropostaAlteracao.aspx?BID=24160 PDF: https://app.parlamento.pt/webutils/docs/doc.pdf?path=6148523063484d364c793942556b356c6443397a6158526c63793959566b6c4a544556484c3039464c7a49774d6a59794d4449314d5441774f5339515153396b597a49354e5459315953316d4e6a55304c54517a4f54557459574e694e79316b4e444e6b597a55334d6a597a4d7a41756347526d&amp;Fich=dc29565a-f654-4395-acb7-d43dc5726330.pdf&amp;Inline=true</t>
        </is>
      </c>
      <c r="X985" s="2" t="inlineStr">
        <is>
          <t>Agricultura e Pescas; Comissão de Economia e Coesão Territorial; Orçamento, Finanças e Administração Pública</t>
        </is>
      </c>
      <c r="Y985" s="2" t="inlineStr">
        <is>
          <t>Articulado</t>
        </is>
      </c>
      <c r="Z985" s="2" t="inlineStr">
        <is>
          <t>Substituição</t>
        </is>
      </c>
      <c r="AA985" s="2" t="inlineStr">
        <is>
          <t>Rejeitado(a) em Comissão</t>
        </is>
      </c>
      <c r="AB985" s="2" t="inlineStr"/>
      <c r="AC985" s="2" t="inlineStr">
        <is>
          <t>1</t>
        </is>
      </c>
      <c r="AD985" s="2" t="inlineStr">
        <is>
          <t>1</t>
        </is>
      </c>
      <c r="AE985" s="2" t="inlineStr">
        <is>
          <t>24160</t>
        </is>
      </c>
      <c r="AF985" s="2" t="inlineStr">
        <is>
          <t>https://www.parlamento.pt/OrcamentoEstado/Paginas/DetalhePropostaAlteracao.aspx?BID=24160</t>
        </is>
      </c>
      <c r="AG985" s="2" t="inlineStr">
        <is>
          <t>https://app.parlamento.pt/webutils/docs/doc.pdf?path=6148523063484d364c793942556b356c6443397a6158526c63793959566b6c4a544556484c3039464c7a49774d6a59794d4449314d5441774f5339515153396b597a49354e5459315953316d4e6a55304c54517a4f54557459574e694e79316b4e444e6b597a55334d6a597a4d7a41756347526d&amp;Fich=dc29565a-f654-4395-acb7-d43dc5726330.pdf&amp;Inline=true</t>
        </is>
      </c>
      <c r="AH985" s="3" t="n">
        <v>46321.77847222222</v>
      </c>
      <c r="AI985" s="3" t="n">
        <v>46321.78055555555</v>
      </c>
      <c r="AJ985" s="2" t="inlineStr"/>
    </row>
    <row r="986">
      <c r="A986" s="2" t="n">
        <v>985</v>
      </c>
      <c r="B986" s="2" t="inlineStr">
        <is>
          <t>924C-2</t>
        </is>
      </c>
      <c r="C986" s="3" t="n">
        <v>45967.68055555555</v>
      </c>
      <c r="D986" s="2" t="inlineStr">
        <is>
          <t>Retirada</t>
        </is>
      </c>
      <c r="E986" s="2" t="inlineStr">
        <is>
          <t>IL</t>
        </is>
      </c>
      <c r="F986" s="2" t="inlineStr">
        <is>
          <t>Angélique Da Teresa; Carlos Guimarães Pinto; Joana Cordeiro; Jorge Miguel Teixeira; Mariana Leitão; Mário Amorim Lopes; Miguel Rangel; Rodrigo Saraiva; Rui Rocha</t>
        </is>
      </c>
      <c r="G986" s="2" t="inlineStr">
        <is>
          <t>Art. 138.º (aditamento)</t>
        </is>
      </c>
      <c r="H986" s="2" t="n"/>
      <c r="I986" s="2" t="n"/>
      <c r="J986" s="2" t="n"/>
      <c r="K986" s="2" t="n"/>
      <c r="L986" s="2" t="inlineStr">
        <is>
          <t>Alínea c), Artigo 138.º</t>
        </is>
      </c>
      <c r="M986" s="4" t="n"/>
      <c r="N986" s="4" t="n"/>
      <c r="O986" s="2" t="n"/>
      <c r="P986" s="2" t="n"/>
      <c r="Q986" s="2" t="n"/>
      <c r="R986" s="2" t="n"/>
      <c r="S986" s="2" t="inlineStr">
        <is>
          <t>Retirado(a)</t>
        </is>
      </c>
      <c r="T986" s="2" t="inlineStr">
        <is>
          <t>Retirada</t>
        </is>
      </c>
      <c r="U986" s="2" t="inlineStr"/>
      <c r="V986" s="3" t="n"/>
      <c r="W986" s="2" t="inlineStr">
        <is>
          <t>AR: https://www.parlamento.pt/OrcamentoEstado/Paginas/DetalhePropostaAlteracao.aspx?BID=25124 PDF: https://app.parlamento.pt/webutils/docs/doc.pdf?path=6148523063484d364c793942556b356c6443397a6158526c63793959566b6c4a544556484c3039464c7a49774d6a59794d4449314d5441774f5339515153396d5a445a6c59324d355a433034595463784c5451345a475574595759315a69316b595751354d3251354e324d774e544d756347526d&amp;Fich=fd6ecc9d-8a71-48de-af5f-dad93d97c053.pdf&amp;Inline=true</t>
        </is>
      </c>
      <c r="X986" s="2" t="inlineStr">
        <is>
          <t>Agricultura e Pescas; Comissão de Economia e Coesão Territorial; Orçamento, Finanças e Administração Pública</t>
        </is>
      </c>
      <c r="Y986" s="2" t="inlineStr">
        <is>
          <t>Articulado</t>
        </is>
      </c>
      <c r="Z986" s="2" t="inlineStr">
        <is>
          <t>Aditamento (Números e Alíneas)</t>
        </is>
      </c>
      <c r="AA986" s="2" t="inlineStr">
        <is>
          <t>Retirado(a)</t>
        </is>
      </c>
      <c r="AB986" s="2" t="inlineStr"/>
      <c r="AC986" s="2" t="inlineStr">
        <is>
          <t>2</t>
        </is>
      </c>
      <c r="AD986" s="2" t="inlineStr">
        <is>
          <t>0</t>
        </is>
      </c>
      <c r="AE986" s="2" t="inlineStr">
        <is>
          <t>25124</t>
        </is>
      </c>
      <c r="AF986" s="2" t="inlineStr">
        <is>
          <t>https://www.parlamento.pt/OrcamentoEstado/Paginas/DetalhePropostaAlteracao.aspx?BID=25124</t>
        </is>
      </c>
      <c r="AG986" s="2" t="inlineStr">
        <is>
          <t>https://app.parlamento.pt/webutils/docs/doc.pdf?path=6148523063484d364c793942556b356c6443397a6158526c63793959566b6c4a544556484c3039464c7a49774d6a59794d4449314d5441774f5339515153396d5a445a6c59324d355a433034595463784c5451345a475574595759315a69316b595751354d3251354e324d774e544d756347526d&amp;Fich=fd6ecc9d-8a71-48de-af5f-dad93d97c053.pdf&amp;Inline=true</t>
        </is>
      </c>
      <c r="AH986" s="3" t="n">
        <v>46321.77847222222</v>
      </c>
      <c r="AI986" s="3" t="n">
        <v>46321.78055555555</v>
      </c>
      <c r="AJ986" s="2" t="inlineStr"/>
    </row>
    <row r="987">
      <c r="A987" s="2" t="n">
        <v>986</v>
      </c>
      <c r="B987" s="2" t="inlineStr">
        <is>
          <t>925C</t>
        </is>
      </c>
      <c r="C987" s="3" t="n">
        <v>45967.68402777778</v>
      </c>
      <c r="D987" s="2" t="inlineStr">
        <is>
          <t>Original</t>
        </is>
      </c>
      <c r="E987" s="2" t="inlineStr">
        <is>
          <t>BE</t>
        </is>
      </c>
      <c r="F987" s="2" t="inlineStr">
        <is>
          <t>Mariana Mortágua</t>
        </is>
      </c>
      <c r="G987" s="2" t="inlineStr">
        <is>
          <t>Art. 113.º-A (aditamento)</t>
        </is>
      </c>
      <c r="H987" s="2" t="n"/>
      <c r="I987" s="2" t="n"/>
      <c r="J987" s="2" t="n"/>
      <c r="K987" s="2" t="n"/>
      <c r="L987" s="2" t="inlineStr">
        <is>
          <t>Artigo 113.º-A (Restabelecimento da ligação fluvial entre Caminha e A Guarda (Galiza))</t>
        </is>
      </c>
      <c r="M987" s="4" t="n"/>
      <c r="N987" s="4" t="n"/>
      <c r="O987" s="2" t="n"/>
      <c r="P987" s="2" t="n"/>
      <c r="Q987" s="2" t="n"/>
      <c r="R987" s="2" t="n"/>
      <c r="S987" s="2" t="inlineStr">
        <is>
          <t>Rejeitado(a) em Comissão</t>
        </is>
      </c>
      <c r="T987" s="2" t="inlineStr">
        <is>
          <t>Rejeitada</t>
        </is>
      </c>
      <c r="U987" s="2" t="inlineStr">
        <is>
          <t>Favor: CH, PCP, BE, PAN; Contra: PSD, IL, CDS-PP; Abstenção: PS, L</t>
        </is>
      </c>
      <c r="V987" s="3" t="n">
        <v>45985</v>
      </c>
      <c r="W987" s="2" t="inlineStr">
        <is>
          <t>AR: https://www.parlamento.pt/OrcamentoEstado/Paginas/DetalhePropostaAlteracao.aspx?BID=24161 PDF: https://app.parlamento.pt/webutils/docs/doc.pdf?path=6148523063484d364c793942556b356c6443397a6158526c63793959566b6c4a544556484c3039464c7a49774d6a59794d4449314d5441774f533951515338794f5751334e545a69596930314d5449784c5452695a574d74596d4d345a53316c5a5467315a6a6469596d4d784d6d49756347526d&amp;Fich=29d756bb-5121-4bec-bc8e-ee85f7bbc12b.pdf&amp;Inline=true</t>
        </is>
      </c>
      <c r="X987" s="2" t="inlineStr">
        <is>
          <t>Comissão de Economia e Coesão Territorial</t>
        </is>
      </c>
      <c r="Y987" s="2" t="inlineStr">
        <is>
          <t>Articulado</t>
        </is>
      </c>
      <c r="Z987" s="2" t="inlineStr">
        <is>
          <t>Aditamento (Artigo PPL)</t>
        </is>
      </c>
      <c r="AA987" s="2" t="inlineStr">
        <is>
          <t>Rejeitado(a) em Comissão</t>
        </is>
      </c>
      <c r="AB987" s="2" t="inlineStr"/>
      <c r="AC987" s="2" t="inlineStr"/>
      <c r="AD987" s="2" t="inlineStr">
        <is>
          <t>1</t>
        </is>
      </c>
      <c r="AE987" s="2" t="inlineStr">
        <is>
          <t>24161</t>
        </is>
      </c>
      <c r="AF987" s="2" t="inlineStr">
        <is>
          <t>https://www.parlamento.pt/OrcamentoEstado/Paginas/DetalhePropostaAlteracao.aspx?BID=24161</t>
        </is>
      </c>
      <c r="AG987" s="2" t="inlineStr">
        <is>
          <t>https://app.parlamento.pt/webutils/docs/doc.pdf?path=6148523063484d364c793942556b356c6443397a6158526c63793959566b6c4a544556484c3039464c7a49774d6a59794d4449314d5441774f533951515338794f5751334e545a69596930314d5449784c5452695a574d74596d4d345a53316c5a5467315a6a6469596d4d784d6d49756347526d&amp;Fich=29d756bb-5121-4bec-bc8e-ee85f7bbc12b.pdf&amp;Inline=true</t>
        </is>
      </c>
      <c r="AH987" s="3" t="n">
        <v>46321.77847222222</v>
      </c>
      <c r="AI987" s="3" t="n">
        <v>46321.78055555555</v>
      </c>
      <c r="AJ987" s="2" t="inlineStr"/>
    </row>
    <row r="988">
      <c r="A988" s="2" t="n">
        <v>987</v>
      </c>
      <c r="B988" s="2" t="inlineStr">
        <is>
          <t>926C</t>
        </is>
      </c>
      <c r="C988" s="3" t="n">
        <v>45967.68680555555</v>
      </c>
      <c r="D988" s="2" t="inlineStr">
        <is>
          <t>Original</t>
        </is>
      </c>
      <c r="E988" s="2" t="inlineStr">
        <is>
          <t>IL</t>
        </is>
      </c>
      <c r="F988" s="2" t="inlineStr">
        <is>
          <t>Angélique Da Teresa; Carlos Guimarães Pinto; Joana Cordeiro; Jorge Miguel Teixeira; Mariana Leitão; Mário Amorim Lopes; Miguel Rangel; Rodrigo Saraiva; Rui Rocha</t>
        </is>
      </c>
      <c r="G988" s="2" t="inlineStr">
        <is>
          <t>Art. 63.º-A (aditamento)</t>
        </is>
      </c>
      <c r="H988" s="2" t="n"/>
      <c r="I988" s="2" t="n"/>
      <c r="J988" s="2" t="n"/>
      <c r="K988" s="2" t="n"/>
      <c r="L988" s="2" t="inlineStr">
        <is>
          <t>Artigo 63.º-A (Aditamento à Lista I anexa ao Código do Imposto sobre o Valor Acrescentado)</t>
        </is>
      </c>
      <c r="M988" s="4" t="n"/>
      <c r="N988" s="4" t="n"/>
      <c r="O988" s="2" t="n"/>
      <c r="P988" s="2" t="n"/>
      <c r="Q988" s="2" t="n"/>
      <c r="R988" s="2" t="n"/>
      <c r="S988" s="2" t="inlineStr">
        <is>
          <t>Rejeitado(a) em Comissão</t>
        </is>
      </c>
      <c r="T988" s="2" t="inlineStr">
        <is>
          <t>Rejeitada</t>
        </is>
      </c>
      <c r="U988" s="2" t="inlineStr">
        <is>
          <t>Favor: CH, IL, BE, PAN; Contra: PSD, CDS-PP; Abstenção: PS, L, PCP</t>
        </is>
      </c>
      <c r="V988" s="3" t="n">
        <v>45982</v>
      </c>
      <c r="W988" s="2" t="inlineStr">
        <is>
          <t>AR: https://www.parlamento.pt/OrcamentoEstado/Paginas/DetalhePropostaAlteracao.aspx?BID=24162 PDF: https://app.parlamento.pt/webutils/docs/doc.pdf?path=6148523063484d364c793942556b356c6443397a6158526c63793959566b6c4a544556484c3039464c7a49774d6a59794d4449314d5441774f5339515153396d4e6d4a6a597a4a6d4e6930345932466c4c5451335a574d744f44526c595331695a444a6a59324d344e324d795a4445756347526d&amp;Fich=f6bcc2f6-8cae-47ec-84ea-bd2ccc87c2d1.pdf&amp;Inline=true</t>
        </is>
      </c>
      <c r="X988" s="2" t="inlineStr">
        <is>
          <t>Cultura, Comunicação, Juventude e Desporto; Orçamento, Finanças e Administração Pública</t>
        </is>
      </c>
      <c r="Y988" s="2" t="inlineStr">
        <is>
          <t>Articulado</t>
        </is>
      </c>
      <c r="Z988" s="2" t="inlineStr">
        <is>
          <t>Aditamento (Artigo PPL)</t>
        </is>
      </c>
      <c r="AA988" s="2" t="inlineStr">
        <is>
          <t>Rejeitado(a) em Comissão</t>
        </is>
      </c>
      <c r="AB988" s="2" t="inlineStr"/>
      <c r="AC988" s="2" t="inlineStr"/>
      <c r="AD988" s="2" t="inlineStr">
        <is>
          <t>1</t>
        </is>
      </c>
      <c r="AE988" s="2" t="inlineStr">
        <is>
          <t>24162</t>
        </is>
      </c>
      <c r="AF988" s="2" t="inlineStr">
        <is>
          <t>https://www.parlamento.pt/OrcamentoEstado/Paginas/DetalhePropostaAlteracao.aspx?BID=24162</t>
        </is>
      </c>
      <c r="AG988" s="2" t="inlineStr">
        <is>
          <t>https://app.parlamento.pt/webutils/docs/doc.pdf?path=6148523063484d364c793942556b356c6443397a6158526c63793959566b6c4a544556484c3039464c7a49774d6a59794d4449314d5441774f5339515153396d4e6d4a6a597a4a6d4e6930345932466c4c5451335a574d744f44526c595331695a444a6a59324d344e324d795a4445756347526d&amp;Fich=f6bcc2f6-8cae-47ec-84ea-bd2ccc87c2d1.pdf&amp;Inline=true</t>
        </is>
      </c>
      <c r="AH988" s="3" t="n">
        <v>46321.77847222222</v>
      </c>
      <c r="AI988" s="3" t="n">
        <v>46321.78055555555</v>
      </c>
      <c r="AJ988" s="2" t="inlineStr"/>
    </row>
    <row r="989">
      <c r="A989" s="2" t="n">
        <v>988</v>
      </c>
      <c r="B989" s="2" t="inlineStr">
        <is>
          <t>927C</t>
        </is>
      </c>
      <c r="C989" s="3" t="n">
        <v>45967.6875</v>
      </c>
      <c r="D989" s="2" t="inlineStr">
        <is>
          <t>Original</t>
        </is>
      </c>
      <c r="E989" s="2" t="inlineStr">
        <is>
          <t>BE</t>
        </is>
      </c>
      <c r="F989" s="2" t="inlineStr">
        <is>
          <t>Mariana Mortágua</t>
        </is>
      </c>
      <c r="G989" s="2" t="inlineStr">
        <is>
          <t>Art. 108.º-A (aditamento)</t>
        </is>
      </c>
      <c r="H989" s="2" t="n"/>
      <c r="I989" s="2" t="n"/>
      <c r="J989" s="2" t="n"/>
      <c r="K989" s="2" t="n"/>
      <c r="L989" s="2" t="inlineStr">
        <is>
          <t>Artigo 108.º-A (Campanha nacional de esterilização de animais)</t>
        </is>
      </c>
      <c r="M989" s="4" t="n"/>
      <c r="N989" s="4" t="n"/>
      <c r="O989" s="2" t="n"/>
      <c r="P989" s="2" t="n"/>
      <c r="Q989" s="2" t="n"/>
      <c r="R989" s="2" t="n"/>
      <c r="S989" s="2" t="inlineStr">
        <is>
          <t>Rejeitado(a) em Comissão</t>
        </is>
      </c>
      <c r="T989" s="2" t="inlineStr">
        <is>
          <t>Rejeitada</t>
        </is>
      </c>
      <c r="U989" s="2" t="inlineStr">
        <is>
          <t>Favor: CH, L, PCP, BE, PAN; Contra: PSD, IL, CDS-PP; Abstenção: PS</t>
        </is>
      </c>
      <c r="V989" s="3" t="n">
        <v>45982</v>
      </c>
      <c r="W989" s="2" t="inlineStr">
        <is>
          <t>AR: https://www.parlamento.pt/OrcamentoEstado/Paginas/DetalhePropostaAlteracao.aspx?BID=24163 PDF: https://app.parlamento.pt/webutils/docs/doc.pdf?path=6148523063484d364c793942556b356c6443397a6158526c63793959566b6c4a544556484c3039464c7a49774d6a59794d4449314d5441774f533951515338774e5463784f4445775a69307a595467774c54526c597a41744f5755335a533033596a45334d4759794d7a51324d446b756347526d&amp;Fich=0571810f-3a80-4ec0-9e7e-7b170f234609.pdf&amp;Inline=true</t>
        </is>
      </c>
      <c r="X989" s="2" t="inlineStr">
        <is>
          <t>Agricultura e Pescas</t>
        </is>
      </c>
      <c r="Y989" s="2" t="inlineStr">
        <is>
          <t>Articulado</t>
        </is>
      </c>
      <c r="Z989" s="2" t="inlineStr">
        <is>
          <t>Aditamento (Artigo PPL)</t>
        </is>
      </c>
      <c r="AA989" s="2" t="inlineStr">
        <is>
          <t>Rejeitado(a) em Comissão</t>
        </is>
      </c>
      <c r="AB989" s="2" t="inlineStr"/>
      <c r="AC989" s="2" t="inlineStr"/>
      <c r="AD989" s="2" t="inlineStr">
        <is>
          <t>1</t>
        </is>
      </c>
      <c r="AE989" s="2" t="inlineStr">
        <is>
          <t>24163</t>
        </is>
      </c>
      <c r="AF989" s="2" t="inlineStr">
        <is>
          <t>https://www.parlamento.pt/OrcamentoEstado/Paginas/DetalhePropostaAlteracao.aspx?BID=24163</t>
        </is>
      </c>
      <c r="AG989" s="2" t="inlineStr">
        <is>
          <t>https://app.parlamento.pt/webutils/docs/doc.pdf?path=6148523063484d364c793942556b356c6443397a6158526c63793959566b6c4a544556484c3039464c7a49774d6a59794d4449314d5441774f533951515338774e5463784f4445775a69307a595467774c54526c597a41744f5755335a533033596a45334d4759794d7a51324d446b756347526d&amp;Fich=0571810f-3a80-4ec0-9e7e-7b170f234609.pdf&amp;Inline=true</t>
        </is>
      </c>
      <c r="AH989" s="3" t="n">
        <v>46321.77847222222</v>
      </c>
      <c r="AI989" s="3" t="n">
        <v>46321.78055555555</v>
      </c>
      <c r="AJ989" s="2" t="inlineStr"/>
    </row>
    <row r="990">
      <c r="A990" s="2" t="n">
        <v>989</v>
      </c>
      <c r="B990" s="2" t="inlineStr">
        <is>
          <t>928C</t>
        </is>
      </c>
      <c r="C990" s="3" t="n">
        <v>45967.68888888889</v>
      </c>
      <c r="D990" s="2" t="inlineStr">
        <is>
          <t>Original</t>
        </is>
      </c>
      <c r="E990" s="2" t="inlineStr">
        <is>
          <t>BE</t>
        </is>
      </c>
      <c r="F990" s="2" t="inlineStr">
        <is>
          <t>Mariana Mortágua</t>
        </is>
      </c>
      <c r="G990" s="2" t="inlineStr">
        <is>
          <t>Art. 113.º-A (aditamento)</t>
        </is>
      </c>
      <c r="H990" s="2" t="n"/>
      <c r="I990" s="2" t="n"/>
      <c r="J990" s="2" t="n"/>
      <c r="K990" s="2" t="n"/>
      <c r="L990" s="2" t="inlineStr">
        <is>
          <t>Artigo 113.º-A (Reabertura Linha do Corgo)</t>
        </is>
      </c>
      <c r="M990" s="4" t="n"/>
      <c r="N990" s="4" t="n"/>
      <c r="O990" s="2" t="n"/>
      <c r="P990" s="2" t="n"/>
      <c r="Q990" s="2" t="n"/>
      <c r="R990" s="2" t="n"/>
      <c r="S990" s="2" t="inlineStr">
        <is>
          <t>Rejeitado(a) em Comissão</t>
        </is>
      </c>
      <c r="T990" s="2" t="inlineStr">
        <is>
          <t>Rejeitada</t>
        </is>
      </c>
      <c r="U990" s="2" t="inlineStr">
        <is>
          <t>Favor: CH, L, PCP, BE, PAN; Contra: PSD, CDS-PP; Abstenção: PS, IL</t>
        </is>
      </c>
      <c r="V990" s="3" t="n">
        <v>45985</v>
      </c>
      <c r="W990" s="2" t="inlineStr">
        <is>
          <t>AR: https://www.parlamento.pt/OrcamentoEstado/Paginas/DetalhePropostaAlteracao.aspx?BID=24164 PDF: https://app.parlamento.pt/webutils/docs/doc.pdf?path=6148523063484d364c793942556b356c6443397a6158526c63793959566b6c4a544556484c3039464c7a49774d6a59794d4449314d5441774f533951515338355a5467784d44426d4e5330334e5455304c54526c4d474d744f5463354f4330324f54526d4f47566a5a474d324d4445756347526d&amp;Fich=9e8100f5-7554-4e0c-9798-694f8ecdc601.pdf&amp;Inline=true</t>
        </is>
      </c>
      <c r="X990" s="2" t="inlineStr">
        <is>
          <t>Infraestruturas, Mobilidade e Habitação</t>
        </is>
      </c>
      <c r="Y990" s="2" t="inlineStr">
        <is>
          <t>Articulado</t>
        </is>
      </c>
      <c r="Z990" s="2" t="inlineStr">
        <is>
          <t>Aditamento (Artigo PPL)</t>
        </is>
      </c>
      <c r="AA990" s="2" t="inlineStr">
        <is>
          <t>Rejeitado(a) em Comissão</t>
        </is>
      </c>
      <c r="AB990" s="2" t="inlineStr"/>
      <c r="AC990" s="2" t="inlineStr"/>
      <c r="AD990" s="2" t="inlineStr">
        <is>
          <t>1</t>
        </is>
      </c>
      <c r="AE990" s="2" t="inlineStr">
        <is>
          <t>24164</t>
        </is>
      </c>
      <c r="AF990" s="2" t="inlineStr">
        <is>
          <t>https://www.parlamento.pt/OrcamentoEstado/Paginas/DetalhePropostaAlteracao.aspx?BID=24164</t>
        </is>
      </c>
      <c r="AG990" s="2" t="inlineStr">
        <is>
          <t>https://app.parlamento.pt/webutils/docs/doc.pdf?path=6148523063484d364c793942556b356c6443397a6158526c63793959566b6c4a544556484c3039464c7a49774d6a59794d4449314d5441774f533951515338355a5467784d44426d4e5330334e5455304c54526c4d474d744f5463354f4330324f54526d4f47566a5a474d324d4445756347526d&amp;Fich=9e8100f5-7554-4e0c-9798-694f8ecdc601.pdf&amp;Inline=true</t>
        </is>
      </c>
      <c r="AH990" s="3" t="n">
        <v>46321.77847222222</v>
      </c>
      <c r="AI990" s="3" t="n">
        <v>46321.78055555555</v>
      </c>
      <c r="AJ990" s="2" t="inlineStr"/>
    </row>
    <row r="991">
      <c r="A991" s="2" t="n">
        <v>990</v>
      </c>
      <c r="B991" s="2" t="inlineStr">
        <is>
          <t>929C</t>
        </is>
      </c>
      <c r="C991" s="3" t="n">
        <v>45967.69097222222</v>
      </c>
      <c r="D991" s="2" t="inlineStr">
        <is>
          <t>Original</t>
        </is>
      </c>
      <c r="E991" s="2" t="inlineStr">
        <is>
          <t>BE</t>
        </is>
      </c>
      <c r="F991" s="2" t="inlineStr">
        <is>
          <t>Mariana Mortágua</t>
        </is>
      </c>
      <c r="G991" s="2" t="inlineStr">
        <is>
          <t>Art. 113.º-A (aditamento)</t>
        </is>
      </c>
      <c r="H991" s="2" t="n"/>
      <c r="I991" s="2" t="n"/>
      <c r="J991" s="2" t="n"/>
      <c r="K991" s="2" t="n"/>
      <c r="L991" s="2" t="inlineStr">
        <is>
          <t>Artigo 113.º-A (Reabertura do serviço de urgência do Hospital de Mirandela)</t>
        </is>
      </c>
      <c r="M991" s="4" t="n"/>
      <c r="N991" s="4" t="n"/>
      <c r="O991" s="2" t="n"/>
      <c r="P991" s="2" t="n"/>
      <c r="Q991" s="2" t="n"/>
      <c r="R991" s="2" t="n"/>
      <c r="S991" s="2" t="inlineStr">
        <is>
          <t>Rejeitado(a) em Comissão</t>
        </is>
      </c>
      <c r="T991" s="2" t="inlineStr">
        <is>
          <t>Rejeitada</t>
        </is>
      </c>
      <c r="U991" s="2" t="inlineStr">
        <is>
          <t>Favor: CH, IL, L, PCP, BE, PAN; Contra: PSD, CDS-PP; Abstenção: PS</t>
        </is>
      </c>
      <c r="V991" s="3" t="n">
        <v>45985</v>
      </c>
      <c r="W991" s="2" t="inlineStr">
        <is>
          <t>AR: https://www.parlamento.pt/OrcamentoEstado/Paginas/DetalhePropostaAlteracao.aspx?BID=24165 PDF: https://app.parlamento.pt/webutils/docs/doc.pdf?path=6148523063484d364c793942556b356c6443397a6158526c63793959566b6c4a544556484c3039464c7a49774d6a59794d4449314d5441774f533951515339694d6a4a6a4d5449334d6930794f4449324c5451344d32457459544a684d4330784e4445314e6a55795a475532597a67756347526d&amp;Fich=b22c1272-2826-483a-a2a0-1415652de6c8.pdf&amp;Inline=true</t>
        </is>
      </c>
      <c r="X991" s="2" t="inlineStr">
        <is>
          <t>Saúde</t>
        </is>
      </c>
      <c r="Y991" s="2" t="inlineStr">
        <is>
          <t>Articulado</t>
        </is>
      </c>
      <c r="Z991" s="2" t="inlineStr">
        <is>
          <t>Aditamento (Artigo PPL)</t>
        </is>
      </c>
      <c r="AA991" s="2" t="inlineStr">
        <is>
          <t>Rejeitado(a) em Comissão</t>
        </is>
      </c>
      <c r="AB991" s="2" t="inlineStr"/>
      <c r="AC991" s="2" t="inlineStr"/>
      <c r="AD991" s="2" t="inlineStr">
        <is>
          <t>1</t>
        </is>
      </c>
      <c r="AE991" s="2" t="inlineStr">
        <is>
          <t>24165</t>
        </is>
      </c>
      <c r="AF991" s="2" t="inlineStr">
        <is>
          <t>https://www.parlamento.pt/OrcamentoEstado/Paginas/DetalhePropostaAlteracao.aspx?BID=24165</t>
        </is>
      </c>
      <c r="AG991" s="2" t="inlineStr">
        <is>
          <t>https://app.parlamento.pt/webutils/docs/doc.pdf?path=6148523063484d364c793942556b356c6443397a6158526c63793959566b6c4a544556484c3039464c7a49774d6a59794d4449314d5441774f533951515339694d6a4a6a4d5449334d6930794f4449324c5451344d32457459544a684d4330784e4445314e6a55795a475532597a67756347526d&amp;Fich=b22c1272-2826-483a-a2a0-1415652de6c8.pdf&amp;Inline=true</t>
        </is>
      </c>
      <c r="AH991" s="3" t="n">
        <v>46321.77847222222</v>
      </c>
      <c r="AI991" s="3" t="n">
        <v>46321.78055555555</v>
      </c>
      <c r="AJ991" s="2" t="inlineStr"/>
    </row>
    <row r="992">
      <c r="A992" s="2" t="n">
        <v>991</v>
      </c>
      <c r="B992" s="2" t="inlineStr">
        <is>
          <t>930C</t>
        </is>
      </c>
      <c r="C992" s="3" t="n">
        <v>45967.69166666667</v>
      </c>
      <c r="D992" s="2" t="inlineStr">
        <is>
          <t>Original</t>
        </is>
      </c>
      <c r="E992" s="2" t="inlineStr">
        <is>
          <t>BE</t>
        </is>
      </c>
      <c r="F992" s="2" t="inlineStr">
        <is>
          <t>Mariana Mortágua</t>
        </is>
      </c>
      <c r="G992" s="2" t="inlineStr">
        <is>
          <t>Art. 20.º-A (aditamento)</t>
        </is>
      </c>
      <c r="H992" s="2" t="n"/>
      <c r="I992" s="2" t="n"/>
      <c r="J992" s="2" t="n"/>
      <c r="K992" s="2" t="n"/>
      <c r="L992" s="2" t="inlineStr">
        <is>
          <t>Artigo 20.º-A (Internalização do serviço imagiologia da Unidade Local de Saúde do Alto Minho (ULSAM))</t>
        </is>
      </c>
      <c r="M992" s="4" t="n"/>
      <c r="N992" s="4" t="n"/>
      <c r="O992" s="2" t="n"/>
      <c r="P992" s="2" t="n"/>
      <c r="Q992" s="2" t="n"/>
      <c r="R992" s="2" t="n"/>
      <c r="S992" s="2" t="inlineStr">
        <is>
          <t>Rejeitado(a) em Comissão</t>
        </is>
      </c>
      <c r="T992" s="2" t="inlineStr">
        <is>
          <t>Rejeitada</t>
        </is>
      </c>
      <c r="U992" s="2" t="inlineStr">
        <is>
          <t>Favor: L, PCP, PAN, JPP; Contra: PSD, CDS-PP; Abstenção: CH, PS, IL</t>
        </is>
      </c>
      <c r="V992" s="3" t="n">
        <v>45981</v>
      </c>
      <c r="W992" s="2" t="inlineStr">
        <is>
          <t>AR: https://www.parlamento.pt/OrcamentoEstado/Paginas/DetalhePropostaAlteracao.aspx?BID=24166 PDF: https://app.parlamento.pt/webutils/docs/doc.pdf?path=6148523063484d364c793942556b356c6443397a6158526c63793959566b6c4a544556484c3039464c7a49774d6a59794d4449314d5441774f5339515153396b4d47466d4e324a6d4e69316a4e7a4a6c4c5451304d6a6b74595467784f533032596a597a4e6a51794d5463304d6a67756347526d&amp;Fich=d0af7bf6-c72e-4429-a819-6b6364217428.pdf&amp;Inline=true</t>
        </is>
      </c>
      <c r="X992" s="2" t="inlineStr">
        <is>
          <t>Saúde</t>
        </is>
      </c>
      <c r="Y992" s="2" t="inlineStr">
        <is>
          <t>Articulado</t>
        </is>
      </c>
      <c r="Z992" s="2" t="inlineStr">
        <is>
          <t>Aditamento (Artigo PPL)</t>
        </is>
      </c>
      <c r="AA992" s="2" t="inlineStr">
        <is>
          <t>Rejeitado(a) em Comissão</t>
        </is>
      </c>
      <c r="AB992" s="2" t="inlineStr"/>
      <c r="AC992" s="2" t="inlineStr"/>
      <c r="AD992" s="2" t="inlineStr">
        <is>
          <t>1</t>
        </is>
      </c>
      <c r="AE992" s="2" t="inlineStr">
        <is>
          <t>24166</t>
        </is>
      </c>
      <c r="AF992" s="2" t="inlineStr">
        <is>
          <t>https://www.parlamento.pt/OrcamentoEstado/Paginas/DetalhePropostaAlteracao.aspx?BID=24166</t>
        </is>
      </c>
      <c r="AG992" s="2" t="inlineStr">
        <is>
          <t>https://app.parlamento.pt/webutils/docs/doc.pdf?path=6148523063484d364c793942556b356c6443397a6158526c63793959566b6c4a544556484c3039464c7a49774d6a59794d4449314d5441774f5339515153396b4d47466d4e324a6d4e69316a4e7a4a6c4c5451304d6a6b74595467784f533032596a597a4e6a51794d5463304d6a67756347526d&amp;Fich=d0af7bf6-c72e-4429-a819-6b6364217428.pdf&amp;Inline=true</t>
        </is>
      </c>
      <c r="AH992" s="3" t="n">
        <v>46321.77847222222</v>
      </c>
      <c r="AI992" s="3" t="n">
        <v>46321.78055555555</v>
      </c>
      <c r="AJ992" s="2" t="inlineStr"/>
    </row>
    <row r="993">
      <c r="A993" s="2" t="n">
        <v>992</v>
      </c>
      <c r="B993" s="2" t="inlineStr">
        <is>
          <t>931C</t>
        </is>
      </c>
      <c r="C993" s="3" t="n">
        <v>45967.69375</v>
      </c>
      <c r="D993" s="2" t="inlineStr">
        <is>
          <t>Original</t>
        </is>
      </c>
      <c r="E993" s="2" t="inlineStr">
        <is>
          <t>BE</t>
        </is>
      </c>
      <c r="F993" s="2" t="inlineStr">
        <is>
          <t>Mariana Mortágua</t>
        </is>
      </c>
      <c r="G993" s="2" t="inlineStr">
        <is>
          <t>Art. 112.º-A (aditamento)</t>
        </is>
      </c>
      <c r="H993" s="2" t="n"/>
      <c r="I993" s="2" t="n"/>
      <c r="J993" s="2" t="n"/>
      <c r="K993" s="2" t="n"/>
      <c r="L993" s="2" t="inlineStr">
        <is>
          <t>Artigo 112.º-A (Estratégia Nacional para os Direitos na Menopausa)</t>
        </is>
      </c>
      <c r="M993" s="4" t="n"/>
      <c r="N993" s="4" t="n"/>
      <c r="O993" s="2" t="n"/>
      <c r="P993" s="2" t="n"/>
      <c r="Q993" s="2" t="n"/>
      <c r="R993" s="2" t="n"/>
      <c r="S993" s="2" t="inlineStr">
        <is>
          <t>Aprovado(a) Parcialmente em Comissão</t>
        </is>
      </c>
      <c r="T993" s="2" t="inlineStr">
        <is>
          <t>Aprovada parcialmente</t>
        </is>
      </c>
      <c r="U993" s="2" t="inlineStr">
        <is>
          <t>Favor: CH, PS, L, PCP, BE, PAN; Contra: PSD, CDS-PP; Abstenção: IL</t>
        </is>
      </c>
      <c r="V993" s="3" t="n">
        <v>45982</v>
      </c>
      <c r="W993" s="2" t="inlineStr">
        <is>
          <t>AR: https://www.parlamento.pt/OrcamentoEstado/Paginas/DetalhePropostaAlteracao.aspx?BID=24167 PDF: https://app.parlamento.pt/webutils/docs/doc.pdf?path=6148523063484d364c793942556b356c6443397a6158526c63793959566b6c4a544556484c3039464c7a49774d6a59794d4449314d5441774f533951515338344d6d466d4d7a6779596930305a6a426c4c54526c5a6a6374596a51315a69316d596a49775a444d314d7a41354e4455756347526d&amp;Fich=82af382b-4f0e-4ef7-b45f-fb20d3530945.pdf&amp;Inline=true</t>
        </is>
      </c>
      <c r="X993" s="2" t="inlineStr">
        <is>
          <t>Saúde</t>
        </is>
      </c>
      <c r="Y993" s="2" t="inlineStr">
        <is>
          <t>Articulado</t>
        </is>
      </c>
      <c r="Z993" s="2" t="inlineStr">
        <is>
          <t>Aditamento (Artigo PPL)</t>
        </is>
      </c>
      <c r="AA993" s="2" t="inlineStr">
        <is>
          <t>Aprovado(a) Parcialmente em Comissão</t>
        </is>
      </c>
      <c r="AB993" s="2" t="inlineStr"/>
      <c r="AC993" s="2" t="inlineStr"/>
      <c r="AD993" s="2" t="inlineStr">
        <is>
          <t>1</t>
        </is>
      </c>
      <c r="AE993" s="2" t="inlineStr">
        <is>
          <t>24167</t>
        </is>
      </c>
      <c r="AF993" s="2" t="inlineStr">
        <is>
          <t>https://www.parlamento.pt/OrcamentoEstado/Paginas/DetalhePropostaAlteracao.aspx?BID=24167</t>
        </is>
      </c>
      <c r="AG993" s="2" t="inlineStr">
        <is>
          <t>https://app.parlamento.pt/webutils/docs/doc.pdf?path=6148523063484d364c793942556b356c6443397a6158526c63793959566b6c4a544556484c3039464c7a49774d6a59794d4449314d5441774f533951515338344d6d466d4d7a6779596930305a6a426c4c54526c5a6a6374596a51315a69316d596a49775a444d314d7a41354e4455756347526d&amp;Fich=82af382b-4f0e-4ef7-b45f-fb20d3530945.pdf&amp;Inline=true</t>
        </is>
      </c>
      <c r="AH993" s="3" t="n">
        <v>46321.77847222222</v>
      </c>
      <c r="AI993" s="3" t="n">
        <v>46321.78055555555</v>
      </c>
      <c r="AJ993" s="2" t="inlineStr"/>
    </row>
    <row r="994">
      <c r="A994" s="2" t="n">
        <v>993</v>
      </c>
      <c r="B994" s="2" t="inlineStr">
        <is>
          <t>932C-1</t>
        </is>
      </c>
      <c r="C994" s="3" t="n">
        <v>45967.69444444445</v>
      </c>
      <c r="D994" s="2" t="inlineStr">
        <is>
          <t>Retirada</t>
        </is>
      </c>
      <c r="E994" s="2" t="inlineStr">
        <is>
          <t>IL</t>
        </is>
      </c>
      <c r="F994" s="2" t="inlineStr">
        <is>
          <t>Angélique Da Teresa; Carlos Guimarães Pinto; Joana Cordeiro; Jorge Miguel Teixeira; Mariana Leitão; Mário Amorim Lopes; Miguel Rangel; Rodrigo Saraiva; Rui Rocha</t>
        </is>
      </c>
      <c r="G994" s="2" t="inlineStr">
        <is>
          <t>Art. 67.º (aditamento)</t>
        </is>
      </c>
      <c r="H994" s="2" t="n"/>
      <c r="I994" s="2" t="n"/>
      <c r="J994" s="2" t="n"/>
      <c r="K994" s="2" t="n"/>
      <c r="L994" s="2" t="inlineStr">
        <is>
          <t>Alínea d), N.º 1, Artigo 8.º do Código do ISV, constante da PPL</t>
        </is>
      </c>
      <c r="M994" s="4" t="n"/>
      <c r="N994" s="4" t="n"/>
      <c r="O994" s="2" t="n"/>
      <c r="P994" s="2" t="n"/>
      <c r="Q994" s="2" t="n"/>
      <c r="R994" s="2" t="n"/>
      <c r="S994" s="2" t="inlineStr">
        <is>
          <t>Retirado(a)</t>
        </is>
      </c>
      <c r="T994" s="2" t="inlineStr">
        <is>
          <t>Retirada</t>
        </is>
      </c>
      <c r="U994" s="2" t="inlineStr"/>
      <c r="V994" s="3" t="n"/>
      <c r="W994" s="2" t="inlineStr">
        <is>
          <t>AR: https://www.parlamento.pt/OrcamentoEstado/Paginas/DetalhePropostaAlteracao.aspx?BID=24168 PDF: https://app.parlamento.pt/webutils/docs/doc.pdf?path=6148523063484d364c793942556b356c6443397a6158526c63793959566b6c4a544556484c3039464c7a49774d6a59794d4449314d5441774f533951515338334d325a6b4f544934597930324e5755784c54526a4d7a4974596a41785a43316b5a4441334f4441334d44426d4d7a45756347526d&amp;Fich=73fd928c-65e1-4c32-b01d-dd0780700f31.pdf&amp;Inline=true</t>
        </is>
      </c>
      <c r="X994" s="2" t="inlineStr">
        <is>
          <t>Orçamento, Finanças e Administração Pública</t>
        </is>
      </c>
      <c r="Y994" s="2" t="inlineStr">
        <is>
          <t>Articulado</t>
        </is>
      </c>
      <c r="Z994" s="2" t="inlineStr">
        <is>
          <t>Aditamento (Números e Alíneas)</t>
        </is>
      </c>
      <c r="AA994" s="2" t="inlineStr">
        <is>
          <t>Retirado(a)</t>
        </is>
      </c>
      <c r="AB994" s="2" t="inlineStr"/>
      <c r="AC994" s="2" t="inlineStr">
        <is>
          <t>1</t>
        </is>
      </c>
      <c r="AD994" s="2" t="inlineStr">
        <is>
          <t>0</t>
        </is>
      </c>
      <c r="AE994" s="2" t="inlineStr">
        <is>
          <t>24168</t>
        </is>
      </c>
      <c r="AF994" s="2" t="inlineStr">
        <is>
          <t>https://www.parlamento.pt/OrcamentoEstado/Paginas/DetalhePropostaAlteracao.aspx?BID=24168</t>
        </is>
      </c>
      <c r="AG994" s="2" t="inlineStr">
        <is>
          <t>https://app.parlamento.pt/webutils/docs/doc.pdf?path=6148523063484d364c793942556b356c6443397a6158526c63793959566b6c4a544556484c3039464c7a49774d6a59794d4449314d5441774f533951515338334d325a6b4f544934597930324e5755784c54526a4d7a4974596a41785a43316b5a4441334f4441334d44426d4d7a45756347526d&amp;Fich=73fd928c-65e1-4c32-b01d-dd0780700f31.pdf&amp;Inline=true</t>
        </is>
      </c>
      <c r="AH994" s="3" t="n">
        <v>46321.77847222222</v>
      </c>
      <c r="AI994" s="3" t="n">
        <v>46321.78055555555</v>
      </c>
      <c r="AJ994" s="2" t="inlineStr"/>
    </row>
    <row r="995">
      <c r="A995" s="2" t="n">
        <v>994</v>
      </c>
      <c r="B995" s="2" t="inlineStr">
        <is>
          <t>932C-2</t>
        </is>
      </c>
      <c r="C995" s="3" t="n">
        <v>45967.69444444445</v>
      </c>
      <c r="D995" s="2" t="inlineStr">
        <is>
          <t>Original</t>
        </is>
      </c>
      <c r="E995" s="2" t="inlineStr">
        <is>
          <t>IL</t>
        </is>
      </c>
      <c r="F995" s="2" t="inlineStr">
        <is>
          <t>Angélique Da Teresa; Carlos Guimarães Pinto; Joana Cordeiro; Jorge Miguel Teixeira; Mariana Leitão; Mário Amorim Lopes; Miguel Rangel; Rodrigo Saraiva; Rui Rocha</t>
        </is>
      </c>
      <c r="G995" s="2" t="inlineStr">
        <is>
          <t>Art. 67.º (aditamento)</t>
        </is>
      </c>
      <c r="H995" s="2" t="n"/>
      <c r="I995" s="2" t="n"/>
      <c r="J995" s="2" t="n"/>
      <c r="K995" s="2" t="n"/>
      <c r="L995" s="2" t="inlineStr">
        <is>
          <t>N.º 4, Artigo 8.º do Código do ISV</t>
        </is>
      </c>
      <c r="M995" s="4" t="n"/>
      <c r="N995" s="4" t="n"/>
      <c r="O995" s="2" t="n"/>
      <c r="P995" s="2" t="n"/>
      <c r="Q995" s="2" t="n"/>
      <c r="R995" s="2" t="n"/>
      <c r="S995" s="2" t="inlineStr">
        <is>
          <t>Rejeitado(a) em Comissão</t>
        </is>
      </c>
      <c r="T995" s="2" t="inlineStr">
        <is>
          <t>Rejeitada</t>
        </is>
      </c>
      <c r="U995" s="2" t="inlineStr">
        <is>
          <t>Favor: IL, PAN; Contra: PSD, CDS-PP; Abstenção: CH, PS, L, PCP, BE</t>
        </is>
      </c>
      <c r="V995" s="3" t="n">
        <v>45982</v>
      </c>
      <c r="W995" s="2" t="inlineStr">
        <is>
          <t>AR: https://www.parlamento.pt/OrcamentoEstado/Paginas/DetalhePropostaAlteracao.aspx?BID=25351 PDF: https://app.parlamento.pt/webutils/docs/doc.pdf?path=6148523063484d364c793942556b356c6443397a6158526c63793959566b6c4a544556484c3039464c7a49774d6a59794d4449314d5441774f5339515153396b4e5445324d6a49335969316b4e5463344c5451324f44517459574d314d69316c4f54526b5954566a4e5755345a5449756347526d&amp;Fich=d516227b-d578-4684-ac52-e94da5c5e8e2.pdf&amp;Inline=true</t>
        </is>
      </c>
      <c r="X995" s="2" t="inlineStr">
        <is>
          <t>Orçamento, Finanças e Administração Pública</t>
        </is>
      </c>
      <c r="Y995" s="2" t="inlineStr">
        <is>
          <t>Articulado</t>
        </is>
      </c>
      <c r="Z995" s="2" t="inlineStr">
        <is>
          <t>Aditamento (Números e Alíneas)</t>
        </is>
      </c>
      <c r="AA995" s="2" t="inlineStr">
        <is>
          <t>Rejeitado(a) em Comissão</t>
        </is>
      </c>
      <c r="AB995" s="2" t="inlineStr"/>
      <c r="AC995" s="2" t="inlineStr">
        <is>
          <t>2</t>
        </is>
      </c>
      <c r="AD995" s="2" t="inlineStr">
        <is>
          <t>1</t>
        </is>
      </c>
      <c r="AE995" s="2" t="inlineStr">
        <is>
          <t>25351</t>
        </is>
      </c>
      <c r="AF995" s="2" t="inlineStr">
        <is>
          <t>https://www.parlamento.pt/OrcamentoEstado/Paginas/DetalhePropostaAlteracao.aspx?BID=25351</t>
        </is>
      </c>
      <c r="AG995" s="2" t="inlineStr">
        <is>
          <t>https://app.parlamento.pt/webutils/docs/doc.pdf?path=6148523063484d364c793942556b356c6443397a6158526c63793959566b6c4a544556484c3039464c7a49774d6a59794d4449314d5441774f5339515153396b4e5445324d6a49335969316b4e5463344c5451324f44517459574d314d69316c4f54526b5954566a4e5755345a5449756347526d&amp;Fich=d516227b-d578-4684-ac52-e94da5c5e8e2.pdf&amp;Inline=true</t>
        </is>
      </c>
      <c r="AH995" s="3" t="n">
        <v>46321.77847222222</v>
      </c>
      <c r="AI995" s="3" t="n">
        <v>46321.78055555555</v>
      </c>
      <c r="AJ995" s="2" t="inlineStr"/>
    </row>
    <row r="996">
      <c r="A996" s="2" t="n">
        <v>995</v>
      </c>
      <c r="B996" s="2" t="inlineStr">
        <is>
          <t>932C-3</t>
        </is>
      </c>
      <c r="C996" s="3" t="n">
        <v>45967.69444444445</v>
      </c>
      <c r="D996" s="2" t="inlineStr">
        <is>
          <t>Retirada</t>
        </is>
      </c>
      <c r="E996" s="2" t="inlineStr">
        <is>
          <t>IL</t>
        </is>
      </c>
      <c r="F996" s="2" t="inlineStr">
        <is>
          <t>Angélique Da Teresa; Carlos Guimarães Pinto; Joana Cordeiro; Jorge Miguel Teixeira; Mariana Leitão; Mário Amorim Lopes; Miguel Rangel; Rodrigo Saraiva; Rui Rocha</t>
        </is>
      </c>
      <c r="G996" s="2" t="inlineStr">
        <is>
          <t>Art. 138.º (aditamento)</t>
        </is>
      </c>
      <c r="H996" s="2" t="n"/>
      <c r="I996" s="2" t="n"/>
      <c r="J996" s="2" t="n"/>
      <c r="K996" s="2" t="n"/>
      <c r="L996" s="2" t="inlineStr">
        <is>
          <t>Alínea c), Artigo 138.º</t>
        </is>
      </c>
      <c r="M996" s="4" t="n"/>
      <c r="N996" s="4" t="n"/>
      <c r="O996" s="2" t="n"/>
      <c r="P996" s="2" t="n"/>
      <c r="Q996" s="2" t="n"/>
      <c r="R996" s="2" t="n"/>
      <c r="S996" s="2" t="inlineStr">
        <is>
          <t>Retirado(a)</t>
        </is>
      </c>
      <c r="T996" s="2" t="inlineStr">
        <is>
          <t>Retirada</t>
        </is>
      </c>
      <c r="U996" s="2" t="inlineStr"/>
      <c r="V996" s="3" t="n"/>
      <c r="W996" s="2" t="inlineStr">
        <is>
          <t>AR: https://www.parlamento.pt/OrcamentoEstado/Paginas/DetalhePropostaAlteracao.aspx?BID=25352 PDF: https://app.parlamento.pt/webutils/docs/doc.pdf?path=6148523063484d364c793942556b356c6443397a6158526c63793959566b6c4a544556484c3039464c7a49774d6a59794d4449314d5441774f533951515338785a44526c596d49315979307a4e7a6c6d4c5451344e7a51744f5745794f4330314e6d4a695a4463324e7a6b775a544d756347526d&amp;Fich=1d4ebb5c-379f-4874-9a28-56bbd76790e3.pdf&amp;Inline=true</t>
        </is>
      </c>
      <c r="X996" s="2" t="inlineStr">
        <is>
          <t>Orçamento, Finanças e Administração Pública</t>
        </is>
      </c>
      <c r="Y996" s="2" t="inlineStr">
        <is>
          <t>Articulado</t>
        </is>
      </c>
      <c r="Z996" s="2" t="inlineStr">
        <is>
          <t>Aditamento (Números e Alíneas)</t>
        </is>
      </c>
      <c r="AA996" s="2" t="inlineStr">
        <is>
          <t>Retirado(a)</t>
        </is>
      </c>
      <c r="AB996" s="2" t="inlineStr"/>
      <c r="AC996" s="2" t="inlineStr">
        <is>
          <t>3</t>
        </is>
      </c>
      <c r="AD996" s="2" t="inlineStr">
        <is>
          <t>0</t>
        </is>
      </c>
      <c r="AE996" s="2" t="inlineStr">
        <is>
          <t>25352</t>
        </is>
      </c>
      <c r="AF996" s="2" t="inlineStr">
        <is>
          <t>https://www.parlamento.pt/OrcamentoEstado/Paginas/DetalhePropostaAlteracao.aspx?BID=25352</t>
        </is>
      </c>
      <c r="AG996" s="2" t="inlineStr">
        <is>
          <t>https://app.parlamento.pt/webutils/docs/doc.pdf?path=6148523063484d364c793942556b356c6443397a6158526c63793959566b6c4a544556484c3039464c7a49774d6a59794d4449314d5441774f533951515338785a44526c596d49315979307a4e7a6c6d4c5451344e7a51744f5745794f4330314e6d4a695a4463324e7a6b775a544d756347526d&amp;Fich=1d4ebb5c-379f-4874-9a28-56bbd76790e3.pdf&amp;Inline=true</t>
        </is>
      </c>
      <c r="AH996" s="3" t="n">
        <v>46321.77847222222</v>
      </c>
      <c r="AI996" s="3" t="n">
        <v>46321.78055555555</v>
      </c>
      <c r="AJ996" s="2" t="inlineStr"/>
    </row>
    <row r="997">
      <c r="A997" s="2" t="n">
        <v>996</v>
      </c>
      <c r="B997" s="2" t="inlineStr">
        <is>
          <t>933C</t>
        </is>
      </c>
      <c r="C997" s="3" t="n">
        <v>45967.70069444444</v>
      </c>
      <c r="D997" s="2" t="inlineStr">
        <is>
          <t>Original</t>
        </is>
      </c>
      <c r="E997" s="2" t="inlineStr">
        <is>
          <t>BE</t>
        </is>
      </c>
      <c r="F997" s="2" t="inlineStr">
        <is>
          <t>Mariana Mortágua</t>
        </is>
      </c>
      <c r="G997" s="2" t="inlineStr">
        <is>
          <t>Art. 112.º-A (aditamento)</t>
        </is>
      </c>
      <c r="H997" s="2" t="n"/>
      <c r="I997" s="2" t="n"/>
      <c r="J997" s="2" t="n"/>
      <c r="K997" s="2" t="n"/>
      <c r="L997" s="2" t="inlineStr">
        <is>
          <t>Artigo 112.º-A (Campanha de publicidade institucional sobre os riscos de adição a jogos sociais)</t>
        </is>
      </c>
      <c r="M997" s="4" t="n"/>
      <c r="N997" s="4" t="n"/>
      <c r="O997" s="2" t="n"/>
      <c r="P997" s="2" t="n"/>
      <c r="Q997" s="2" t="n"/>
      <c r="R997" s="2" t="n"/>
      <c r="S997" s="2" t="inlineStr">
        <is>
          <t>Rejeitado(a) em Comissão</t>
        </is>
      </c>
      <c r="T997" s="2" t="inlineStr">
        <is>
          <t>Rejeitada</t>
        </is>
      </c>
      <c r="U997" s="2" t="inlineStr">
        <is>
          <t>Favor: L, PCP, BE, PAN; Contra: PSD, CDS-PP; Abstenção: CH, PS, IL</t>
        </is>
      </c>
      <c r="V997" s="3" t="n">
        <v>45982</v>
      </c>
      <c r="W997" s="2" t="inlineStr">
        <is>
          <t>AR: https://www.parlamento.pt/OrcamentoEstado/Paginas/DetalhePropostaAlteracao.aspx?BID=24169 PDF: https://app.parlamento.pt/webutils/docs/doc.pdf?path=6148523063484d364c793942556b356c6443397a6158526c63793959566b6c4a544556484c3039464c7a49774d6a59794d4449314d5441774f5339515153396b4d54646b597a55334e4330795a575a6c4c5451794f446774596d46685a4330314e6a45305a6a4e6a4e7a466d5a6a67756347526d&amp;Fich=d17dc574-2efe-4288-baad-5614f3c71ff8.pdf&amp;Inline=true</t>
        </is>
      </c>
      <c r="X997" s="2" t="inlineStr">
        <is>
          <t>Cultura, Comunicação, Juventude e Desporto</t>
        </is>
      </c>
      <c r="Y997" s="2" t="inlineStr">
        <is>
          <t>Articulado</t>
        </is>
      </c>
      <c r="Z997" s="2" t="inlineStr">
        <is>
          <t>Aditamento (Artigo PPL)</t>
        </is>
      </c>
      <c r="AA997" s="2" t="inlineStr">
        <is>
          <t>Rejeitado(a) em Comissão</t>
        </is>
      </c>
      <c r="AB997" s="2" t="inlineStr"/>
      <c r="AC997" s="2" t="inlineStr"/>
      <c r="AD997" s="2" t="inlineStr">
        <is>
          <t>1</t>
        </is>
      </c>
      <c r="AE997" s="2" t="inlineStr">
        <is>
          <t>24169</t>
        </is>
      </c>
      <c r="AF997" s="2" t="inlineStr">
        <is>
          <t>https://www.parlamento.pt/OrcamentoEstado/Paginas/DetalhePropostaAlteracao.aspx?BID=24169</t>
        </is>
      </c>
      <c r="AG997" s="2" t="inlineStr">
        <is>
          <t>https://app.parlamento.pt/webutils/docs/doc.pdf?path=6148523063484d364c793942556b356c6443397a6158526c63793959566b6c4a544556484c3039464c7a49774d6a59794d4449314d5441774f5339515153396b4d54646b597a55334e4330795a575a6c4c5451794f446774596d46685a4330314e6a45305a6a4e6a4e7a466d5a6a67756347526d&amp;Fich=d17dc574-2efe-4288-baad-5614f3c71ff8.pdf&amp;Inline=true</t>
        </is>
      </c>
      <c r="AH997" s="3" t="n">
        <v>46321.77847222222</v>
      </c>
      <c r="AI997" s="3" t="n">
        <v>46321.78055555555</v>
      </c>
      <c r="AJ997" s="2" t="inlineStr"/>
    </row>
    <row r="998">
      <c r="A998" s="2" t="n">
        <v>997</v>
      </c>
      <c r="B998" s="2" t="inlineStr">
        <is>
          <t>934C</t>
        </is>
      </c>
      <c r="C998" s="3" t="n">
        <v>45967.70486111111</v>
      </c>
      <c r="D998" s="2" t="inlineStr">
        <is>
          <t>Original</t>
        </is>
      </c>
      <c r="E998" s="2" t="inlineStr">
        <is>
          <t>BE</t>
        </is>
      </c>
      <c r="F998" s="2" t="inlineStr">
        <is>
          <t>Mariana Mortágua</t>
        </is>
      </c>
      <c r="G998" s="2" t="inlineStr">
        <is>
          <t>Art. 126.º-A (aditamento)</t>
        </is>
      </c>
      <c r="H998" s="2" t="n"/>
      <c r="I998" s="2" t="n"/>
      <c r="J998" s="2" t="n"/>
      <c r="K998" s="2" t="n"/>
      <c r="L998" s="2" t="inlineStr">
        <is>
          <t>Artigo 126.º-A (Plano de emergência para resposta a incidentes na central nuclear de Almaraz)</t>
        </is>
      </c>
      <c r="M998" s="4" t="n"/>
      <c r="N998" s="4" t="n"/>
      <c r="O998" s="2" t="n"/>
      <c r="P998" s="2" t="n"/>
      <c r="Q998" s="2" t="n"/>
      <c r="R998" s="2" t="n"/>
      <c r="S998" s="2" t="inlineStr">
        <is>
          <t>Rejeitado(a) em Comissão</t>
        </is>
      </c>
      <c r="T998" s="2" t="inlineStr">
        <is>
          <t>Rejeitada</t>
        </is>
      </c>
      <c r="U998" s="2" t="inlineStr">
        <is>
          <t>Favor: L, PCP, BE, PAN; Contra: PSD, CDS-PP; Abstenção: CH, PS, IL</t>
        </is>
      </c>
      <c r="V998" s="3" t="n">
        <v>45985</v>
      </c>
      <c r="W998" s="2" t="inlineStr">
        <is>
          <t>AR: https://www.parlamento.pt/OrcamentoEstado/Paginas/DetalhePropostaAlteracao.aspx?BID=24170 PDF: https://app.parlamento.pt/webutils/docs/doc.pdf?path=6148523063484d364c793942556b356c6443397a6158526c63793959566b6c4a544556484c3039464c7a49774d6a59794d4449314d5441774f533951515338304e54466a4f5449304e693169596d59354c5451345a5451744f546c6c4d4330325a54637a4f574d314e474d324e5463756347526d&amp;Fich=451c9246-bbf9-48e4-99e0-6e739c54c657.pdf&amp;Inline=true</t>
        </is>
      </c>
      <c r="X998" s="2" t="inlineStr">
        <is>
          <t>Ambiente e Energia</t>
        </is>
      </c>
      <c r="Y998" s="2" t="inlineStr">
        <is>
          <t>Articulado</t>
        </is>
      </c>
      <c r="Z998" s="2" t="inlineStr">
        <is>
          <t>Aditamento (Artigo PPL)</t>
        </is>
      </c>
      <c r="AA998" s="2" t="inlineStr">
        <is>
          <t>Rejeitado(a) em Comissão</t>
        </is>
      </c>
      <c r="AB998" s="2" t="inlineStr"/>
      <c r="AC998" s="2" t="inlineStr"/>
      <c r="AD998" s="2" t="inlineStr">
        <is>
          <t>1</t>
        </is>
      </c>
      <c r="AE998" s="2" t="inlineStr">
        <is>
          <t>24170</t>
        </is>
      </c>
      <c r="AF998" s="2" t="inlineStr">
        <is>
          <t>https://www.parlamento.pt/OrcamentoEstado/Paginas/DetalhePropostaAlteracao.aspx?BID=24170</t>
        </is>
      </c>
      <c r="AG998" s="2" t="inlineStr">
        <is>
          <t>https://app.parlamento.pt/webutils/docs/doc.pdf?path=6148523063484d364c793942556b356c6443397a6158526c63793959566b6c4a544556484c3039464c7a49774d6a59794d4449314d5441774f533951515338304e54466a4f5449304e693169596d59354c5451345a5451744f546c6c4d4330325a54637a4f574d314e474d324e5463756347526d&amp;Fich=451c9246-bbf9-48e4-99e0-6e739c54c657.pdf&amp;Inline=true</t>
        </is>
      </c>
      <c r="AH998" s="3" t="n">
        <v>46321.77847222222</v>
      </c>
      <c r="AI998" s="3" t="n">
        <v>46321.78055555555</v>
      </c>
      <c r="AJ998" s="2" t="inlineStr"/>
    </row>
    <row r="999">
      <c r="A999" s="2" t="n">
        <v>998</v>
      </c>
      <c r="B999" s="2" t="inlineStr">
        <is>
          <t>935C</t>
        </is>
      </c>
      <c r="C999" s="3" t="n">
        <v>45967.70486111111</v>
      </c>
      <c r="D999" s="2" t="inlineStr">
        <is>
          <t>Original</t>
        </is>
      </c>
      <c r="E999" s="2" t="inlineStr">
        <is>
          <t>L</t>
        </is>
      </c>
      <c r="F999" s="2" t="inlineStr">
        <is>
          <t>Filipa Pinto; Isabel Mendes Lopes; Jorge Pinto; Patrícia Gonçalves; Paulo Muacho; Rui Tavares</t>
        </is>
      </c>
      <c r="G999" s="2" t="inlineStr">
        <is>
          <t>Art. 117.º-A (aditamento)</t>
        </is>
      </c>
      <c r="H999" s="2" t="n"/>
      <c r="I999" s="2" t="n"/>
      <c r="J999" s="2" t="n"/>
      <c r="K999" s="2" t="n"/>
      <c r="L999" s="2" t="inlineStr">
        <is>
          <t>Artigo 117.º-A (Respostas de Apoio Psicológico para vítimas de assédio e violência sexual no Ensino Superior)</t>
        </is>
      </c>
      <c r="M999" s="4" t="n"/>
      <c r="N999" s="4" t="n"/>
      <c r="O999" s="2" t="n"/>
      <c r="P999" s="2" t="n"/>
      <c r="Q999" s="2" t="n"/>
      <c r="R999" s="2" t="n"/>
      <c r="S999" s="2" t="inlineStr">
        <is>
          <t>Aprovado(a) em Comissão</t>
        </is>
      </c>
      <c r="T999" s="2" t="inlineStr">
        <is>
          <t>Aprovada</t>
        </is>
      </c>
      <c r="U999" s="2" t="inlineStr">
        <is>
          <t>Favor: CH, PS, IL, L, PCP, BE, PAN; Contra: PSD, CDS-PP</t>
        </is>
      </c>
      <c r="V999" s="3" t="n">
        <v>45985</v>
      </c>
      <c r="W999" s="2" t="inlineStr">
        <is>
          <t>AR: https://www.parlamento.pt/OrcamentoEstado/Paginas/DetalhePropostaAlteracao.aspx?BID=24172 PDF: https://app.parlamento.pt/webutils/docs/doc.pdf?path=6148523063484d364c793942556b356c6443397a6158526c63793959566b6c4a544556484c3039464c7a49774d6a59794d4449314d5441774f533951515338335a574e6d4e7a4a694d4331694e324a6c4c54517a4e4445744f5459774d69316c4d4441334d474d7a4d6d59785a4463756347526d&amp;Fich=7ecf72b0-b7be-4341-9602-e0070c32f1d7.pdf&amp;Inline=true</t>
        </is>
      </c>
      <c r="X999" s="2" t="inlineStr">
        <is>
          <t>Assuntos Constitucionais, Direitos, Liberdades e Garantias</t>
        </is>
      </c>
      <c r="Y999" s="2" t="inlineStr">
        <is>
          <t>Articulado</t>
        </is>
      </c>
      <c r="Z999" s="2" t="inlineStr">
        <is>
          <t>Aditamento (Artigo PPL)</t>
        </is>
      </c>
      <c r="AA999" s="2" t="inlineStr">
        <is>
          <t>Aprovado(a) em Comissão</t>
        </is>
      </c>
      <c r="AB999" s="2" t="inlineStr"/>
      <c r="AC999" s="2" t="inlineStr"/>
      <c r="AD999" s="2" t="inlineStr">
        <is>
          <t>1</t>
        </is>
      </c>
      <c r="AE999" s="2" t="inlineStr">
        <is>
          <t>24172</t>
        </is>
      </c>
      <c r="AF999" s="2" t="inlineStr">
        <is>
          <t>https://www.parlamento.pt/OrcamentoEstado/Paginas/DetalhePropostaAlteracao.aspx?BID=24172</t>
        </is>
      </c>
      <c r="AG999" s="2" t="inlineStr">
        <is>
          <t>https://app.parlamento.pt/webutils/docs/doc.pdf?path=6148523063484d364c793942556b356c6443397a6158526c63793959566b6c4a544556484c3039464c7a49774d6a59794d4449314d5441774f533951515338335a574e6d4e7a4a694d4331694e324a6c4c54517a4e4445744f5459774d69316c4d4441334d474d7a4d6d59785a4463756347526d&amp;Fich=7ecf72b0-b7be-4341-9602-e0070c32f1d7.pdf&amp;Inline=true</t>
        </is>
      </c>
      <c r="AH999" s="3" t="n">
        <v>46321.77847222222</v>
      </c>
      <c r="AI999" s="3" t="n">
        <v>46321.78055555555</v>
      </c>
      <c r="AJ999" s="2" t="inlineStr"/>
    </row>
    <row r="1000">
      <c r="A1000" s="2" t="n">
        <v>999</v>
      </c>
      <c r="B1000" s="2" t="inlineStr">
        <is>
          <t>936C</t>
        </is>
      </c>
      <c r="C1000" s="3" t="n">
        <v>45967.70763888889</v>
      </c>
      <c r="D1000" s="2" t="inlineStr">
        <is>
          <t>Original</t>
        </is>
      </c>
      <c r="E1000" s="2" t="inlineStr">
        <is>
          <t>BE</t>
        </is>
      </c>
      <c r="F1000" s="2" t="inlineStr">
        <is>
          <t>Mariana Mortágua</t>
        </is>
      </c>
      <c r="G1000" s="2" t="inlineStr">
        <is>
          <t>Art. 112.º-A (aditamento)</t>
        </is>
      </c>
      <c r="H1000" s="2" t="n"/>
      <c r="I1000" s="2" t="n"/>
      <c r="J1000" s="2" t="n"/>
      <c r="K1000" s="2" t="n"/>
      <c r="L1000" s="2" t="inlineStr">
        <is>
          <t>Artigo 112.º-A (Bolsa de Interpretação de Língua Gestual Portuguesa)</t>
        </is>
      </c>
      <c r="M1000" s="4" t="n"/>
      <c r="N1000" s="4" t="n"/>
      <c r="O1000" s="2" t="n"/>
      <c r="P1000" s="2" t="n"/>
      <c r="Q1000" s="2" t="n"/>
      <c r="R1000" s="2" t="n"/>
      <c r="S1000" s="2" t="inlineStr">
        <is>
          <t>Rejeitado(a) em Comissão</t>
        </is>
      </c>
      <c r="T1000" s="2" t="inlineStr">
        <is>
          <t>Rejeitada</t>
        </is>
      </c>
      <c r="U1000" s="2" t="inlineStr">
        <is>
          <t>Favor: CH, IL, L, PCP, BE, PAN; Contra: PSD, CDS-PP; Abstenção: PS</t>
        </is>
      </c>
      <c r="V1000" s="3" t="n">
        <v>45982</v>
      </c>
      <c r="W1000" s="2" t="inlineStr">
        <is>
          <t>AR: https://www.parlamento.pt/OrcamentoEstado/Paginas/DetalhePropostaAlteracao.aspx?BID=24173 PDF: https://app.parlamento.pt/webutils/docs/doc.pdf?path=6148523063484d364c793942556b356c6443397a6158526c63793959566b6c4a544556484c3039464c7a49774d6a59794d4449314d5441774f5339515153396b596a67354f54686a4d43316d593255354c54526a5a6d4d74596d466b4e6930314e575a684f5759774e7a526a4f4459756347526d&amp;Fich=db8998c0-fce9-4cfc-bad6-55fa9f074c86.pdf&amp;Inline=true</t>
        </is>
      </c>
      <c r="X1000" s="2" t="inlineStr">
        <is>
          <t>Trabalho, Segurança Social e Inclusão</t>
        </is>
      </c>
      <c r="Y1000" s="2" t="inlineStr">
        <is>
          <t>Articulado</t>
        </is>
      </c>
      <c r="Z1000" s="2" t="inlineStr">
        <is>
          <t>Aditamento (Artigo PPL)</t>
        </is>
      </c>
      <c r="AA1000" s="2" t="inlineStr">
        <is>
          <t>Rejeitado(a) em Comissão</t>
        </is>
      </c>
      <c r="AB1000" s="2" t="inlineStr"/>
      <c r="AC1000" s="2" t="inlineStr"/>
      <c r="AD1000" s="2" t="inlineStr">
        <is>
          <t>1</t>
        </is>
      </c>
      <c r="AE1000" s="2" t="inlineStr">
        <is>
          <t>24173</t>
        </is>
      </c>
      <c r="AF1000" s="2" t="inlineStr">
        <is>
          <t>https://www.parlamento.pt/OrcamentoEstado/Paginas/DetalhePropostaAlteracao.aspx?BID=24173</t>
        </is>
      </c>
      <c r="AG1000" s="2" t="inlineStr">
        <is>
          <t>https://app.parlamento.pt/webutils/docs/doc.pdf?path=6148523063484d364c793942556b356c6443397a6158526c63793959566b6c4a544556484c3039464c7a49774d6a59794d4449314d5441774f5339515153396b596a67354f54686a4d43316d593255354c54526a5a6d4d74596d466b4e6930314e575a684f5759774e7a526a4f4459756347526d&amp;Fich=db8998c0-fce9-4cfc-bad6-55fa9f074c86.pdf&amp;Inline=true</t>
        </is>
      </c>
      <c r="AH1000" s="3" t="n">
        <v>46321.77847222222</v>
      </c>
      <c r="AI1000" s="3" t="n">
        <v>46321.78055555555</v>
      </c>
      <c r="AJ1000" s="2" t="inlineStr"/>
    </row>
    <row r="1001">
      <c r="A1001" s="2" t="n">
        <v>1000</v>
      </c>
      <c r="B1001" s="2" t="inlineStr">
        <is>
          <t>937C</t>
        </is>
      </c>
      <c r="C1001" s="3" t="n">
        <v>45967.70763888889</v>
      </c>
      <c r="D1001" s="2" t="inlineStr">
        <is>
          <t>Original</t>
        </is>
      </c>
      <c r="E1001" s="2" t="inlineStr">
        <is>
          <t>L</t>
        </is>
      </c>
      <c r="F1001" s="2" t="inlineStr">
        <is>
          <t>Filipa Pinto; Isabel Mendes Lopes; Jorge Pinto; Patrícia Gonçalves; Paulo Muacho; Rui Tavares</t>
        </is>
      </c>
      <c r="G1001" s="2" t="inlineStr">
        <is>
          <t>Art. 89.º-A (aditamento)</t>
        </is>
      </c>
      <c r="H1001" s="2" t="n"/>
      <c r="I1001" s="2" t="n"/>
      <c r="J1001" s="2" t="n"/>
      <c r="K1001" s="2" t="n"/>
      <c r="L1001" s="2" t="inlineStr">
        <is>
          <t>Artigo 89.º-A (Valorização dos Assistentes Operacionais e Assistentes Técnicos nas escolas públicas)</t>
        </is>
      </c>
      <c r="M1001" s="4" t="n"/>
      <c r="N1001" s="4" t="n"/>
      <c r="O1001" s="2" t="n"/>
      <c r="P1001" s="2" t="n"/>
      <c r="Q1001" s="2" t="n"/>
      <c r="R1001" s="2" t="n"/>
      <c r="S1001" s="2" t="inlineStr">
        <is>
          <t>Rejeitado(a) em Comissão</t>
        </is>
      </c>
      <c r="T1001" s="2" t="inlineStr">
        <is>
          <t>Rejeitada</t>
        </is>
      </c>
      <c r="U1001" s="2" t="inlineStr">
        <is>
          <t>Favor: CH, L, PCP, BE, PAN; Contra: PSD, CDS-PP; Abstenção: PS, IL</t>
        </is>
      </c>
      <c r="V1001" s="3" t="n">
        <v>45982</v>
      </c>
      <c r="W1001" s="2" t="inlineStr">
        <is>
          <t>AR: https://www.parlamento.pt/OrcamentoEstado/Paginas/DetalhePropostaAlteracao.aspx?BID=24174 PDF: https://app.parlamento.pt/webutils/docs/doc.pdf?path=6148523063484d364c793942556b356c6443397a6158526c63793959566b6c4a544556484c3039464c7a49774d6a59794d4449314d5441774f533951515338354d446b30595446694f5330784d4745354c5451785a546b74596a597a4e4330325954637a4f5755784d444d315a546b756347526d&amp;Fich=9094a1b9-10a9-41e9-b634-6a739e1035e9.pdf&amp;Inline=true</t>
        </is>
      </c>
      <c r="X1001" s="2" t="inlineStr">
        <is>
          <t>Educação e Ciência</t>
        </is>
      </c>
      <c r="Y1001" s="2" t="inlineStr">
        <is>
          <t>Articulado</t>
        </is>
      </c>
      <c r="Z1001" s="2" t="inlineStr">
        <is>
          <t>Aditamento (Artigo PPL)</t>
        </is>
      </c>
      <c r="AA1001" s="2" t="inlineStr">
        <is>
          <t>Rejeitado(a) em Comissão</t>
        </is>
      </c>
      <c r="AB1001" s="2" t="inlineStr"/>
      <c r="AC1001" s="2" t="inlineStr"/>
      <c r="AD1001" s="2" t="inlineStr">
        <is>
          <t>1</t>
        </is>
      </c>
      <c r="AE1001" s="2" t="inlineStr">
        <is>
          <t>24174</t>
        </is>
      </c>
      <c r="AF1001" s="2" t="inlineStr">
        <is>
          <t>https://www.parlamento.pt/OrcamentoEstado/Paginas/DetalhePropostaAlteracao.aspx?BID=24174</t>
        </is>
      </c>
      <c r="AG1001" s="2" t="inlineStr">
        <is>
          <t>https://app.parlamento.pt/webutils/docs/doc.pdf?path=6148523063484d364c793942556b356c6443397a6158526c63793959566b6c4a544556484c3039464c7a49774d6a59794d4449314d5441774f533951515338354d446b30595446694f5330784d4745354c5451785a546b74596a597a4e4330325954637a4f5755784d444d315a546b756347526d&amp;Fich=9094a1b9-10a9-41e9-b634-6a739e1035e9.pdf&amp;Inline=true</t>
        </is>
      </c>
      <c r="AH1001" s="3" t="n">
        <v>46321.77847222222</v>
      </c>
      <c r="AI1001" s="3" t="n">
        <v>46321.78055555555</v>
      </c>
      <c r="AJ1001" s="2" t="inlineStr"/>
    </row>
    <row r="1002">
      <c r="A1002" s="2" t="n">
        <v>1001</v>
      </c>
      <c r="B1002" s="2" t="inlineStr">
        <is>
          <t>938C</t>
        </is>
      </c>
      <c r="C1002" s="3" t="n">
        <v>45967.71041666667</v>
      </c>
      <c r="D1002" s="2" t="inlineStr">
        <is>
          <t>Original</t>
        </is>
      </c>
      <c r="E1002" s="2" t="inlineStr">
        <is>
          <t>BE</t>
        </is>
      </c>
      <c r="F1002" s="2" t="inlineStr">
        <is>
          <t>Mariana Mortágua</t>
        </is>
      </c>
      <c r="G1002" s="2" t="inlineStr">
        <is>
          <t>Art. 116.º-A (aditamento)</t>
        </is>
      </c>
      <c r="H1002" s="2" t="n"/>
      <c r="I1002" s="2" t="n"/>
      <c r="J1002" s="2" t="n"/>
      <c r="K1002" s="2" t="n"/>
      <c r="L1002" s="2" t="inlineStr">
        <is>
          <t>Artigo 116.º-A (Reforço da Ação Social Escolar)</t>
        </is>
      </c>
      <c r="M1002" s="4" t="n"/>
      <c r="N1002" s="4" t="n"/>
      <c r="O1002" s="2" t="n"/>
      <c r="P1002" s="2" t="n"/>
      <c r="Q1002" s="2" t="n"/>
      <c r="R1002" s="2" t="n"/>
      <c r="S1002" s="2" t="inlineStr">
        <is>
          <t>Rejeitado(a) em Comissão</t>
        </is>
      </c>
      <c r="T1002" s="2" t="inlineStr">
        <is>
          <t>Rejeitada</t>
        </is>
      </c>
      <c r="U1002" s="2" t="inlineStr">
        <is>
          <t>Favor: CH, IL, L, PCP, BE, PAN; Contra: PSD, CDS-PP; Abstenção: PS</t>
        </is>
      </c>
      <c r="V1002" s="3" t="n">
        <v>45985</v>
      </c>
      <c r="W1002" s="2" t="inlineStr">
        <is>
          <t>AR: https://www.parlamento.pt/OrcamentoEstado/Paginas/DetalhePropostaAlteracao.aspx?BID=24175 PDF: https://app.parlamento.pt/webutils/docs/doc.pdf?path=6148523063484d364c793942556b356c6443397a6158526c63793959566b6c4a544556484c3039464c7a49774d6a59794d4449314d5441774f533951515338785a4752684e3249794e4330305a6d49314c5451314d6d4d74595449314e4330304f544e685a444534596d49794e5759756347526d&amp;Fich=1dda7b24-4fb5-452c-a254-493ad18bb25f.pdf&amp;Inline=true</t>
        </is>
      </c>
      <c r="X1002" s="2" t="inlineStr">
        <is>
          <t>Educação e Ciência</t>
        </is>
      </c>
      <c r="Y1002" s="2" t="inlineStr">
        <is>
          <t>Articulado</t>
        </is>
      </c>
      <c r="Z1002" s="2" t="inlineStr">
        <is>
          <t>Aditamento (Artigo PPL)</t>
        </is>
      </c>
      <c r="AA1002" s="2" t="inlineStr">
        <is>
          <t>Rejeitado(a) em Comissão</t>
        </is>
      </c>
      <c r="AB1002" s="2" t="inlineStr"/>
      <c r="AC1002" s="2" t="inlineStr"/>
      <c r="AD1002" s="2" t="inlineStr">
        <is>
          <t>1</t>
        </is>
      </c>
      <c r="AE1002" s="2" t="inlineStr">
        <is>
          <t>24175</t>
        </is>
      </c>
      <c r="AF1002" s="2" t="inlineStr">
        <is>
          <t>https://www.parlamento.pt/OrcamentoEstado/Paginas/DetalhePropostaAlteracao.aspx?BID=24175</t>
        </is>
      </c>
      <c r="AG1002" s="2" t="inlineStr">
        <is>
          <t>https://app.parlamento.pt/webutils/docs/doc.pdf?path=6148523063484d364c793942556b356c6443397a6158526c63793959566b6c4a544556484c3039464c7a49774d6a59794d4449314d5441774f533951515338785a4752684e3249794e4330305a6d49314c5451314d6d4d74595449314e4330304f544e685a444534596d49794e5759756347526d&amp;Fich=1dda7b24-4fb5-452c-a254-493ad18bb25f.pdf&amp;Inline=true</t>
        </is>
      </c>
      <c r="AH1002" s="3" t="n">
        <v>46321.77847222222</v>
      </c>
      <c r="AI1002" s="3" t="n">
        <v>46321.78055555555</v>
      </c>
      <c r="AJ1002" s="2" t="inlineStr"/>
    </row>
    <row r="1003">
      <c r="A1003" s="2" t="n">
        <v>1002</v>
      </c>
      <c r="B1003" s="2" t="inlineStr">
        <is>
          <t>939C</t>
        </is>
      </c>
      <c r="C1003" s="3" t="n">
        <v>45967.71111111111</v>
      </c>
      <c r="D1003" s="2" t="inlineStr">
        <is>
          <t>Original</t>
        </is>
      </c>
      <c r="E1003" s="2" t="inlineStr">
        <is>
          <t>L</t>
        </is>
      </c>
      <c r="F1003" s="2" t="inlineStr">
        <is>
          <t>Filipa Pinto; Isabel Mendes Lopes; Jorge Pinto; Patrícia Gonçalves; Paulo Muacho; Rui Tavares</t>
        </is>
      </c>
      <c r="G1003" s="2" t="inlineStr">
        <is>
          <t>Art. 22.º-A (aditamento)</t>
        </is>
      </c>
      <c r="H1003" s="2" t="n"/>
      <c r="I1003" s="2" t="n"/>
      <c r="J1003" s="2" t="n"/>
      <c r="K1003" s="2" t="n"/>
      <c r="L1003" s="2" t="inlineStr">
        <is>
          <t>Artigo 22.º-A (Continuidade e financiamento das Equipas Comunitárias de Saúde Mental)</t>
        </is>
      </c>
      <c r="M1003" s="4" t="n"/>
      <c r="N1003" s="4" t="n"/>
      <c r="O1003" s="2" t="n"/>
      <c r="P1003" s="2" t="n"/>
      <c r="Q1003" s="2" t="n"/>
      <c r="R1003" s="2" t="n"/>
      <c r="S1003" s="2" t="inlineStr">
        <is>
          <t>Aprovado(a) em Comissão</t>
        </is>
      </c>
      <c r="T1003" s="2" t="inlineStr">
        <is>
          <t>Aprovada</t>
        </is>
      </c>
      <c r="U1003" s="2" t="inlineStr">
        <is>
          <t>Favor: CH, PS, IL, L, PCP, BE, PAN; Contra: PSD, CDS-PP</t>
        </is>
      </c>
      <c r="V1003" s="3" t="n">
        <v>45981</v>
      </c>
      <c r="W1003" s="2" t="inlineStr">
        <is>
          <t>AR: https://www.parlamento.pt/OrcamentoEstado/Paginas/DetalhePropostaAlteracao.aspx?BID=24177 PDF: https://app.parlamento.pt/webutils/docs/doc.pdf?path=6148523063484d364c793942556b356c6443397a6158526c63793959566b6c4a544556484c3039464c7a49774d6a59794d4449314d5441774f53395151533831595751334d6d59785a4330314e44426d4c5451314e6a4174596d5579596930774e6d55335a4456684d44686d4f4751756347526d&amp;Fich=5ad72f1d-540f-4560-be2b-06e7d5a08f8d.pdf&amp;Inline=true</t>
        </is>
      </c>
      <c r="X1003" s="2" t="inlineStr">
        <is>
          <t>Saúde</t>
        </is>
      </c>
      <c r="Y1003" s="2" t="inlineStr">
        <is>
          <t>Articulado</t>
        </is>
      </c>
      <c r="Z1003" s="2" t="inlineStr">
        <is>
          <t>Aditamento (Artigo PPL)</t>
        </is>
      </c>
      <c r="AA1003" s="2" t="inlineStr">
        <is>
          <t>Aprovado(a) em Comissão</t>
        </is>
      </c>
      <c r="AB1003" s="2" t="inlineStr"/>
      <c r="AC1003" s="2" t="inlineStr"/>
      <c r="AD1003" s="2" t="inlineStr">
        <is>
          <t>1</t>
        </is>
      </c>
      <c r="AE1003" s="2" t="inlineStr">
        <is>
          <t>24177</t>
        </is>
      </c>
      <c r="AF1003" s="2" t="inlineStr">
        <is>
          <t>https://www.parlamento.pt/OrcamentoEstado/Paginas/DetalhePropostaAlteracao.aspx?BID=24177</t>
        </is>
      </c>
      <c r="AG1003" s="2" t="inlineStr">
        <is>
          <t>https://app.parlamento.pt/webutils/docs/doc.pdf?path=6148523063484d364c793942556b356c6443397a6158526c63793959566b6c4a544556484c3039464c7a49774d6a59794d4449314d5441774f53395151533831595751334d6d59785a4330314e44426d4c5451314e6a4174596d5579596930774e6d55335a4456684d44686d4f4751756347526d&amp;Fich=5ad72f1d-540f-4560-be2b-06e7d5a08f8d.pdf&amp;Inline=true</t>
        </is>
      </c>
      <c r="AH1003" s="3" t="n">
        <v>46321.77847222222</v>
      </c>
      <c r="AI1003" s="3" t="n">
        <v>46321.78055555555</v>
      </c>
      <c r="AJ1003" s="2" t="inlineStr"/>
    </row>
    <row r="1004">
      <c r="A1004" s="2" t="n">
        <v>1003</v>
      </c>
      <c r="B1004" s="2" t="inlineStr">
        <is>
          <t>940C</t>
        </is>
      </c>
      <c r="C1004" s="3" t="n">
        <v>45967.71319444444</v>
      </c>
      <c r="D1004" s="2" t="inlineStr">
        <is>
          <t>Original</t>
        </is>
      </c>
      <c r="E1004" s="2" t="inlineStr">
        <is>
          <t>BE</t>
        </is>
      </c>
      <c r="F1004" s="2" t="inlineStr">
        <is>
          <t>Mariana Mortágua</t>
        </is>
      </c>
      <c r="G1004" s="2" t="inlineStr">
        <is>
          <t>Art. 21.º-A (aditamento)</t>
        </is>
      </c>
      <c r="H1004" s="2" t="n"/>
      <c r="I1004" s="2" t="n"/>
      <c r="J1004" s="2" t="n"/>
      <c r="K1004" s="2" t="n"/>
      <c r="L1004" s="2" t="inlineStr">
        <is>
          <t>Artigo 21.º-A (Criação da Carreira de Técnico Auxiliar de Educação)</t>
        </is>
      </c>
      <c r="M1004" s="4" t="n"/>
      <c r="N1004" s="4" t="n"/>
      <c r="O1004" s="2" t="n"/>
      <c r="P1004" s="2" t="n"/>
      <c r="Q1004" s="2" t="n"/>
      <c r="R1004" s="2" t="n"/>
      <c r="S1004" s="2" t="inlineStr">
        <is>
          <t>Rejeitado(a) em Comissão</t>
        </is>
      </c>
      <c r="T1004" s="2" t="inlineStr">
        <is>
          <t>Rejeitada</t>
        </is>
      </c>
      <c r="U1004" s="2" t="inlineStr">
        <is>
          <t>Favor: CH, L, PCP, BE, PAN; Contra: PSD, IL, CDS-PP; Abstenção: PS</t>
        </is>
      </c>
      <c r="V1004" s="3" t="n">
        <v>45981</v>
      </c>
      <c r="W1004" s="2" t="inlineStr">
        <is>
          <t>AR: https://www.parlamento.pt/OrcamentoEstado/Paginas/DetalhePropostaAlteracao.aspx?BID=24178 PDF: https://app.parlamento.pt/webutils/docs/doc.pdf?path=6148523063484d364c793942556b356c6443397a6158526c63793959566b6c4a544556484c3039464c7a49774d6a59794d4449314d5441774f533951515338794f4467774e5455334d7930344f5456694c5451355a474574595459355979307a59325a68597a4d345a5441774e7a51756347526d&amp;Fich=28805573-895b-49da-a69c-3cfac38e0074.pdf&amp;Inline=true</t>
        </is>
      </c>
      <c r="X1004" s="2" t="inlineStr">
        <is>
          <t>Educação e Ciência</t>
        </is>
      </c>
      <c r="Y1004" s="2" t="inlineStr">
        <is>
          <t>Articulado</t>
        </is>
      </c>
      <c r="Z1004" s="2" t="inlineStr">
        <is>
          <t>Aditamento (Artigo PPL)</t>
        </is>
      </c>
      <c r="AA1004" s="2" t="inlineStr">
        <is>
          <t>Rejeitado(a) em Comissão</t>
        </is>
      </c>
      <c r="AB1004" s="2" t="inlineStr"/>
      <c r="AC1004" s="2" t="inlineStr"/>
      <c r="AD1004" s="2" t="inlineStr">
        <is>
          <t>1</t>
        </is>
      </c>
      <c r="AE1004" s="2" t="inlineStr">
        <is>
          <t>24178</t>
        </is>
      </c>
      <c r="AF1004" s="2" t="inlineStr">
        <is>
          <t>https://www.parlamento.pt/OrcamentoEstado/Paginas/DetalhePropostaAlteracao.aspx?BID=24178</t>
        </is>
      </c>
      <c r="AG1004" s="2" t="inlineStr">
        <is>
          <t>https://app.parlamento.pt/webutils/docs/doc.pdf?path=6148523063484d364c793942556b356c6443397a6158526c63793959566b6c4a544556484c3039464c7a49774d6a59794d4449314d5441774f533951515338794f4467774e5455334d7930344f5456694c5451355a474574595459355979307a59325a68597a4d345a5441774e7a51756347526d&amp;Fich=28805573-895b-49da-a69c-3cfac38e0074.pdf&amp;Inline=true</t>
        </is>
      </c>
      <c r="AH1004" s="3" t="n">
        <v>46321.77847222222</v>
      </c>
      <c r="AI1004" s="3" t="n">
        <v>46321.78055555555</v>
      </c>
      <c r="AJ1004" s="2" t="inlineStr"/>
    </row>
    <row r="1005">
      <c r="A1005" s="2" t="n">
        <v>1004</v>
      </c>
      <c r="B1005" s="2" t="inlineStr">
        <is>
          <t>941C</t>
        </is>
      </c>
      <c r="C1005" s="3" t="n">
        <v>45967.71388888889</v>
      </c>
      <c r="D1005" s="2" t="inlineStr">
        <is>
          <t>Original</t>
        </is>
      </c>
      <c r="E1005" s="2" t="inlineStr">
        <is>
          <t>L</t>
        </is>
      </c>
      <c r="F1005" s="2" t="inlineStr">
        <is>
          <t>Filipa Pinto; Isabel Mendes Lopes; Jorge Pinto; Patrícia Gonçalves; Paulo Muacho; Rui Tavares</t>
        </is>
      </c>
      <c r="G1005" s="2" t="inlineStr">
        <is>
          <t>Art. 63.º-A (aditamento)</t>
        </is>
      </c>
      <c r="H1005" s="2" t="n"/>
      <c r="I1005" s="2" t="n"/>
      <c r="J1005" s="2" t="n"/>
      <c r="K1005" s="2" t="n"/>
      <c r="L1005" s="2" t="inlineStr">
        <is>
          <t>Artigo 63.º-A (Aditamento ao Código do Imposto sobre o Valor Acrescentado IVA)</t>
        </is>
      </c>
      <c r="M1005" s="4" t="n"/>
      <c r="N1005" s="4" t="n"/>
      <c r="O1005" s="2" t="n"/>
      <c r="P1005" s="2" t="n"/>
      <c r="Q1005" s="2" t="n"/>
      <c r="R1005" s="2" t="n"/>
      <c r="S1005" s="2" t="inlineStr">
        <is>
          <t>Rejeitado(a) em Comissão</t>
        </is>
      </c>
      <c r="T1005" s="2" t="inlineStr">
        <is>
          <t>Rejeitada</t>
        </is>
      </c>
      <c r="U1005" s="2" t="inlineStr">
        <is>
          <t>Favor: CH, L, BE, PAN; Contra: PSD, PCP, CDS-PP; Abstenção: PS, IL</t>
        </is>
      </c>
      <c r="V1005" s="3" t="n">
        <v>45982</v>
      </c>
      <c r="W1005" s="2" t="inlineStr">
        <is>
          <t>AR: https://www.parlamento.pt/OrcamentoEstado/Paginas/DetalhePropostaAlteracao.aspx?BID=24179 PDF: https://app.parlamento.pt/webutils/docs/doc.pdf?path=6148523063484d364c793942556b356c6443397a6158526c63793959566b6c4a544556484c3039464c7a49774d6a59794d4449314d5441774f5339515153396c4e6a41354d6a677a4e53307959325a6d4c5451334e7a6774595749344e6930354d5459344d445579596d526b4e5759756347526d&amp;Fich=e6092835-2cff-4778-ab86-9168052bdd5f.pdf&amp;Inline=true</t>
        </is>
      </c>
      <c r="X1005" s="2" t="inlineStr">
        <is>
          <t>Orçamento, Finanças e Administração Pública</t>
        </is>
      </c>
      <c r="Y1005" s="2" t="inlineStr">
        <is>
          <t>Articulado</t>
        </is>
      </c>
      <c r="Z1005" s="2" t="inlineStr">
        <is>
          <t>Aditamento (Artigo PPL)</t>
        </is>
      </c>
      <c r="AA1005" s="2" t="inlineStr">
        <is>
          <t>Rejeitado(a) em Comissão</t>
        </is>
      </c>
      <c r="AB1005" s="2" t="inlineStr"/>
      <c r="AC1005" s="2" t="inlineStr"/>
      <c r="AD1005" s="2" t="inlineStr">
        <is>
          <t>1</t>
        </is>
      </c>
      <c r="AE1005" s="2" t="inlineStr">
        <is>
          <t>24179</t>
        </is>
      </c>
      <c r="AF1005" s="2" t="inlineStr">
        <is>
          <t>https://www.parlamento.pt/OrcamentoEstado/Paginas/DetalhePropostaAlteracao.aspx?BID=24179</t>
        </is>
      </c>
      <c r="AG1005" s="2" t="inlineStr">
        <is>
          <t>https://app.parlamento.pt/webutils/docs/doc.pdf?path=6148523063484d364c793942556b356c6443397a6158526c63793959566b6c4a544556484c3039464c7a49774d6a59794d4449314d5441774f5339515153396c4e6a41354d6a677a4e53307959325a6d4c5451334e7a6774595749344e6930354d5459344d445579596d526b4e5759756347526d&amp;Fich=e6092835-2cff-4778-ab86-9168052bdd5f.pdf&amp;Inline=true</t>
        </is>
      </c>
      <c r="AH1005" s="3" t="n">
        <v>46321.77847222222</v>
      </c>
      <c r="AI1005" s="3" t="n">
        <v>46321.78055555555</v>
      </c>
      <c r="AJ1005" s="2" t="inlineStr"/>
    </row>
    <row r="1006">
      <c r="A1006" s="2" t="n">
        <v>1005</v>
      </c>
      <c r="B1006" s="2" t="inlineStr">
        <is>
          <t>942C</t>
        </is>
      </c>
      <c r="C1006" s="3" t="n">
        <v>45967.71458333333</v>
      </c>
      <c r="D1006" s="2" t="inlineStr">
        <is>
          <t>Original</t>
        </is>
      </c>
      <c r="E1006" s="2" t="inlineStr">
        <is>
          <t>BE</t>
        </is>
      </c>
      <c r="F1006" s="2" t="inlineStr">
        <is>
          <t>Mariana Mortágua</t>
        </is>
      </c>
      <c r="G1006" s="2" t="inlineStr">
        <is>
          <t>Art. 116.º-A (aditamento)</t>
        </is>
      </c>
      <c r="H1006" s="2" t="n"/>
      <c r="I1006" s="2" t="n"/>
      <c r="J1006" s="2" t="n"/>
      <c r="K1006" s="2" t="n"/>
      <c r="L1006" s="2" t="inlineStr">
        <is>
          <t>Artigo 116.º-A (Gratuitidade da Calculadora no Ensino Secundário)</t>
        </is>
      </c>
      <c r="M1006" s="4" t="n"/>
      <c r="N1006" s="4" t="n"/>
      <c r="O1006" s="2" t="n"/>
      <c r="P1006" s="2" t="n"/>
      <c r="Q1006" s="2" t="n"/>
      <c r="R1006" s="2" t="n"/>
      <c r="S1006" s="2" t="inlineStr">
        <is>
          <t>Rejeitado(a) em Comissão</t>
        </is>
      </c>
      <c r="T1006" s="2" t="inlineStr">
        <is>
          <t>Rejeitada</t>
        </is>
      </c>
      <c r="U1006" s="2" t="inlineStr">
        <is>
          <t>Favor: L, PCP, BE, PAN; Contra: PSD, IL, CDS-PP; Abstenção: CH, PS</t>
        </is>
      </c>
      <c r="V1006" s="3" t="n">
        <v>45985</v>
      </c>
      <c r="W1006" s="2" t="inlineStr">
        <is>
          <t>AR: https://www.parlamento.pt/OrcamentoEstado/Paginas/DetalhePropostaAlteracao.aspx?BID=24180 PDF: https://app.parlamento.pt/webutils/docs/doc.pdf?path=6148523063484d364c793942556b356c6443397a6158526c63793959566b6c4a544556484c3039464c7a49774d6a59794d4449314d5441774f53395151533969595759775a4451314d53316c4e57526c4c5452694d54517459574d355a69316a4d546732595751355a4751794e4755756347526d&amp;Fich=baf0d451-e5de-4b14-ac9f-c186ad9dd24e.pdf&amp;Inline=true</t>
        </is>
      </c>
      <c r="X1006" s="2" t="inlineStr">
        <is>
          <t>Educação e Ciência</t>
        </is>
      </c>
      <c r="Y1006" s="2" t="inlineStr">
        <is>
          <t>Articulado</t>
        </is>
      </c>
      <c r="Z1006" s="2" t="inlineStr">
        <is>
          <t>Aditamento (Artigo PPL)</t>
        </is>
      </c>
      <c r="AA1006" s="2" t="inlineStr">
        <is>
          <t>Rejeitado(a) em Comissão</t>
        </is>
      </c>
      <c r="AB1006" s="2" t="inlineStr"/>
      <c r="AC1006" s="2" t="inlineStr"/>
      <c r="AD1006" s="2" t="inlineStr">
        <is>
          <t>1</t>
        </is>
      </c>
      <c r="AE1006" s="2" t="inlineStr">
        <is>
          <t>24180</t>
        </is>
      </c>
      <c r="AF1006" s="2" t="inlineStr">
        <is>
          <t>https://www.parlamento.pt/OrcamentoEstado/Paginas/DetalhePropostaAlteracao.aspx?BID=24180</t>
        </is>
      </c>
      <c r="AG1006" s="2" t="inlineStr">
        <is>
          <t>https://app.parlamento.pt/webutils/docs/doc.pdf?path=6148523063484d364c793942556b356c6443397a6158526c63793959566b6c4a544556484c3039464c7a49774d6a59794d4449314d5441774f53395151533969595759775a4451314d53316c4e57526c4c5452694d54517459574d355a69316a4d546732595751355a4751794e4755756347526d&amp;Fich=baf0d451-e5de-4b14-ac9f-c186ad9dd24e.pdf&amp;Inline=true</t>
        </is>
      </c>
      <c r="AH1006" s="3" t="n">
        <v>46321.77847222222</v>
      </c>
      <c r="AI1006" s="3" t="n">
        <v>46321.78055555555</v>
      </c>
      <c r="AJ1006" s="2" t="inlineStr"/>
    </row>
    <row r="1007">
      <c r="A1007" s="2" t="n">
        <v>1006</v>
      </c>
      <c r="B1007" s="2" t="inlineStr">
        <is>
          <t>943C</t>
        </is>
      </c>
      <c r="C1007" s="3" t="n">
        <v>45967.71666666667</v>
      </c>
      <c r="D1007" s="2" t="inlineStr">
        <is>
          <t>Original</t>
        </is>
      </c>
      <c r="E1007" s="2" t="inlineStr">
        <is>
          <t>L</t>
        </is>
      </c>
      <c r="F1007" s="2" t="inlineStr">
        <is>
          <t>Filipa Pinto; Isabel Mendes Lopes; Jorge Pinto; Patrícia Gonçalves; Paulo Muacho; Rui Tavares</t>
        </is>
      </c>
      <c r="G1007" s="2" t="inlineStr">
        <is>
          <t>Art. 126.º-A (aditamento)</t>
        </is>
      </c>
      <c r="H1007" s="2" t="n"/>
      <c r="I1007" s="2" t="n"/>
      <c r="J1007" s="2" t="n"/>
      <c r="K1007" s="2" t="n"/>
      <c r="L1007" s="2" t="inlineStr">
        <is>
          <t>Artigo 126.º-A (Retoma e alargamento do Programa 3C - Casa, Conforto e Clima)</t>
        </is>
      </c>
      <c r="M1007" s="4" t="n"/>
      <c r="N1007" s="4" t="n"/>
      <c r="O1007" s="2" t="n"/>
      <c r="P1007" s="2" t="n"/>
      <c r="Q1007" s="2" t="n"/>
      <c r="R1007" s="2" t="n"/>
      <c r="S1007" s="2" t="inlineStr">
        <is>
          <t>Rejeitado(a) em Comissão</t>
        </is>
      </c>
      <c r="T1007" s="2" t="inlineStr">
        <is>
          <t>Rejeitada</t>
        </is>
      </c>
      <c r="U1007" s="2" t="inlineStr">
        <is>
          <t>Favor: L, PCP, BE, PAN; Contra: PSD, CH, CDS-PP; Abstenção: PS, IL</t>
        </is>
      </c>
      <c r="V1007" s="3" t="n">
        <v>45985</v>
      </c>
      <c r="W1007" s="2" t="inlineStr">
        <is>
          <t>AR: https://www.parlamento.pt/OrcamentoEstado/Paginas/DetalhePropostaAlteracao.aspx?BID=24182 PDF: https://app.parlamento.pt/webutils/docs/doc.pdf?path=6148523063484d364c793942556b356c6443397a6158526c63793959566b6c4a544556484c3039464c7a49774d6a59794d4449314d5441774f533951515338325a4445315a4449774d7930344f4459324c5451344e474d744f44466c4d6931684f57526859546b314f4464694f4459756347526d&amp;Fich=6d15d203-8866-484c-81e2-a9daa9587b86.pdf&amp;Inline=true</t>
        </is>
      </c>
      <c r="X1007" s="2" t="inlineStr">
        <is>
          <t>Infraestruturas, Mobilidade e Habitação</t>
        </is>
      </c>
      <c r="Y1007" s="2" t="inlineStr">
        <is>
          <t>Articulado</t>
        </is>
      </c>
      <c r="Z1007" s="2" t="inlineStr">
        <is>
          <t>Aditamento (Artigo PPL)</t>
        </is>
      </c>
      <c r="AA1007" s="2" t="inlineStr">
        <is>
          <t>Rejeitado(a) em Comissão</t>
        </is>
      </c>
      <c r="AB1007" s="2" t="inlineStr"/>
      <c r="AC1007" s="2" t="inlineStr"/>
      <c r="AD1007" s="2" t="inlineStr">
        <is>
          <t>1</t>
        </is>
      </c>
      <c r="AE1007" s="2" t="inlineStr">
        <is>
          <t>24182</t>
        </is>
      </c>
      <c r="AF1007" s="2" t="inlineStr">
        <is>
          <t>https://www.parlamento.pt/OrcamentoEstado/Paginas/DetalhePropostaAlteracao.aspx?BID=24182</t>
        </is>
      </c>
      <c r="AG1007" s="2" t="inlineStr">
        <is>
          <t>https://app.parlamento.pt/webutils/docs/doc.pdf?path=6148523063484d364c793942556b356c6443397a6158526c63793959566b6c4a544556484c3039464c7a49774d6a59794d4449314d5441774f533951515338325a4445315a4449774d7930344f4459324c5451344e474d744f44466c4d6931684f57526859546b314f4464694f4459756347526d&amp;Fich=6d15d203-8866-484c-81e2-a9daa9587b86.pdf&amp;Inline=true</t>
        </is>
      </c>
      <c r="AH1007" s="3" t="n">
        <v>46321.77847222222</v>
      </c>
      <c r="AI1007" s="3" t="n">
        <v>46321.78055555555</v>
      </c>
      <c r="AJ1007" s="2" t="inlineStr"/>
    </row>
    <row r="1008">
      <c r="A1008" s="2" t="n">
        <v>1007</v>
      </c>
      <c r="B1008" s="2" t="inlineStr">
        <is>
          <t>944C</t>
        </is>
      </c>
      <c r="C1008" s="3" t="n">
        <v>45967.71805555555</v>
      </c>
      <c r="D1008" s="2" t="inlineStr">
        <is>
          <t>Original</t>
        </is>
      </c>
      <c r="E1008" s="2" t="inlineStr">
        <is>
          <t>BE</t>
        </is>
      </c>
      <c r="F1008" s="2" t="inlineStr">
        <is>
          <t>Mariana Mortágua</t>
        </is>
      </c>
      <c r="G1008" s="2" t="inlineStr">
        <is>
          <t>Art. 112.º-A (aditamento)</t>
        </is>
      </c>
      <c r="H1008" s="2" t="n"/>
      <c r="I1008" s="2" t="n"/>
      <c r="J1008" s="2" t="n"/>
      <c r="K1008" s="2" t="n"/>
      <c r="L1008" s="2" t="inlineStr">
        <is>
          <t>Artigo 112.º-A (Construção da Escola Secundária na Quinta do Conde)</t>
        </is>
      </c>
      <c r="M1008" s="4" t="n"/>
      <c r="N1008" s="4" t="n"/>
      <c r="O1008" s="2" t="n"/>
      <c r="P1008" s="2" t="n"/>
      <c r="Q1008" s="2" t="n"/>
      <c r="R1008" s="2" t="n"/>
      <c r="S1008" s="2" t="inlineStr">
        <is>
          <t>Rejeitado(a) em Comissão</t>
        </is>
      </c>
      <c r="T1008" s="2" t="inlineStr">
        <is>
          <t>Rejeitada</t>
        </is>
      </c>
      <c r="U1008" s="2" t="inlineStr">
        <is>
          <t>Favor: IL, L, PCP, BE, PAN; Contra: PSD, CDS-PP; Abstenção: CH, PS</t>
        </is>
      </c>
      <c r="V1008" s="3" t="n">
        <v>45982</v>
      </c>
      <c r="W1008" s="2" t="inlineStr">
        <is>
          <t>AR: https://www.parlamento.pt/OrcamentoEstado/Paginas/DetalhePropostaAlteracao.aspx?BID=24183 PDF: https://app.parlamento.pt/webutils/docs/doc.pdf?path=6148523063484d364c793942556b356c6443397a6158526c63793959566b6c4a544556484c3039464c7a49774d6a59794d4449314d5441774f5339515153396d595455344f5456685a5330334d5449304c5451305a474d74596a466b4e6930794d54426c5a6a6c6b5a5749314d6a49756347526d&amp;Fich=fa5895ae-7124-44dc-b1d6-210ef9deb522.pdf&amp;Inline=true</t>
        </is>
      </c>
      <c r="X1008" s="2" t="inlineStr">
        <is>
          <t>Educação e Ciência</t>
        </is>
      </c>
      <c r="Y1008" s="2" t="inlineStr">
        <is>
          <t>Articulado</t>
        </is>
      </c>
      <c r="Z1008" s="2" t="inlineStr">
        <is>
          <t>Aditamento (Artigo PPL)</t>
        </is>
      </c>
      <c r="AA1008" s="2" t="inlineStr">
        <is>
          <t>Rejeitado(a) em Comissão</t>
        </is>
      </c>
      <c r="AB1008" s="2" t="inlineStr"/>
      <c r="AC1008" s="2" t="inlineStr"/>
      <c r="AD1008" s="2" t="inlineStr">
        <is>
          <t>1</t>
        </is>
      </c>
      <c r="AE1008" s="2" t="inlineStr">
        <is>
          <t>24183</t>
        </is>
      </c>
      <c r="AF1008" s="2" t="inlineStr">
        <is>
          <t>https://www.parlamento.pt/OrcamentoEstado/Paginas/DetalhePropostaAlteracao.aspx?BID=24183</t>
        </is>
      </c>
      <c r="AG1008" s="2" t="inlineStr">
        <is>
          <t>https://app.parlamento.pt/webutils/docs/doc.pdf?path=6148523063484d364c793942556b356c6443397a6158526c63793959566b6c4a544556484c3039464c7a49774d6a59794d4449314d5441774f5339515153396d595455344f5456685a5330334d5449304c5451305a474d74596a466b4e6930794d54426c5a6a6c6b5a5749314d6a49756347526d&amp;Fich=fa5895ae-7124-44dc-b1d6-210ef9deb522.pdf&amp;Inline=true</t>
        </is>
      </c>
      <c r="AH1008" s="3" t="n">
        <v>46321.77847222222</v>
      </c>
      <c r="AI1008" s="3" t="n">
        <v>46321.78055555555</v>
      </c>
      <c r="AJ1008" s="2" t="inlineStr"/>
    </row>
    <row r="1009">
      <c r="A1009" s="2" t="n">
        <v>1008</v>
      </c>
      <c r="B1009" s="2" t="inlineStr">
        <is>
          <t>945C</t>
        </is>
      </c>
      <c r="C1009" s="3" t="n">
        <v>45967.72013888889</v>
      </c>
      <c r="D1009" s="2" t="inlineStr">
        <is>
          <t>Original</t>
        </is>
      </c>
      <c r="E1009" s="2" t="inlineStr">
        <is>
          <t>BE</t>
        </is>
      </c>
      <c r="F1009" s="2" t="inlineStr">
        <is>
          <t>Mariana Mortágua</t>
        </is>
      </c>
      <c r="G1009" s="2" t="inlineStr">
        <is>
          <t>Art. 20.º-A (aditamento)</t>
        </is>
      </c>
      <c r="H1009" s="2" t="n"/>
      <c r="I1009" s="2" t="n"/>
      <c r="J1009" s="2" t="n"/>
      <c r="K1009" s="2" t="n"/>
      <c r="L1009" s="2" t="inlineStr">
        <is>
          <t>Artigo 20.º-A (Consolidação de Mobilidade dos Técnicos Especializados)</t>
        </is>
      </c>
      <c r="M1009" s="4" t="n"/>
      <c r="N1009" s="4" t="n"/>
      <c r="O1009" s="2" t="n"/>
      <c r="P1009" s="2" t="n"/>
      <c r="Q1009" s="2" t="n"/>
      <c r="R1009" s="2" t="n"/>
      <c r="S1009" s="2" t="inlineStr">
        <is>
          <t>Rejeitado(a) em Comissão</t>
        </is>
      </c>
      <c r="T1009" s="2" t="inlineStr">
        <is>
          <t>Rejeitada</t>
        </is>
      </c>
      <c r="U1009" s="2" t="inlineStr">
        <is>
          <t>Favor: CH, L, PCP, BE, PAN; Contra: PSD, CDS-PP; Abstenção: PS, IL</t>
        </is>
      </c>
      <c r="V1009" s="3" t="n">
        <v>45981</v>
      </c>
      <c r="W1009" s="2" t="inlineStr">
        <is>
          <t>AR: https://www.parlamento.pt/OrcamentoEstado/Paginas/DetalhePropostaAlteracao.aspx?BID=24184 PDF: https://app.parlamento.pt/webutils/docs/doc.pdf?path=6148523063484d364c793942556b356c6443397a6158526c63793959566b6c4a544556484c3039464c7a49774d6a59794d4449314d5441774f533951515338334f5751325a5751314d53316d4d474d304c54526b4f546b74596a457a4e53316b4e6d517a5a544e684f575a6d4e6a41756347526d&amp;Fich=79d6ed51-f0c4-4d99-b135-d6d3e3a9ff60.pdf&amp;Inline=true</t>
        </is>
      </c>
      <c r="X1009" s="2" t="inlineStr">
        <is>
          <t>Defesa Nacional</t>
        </is>
      </c>
      <c r="Y1009" s="2" t="inlineStr">
        <is>
          <t>Articulado</t>
        </is>
      </c>
      <c r="Z1009" s="2" t="inlineStr">
        <is>
          <t>Aditamento (Artigo PPL)</t>
        </is>
      </c>
      <c r="AA1009" s="2" t="inlineStr">
        <is>
          <t>Rejeitado(a) em Comissão</t>
        </is>
      </c>
      <c r="AB1009" s="2" t="inlineStr"/>
      <c r="AC1009" s="2" t="inlineStr"/>
      <c r="AD1009" s="2" t="inlineStr">
        <is>
          <t>1</t>
        </is>
      </c>
      <c r="AE1009" s="2" t="inlineStr">
        <is>
          <t>24184</t>
        </is>
      </c>
      <c r="AF1009" s="2" t="inlineStr">
        <is>
          <t>https://www.parlamento.pt/OrcamentoEstado/Paginas/DetalhePropostaAlteracao.aspx?BID=24184</t>
        </is>
      </c>
      <c r="AG1009" s="2" t="inlineStr">
        <is>
          <t>https://app.parlamento.pt/webutils/docs/doc.pdf?path=6148523063484d364c793942556b356c6443397a6158526c63793959566b6c4a544556484c3039464c7a49774d6a59794d4449314d5441774f533951515338334f5751325a5751314d53316d4d474d304c54526b4f546b74596a457a4e53316b4e6d517a5a544e684f575a6d4e6a41756347526d&amp;Fich=79d6ed51-f0c4-4d99-b135-d6d3e3a9ff60.pdf&amp;Inline=true</t>
        </is>
      </c>
      <c r="AH1009" s="3" t="n">
        <v>46321.77847222222</v>
      </c>
      <c r="AI1009" s="3" t="n">
        <v>46321.78055555555</v>
      </c>
      <c r="AJ1009" s="2" t="inlineStr"/>
    </row>
    <row r="1010">
      <c r="A1010" s="2" t="n">
        <v>1009</v>
      </c>
      <c r="B1010" s="2" t="inlineStr">
        <is>
          <t>946C</t>
        </is>
      </c>
      <c r="C1010" s="3" t="n">
        <v>45967.72083333333</v>
      </c>
      <c r="D1010" s="2" t="inlineStr">
        <is>
          <t>Original</t>
        </is>
      </c>
      <c r="E1010" s="2" t="inlineStr">
        <is>
          <t>L</t>
        </is>
      </c>
      <c r="F1010" s="2" t="inlineStr">
        <is>
          <t>Filipa Pinto; Isabel Mendes Lopes; Jorge Pinto; Patrícia Gonçalves; Paulo Muacho; Rui Tavares</t>
        </is>
      </c>
      <c r="G1010" s="2" t="inlineStr">
        <is>
          <t>Art. 38.º-A (aditamento)</t>
        </is>
      </c>
      <c r="H1010" s="2" t="n"/>
      <c r="I1010" s="2" t="n"/>
      <c r="J1010" s="2" t="n"/>
      <c r="K1010" s="2" t="n"/>
      <c r="L1010" s="2" t="inlineStr">
        <is>
          <t>Artigo 38.º-A (Subsídio de funeral no caso de morte de nascituro, criança ou jovem)</t>
        </is>
      </c>
      <c r="M1010" s="4" t="n"/>
      <c r="N1010" s="4" t="n"/>
      <c r="O1010" s="2" t="n"/>
      <c r="P1010" s="2" t="n"/>
      <c r="Q1010" s="2" t="n"/>
      <c r="R1010" s="2" t="n"/>
      <c r="S1010" s="2" t="inlineStr">
        <is>
          <t>Rejeitado(a) em Comissão</t>
        </is>
      </c>
      <c r="T1010" s="2" t="inlineStr">
        <is>
          <t>Rejeitada</t>
        </is>
      </c>
      <c r="U1010" s="2" t="inlineStr">
        <is>
          <t>Favor: IL, L, PCP, BE, PAN; Contra: PSD, CDS-PP; Abstenção: CH, PS</t>
        </is>
      </c>
      <c r="V1010" s="3" t="n">
        <v>45981</v>
      </c>
      <c r="W1010" s="2" t="inlineStr">
        <is>
          <t>AR: https://www.parlamento.pt/OrcamentoEstado/Paginas/DetalhePropostaAlteracao.aspx?BID=24185 PDF: https://app.parlamento.pt/webutils/docs/doc.pdf?path=6148523063484d364c793942556b356c6443397a6158526c63793959566b6c4a544556484c3039464c7a49774d6a59794d4449314d5441774f533951515339694d4455304f4755314e4330325954526d4c54526a5a44457459574e685a43316c4e3255344e6d59334e6a55304d4449756347526d&amp;Fich=b0548e54-6a4f-4cd1-acad-e7e86f765402.pdf&amp;Inline=true</t>
        </is>
      </c>
      <c r="X1010" s="2" t="inlineStr">
        <is>
          <t>Reforma do Estado e Poder Local</t>
        </is>
      </c>
      <c r="Y1010" s="2" t="inlineStr">
        <is>
          <t>Articulado</t>
        </is>
      </c>
      <c r="Z1010" s="2" t="inlineStr">
        <is>
          <t>Aditamento (Artigo PPL)</t>
        </is>
      </c>
      <c r="AA1010" s="2" t="inlineStr">
        <is>
          <t>Rejeitado(a) em Comissão</t>
        </is>
      </c>
      <c r="AB1010" s="2" t="inlineStr"/>
      <c r="AC1010" s="2" t="inlineStr"/>
      <c r="AD1010" s="2" t="inlineStr">
        <is>
          <t>1</t>
        </is>
      </c>
      <c r="AE1010" s="2" t="inlineStr">
        <is>
          <t>24185</t>
        </is>
      </c>
      <c r="AF1010" s="2" t="inlineStr">
        <is>
          <t>https://www.parlamento.pt/OrcamentoEstado/Paginas/DetalhePropostaAlteracao.aspx?BID=24185</t>
        </is>
      </c>
      <c r="AG1010" s="2" t="inlineStr">
        <is>
          <t>https://app.parlamento.pt/webutils/docs/doc.pdf?path=6148523063484d364c793942556b356c6443397a6158526c63793959566b6c4a544556484c3039464c7a49774d6a59794d4449314d5441774f533951515339694d4455304f4755314e4330325954526d4c54526a5a44457459574e685a43316c4e3255344e6d59334e6a55304d4449756347526d&amp;Fich=b0548e54-6a4f-4cd1-acad-e7e86f765402.pdf&amp;Inline=true</t>
        </is>
      </c>
      <c r="AH1010" s="3" t="n">
        <v>46321.77847222222</v>
      </c>
      <c r="AI1010" s="3" t="n">
        <v>46321.78055555555</v>
      </c>
      <c r="AJ1010" s="2" t="inlineStr"/>
    </row>
    <row r="1011">
      <c r="A1011" s="2" t="n">
        <v>1010</v>
      </c>
      <c r="B1011" s="2" t="inlineStr">
        <is>
          <t>947C</t>
        </is>
      </c>
      <c r="C1011" s="3" t="n">
        <v>45967.72152777778</v>
      </c>
      <c r="D1011" s="2" t="inlineStr">
        <is>
          <t>Original</t>
        </is>
      </c>
      <c r="E1011" s="2" t="inlineStr">
        <is>
          <t>BE</t>
        </is>
      </c>
      <c r="F1011" s="2" t="inlineStr">
        <is>
          <t>Mariana Mortágua</t>
        </is>
      </c>
      <c r="G1011" s="2" t="inlineStr">
        <is>
          <t>Art. 38.º-C (aditamento)</t>
        </is>
      </c>
      <c r="H1011" s="2" t="n"/>
      <c r="I1011" s="2" t="n"/>
      <c r="J1011" s="2" t="n"/>
      <c r="K1011" s="2" t="n"/>
      <c r="L1011" s="2" t="inlineStr">
        <is>
          <t>Artigo 38.º-C (Aumento do valor do Abono de Família)</t>
        </is>
      </c>
      <c r="M1011" s="4" t="n"/>
      <c r="N1011" s="4" t="n"/>
      <c r="O1011" s="2" t="n"/>
      <c r="P1011" s="2" t="n"/>
      <c r="Q1011" s="2" t="n"/>
      <c r="R1011" s="2" t="n"/>
      <c r="S1011" s="2" t="inlineStr">
        <is>
          <t>Rejeitado(a) em Comissão</t>
        </is>
      </c>
      <c r="T1011" s="2" t="inlineStr">
        <is>
          <t>Rejeitada</t>
        </is>
      </c>
      <c r="U1011" s="2" t="inlineStr">
        <is>
          <t>Favor: CH, IL, L, PCP, BE, PAN; Contra: PSD, CDS-PP; Abstenção: PS</t>
        </is>
      </c>
      <c r="V1011" s="3" t="n">
        <v>45981</v>
      </c>
      <c r="W1011" s="2" t="inlineStr">
        <is>
          <t>AR: https://www.parlamento.pt/OrcamentoEstado/Paginas/DetalhePropostaAlteracao.aspx?BID=24186 PDF: https://app.parlamento.pt/webutils/docs/doc.pdf?path=6148523063484d364c793942556b356c6443397a6158526c63793959566b6c4a544556484c3039464c7a49774d6a59794d4449314d5441774f5339515153396a5a474d32593249304d6930785a5459304c54526d4e574574595745334e6931685a4446684d6a52684f54686c5a4459756347526d&amp;Fich=cdc6cb42-1e64-4f5a-aa76-ad1a24a98ed6.pdf&amp;Inline=true</t>
        </is>
      </c>
      <c r="X1011" s="2" t="inlineStr">
        <is>
          <t>Trabalho, Segurança Social e Inclusão</t>
        </is>
      </c>
      <c r="Y1011" s="2" t="inlineStr">
        <is>
          <t>Articulado</t>
        </is>
      </c>
      <c r="Z1011" s="2" t="inlineStr">
        <is>
          <t>Aditamento (Artigo PPL)</t>
        </is>
      </c>
      <c r="AA1011" s="2" t="inlineStr">
        <is>
          <t>Rejeitado(a) em Comissão</t>
        </is>
      </c>
      <c r="AB1011" s="2" t="inlineStr"/>
      <c r="AC1011" s="2" t="inlineStr"/>
      <c r="AD1011" s="2" t="inlineStr">
        <is>
          <t>1</t>
        </is>
      </c>
      <c r="AE1011" s="2" t="inlineStr">
        <is>
          <t>24186</t>
        </is>
      </c>
      <c r="AF1011" s="2" t="inlineStr">
        <is>
          <t>https://www.parlamento.pt/OrcamentoEstado/Paginas/DetalhePropostaAlteracao.aspx?BID=24186</t>
        </is>
      </c>
      <c r="AG1011" s="2" t="inlineStr">
        <is>
          <t>https://app.parlamento.pt/webutils/docs/doc.pdf?path=6148523063484d364c793942556b356c6443397a6158526c63793959566b6c4a544556484c3039464c7a49774d6a59794d4449314d5441774f5339515153396a5a474d32593249304d6930785a5459304c54526d4e574574595745334e6931685a4446684d6a52684f54686c5a4459756347526d&amp;Fich=cdc6cb42-1e64-4f5a-aa76-ad1a24a98ed6.pdf&amp;Inline=true</t>
        </is>
      </c>
      <c r="AH1011" s="3" t="n">
        <v>46321.77847222222</v>
      </c>
      <c r="AI1011" s="3" t="n">
        <v>46321.78055555555</v>
      </c>
      <c r="AJ1011" s="2" t="inlineStr"/>
    </row>
    <row r="1012">
      <c r="A1012" s="2" t="n">
        <v>1011</v>
      </c>
      <c r="B1012" s="2" t="inlineStr">
        <is>
          <t>948C</t>
        </is>
      </c>
      <c r="C1012" s="3" t="n">
        <v>45967.72361111111</v>
      </c>
      <c r="D1012" s="2" t="inlineStr">
        <is>
          <t>Original</t>
        </is>
      </c>
      <c r="E1012" s="2" t="inlineStr">
        <is>
          <t>BE</t>
        </is>
      </c>
      <c r="F1012" s="2" t="inlineStr">
        <is>
          <t>Mariana Mortágua</t>
        </is>
      </c>
      <c r="G1012" s="2" t="inlineStr">
        <is>
          <t>Art. 90.º-A (aditamento)</t>
        </is>
      </c>
      <c r="H1012" s="2" t="n"/>
      <c r="I1012" s="2" t="n"/>
      <c r="J1012" s="2" t="n"/>
      <c r="K1012" s="2" t="n"/>
      <c r="L1012" s="2" t="inlineStr">
        <is>
          <t>Artigo 90.º-A (Reforço das Secções Especializadas Integradas de Violência Doméstica)</t>
        </is>
      </c>
      <c r="M1012" s="4" t="n"/>
      <c r="N1012" s="4" t="n"/>
      <c r="O1012" s="2" t="n"/>
      <c r="P1012" s="2" t="n"/>
      <c r="Q1012" s="2" t="n"/>
      <c r="R1012" s="2" t="n"/>
      <c r="S1012" s="2" t="inlineStr">
        <is>
          <t>Rejeitado(a) em Comissão</t>
        </is>
      </c>
      <c r="T1012" s="2" t="inlineStr">
        <is>
          <t>Rejeitada</t>
        </is>
      </c>
      <c r="U1012" s="2" t="inlineStr">
        <is>
          <t>Favor: CH, L, PCP, BE, PAN; Contra: PSD, CDS-PP; Abstenção: PS, IL</t>
        </is>
      </c>
      <c r="V1012" s="3" t="n">
        <v>45982</v>
      </c>
      <c r="W1012" s="2" t="inlineStr">
        <is>
          <t>AR: https://www.parlamento.pt/OrcamentoEstado/Paginas/DetalhePropostaAlteracao.aspx?BID=24187 PDF: https://app.parlamento.pt/webutils/docs/doc.pdf?path=6148523063484d364c793942556b356c6443397a6158526c63793959566b6c4a544556484c3039464c7a49774d6a59794d4449314d5441774f5339515153396d4f474a6c595459315a5330354e6a49334c54526c4d7a5574596a51774d5330304e47466d4d575a68597a42684e5455756347526d&amp;Fich=f8bea65e-9627-4e35-b401-44af1fac0a55.pdf&amp;Inline=true</t>
        </is>
      </c>
      <c r="X1012" s="2" t="inlineStr">
        <is>
          <t>Assuntos Constitucionais, Direitos, Liberdades e Garantias</t>
        </is>
      </c>
      <c r="Y1012" s="2" t="inlineStr">
        <is>
          <t>Articulado</t>
        </is>
      </c>
      <c r="Z1012" s="2" t="inlineStr">
        <is>
          <t>Aditamento (Artigo PPL)</t>
        </is>
      </c>
      <c r="AA1012" s="2" t="inlineStr">
        <is>
          <t>Rejeitado(a) em Comissão</t>
        </is>
      </c>
      <c r="AB1012" s="2" t="inlineStr"/>
      <c r="AC1012" s="2" t="inlineStr"/>
      <c r="AD1012" s="2" t="inlineStr">
        <is>
          <t>1</t>
        </is>
      </c>
      <c r="AE1012" s="2" t="inlineStr">
        <is>
          <t>24187</t>
        </is>
      </c>
      <c r="AF1012" s="2" t="inlineStr">
        <is>
          <t>https://www.parlamento.pt/OrcamentoEstado/Paginas/DetalhePropostaAlteracao.aspx?BID=24187</t>
        </is>
      </c>
      <c r="AG1012" s="2" t="inlineStr">
        <is>
          <t>https://app.parlamento.pt/webutils/docs/doc.pdf?path=6148523063484d364c793942556b356c6443397a6158526c63793959566b6c4a544556484c3039464c7a49774d6a59794d4449314d5441774f5339515153396d4f474a6c595459315a5330354e6a49334c54526c4d7a5574596a51774d5330304e47466d4d575a68597a42684e5455756347526d&amp;Fich=f8bea65e-9627-4e35-b401-44af1fac0a55.pdf&amp;Inline=true</t>
        </is>
      </c>
      <c r="AH1012" s="3" t="n">
        <v>46321.77847222222</v>
      </c>
      <c r="AI1012" s="3" t="n">
        <v>46321.78055555555</v>
      </c>
      <c r="AJ1012" s="2" t="inlineStr"/>
    </row>
    <row r="1013">
      <c r="A1013" s="2" t="n">
        <v>1012</v>
      </c>
      <c r="B1013" s="2" t="inlineStr">
        <is>
          <t>949C</t>
        </is>
      </c>
      <c r="C1013" s="3" t="n">
        <v>45967.72708333333</v>
      </c>
      <c r="D1013" s="2" t="inlineStr">
        <is>
          <t>Original</t>
        </is>
      </c>
      <c r="E1013" s="2" t="inlineStr">
        <is>
          <t>BE</t>
        </is>
      </c>
      <c r="F1013" s="2" t="inlineStr">
        <is>
          <t>Mariana Mortágua</t>
        </is>
      </c>
      <c r="G1013" s="2" t="inlineStr">
        <is>
          <t>Art. 21.º-A (aditamento)</t>
        </is>
      </c>
      <c r="H1013" s="2" t="n"/>
      <c r="I1013" s="2" t="n"/>
      <c r="J1013" s="2" t="n"/>
      <c r="K1013" s="2" t="n"/>
      <c r="L1013" s="2" t="inlineStr">
        <is>
          <t>Artigo 21.º-A (Contratação de Investigadores para Posições Permanentes)</t>
        </is>
      </c>
      <c r="M1013" s="4" t="n"/>
      <c r="N1013" s="4" t="n"/>
      <c r="O1013" s="2" t="n"/>
      <c r="P1013" s="2" t="n"/>
      <c r="Q1013" s="2" t="n"/>
      <c r="R1013" s="2" t="n"/>
      <c r="S1013" s="2" t="inlineStr">
        <is>
          <t>Rejeitado(a) em Comissão</t>
        </is>
      </c>
      <c r="T1013" s="2" t="inlineStr">
        <is>
          <t>Rejeitada</t>
        </is>
      </c>
      <c r="U1013" s="2" t="inlineStr">
        <is>
          <t>Favor: CH, L, PCP, BE, PAN; Contra: PSD, IL, CDS-PP; Abstenção: PS</t>
        </is>
      </c>
      <c r="V1013" s="3" t="n">
        <v>45981</v>
      </c>
      <c r="W1013" s="2" t="inlineStr">
        <is>
          <t>AR: https://www.parlamento.pt/OrcamentoEstado/Paginas/DetalhePropostaAlteracao.aspx?BID=24188 PDF: https://app.parlamento.pt/webutils/docs/doc.pdf?path=6148523063484d364c793942556b356c6443397a6158526c63793959566b6c4a544556484c3039464c7a49774d6a59794d4449314d5441774f53395151533969596a49304e6d5a695a6930334e47526c4c5451305a445574596a49314d4330794d7a466d59546b7a597a55775a4459756347526d&amp;Fich=bb246fbf-74de-44d5-b250-231fa93c50d6.pdf&amp;Inline=true</t>
        </is>
      </c>
      <c r="X1013" s="2" t="inlineStr">
        <is>
          <t>Educação e Ciência</t>
        </is>
      </c>
      <c r="Y1013" s="2" t="inlineStr">
        <is>
          <t>Articulado</t>
        </is>
      </c>
      <c r="Z1013" s="2" t="inlineStr">
        <is>
          <t>Aditamento (Artigo PPL)</t>
        </is>
      </c>
      <c r="AA1013" s="2" t="inlineStr">
        <is>
          <t>Rejeitado(a) em Comissão</t>
        </is>
      </c>
      <c r="AB1013" s="2" t="inlineStr"/>
      <c r="AC1013" s="2" t="inlineStr"/>
      <c r="AD1013" s="2" t="inlineStr">
        <is>
          <t>1</t>
        </is>
      </c>
      <c r="AE1013" s="2" t="inlineStr">
        <is>
          <t>24188</t>
        </is>
      </c>
      <c r="AF1013" s="2" t="inlineStr">
        <is>
          <t>https://www.parlamento.pt/OrcamentoEstado/Paginas/DetalhePropostaAlteracao.aspx?BID=24188</t>
        </is>
      </c>
      <c r="AG1013" s="2" t="inlineStr">
        <is>
          <t>https://app.parlamento.pt/webutils/docs/doc.pdf?path=6148523063484d364c793942556b356c6443397a6158526c63793959566b6c4a544556484c3039464c7a49774d6a59794d4449314d5441774f53395151533969596a49304e6d5a695a6930334e47526c4c5451305a445574596a49314d4330794d7a466d59546b7a597a55775a4459756347526d&amp;Fich=bb246fbf-74de-44d5-b250-231fa93c50d6.pdf&amp;Inline=true</t>
        </is>
      </c>
      <c r="AH1013" s="3" t="n">
        <v>46321.77847222222</v>
      </c>
      <c r="AI1013" s="3" t="n">
        <v>46321.78055555555</v>
      </c>
      <c r="AJ1013" s="2" t="inlineStr"/>
    </row>
    <row r="1014">
      <c r="A1014" s="2" t="n">
        <v>1013</v>
      </c>
      <c r="B1014" s="2" t="inlineStr">
        <is>
          <t>950C</t>
        </is>
      </c>
      <c r="C1014" s="3" t="n">
        <v>45967.72708333333</v>
      </c>
      <c r="D1014" s="2" t="inlineStr">
        <is>
          <t>Original</t>
        </is>
      </c>
      <c r="E1014" s="2" t="inlineStr">
        <is>
          <t>PCP</t>
        </is>
      </c>
      <c r="F1014" s="2" t="inlineStr">
        <is>
          <t>Alfredo Maia; Paula Santos; Paulo Raimundo</t>
        </is>
      </c>
      <c r="G1014" s="2" t="inlineStr">
        <is>
          <t>Art. 113.º-A (aditamento)</t>
        </is>
      </c>
      <c r="H1014" s="2" t="n"/>
      <c r="I1014" s="2" t="n"/>
      <c r="J1014" s="2" t="n"/>
      <c r="K1014" s="2" t="n"/>
      <c r="L1014" s="2" t="inlineStr">
        <is>
          <t>Artigo 113.º-A (Requalificação e duplicação do IP3 entre Coimbra e Santa Comba Dão)</t>
        </is>
      </c>
      <c r="M1014" s="4" t="n"/>
      <c r="N1014" s="4" t="n"/>
      <c r="O1014" s="2" t="n"/>
      <c r="P1014" s="2" t="n"/>
      <c r="Q1014" s="2" t="n"/>
      <c r="R1014" s="2" t="n"/>
      <c r="S1014" s="2" t="inlineStr">
        <is>
          <t>Aprovado(a) em Comissão</t>
        </is>
      </c>
      <c r="T1014" s="2" t="inlineStr">
        <is>
          <t>Aprovada</t>
        </is>
      </c>
      <c r="U1014" s="2" t="inlineStr">
        <is>
          <t>Favor: CH, PS, L, PCP, BE, PAN; Contra: PSD, CDS-PP; Abstenção: IL</t>
        </is>
      </c>
      <c r="V1014" s="3" t="n">
        <v>45985</v>
      </c>
      <c r="W1014" s="2" t="inlineStr">
        <is>
          <t>AR: https://www.parlamento.pt/OrcamentoEstado/Paginas/DetalhePropostaAlteracao.aspx?BID=24189 PDF: https://app.parlamento.pt/webutils/docs/doc.pdf?path=6148523063484d364c793942556b356c6443397a6158526c63793959566b6c4a544556484c3039464c7a49774d6a59794d4449314d5441774f533951515338324d7a557a4f5452685a53307a5a6a67324c54526a4f446374596a49775a533032596d59304e444e6d5a44526d5a4755756347526d&amp;Fich=635394ae-3f86-4c87-b20e-6bf443fd4fde.pdf&amp;Inline=true</t>
        </is>
      </c>
      <c r="X1014" s="2" t="inlineStr">
        <is>
          <t>Infraestruturas, Mobilidade e Habitação</t>
        </is>
      </c>
      <c r="Y1014" s="2" t="inlineStr">
        <is>
          <t>Articulado</t>
        </is>
      </c>
      <c r="Z1014" s="2" t="inlineStr">
        <is>
          <t>Aditamento (Artigo PPL)</t>
        </is>
      </c>
      <c r="AA1014" s="2" t="inlineStr">
        <is>
          <t>Aprovado(a) em Comissão</t>
        </is>
      </c>
      <c r="AB1014" s="2" t="inlineStr"/>
      <c r="AC1014" s="2" t="inlineStr"/>
      <c r="AD1014" s="2" t="inlineStr">
        <is>
          <t>1</t>
        </is>
      </c>
      <c r="AE1014" s="2" t="inlineStr">
        <is>
          <t>24189</t>
        </is>
      </c>
      <c r="AF1014" s="2" t="inlineStr">
        <is>
          <t>https://www.parlamento.pt/OrcamentoEstado/Paginas/DetalhePropostaAlteracao.aspx?BID=24189</t>
        </is>
      </c>
      <c r="AG1014" s="2" t="inlineStr">
        <is>
          <t>https://app.parlamento.pt/webutils/docs/doc.pdf?path=6148523063484d364c793942556b356c6443397a6158526c63793959566b6c4a544556484c3039464c7a49774d6a59794d4449314d5441774f533951515338324d7a557a4f5452685a53307a5a6a67324c54526a4f446374596a49775a533032596d59304e444e6d5a44526d5a4755756347526d&amp;Fich=635394ae-3f86-4c87-b20e-6bf443fd4fde.pdf&amp;Inline=true</t>
        </is>
      </c>
      <c r="AH1014" s="3" t="n">
        <v>46321.77847222222</v>
      </c>
      <c r="AI1014" s="3" t="n">
        <v>46321.78055555555</v>
      </c>
      <c r="AJ1014" s="2" t="inlineStr"/>
    </row>
    <row r="1015">
      <c r="A1015" s="2" t="n">
        <v>1014</v>
      </c>
      <c r="B1015" s="2" t="inlineStr">
        <is>
          <t>951C</t>
        </is>
      </c>
      <c r="C1015" s="3" t="n">
        <v>45967.72847222222</v>
      </c>
      <c r="D1015" s="2" t="inlineStr">
        <is>
          <t>Original</t>
        </is>
      </c>
      <c r="E1015" s="2" t="inlineStr">
        <is>
          <t>BE</t>
        </is>
      </c>
      <c r="F1015" s="2" t="inlineStr">
        <is>
          <t>Mariana Mortágua</t>
        </is>
      </c>
      <c r="G1015" s="2" t="inlineStr">
        <is>
          <t>Art. 21.º-A (aditamento)</t>
        </is>
      </c>
      <c r="H1015" s="2" t="n"/>
      <c r="I1015" s="2" t="n"/>
      <c r="J1015" s="2" t="n"/>
      <c r="K1015" s="2" t="n"/>
      <c r="L1015" s="2" t="inlineStr">
        <is>
          <t>Artigo 21.º-A (Valorização das Carreiras do Ensino Superior e da Ciência)</t>
        </is>
      </c>
      <c r="M1015" s="4" t="n"/>
      <c r="N1015" s="4" t="n"/>
      <c r="O1015" s="2" t="n"/>
      <c r="P1015" s="2" t="n"/>
      <c r="Q1015" s="2" t="n"/>
      <c r="R1015" s="2" t="n"/>
      <c r="S1015" s="2" t="inlineStr">
        <is>
          <t>Rejeitado(a) em Comissão</t>
        </is>
      </c>
      <c r="T1015" s="2" t="inlineStr">
        <is>
          <t>Rejeitada</t>
        </is>
      </c>
      <c r="U1015" s="2" t="inlineStr">
        <is>
          <t>Favor: L, PCP, BE, PAN; Contra: PSD, CDS-PP; Abstenção: CH, PS, IL</t>
        </is>
      </c>
      <c r="V1015" s="3" t="n">
        <v>45981</v>
      </c>
      <c r="W1015" s="2" t="inlineStr">
        <is>
          <t>AR: https://www.parlamento.pt/OrcamentoEstado/Paginas/DetalhePropostaAlteracao.aspx?BID=24190 PDF: https://app.parlamento.pt/webutils/docs/doc.pdf?path=6148523063484d364c793942556b356c6443397a6158526c63793959566b6c4a544556484c3039464c7a49774d6a59794d4449314d5441774f533951515339695957497a4d324a6c5a6930335a474d794c5451794d6d4574596d566b4e53316a5a546b344e6d45795a4441344d3255756347526d&amp;Fich=bab33bef-7dc2-422a-bed5-ce986a2d083e.pdf&amp;Inline=true</t>
        </is>
      </c>
      <c r="X1015" s="2" t="inlineStr">
        <is>
          <t>Educação e Ciência</t>
        </is>
      </c>
      <c r="Y1015" s="2" t="inlineStr">
        <is>
          <t>Articulado</t>
        </is>
      </c>
      <c r="Z1015" s="2" t="inlineStr">
        <is>
          <t>Aditamento (Artigo PPL)</t>
        </is>
      </c>
      <c r="AA1015" s="2" t="inlineStr">
        <is>
          <t>Rejeitado(a) em Comissão</t>
        </is>
      </c>
      <c r="AB1015" s="2" t="inlineStr"/>
      <c r="AC1015" s="2" t="inlineStr"/>
      <c r="AD1015" s="2" t="inlineStr">
        <is>
          <t>1</t>
        </is>
      </c>
      <c r="AE1015" s="2" t="inlineStr">
        <is>
          <t>24190</t>
        </is>
      </c>
      <c r="AF1015" s="2" t="inlineStr">
        <is>
          <t>https://www.parlamento.pt/OrcamentoEstado/Paginas/DetalhePropostaAlteracao.aspx?BID=24190</t>
        </is>
      </c>
      <c r="AG1015" s="2" t="inlineStr">
        <is>
          <t>https://app.parlamento.pt/webutils/docs/doc.pdf?path=6148523063484d364c793942556b356c6443397a6158526c63793959566b6c4a544556484c3039464c7a49774d6a59794d4449314d5441774f533951515339695957497a4d324a6c5a6930335a474d794c5451794d6d4574596d566b4e53316a5a546b344e6d45795a4441344d3255756347526d&amp;Fich=bab33bef-7dc2-422a-bed5-ce986a2d083e.pdf&amp;Inline=true</t>
        </is>
      </c>
      <c r="AH1015" s="3" t="n">
        <v>46321.77847222222</v>
      </c>
      <c r="AI1015" s="3" t="n">
        <v>46321.78055555555</v>
      </c>
      <c r="AJ1015" s="2" t="inlineStr"/>
    </row>
    <row r="1016">
      <c r="A1016" s="2" t="n">
        <v>1015</v>
      </c>
      <c r="B1016" s="2" t="inlineStr">
        <is>
          <t>952C</t>
        </is>
      </c>
      <c r="C1016" s="3" t="n">
        <v>45967.73055555556</v>
      </c>
      <c r="D1016" s="2" t="inlineStr">
        <is>
          <t>Original</t>
        </is>
      </c>
      <c r="E1016" s="2" t="inlineStr">
        <is>
          <t>BE</t>
        </is>
      </c>
      <c r="F1016" s="2" t="inlineStr">
        <is>
          <t>Mariana Mortágua</t>
        </is>
      </c>
      <c r="G1016" s="2" t="inlineStr">
        <is>
          <t>Art. 19.º (substituição)</t>
        </is>
      </c>
      <c r="H1016" s="2" t="n"/>
      <c r="I1016" s="2" t="n"/>
      <c r="J1016" s="2" t="n"/>
      <c r="K1016" s="2" t="n"/>
      <c r="L1016" s="2" t="inlineStr">
        <is>
          <t>Artigo 19.º</t>
        </is>
      </c>
      <c r="M1016" s="4" t="n"/>
      <c r="N1016" s="4" t="n"/>
      <c r="O1016" s="2" t="n"/>
      <c r="P1016" s="2" t="n"/>
      <c r="Q1016" s="2" t="n"/>
      <c r="R1016" s="2" t="n"/>
      <c r="S1016" s="2" t="inlineStr">
        <is>
          <t>Rejeitado(a) em Comissão</t>
        </is>
      </c>
      <c r="T1016" s="2" t="inlineStr">
        <is>
          <t>Rejeitada</t>
        </is>
      </c>
      <c r="U1016" s="2" t="inlineStr">
        <is>
          <t>Favor: IL, L, PCP, BE, PAN; Contra: PSD, CDS-PP; Abstenção: CH, PS</t>
        </is>
      </c>
      <c r="V1016" s="3" t="n">
        <v>45981</v>
      </c>
      <c r="W1016" s="2" t="inlineStr">
        <is>
          <t>AR: https://www.parlamento.pt/OrcamentoEstado/Paginas/DetalhePropostaAlteracao.aspx?BID=24191 PDF: https://app.parlamento.pt/webutils/docs/doc.pdf?path=6148523063484d364c793942556b356c6443397a6158526c63793959566b6c4a544556484c3039464c7a49774d6a59794d4449314d5441774f5339515153396c597a686d5a5759314e43316a597a63784c5451794e5755744f544d774e5330304e54466c4d7a46694e5451304f4759756347526d&amp;Fich=ec8fef54-cc71-425e-9305-451e31b5448f.pdf&amp;Inline=true</t>
        </is>
      </c>
      <c r="X1016" s="2" t="inlineStr">
        <is>
          <t>Orçamento, Finanças e Administração Pública</t>
        </is>
      </c>
      <c r="Y1016" s="2" t="inlineStr">
        <is>
          <t>Articulado</t>
        </is>
      </c>
      <c r="Z1016" s="2" t="inlineStr">
        <is>
          <t>Substituição</t>
        </is>
      </c>
      <c r="AA1016" s="2" t="inlineStr">
        <is>
          <t>Rejeitado(a) em Comissão</t>
        </is>
      </c>
      <c r="AB1016" s="2" t="inlineStr"/>
      <c r="AC1016" s="2" t="inlineStr"/>
      <c r="AD1016" s="2" t="inlineStr">
        <is>
          <t>1</t>
        </is>
      </c>
      <c r="AE1016" s="2" t="inlineStr">
        <is>
          <t>24191</t>
        </is>
      </c>
      <c r="AF1016" s="2" t="inlineStr">
        <is>
          <t>https://www.parlamento.pt/OrcamentoEstado/Paginas/DetalhePropostaAlteracao.aspx?BID=24191</t>
        </is>
      </c>
      <c r="AG1016" s="2" t="inlineStr">
        <is>
          <t>https://app.parlamento.pt/webutils/docs/doc.pdf?path=6148523063484d364c793942556b356c6443397a6158526c63793959566b6c4a544556484c3039464c7a49774d6a59794d4449314d5441774f5339515153396c597a686d5a5759314e43316a597a63784c5451794e5755744f544d774e5330304e54466c4d7a46694e5451304f4759756347526d&amp;Fich=ec8fef54-cc71-425e-9305-451e31b5448f.pdf&amp;Inline=true</t>
        </is>
      </c>
      <c r="AH1016" s="3" t="n">
        <v>46321.77847222222</v>
      </c>
      <c r="AI1016" s="3" t="n">
        <v>46321.78055555555</v>
      </c>
      <c r="AJ1016" s="2" t="inlineStr"/>
    </row>
    <row r="1017">
      <c r="A1017" s="2" t="n">
        <v>1016</v>
      </c>
      <c r="B1017" s="2" t="inlineStr">
        <is>
          <t>953C</t>
        </is>
      </c>
      <c r="C1017" s="3" t="n">
        <v>45967.74027777778</v>
      </c>
      <c r="D1017" s="2" t="inlineStr">
        <is>
          <t>Original</t>
        </is>
      </c>
      <c r="E1017" s="2" t="inlineStr">
        <is>
          <t>BE</t>
        </is>
      </c>
      <c r="F1017" s="2" t="inlineStr">
        <is>
          <t>Mariana Mortágua</t>
        </is>
      </c>
      <c r="G1017" s="2" t="inlineStr">
        <is>
          <t>Art. 20.º-A (aditamento)</t>
        </is>
      </c>
      <c r="H1017" s="2" t="n"/>
      <c r="I1017" s="2" t="n"/>
      <c r="J1017" s="2" t="n"/>
      <c r="K1017" s="2" t="n"/>
      <c r="L1017" s="2" t="inlineStr">
        <is>
          <t>Artigo 20.º-A (Reforço dos direitos dos investigadores em formação e de projeto)</t>
        </is>
      </c>
      <c r="M1017" s="4" t="n"/>
      <c r="N1017" s="4" t="n"/>
      <c r="O1017" s="2" t="n"/>
      <c r="P1017" s="2" t="n"/>
      <c r="Q1017" s="2" t="n"/>
      <c r="R1017" s="2" t="n"/>
      <c r="S1017" s="2" t="inlineStr">
        <is>
          <t>Aprovado(a) em Comissão</t>
        </is>
      </c>
      <c r="T1017" s="2" t="inlineStr">
        <is>
          <t>Aprovada</t>
        </is>
      </c>
      <c r="U1017" s="2" t="inlineStr">
        <is>
          <t>Favor: CH, PS, L, PCP, BE, PAN; Contra: PSD, CDS-PP; Abstenção: IL</t>
        </is>
      </c>
      <c r="V1017" s="3" t="n">
        <v>45981</v>
      </c>
      <c r="W1017" s="2" t="inlineStr">
        <is>
          <t>AR: https://www.parlamento.pt/OrcamentoEstado/Paginas/DetalhePropostaAlteracao.aspx?BID=24192 PDF: https://app.parlamento.pt/webutils/docs/doc.pdf?path=6148523063484d364c793942556b356c6443397a6158526c63793959566b6c4a544556484c3039464c7a49774d6a59794d4449314d5441774f53395151533877597a63325a475a6d5a69316a4d7a67774c54517759546b74596a6c6d4f5330774f47566d4d5759304f5445784d546b756347526d&amp;Fich=0c76dfff-c380-40a9-b9f9-08ef1f491119.pdf&amp;Inline=true</t>
        </is>
      </c>
      <c r="X1017" s="2" t="inlineStr">
        <is>
          <t>Educação e Ciência</t>
        </is>
      </c>
      <c r="Y1017" s="2" t="inlineStr">
        <is>
          <t>Articulado</t>
        </is>
      </c>
      <c r="Z1017" s="2" t="inlineStr">
        <is>
          <t>Aditamento (Artigo PPL)</t>
        </is>
      </c>
      <c r="AA1017" s="2" t="inlineStr">
        <is>
          <t>Aprovado(a) em Comissão</t>
        </is>
      </c>
      <c r="AB1017" s="2" t="inlineStr"/>
      <c r="AC1017" s="2" t="inlineStr"/>
      <c r="AD1017" s="2" t="inlineStr">
        <is>
          <t>1</t>
        </is>
      </c>
      <c r="AE1017" s="2" t="inlineStr">
        <is>
          <t>24192</t>
        </is>
      </c>
      <c r="AF1017" s="2" t="inlineStr">
        <is>
          <t>https://www.parlamento.pt/OrcamentoEstado/Paginas/DetalhePropostaAlteracao.aspx?BID=24192</t>
        </is>
      </c>
      <c r="AG1017" s="2" t="inlineStr">
        <is>
          <t>https://app.parlamento.pt/webutils/docs/doc.pdf?path=6148523063484d364c793942556b356c6443397a6158526c63793959566b6c4a544556484c3039464c7a49774d6a59794d4449314d5441774f53395151533877597a63325a475a6d5a69316a4d7a67774c54517759546b74596a6c6d4f5330774f47566d4d5759304f5445784d546b756347526d&amp;Fich=0c76dfff-c380-40a9-b9f9-08ef1f491119.pdf&amp;Inline=true</t>
        </is>
      </c>
      <c r="AH1017" s="3" t="n">
        <v>46321.77847222222</v>
      </c>
      <c r="AI1017" s="3" t="n">
        <v>46321.78055555555</v>
      </c>
      <c r="AJ1017" s="2" t="inlineStr"/>
    </row>
    <row r="1018">
      <c r="A1018" s="2" t="n">
        <v>1017</v>
      </c>
      <c r="B1018" s="2" t="inlineStr">
        <is>
          <t>954C</t>
        </is>
      </c>
      <c r="C1018" s="3" t="n">
        <v>45967.74236111111</v>
      </c>
      <c r="D1018" s="2" t="inlineStr">
        <is>
          <t>Original</t>
        </is>
      </c>
      <c r="E1018" s="2" t="inlineStr">
        <is>
          <t>BE</t>
        </is>
      </c>
      <c r="F1018" s="2" t="inlineStr">
        <is>
          <t>Mariana Mortágua</t>
        </is>
      </c>
      <c r="G1018" s="2" t="inlineStr">
        <is>
          <t>Art. 117.º-A (aditamento)</t>
        </is>
      </c>
      <c r="H1018" s="2" t="n"/>
      <c r="I1018" s="2" t="n"/>
      <c r="J1018" s="2" t="n"/>
      <c r="K1018" s="2" t="n"/>
      <c r="L1018" s="2" t="inlineStr">
        <is>
          <t>Artigo 117.º-A (Programa de Emergência para o Alojamento Estudantil)</t>
        </is>
      </c>
      <c r="M1018" s="4" t="n"/>
      <c r="N1018" s="4" t="n"/>
      <c r="O1018" s="2" t="n"/>
      <c r="P1018" s="2" t="n"/>
      <c r="Q1018" s="2" t="n"/>
      <c r="R1018" s="2" t="n"/>
      <c r="S1018" s="2" t="inlineStr">
        <is>
          <t>Rejeitado(a) em Comissão</t>
        </is>
      </c>
      <c r="T1018" s="2" t="inlineStr">
        <is>
          <t>Rejeitada</t>
        </is>
      </c>
      <c r="U1018" s="2" t="inlineStr">
        <is>
          <t>Favor: L, PCP, BE, PAN; Contra: PSD, CH, IL, CDS-PP; Abstenção: PS</t>
        </is>
      </c>
      <c r="V1018" s="3" t="n">
        <v>45985</v>
      </c>
      <c r="W1018" s="2" t="inlineStr">
        <is>
          <t>AR: https://www.parlamento.pt/OrcamentoEstado/Paginas/DetalhePropostaAlteracao.aspx?BID=24193 PDF: https://app.parlamento.pt/webutils/docs/doc.pdf?path=6148523063484d364c793942556b356c6443397a6158526c63793959566b6c4a544556484c3039464c7a49774d6a59794d4449314d5441774f5339515153396b4e6a55354f544d774d7930344f4467324c545133596d55745957466b5979316859544d7a4e3245344e4755784e5445756347526d&amp;Fich=d6599303-8886-47be-aadc-aa337a84e151.pdf&amp;Inline=true</t>
        </is>
      </c>
      <c r="X1018" s="2" t="inlineStr">
        <is>
          <t>Educação e Ciência</t>
        </is>
      </c>
      <c r="Y1018" s="2" t="inlineStr">
        <is>
          <t>Articulado</t>
        </is>
      </c>
      <c r="Z1018" s="2" t="inlineStr">
        <is>
          <t>Aditamento (Artigo PPL)</t>
        </is>
      </c>
      <c r="AA1018" s="2" t="inlineStr">
        <is>
          <t>Rejeitado(a) em Comissão</t>
        </is>
      </c>
      <c r="AB1018" s="2" t="inlineStr"/>
      <c r="AC1018" s="2" t="inlineStr"/>
      <c r="AD1018" s="2" t="inlineStr">
        <is>
          <t>1</t>
        </is>
      </c>
      <c r="AE1018" s="2" t="inlineStr">
        <is>
          <t>24193</t>
        </is>
      </c>
      <c r="AF1018" s="2" t="inlineStr">
        <is>
          <t>https://www.parlamento.pt/OrcamentoEstado/Paginas/DetalhePropostaAlteracao.aspx?BID=24193</t>
        </is>
      </c>
      <c r="AG1018" s="2" t="inlineStr">
        <is>
          <t>https://app.parlamento.pt/webutils/docs/doc.pdf?path=6148523063484d364c793942556b356c6443397a6158526c63793959566b6c4a544556484c3039464c7a49774d6a59794d4449314d5441774f5339515153396b4e6a55354f544d774d7930344f4467324c545133596d55745957466b5979316859544d7a4e3245344e4755784e5445756347526d&amp;Fich=d6599303-8886-47be-aadc-aa337a84e151.pdf&amp;Inline=true</t>
        </is>
      </c>
      <c r="AH1018" s="3" t="n">
        <v>46321.77847222222</v>
      </c>
      <c r="AI1018" s="3" t="n">
        <v>46321.78055555555</v>
      </c>
      <c r="AJ1018" s="2" t="inlineStr"/>
    </row>
    <row r="1019">
      <c r="A1019" s="2" t="n">
        <v>1018</v>
      </c>
      <c r="B1019" s="2" t="inlineStr">
        <is>
          <t>955C</t>
        </is>
      </c>
      <c r="C1019" s="3" t="n">
        <v>45967.74375</v>
      </c>
      <c r="D1019" s="2" t="inlineStr">
        <is>
          <t>Original</t>
        </is>
      </c>
      <c r="E1019" s="2" t="inlineStr">
        <is>
          <t>PCP</t>
        </is>
      </c>
      <c r="F1019" s="2" t="inlineStr">
        <is>
          <t>Alfredo Maia; Paula Santos; Paulo Raimundo</t>
        </is>
      </c>
      <c r="G1019" s="2" t="inlineStr">
        <is>
          <t>Art. 118.º-A (aditamento)</t>
        </is>
      </c>
      <c r="H1019" s="2" t="n"/>
      <c r="I1019" s="2" t="n"/>
      <c r="J1019" s="2" t="n"/>
      <c r="K1019" s="2" t="n"/>
      <c r="L1019" s="2" t="inlineStr">
        <is>
          <t>Artigo 118.º-A (Programa de apoio à comunicação social regional e local)</t>
        </is>
      </c>
      <c r="M1019" s="4" t="n"/>
      <c r="N1019" s="4" t="n"/>
      <c r="O1019" s="2" t="n"/>
      <c r="P1019" s="2" t="n"/>
      <c r="Q1019" s="2" t="n"/>
      <c r="R1019" s="2" t="n"/>
      <c r="S1019" s="2" t="inlineStr">
        <is>
          <t>Rejeitado(a) em Comissão</t>
        </is>
      </c>
      <c r="T1019" s="2" t="inlineStr">
        <is>
          <t>Rejeitada</t>
        </is>
      </c>
      <c r="U1019" s="2" t="inlineStr">
        <is>
          <t>Favor: L, PCP, BE, PAN; Contra: PSD, CDS-PP; Abstenção: CH, PS, IL</t>
        </is>
      </c>
      <c r="V1019" s="3" t="n">
        <v>45985</v>
      </c>
      <c r="W1019" s="2" t="inlineStr">
        <is>
          <t>AR: https://www.parlamento.pt/OrcamentoEstado/Paginas/DetalhePropostaAlteracao.aspx?BID=24194 PDF: https://app.parlamento.pt/webutils/docs/doc.pdf?path=6148523063484d364c793942556b356c6443397a6158526c63793959566b6c4a544556484c3039464c7a49774d6a59794d4449314d5441774f533951515339684f5455794e5463354d5330775a474a684c5451314d5755744f474d314e4330324f545a6b4d7a45314d6d55784e4745756347526d&amp;Fich=a9525791-0dba-451e-8c54-696d3152e14a.pdf&amp;Inline=true</t>
        </is>
      </c>
      <c r="X1019" s="2" t="inlineStr">
        <is>
          <t>Cultura, Comunicação, Juventude e Desporto</t>
        </is>
      </c>
      <c r="Y1019" s="2" t="inlineStr">
        <is>
          <t>Articulado</t>
        </is>
      </c>
      <c r="Z1019" s="2" t="inlineStr">
        <is>
          <t>Aditamento (Artigo PPL)</t>
        </is>
      </c>
      <c r="AA1019" s="2" t="inlineStr">
        <is>
          <t>Rejeitado(a) em Comissão</t>
        </is>
      </c>
      <c r="AB1019" s="2" t="inlineStr"/>
      <c r="AC1019" s="2" t="inlineStr"/>
      <c r="AD1019" s="2" t="inlineStr">
        <is>
          <t>1</t>
        </is>
      </c>
      <c r="AE1019" s="2" t="inlineStr">
        <is>
          <t>24194</t>
        </is>
      </c>
      <c r="AF1019" s="2" t="inlineStr">
        <is>
          <t>https://www.parlamento.pt/OrcamentoEstado/Paginas/DetalhePropostaAlteracao.aspx?BID=24194</t>
        </is>
      </c>
      <c r="AG1019" s="2" t="inlineStr">
        <is>
          <t>https://app.parlamento.pt/webutils/docs/doc.pdf?path=6148523063484d364c793942556b356c6443397a6158526c63793959566b6c4a544556484c3039464c7a49774d6a59794d4449314d5441774f533951515339684f5455794e5463354d5330775a474a684c5451314d5755744f474d314e4330324f545a6b4d7a45314d6d55784e4745756347526d&amp;Fich=a9525791-0dba-451e-8c54-696d3152e14a.pdf&amp;Inline=true</t>
        </is>
      </c>
      <c r="AH1019" s="3" t="n">
        <v>46321.77847222222</v>
      </c>
      <c r="AI1019" s="3" t="n">
        <v>46321.78055555555</v>
      </c>
      <c r="AJ1019" s="2" t="inlineStr"/>
    </row>
    <row r="1020">
      <c r="A1020" s="2" t="n">
        <v>1019</v>
      </c>
      <c r="B1020" s="2" t="inlineStr">
        <is>
          <t>956C</t>
        </is>
      </c>
      <c r="C1020" s="3" t="n">
        <v>45967.74375</v>
      </c>
      <c r="D1020" s="2" t="inlineStr">
        <is>
          <t>Original</t>
        </is>
      </c>
      <c r="E1020" s="2" t="inlineStr">
        <is>
          <t>BE</t>
        </is>
      </c>
      <c r="F1020" s="2" t="inlineStr">
        <is>
          <t>Mariana Mortágua</t>
        </is>
      </c>
      <c r="G1020" s="2" t="inlineStr">
        <is>
          <t>Art. 117.º-A (aditamento)</t>
        </is>
      </c>
      <c r="H1020" s="2" t="n"/>
      <c r="I1020" s="2" t="n"/>
      <c r="J1020" s="2" t="n"/>
      <c r="K1020" s="2" t="n"/>
      <c r="L1020" s="2" t="inlineStr">
        <is>
          <t>Artigo 117.º-A (Congelamento do preço das refeições da Ação Social do Ensino Superior)</t>
        </is>
      </c>
      <c r="M1020" s="4" t="n"/>
      <c r="N1020" s="4" t="n"/>
      <c r="O1020" s="2" t="n"/>
      <c r="P1020" s="2" t="n"/>
      <c r="Q1020" s="2" t="n"/>
      <c r="R1020" s="2" t="n"/>
      <c r="S1020" s="2" t="inlineStr">
        <is>
          <t>Rejeitado(a) em Comissão</t>
        </is>
      </c>
      <c r="T1020" s="2" t="inlineStr">
        <is>
          <t>Rejeitada</t>
        </is>
      </c>
      <c r="U1020" s="2" t="inlineStr">
        <is>
          <t>Favor: CH, L, PCP, BE, PAN; Contra: PSD, IL, CDS-PP; Abstenção: PS</t>
        </is>
      </c>
      <c r="V1020" s="3" t="n">
        <v>45985</v>
      </c>
      <c r="W1020" s="2" t="inlineStr">
        <is>
          <t>AR: https://www.parlamento.pt/OrcamentoEstado/Paginas/DetalhePropostaAlteracao.aspx?BID=24195 PDF: https://app.parlamento.pt/webutils/docs/doc.pdf?path=6148523063484d364c793942556b356c6443397a6158526c63793959566b6c4a544556484c3039464c7a49774d6a59794d4449314d5441774f5339515153396c59546b335a6a67784e6930335a57566a4c54526b4e444174596d4d31597930324d4746695a6d4d35597a526b4d4441756347526d&amp;Fich=ea97f816-7eec-4d40-bc5c-60abfc9c4d00.pdf&amp;Inline=true</t>
        </is>
      </c>
      <c r="X1020" s="2" t="inlineStr">
        <is>
          <t>Educação e Ciência</t>
        </is>
      </c>
      <c r="Y1020" s="2" t="inlineStr">
        <is>
          <t>Articulado</t>
        </is>
      </c>
      <c r="Z1020" s="2" t="inlineStr">
        <is>
          <t>Aditamento (Artigo PPL)</t>
        </is>
      </c>
      <c r="AA1020" s="2" t="inlineStr">
        <is>
          <t>Rejeitado(a) em Comissão</t>
        </is>
      </c>
      <c r="AB1020" s="2" t="inlineStr"/>
      <c r="AC1020" s="2" t="inlineStr"/>
      <c r="AD1020" s="2" t="inlineStr">
        <is>
          <t>1</t>
        </is>
      </c>
      <c r="AE1020" s="2" t="inlineStr">
        <is>
          <t>24195</t>
        </is>
      </c>
      <c r="AF1020" s="2" t="inlineStr">
        <is>
          <t>https://www.parlamento.pt/OrcamentoEstado/Paginas/DetalhePropostaAlteracao.aspx?BID=24195</t>
        </is>
      </c>
      <c r="AG1020" s="2" t="inlineStr">
        <is>
          <t>https://app.parlamento.pt/webutils/docs/doc.pdf?path=6148523063484d364c793942556b356c6443397a6158526c63793959566b6c4a544556484c3039464c7a49774d6a59794d4449314d5441774f5339515153396c59546b335a6a67784e6930335a57566a4c54526b4e444174596d4d31597930324d4746695a6d4d35597a526b4d4441756347526d&amp;Fich=ea97f816-7eec-4d40-bc5c-60abfc9c4d00.pdf&amp;Inline=true</t>
        </is>
      </c>
      <c r="AH1020" s="3" t="n">
        <v>46321.77847222222</v>
      </c>
      <c r="AI1020" s="3" t="n">
        <v>46321.78055555555</v>
      </c>
      <c r="AJ1020" s="2" t="inlineStr"/>
    </row>
    <row r="1021">
      <c r="A1021" s="2" t="n">
        <v>1020</v>
      </c>
      <c r="B1021" s="2" t="inlineStr">
        <is>
          <t>957C</t>
        </is>
      </c>
      <c r="C1021" s="3" t="n">
        <v>45967.74444444444</v>
      </c>
      <c r="D1021" s="2" t="inlineStr">
        <is>
          <t>Original</t>
        </is>
      </c>
      <c r="E1021" s="2" t="inlineStr">
        <is>
          <t>PCP</t>
        </is>
      </c>
      <c r="F1021" s="2" t="inlineStr">
        <is>
          <t>Alfredo Maia; Paula Santos; Paulo Raimundo</t>
        </is>
      </c>
      <c r="G1021" s="2" t="inlineStr">
        <is>
          <t>Art. 118.º-A (aditamento)</t>
        </is>
      </c>
      <c r="H1021" s="2" t="n"/>
      <c r="I1021" s="2" t="n"/>
      <c r="J1021" s="2" t="n"/>
      <c r="K1021" s="2" t="n"/>
      <c r="L1021" s="2" t="inlineStr">
        <is>
          <t>Artigo 118.º-A (Aquisição de publicações periódicas por entidades públicas e por entidades sem fins lucrativos)</t>
        </is>
      </c>
      <c r="M1021" s="4" t="n"/>
      <c r="N1021" s="4" t="n"/>
      <c r="O1021" s="2" t="n"/>
      <c r="P1021" s="2" t="n"/>
      <c r="Q1021" s="2" t="n"/>
      <c r="R1021" s="2" t="n"/>
      <c r="S1021" s="2" t="inlineStr">
        <is>
          <t>Rejeitado(a) em Comissão</t>
        </is>
      </c>
      <c r="T1021" s="2" t="inlineStr">
        <is>
          <t>Rejeitada</t>
        </is>
      </c>
      <c r="U1021" s="2" t="inlineStr">
        <is>
          <t>Favor: L, PCP, BE, PAN; Contra: PSD, CDS-PP; Abstenção: CH, PS, IL</t>
        </is>
      </c>
      <c r="V1021" s="3" t="n">
        <v>45985</v>
      </c>
      <c r="W1021" s="2" t="inlineStr">
        <is>
          <t>AR: https://www.parlamento.pt/OrcamentoEstado/Paginas/DetalhePropostaAlteracao.aspx?BID=24196 PDF: https://app.parlamento.pt/webutils/docs/doc.pdf?path=6148523063484d364c793942556b356c6443397a6158526c63793959566b6c4a544556484c3039464c7a49774d6a59794d4449314d5441774f533951515338304e444e6d4f5751774d69316a4d6a5a694c5452695a6d4574596d59784e5331684f5449795a4446685a6a41324e546b756347526d&amp;Fich=443f9d02-c26b-4bfa-bf15-a922d1af0659.pdf&amp;Inline=true</t>
        </is>
      </c>
      <c r="X1021" s="2" t="inlineStr">
        <is>
          <t>Cultura, Comunicação, Juventude e Desporto</t>
        </is>
      </c>
      <c r="Y1021" s="2" t="inlineStr">
        <is>
          <t>Articulado</t>
        </is>
      </c>
      <c r="Z1021" s="2" t="inlineStr">
        <is>
          <t>Aditamento (Artigo PPL)</t>
        </is>
      </c>
      <c r="AA1021" s="2" t="inlineStr">
        <is>
          <t>Rejeitado(a) em Comissão</t>
        </is>
      </c>
      <c r="AB1021" s="2" t="inlineStr"/>
      <c r="AC1021" s="2" t="inlineStr"/>
      <c r="AD1021" s="2" t="inlineStr">
        <is>
          <t>1</t>
        </is>
      </c>
      <c r="AE1021" s="2" t="inlineStr">
        <is>
          <t>24196</t>
        </is>
      </c>
      <c r="AF1021" s="2" t="inlineStr">
        <is>
          <t>https://www.parlamento.pt/OrcamentoEstado/Paginas/DetalhePropostaAlteracao.aspx?BID=24196</t>
        </is>
      </c>
      <c r="AG1021" s="2" t="inlineStr">
        <is>
          <t>https://app.parlamento.pt/webutils/docs/doc.pdf?path=6148523063484d364c793942556b356c6443397a6158526c63793959566b6c4a544556484c3039464c7a49774d6a59794d4449314d5441774f533951515338304e444e6d4f5751774d69316a4d6a5a694c5452695a6d4574596d59784e5331684f5449795a4446685a6a41324e546b756347526d&amp;Fich=443f9d02-c26b-4bfa-bf15-a922d1af0659.pdf&amp;Inline=true</t>
        </is>
      </c>
      <c r="AH1021" s="3" t="n">
        <v>46321.77847222222</v>
      </c>
      <c r="AI1021" s="3" t="n">
        <v>46321.78055555555</v>
      </c>
      <c r="AJ1021" s="2" t="inlineStr"/>
    </row>
    <row r="1022">
      <c r="A1022" s="2" t="n">
        <v>1021</v>
      </c>
      <c r="B1022" s="2" t="inlineStr">
        <is>
          <t>958C</t>
        </is>
      </c>
      <c r="C1022" s="3" t="n">
        <v>45967.74513888889</v>
      </c>
      <c r="D1022" s="2" t="inlineStr">
        <is>
          <t>Original</t>
        </is>
      </c>
      <c r="E1022" s="2" t="inlineStr">
        <is>
          <t>PCP</t>
        </is>
      </c>
      <c r="F1022" s="2" t="inlineStr">
        <is>
          <t>Alfredo Maia; Paula Santos; Paulo Raimundo</t>
        </is>
      </c>
      <c r="G1022" s="2" t="inlineStr">
        <is>
          <t>Art. 118.º-A (aditamento)</t>
        </is>
      </c>
      <c r="H1022" s="2" t="n"/>
      <c r="I1022" s="2" t="n"/>
      <c r="J1022" s="2" t="n"/>
      <c r="K1022" s="2" t="n"/>
      <c r="L1022" s="2" t="inlineStr">
        <is>
          <t>Artigo 118.º-A (Comparticipação a 100% do porte-pago)</t>
        </is>
      </c>
      <c r="M1022" s="4" t="n"/>
      <c r="N1022" s="4" t="n"/>
      <c r="O1022" s="2" t="n"/>
      <c r="P1022" s="2" t="n"/>
      <c r="Q1022" s="2" t="n"/>
      <c r="R1022" s="2" t="n"/>
      <c r="S1022" s="2" t="inlineStr">
        <is>
          <t>Rejeitado(a) em Comissão</t>
        </is>
      </c>
      <c r="T1022" s="2" t="inlineStr">
        <is>
          <t>Rejeitada</t>
        </is>
      </c>
      <c r="U1022" s="2" t="inlineStr">
        <is>
          <t>Favor: L, PCP, BE, PAN; Contra: PSD, CDS-PP; Abstenção: CH, PS, IL</t>
        </is>
      </c>
      <c r="V1022" s="3" t="n">
        <v>45985</v>
      </c>
      <c r="W1022" s="2" t="inlineStr">
        <is>
          <t>AR: https://www.parlamento.pt/OrcamentoEstado/Paginas/DetalhePropostaAlteracao.aspx?BID=24197 PDF: https://app.parlamento.pt/webutils/docs/doc.pdf?path=6148523063484d364c793942556b356c6443397a6158526c63793959566b6c4a544556484c3039464c7a49774d6a59794d4449314d5441774f533951515338315a6a677a4f4756694d6930774e325a6b4c54517a596d45744f444d324f53316b4e7a566b596a417a597a51774d324d756347526d&amp;Fich=5f838eb2-07fd-43ba-8369-d75db03c403c.pdf&amp;Inline=true</t>
        </is>
      </c>
      <c r="X1022" s="2" t="inlineStr">
        <is>
          <t>Cultura, Comunicação, Juventude e Desporto</t>
        </is>
      </c>
      <c r="Y1022" s="2" t="inlineStr">
        <is>
          <t>Articulado</t>
        </is>
      </c>
      <c r="Z1022" s="2" t="inlineStr">
        <is>
          <t>Aditamento (Artigo PPL)</t>
        </is>
      </c>
      <c r="AA1022" s="2" t="inlineStr">
        <is>
          <t>Rejeitado(a) em Comissão</t>
        </is>
      </c>
      <c r="AB1022" s="2" t="inlineStr"/>
      <c r="AC1022" s="2" t="inlineStr"/>
      <c r="AD1022" s="2" t="inlineStr">
        <is>
          <t>1</t>
        </is>
      </c>
      <c r="AE1022" s="2" t="inlineStr">
        <is>
          <t>24197</t>
        </is>
      </c>
      <c r="AF1022" s="2" t="inlineStr">
        <is>
          <t>https://www.parlamento.pt/OrcamentoEstado/Paginas/DetalhePropostaAlteracao.aspx?BID=24197</t>
        </is>
      </c>
      <c r="AG1022" s="2" t="inlineStr">
        <is>
          <t>https://app.parlamento.pt/webutils/docs/doc.pdf?path=6148523063484d364c793942556b356c6443397a6158526c63793959566b6c4a544556484c3039464c7a49774d6a59794d4449314d5441774f533951515338315a6a677a4f4756694d6930774e325a6b4c54517a596d45744f444d324f53316b4e7a566b596a417a597a51774d324d756347526d&amp;Fich=5f838eb2-07fd-43ba-8369-d75db03c403c.pdf&amp;Inline=true</t>
        </is>
      </c>
      <c r="AH1022" s="3" t="n">
        <v>46321.77847222222</v>
      </c>
      <c r="AI1022" s="3" t="n">
        <v>46321.78055555555</v>
      </c>
      <c r="AJ1022" s="2" t="inlineStr"/>
    </row>
    <row r="1023">
      <c r="A1023" s="2" t="n">
        <v>1022</v>
      </c>
      <c r="B1023" s="2" t="inlineStr">
        <is>
          <t>959C</t>
        </is>
      </c>
      <c r="C1023" s="3" t="n">
        <v>45967.74583333333</v>
      </c>
      <c r="D1023" s="2" t="inlineStr">
        <is>
          <t>Original</t>
        </is>
      </c>
      <c r="E1023" s="2" t="inlineStr">
        <is>
          <t>PCP</t>
        </is>
      </c>
      <c r="F1023" s="2" t="inlineStr">
        <is>
          <t>Alfredo Maia; Paula Santos; Paulo Raimundo</t>
        </is>
      </c>
      <c r="G1023" s="2" t="inlineStr">
        <is>
          <t>Art. 31.º-A (aditamento)</t>
        </is>
      </c>
      <c r="H1023" s="2" t="n"/>
      <c r="I1023" s="2" t="n"/>
      <c r="J1023" s="2" t="n"/>
      <c r="K1023" s="2" t="n"/>
      <c r="L1023" s="2" t="inlineStr">
        <is>
          <t>Artigo 31.º-A (Integração de trabalhadores com vínculos precários na RTP)</t>
        </is>
      </c>
      <c r="M1023" s="4" t="n"/>
      <c r="N1023" s="4" t="n"/>
      <c r="O1023" s="2" t="n"/>
      <c r="P1023" s="2" t="n"/>
      <c r="Q1023" s="2" t="n"/>
      <c r="R1023" s="2" t="n"/>
      <c r="S1023" s="2" t="inlineStr">
        <is>
          <t>Rejeitado(a) em Comissão</t>
        </is>
      </c>
      <c r="T1023" s="2" t="inlineStr">
        <is>
          <t>Rejeitada</t>
        </is>
      </c>
      <c r="U1023" s="2" t="inlineStr">
        <is>
          <t>Favor: L, PCP, BE, PAN; Contra: PSD, CDS-PP; Abstenção: CH, PS, IL</t>
        </is>
      </c>
      <c r="V1023" s="3" t="n">
        <v>45981</v>
      </c>
      <c r="W1023" s="2" t="inlineStr">
        <is>
          <t>AR: https://www.parlamento.pt/OrcamentoEstado/Paginas/DetalhePropostaAlteracao.aspx?BID=24198 PDF: https://app.parlamento.pt/webutils/docs/doc.pdf?path=6148523063484d364c793942556b356c6443397a6158526c63793959566b6c4a544556484c3039464c7a49774d6a59794d4449314d5441774f533951515338354f4755784f54597a4e69316c4d6a55334c5451315a6a55745957466d4f5330314e5759314d545669597a4d795a5463756347526d&amp;Fich=98e19636-e257-45f5-aaf9-55f515bc32e7.pdf&amp;Inline=true</t>
        </is>
      </c>
      <c r="X1023" s="2" t="inlineStr">
        <is>
          <t>Cultura, Comunicação, Juventude e Desporto</t>
        </is>
      </c>
      <c r="Y1023" s="2" t="inlineStr">
        <is>
          <t>Articulado</t>
        </is>
      </c>
      <c r="Z1023" s="2" t="inlineStr">
        <is>
          <t>Aditamento (Artigo PPL)</t>
        </is>
      </c>
      <c r="AA1023" s="2" t="inlineStr">
        <is>
          <t>Rejeitado(a) em Comissão</t>
        </is>
      </c>
      <c r="AB1023" s="2" t="inlineStr"/>
      <c r="AC1023" s="2" t="inlineStr"/>
      <c r="AD1023" s="2" t="inlineStr">
        <is>
          <t>1</t>
        </is>
      </c>
      <c r="AE1023" s="2" t="inlineStr">
        <is>
          <t>24198</t>
        </is>
      </c>
      <c r="AF1023" s="2" t="inlineStr">
        <is>
          <t>https://www.parlamento.pt/OrcamentoEstado/Paginas/DetalhePropostaAlteracao.aspx?BID=24198</t>
        </is>
      </c>
      <c r="AG1023" s="2" t="inlineStr">
        <is>
          <t>https://app.parlamento.pt/webutils/docs/doc.pdf?path=6148523063484d364c793942556b356c6443397a6158526c63793959566b6c4a544556484c3039464c7a49774d6a59794d4449314d5441774f533951515338354f4755784f54597a4e69316c4d6a55334c5451315a6a55745957466d4f5330314e5759314d545669597a4d795a5463756347526d&amp;Fich=98e19636-e257-45f5-aaf9-55f515bc32e7.pdf&amp;Inline=true</t>
        </is>
      </c>
      <c r="AH1023" s="3" t="n">
        <v>46321.77847222222</v>
      </c>
      <c r="AI1023" s="3" t="n">
        <v>46321.78055555555</v>
      </c>
      <c r="AJ1023" s="2" t="inlineStr"/>
    </row>
    <row r="1024">
      <c r="A1024" s="2" t="n">
        <v>1023</v>
      </c>
      <c r="B1024" s="2" t="inlineStr">
        <is>
          <t>960C</t>
        </is>
      </c>
      <c r="C1024" s="3" t="n">
        <v>45967.74722222222</v>
      </c>
      <c r="D1024" s="2" t="inlineStr">
        <is>
          <t>Original</t>
        </is>
      </c>
      <c r="E1024" s="2" t="inlineStr">
        <is>
          <t>BE</t>
        </is>
      </c>
      <c r="F1024" s="2" t="inlineStr">
        <is>
          <t>Mariana Mortágua</t>
        </is>
      </c>
      <c r="G1024" s="2" t="inlineStr">
        <is>
          <t>Art. 112.º-A (aditamento)</t>
        </is>
      </c>
      <c r="H1024" s="2" t="n"/>
      <c r="I1024" s="2" t="n"/>
      <c r="J1024" s="2" t="n"/>
      <c r="K1024" s="2" t="n"/>
      <c r="L1024" s="2" t="inlineStr">
        <is>
          <t>Artigo 112.º-A (Alteração à Lei n.º 13/2024, de 19 de janeiro)</t>
        </is>
      </c>
      <c r="M1024" s="4" t="n"/>
      <c r="N1024" s="4" t="n"/>
      <c r="O1024" s="2" t="n"/>
      <c r="P1024" s="2" t="n"/>
      <c r="Q1024" s="2" t="n"/>
      <c r="R1024" s="2" t="n"/>
      <c r="S1024" s="2" t="inlineStr">
        <is>
          <t>Rejeitado(a) em Comissão</t>
        </is>
      </c>
      <c r="T1024" s="2" t="inlineStr">
        <is>
          <t>Rejeitada</t>
        </is>
      </c>
      <c r="U1024" s="2" t="inlineStr">
        <is>
          <t>Favor: CH, L, PCP, BE, PAN; Contra: PSD, CDS-PP; Abstenção: PS, IL</t>
        </is>
      </c>
      <c r="V1024" s="3" t="n">
        <v>45982</v>
      </c>
      <c r="W1024" s="2" t="inlineStr">
        <is>
          <t>AR: https://www.parlamento.pt/OrcamentoEstado/Paginas/DetalhePropostaAlteracao.aspx?BID=24199 PDF: https://app.parlamento.pt/webutils/docs/doc.pdf?path=6148523063484d364c793942556b356c6443397a6158526c63793959566b6c4a544556484c3039464c7a49774d6a59794d4449314d5441774f53395151533834595463305a5455304e79316a597a64694c54526d5a446374596a466d4e5330315a6a49325a544e6d5a6d4577593259756347526d&amp;Fich=8a74e547-cc7b-4fd7-b1f5-5f26e3ffa0cf.pdf&amp;Inline=true</t>
        </is>
      </c>
      <c r="X1024" s="2" t="inlineStr">
        <is>
          <t>Cultura, Comunicação, Juventude e Desporto</t>
        </is>
      </c>
      <c r="Y1024" s="2" t="inlineStr">
        <is>
          <t>Articulado</t>
        </is>
      </c>
      <c r="Z1024" s="2" t="inlineStr">
        <is>
          <t>Aditamento (Artigo PPL)</t>
        </is>
      </c>
      <c r="AA1024" s="2" t="inlineStr">
        <is>
          <t>Rejeitado(a) em Comissão</t>
        </is>
      </c>
      <c r="AB1024" s="2" t="inlineStr"/>
      <c r="AC1024" s="2" t="inlineStr"/>
      <c r="AD1024" s="2" t="inlineStr">
        <is>
          <t>1</t>
        </is>
      </c>
      <c r="AE1024" s="2" t="inlineStr">
        <is>
          <t>24199</t>
        </is>
      </c>
      <c r="AF1024" s="2" t="inlineStr">
        <is>
          <t>https://www.parlamento.pt/OrcamentoEstado/Paginas/DetalhePropostaAlteracao.aspx?BID=24199</t>
        </is>
      </c>
      <c r="AG1024" s="2" t="inlineStr">
        <is>
          <t>https://app.parlamento.pt/webutils/docs/doc.pdf?path=6148523063484d364c793942556b356c6443397a6158526c63793959566b6c4a544556484c3039464c7a49774d6a59794d4449314d5441774f53395151533834595463305a5455304e79316a597a64694c54526d5a446374596a466d4e5330315a6a49325a544e6d5a6d4577593259756347526d&amp;Fich=8a74e547-cc7b-4fd7-b1f5-5f26e3ffa0cf.pdf&amp;Inline=true</t>
        </is>
      </c>
      <c r="AH1024" s="3" t="n">
        <v>46321.77847222222</v>
      </c>
      <c r="AI1024" s="3" t="n">
        <v>46321.78055555555</v>
      </c>
      <c r="AJ1024" s="2" t="inlineStr"/>
    </row>
    <row r="1025">
      <c r="A1025" s="2" t="n">
        <v>1024</v>
      </c>
      <c r="B1025" s="2" t="inlineStr">
        <is>
          <t>961C</t>
        </is>
      </c>
      <c r="C1025" s="3" t="n">
        <v>45967.74861111111</v>
      </c>
      <c r="D1025" s="2" t="inlineStr">
        <is>
          <t>Original</t>
        </is>
      </c>
      <c r="E1025" s="2" t="inlineStr">
        <is>
          <t>BE</t>
        </is>
      </c>
      <c r="F1025" s="2" t="inlineStr">
        <is>
          <t>Mariana Mortágua</t>
        </is>
      </c>
      <c r="G1025" s="2" t="inlineStr">
        <is>
          <t>Art. 112.º-A (aditamento)</t>
        </is>
      </c>
      <c r="H1025" s="2" t="n"/>
      <c r="I1025" s="2" t="n"/>
      <c r="J1025" s="2" t="n"/>
      <c r="K1025" s="2" t="n"/>
      <c r="L1025" s="2" t="inlineStr">
        <is>
          <t>Artigo 112.º-A (Estabelece a igualdade de remunerações e compensações entre atletas em representação das seleções nacionais femininas e masculinas)</t>
        </is>
      </c>
      <c r="M1025" s="4" t="n"/>
      <c r="N1025" s="4" t="n"/>
      <c r="O1025" s="2" t="n"/>
      <c r="P1025" s="2" t="n"/>
      <c r="Q1025" s="2" t="n"/>
      <c r="R1025" s="2" t="n"/>
      <c r="S1025" s="2" t="inlineStr">
        <is>
          <t>Rejeitado(a) em Comissão</t>
        </is>
      </c>
      <c r="T1025" s="2" t="inlineStr">
        <is>
          <t>Rejeitada</t>
        </is>
      </c>
      <c r="U1025" s="2" t="inlineStr">
        <is>
          <t>Favor: L, PCP, BE, PAN; Contra: PSD, CH, IL, CDS-PP; Abstenção: PS</t>
        </is>
      </c>
      <c r="V1025" s="3" t="n">
        <v>45982</v>
      </c>
      <c r="W1025" s="2" t="inlineStr">
        <is>
          <t>AR: https://www.parlamento.pt/OrcamentoEstado/Paginas/DetalhePropostaAlteracao.aspx?BID=24200 PDF: https://app.parlamento.pt/webutils/docs/doc.pdf?path=6148523063484d364c793942556b356c6443397a6158526c63793959566b6c4a544556484c3039464c7a49774d6a59794d4449314d5441774f533951515338344e7a51315a4463774f43316d4e44646c4c5452684e4459744f4452684d79316a4d7a45784d6a5a6c4f5751794d7a59756347526d&amp;Fich=8745d708-f47e-4a46-84a3-c31126e9d236.pdf&amp;Inline=true</t>
        </is>
      </c>
      <c r="X1025" s="2" t="inlineStr">
        <is>
          <t>Cultura, Comunicação, Juventude e Desporto</t>
        </is>
      </c>
      <c r="Y1025" s="2" t="inlineStr">
        <is>
          <t>Articulado</t>
        </is>
      </c>
      <c r="Z1025" s="2" t="inlineStr">
        <is>
          <t>Aditamento (Artigo PPL)</t>
        </is>
      </c>
      <c r="AA1025" s="2" t="inlineStr">
        <is>
          <t>Rejeitado(a) em Comissão</t>
        </is>
      </c>
      <c r="AB1025" s="2" t="inlineStr"/>
      <c r="AC1025" s="2" t="inlineStr"/>
      <c r="AD1025" s="2" t="inlineStr">
        <is>
          <t>1</t>
        </is>
      </c>
      <c r="AE1025" s="2" t="inlineStr">
        <is>
          <t>24200</t>
        </is>
      </c>
      <c r="AF1025" s="2" t="inlineStr">
        <is>
          <t>https://www.parlamento.pt/OrcamentoEstado/Paginas/DetalhePropostaAlteracao.aspx?BID=24200</t>
        </is>
      </c>
      <c r="AG1025" s="2" t="inlineStr">
        <is>
          <t>https://app.parlamento.pt/webutils/docs/doc.pdf?path=6148523063484d364c793942556b356c6443397a6158526c63793959566b6c4a544556484c3039464c7a49774d6a59794d4449314d5441774f533951515338344e7a51315a4463774f43316d4e44646c4c5452684e4459744f4452684d79316a4d7a45784d6a5a6c4f5751794d7a59756347526d&amp;Fich=8745d708-f47e-4a46-84a3-c31126e9d236.pdf&amp;Inline=true</t>
        </is>
      </c>
      <c r="AH1025" s="3" t="n">
        <v>46321.77847222222</v>
      </c>
      <c r="AI1025" s="3" t="n">
        <v>46321.78055555555</v>
      </c>
      <c r="AJ1025" s="2" t="inlineStr"/>
    </row>
    <row r="1026">
      <c r="A1026" s="2" t="n">
        <v>1025</v>
      </c>
      <c r="B1026" s="2" t="inlineStr">
        <is>
          <t>962C</t>
        </is>
      </c>
      <c r="C1026" s="3" t="n">
        <v>45967.75</v>
      </c>
      <c r="D1026" s="2" t="inlineStr">
        <is>
          <t>Original</t>
        </is>
      </c>
      <c r="E1026" s="2" t="inlineStr">
        <is>
          <t>BE</t>
        </is>
      </c>
      <c r="F1026" s="2" t="inlineStr">
        <is>
          <t>Mariana Mortágua</t>
        </is>
      </c>
      <c r="G1026" s="2" t="inlineStr">
        <is>
          <t>Art. 113.º-A (aditamento)</t>
        </is>
      </c>
      <c r="H1026" s="2" t="n"/>
      <c r="I1026" s="2" t="n"/>
      <c r="J1026" s="2" t="n"/>
      <c r="K1026" s="2" t="n"/>
      <c r="L1026" s="2" t="inlineStr">
        <is>
          <t>Artigo 113.º-A (Estudo para a ligação ferroviária ao Porto Mar de Viana do Castelo)</t>
        </is>
      </c>
      <c r="M1026" s="4" t="n"/>
      <c r="N1026" s="4" t="n"/>
      <c r="O1026" s="2" t="n"/>
      <c r="P1026" s="2" t="n"/>
      <c r="Q1026" s="2" t="n"/>
      <c r="R1026" s="2" t="n"/>
      <c r="S1026" s="2" t="inlineStr">
        <is>
          <t>Rejeitado(a) em Comissão</t>
        </is>
      </c>
      <c r="T1026" s="2" t="inlineStr">
        <is>
          <t>Rejeitada</t>
        </is>
      </c>
      <c r="U1026" s="2" t="inlineStr">
        <is>
          <t>Favor: CH, IL, L, PCP, BE, PAN; Contra: PSD, CDS-PP; Abstenção: PS</t>
        </is>
      </c>
      <c r="V1026" s="3" t="n">
        <v>45985</v>
      </c>
      <c r="W1026" s="2" t="inlineStr">
        <is>
          <t>AR: https://www.parlamento.pt/OrcamentoEstado/Paginas/DetalhePropostaAlteracao.aspx?BID=24201 PDF: https://app.parlamento.pt/webutils/docs/doc.pdf?path=6148523063484d364c793942556b356c6443397a6158526c63793959566b6c4a544556484c3039464c7a49774d6a59794d4449314d5441774f533951515338795a4452684e3255794d533078596d52684c54517a4f4467744f574d794d6930334d5755314f544d3359324a6b4e5445756347526d&amp;Fich=2d4a7e21-1bda-4388-9c22-71e5937cbd51.pdf&amp;Inline=true</t>
        </is>
      </c>
      <c r="X1026" s="2" t="inlineStr">
        <is>
          <t>Infraestruturas, Mobilidade e Habitação</t>
        </is>
      </c>
      <c r="Y1026" s="2" t="inlineStr">
        <is>
          <t>Articulado</t>
        </is>
      </c>
      <c r="Z1026" s="2" t="inlineStr">
        <is>
          <t>Aditamento (Artigo PPL)</t>
        </is>
      </c>
      <c r="AA1026" s="2" t="inlineStr">
        <is>
          <t>Rejeitado(a) em Comissão</t>
        </is>
      </c>
      <c r="AB1026" s="2" t="inlineStr"/>
      <c r="AC1026" s="2" t="inlineStr"/>
      <c r="AD1026" s="2" t="inlineStr">
        <is>
          <t>1</t>
        </is>
      </c>
      <c r="AE1026" s="2" t="inlineStr">
        <is>
          <t>24201</t>
        </is>
      </c>
      <c r="AF1026" s="2" t="inlineStr">
        <is>
          <t>https://www.parlamento.pt/OrcamentoEstado/Paginas/DetalhePropostaAlteracao.aspx?BID=24201</t>
        </is>
      </c>
      <c r="AG1026" s="2" t="inlineStr">
        <is>
          <t>https://app.parlamento.pt/webutils/docs/doc.pdf?path=6148523063484d364c793942556b356c6443397a6158526c63793959566b6c4a544556484c3039464c7a49774d6a59794d4449314d5441774f533951515338795a4452684e3255794d533078596d52684c54517a4f4467744f574d794d6930334d5755314f544d3359324a6b4e5445756347526d&amp;Fich=2d4a7e21-1bda-4388-9c22-71e5937cbd51.pdf&amp;Inline=true</t>
        </is>
      </c>
      <c r="AH1026" s="3" t="n">
        <v>46321.77847222222</v>
      </c>
      <c r="AI1026" s="3" t="n">
        <v>46321.78055555555</v>
      </c>
      <c r="AJ1026" s="2" t="inlineStr"/>
    </row>
    <row r="1027">
      <c r="A1027" s="2" t="n">
        <v>1026</v>
      </c>
      <c r="B1027" s="2" t="inlineStr">
        <is>
          <t>963C</t>
        </is>
      </c>
      <c r="C1027" s="3" t="n">
        <v>45967.75555555556</v>
      </c>
      <c r="D1027" s="2" t="inlineStr">
        <is>
          <t>Original</t>
        </is>
      </c>
      <c r="E1027" s="2" t="inlineStr">
        <is>
          <t>PCP</t>
        </is>
      </c>
      <c r="F1027" s="2" t="inlineStr">
        <is>
          <t>Alfredo Maia; Paula Santos; Paulo Raimundo</t>
        </is>
      </c>
      <c r="G1027" s="2" t="inlineStr">
        <is>
          <t>Art. 7.º (aditamento)</t>
        </is>
      </c>
      <c r="H1027" s="2" t="n"/>
      <c r="I1027" s="2" t="n"/>
      <c r="J1027" s="2" t="n"/>
      <c r="K1027" s="2" t="n"/>
      <c r="L1027" s="2" t="inlineStr">
        <is>
          <t>Nova Verba 16, Mapa de alterações e transferências orçamentais, Artigo 7.º</t>
        </is>
      </c>
      <c r="M1027" s="4" t="n"/>
      <c r="N1027" s="4" t="n"/>
      <c r="O1027" s="2" t="n"/>
      <c r="P1027" s="2" t="n"/>
      <c r="Q1027" s="2" t="n"/>
      <c r="R1027" s="2" t="n"/>
      <c r="S1027" s="2" t="inlineStr">
        <is>
          <t>Rejeitado(a) em Comissão</t>
        </is>
      </c>
      <c r="T1027" s="2" t="inlineStr">
        <is>
          <t>Rejeitada</t>
        </is>
      </c>
      <c r="U1027" s="2" t="inlineStr">
        <is>
          <t>Favor: CH, L, PCP, BE, PAN; Contra: PSD, IL, CDS-PP; Abstenção: PS</t>
        </is>
      </c>
      <c r="V1027" s="3" t="n">
        <v>45987</v>
      </c>
      <c r="W1027" s="2" t="inlineStr">
        <is>
          <t>AR: https://www.parlamento.pt/OrcamentoEstado/Paginas/DetalhePropostaAlteracao.aspx?BID=24203 PDF: https://app.parlamento.pt/webutils/docs/doc.pdf?path=6148523063484d364c793942556b356c6443397a6158526c63793959566b6c4a544556484c3039464c7a49774d6a59794d4449314d5441774f5339515153387a4d444d344d7a4d794e433032593249344c5451794f4751744f4442684e6930794d7a5935596d526c5a4455784d4441756347526d&amp;Fich=30383324-6cb8-428d-80a6-2369bded5100.pdf&amp;Inline=true</t>
        </is>
      </c>
      <c r="X1027" s="2" t="inlineStr">
        <is>
          <t>Assuntos Constitucionais, Direitos, Liberdades e Garantias</t>
        </is>
      </c>
      <c r="Y1027" s="2" t="inlineStr">
        <is>
          <t>Articulado</t>
        </is>
      </c>
      <c r="Z1027" s="2" t="inlineStr">
        <is>
          <t>Aditamento (Números e Alíneas)</t>
        </is>
      </c>
      <c r="AA1027" s="2" t="inlineStr">
        <is>
          <t>Rejeitado(a) em Comissão</t>
        </is>
      </c>
      <c r="AB1027" s="2" t="inlineStr"/>
      <c r="AC1027" s="2" t="inlineStr"/>
      <c r="AD1027" s="2" t="inlineStr">
        <is>
          <t>1</t>
        </is>
      </c>
      <c r="AE1027" s="2" t="inlineStr">
        <is>
          <t>24203</t>
        </is>
      </c>
      <c r="AF1027" s="2" t="inlineStr">
        <is>
          <t>https://www.parlamento.pt/OrcamentoEstado/Paginas/DetalhePropostaAlteracao.aspx?BID=24203</t>
        </is>
      </c>
      <c r="AG1027" s="2" t="inlineStr">
        <is>
          <t>https://app.parlamento.pt/webutils/docs/doc.pdf?path=6148523063484d364c793942556b356c6443397a6158526c63793959566b6c4a544556484c3039464c7a49774d6a59794d4449314d5441774f5339515153387a4d444d344d7a4d794e433032593249344c5451794f4751744f4442684e6930794d7a5935596d526c5a4455784d4441756347526d&amp;Fich=30383324-6cb8-428d-80a6-2369bded5100.pdf&amp;Inline=true</t>
        </is>
      </c>
      <c r="AH1027" s="3" t="n">
        <v>46321.77847222222</v>
      </c>
      <c r="AI1027" s="3" t="n">
        <v>46321.78055555555</v>
      </c>
      <c r="AJ1027" s="2" t="inlineStr"/>
    </row>
    <row r="1028">
      <c r="A1028" s="2" t="n">
        <v>1027</v>
      </c>
      <c r="B1028" s="2" t="inlineStr">
        <is>
          <t>964C</t>
        </is>
      </c>
      <c r="C1028" s="3" t="n">
        <v>45967.75625</v>
      </c>
      <c r="D1028" s="2" t="inlineStr">
        <is>
          <t>Original</t>
        </is>
      </c>
      <c r="E1028" s="2" t="inlineStr">
        <is>
          <t>PCP</t>
        </is>
      </c>
      <c r="F1028" s="2" t="inlineStr">
        <is>
          <t>Alfredo Maia; Paula Santos; Paulo Raimundo</t>
        </is>
      </c>
      <c r="G1028" s="2" t="inlineStr">
        <is>
          <t>Art. 7.º (aditamento)</t>
        </is>
      </c>
      <c r="H1028" s="2" t="n"/>
      <c r="I1028" s="2" t="n"/>
      <c r="J1028" s="2" t="n"/>
      <c r="K1028" s="2" t="n"/>
      <c r="L1028" s="2" t="inlineStr">
        <is>
          <t>Nova Verba 88, Mapa de alterações e transferências orçamentais, Artigo 7.º</t>
        </is>
      </c>
      <c r="M1028" s="4" t="n"/>
      <c r="N1028" s="4" t="n"/>
      <c r="O1028" s="2" t="n"/>
      <c r="P1028" s="2" t="n"/>
      <c r="Q1028" s="2" t="n"/>
      <c r="R1028" s="2" t="n"/>
      <c r="S1028" s="2" t="inlineStr">
        <is>
          <t>Rejeitado(a) em Comissão</t>
        </is>
      </c>
      <c r="T1028" s="2" t="inlineStr">
        <is>
          <t>Rejeitada</t>
        </is>
      </c>
      <c r="U1028" s="2" t="inlineStr">
        <is>
          <t>Favor: CH, L, PCP, BE, PAN; Contra: PSD, CDS-PP; Abstenção: PS, IL</t>
        </is>
      </c>
      <c r="V1028" s="3" t="n">
        <v>45987</v>
      </c>
      <c r="W1028" s="2" t="inlineStr">
        <is>
          <t>AR: https://www.parlamento.pt/OrcamentoEstado/Paginas/DetalhePropostaAlteracao.aspx?BID=24204 PDF: https://app.parlamento.pt/webutils/docs/doc.pdf?path=6148523063484d364c793942556b356c6443397a6158526c63793959566b6c4a544556484c3039464c7a49774d6a59794d4449314d5441774f533951515338784e7a41325a474d354e4330774f5446694c5451304d47557459574931595330784e6a677a4f5756694d4446684d6a67756347526d&amp;Fich=1706dc94-091b-440e-ab5a-16839eb01a28.pdf&amp;Inline=true</t>
        </is>
      </c>
      <c r="X1028" s="2" t="inlineStr">
        <is>
          <t>Assuntos Constitucionais, Direitos, Liberdades e Garantias</t>
        </is>
      </c>
      <c r="Y1028" s="2" t="inlineStr">
        <is>
          <t>Articulado</t>
        </is>
      </c>
      <c r="Z1028" s="2" t="inlineStr">
        <is>
          <t>Aditamento (Números e Alíneas)</t>
        </is>
      </c>
      <c r="AA1028" s="2" t="inlineStr">
        <is>
          <t>Rejeitado(a) em Comissão</t>
        </is>
      </c>
      <c r="AB1028" s="2" t="inlineStr"/>
      <c r="AC1028" s="2" t="inlineStr"/>
      <c r="AD1028" s="2" t="inlineStr">
        <is>
          <t>1</t>
        </is>
      </c>
      <c r="AE1028" s="2" t="inlineStr">
        <is>
          <t>24204</t>
        </is>
      </c>
      <c r="AF1028" s="2" t="inlineStr">
        <is>
          <t>https://www.parlamento.pt/OrcamentoEstado/Paginas/DetalhePropostaAlteracao.aspx?BID=24204</t>
        </is>
      </c>
      <c r="AG1028" s="2" t="inlineStr">
        <is>
          <t>https://app.parlamento.pt/webutils/docs/doc.pdf?path=6148523063484d364c793942556b356c6443397a6158526c63793959566b6c4a544556484c3039464c7a49774d6a59794d4449314d5441774f533951515338784e7a41325a474d354e4330774f5446694c5451304d47557459574931595330784e6a677a4f5756694d4446684d6a67756347526d&amp;Fich=1706dc94-091b-440e-ab5a-16839eb01a28.pdf&amp;Inline=true</t>
        </is>
      </c>
      <c r="AH1028" s="3" t="n">
        <v>46321.77847222222</v>
      </c>
      <c r="AI1028" s="3" t="n">
        <v>46321.78055555555</v>
      </c>
      <c r="AJ1028" s="2" t="inlineStr"/>
    </row>
    <row r="1029">
      <c r="A1029" s="2" t="n">
        <v>1028</v>
      </c>
      <c r="B1029" s="2" t="inlineStr">
        <is>
          <t>965C</t>
        </is>
      </c>
      <c r="C1029" s="3" t="n">
        <v>45967.75694444445</v>
      </c>
      <c r="D1029" s="2" t="inlineStr">
        <is>
          <t>Original</t>
        </is>
      </c>
      <c r="E1029" s="2" t="inlineStr">
        <is>
          <t>PCP</t>
        </is>
      </c>
      <c r="F1029" s="2" t="inlineStr">
        <is>
          <t>Alfredo Maia; Paula Santos; Paulo Raimundo</t>
        </is>
      </c>
      <c r="G1029" s="2" t="inlineStr">
        <is>
          <t>Art. 7.º (aditamento)</t>
        </is>
      </c>
      <c r="H1029" s="2" t="n"/>
      <c r="I1029" s="2" t="n"/>
      <c r="J1029" s="2" t="n"/>
      <c r="K1029" s="2" t="n"/>
      <c r="L1029" s="2" t="inlineStr">
        <is>
          <t>Nova Verba 22, Mapa de alterações e transferências orçamentais, Artigo 7.º</t>
        </is>
      </c>
      <c r="M1029" s="4" t="n"/>
      <c r="N1029" s="4" t="n"/>
      <c r="O1029" s="2" t="n"/>
      <c r="P1029" s="2" t="n"/>
      <c r="Q1029" s="2" t="n"/>
      <c r="R1029" s="2" t="n"/>
      <c r="S1029" s="2" t="inlineStr">
        <is>
          <t>Rejeitado(a) em Comissão</t>
        </is>
      </c>
      <c r="T1029" s="2" t="inlineStr">
        <is>
          <t>Rejeitada</t>
        </is>
      </c>
      <c r="U1029" s="2" t="inlineStr">
        <is>
          <t>Favor: CH, L, PCP, BE, PAN; Contra: PSD, IL, CDS-PP; Abstenção: PS</t>
        </is>
      </c>
      <c r="V1029" s="3" t="n">
        <v>45987</v>
      </c>
      <c r="W1029" s="2" t="inlineStr">
        <is>
          <t>AR: https://www.parlamento.pt/OrcamentoEstado/Paginas/DetalhePropostaAlteracao.aspx?BID=24205 PDF: https://app.parlamento.pt/webutils/docs/doc.pdf?path=6148523063484d364c793942556b356c6443397a6158526c63793959566b6c4a544556484c3039464c7a49774d6a59794d4449314d5441774f5339515153396d4f57566b4f546b785a53316b4d6a45344c5451324d5467744f4467355979316b4f4441304d4459324d546b30595467756347526d&amp;Fich=f9ed991e-d218-4618-889c-d804066194a8.pdf&amp;Inline=true</t>
        </is>
      </c>
      <c r="X1029" s="2" t="inlineStr">
        <is>
          <t>Assuntos Constitucionais, Direitos, Liberdades e Garantias</t>
        </is>
      </c>
      <c r="Y1029" s="2" t="inlineStr">
        <is>
          <t>Articulado</t>
        </is>
      </c>
      <c r="Z1029" s="2" t="inlineStr">
        <is>
          <t>Aditamento (Números e Alíneas)</t>
        </is>
      </c>
      <c r="AA1029" s="2" t="inlineStr">
        <is>
          <t>Rejeitado(a) em Comissão</t>
        </is>
      </c>
      <c r="AB1029" s="2" t="inlineStr"/>
      <c r="AC1029" s="2" t="inlineStr"/>
      <c r="AD1029" s="2" t="inlineStr">
        <is>
          <t>1</t>
        </is>
      </c>
      <c r="AE1029" s="2" t="inlineStr">
        <is>
          <t>24205</t>
        </is>
      </c>
      <c r="AF1029" s="2" t="inlineStr">
        <is>
          <t>https://www.parlamento.pt/OrcamentoEstado/Paginas/DetalhePropostaAlteracao.aspx?BID=24205</t>
        </is>
      </c>
      <c r="AG1029" s="2" t="inlineStr">
        <is>
          <t>https://app.parlamento.pt/webutils/docs/doc.pdf?path=6148523063484d364c793942556b356c6443397a6158526c63793959566b6c4a544556484c3039464c7a49774d6a59794d4449314d5441774f5339515153396d4f57566b4f546b785a53316b4d6a45344c5451324d5467744f4467355979316b4f4441304d4459324d546b30595467756347526d&amp;Fich=f9ed991e-d218-4618-889c-d804066194a8.pdf&amp;Inline=true</t>
        </is>
      </c>
      <c r="AH1029" s="3" t="n">
        <v>46321.77847222222</v>
      </c>
      <c r="AI1029" s="3" t="n">
        <v>46321.78055555555</v>
      </c>
      <c r="AJ1029" s="2" t="inlineStr"/>
    </row>
    <row r="1030">
      <c r="A1030" s="2" t="n">
        <v>1029</v>
      </c>
      <c r="B1030" s="2" t="inlineStr">
        <is>
          <t>966C</t>
        </is>
      </c>
      <c r="C1030" s="3" t="n">
        <v>45967.75694444445</v>
      </c>
      <c r="D1030" s="2" t="inlineStr">
        <is>
          <t>Original</t>
        </is>
      </c>
      <c r="E1030" s="2" t="inlineStr">
        <is>
          <t>PCP</t>
        </is>
      </c>
      <c r="F1030" s="2" t="inlineStr">
        <is>
          <t>Alfredo Maia; Paula Santos; Paulo Raimundo</t>
        </is>
      </c>
      <c r="G1030" s="2" t="inlineStr">
        <is>
          <t>Art. 7.º (aditamento)</t>
        </is>
      </c>
      <c r="H1030" s="2" t="n"/>
      <c r="I1030" s="2" t="n"/>
      <c r="J1030" s="2" t="n"/>
      <c r="K1030" s="2" t="n"/>
      <c r="L1030" s="2" t="inlineStr">
        <is>
          <t>Nova Verba 22, Mapa de alterações e transferências orçamentais, Artigo 7.º</t>
        </is>
      </c>
      <c r="M1030" s="4" t="n"/>
      <c r="N1030" s="4" t="n"/>
      <c r="O1030" s="2" t="n"/>
      <c r="P1030" s="2" t="n"/>
      <c r="Q1030" s="2" t="n"/>
      <c r="R1030" s="2" t="n"/>
      <c r="S1030" s="2" t="inlineStr">
        <is>
          <t>Rejeitado(a) em Comissão</t>
        </is>
      </c>
      <c r="T1030" s="2" t="inlineStr">
        <is>
          <t>Rejeitada</t>
        </is>
      </c>
      <c r="U1030" s="2" t="inlineStr">
        <is>
          <t>Favor: L, PCP, BE, PAN; Contra: PSD, CH, IL, CDS-PP; Abstenção: PS</t>
        </is>
      </c>
      <c r="V1030" s="3" t="n">
        <v>45987</v>
      </c>
      <c r="W1030" s="2" t="inlineStr">
        <is>
          <t>AR: https://www.parlamento.pt/OrcamentoEstado/Paginas/DetalhePropostaAlteracao.aspx?BID=24206 PDF: https://app.parlamento.pt/webutils/docs/doc.pdf?path=6148523063484d364c793942556b356c6443397a6158526c63793959566b6c4a544556484c3039464c7a49774d6a59794d4449314d5441774f533951515338344e7a63324e575a695a4331694d6d517a4c54526a5a6a4974596d4d7a5a6930325a6a457a4f575a6b4f474933595749756347526d&amp;Fich=87765fbd-b2d3-4cf2-bc3f-6f139fd8b7ab.pdf&amp;Inline=true</t>
        </is>
      </c>
      <c r="X1030" s="2" t="inlineStr">
        <is>
          <t>Assuntos Constitucionais, Direitos, Liberdades e Garantias</t>
        </is>
      </c>
      <c r="Y1030" s="2" t="inlineStr">
        <is>
          <t>Articulado</t>
        </is>
      </c>
      <c r="Z1030" s="2" t="inlineStr">
        <is>
          <t>Aditamento (Números e Alíneas)</t>
        </is>
      </c>
      <c r="AA1030" s="2" t="inlineStr">
        <is>
          <t>Rejeitado(a) em Comissão</t>
        </is>
      </c>
      <c r="AB1030" s="2" t="inlineStr"/>
      <c r="AC1030" s="2" t="inlineStr"/>
      <c r="AD1030" s="2" t="inlineStr">
        <is>
          <t>1</t>
        </is>
      </c>
      <c r="AE1030" s="2" t="inlineStr">
        <is>
          <t>24206</t>
        </is>
      </c>
      <c r="AF1030" s="2" t="inlineStr">
        <is>
          <t>https://www.parlamento.pt/OrcamentoEstado/Paginas/DetalhePropostaAlteracao.aspx?BID=24206</t>
        </is>
      </c>
      <c r="AG1030" s="2" t="inlineStr">
        <is>
          <t>https://app.parlamento.pt/webutils/docs/doc.pdf?path=6148523063484d364c793942556b356c6443397a6158526c63793959566b6c4a544556484c3039464c7a49774d6a59794d4449314d5441774f533951515338344e7a63324e575a695a4331694d6d517a4c54526a5a6a4974596d4d7a5a6930325a6a457a4f575a6b4f474933595749756347526d&amp;Fich=87765fbd-b2d3-4cf2-bc3f-6f139fd8b7ab.pdf&amp;Inline=true</t>
        </is>
      </c>
      <c r="AH1030" s="3" t="n">
        <v>46321.77847222222</v>
      </c>
      <c r="AI1030" s="3" t="n">
        <v>46321.78055555555</v>
      </c>
      <c r="AJ1030" s="2" t="inlineStr"/>
    </row>
    <row r="1031">
      <c r="A1031" s="2" t="n">
        <v>1030</v>
      </c>
      <c r="B1031" s="2" t="inlineStr">
        <is>
          <t>967C</t>
        </is>
      </c>
      <c r="C1031" s="3" t="n">
        <v>45967.75833333333</v>
      </c>
      <c r="D1031" s="2" t="inlineStr">
        <is>
          <t>Original</t>
        </is>
      </c>
      <c r="E1031" s="2" t="inlineStr">
        <is>
          <t>PCP</t>
        </is>
      </c>
      <c r="F1031" s="2" t="inlineStr">
        <is>
          <t>Alfredo Maia; Paula Santos; Paulo Raimundo</t>
        </is>
      </c>
      <c r="G1031" s="2" t="inlineStr">
        <is>
          <t>Art. 7.º (aditamento)</t>
        </is>
      </c>
      <c r="H1031" s="2" t="n"/>
      <c r="I1031" s="2" t="n"/>
      <c r="J1031" s="2" t="n"/>
      <c r="K1031" s="2" t="n"/>
      <c r="L1031" s="2" t="inlineStr">
        <is>
          <t>Nova Verba 11, Mapa de alterações e transferências orçamentais, Artigo 7.º</t>
        </is>
      </c>
      <c r="M1031" s="4" t="n"/>
      <c r="N1031" s="4" t="n"/>
      <c r="O1031" s="2" t="n"/>
      <c r="P1031" s="2" t="n"/>
      <c r="Q1031" s="2" t="n"/>
      <c r="R1031" s="2" t="n"/>
      <c r="S1031" s="2" t="inlineStr">
        <is>
          <t>Rejeitado(a) em Comissão</t>
        </is>
      </c>
      <c r="T1031" s="2" t="inlineStr">
        <is>
          <t>Rejeitada</t>
        </is>
      </c>
      <c r="U1031" s="2" t="inlineStr">
        <is>
          <t>Favor: CH, L, PCP, BE, PAN; Contra: PSD, IL, CDS-PP; Abstenção: PS</t>
        </is>
      </c>
      <c r="V1031" s="3" t="n">
        <v>45987</v>
      </c>
      <c r="W1031" s="2" t="inlineStr">
        <is>
          <t>AR: https://www.parlamento.pt/OrcamentoEstado/Paginas/DetalhePropostaAlteracao.aspx?BID=24207 PDF: https://app.parlamento.pt/webutils/docs/doc.pdf?path=6148523063484d364c793942556b356c6443397a6158526c63793959566b6c4a544556484c3039464c7a49774d6a59794d4449314d5441774f5339515153396c4d6d4d344e574978597930314f54566b4c5452694e444574596a426a4e79316d5a4451794d324e6b5a545a6b596a63756347526d&amp;Fich=e2c85b1c-595d-4b41-b0c7-fd423cde6db7.pdf&amp;Inline=true</t>
        </is>
      </c>
      <c r="X1031" s="2" t="inlineStr">
        <is>
          <t>Assuntos Constitucionais, Direitos, Liberdades e Garantias</t>
        </is>
      </c>
      <c r="Y1031" s="2" t="inlineStr">
        <is>
          <t>Articulado</t>
        </is>
      </c>
      <c r="Z1031" s="2" t="inlineStr">
        <is>
          <t>Aditamento (Números e Alíneas)</t>
        </is>
      </c>
      <c r="AA1031" s="2" t="inlineStr">
        <is>
          <t>Rejeitado(a) em Comissão</t>
        </is>
      </c>
      <c r="AB1031" s="2" t="inlineStr"/>
      <c r="AC1031" s="2" t="inlineStr"/>
      <c r="AD1031" s="2" t="inlineStr">
        <is>
          <t>1</t>
        </is>
      </c>
      <c r="AE1031" s="2" t="inlineStr">
        <is>
          <t>24207</t>
        </is>
      </c>
      <c r="AF1031" s="2" t="inlineStr">
        <is>
          <t>https://www.parlamento.pt/OrcamentoEstado/Paginas/DetalhePropostaAlteracao.aspx?BID=24207</t>
        </is>
      </c>
      <c r="AG1031" s="2" t="inlineStr">
        <is>
          <t>https://app.parlamento.pt/webutils/docs/doc.pdf?path=6148523063484d364c793942556b356c6443397a6158526c63793959566b6c4a544556484c3039464c7a49774d6a59794d4449314d5441774f5339515153396c4d6d4d344e574978597930314f54566b4c5452694e444574596a426a4e79316d5a4451794d324e6b5a545a6b596a63756347526d&amp;Fich=e2c85b1c-595d-4b41-b0c7-fd423cde6db7.pdf&amp;Inline=true</t>
        </is>
      </c>
      <c r="AH1031" s="3" t="n">
        <v>46321.77847222222</v>
      </c>
      <c r="AI1031" s="3" t="n">
        <v>46321.78055555555</v>
      </c>
      <c r="AJ1031" s="2" t="inlineStr"/>
    </row>
    <row r="1032">
      <c r="A1032" s="2" t="n">
        <v>1031</v>
      </c>
      <c r="B1032" s="2" t="inlineStr">
        <is>
          <t>968C</t>
        </is>
      </c>
      <c r="C1032" s="3" t="n">
        <v>45967.75902777778</v>
      </c>
      <c r="D1032" s="2" t="inlineStr">
        <is>
          <t>Original</t>
        </is>
      </c>
      <c r="E1032" s="2" t="inlineStr">
        <is>
          <t>PCP</t>
        </is>
      </c>
      <c r="F1032" s="2" t="inlineStr">
        <is>
          <t>Alfredo Maia; Paula Santos; Paulo Raimundo</t>
        </is>
      </c>
      <c r="G1032" s="2" t="inlineStr">
        <is>
          <t>Art. 7.º (aditamento)</t>
        </is>
      </c>
      <c r="H1032" s="2" t="n"/>
      <c r="I1032" s="2" t="n"/>
      <c r="J1032" s="2" t="n"/>
      <c r="K1032" s="2" t="n"/>
      <c r="L1032" s="2" t="inlineStr">
        <is>
          <t>Nova Verba 13, Mapa de alterações e transferências orçamentais, Artigo 7.º</t>
        </is>
      </c>
      <c r="M1032" s="4" t="n"/>
      <c r="N1032" s="4" t="n"/>
      <c r="O1032" s="2" t="n"/>
      <c r="P1032" s="2" t="n"/>
      <c r="Q1032" s="2" t="n"/>
      <c r="R1032" s="2" t="n"/>
      <c r="S1032" s="2" t="inlineStr">
        <is>
          <t>Rejeitado(a) em Comissão</t>
        </is>
      </c>
      <c r="T1032" s="2" t="inlineStr">
        <is>
          <t>Rejeitada</t>
        </is>
      </c>
      <c r="U1032" s="2" t="inlineStr">
        <is>
          <t>Favor: CH, L, PCP, BE, PAN; Contra: PSD, CDS-PP; Abstenção: PS, IL</t>
        </is>
      </c>
      <c r="V1032" s="3" t="n">
        <v>45987</v>
      </c>
      <c r="W1032" s="2" t="inlineStr">
        <is>
          <t>AR: https://www.parlamento.pt/OrcamentoEstado/Paginas/DetalhePropostaAlteracao.aspx?BID=24208 PDF: https://app.parlamento.pt/webutils/docs/doc.pdf?path=6148523063484d364c793942556b356c6443397a6158526c63793959566b6c4a544556484c3039464c7a49774d6a59794d4449314d5441774f5339515153387a4f4751315a44426d5a6930335954566a4c5451334d445174596d4d325a53316d4e474d784f44466c4f44566d4d444d756347526d&amp;Fich=38d5d0ff-7a5c-4704-bc6e-f4c181e85f03.pdf&amp;Inline=true</t>
        </is>
      </c>
      <c r="X1032" s="2" t="inlineStr">
        <is>
          <t>Assuntos Constitucionais, Direitos, Liberdades e Garantias</t>
        </is>
      </c>
      <c r="Y1032" s="2" t="inlineStr">
        <is>
          <t>Articulado</t>
        </is>
      </c>
      <c r="Z1032" s="2" t="inlineStr">
        <is>
          <t>Aditamento (Números e Alíneas)</t>
        </is>
      </c>
      <c r="AA1032" s="2" t="inlineStr">
        <is>
          <t>Rejeitado(a) em Comissão</t>
        </is>
      </c>
      <c r="AB1032" s="2" t="inlineStr"/>
      <c r="AC1032" s="2" t="inlineStr"/>
      <c r="AD1032" s="2" t="inlineStr">
        <is>
          <t>1</t>
        </is>
      </c>
      <c r="AE1032" s="2" t="inlineStr">
        <is>
          <t>24208</t>
        </is>
      </c>
      <c r="AF1032" s="2" t="inlineStr">
        <is>
          <t>https://www.parlamento.pt/OrcamentoEstado/Paginas/DetalhePropostaAlteracao.aspx?BID=24208</t>
        </is>
      </c>
      <c r="AG1032" s="2" t="inlineStr">
        <is>
          <t>https://app.parlamento.pt/webutils/docs/doc.pdf?path=6148523063484d364c793942556b356c6443397a6158526c63793959566b6c4a544556484c3039464c7a49774d6a59794d4449314d5441774f5339515153387a4f4751315a44426d5a6930335954566a4c5451334d445174596d4d325a53316d4e474d784f44466c4f44566d4d444d756347526d&amp;Fich=38d5d0ff-7a5c-4704-bc6e-f4c181e85f03.pdf&amp;Inline=true</t>
        </is>
      </c>
      <c r="AH1032" s="3" t="n">
        <v>46321.77847222222</v>
      </c>
      <c r="AI1032" s="3" t="n">
        <v>46321.78055555555</v>
      </c>
      <c r="AJ1032" s="2" t="inlineStr"/>
    </row>
    <row r="1033">
      <c r="A1033" s="2" t="n">
        <v>1032</v>
      </c>
      <c r="B1033" s="2" t="inlineStr">
        <is>
          <t>969C</t>
        </is>
      </c>
      <c r="C1033" s="3" t="n">
        <v>45967.75972222222</v>
      </c>
      <c r="D1033" s="2" t="inlineStr">
        <is>
          <t>Original</t>
        </is>
      </c>
      <c r="E1033" s="2" t="inlineStr">
        <is>
          <t>PCP</t>
        </is>
      </c>
      <c r="F1033" s="2" t="inlineStr">
        <is>
          <t>Alfredo Maia; Paula Santos; Paulo Raimundo</t>
        </is>
      </c>
      <c r="G1033" s="2" t="inlineStr">
        <is>
          <t>Art. 7.º (aditamento)</t>
        </is>
      </c>
      <c r="H1033" s="2" t="n"/>
      <c r="I1033" s="2" t="n"/>
      <c r="J1033" s="2" t="n"/>
      <c r="K1033" s="2" t="n"/>
      <c r="L1033" s="2" t="inlineStr">
        <is>
          <t>Nova Verba 12, Mapa de alterações e transferências orçamentais, Artigo 7.º</t>
        </is>
      </c>
      <c r="M1033" s="4" t="n"/>
      <c r="N1033" s="4" t="n"/>
      <c r="O1033" s="2" t="n"/>
      <c r="P1033" s="2" t="n"/>
      <c r="Q1033" s="2" t="n"/>
      <c r="R1033" s="2" t="n"/>
      <c r="S1033" s="2" t="inlineStr">
        <is>
          <t>Rejeitado(a) em Comissão</t>
        </is>
      </c>
      <c r="T1033" s="2" t="inlineStr">
        <is>
          <t>Rejeitada</t>
        </is>
      </c>
      <c r="U1033" s="2" t="inlineStr">
        <is>
          <t>Favor: CH, PCP, PAN; Contra: PSD, IL, CDS-PP; Abstenção: PS, L, BE</t>
        </is>
      </c>
      <c r="V1033" s="3" t="n">
        <v>45987</v>
      </c>
      <c r="W1033" s="2" t="inlineStr">
        <is>
          <t>AR: https://www.parlamento.pt/OrcamentoEstado/Paginas/DetalhePropostaAlteracao.aspx?BID=24209 PDF: https://app.parlamento.pt/webutils/docs/doc.pdf?path=6148523063484d364c793942556b356c6443397a6158526c63793959566b6c4a544556484c3039464c7a49774d6a59794d4449314d5441774f5339515153396d4d544a695a47497a5a4331684d57457a4c5451784f545974596a497a4d7931694d325a6b4e5463334f44426a4d6d49756347526d&amp;Fich=f12bdb3d-a1a3-4196-b233-b3fd57780c2b.pdf&amp;Inline=true</t>
        </is>
      </c>
      <c r="X1033" s="2" t="inlineStr">
        <is>
          <t>Assuntos Constitucionais, Direitos, Liberdades e Garantias</t>
        </is>
      </c>
      <c r="Y1033" s="2" t="inlineStr">
        <is>
          <t>Articulado</t>
        </is>
      </c>
      <c r="Z1033" s="2" t="inlineStr">
        <is>
          <t>Aditamento (Números e Alíneas)</t>
        </is>
      </c>
      <c r="AA1033" s="2" t="inlineStr">
        <is>
          <t>Rejeitado(a) em Comissão</t>
        </is>
      </c>
      <c r="AB1033" s="2" t="inlineStr"/>
      <c r="AC1033" s="2" t="inlineStr"/>
      <c r="AD1033" s="2" t="inlineStr">
        <is>
          <t>1</t>
        </is>
      </c>
      <c r="AE1033" s="2" t="inlineStr">
        <is>
          <t>24209</t>
        </is>
      </c>
      <c r="AF1033" s="2" t="inlineStr">
        <is>
          <t>https://www.parlamento.pt/OrcamentoEstado/Paginas/DetalhePropostaAlteracao.aspx?BID=24209</t>
        </is>
      </c>
      <c r="AG1033" s="2" t="inlineStr">
        <is>
          <t>https://app.parlamento.pt/webutils/docs/doc.pdf?path=6148523063484d364c793942556b356c6443397a6158526c63793959566b6c4a544556484c3039464c7a49774d6a59794d4449314d5441774f5339515153396d4d544a695a47497a5a4331684d57457a4c5451784f545974596a497a4d7931694d325a6b4e5463334f44426a4d6d49756347526d&amp;Fich=f12bdb3d-a1a3-4196-b233-b3fd57780c2b.pdf&amp;Inline=true</t>
        </is>
      </c>
      <c r="AH1033" s="3" t="n">
        <v>46321.77847222222</v>
      </c>
      <c r="AI1033" s="3" t="n">
        <v>46321.78055555555</v>
      </c>
      <c r="AJ1033" s="2" t="inlineStr"/>
    </row>
    <row r="1034">
      <c r="A1034" s="2" t="n">
        <v>1033</v>
      </c>
      <c r="B1034" s="2" t="inlineStr">
        <is>
          <t>970C</t>
        </is>
      </c>
      <c r="C1034" s="3" t="n">
        <v>45967.76041666666</v>
      </c>
      <c r="D1034" s="2" t="inlineStr">
        <is>
          <t>Original</t>
        </is>
      </c>
      <c r="E1034" s="2" t="inlineStr">
        <is>
          <t>PCP</t>
        </is>
      </c>
      <c r="F1034" s="2" t="inlineStr">
        <is>
          <t>Alfredo Maia; Paula Santos; Paulo Raimundo</t>
        </is>
      </c>
      <c r="G1034" s="2" t="inlineStr">
        <is>
          <t>Art. 7.º (aditamento)</t>
        </is>
      </c>
      <c r="H1034" s="2" t="n"/>
      <c r="I1034" s="2" t="n"/>
      <c r="J1034" s="2" t="n"/>
      <c r="K1034" s="2" t="n"/>
      <c r="L1034" s="2" t="inlineStr">
        <is>
          <t>Nova Verba 12, Mapa de alterações e transferências orçamentais, Artigo 7.º</t>
        </is>
      </c>
      <c r="M1034" s="4" t="n"/>
      <c r="N1034" s="4" t="n"/>
      <c r="O1034" s="2" t="n"/>
      <c r="P1034" s="2" t="n"/>
      <c r="Q1034" s="2" t="n"/>
      <c r="R1034" s="2" t="n"/>
      <c r="S1034" s="2" t="inlineStr">
        <is>
          <t>Rejeitado(a) em Comissão</t>
        </is>
      </c>
      <c r="T1034" s="2" t="inlineStr">
        <is>
          <t>Rejeitada</t>
        </is>
      </c>
      <c r="U1034" s="2" t="inlineStr">
        <is>
          <t>Favor: CH, L, PCP, BE, PAN; Contra: PSD, CDS-PP; Abstenção: PS, IL</t>
        </is>
      </c>
      <c r="V1034" s="3" t="n">
        <v>45987</v>
      </c>
      <c r="W1034" s="2" t="inlineStr">
        <is>
          <t>AR: https://www.parlamento.pt/OrcamentoEstado/Paginas/DetalhePropostaAlteracao.aspx?BID=24210 PDF: https://app.parlamento.pt/webutils/docs/doc.pdf?path=6148523063484d364c793942556b356c6443397a6158526c63793959566b6c4a544556484c3039464c7a49774d6a59794d4449314d5441774f533951515338315a446b305a4759314e5330324e574d314c5451335957517459546b774d7930795a475668595442694f44426b5a6a55756347526d&amp;Fich=5d94df55-65c5-47ad-a903-2deaa0b80df5.pdf&amp;Inline=true</t>
        </is>
      </c>
      <c r="X1034" s="2" t="inlineStr">
        <is>
          <t>Assuntos Constitucionais, Direitos, Liberdades e Garantias</t>
        </is>
      </c>
      <c r="Y1034" s="2" t="inlineStr">
        <is>
          <t>Articulado</t>
        </is>
      </c>
      <c r="Z1034" s="2" t="inlineStr">
        <is>
          <t>Aditamento (Números e Alíneas)</t>
        </is>
      </c>
      <c r="AA1034" s="2" t="inlineStr">
        <is>
          <t>Rejeitado(a) em Comissão</t>
        </is>
      </c>
      <c r="AB1034" s="2" t="inlineStr"/>
      <c r="AC1034" s="2" t="inlineStr"/>
      <c r="AD1034" s="2" t="inlineStr">
        <is>
          <t>1</t>
        </is>
      </c>
      <c r="AE1034" s="2" t="inlineStr">
        <is>
          <t>24210</t>
        </is>
      </c>
      <c r="AF1034" s="2" t="inlineStr">
        <is>
          <t>https://www.parlamento.pt/OrcamentoEstado/Paginas/DetalhePropostaAlteracao.aspx?BID=24210</t>
        </is>
      </c>
      <c r="AG1034" s="2" t="inlineStr">
        <is>
          <t>https://app.parlamento.pt/webutils/docs/doc.pdf?path=6148523063484d364c793942556b356c6443397a6158526c63793959566b6c4a544556484c3039464c7a49774d6a59794d4449314d5441774f533951515338315a446b305a4759314e5330324e574d314c5451335957517459546b774d7930795a475668595442694f44426b5a6a55756347526d&amp;Fich=5d94df55-65c5-47ad-a903-2deaa0b80df5.pdf&amp;Inline=true</t>
        </is>
      </c>
      <c r="AH1034" s="3" t="n">
        <v>46321.77847222222</v>
      </c>
      <c r="AI1034" s="3" t="n">
        <v>46321.78055555555</v>
      </c>
      <c r="AJ1034" s="2" t="inlineStr"/>
    </row>
    <row r="1035">
      <c r="A1035" s="2" t="n">
        <v>1034</v>
      </c>
      <c r="B1035" s="2" t="inlineStr">
        <is>
          <t>971C</t>
        </is>
      </c>
      <c r="C1035" s="3" t="n">
        <v>45967.76111111111</v>
      </c>
      <c r="D1035" s="2" t="inlineStr">
        <is>
          <t>Original</t>
        </is>
      </c>
      <c r="E1035" s="2" t="inlineStr">
        <is>
          <t>PCP</t>
        </is>
      </c>
      <c r="F1035" s="2" t="inlineStr">
        <is>
          <t>Alfredo Maia; Paula Santos; Paulo Raimundo</t>
        </is>
      </c>
      <c r="G1035" s="2" t="inlineStr">
        <is>
          <t>Art. 8.º (aditamento)</t>
        </is>
      </c>
      <c r="H1035" s="2" t="n"/>
      <c r="I1035" s="2" t="n"/>
      <c r="J1035" s="2" t="n"/>
      <c r="K1035" s="2" t="n"/>
      <c r="L1035" s="2" t="inlineStr">
        <is>
          <t>Novo N.º 16, Artigo 8.º</t>
        </is>
      </c>
      <c r="M1035" s="4" t="n"/>
      <c r="N1035" s="4" t="n"/>
      <c r="O1035" s="2" t="n"/>
      <c r="P1035" s="2" t="n"/>
      <c r="Q1035" s="2" t="n"/>
      <c r="R1035" s="2" t="n"/>
      <c r="S1035" s="2" t="inlineStr">
        <is>
          <t>Aprovado(a) em Comissão</t>
        </is>
      </c>
      <c r="T1035" s="2" t="inlineStr">
        <is>
          <t>Aprovada</t>
        </is>
      </c>
      <c r="U1035" s="2" t="inlineStr">
        <is>
          <t>Favor: CH, PS, L, PCP, BE, PAN; Contra: PSD, CDS-PP; Abstenção: IL</t>
        </is>
      </c>
      <c r="V1035" s="3" t="n">
        <v>45981</v>
      </c>
      <c r="W1035" s="2" t="inlineStr">
        <is>
          <t>AR: https://www.parlamento.pt/OrcamentoEstado/Paginas/DetalhePropostaAlteracao.aspx?BID=24211 PDF: https://app.parlamento.pt/webutils/docs/doc.pdf?path=6148523063484d364c793942556b356c6443397a6158526c63793959566b6c4a544556484c3039464c7a49774d6a59794d4449314d5441774f5339515153396b4f57557a4e4446695a4331695a6d49334c5451774e546b745954517a4d5330304d54646a4e7a42684f54566c4d6a63756347526d&amp;Fich=d9e341bd-bfb7-4059-a431-417c70a95e27.pdf&amp;Inline=true</t>
        </is>
      </c>
      <c r="X1035" s="2" t="inlineStr">
        <is>
          <t>Assuntos Constitucionais, Direitos, Liberdades e Garantias</t>
        </is>
      </c>
      <c r="Y1035" s="2" t="inlineStr">
        <is>
          <t>Articulado</t>
        </is>
      </c>
      <c r="Z1035" s="2" t="inlineStr">
        <is>
          <t>Aditamento (Números e Alíneas)</t>
        </is>
      </c>
      <c r="AA1035" s="2" t="inlineStr">
        <is>
          <t>Aprovado(a) em Comissão</t>
        </is>
      </c>
      <c r="AB1035" s="2" t="inlineStr"/>
      <c r="AC1035" s="2" t="inlineStr"/>
      <c r="AD1035" s="2" t="inlineStr">
        <is>
          <t>1</t>
        </is>
      </c>
      <c r="AE1035" s="2" t="inlineStr">
        <is>
          <t>24211</t>
        </is>
      </c>
      <c r="AF1035" s="2" t="inlineStr">
        <is>
          <t>https://www.parlamento.pt/OrcamentoEstado/Paginas/DetalhePropostaAlteracao.aspx?BID=24211</t>
        </is>
      </c>
      <c r="AG1035" s="2" t="inlineStr">
        <is>
          <t>https://app.parlamento.pt/webutils/docs/doc.pdf?path=6148523063484d364c793942556b356c6443397a6158526c63793959566b6c4a544556484c3039464c7a49774d6a59794d4449314d5441774f5339515153396b4f57557a4e4446695a4331695a6d49334c5451774e546b745954517a4d5330304d54646a4e7a42684f54566c4d6a63756347526d&amp;Fich=d9e341bd-bfb7-4059-a431-417c70a95e27.pdf&amp;Inline=true</t>
        </is>
      </c>
      <c r="AH1035" s="3" t="n">
        <v>46321.77847222222</v>
      </c>
      <c r="AI1035" s="3" t="n">
        <v>46321.78055555555</v>
      </c>
      <c r="AJ1035" s="2" t="inlineStr"/>
    </row>
    <row r="1036">
      <c r="A1036" s="2" t="n">
        <v>1035</v>
      </c>
      <c r="B1036" s="2" t="inlineStr">
        <is>
          <t>972C</t>
        </is>
      </c>
      <c r="C1036" s="3" t="n">
        <v>45967.76736111111</v>
      </c>
      <c r="D1036" s="2" t="inlineStr">
        <is>
          <t>Original</t>
        </is>
      </c>
      <c r="E1036" s="2" t="inlineStr">
        <is>
          <t>PCP</t>
        </is>
      </c>
      <c r="F1036" s="2" t="inlineStr">
        <is>
          <t>Alfredo Maia; Paula Santos; Paulo Raimundo</t>
        </is>
      </c>
      <c r="G1036" s="2" t="inlineStr">
        <is>
          <t>Art. 137.º-A (aditamento)</t>
        </is>
      </c>
      <c r="H1036" s="2" t="n"/>
      <c r="I1036" s="2" t="n"/>
      <c r="J1036" s="2" t="n"/>
      <c r="K1036" s="2" t="n"/>
      <c r="L1036" s="2" t="inlineStr">
        <is>
          <t>Artigo 137.º-A (Revogação do regime de autorização de residência para a atividade de investimento)</t>
        </is>
      </c>
      <c r="M1036" s="4" t="n"/>
      <c r="N1036" s="4" t="n"/>
      <c r="O1036" s="2" t="n"/>
      <c r="P1036" s="2" t="n"/>
      <c r="Q1036" s="2" t="n"/>
      <c r="R1036" s="2" t="n"/>
      <c r="S1036" s="2" t="inlineStr">
        <is>
          <t>Rejeitado(a) em Comissão</t>
        </is>
      </c>
      <c r="T1036" s="2" t="inlineStr">
        <is>
          <t>Rejeitada</t>
        </is>
      </c>
      <c r="U1036" s="2" t="inlineStr">
        <is>
          <t>Favor: L, PCP, BE, PAN; Contra: PSD, CH, IL, CDS-PP; Abstenção: PS</t>
        </is>
      </c>
      <c r="V1036" s="3" t="n">
        <v>45987</v>
      </c>
      <c r="W1036" s="2" t="inlineStr">
        <is>
          <t>AR: https://www.parlamento.pt/OrcamentoEstado/Paginas/DetalhePropostaAlteracao.aspx?BID=24212 PDF: https://app.parlamento.pt/webutils/docs/doc.pdf?path=6148523063484d364c793942556b356c6443397a6158526c63793959566b6c4a544556484c3039464c7a49774d6a59794d4449314d5441774f533951515339684d5749324d6a63354d53316c4f54426b4c54517a4f4441744f474e684f43316d4e6d51794e4449324d4464684f5455756347526d&amp;Fich=a1b62791-e90d-4380-8ca8-f6d242607a95.pdf&amp;Inline=true</t>
        </is>
      </c>
      <c r="X1036" s="2" t="inlineStr">
        <is>
          <t>Negócios Estrangeiros e Comunidades Portuguesas; Orçamento, Finanças e Administração Pública</t>
        </is>
      </c>
      <c r="Y1036" s="2" t="inlineStr">
        <is>
          <t>Articulado</t>
        </is>
      </c>
      <c r="Z1036" s="2" t="inlineStr">
        <is>
          <t>Aditamento (Artigo PPL)</t>
        </is>
      </c>
      <c r="AA1036" s="2" t="inlineStr">
        <is>
          <t>Rejeitado(a) em Comissão</t>
        </is>
      </c>
      <c r="AB1036" s="2" t="inlineStr"/>
      <c r="AC1036" s="2" t="inlineStr"/>
      <c r="AD1036" s="2" t="inlineStr">
        <is>
          <t>1</t>
        </is>
      </c>
      <c r="AE1036" s="2" t="inlineStr">
        <is>
          <t>24212</t>
        </is>
      </c>
      <c r="AF1036" s="2" t="inlineStr">
        <is>
          <t>https://www.parlamento.pt/OrcamentoEstado/Paginas/DetalhePropostaAlteracao.aspx?BID=24212</t>
        </is>
      </c>
      <c r="AG1036" s="2" t="inlineStr">
        <is>
          <t>https://app.parlamento.pt/webutils/docs/doc.pdf?path=6148523063484d364c793942556b356c6443397a6158526c63793959566b6c4a544556484c3039464c7a49774d6a59794d4449314d5441774f533951515339684d5749324d6a63354d53316c4f54426b4c54517a4f4441744f474e684f43316d4e6d51794e4449324d4464684f5455756347526d&amp;Fich=a1b62791-e90d-4380-8ca8-f6d242607a95.pdf&amp;Inline=true</t>
        </is>
      </c>
      <c r="AH1036" s="3" t="n">
        <v>46321.77847222222</v>
      </c>
      <c r="AI1036" s="3" t="n">
        <v>46321.78055555555</v>
      </c>
      <c r="AJ1036" s="2" t="inlineStr"/>
    </row>
    <row r="1037">
      <c r="A1037" s="2" t="n">
        <v>1036</v>
      </c>
      <c r="B1037" s="2" t="inlineStr">
        <is>
          <t>973C</t>
        </is>
      </c>
      <c r="C1037" s="3" t="n">
        <v>45967.77708333333</v>
      </c>
      <c r="D1037" s="2" t="inlineStr">
        <is>
          <t>Original</t>
        </is>
      </c>
      <c r="E1037" s="2" t="inlineStr">
        <is>
          <t>L</t>
        </is>
      </c>
      <c r="F1037" s="2" t="inlineStr">
        <is>
          <t>Filipa Pinto; Isabel Mendes Lopes; Jorge Pinto; Patrícia Gonçalves; Paulo Muacho; Rui Tavares</t>
        </is>
      </c>
      <c r="G1037" s="2" t="inlineStr">
        <is>
          <t>Art. 20.º-A (aditamento)</t>
        </is>
      </c>
      <c r="H1037" s="2" t="n"/>
      <c r="I1037" s="2" t="n"/>
      <c r="J1037" s="2" t="n"/>
      <c r="K1037" s="2" t="n"/>
      <c r="L1037" s="2" t="inlineStr">
        <is>
          <t>Artigo 20.º-A (Formação em Direitos Humanos)</t>
        </is>
      </c>
      <c r="M1037" s="4" t="n"/>
      <c r="N1037" s="4" t="n"/>
      <c r="O1037" s="2" t="n"/>
      <c r="P1037" s="2" t="n"/>
      <c r="Q1037" s="2" t="n"/>
      <c r="R1037" s="2" t="n"/>
      <c r="S1037" s="2" t="inlineStr">
        <is>
          <t>Rejeitado(a) em Comissão</t>
        </is>
      </c>
      <c r="T1037" s="2" t="inlineStr">
        <is>
          <t>Rejeitada</t>
        </is>
      </c>
      <c r="U1037" s="2" t="inlineStr">
        <is>
          <t>Favor: L, PCP, BE, PAN; Contra: PSD, CH, IL, CDS-PP; Abstenção: PS</t>
        </is>
      </c>
      <c r="V1037" s="3" t="n">
        <v>45981</v>
      </c>
      <c r="W1037" s="2" t="inlineStr">
        <is>
          <t>AR: https://www.parlamento.pt/OrcamentoEstado/Paginas/DetalhePropostaAlteracao.aspx?BID=24214 PDF: https://app.parlamento.pt/webutils/docs/doc.pdf?path=6148523063484d364c793942556b356c6443397a6158526c63793959566b6c4a544556484c3039464c7a49774d6a59794d4449314d5441774f533951515338355a4756685a57497a4f4330354e44646d4c5451784d7a49744f44466d4d7930334f47526b593251344e324d7a4f4755756347526d&amp;Fich=9deaeb38-947f-4132-81f3-78ddcd87c38e.pdf&amp;Inline=true</t>
        </is>
      </c>
      <c r="X1037" s="2" t="inlineStr">
        <is>
          <t>Assuntos Constitucionais, Direitos, Liberdades e Garantias</t>
        </is>
      </c>
      <c r="Y1037" s="2" t="inlineStr">
        <is>
          <t>Articulado</t>
        </is>
      </c>
      <c r="Z1037" s="2" t="inlineStr">
        <is>
          <t>Aditamento (Artigo PPL)</t>
        </is>
      </c>
      <c r="AA1037" s="2" t="inlineStr">
        <is>
          <t>Rejeitado(a) em Comissão</t>
        </is>
      </c>
      <c r="AB1037" s="2" t="inlineStr"/>
      <c r="AC1037" s="2" t="inlineStr"/>
      <c r="AD1037" s="2" t="inlineStr">
        <is>
          <t>1</t>
        </is>
      </c>
      <c r="AE1037" s="2" t="inlineStr">
        <is>
          <t>24214</t>
        </is>
      </c>
      <c r="AF1037" s="2" t="inlineStr">
        <is>
          <t>https://www.parlamento.pt/OrcamentoEstado/Paginas/DetalhePropostaAlteracao.aspx?BID=24214</t>
        </is>
      </c>
      <c r="AG1037" s="2" t="inlineStr">
        <is>
          <t>https://app.parlamento.pt/webutils/docs/doc.pdf?path=6148523063484d364c793942556b356c6443397a6158526c63793959566b6c4a544556484c3039464c7a49774d6a59794d4449314d5441774f533951515338355a4756685a57497a4f4330354e44646d4c5451784d7a49744f44466d4d7930334f47526b593251344e324d7a4f4755756347526d&amp;Fich=9deaeb38-947f-4132-81f3-78ddcd87c38e.pdf&amp;Inline=true</t>
        </is>
      </c>
      <c r="AH1037" s="3" t="n">
        <v>46321.77847222222</v>
      </c>
      <c r="AI1037" s="3" t="n">
        <v>46321.78055555555</v>
      </c>
      <c r="AJ1037" s="2" t="inlineStr"/>
    </row>
    <row r="1038">
      <c r="A1038" s="2" t="n">
        <v>1037</v>
      </c>
      <c r="B1038" s="2" t="inlineStr">
        <is>
          <t>974C</t>
        </is>
      </c>
      <c r="C1038" s="3" t="n">
        <v>45967.77986111111</v>
      </c>
      <c r="D1038" s="2" t="inlineStr">
        <is>
          <t>Original</t>
        </is>
      </c>
      <c r="E1038" s="2" t="inlineStr">
        <is>
          <t>PCP</t>
        </is>
      </c>
      <c r="F1038" s="2" t="inlineStr">
        <is>
          <t>Alfredo Maia; Paula Santos; Paulo Raimundo</t>
        </is>
      </c>
      <c r="G1038" s="2" t="inlineStr">
        <is>
          <t>Art. 128.º-A (aditamento)</t>
        </is>
      </c>
      <c r="H1038" s="2" t="n"/>
      <c r="I1038" s="2" t="n"/>
      <c r="J1038" s="2" t="n"/>
      <c r="K1038" s="2" t="n"/>
      <c r="L1038" s="2" t="inlineStr">
        <is>
          <t>Artigo 128.º-A (Comboios noturnos internacionais)</t>
        </is>
      </c>
      <c r="M1038" s="4" t="n"/>
      <c r="N1038" s="4" t="n"/>
      <c r="O1038" s="2" t="n"/>
      <c r="P1038" s="2" t="n"/>
      <c r="Q1038" s="2" t="n"/>
      <c r="R1038" s="2" t="n"/>
      <c r="S1038" s="2" t="inlineStr">
        <is>
          <t>Rejeitado(a) em Comissão</t>
        </is>
      </c>
      <c r="T1038" s="2" t="inlineStr">
        <is>
          <t>Rejeitada</t>
        </is>
      </c>
      <c r="U1038" s="2" t="inlineStr">
        <is>
          <t>Favor: PS, L, PCP, BE, PAN; Contra: PSD, CDS-PP; Abstenção: CH, IL</t>
        </is>
      </c>
      <c r="V1038" s="3" t="n">
        <v>45985</v>
      </c>
      <c r="W1038" s="2" t="inlineStr">
        <is>
          <t>AR: https://www.parlamento.pt/OrcamentoEstado/Paginas/DetalhePropostaAlteracao.aspx?BID=24215 PDF: https://app.parlamento.pt/webutils/docs/doc.pdf?path=6148523063484d364c793942556b356c6443397a6158526c63793959566b6c4a544556484c3039464c7a49774d6a59794d4449314d5441774f533951515338305a5449794e3249334f5331684e7a686b4c5452694d6a597459574d7a5a53307a4d544e684e544d354d6a67794f5749756347526d&amp;Fich=4e227b79-a78d-4b26-ac3e-313a5392829b.pdf&amp;Inline=true</t>
        </is>
      </c>
      <c r="X1038" s="2" t="inlineStr">
        <is>
          <t>Infraestruturas, Mobilidade e Habitação</t>
        </is>
      </c>
      <c r="Y1038" s="2" t="inlineStr">
        <is>
          <t>Articulado</t>
        </is>
      </c>
      <c r="Z1038" s="2" t="inlineStr">
        <is>
          <t>Aditamento (Artigo PPL)</t>
        </is>
      </c>
      <c r="AA1038" s="2" t="inlineStr">
        <is>
          <t>Rejeitado(a) em Comissão</t>
        </is>
      </c>
      <c r="AB1038" s="2" t="inlineStr"/>
      <c r="AC1038" s="2" t="inlineStr"/>
      <c r="AD1038" s="2" t="inlineStr">
        <is>
          <t>1</t>
        </is>
      </c>
      <c r="AE1038" s="2" t="inlineStr">
        <is>
          <t>24215</t>
        </is>
      </c>
      <c r="AF1038" s="2" t="inlineStr">
        <is>
          <t>https://www.parlamento.pt/OrcamentoEstado/Paginas/DetalhePropostaAlteracao.aspx?BID=24215</t>
        </is>
      </c>
      <c r="AG1038" s="2" t="inlineStr">
        <is>
          <t>https://app.parlamento.pt/webutils/docs/doc.pdf?path=6148523063484d364c793942556b356c6443397a6158526c63793959566b6c4a544556484c3039464c7a49774d6a59794d4449314d5441774f533951515338305a5449794e3249334f5331684e7a686b4c5452694d6a597459574d7a5a53307a4d544e684e544d354d6a67794f5749756347526d&amp;Fich=4e227b79-a78d-4b26-ac3e-313a5392829b.pdf&amp;Inline=true</t>
        </is>
      </c>
      <c r="AH1038" s="3" t="n">
        <v>46321.77847222222</v>
      </c>
      <c r="AI1038" s="3" t="n">
        <v>46321.78055555555</v>
      </c>
      <c r="AJ1038" s="2" t="inlineStr"/>
    </row>
    <row r="1039">
      <c r="A1039" s="2" t="n">
        <v>1038</v>
      </c>
      <c r="B1039" s="2" t="inlineStr">
        <is>
          <t>975C</t>
        </is>
      </c>
      <c r="C1039" s="3" t="n">
        <v>45967.78055555555</v>
      </c>
      <c r="D1039" s="2" t="inlineStr">
        <is>
          <t>Original</t>
        </is>
      </c>
      <c r="E1039" s="2" t="inlineStr">
        <is>
          <t>PCP</t>
        </is>
      </c>
      <c r="F1039" s="2" t="inlineStr">
        <is>
          <t>Alfredo Maia; Paula Santos; Paulo Raimundo</t>
        </is>
      </c>
      <c r="G1039" s="2" t="inlineStr">
        <is>
          <t>Art. 128.º-A (aditamento)</t>
        </is>
      </c>
      <c r="H1039" s="2" t="n"/>
      <c r="I1039" s="2" t="n"/>
      <c r="J1039" s="2" t="n"/>
      <c r="K1039" s="2" t="n"/>
      <c r="L1039" s="2" t="inlineStr">
        <is>
          <t>Artigo 128.º-A (Apoios à descarbonização do Setor do Táxi)</t>
        </is>
      </c>
      <c r="M1039" s="4" t="n"/>
      <c r="N1039" s="4" t="n"/>
      <c r="O1039" s="2" t="n"/>
      <c r="P1039" s="2" t="n"/>
      <c r="Q1039" s="2" t="n"/>
      <c r="R1039" s="2" t="n"/>
      <c r="S1039" s="2" t="inlineStr">
        <is>
          <t>Rejeitado(a) em Comissão</t>
        </is>
      </c>
      <c r="T1039" s="2" t="inlineStr">
        <is>
          <t>Rejeitada</t>
        </is>
      </c>
      <c r="U1039" s="2" t="inlineStr">
        <is>
          <t>Favor: L, PCP, BE, PAN; Contra: PSD, IL, CDS-PP; Abstenção: CH, PS</t>
        </is>
      </c>
      <c r="V1039" s="3" t="n">
        <v>45985</v>
      </c>
      <c r="W1039" s="2" t="inlineStr">
        <is>
          <t>AR: https://www.parlamento.pt/OrcamentoEstado/Paginas/DetalhePropostaAlteracao.aspx?BID=24216 PDF: https://app.parlamento.pt/webutils/docs/doc.pdf?path=6148523063484d364c793942556b356c6443397a6158526c63793959566b6c4a544556484c3039464c7a49774d6a59794d4449314d5441774f5339515153396d4d324a6a5a575531597930324e6a51784c5451344f444d744f546b354e53316c5932497a4f4452694e7a41785a6d4d756347526d&amp;Fich=f3bcee5c-6641-4883-9995-ecb384b701fc.pdf&amp;Inline=true</t>
        </is>
      </c>
      <c r="X1039" s="2" t="inlineStr">
        <is>
          <t>Infraestruturas, Mobilidade e Habitação</t>
        </is>
      </c>
      <c r="Y1039" s="2" t="inlineStr">
        <is>
          <t>Articulado</t>
        </is>
      </c>
      <c r="Z1039" s="2" t="inlineStr">
        <is>
          <t>Aditamento (Artigo PPL)</t>
        </is>
      </c>
      <c r="AA1039" s="2" t="inlineStr">
        <is>
          <t>Rejeitado(a) em Comissão</t>
        </is>
      </c>
      <c r="AB1039" s="2" t="inlineStr"/>
      <c r="AC1039" s="2" t="inlineStr"/>
      <c r="AD1039" s="2" t="inlineStr">
        <is>
          <t>1</t>
        </is>
      </c>
      <c r="AE1039" s="2" t="inlineStr">
        <is>
          <t>24216</t>
        </is>
      </c>
      <c r="AF1039" s="2" t="inlineStr">
        <is>
          <t>https://www.parlamento.pt/OrcamentoEstado/Paginas/DetalhePropostaAlteracao.aspx?BID=24216</t>
        </is>
      </c>
      <c r="AG1039" s="2" t="inlineStr">
        <is>
          <t>https://app.parlamento.pt/webutils/docs/doc.pdf?path=6148523063484d364c793942556b356c6443397a6158526c63793959566b6c4a544556484c3039464c7a49774d6a59794d4449314d5441774f5339515153396d4d324a6a5a575531597930324e6a51784c5451344f444d744f546b354e53316c5932497a4f4452694e7a41785a6d4d756347526d&amp;Fich=f3bcee5c-6641-4883-9995-ecb384b701fc.pdf&amp;Inline=true</t>
        </is>
      </c>
      <c r="AH1039" s="3" t="n">
        <v>46321.77847222222</v>
      </c>
      <c r="AI1039" s="3" t="n">
        <v>46321.78055555555</v>
      </c>
      <c r="AJ1039" s="2" t="inlineStr"/>
    </row>
    <row r="1040">
      <c r="A1040" s="2" t="n">
        <v>1039</v>
      </c>
      <c r="B1040" s="2" t="inlineStr">
        <is>
          <t>976C</t>
        </is>
      </c>
      <c r="C1040" s="3" t="n">
        <v>45967.78125</v>
      </c>
      <c r="D1040" s="2" t="inlineStr">
        <is>
          <t>Original</t>
        </is>
      </c>
      <c r="E1040" s="2" t="inlineStr">
        <is>
          <t>L</t>
        </is>
      </c>
      <c r="F1040" s="2" t="inlineStr">
        <is>
          <t>Filipa Pinto; Isabel Mendes Lopes; Jorge Pinto; Patrícia Gonçalves; Paulo Muacho; Rui Tavares</t>
        </is>
      </c>
      <c r="G1040" s="2" t="inlineStr">
        <is>
          <t>Art. 126.º-A (aditamento)</t>
        </is>
      </c>
      <c r="H1040" s="2" t="n"/>
      <c r="I1040" s="2" t="n"/>
      <c r="J1040" s="2" t="n"/>
      <c r="K1040" s="2" t="n"/>
      <c r="L1040" s="2" t="inlineStr">
        <is>
          <t>Artigo 126.º-A (Programa de apoio para aquisição de viaturas de emissões nulas para o transporte coletivo de crianças)</t>
        </is>
      </c>
      <c r="M1040" s="4" t="n"/>
      <c r="N1040" s="4" t="n"/>
      <c r="O1040" s="2" t="n"/>
      <c r="P1040" s="2" t="n"/>
      <c r="Q1040" s="2" t="n"/>
      <c r="R1040" s="2" t="n"/>
      <c r="S1040" s="2" t="inlineStr">
        <is>
          <t>Rejeitado(a) em Comissão</t>
        </is>
      </c>
      <c r="T1040" s="2" t="inlineStr">
        <is>
          <t>Rejeitada</t>
        </is>
      </c>
      <c r="U1040" s="2" t="inlineStr">
        <is>
          <t>Favor: L, BE, PAN; Contra: PSD, CH, CDS-PP; Abstenção: PS, IL, PCP</t>
        </is>
      </c>
      <c r="V1040" s="3" t="n">
        <v>45985</v>
      </c>
      <c r="W1040" s="2" t="inlineStr">
        <is>
          <t>AR: https://www.parlamento.pt/OrcamentoEstado/Paginas/DetalhePropostaAlteracao.aspx?BID=24217 PDF: https://app.parlamento.pt/webutils/docs/doc.pdf?path=6148523063484d364c793942556b356c6443397a6158526c63793959566b6c4a544556484c3039464c7a49774d6a59794d4449314d5441774f53395151533879597a6b77597a6c6d4f43307a5a5459784c54526d4e6a59744f54566b4d533169597a49784e6d5a6a4f4759344d7a41756347526d&amp;Fich=2c90c9f8-3e61-4f66-95d1-bc216fc8f830.pdf&amp;Inline=true</t>
        </is>
      </c>
      <c r="X1040" s="2" t="inlineStr">
        <is>
          <t>Infraestruturas, Mobilidade e Habitação</t>
        </is>
      </c>
      <c r="Y1040" s="2" t="inlineStr">
        <is>
          <t>Articulado</t>
        </is>
      </c>
      <c r="Z1040" s="2" t="inlineStr">
        <is>
          <t>Aditamento (Artigo PPL)</t>
        </is>
      </c>
      <c r="AA1040" s="2" t="inlineStr">
        <is>
          <t>Rejeitado(a) em Comissão</t>
        </is>
      </c>
      <c r="AB1040" s="2" t="inlineStr"/>
      <c r="AC1040" s="2" t="inlineStr"/>
      <c r="AD1040" s="2" t="inlineStr">
        <is>
          <t>1</t>
        </is>
      </c>
      <c r="AE1040" s="2" t="inlineStr">
        <is>
          <t>24217</t>
        </is>
      </c>
      <c r="AF1040" s="2" t="inlineStr">
        <is>
          <t>https://www.parlamento.pt/OrcamentoEstado/Paginas/DetalhePropostaAlteracao.aspx?BID=24217</t>
        </is>
      </c>
      <c r="AG1040" s="2" t="inlineStr">
        <is>
          <t>https://app.parlamento.pt/webutils/docs/doc.pdf?path=6148523063484d364c793942556b356c6443397a6158526c63793959566b6c4a544556484c3039464c7a49774d6a59794d4449314d5441774f53395151533879597a6b77597a6c6d4f43307a5a5459784c54526d4e6a59744f54566b4d533169597a49784e6d5a6a4f4759344d7a41756347526d&amp;Fich=2c90c9f8-3e61-4f66-95d1-bc216fc8f830.pdf&amp;Inline=true</t>
        </is>
      </c>
      <c r="AH1040" s="3" t="n">
        <v>46321.77847222222</v>
      </c>
      <c r="AI1040" s="3" t="n">
        <v>46321.78055555555</v>
      </c>
      <c r="AJ1040" s="2" t="inlineStr"/>
    </row>
    <row r="1041">
      <c r="A1041" s="2" t="n">
        <v>1040</v>
      </c>
      <c r="B1041" s="2" t="inlineStr">
        <is>
          <t>977C</t>
        </is>
      </c>
      <c r="C1041" s="3" t="n">
        <v>45967.78125</v>
      </c>
      <c r="D1041" s="2" t="inlineStr">
        <is>
          <t>Original</t>
        </is>
      </c>
      <c r="E1041" s="2" t="inlineStr">
        <is>
          <t>PCP</t>
        </is>
      </c>
      <c r="F1041" s="2" t="inlineStr">
        <is>
          <t>Alfredo Maia; Paula Santos; Paulo Raimundo</t>
        </is>
      </c>
      <c r="G1041" s="2" t="inlineStr">
        <is>
          <t>Art. 128.º-A (aditamento)</t>
        </is>
      </c>
      <c r="H1041" s="2" t="n"/>
      <c r="I1041" s="2" t="n"/>
      <c r="J1041" s="2" t="n"/>
      <c r="K1041" s="2" t="n"/>
      <c r="L1041" s="2" t="inlineStr">
        <is>
          <t>Artigo 128.º-A (Eliminação das portagens na A1, A2, A9 e A33 na AML)</t>
        </is>
      </c>
      <c r="M1041" s="4" t="n"/>
      <c r="N1041" s="4" t="n"/>
      <c r="O1041" s="2" t="n"/>
      <c r="P1041" s="2" t="n"/>
      <c r="Q1041" s="2" t="n"/>
      <c r="R1041" s="2" t="n"/>
      <c r="S1041" s="2" t="inlineStr">
        <is>
          <t>Rejeitado(a) em Comissão</t>
        </is>
      </c>
      <c r="T1041" s="2" t="inlineStr">
        <is>
          <t>Rejeitada</t>
        </is>
      </c>
      <c r="U1041" s="2" t="inlineStr">
        <is>
          <t>Favor: CH, L, PCP, BE, PAN; Contra: PSD, IL, CDS-PP; Abstenção: PS</t>
        </is>
      </c>
      <c r="V1041" s="3" t="n">
        <v>45985</v>
      </c>
      <c r="W1041" s="2" t="inlineStr">
        <is>
          <t>AR: https://www.parlamento.pt/OrcamentoEstado/Paginas/DetalhePropostaAlteracao.aspx?BID=24218 PDF: https://app.parlamento.pt/webutils/docs/doc.pdf?path=6148523063484d364c793942556b356c6443397a6158526c63793959566b6c4a544556484c3039464c7a49774d6a59794d4449314d5441774f5339515153396b597a6b7a595467304f433077597a45774c54517a4d544974596d4d344f5330334f5755344d6a55344e44466c4d7a67756347526d&amp;Fich=dc93a848-0c10-4312-bc89-79e825841e38.pdf&amp;Inline=true</t>
        </is>
      </c>
      <c r="X1041" s="2" t="inlineStr">
        <is>
          <t>Infraestruturas, Mobilidade e Habitação</t>
        </is>
      </c>
      <c r="Y1041" s="2" t="inlineStr">
        <is>
          <t>Articulado</t>
        </is>
      </c>
      <c r="Z1041" s="2" t="inlineStr">
        <is>
          <t>Aditamento (Artigo PPL)</t>
        </is>
      </c>
      <c r="AA1041" s="2" t="inlineStr">
        <is>
          <t>Rejeitado(a) em Comissão</t>
        </is>
      </c>
      <c r="AB1041" s="2" t="inlineStr"/>
      <c r="AC1041" s="2" t="inlineStr"/>
      <c r="AD1041" s="2" t="inlineStr">
        <is>
          <t>1</t>
        </is>
      </c>
      <c r="AE1041" s="2" t="inlineStr">
        <is>
          <t>24218</t>
        </is>
      </c>
      <c r="AF1041" s="2" t="inlineStr">
        <is>
          <t>https://www.parlamento.pt/OrcamentoEstado/Paginas/DetalhePropostaAlteracao.aspx?BID=24218</t>
        </is>
      </c>
      <c r="AG1041" s="2" t="inlineStr">
        <is>
          <t>https://app.parlamento.pt/webutils/docs/doc.pdf?path=6148523063484d364c793942556b356c6443397a6158526c63793959566b6c4a544556484c3039464c7a49774d6a59794d4449314d5441774f5339515153396b597a6b7a595467304f433077597a45774c54517a4d544974596d4d344f5330334f5755344d6a55344e44466c4d7a67756347526d&amp;Fich=dc93a848-0c10-4312-bc89-79e825841e38.pdf&amp;Inline=true</t>
        </is>
      </c>
      <c r="AH1041" s="3" t="n">
        <v>46321.77847222222</v>
      </c>
      <c r="AI1041" s="3" t="n">
        <v>46321.78055555555</v>
      </c>
      <c r="AJ1041" s="2" t="inlineStr"/>
    </row>
    <row r="1042">
      <c r="A1042" s="2" t="n">
        <v>1041</v>
      </c>
      <c r="B1042" s="2" t="inlineStr">
        <is>
          <t>978C</t>
        </is>
      </c>
      <c r="C1042" s="3" t="n">
        <v>45967.78194444445</v>
      </c>
      <c r="D1042" s="2" t="inlineStr">
        <is>
          <t>Original</t>
        </is>
      </c>
      <c r="E1042" s="2" t="inlineStr">
        <is>
          <t>PCP</t>
        </is>
      </c>
      <c r="F1042" s="2" t="inlineStr">
        <is>
          <t>Alfredo Maia; Paula Santos; Paulo Raimundo</t>
        </is>
      </c>
      <c r="G1042" s="2" t="inlineStr">
        <is>
          <t>Art. 128.º-A (aditamento)</t>
        </is>
      </c>
      <c r="H1042" s="2" t="n"/>
      <c r="I1042" s="2" t="n"/>
      <c r="J1042" s="2" t="n"/>
      <c r="K1042" s="2" t="n"/>
      <c r="L1042" s="2" t="inlineStr">
        <is>
          <t>Artigo 128.º-A (Eliminação das portagens nas autoestradas ex-SCUT da Região Norte)</t>
        </is>
      </c>
      <c r="M1042" s="4" t="n"/>
      <c r="N1042" s="4" t="n"/>
      <c r="O1042" s="2" t="n"/>
      <c r="P1042" s="2" t="n"/>
      <c r="Q1042" s="2" t="n"/>
      <c r="R1042" s="2" t="n"/>
      <c r="S1042" s="2" t="inlineStr">
        <is>
          <t>Rejeitado(a) em Comissão</t>
        </is>
      </c>
      <c r="T1042" s="2" t="inlineStr">
        <is>
          <t>Rejeitada</t>
        </is>
      </c>
      <c r="U1042" s="2" t="inlineStr">
        <is>
          <t>Favor: CH, L, PCP, BE, PAN; Contra: PSD, IL, CDS-PP; Abstenção: PS</t>
        </is>
      </c>
      <c r="V1042" s="3" t="n">
        <v>45985</v>
      </c>
      <c r="W1042" s="2" t="inlineStr">
        <is>
          <t>AR: https://www.parlamento.pt/OrcamentoEstado/Paginas/DetalhePropostaAlteracao.aspx?BID=24219 PDF: https://app.parlamento.pt/webutils/docs/doc.pdf?path=6148523063484d364c793942556b356c6443397a6158526c63793959566b6c4a544556484c3039464c7a49774d6a59794d4449314d5441774f5339515153396b4d544532595752694e69316c5a5759774c54526b596d4d744f5455344d4331684d545a6a4e544d784e4746684e324d756347526d&amp;Fich=d116adb6-eef0-4dbc-9580-a16c5314aa7c.pdf&amp;Inline=true</t>
        </is>
      </c>
      <c r="X1042" s="2" t="inlineStr">
        <is>
          <t>Infraestruturas, Mobilidade e Habitação</t>
        </is>
      </c>
      <c r="Y1042" s="2" t="inlineStr">
        <is>
          <t>Articulado</t>
        </is>
      </c>
      <c r="Z1042" s="2" t="inlineStr">
        <is>
          <t>Aditamento (Artigo PPL)</t>
        </is>
      </c>
      <c r="AA1042" s="2" t="inlineStr">
        <is>
          <t>Rejeitado(a) em Comissão</t>
        </is>
      </c>
      <c r="AB1042" s="2" t="inlineStr"/>
      <c r="AC1042" s="2" t="inlineStr"/>
      <c r="AD1042" s="2" t="inlineStr">
        <is>
          <t>1</t>
        </is>
      </c>
      <c r="AE1042" s="2" t="inlineStr">
        <is>
          <t>24219</t>
        </is>
      </c>
      <c r="AF1042" s="2" t="inlineStr">
        <is>
          <t>https://www.parlamento.pt/OrcamentoEstado/Paginas/DetalhePropostaAlteracao.aspx?BID=24219</t>
        </is>
      </c>
      <c r="AG1042" s="2" t="inlineStr">
        <is>
          <t>https://app.parlamento.pt/webutils/docs/doc.pdf?path=6148523063484d364c793942556b356c6443397a6158526c63793959566b6c4a544556484c3039464c7a49774d6a59794d4449314d5441774f5339515153396b4d544532595752694e69316c5a5759774c54526b596d4d744f5455344d4331684d545a6a4e544d784e4746684e324d756347526d&amp;Fich=d116adb6-eef0-4dbc-9580-a16c5314aa7c.pdf&amp;Inline=true</t>
        </is>
      </c>
      <c r="AH1042" s="3" t="n">
        <v>46321.77847222222</v>
      </c>
      <c r="AI1042" s="3" t="n">
        <v>46321.78055555555</v>
      </c>
      <c r="AJ1042" s="2" t="inlineStr"/>
    </row>
    <row r="1043">
      <c r="A1043" s="2" t="n">
        <v>1042</v>
      </c>
      <c r="B1043" s="2" t="inlineStr">
        <is>
          <t>979C</t>
        </is>
      </c>
      <c r="C1043" s="3" t="n">
        <v>45967.78194444445</v>
      </c>
      <c r="D1043" s="2" t="inlineStr">
        <is>
          <t>Original</t>
        </is>
      </c>
      <c r="E1043" s="2" t="inlineStr">
        <is>
          <t>PCP</t>
        </is>
      </c>
      <c r="F1043" s="2" t="inlineStr">
        <is>
          <t>Alfredo Maia; Paula Santos; Paulo Raimundo</t>
        </is>
      </c>
      <c r="G1043" s="2" t="inlineStr">
        <is>
          <t>Art. 128.º-A (aditamento)</t>
        </is>
      </c>
      <c r="H1043" s="2" t="n"/>
      <c r="I1043" s="2" t="n"/>
      <c r="J1043" s="2" t="n"/>
      <c r="K1043" s="2" t="n"/>
      <c r="L1043" s="2" t="inlineStr">
        <is>
          <t>Artigo 128.º-A (Reforço de verba para o Passe Ferroviário Verde)</t>
        </is>
      </c>
      <c r="M1043" s="4" t="n"/>
      <c r="N1043" s="4" t="n"/>
      <c r="O1043" s="2" t="n"/>
      <c r="P1043" s="2" t="n"/>
      <c r="Q1043" s="2" t="n"/>
      <c r="R1043" s="2" t="n"/>
      <c r="S1043" s="2" t="inlineStr">
        <is>
          <t>Rejeitado(a) em Comissão</t>
        </is>
      </c>
      <c r="T1043" s="2" t="inlineStr">
        <is>
          <t>Rejeitada</t>
        </is>
      </c>
      <c r="U1043" s="2" t="inlineStr">
        <is>
          <t>Favor: L, PCP, BE, PAN; Contra: PSD, IL, CDS-PP; Abstenção: CH, PS</t>
        </is>
      </c>
      <c r="V1043" s="3" t="n">
        <v>45985</v>
      </c>
      <c r="W1043" s="2" t="inlineStr">
        <is>
          <t>AR: https://www.parlamento.pt/OrcamentoEstado/Paginas/DetalhePropostaAlteracao.aspx?BID=24220 PDF: https://app.parlamento.pt/webutils/docs/doc.pdf?path=6148523063484d364c793942556b356c6443397a6158526c63793959566b6c4a544556484c3039464c7a49774d6a59794d4449314d5441774f533951515338354e7a45795a4749795a4330794d445a6b4c5451325a6a597459546b784d433031597a55304d6d45354d5755794e7a4d756347526d&amp;Fich=9712db2d-206d-46f6-a910-5c542a91e273.pdf&amp;Inline=true</t>
        </is>
      </c>
      <c r="X1043" s="2" t="inlineStr">
        <is>
          <t>Infraestruturas, Mobilidade e Habitação</t>
        </is>
      </c>
      <c r="Y1043" s="2" t="inlineStr">
        <is>
          <t>Articulado</t>
        </is>
      </c>
      <c r="Z1043" s="2" t="inlineStr">
        <is>
          <t>Aditamento (Artigo PPL)</t>
        </is>
      </c>
      <c r="AA1043" s="2" t="inlineStr">
        <is>
          <t>Rejeitado(a) em Comissão</t>
        </is>
      </c>
      <c r="AB1043" s="2" t="inlineStr"/>
      <c r="AC1043" s="2" t="inlineStr"/>
      <c r="AD1043" s="2" t="inlineStr">
        <is>
          <t>1</t>
        </is>
      </c>
      <c r="AE1043" s="2" t="inlineStr">
        <is>
          <t>24220</t>
        </is>
      </c>
      <c r="AF1043" s="2" t="inlineStr">
        <is>
          <t>https://www.parlamento.pt/OrcamentoEstado/Paginas/DetalhePropostaAlteracao.aspx?BID=24220</t>
        </is>
      </c>
      <c r="AG1043" s="2" t="inlineStr">
        <is>
          <t>https://app.parlamento.pt/webutils/docs/doc.pdf?path=6148523063484d364c793942556b356c6443397a6158526c63793959566b6c4a544556484c3039464c7a49774d6a59794d4449314d5441774f533951515338354e7a45795a4749795a4330794d445a6b4c5451325a6a597459546b784d433031597a55304d6d45354d5755794e7a4d756347526d&amp;Fich=9712db2d-206d-46f6-a910-5c542a91e273.pdf&amp;Inline=true</t>
        </is>
      </c>
      <c r="AH1043" s="3" t="n">
        <v>46321.77847222222</v>
      </c>
      <c r="AI1043" s="3" t="n">
        <v>46321.78055555555</v>
      </c>
      <c r="AJ1043" s="2" t="inlineStr"/>
    </row>
    <row r="1044">
      <c r="A1044" s="2" t="n">
        <v>1043</v>
      </c>
      <c r="B1044" s="2" t="inlineStr">
        <is>
          <t>980C</t>
        </is>
      </c>
      <c r="C1044" s="3" t="n">
        <v>45967.78263888889</v>
      </c>
      <c r="D1044" s="2" t="inlineStr">
        <is>
          <t>Original</t>
        </is>
      </c>
      <c r="E1044" s="2" t="inlineStr">
        <is>
          <t>PCP</t>
        </is>
      </c>
      <c r="F1044" s="2" t="inlineStr">
        <is>
          <t>Alfredo Maia; Paula Santos; Paulo Raimundo</t>
        </is>
      </c>
      <c r="G1044" s="2" t="inlineStr">
        <is>
          <t>Art. 128.º-A (aditamento)</t>
        </is>
      </c>
      <c r="H1044" s="2" t="n"/>
      <c r="I1044" s="2" t="n"/>
      <c r="J1044" s="2" t="n"/>
      <c r="K1044" s="2" t="n"/>
      <c r="L1044" s="2" t="inlineStr">
        <is>
          <t>Artigo 128.º-A (Salvaguarda do interesse nacional na aquisição de material circulante ferroviário)</t>
        </is>
      </c>
      <c r="M1044" s="4" t="n"/>
      <c r="N1044" s="4" t="n"/>
      <c r="O1044" s="2" t="n"/>
      <c r="P1044" s="2" t="n"/>
      <c r="Q1044" s="2" t="n"/>
      <c r="R1044" s="2" t="n"/>
      <c r="S1044" s="2" t="inlineStr">
        <is>
          <t>Rejeitado(a) em Comissão</t>
        </is>
      </c>
      <c r="T1044" s="2" t="inlineStr">
        <is>
          <t>Rejeitada</t>
        </is>
      </c>
      <c r="U1044" s="2" t="inlineStr">
        <is>
          <t>Favor: L, PCP, BE, PAN; Contra: PSD, CDS-PP; Abstenção: CH, PS, IL</t>
        </is>
      </c>
      <c r="V1044" s="3" t="n">
        <v>45985</v>
      </c>
      <c r="W1044" s="2" t="inlineStr">
        <is>
          <t>AR: https://www.parlamento.pt/OrcamentoEstado/Paginas/DetalhePropostaAlteracao.aspx?BID=24221 PDF: https://app.parlamento.pt/webutils/docs/doc.pdf?path=6148523063484d364c793942556b356c6443397a6158526c63793959566b6c4a544556484c3039464c7a49774d6a59794d4449314d5441774f533951515338314f4463784e6a566b4e5331695a444e694c5451304d544974596a64695a4330354e544a6c4d5467794d544a6c5a5463756347526d&amp;Fich=587165d5-bd3b-4412-b7bd-952e18212ee7.pdf&amp;Inline=true</t>
        </is>
      </c>
      <c r="X1044" s="2" t="inlineStr">
        <is>
          <t>Infraestruturas, Mobilidade e Habitação</t>
        </is>
      </c>
      <c r="Y1044" s="2" t="inlineStr">
        <is>
          <t>Articulado</t>
        </is>
      </c>
      <c r="Z1044" s="2" t="inlineStr">
        <is>
          <t>Aditamento (Artigo PPL)</t>
        </is>
      </c>
      <c r="AA1044" s="2" t="inlineStr">
        <is>
          <t>Rejeitado(a) em Comissão</t>
        </is>
      </c>
      <c r="AB1044" s="2" t="inlineStr"/>
      <c r="AC1044" s="2" t="inlineStr"/>
      <c r="AD1044" s="2" t="inlineStr">
        <is>
          <t>1</t>
        </is>
      </c>
      <c r="AE1044" s="2" t="inlineStr">
        <is>
          <t>24221</t>
        </is>
      </c>
      <c r="AF1044" s="2" t="inlineStr">
        <is>
          <t>https://www.parlamento.pt/OrcamentoEstado/Paginas/DetalhePropostaAlteracao.aspx?BID=24221</t>
        </is>
      </c>
      <c r="AG1044" s="2" t="inlineStr">
        <is>
          <t>https://app.parlamento.pt/webutils/docs/doc.pdf?path=6148523063484d364c793942556b356c6443397a6158526c63793959566b6c4a544556484c3039464c7a49774d6a59794d4449314d5441774f533951515338314f4463784e6a566b4e5331695a444e694c5451304d544974596a64695a4330354e544a6c4d5467794d544a6c5a5463756347526d&amp;Fich=587165d5-bd3b-4412-b7bd-952e18212ee7.pdf&amp;Inline=true</t>
        </is>
      </c>
      <c r="AH1044" s="3" t="n">
        <v>46321.77847222222</v>
      </c>
      <c r="AI1044" s="3" t="n">
        <v>46321.78055555555</v>
      </c>
      <c r="AJ1044" s="2" t="inlineStr"/>
    </row>
    <row r="1045">
      <c r="A1045" s="2" t="n">
        <v>1044</v>
      </c>
      <c r="B1045" s="2" t="inlineStr">
        <is>
          <t>981C</t>
        </is>
      </c>
      <c r="C1045" s="3" t="n">
        <v>45967.78541666667</v>
      </c>
      <c r="D1045" s="2" t="inlineStr">
        <is>
          <t>Original</t>
        </is>
      </c>
      <c r="E1045" s="2" t="inlineStr">
        <is>
          <t>L</t>
        </is>
      </c>
      <c r="F1045" s="2" t="inlineStr">
        <is>
          <t>Filipa Pinto; Isabel Mendes Lopes; Jorge Pinto; Patrícia Gonçalves; Paulo Muacho; Rui Tavares</t>
        </is>
      </c>
      <c r="G1045" s="2" t="inlineStr">
        <is>
          <t>Art. 63.º (substituição)</t>
        </is>
      </c>
      <c r="H1045" s="2" t="n"/>
      <c r="I1045" s="2" t="n"/>
      <c r="J1045" s="2" t="n"/>
      <c r="K1045" s="2" t="n"/>
      <c r="L1045" s="2" t="inlineStr">
        <is>
          <t>Verba 2.33, Lista I anexa ao código do IVA</t>
        </is>
      </c>
      <c r="M1045" s="4" t="n"/>
      <c r="N1045" s="4" t="n"/>
      <c r="O1045" s="2" t="n"/>
      <c r="P1045" s="2" t="n"/>
      <c r="Q1045" s="2" t="n"/>
      <c r="R1045" s="2" t="n"/>
      <c r="S1045" s="2" t="inlineStr">
        <is>
          <t>Rejeitado(a) em Comissão</t>
        </is>
      </c>
      <c r="T1045" s="2" t="inlineStr">
        <is>
          <t>Rejeitada</t>
        </is>
      </c>
      <c r="U1045" s="2" t="inlineStr">
        <is>
          <t>Favor: IL, L, PCP, BE, PAN; Contra: PSD, CDS-PP; Abstenção: CH, PS</t>
        </is>
      </c>
      <c r="V1045" s="3" t="n">
        <v>45982</v>
      </c>
      <c r="W1045" s="2" t="inlineStr">
        <is>
          <t>AR: https://www.parlamento.pt/OrcamentoEstado/Paginas/DetalhePropostaAlteracao.aspx?BID=24222 PDF: https://app.parlamento.pt/webutils/docs/doc.pdf?path=6148523063484d364c793942556b356c6443397a6158526c63793959566b6c4a544556484c3039464c7a49774d6a59794d4449314d5441774f533951515338314e545a6d5a4467774d693033596d55794c545179597a4d744f4755324f43316a5a5456694f544534595751344e3259756347526d&amp;Fich=556fd802-7be2-42c3-8e68-ce5b918ad87f.pdf&amp;Inline=true</t>
        </is>
      </c>
      <c r="X1045" s="2" t="inlineStr">
        <is>
          <t>Orçamento, Finanças e Administração Pública</t>
        </is>
      </c>
      <c r="Y1045" s="2" t="inlineStr">
        <is>
          <t>Articulado</t>
        </is>
      </c>
      <c r="Z1045" s="2" t="inlineStr">
        <is>
          <t>Substituição</t>
        </is>
      </c>
      <c r="AA1045" s="2" t="inlineStr">
        <is>
          <t>Rejeitado(a) em Comissão</t>
        </is>
      </c>
      <c r="AB1045" s="2" t="inlineStr"/>
      <c r="AC1045" s="2" t="inlineStr"/>
      <c r="AD1045" s="2" t="inlineStr">
        <is>
          <t>1</t>
        </is>
      </c>
      <c r="AE1045" s="2" t="inlineStr">
        <is>
          <t>24222</t>
        </is>
      </c>
      <c r="AF1045" s="2" t="inlineStr">
        <is>
          <t>https://www.parlamento.pt/OrcamentoEstado/Paginas/DetalhePropostaAlteracao.aspx?BID=24222</t>
        </is>
      </c>
      <c r="AG1045" s="2" t="inlineStr">
        <is>
          <t>https://app.parlamento.pt/webutils/docs/doc.pdf?path=6148523063484d364c793942556b356c6443397a6158526c63793959566b6c4a544556484c3039464c7a49774d6a59794d4449314d5441774f533951515338314e545a6d5a4467774d693033596d55794c545179597a4d744f4755324f43316a5a5456694f544534595751344e3259756347526d&amp;Fich=556fd802-7be2-42c3-8e68-ce5b918ad87f.pdf&amp;Inline=true</t>
        </is>
      </c>
      <c r="AH1045" s="3" t="n">
        <v>46321.77847222222</v>
      </c>
      <c r="AI1045" s="3" t="n">
        <v>46321.78055555555</v>
      </c>
      <c r="AJ1045" s="2" t="inlineStr"/>
    </row>
    <row r="1046">
      <c r="A1046" s="2" t="n">
        <v>1045</v>
      </c>
      <c r="B1046" s="2" t="inlineStr">
        <is>
          <t>982C</t>
        </is>
      </c>
      <c r="C1046" s="3" t="n">
        <v>45967.7875</v>
      </c>
      <c r="D1046" s="2" t="inlineStr">
        <is>
          <t>Original</t>
        </is>
      </c>
      <c r="E1046" s="2" t="inlineStr">
        <is>
          <t>L</t>
        </is>
      </c>
      <c r="F1046" s="2" t="inlineStr">
        <is>
          <t>Filipa Pinto; Isabel Mendes Lopes; Jorge Pinto; Patrícia Gonçalves; Paulo Muacho; Rui Tavares</t>
        </is>
      </c>
      <c r="G1046" s="2" t="inlineStr">
        <is>
          <t>Art. 63.º (substituição)</t>
        </is>
      </c>
      <c r="H1046" s="2" t="n"/>
      <c r="I1046" s="2" t="n"/>
      <c r="J1046" s="2" t="n"/>
      <c r="K1046" s="2" t="n"/>
      <c r="L1046" s="2" t="inlineStr">
        <is>
          <t>Verba 2.38, Lista I anexa ao Código do IVA</t>
        </is>
      </c>
      <c r="M1046" s="4" t="n"/>
      <c r="N1046" s="4" t="n"/>
      <c r="O1046" s="2" t="n"/>
      <c r="P1046" s="2" t="n"/>
      <c r="Q1046" s="2" t="n"/>
      <c r="R1046" s="2" t="n"/>
      <c r="S1046" s="2" t="inlineStr">
        <is>
          <t>Rejeitado(a) em Comissão</t>
        </is>
      </c>
      <c r="T1046" s="2" t="inlineStr">
        <is>
          <t>Rejeitada</t>
        </is>
      </c>
      <c r="U1046" s="2" t="inlineStr">
        <is>
          <t>Favor: IL, L, PCP, BE, PAN; Contra: PSD, CDS-PP; Abstenção: CH, PS</t>
        </is>
      </c>
      <c r="V1046" s="3" t="n">
        <v>45982</v>
      </c>
      <c r="W1046" s="2" t="inlineStr">
        <is>
          <t>AR: https://www.parlamento.pt/OrcamentoEstado/Paginas/DetalhePropostaAlteracao.aspx?BID=24223 PDF: https://app.parlamento.pt/webutils/docs/doc.pdf?path=6148523063484d364c793942556b356c6443397a6158526c63793959566b6c4a544556484c3039464c7a49774d6a59794d4449314d5441774f533951515338794e7a5a6d5a474d7a4e4330314e6d55354c5451354d6a4974596a4d354e793078597a59774e6d4d784e5441354d574d756347526d&amp;Fich=276fdc34-56e9-4922-b397-1c606c15091c.pdf&amp;Inline=true</t>
        </is>
      </c>
      <c r="X1046" s="2" t="inlineStr">
        <is>
          <t>Orçamento, Finanças e Administração Pública</t>
        </is>
      </c>
      <c r="Y1046" s="2" t="inlineStr">
        <is>
          <t>Articulado</t>
        </is>
      </c>
      <c r="Z1046" s="2" t="inlineStr">
        <is>
          <t>Substituição</t>
        </is>
      </c>
      <c r="AA1046" s="2" t="inlineStr">
        <is>
          <t>Rejeitado(a) em Comissão</t>
        </is>
      </c>
      <c r="AB1046" s="2" t="inlineStr"/>
      <c r="AC1046" s="2" t="inlineStr"/>
      <c r="AD1046" s="2" t="inlineStr">
        <is>
          <t>1</t>
        </is>
      </c>
      <c r="AE1046" s="2" t="inlineStr">
        <is>
          <t>24223</t>
        </is>
      </c>
      <c r="AF1046" s="2" t="inlineStr">
        <is>
          <t>https://www.parlamento.pt/OrcamentoEstado/Paginas/DetalhePropostaAlteracao.aspx?BID=24223</t>
        </is>
      </c>
      <c r="AG1046" s="2" t="inlineStr">
        <is>
          <t>https://app.parlamento.pt/webutils/docs/doc.pdf?path=6148523063484d364c793942556b356c6443397a6158526c63793959566b6c4a544556484c3039464c7a49774d6a59794d4449314d5441774f533951515338794e7a5a6d5a474d7a4e4330314e6d55354c5451354d6a4974596a4d354e793078597a59774e6d4d784e5441354d574d756347526d&amp;Fich=276fdc34-56e9-4922-b397-1c606c15091c.pdf&amp;Inline=true</t>
        </is>
      </c>
      <c r="AH1046" s="3" t="n">
        <v>46321.77847222222</v>
      </c>
      <c r="AI1046" s="3" t="n">
        <v>46321.78055555555</v>
      </c>
      <c r="AJ1046" s="2" t="inlineStr"/>
    </row>
    <row r="1047">
      <c r="A1047" s="2" t="n">
        <v>1046</v>
      </c>
      <c r="B1047" s="2" t="inlineStr">
        <is>
          <t>983C</t>
        </is>
      </c>
      <c r="C1047" s="3" t="n">
        <v>45967.78958333333</v>
      </c>
      <c r="D1047" s="2" t="inlineStr">
        <is>
          <t>Original</t>
        </is>
      </c>
      <c r="E1047" s="2" t="inlineStr">
        <is>
          <t>L</t>
        </is>
      </c>
      <c r="F1047" s="2" t="inlineStr">
        <is>
          <t>Filipa Pinto; Isabel Mendes Lopes; Jorge Pinto; Patrícia Gonçalves; Paulo Muacho; Rui Tavares</t>
        </is>
      </c>
      <c r="G1047" s="2" t="inlineStr">
        <is>
          <t>Art. 126.º-A (aditamento)</t>
        </is>
      </c>
      <c r="H1047" s="2" t="n"/>
      <c r="I1047" s="2" t="n"/>
      <c r="J1047" s="2" t="n"/>
      <c r="K1047" s="2" t="n"/>
      <c r="L1047" s="2" t="inlineStr">
        <is>
          <t>Artigo 126.º-A (Alargamento do Programa 3C - Casa, Conforto e Clima aos Condomínios Residenciais)</t>
        </is>
      </c>
      <c r="M1047" s="4" t="n"/>
      <c r="N1047" s="4" t="n"/>
      <c r="O1047" s="2" t="n"/>
      <c r="P1047" s="2" t="n"/>
      <c r="Q1047" s="2" t="n"/>
      <c r="R1047" s="2" t="n"/>
      <c r="S1047" s="2" t="inlineStr">
        <is>
          <t>Rejeitado(a) em Comissão</t>
        </is>
      </c>
      <c r="T1047" s="2" t="inlineStr">
        <is>
          <t>Rejeitada</t>
        </is>
      </c>
      <c r="U1047" s="2" t="inlineStr">
        <is>
          <t>Favor: IL, L, PCP, BE, PAN; Contra: PSD, CH, CDS-PP; Abstenção: PS</t>
        </is>
      </c>
      <c r="V1047" s="3" t="n">
        <v>45985</v>
      </c>
      <c r="W1047" s="2" t="inlineStr">
        <is>
          <t>AR: https://www.parlamento.pt/OrcamentoEstado/Paginas/DetalhePropostaAlteracao.aspx?BID=24224 PDF: https://app.parlamento.pt/webutils/docs/doc.pdf?path=6148523063484d364c793942556b356c6443397a6158526c63793959566b6c4a544556484c3039464c7a49774d6a59794d4449314d5441774f533951515338354f4759794e3259774f53307759574d354c545269596a55744f54566d4e7930334e7a5a6c4e5464684d6a46694d7a59756347526d&amp;Fich=98f27f09-0ac9-4bb5-95f7-776e57a21b36.pdf&amp;Inline=true</t>
        </is>
      </c>
      <c r="X1047" s="2" t="inlineStr">
        <is>
          <t>Infraestruturas, Mobilidade e Habitação</t>
        </is>
      </c>
      <c r="Y1047" s="2" t="inlineStr">
        <is>
          <t>Articulado</t>
        </is>
      </c>
      <c r="Z1047" s="2" t="inlineStr">
        <is>
          <t>Aditamento (Artigo PPL)</t>
        </is>
      </c>
      <c r="AA1047" s="2" t="inlineStr">
        <is>
          <t>Rejeitado(a) em Comissão</t>
        </is>
      </c>
      <c r="AB1047" s="2" t="inlineStr"/>
      <c r="AC1047" s="2" t="inlineStr"/>
      <c r="AD1047" s="2" t="inlineStr">
        <is>
          <t>1</t>
        </is>
      </c>
      <c r="AE1047" s="2" t="inlineStr">
        <is>
          <t>24224</t>
        </is>
      </c>
      <c r="AF1047" s="2" t="inlineStr">
        <is>
          <t>https://www.parlamento.pt/OrcamentoEstado/Paginas/DetalhePropostaAlteracao.aspx?BID=24224</t>
        </is>
      </c>
      <c r="AG1047" s="2" t="inlineStr">
        <is>
          <t>https://app.parlamento.pt/webutils/docs/doc.pdf?path=6148523063484d364c793942556b356c6443397a6158526c63793959566b6c4a544556484c3039464c7a49774d6a59794d4449314d5441774f533951515338354f4759794e3259774f53307759574d354c545269596a55744f54566d4e7930334e7a5a6c4e5464684d6a46694d7a59756347526d&amp;Fich=98f27f09-0ac9-4bb5-95f7-776e57a21b36.pdf&amp;Inline=true</t>
        </is>
      </c>
      <c r="AH1047" s="3" t="n">
        <v>46321.77847222222</v>
      </c>
      <c r="AI1047" s="3" t="n">
        <v>46321.78055555555</v>
      </c>
      <c r="AJ1047" s="2" t="inlineStr"/>
    </row>
    <row r="1048">
      <c r="A1048" s="2" t="n">
        <v>1047</v>
      </c>
      <c r="B1048" s="2" t="inlineStr">
        <is>
          <t>984C</t>
        </is>
      </c>
      <c r="C1048" s="3" t="n">
        <v>45967.79027777778</v>
      </c>
      <c r="D1048" s="2" t="inlineStr">
        <is>
          <t>Original</t>
        </is>
      </c>
      <c r="E1048" s="2" t="inlineStr">
        <is>
          <t>PCP</t>
        </is>
      </c>
      <c r="F1048" s="2" t="inlineStr">
        <is>
          <t>Alfredo Maia; Paula Santos; Paulo Raimundo</t>
        </is>
      </c>
      <c r="G1048" s="2" t="inlineStr">
        <is>
          <t>Art. 7.º (aditamento)</t>
        </is>
      </c>
      <c r="H1048" s="2" t="n"/>
      <c r="I1048" s="2" t="n"/>
      <c r="J1048" s="2" t="n"/>
      <c r="K1048" s="2" t="n"/>
      <c r="L1048" s="2" t="inlineStr">
        <is>
          <t>Nova Verba 37, Mapa de alterações e transferências orçamentais, Artigo 7.º</t>
        </is>
      </c>
      <c r="M1048" s="4" t="n"/>
      <c r="N1048" s="4" t="n"/>
      <c r="O1048" s="2" t="n"/>
      <c r="P1048" s="2" t="n"/>
      <c r="Q1048" s="2" t="n"/>
      <c r="R1048" s="2" t="n"/>
      <c r="S1048" s="2" t="inlineStr">
        <is>
          <t>Rejeitado(a) em Comissão</t>
        </is>
      </c>
      <c r="T1048" s="2" t="inlineStr">
        <is>
          <t>Rejeitada</t>
        </is>
      </c>
      <c r="U1048" s="2" t="inlineStr">
        <is>
          <t>Favor: L, PCP, BE, PAN; Contra: PSD, CDS-PP; Abstenção: CH, PS, IL</t>
        </is>
      </c>
      <c r="V1048" s="3" t="n">
        <v>45987</v>
      </c>
      <c r="W1048" s="2" t="inlineStr">
        <is>
          <t>AR: https://www.parlamento.pt/OrcamentoEstado/Paginas/DetalhePropostaAlteracao.aspx?BID=24225 PDF: https://app.parlamento.pt/webutils/docs/doc.pdf?path=6148523063484d364c793942556b356c6443397a6158526c63793959566b6c4a544556484c3039464c7a49774d6a59794d4449314d5441774f533951515338355a54466a4d6a4d324f4330774d5751784c5451334e544d744f445a684e7931685a446c6a4e6a5a6d4d5745324e7a6b756347526d&amp;Fich=9e1c2368-01d1-4753-86a7-ad9c66f1a679.pdf&amp;Inline=true</t>
        </is>
      </c>
      <c r="X1048" s="2" t="inlineStr">
        <is>
          <t>Infraestruturas, Mobilidade e Habitação</t>
        </is>
      </c>
      <c r="Y1048" s="2" t="inlineStr">
        <is>
          <t>Articulado</t>
        </is>
      </c>
      <c r="Z1048" s="2" t="inlineStr">
        <is>
          <t>Aditamento (Números e Alíneas)</t>
        </is>
      </c>
      <c r="AA1048" s="2" t="inlineStr">
        <is>
          <t>Rejeitado(a) em Comissão</t>
        </is>
      </c>
      <c r="AB1048" s="2" t="inlineStr"/>
      <c r="AC1048" s="2" t="inlineStr"/>
      <c r="AD1048" s="2" t="inlineStr">
        <is>
          <t>1</t>
        </is>
      </c>
      <c r="AE1048" s="2" t="inlineStr">
        <is>
          <t>24225</t>
        </is>
      </c>
      <c r="AF1048" s="2" t="inlineStr">
        <is>
          <t>https://www.parlamento.pt/OrcamentoEstado/Paginas/DetalhePropostaAlteracao.aspx?BID=24225</t>
        </is>
      </c>
      <c r="AG1048" s="2" t="inlineStr">
        <is>
          <t>https://app.parlamento.pt/webutils/docs/doc.pdf?path=6148523063484d364c793942556b356c6443397a6158526c63793959566b6c4a544556484c3039464c7a49774d6a59794d4449314d5441774f533951515338355a54466a4d6a4d324f4330774d5751784c5451334e544d744f445a684e7931685a446c6a4e6a5a6d4d5745324e7a6b756347526d&amp;Fich=9e1c2368-01d1-4753-86a7-ad9c66f1a679.pdf&amp;Inline=true</t>
        </is>
      </c>
      <c r="AH1048" s="3" t="n">
        <v>46321.77847222222</v>
      </c>
      <c r="AI1048" s="3" t="n">
        <v>46321.78055555555</v>
      </c>
      <c r="AJ1048" s="2" t="inlineStr"/>
    </row>
    <row r="1049">
      <c r="A1049" s="2" t="n">
        <v>1048</v>
      </c>
      <c r="B1049" s="2" t="inlineStr">
        <is>
          <t>985C</t>
        </is>
      </c>
      <c r="C1049" s="3" t="n">
        <v>45967.79097222222</v>
      </c>
      <c r="D1049" s="2" t="inlineStr">
        <is>
          <t>Original</t>
        </is>
      </c>
      <c r="E1049" s="2" t="inlineStr">
        <is>
          <t>PCP</t>
        </is>
      </c>
      <c r="F1049" s="2" t="inlineStr">
        <is>
          <t>Alfredo Maia; Paula Santos; Paulo Raimundo</t>
        </is>
      </c>
      <c r="G1049" s="2" t="inlineStr">
        <is>
          <t>Art. 7.º (aditamento)</t>
        </is>
      </c>
      <c r="H1049" s="2" t="n"/>
      <c r="I1049" s="2" t="n"/>
      <c r="J1049" s="2" t="n"/>
      <c r="K1049" s="2" t="n"/>
      <c r="L1049" s="2" t="inlineStr">
        <is>
          <t>Nova Verba 47, Mapa de alterações e transferências orçamentais, Artigo 7.º</t>
        </is>
      </c>
      <c r="M1049" s="4" t="n"/>
      <c r="N1049" s="4" t="n"/>
      <c r="O1049" s="2" t="n"/>
      <c r="P1049" s="2" t="n"/>
      <c r="Q1049" s="2" t="n"/>
      <c r="R1049" s="2" t="n"/>
      <c r="S1049" s="2" t="inlineStr">
        <is>
          <t>Rejeitado(a) em Comissão</t>
        </is>
      </c>
      <c r="T1049" s="2" t="inlineStr">
        <is>
          <t>Rejeitada</t>
        </is>
      </c>
      <c r="U1049" s="2" t="inlineStr">
        <is>
          <t>Favor: L, PCP, BE, PAN; Contra: PSD, IL, CDS-PP; Abstenção: CH, PS</t>
        </is>
      </c>
      <c r="V1049" s="3" t="n">
        <v>45987</v>
      </c>
      <c r="W1049" s="2" t="inlineStr">
        <is>
          <t>AR: https://www.parlamento.pt/OrcamentoEstado/Paginas/DetalhePropostaAlteracao.aspx?BID=24226 PDF: https://app.parlamento.pt/webutils/docs/doc.pdf?path=6148523063484d364c793942556b356c6443397a6158526c63793959566b6c4a544556484c3039464c7a49774d6a59794d4449314d5441774f5339515153387a4d4459784d4441345a4331684e6d4d7a4c54526b5a6d49744f574a694e7930795a54566b597a4d314f5441304e546b756347526d&amp;Fich=3061008d-a6c3-4dfb-9bb7-2e5dc3590459.pdf&amp;Inline=true</t>
        </is>
      </c>
      <c r="X1049" s="2" t="inlineStr">
        <is>
          <t>Infraestruturas, Mobilidade e Habitação</t>
        </is>
      </c>
      <c r="Y1049" s="2" t="inlineStr">
        <is>
          <t>Articulado</t>
        </is>
      </c>
      <c r="Z1049" s="2" t="inlineStr">
        <is>
          <t>Aditamento (Números e Alíneas)</t>
        </is>
      </c>
      <c r="AA1049" s="2" t="inlineStr">
        <is>
          <t>Rejeitado(a) em Comissão</t>
        </is>
      </c>
      <c r="AB1049" s="2" t="inlineStr"/>
      <c r="AC1049" s="2" t="inlineStr"/>
      <c r="AD1049" s="2" t="inlineStr">
        <is>
          <t>1</t>
        </is>
      </c>
      <c r="AE1049" s="2" t="inlineStr">
        <is>
          <t>24226</t>
        </is>
      </c>
      <c r="AF1049" s="2" t="inlineStr">
        <is>
          <t>https://www.parlamento.pt/OrcamentoEstado/Paginas/DetalhePropostaAlteracao.aspx?BID=24226</t>
        </is>
      </c>
      <c r="AG1049" s="2" t="inlineStr">
        <is>
          <t>https://app.parlamento.pt/webutils/docs/doc.pdf?path=6148523063484d364c793942556b356c6443397a6158526c63793959566b6c4a544556484c3039464c7a49774d6a59794d4449314d5441774f5339515153387a4d4459784d4441345a4331684e6d4d7a4c54526b5a6d49744f574a694e7930795a54566b597a4d314f5441304e546b756347526d&amp;Fich=3061008d-a6c3-4dfb-9bb7-2e5dc3590459.pdf&amp;Inline=true</t>
        </is>
      </c>
      <c r="AH1049" s="3" t="n">
        <v>46321.77847222222</v>
      </c>
      <c r="AI1049" s="3" t="n">
        <v>46321.78055555555</v>
      </c>
      <c r="AJ1049" s="2" t="inlineStr"/>
    </row>
    <row r="1050">
      <c r="A1050" s="2" t="n">
        <v>1049</v>
      </c>
      <c r="B1050" s="2" t="inlineStr">
        <is>
          <t>986C-1</t>
        </is>
      </c>
      <c r="C1050" s="3" t="n">
        <v>45967.79166666666</v>
      </c>
      <c r="D1050" s="2" t="inlineStr">
        <is>
          <t>Original</t>
        </is>
      </c>
      <c r="E1050" s="2" t="inlineStr">
        <is>
          <t>PCP</t>
        </is>
      </c>
      <c r="F1050" s="2" t="inlineStr">
        <is>
          <t>Alfredo Maia; Paula Santos; Paulo Raimundo</t>
        </is>
      </c>
      <c r="G1050" s="2" t="inlineStr">
        <is>
          <t>Art. 23.º (substituição)</t>
        </is>
      </c>
      <c r="H1050" s="2" t="n"/>
      <c r="I1050" s="2" t="n"/>
      <c r="J1050" s="2" t="n"/>
      <c r="K1050" s="2" t="n"/>
      <c r="L1050" s="2" t="inlineStr">
        <is>
          <t>N.º 1, Artigo 23.º</t>
        </is>
      </c>
      <c r="M1050" s="4" t="n"/>
      <c r="N1050" s="4" t="n"/>
      <c r="O1050" s="2" t="n"/>
      <c r="P1050" s="2" t="n"/>
      <c r="Q1050" s="2" t="n"/>
      <c r="R1050" s="2" t="n"/>
      <c r="S1050" s="2" t="inlineStr">
        <is>
          <t>Rejeitado(a) em Comissão</t>
        </is>
      </c>
      <c r="T1050" s="2" t="inlineStr">
        <is>
          <t>Rejeitada</t>
        </is>
      </c>
      <c r="U1050" s="2" t="inlineStr">
        <is>
          <t>Favor: L, PCP, BE, PAN; Contra: PSD, CH, IL, CDS-PP; Abstenção: PS</t>
        </is>
      </c>
      <c r="V1050" s="3" t="n">
        <v>45981</v>
      </c>
      <c r="W1050" s="2" t="inlineStr">
        <is>
          <t>AR: https://www.parlamento.pt/OrcamentoEstado/Paginas/DetalhePropostaAlteracao.aspx?BID=24227 PDF: https://app.parlamento.pt/webutils/docs/doc.pdf?path=6148523063484d364c793942556b356c6443397a6158526c63793959566b6c4a544556484c3039464c7a49774d6a59794d4449314d5441774f5339515153396a5a4449334e5467335969316b5957526b4c54526c5a5459744f5751344e4330354f5756694e6a63334e7a63784e6a55756347526d&amp;Fich=cd27587b-dadd-4ee6-9d84-99eb67777165.pdf&amp;Inline=true</t>
        </is>
      </c>
      <c r="X1050" s="2" t="inlineStr">
        <is>
          <t>Infraestruturas, Mobilidade e Habitação</t>
        </is>
      </c>
      <c r="Y1050" s="2" t="inlineStr">
        <is>
          <t>Articulado</t>
        </is>
      </c>
      <c r="Z1050" s="2" t="inlineStr">
        <is>
          <t>Substituição</t>
        </is>
      </c>
      <c r="AA1050" s="2" t="inlineStr">
        <is>
          <t>Rejeitado(a) em Comissão</t>
        </is>
      </c>
      <c r="AB1050" s="2" t="inlineStr"/>
      <c r="AC1050" s="2" t="inlineStr">
        <is>
          <t>1</t>
        </is>
      </c>
      <c r="AD1050" s="2" t="inlineStr">
        <is>
          <t>1</t>
        </is>
      </c>
      <c r="AE1050" s="2" t="inlineStr">
        <is>
          <t>24227</t>
        </is>
      </c>
      <c r="AF1050" s="2" t="inlineStr">
        <is>
          <t>https://www.parlamento.pt/OrcamentoEstado/Paginas/DetalhePropostaAlteracao.aspx?BID=24227</t>
        </is>
      </c>
      <c r="AG1050" s="2" t="inlineStr">
        <is>
          <t>https://app.parlamento.pt/webutils/docs/doc.pdf?path=6148523063484d364c793942556b356c6443397a6158526c63793959566b6c4a544556484c3039464c7a49774d6a59794d4449314d5441774f5339515153396a5a4449334e5467335969316b5957526b4c54526c5a5459744f5751344e4330354f5756694e6a63334e7a63784e6a55756347526d&amp;Fich=cd27587b-dadd-4ee6-9d84-99eb67777165.pdf&amp;Inline=true</t>
        </is>
      </c>
      <c r="AH1050" s="3" t="n">
        <v>46321.77847222222</v>
      </c>
      <c r="AI1050" s="3" t="n">
        <v>46321.78055555555</v>
      </c>
      <c r="AJ1050" s="2" t="inlineStr"/>
    </row>
    <row r="1051">
      <c r="A1051" s="2" t="n">
        <v>1050</v>
      </c>
      <c r="B1051" s="2" t="inlineStr">
        <is>
          <t>986C-2</t>
        </is>
      </c>
      <c r="C1051" s="3" t="n">
        <v>45967.79166666666</v>
      </c>
      <c r="D1051" s="2" t="inlineStr">
        <is>
          <t>Original</t>
        </is>
      </c>
      <c r="E1051" s="2" t="inlineStr">
        <is>
          <t>PCP</t>
        </is>
      </c>
      <c r="F1051" s="2" t="inlineStr">
        <is>
          <t>Alfredo Maia; Paula Santos; Paulo Raimundo</t>
        </is>
      </c>
      <c r="G1051" s="2" t="inlineStr">
        <is>
          <t>Art. 23.º (eliminação)</t>
        </is>
      </c>
      <c r="H1051" s="2" t="n"/>
      <c r="I1051" s="2" t="n"/>
      <c r="J1051" s="2" t="n"/>
      <c r="K1051" s="2" t="n"/>
      <c r="L1051" s="2" t="inlineStr">
        <is>
          <t>N.º 2, Artigo 23.º</t>
        </is>
      </c>
      <c r="M1051" s="4" t="n"/>
      <c r="N1051" s="4" t="n"/>
      <c r="O1051" s="2" t="n"/>
      <c r="P1051" s="2" t="n"/>
      <c r="Q1051" s="2" t="n"/>
      <c r="R1051" s="2" t="n"/>
      <c r="S1051" s="2" t="inlineStr">
        <is>
          <t>Rejeitado(a) em Comissão</t>
        </is>
      </c>
      <c r="T1051" s="2" t="inlineStr">
        <is>
          <t>Rejeitada</t>
        </is>
      </c>
      <c r="U1051" s="2" t="inlineStr">
        <is>
          <t>Favor: L, PCP, BE, PAN; Contra: PSD, CH, IL, CDS-PP; Abstenção: PS</t>
        </is>
      </c>
      <c r="V1051" s="3" t="n">
        <v>45981</v>
      </c>
      <c r="W1051" s="2" t="inlineStr">
        <is>
          <t>AR: https://www.parlamento.pt/OrcamentoEstado/Paginas/DetalhePropostaAlteracao.aspx?BID=25271 PDF: https://app.parlamento.pt/webutils/docs/doc.pdf?path=6148523063484d364c793942556b356c6443397a6158526c63793959566b6c4a544556484c3039464c7a49774d6a59794d4449314d5441774f533951515339694d44466d59575131597930314e4745774c545268596a45744f444268596930784d7a5a684e7a46684e5451354e7a6b756347526d&amp;Fich=b01fad5c-54a0-4ab1-80ab-136a71a54979.pdf&amp;Inline=true</t>
        </is>
      </c>
      <c r="X1051" s="2" t="inlineStr">
        <is>
          <t>Infraestruturas, Mobilidade e Habitação</t>
        </is>
      </c>
      <c r="Y1051" s="2" t="inlineStr">
        <is>
          <t>Articulado</t>
        </is>
      </c>
      <c r="Z1051" s="2" t="inlineStr">
        <is>
          <t>Eliminação</t>
        </is>
      </c>
      <c r="AA1051" s="2" t="inlineStr">
        <is>
          <t>Rejeitado(a) em Comissão</t>
        </is>
      </c>
      <c r="AB1051" s="2" t="inlineStr"/>
      <c r="AC1051" s="2" t="inlineStr">
        <is>
          <t>2</t>
        </is>
      </c>
      <c r="AD1051" s="2" t="inlineStr">
        <is>
          <t>1</t>
        </is>
      </c>
      <c r="AE1051" s="2" t="inlineStr">
        <is>
          <t>25271</t>
        </is>
      </c>
      <c r="AF1051" s="2" t="inlineStr">
        <is>
          <t>https://www.parlamento.pt/OrcamentoEstado/Paginas/DetalhePropostaAlteracao.aspx?BID=25271</t>
        </is>
      </c>
      <c r="AG1051" s="2" t="inlineStr">
        <is>
          <t>https://app.parlamento.pt/webutils/docs/doc.pdf?path=6148523063484d364c793942556b356c6443397a6158526c63793959566b6c4a544556484c3039464c7a49774d6a59794d4449314d5441774f533951515339694d44466d59575131597930314e4745774c545268596a45744f444268596930784d7a5a684e7a46684e5451354e7a6b756347526d&amp;Fich=b01fad5c-54a0-4ab1-80ab-136a71a54979.pdf&amp;Inline=true</t>
        </is>
      </c>
      <c r="AH1051" s="3" t="n">
        <v>46321.77847222222</v>
      </c>
      <c r="AI1051" s="3" t="n">
        <v>46321.78055555555</v>
      </c>
      <c r="AJ1051" s="2" t="inlineStr"/>
    </row>
    <row r="1052">
      <c r="A1052" s="2" t="n">
        <v>1051</v>
      </c>
      <c r="B1052" s="2" t="inlineStr">
        <is>
          <t>987C</t>
        </is>
      </c>
      <c r="C1052" s="3" t="n">
        <v>45967.79236111111</v>
      </c>
      <c r="D1052" s="2" t="inlineStr">
        <is>
          <t>Original</t>
        </is>
      </c>
      <c r="E1052" s="2" t="inlineStr">
        <is>
          <t>PCP</t>
        </is>
      </c>
      <c r="F1052" s="2" t="inlineStr">
        <is>
          <t>Alfredo Maia; Paula Santos; Paulo Raimundo</t>
        </is>
      </c>
      <c r="G1052" s="2" t="inlineStr">
        <is>
          <t>Art. 125.º (aditamento)</t>
        </is>
      </c>
      <c r="H1052" s="2" t="n"/>
      <c r="I1052" s="2" t="n"/>
      <c r="J1052" s="2" t="n"/>
      <c r="K1052" s="2" t="n"/>
      <c r="L1052" s="2" t="inlineStr">
        <is>
          <t>N.º 8, Artigo 125.º</t>
        </is>
      </c>
      <c r="M1052" s="4" t="n"/>
      <c r="N1052" s="4" t="n"/>
      <c r="O1052" s="2" t="n"/>
      <c r="P1052" s="2" t="n"/>
      <c r="Q1052" s="2" t="n"/>
      <c r="R1052" s="2" t="n"/>
      <c r="S1052" s="2" t="inlineStr">
        <is>
          <t>Rejeitado(a) em Comissão</t>
        </is>
      </c>
      <c r="T1052" s="2" t="inlineStr">
        <is>
          <t>Rejeitada</t>
        </is>
      </c>
      <c r="U1052" s="2" t="inlineStr">
        <is>
          <t>Favor: L, PCP, BE, PAN; Contra: PSD, IL, CDS-PP; Abstenção: CH, PS</t>
        </is>
      </c>
      <c r="V1052" s="3" t="n">
        <v>45985</v>
      </c>
      <c r="W1052" s="2" t="inlineStr">
        <is>
          <t>AR: https://www.parlamento.pt/OrcamentoEstado/Paginas/DetalhePropostaAlteracao.aspx?BID=24228 PDF: https://app.parlamento.pt/webutils/docs/doc.pdf?path=6148523063484d364c793942556b356c6443397a6158526c63793959566b6c4a544556484c3039464c7a49774d6a59794d4449314d5441774f5339515153396d597a41794d44677a4d4330334e7a4a6a4c5451335a6a63744f5456694d79316c4d7a41334d444134595455314d4445756347526d&amp;Fich=fc020830-772c-47f7-95b3-e307008a5501.pdf&amp;Inline=true</t>
        </is>
      </c>
      <c r="X1052" s="2" t="inlineStr">
        <is>
          <t>Infraestruturas, Mobilidade e Habitação</t>
        </is>
      </c>
      <c r="Y1052" s="2" t="inlineStr">
        <is>
          <t>Articulado</t>
        </is>
      </c>
      <c r="Z1052" s="2" t="inlineStr">
        <is>
          <t>Aditamento (Números e Alíneas)</t>
        </is>
      </c>
      <c r="AA1052" s="2" t="inlineStr">
        <is>
          <t>Rejeitado(a) em Comissão</t>
        </is>
      </c>
      <c r="AB1052" s="2" t="inlineStr"/>
      <c r="AC1052" s="2" t="inlineStr"/>
      <c r="AD1052" s="2" t="inlineStr">
        <is>
          <t>1</t>
        </is>
      </c>
      <c r="AE1052" s="2" t="inlineStr">
        <is>
          <t>24228</t>
        </is>
      </c>
      <c r="AF1052" s="2" t="inlineStr">
        <is>
          <t>https://www.parlamento.pt/OrcamentoEstado/Paginas/DetalhePropostaAlteracao.aspx?BID=24228</t>
        </is>
      </c>
      <c r="AG1052" s="2" t="inlineStr">
        <is>
          <t>https://app.parlamento.pt/webutils/docs/doc.pdf?path=6148523063484d364c793942556b356c6443397a6158526c63793959566b6c4a544556484c3039464c7a49774d6a59794d4449314d5441774f5339515153396d597a41794d44677a4d4330334e7a4a6a4c5451335a6a63744f5456694d79316c4d7a41334d444134595455314d4445756347526d&amp;Fich=fc020830-772c-47f7-95b3-e307008a5501.pdf&amp;Inline=true</t>
        </is>
      </c>
      <c r="AH1052" s="3" t="n">
        <v>46321.77847222222</v>
      </c>
      <c r="AI1052" s="3" t="n">
        <v>46321.78055555555</v>
      </c>
      <c r="AJ1052" s="2" t="inlineStr"/>
    </row>
    <row r="1053">
      <c r="A1053" s="2" t="n">
        <v>1052</v>
      </c>
      <c r="B1053" s="2" t="inlineStr">
        <is>
          <t>988C</t>
        </is>
      </c>
      <c r="C1053" s="3" t="n">
        <v>45967.79305555556</v>
      </c>
      <c r="D1053" s="2" t="inlineStr">
        <is>
          <t>Original</t>
        </is>
      </c>
      <c r="E1053" s="2" t="inlineStr">
        <is>
          <t>PCP</t>
        </is>
      </c>
      <c r="F1053" s="2" t="inlineStr">
        <is>
          <t>Alfredo Maia; Paula Santos; Paulo Raimundo</t>
        </is>
      </c>
      <c r="G1053" s="2" t="inlineStr">
        <is>
          <t>Art. 125.º (aditamento)</t>
        </is>
      </c>
      <c r="H1053" s="2" t="n"/>
      <c r="I1053" s="2" t="n"/>
      <c r="J1053" s="2" t="n"/>
      <c r="K1053" s="2" t="n"/>
      <c r="L1053" s="2" t="inlineStr">
        <is>
          <t>N.º 8, Artigo 125.º</t>
        </is>
      </c>
      <c r="M1053" s="4" t="n"/>
      <c r="N1053" s="4" t="n"/>
      <c r="O1053" s="2" t="n"/>
      <c r="P1053" s="2" t="n"/>
      <c r="Q1053" s="2" t="n"/>
      <c r="R1053" s="2" t="n"/>
      <c r="S1053" s="2" t="inlineStr">
        <is>
          <t>Rejeitado(a) em Comissão</t>
        </is>
      </c>
      <c r="T1053" s="2" t="inlineStr">
        <is>
          <t>Rejeitada</t>
        </is>
      </c>
      <c r="U1053" s="2" t="inlineStr">
        <is>
          <t>Favor: L, PCP, BE, PAN; Contra: PSD, IL, CDS-PP; Abstenção: CH, PS</t>
        </is>
      </c>
      <c r="V1053" s="3" t="n">
        <v>45985</v>
      </c>
      <c r="W1053" s="2" t="inlineStr">
        <is>
          <t>AR: https://www.parlamento.pt/OrcamentoEstado/Paginas/DetalhePropostaAlteracao.aspx?BID=24229 PDF: https://app.parlamento.pt/webutils/docs/doc.pdf?path=6148523063484d364c793942556b356c6443397a6158526c63793959566b6c4a544556484c3039464c7a49774d6a59794d4449314d5441774f5339515153396c4e6d4a6c4e54426d5979307a5a6d59784c5451314d446374596a45334d69316d5a6a5a694f544d774e6a646b5a4463756347526d&amp;Fich=e6be50fc-3ff1-4507-b172-ff6b93067dd7.pdf&amp;Inline=true</t>
        </is>
      </c>
      <c r="X1053" s="2" t="inlineStr">
        <is>
          <t>Infraestruturas, Mobilidade e Habitação</t>
        </is>
      </c>
      <c r="Y1053" s="2" t="inlineStr">
        <is>
          <t>Articulado</t>
        </is>
      </c>
      <c r="Z1053" s="2" t="inlineStr">
        <is>
          <t>Aditamento (Números e Alíneas)</t>
        </is>
      </c>
      <c r="AA1053" s="2" t="inlineStr">
        <is>
          <t>Rejeitado(a) em Comissão</t>
        </is>
      </c>
      <c r="AB1053" s="2" t="inlineStr"/>
      <c r="AC1053" s="2" t="inlineStr"/>
      <c r="AD1053" s="2" t="inlineStr">
        <is>
          <t>1</t>
        </is>
      </c>
      <c r="AE1053" s="2" t="inlineStr">
        <is>
          <t>24229</t>
        </is>
      </c>
      <c r="AF1053" s="2" t="inlineStr">
        <is>
          <t>https://www.parlamento.pt/OrcamentoEstado/Paginas/DetalhePropostaAlteracao.aspx?BID=24229</t>
        </is>
      </c>
      <c r="AG1053" s="2" t="inlineStr">
        <is>
          <t>https://app.parlamento.pt/webutils/docs/doc.pdf?path=6148523063484d364c793942556b356c6443397a6158526c63793959566b6c4a544556484c3039464c7a49774d6a59794d4449314d5441774f5339515153396c4e6d4a6c4e54426d5979307a5a6d59784c5451314d446374596a45334d69316d5a6a5a694f544d774e6a646b5a4463756347526d&amp;Fich=e6be50fc-3ff1-4507-b172-ff6b93067dd7.pdf&amp;Inline=true</t>
        </is>
      </c>
      <c r="AH1053" s="3" t="n">
        <v>46321.77847222222</v>
      </c>
      <c r="AI1053" s="3" t="n">
        <v>46321.78055555555</v>
      </c>
      <c r="AJ1053" s="2" t="inlineStr"/>
    </row>
    <row r="1054">
      <c r="A1054" s="2" t="n">
        <v>1053</v>
      </c>
      <c r="B1054" s="2" t="inlineStr">
        <is>
          <t>989C</t>
        </is>
      </c>
      <c r="C1054" s="3" t="n">
        <v>45967.80208333334</v>
      </c>
      <c r="D1054" s="2" t="inlineStr">
        <is>
          <t>Original</t>
        </is>
      </c>
      <c r="E1054" s="2" t="inlineStr">
        <is>
          <t>Vários</t>
        </is>
      </c>
      <c r="F1054" s="2" t="inlineStr">
        <is>
          <t>Alberto Fonseca; Francisco Pimentel; Hugo Carneiro; Hugo Soares; Nuna Menezes; Paulo Moniz; Paulo Neves; Pedro Coelho; Vânia Jesus; João Pinho de Almeida; Paulo Núncio</t>
        </is>
      </c>
      <c r="G1054" s="2" t="inlineStr">
        <is>
          <t>Art. 111.º (aditamento)</t>
        </is>
      </c>
      <c r="H1054" s="2" t="n"/>
      <c r="I1054" s="2" t="n"/>
      <c r="J1054" s="2" t="n"/>
      <c r="K1054" s="2" t="n"/>
      <c r="L1054" s="2" t="inlineStr">
        <is>
          <t>N.º 4, Artigo 111.º</t>
        </is>
      </c>
      <c r="M1054" s="4" t="n"/>
      <c r="N1054" s="4" t="n"/>
      <c r="O1054" s="2" t="n"/>
      <c r="P1054" s="2" t="n"/>
      <c r="Q1054" s="2" t="n"/>
      <c r="R1054" s="2" t="n"/>
      <c r="S1054" s="2" t="inlineStr">
        <is>
          <t>Aprovado(a) em Comissão</t>
        </is>
      </c>
      <c r="T1054" s="2" t="inlineStr">
        <is>
          <t>Aprovada</t>
        </is>
      </c>
      <c r="U1054" s="2" t="inlineStr">
        <is>
          <t>Favor: PSD, IL, L, CDS-PP, PAN; Abstenção: CH, PS, PCP, BE</t>
        </is>
      </c>
      <c r="V1054" s="3" t="n">
        <v>45982</v>
      </c>
      <c r="W1054" s="2" t="inlineStr">
        <is>
          <t>AR: https://www.parlamento.pt/OrcamentoEstado/Paginas/DetalhePropostaAlteracao.aspx?BID=24230 PDF: https://app.parlamento.pt/webutils/docs/doc.pdf?path=6148523063484d364c793942556b356c6443397a6158526c63793959566b6c4a544556484c3039464c7a49774d6a59794d4449314d5441774f533951515339694d324a6d4e5449315a43316c4d6a63324c54526b4d574d7459544a694e5330325a475177597a4e6c5a6a686b4e6d51756347526d&amp;Fich=b3bf525d-e276-4d1c-a2b5-6dd0c3ef8d6d.pdf&amp;Inline=true</t>
        </is>
      </c>
      <c r="X1054" s="2" t="inlineStr">
        <is>
          <t>Orçamento, Finanças e Administração Pública</t>
        </is>
      </c>
      <c r="Y1054" s="2" t="inlineStr">
        <is>
          <t>Articulado</t>
        </is>
      </c>
      <c r="Z1054" s="2" t="inlineStr">
        <is>
          <t>Aditamento (Números e Alíneas)</t>
        </is>
      </c>
      <c r="AA1054" s="2" t="inlineStr">
        <is>
          <t>Aprovado(a) em Comissão</t>
        </is>
      </c>
      <c r="AB1054" s="2" t="inlineStr"/>
      <c r="AC1054" s="2" t="inlineStr"/>
      <c r="AD1054" s="2" t="inlineStr">
        <is>
          <t>1</t>
        </is>
      </c>
      <c r="AE1054" s="2" t="inlineStr">
        <is>
          <t>24230</t>
        </is>
      </c>
      <c r="AF1054" s="2" t="inlineStr">
        <is>
          <t>https://www.parlamento.pt/OrcamentoEstado/Paginas/DetalhePropostaAlteracao.aspx?BID=24230</t>
        </is>
      </c>
      <c r="AG1054" s="2" t="inlineStr">
        <is>
          <t>https://app.parlamento.pt/webutils/docs/doc.pdf?path=6148523063484d364c793942556b356c6443397a6158526c63793959566b6c4a544556484c3039464c7a49774d6a59794d4449314d5441774f533951515339694d324a6d4e5449315a43316c4d6a63324c54526b4d574d7459544a694e5330325a475177597a4e6c5a6a686b4e6d51756347526d&amp;Fich=b3bf525d-e276-4d1c-a2b5-6dd0c3ef8d6d.pdf&amp;Inline=true</t>
        </is>
      </c>
      <c r="AH1054" s="3" t="n">
        <v>46321.77847222222</v>
      </c>
      <c r="AI1054" s="3" t="n">
        <v>46321.78055555555</v>
      </c>
      <c r="AJ1054" s="2" t="inlineStr"/>
    </row>
    <row r="1055">
      <c r="A1055" s="2" t="n">
        <v>1054</v>
      </c>
      <c r="B1055" s="2" t="inlineStr">
        <is>
          <t>990C</t>
        </is>
      </c>
      <c r="C1055" s="3" t="n">
        <v>45967.82152777778</v>
      </c>
      <c r="D1055" s="2" t="inlineStr">
        <is>
          <t>Original</t>
        </is>
      </c>
      <c r="E1055" s="2" t="inlineStr">
        <is>
          <t>PCP</t>
        </is>
      </c>
      <c r="F1055" s="2" t="inlineStr">
        <is>
          <t>Alfredo Maia; Paula Santos; Paulo Raimundo</t>
        </is>
      </c>
      <c r="G1055" s="2" t="inlineStr">
        <is>
          <t>Art. 21.º-A (aditamento)</t>
        </is>
      </c>
      <c r="H1055" s="2" t="n"/>
      <c r="I1055" s="2" t="n"/>
      <c r="J1055" s="2" t="n"/>
      <c r="K1055" s="2" t="n"/>
      <c r="L1055" s="2" t="inlineStr">
        <is>
          <t>Artigo 21.º-A (Financiamento para a integração na carreira de investigação científica dos técnicos superiores do SCTN)</t>
        </is>
      </c>
      <c r="M1055" s="4" t="n"/>
      <c r="N1055" s="4" t="n"/>
      <c r="O1055" s="2" t="n"/>
      <c r="P1055" s="2" t="n"/>
      <c r="Q1055" s="2" t="n"/>
      <c r="R1055" s="2" t="n"/>
      <c r="S1055" s="2" t="inlineStr">
        <is>
          <t>Rejeitado(a) em Comissão</t>
        </is>
      </c>
      <c r="T1055" s="2" t="inlineStr">
        <is>
          <t>Rejeitada</t>
        </is>
      </c>
      <c r="U1055" s="2" t="inlineStr">
        <is>
          <t>Favor: PS, L, PCP, BE, PAN; Contra: PSD, CDS-PP; Abstenção: CH, IL</t>
        </is>
      </c>
      <c r="V1055" s="3" t="n">
        <v>45981</v>
      </c>
      <c r="W1055" s="2" t="inlineStr">
        <is>
          <t>AR: https://www.parlamento.pt/OrcamentoEstado/Paginas/DetalhePropostaAlteracao.aspx?BID=24231 PDF: https://app.parlamento.pt/webutils/docs/doc.pdf?path=6148523063484d364c793942556b356c6443397a6158526c63793959566b6c4a544556484c3039464c7a49774d6a59794d4449314d5441774f533951515338334d4459784e7a526a4e7930324d444e6b4c5451784f47597459544d334d5330355a544a6c5a4751794d57566c4f4467756347526d&amp;Fich=706174c7-603d-418f-a371-9e2edd21ee88.pdf&amp;Inline=true</t>
        </is>
      </c>
      <c r="X1055" s="2" t="inlineStr">
        <is>
          <t>Educação e Ciência</t>
        </is>
      </c>
      <c r="Y1055" s="2" t="inlineStr">
        <is>
          <t>Articulado</t>
        </is>
      </c>
      <c r="Z1055" s="2" t="inlineStr">
        <is>
          <t>Aditamento (Artigo PPL)</t>
        </is>
      </c>
      <c r="AA1055" s="2" t="inlineStr">
        <is>
          <t>Rejeitado(a) em Comissão</t>
        </is>
      </c>
      <c r="AB1055" s="2" t="inlineStr"/>
      <c r="AC1055" s="2" t="inlineStr"/>
      <c r="AD1055" s="2" t="inlineStr">
        <is>
          <t>1</t>
        </is>
      </c>
      <c r="AE1055" s="2" t="inlineStr">
        <is>
          <t>24231</t>
        </is>
      </c>
      <c r="AF1055" s="2" t="inlineStr">
        <is>
          <t>https://www.parlamento.pt/OrcamentoEstado/Paginas/DetalhePropostaAlteracao.aspx?BID=24231</t>
        </is>
      </c>
      <c r="AG1055" s="2" t="inlineStr">
        <is>
          <t>https://app.parlamento.pt/webutils/docs/doc.pdf?path=6148523063484d364c793942556b356c6443397a6158526c63793959566b6c4a544556484c3039464c7a49774d6a59794d4449314d5441774f533951515338334d4459784e7a526a4e7930324d444e6b4c5451784f47597459544d334d5330355a544a6c5a4751794d57566c4f4467756347526d&amp;Fich=706174c7-603d-418f-a371-9e2edd21ee88.pdf&amp;Inline=true</t>
        </is>
      </c>
      <c r="AH1055" s="3" t="n">
        <v>46321.77847222222</v>
      </c>
      <c r="AI1055" s="3" t="n">
        <v>46321.78055555555</v>
      </c>
      <c r="AJ1055" s="2" t="inlineStr"/>
    </row>
    <row r="1056">
      <c r="A1056" s="2" t="n">
        <v>1055</v>
      </c>
      <c r="B1056" s="2" t="inlineStr">
        <is>
          <t>991C</t>
        </is>
      </c>
      <c r="C1056" s="3" t="n">
        <v>45967.82222222222</v>
      </c>
      <c r="D1056" s="2" t="inlineStr">
        <is>
          <t>Original</t>
        </is>
      </c>
      <c r="E1056" s="2" t="inlineStr">
        <is>
          <t>PCP</t>
        </is>
      </c>
      <c r="F1056" s="2" t="inlineStr">
        <is>
          <t>Alfredo Maia; Paula Santos; Paulo Raimundo</t>
        </is>
      </c>
      <c r="G1056" s="2" t="inlineStr">
        <is>
          <t>Art. 21.º-A (aditamento)</t>
        </is>
      </c>
      <c r="H1056" s="2" t="n"/>
      <c r="I1056" s="2" t="n"/>
      <c r="J1056" s="2" t="n"/>
      <c r="K1056" s="2" t="n"/>
      <c r="L1056" s="2" t="inlineStr">
        <is>
          <t>Artigo 21.º-A (Reforço de vagas ao abrigo do Concurso FCT-Tenure)</t>
        </is>
      </c>
      <c r="M1056" s="4" t="n"/>
      <c r="N1056" s="4" t="n"/>
      <c r="O1056" s="2" t="n"/>
      <c r="P1056" s="2" t="n"/>
      <c r="Q1056" s="2" t="n"/>
      <c r="R1056" s="2" t="n"/>
      <c r="S1056" s="2" t="inlineStr">
        <is>
          <t>Rejeitado(a) em Comissão</t>
        </is>
      </c>
      <c r="T1056" s="2" t="inlineStr">
        <is>
          <t>Rejeitada</t>
        </is>
      </c>
      <c r="U1056" s="2" t="inlineStr">
        <is>
          <t>Favor: CH, L, PCP, BE, PAN; Contra: PSD, IL, CDS-PP; Abstenção: PS</t>
        </is>
      </c>
      <c r="V1056" s="3" t="n">
        <v>45981</v>
      </c>
      <c r="W1056" s="2" t="inlineStr">
        <is>
          <t>AR: https://www.parlamento.pt/OrcamentoEstado/Paginas/DetalhePropostaAlteracao.aspx?BID=24232 PDF: https://app.parlamento.pt/webutils/docs/doc.pdf?path=6148523063484d364c793942556b356c6443397a6158526c63793959566b6c4a544556484c3039464c7a49774d6a59794d4449314d5441774f5339515153396c4d7a6334597a526b4e5330305a5451344c54526d4f444d74596a5577597930784e445931593245354d5463344d5751756347526d&amp;Fich=e378c4d5-4e48-4f83-b50c-1465ca91781d.pdf&amp;Inline=true</t>
        </is>
      </c>
      <c r="X1056" s="2" t="inlineStr">
        <is>
          <t>Educação e Ciência</t>
        </is>
      </c>
      <c r="Y1056" s="2" t="inlineStr">
        <is>
          <t>Articulado</t>
        </is>
      </c>
      <c r="Z1056" s="2" t="inlineStr">
        <is>
          <t>Aditamento (Artigo PPL)</t>
        </is>
      </c>
      <c r="AA1056" s="2" t="inlineStr">
        <is>
          <t>Rejeitado(a) em Comissão</t>
        </is>
      </c>
      <c r="AB1056" s="2" t="inlineStr"/>
      <c r="AC1056" s="2" t="inlineStr"/>
      <c r="AD1056" s="2" t="inlineStr">
        <is>
          <t>1</t>
        </is>
      </c>
      <c r="AE1056" s="2" t="inlineStr">
        <is>
          <t>24232</t>
        </is>
      </c>
      <c r="AF1056" s="2" t="inlineStr">
        <is>
          <t>https://www.parlamento.pt/OrcamentoEstado/Paginas/DetalhePropostaAlteracao.aspx?BID=24232</t>
        </is>
      </c>
      <c r="AG1056" s="2" t="inlineStr">
        <is>
          <t>https://app.parlamento.pt/webutils/docs/doc.pdf?path=6148523063484d364c793942556b356c6443397a6158526c63793959566b6c4a544556484c3039464c7a49774d6a59794d4449314d5441774f5339515153396c4d7a6334597a526b4e5330305a5451344c54526d4f444d74596a5577597930784e445931593245354d5463344d5751756347526d&amp;Fich=e378c4d5-4e48-4f83-b50c-1465ca91781d.pdf&amp;Inline=true</t>
        </is>
      </c>
      <c r="AH1056" s="3" t="n">
        <v>46321.77847222222</v>
      </c>
      <c r="AI1056" s="3" t="n">
        <v>46321.78055555555</v>
      </c>
      <c r="AJ1056" s="2" t="inlineStr"/>
    </row>
    <row r="1057">
      <c r="A1057" s="2" t="n">
        <v>1056</v>
      </c>
      <c r="B1057" s="2" t="inlineStr">
        <is>
          <t>992C</t>
        </is>
      </c>
      <c r="C1057" s="3" t="n">
        <v>45967.82291666666</v>
      </c>
      <c r="D1057" s="2" t="inlineStr">
        <is>
          <t>Original</t>
        </is>
      </c>
      <c r="E1057" s="2" t="inlineStr">
        <is>
          <t>PCP</t>
        </is>
      </c>
      <c r="F1057" s="2" t="inlineStr">
        <is>
          <t>Alfredo Maia; Paula Santos; Paulo Raimundo</t>
        </is>
      </c>
      <c r="G1057" s="2" t="inlineStr">
        <is>
          <t>Art. 118.º-A (aditamento)</t>
        </is>
      </c>
      <c r="H1057" s="2" t="n"/>
      <c r="I1057" s="2" t="n"/>
      <c r="J1057" s="2" t="n"/>
      <c r="K1057" s="2" t="n"/>
      <c r="L1057" s="2" t="inlineStr">
        <is>
          <t>Artigo 118.º-A (Atualização do valor das componentes das bolsas de investigação científica)</t>
        </is>
      </c>
      <c r="M1057" s="4" t="n"/>
      <c r="N1057" s="4" t="n"/>
      <c r="O1057" s="2" t="n"/>
      <c r="P1057" s="2" t="n"/>
      <c r="Q1057" s="2" t="n"/>
      <c r="R1057" s="2" t="n"/>
      <c r="S1057" s="2" t="inlineStr">
        <is>
          <t>Rejeitado(a) em Comissão</t>
        </is>
      </c>
      <c r="T1057" s="2" t="inlineStr">
        <is>
          <t>Rejeitada</t>
        </is>
      </c>
      <c r="U1057" s="2" t="inlineStr">
        <is>
          <t>Favor: CH, L, PCP, BE, PAN; Contra: PSD, CDS-PP; Abstenção: PS, IL</t>
        </is>
      </c>
      <c r="V1057" s="3" t="n">
        <v>45985</v>
      </c>
      <c r="W1057" s="2" t="inlineStr">
        <is>
          <t>AR: https://www.parlamento.pt/OrcamentoEstado/Paginas/DetalhePropostaAlteracao.aspx?BID=24233 PDF: https://app.parlamento.pt/webutils/docs/doc.pdf?path=6148523063484d364c793942556b356c6443397a6158526c63793959566b6c4a544556484c3039464c7a49774d6a59794d4449314d5441774f533951515338315a4442684d5745304d793035596a63794c54526d4e4463744f5751344f5330784e5759335a5467785a444d794d4745756347526d&amp;Fich=5d0a1a43-9b72-4f47-9d89-15f7e81d320a.pdf&amp;Inline=true</t>
        </is>
      </c>
      <c r="X1057" s="2" t="inlineStr">
        <is>
          <t>Educação e Ciência</t>
        </is>
      </c>
      <c r="Y1057" s="2" t="inlineStr">
        <is>
          <t>Articulado</t>
        </is>
      </c>
      <c r="Z1057" s="2" t="inlineStr">
        <is>
          <t>Aditamento (Artigo PPL)</t>
        </is>
      </c>
      <c r="AA1057" s="2" t="inlineStr">
        <is>
          <t>Rejeitado(a) em Comissão</t>
        </is>
      </c>
      <c r="AB1057" s="2" t="inlineStr"/>
      <c r="AC1057" s="2" t="inlineStr"/>
      <c r="AD1057" s="2" t="inlineStr">
        <is>
          <t>1</t>
        </is>
      </c>
      <c r="AE1057" s="2" t="inlineStr">
        <is>
          <t>24233</t>
        </is>
      </c>
      <c r="AF1057" s="2" t="inlineStr">
        <is>
          <t>https://www.parlamento.pt/OrcamentoEstado/Paginas/DetalhePropostaAlteracao.aspx?BID=24233</t>
        </is>
      </c>
      <c r="AG1057" s="2" t="inlineStr">
        <is>
          <t>https://app.parlamento.pt/webutils/docs/doc.pdf?path=6148523063484d364c793942556b356c6443397a6158526c63793959566b6c4a544556484c3039464c7a49774d6a59794d4449314d5441774f533951515338315a4442684d5745304d793035596a63794c54526d4e4463744f5751344f5330784e5759335a5467785a444d794d4745756347526d&amp;Fich=5d0a1a43-9b72-4f47-9d89-15f7e81d320a.pdf&amp;Inline=true</t>
        </is>
      </c>
      <c r="AH1057" s="3" t="n">
        <v>46321.77847222222</v>
      </c>
      <c r="AI1057" s="3" t="n">
        <v>46321.78055555555</v>
      </c>
      <c r="AJ1057" s="2" t="inlineStr"/>
    </row>
    <row r="1058">
      <c r="A1058" s="2" t="n">
        <v>1057</v>
      </c>
      <c r="B1058" s="2" t="inlineStr">
        <is>
          <t>993C</t>
        </is>
      </c>
      <c r="C1058" s="3" t="n">
        <v>45967.82291666666</v>
      </c>
      <c r="D1058" s="2" t="inlineStr">
        <is>
          <t>Original</t>
        </is>
      </c>
      <c r="E1058" s="2" t="inlineStr">
        <is>
          <t>Vários</t>
        </is>
      </c>
      <c r="F1058" s="2" t="inlineStr">
        <is>
          <t>Alberto Fonseca; Ana Oliveira; Francisco Pimentel; Francisco Sousa Vieira; Hugo Carneiro; Hugo Soares; Miguel Guimarães; João Pinho de Almeida; Paulo Núncio</t>
        </is>
      </c>
      <c r="G1058" s="2" t="inlineStr">
        <is>
          <t>Art. 119.º-A (aditamento)</t>
        </is>
      </c>
      <c r="H1058" s="2" t="n"/>
      <c r="I1058" s="2" t="n"/>
      <c r="J1058" s="2" t="n"/>
      <c r="K1058" s="2" t="n"/>
      <c r="L1058" s="2" t="inlineStr">
        <is>
          <t>Artigo 119.º-A (Incremento de Parcerias Público-Privadas no âmbito do Serviço Nacional de Saúde)</t>
        </is>
      </c>
      <c r="M1058" s="4" t="n"/>
      <c r="N1058" s="4" t="n"/>
      <c r="O1058" s="2" t="n"/>
      <c r="P1058" s="2" t="n"/>
      <c r="Q1058" s="2" t="n"/>
      <c r="R1058" s="2" t="n"/>
      <c r="S1058" s="2" t="inlineStr">
        <is>
          <t>Aprovado(a) em Comissão</t>
        </is>
      </c>
      <c r="T1058" s="2" t="inlineStr">
        <is>
          <t>Aprovada</t>
        </is>
      </c>
      <c r="U1058" s="2" t="inlineStr">
        <is>
          <t>Favor: PSD, CH, IL, CDS-PP; Contra: PS, L, PCP, BE, PAN</t>
        </is>
      </c>
      <c r="V1058" s="3" t="n">
        <v>45985</v>
      </c>
      <c r="W1058" s="2" t="inlineStr">
        <is>
          <t>AR: https://www.parlamento.pt/OrcamentoEstado/Paginas/DetalhePropostaAlteracao.aspx?BID=24234 PDF: https://app.parlamento.pt/webutils/docs/doc.pdf?path=6148523063484d364c793942556b356c6443397a6158526c63793959566b6c4a544556484c3039464c7a49774d6a59794d4449314d5441774f5339515153387a4e6d4a6d4e7a59354e69316c4e6d52684c545130597a41744f4452694d6930354f5441774e546b784e6d59304f4751756347526d&amp;Fich=36bf7696-e6da-44c0-84b2-99005916f48d.pdf&amp;Inline=true</t>
        </is>
      </c>
      <c r="X1058" s="2" t="inlineStr">
        <is>
          <t>Saúde</t>
        </is>
      </c>
      <c r="Y1058" s="2" t="inlineStr">
        <is>
          <t>Articulado</t>
        </is>
      </c>
      <c r="Z1058" s="2" t="inlineStr">
        <is>
          <t>Aditamento (Artigo PPL)</t>
        </is>
      </c>
      <c r="AA1058" s="2" t="inlineStr">
        <is>
          <t>Aprovado(a) em Comissão</t>
        </is>
      </c>
      <c r="AB1058" s="2" t="inlineStr"/>
      <c r="AC1058" s="2" t="inlineStr"/>
      <c r="AD1058" s="2" t="inlineStr">
        <is>
          <t>1</t>
        </is>
      </c>
      <c r="AE1058" s="2" t="inlineStr">
        <is>
          <t>24234</t>
        </is>
      </c>
      <c r="AF1058" s="2" t="inlineStr">
        <is>
          <t>https://www.parlamento.pt/OrcamentoEstado/Paginas/DetalhePropostaAlteracao.aspx?BID=24234</t>
        </is>
      </c>
      <c r="AG1058" s="2" t="inlineStr">
        <is>
          <t>https://app.parlamento.pt/webutils/docs/doc.pdf?path=6148523063484d364c793942556b356c6443397a6158526c63793959566b6c4a544556484c3039464c7a49774d6a59794d4449314d5441774f5339515153387a4e6d4a6d4e7a59354e69316c4e6d52684c545130597a41744f4452694d6930354f5441774e546b784e6d59304f4751756347526d&amp;Fich=36bf7696-e6da-44c0-84b2-99005916f48d.pdf&amp;Inline=true</t>
        </is>
      </c>
      <c r="AH1058" s="3" t="n">
        <v>46321.77847222222</v>
      </c>
      <c r="AI1058" s="3" t="n">
        <v>46321.78055555555</v>
      </c>
      <c r="AJ1058" s="2" t="inlineStr"/>
    </row>
    <row r="1059">
      <c r="A1059" s="2" t="n">
        <v>1058</v>
      </c>
      <c r="B1059" s="2" t="inlineStr">
        <is>
          <t>994C</t>
        </is>
      </c>
      <c r="C1059" s="3" t="n">
        <v>45967.82361111111</v>
      </c>
      <c r="D1059" s="2" t="inlineStr">
        <is>
          <t>Original</t>
        </is>
      </c>
      <c r="E1059" s="2" t="inlineStr">
        <is>
          <t>PCP</t>
        </is>
      </c>
      <c r="F1059" s="2" t="inlineStr">
        <is>
          <t>Alfredo Maia; Paula Santos; Paulo Raimundo</t>
        </is>
      </c>
      <c r="G1059" s="2" t="inlineStr">
        <is>
          <t>Art. 118.º-A (aditamento)</t>
        </is>
      </c>
      <c r="H1059" s="2" t="n"/>
      <c r="I1059" s="2" t="n"/>
      <c r="J1059" s="2" t="n"/>
      <c r="K1059" s="2" t="n"/>
      <c r="L1059" s="2" t="inlineStr">
        <is>
          <t>Artigo 118.º-A (Cria o Instituto Nacional para a Computação Avançada, I.P. – Laboratório do Estado)</t>
        </is>
      </c>
      <c r="M1059" s="4" t="n"/>
      <c r="N1059" s="4" t="n"/>
      <c r="O1059" s="2" t="n"/>
      <c r="P1059" s="2" t="n"/>
      <c r="Q1059" s="2" t="n"/>
      <c r="R1059" s="2" t="n"/>
      <c r="S1059" s="2" t="inlineStr">
        <is>
          <t>Rejeitado(a) em Comissão</t>
        </is>
      </c>
      <c r="T1059" s="2" t="inlineStr">
        <is>
          <t>Rejeitada</t>
        </is>
      </c>
      <c r="U1059" s="2" t="inlineStr">
        <is>
          <t>Favor: PCP, BE, PAN; Contra: PSD, CH, IL, CDS-PP; Abstenção: PS, L</t>
        </is>
      </c>
      <c r="V1059" s="3" t="n">
        <v>45985</v>
      </c>
      <c r="W1059" s="2" t="inlineStr">
        <is>
          <t>AR: https://www.parlamento.pt/OrcamentoEstado/Paginas/DetalhePropostaAlteracao.aspx?BID=24235 PDF: https://app.parlamento.pt/webutils/docs/doc.pdf?path=6148523063484d364c793942556b356c6443397a6158526c63793959566b6c4a544556484c3039464c7a49774d6a59794d4449314d5441774f5339515153387a4d3255314e475934595331685a54526a4c5451314f4755744f54566c4e43316c5a44686d4e6a4a684d7a686d4f544d756347526d&amp;Fich=33e54f8a-ae4c-458e-95e4-ed8f62a38f93.pdf&amp;Inline=true</t>
        </is>
      </c>
      <c r="X1059" s="2" t="inlineStr">
        <is>
          <t>Educação e Ciência</t>
        </is>
      </c>
      <c r="Y1059" s="2" t="inlineStr">
        <is>
          <t>Articulado</t>
        </is>
      </c>
      <c r="Z1059" s="2" t="inlineStr">
        <is>
          <t>Aditamento (Artigo PPL)</t>
        </is>
      </c>
      <c r="AA1059" s="2" t="inlineStr">
        <is>
          <t>Rejeitado(a) em Comissão</t>
        </is>
      </c>
      <c r="AB1059" s="2" t="inlineStr"/>
      <c r="AC1059" s="2" t="inlineStr"/>
      <c r="AD1059" s="2" t="inlineStr">
        <is>
          <t>1</t>
        </is>
      </c>
      <c r="AE1059" s="2" t="inlineStr">
        <is>
          <t>24235</t>
        </is>
      </c>
      <c r="AF1059" s="2" t="inlineStr">
        <is>
          <t>https://www.parlamento.pt/OrcamentoEstado/Paginas/DetalhePropostaAlteracao.aspx?BID=24235</t>
        </is>
      </c>
      <c r="AG1059" s="2" t="inlineStr">
        <is>
          <t>https://app.parlamento.pt/webutils/docs/doc.pdf?path=6148523063484d364c793942556b356c6443397a6158526c63793959566b6c4a544556484c3039464c7a49774d6a59794d4449314d5441774f5339515153387a4d3255314e475934595331685a54526a4c5451314f4755744f54566c4e43316c5a44686d4e6a4a684d7a686d4f544d756347526d&amp;Fich=33e54f8a-ae4c-458e-95e4-ed8f62a38f93.pdf&amp;Inline=true</t>
        </is>
      </c>
      <c r="AH1059" s="3" t="n">
        <v>46321.77847222222</v>
      </c>
      <c r="AI1059" s="3" t="n">
        <v>46321.78055555555</v>
      </c>
      <c r="AJ1059" s="2" t="inlineStr"/>
    </row>
    <row r="1060">
      <c r="A1060" s="2" t="n">
        <v>1059</v>
      </c>
      <c r="B1060" s="2" t="inlineStr">
        <is>
          <t>995C</t>
        </is>
      </c>
      <c r="C1060" s="3" t="n">
        <v>45967.82430555556</v>
      </c>
      <c r="D1060" s="2" t="inlineStr">
        <is>
          <t>Original</t>
        </is>
      </c>
      <c r="E1060" s="2" t="inlineStr">
        <is>
          <t>PCP</t>
        </is>
      </c>
      <c r="F1060" s="2" t="inlineStr">
        <is>
          <t>Alfredo Maia; Paula Santos; Paulo Raimundo</t>
        </is>
      </c>
      <c r="G1060" s="2" t="inlineStr">
        <is>
          <t>Art. 118.º-A (aditamento)</t>
        </is>
      </c>
      <c r="H1060" s="2" t="n"/>
      <c r="I1060" s="2" t="n"/>
      <c r="J1060" s="2" t="n"/>
      <c r="K1060" s="2" t="n"/>
      <c r="L1060" s="2" t="inlineStr">
        <is>
          <t>Artigo 118.º-A (Financiamento das Unidades de Investigação e Desenvolvimento)</t>
        </is>
      </c>
      <c r="M1060" s="4" t="n"/>
      <c r="N1060" s="4" t="n"/>
      <c r="O1060" s="2" t="n"/>
      <c r="P1060" s="2" t="n"/>
      <c r="Q1060" s="2" t="n"/>
      <c r="R1060" s="2" t="n"/>
      <c r="S1060" s="2" t="inlineStr">
        <is>
          <t>Rejeitado(a) em Comissão</t>
        </is>
      </c>
      <c r="T1060" s="2" t="inlineStr">
        <is>
          <t>Rejeitada</t>
        </is>
      </c>
      <c r="U1060" s="2" t="inlineStr">
        <is>
          <t>Favor: L, PCP, BE, PAN; Contra: PSD, IL, CDS-PP; Abstenção: CH, PS</t>
        </is>
      </c>
      <c r="V1060" s="3" t="n">
        <v>45985</v>
      </c>
      <c r="W1060" s="2" t="inlineStr">
        <is>
          <t>AR: https://www.parlamento.pt/OrcamentoEstado/Paginas/DetalhePropostaAlteracao.aspx?BID=24236 PDF: https://app.parlamento.pt/webutils/docs/doc.pdf?path=6148523063484d364c793942556b356c6443397a6158526c63793959566b6c4a544556484c3039464c7a49774d6a59794d4449314d5441774f5339515153387a597a497a5a6d51325953316d4e4464684c5452694e445174596d52684e6930324d3245344f5456685a4441324e6d51756347526d&amp;Fich=3c23fd6a-f47a-4b44-bda6-63a895ad066d.pdf&amp;Inline=true</t>
        </is>
      </c>
      <c r="X1060" s="2" t="inlineStr">
        <is>
          <t>Educação e Ciência</t>
        </is>
      </c>
      <c r="Y1060" s="2" t="inlineStr">
        <is>
          <t>Articulado</t>
        </is>
      </c>
      <c r="Z1060" s="2" t="inlineStr">
        <is>
          <t>Aditamento (Artigo PPL)</t>
        </is>
      </c>
      <c r="AA1060" s="2" t="inlineStr">
        <is>
          <t>Rejeitado(a) em Comissão</t>
        </is>
      </c>
      <c r="AB1060" s="2" t="inlineStr"/>
      <c r="AC1060" s="2" t="inlineStr"/>
      <c r="AD1060" s="2" t="inlineStr">
        <is>
          <t>1</t>
        </is>
      </c>
      <c r="AE1060" s="2" t="inlineStr">
        <is>
          <t>24236</t>
        </is>
      </c>
      <c r="AF1060" s="2" t="inlineStr">
        <is>
          <t>https://www.parlamento.pt/OrcamentoEstado/Paginas/DetalhePropostaAlteracao.aspx?BID=24236</t>
        </is>
      </c>
      <c r="AG1060" s="2" t="inlineStr">
        <is>
          <t>https://app.parlamento.pt/webutils/docs/doc.pdf?path=6148523063484d364c793942556b356c6443397a6158526c63793959566b6c4a544556484c3039464c7a49774d6a59794d4449314d5441774f5339515153387a597a497a5a6d51325953316d4e4464684c5452694e445174596d52684e6930324d3245344f5456685a4441324e6d51756347526d&amp;Fich=3c23fd6a-f47a-4b44-bda6-63a895ad066d.pdf&amp;Inline=true</t>
        </is>
      </c>
      <c r="AH1060" s="3" t="n">
        <v>46321.77847222222</v>
      </c>
      <c r="AI1060" s="3" t="n">
        <v>46321.78055555555</v>
      </c>
      <c r="AJ1060" s="2" t="inlineStr"/>
    </row>
    <row r="1061">
      <c r="A1061" s="2" t="n">
        <v>1060</v>
      </c>
      <c r="B1061" s="2" t="inlineStr">
        <is>
          <t>996C</t>
        </is>
      </c>
      <c r="C1061" s="3" t="n">
        <v>45967.825</v>
      </c>
      <c r="D1061" s="2" t="inlineStr">
        <is>
          <t>Original</t>
        </is>
      </c>
      <c r="E1061" s="2" t="inlineStr">
        <is>
          <t>PCP</t>
        </is>
      </c>
      <c r="F1061" s="2" t="inlineStr">
        <is>
          <t>Alfredo Maia; Paula Santos; Paulo Raimundo</t>
        </is>
      </c>
      <c r="G1061" s="2" t="inlineStr">
        <is>
          <t>Art. 118.º-A (aditamento)</t>
        </is>
      </c>
      <c r="H1061" s="2" t="n"/>
      <c r="I1061" s="2" t="n"/>
      <c r="J1061" s="2" t="n"/>
      <c r="K1061" s="2" t="n"/>
      <c r="L1061" s="2" t="inlineStr">
        <is>
          <t>Artigo 118.º-A (Garantia da inexistência de interrupção no financiamento de Base dos CTI e Laboratórios Colaborativos)</t>
        </is>
      </c>
      <c r="M1061" s="4" t="n"/>
      <c r="N1061" s="4" t="n"/>
      <c r="O1061" s="2" t="n"/>
      <c r="P1061" s="2" t="n"/>
      <c r="Q1061" s="2" t="n"/>
      <c r="R1061" s="2" t="n"/>
      <c r="S1061" s="2" t="inlineStr">
        <is>
          <t>Rejeitado(a) em Comissão</t>
        </is>
      </c>
      <c r="T1061" s="2" t="inlineStr">
        <is>
          <t>Rejeitada</t>
        </is>
      </c>
      <c r="U1061" s="2" t="inlineStr">
        <is>
          <t>Favor: CH, L, PCP, BE, PAN; Contra: PSD, CDS-PP; Abstenção: PS, IL</t>
        </is>
      </c>
      <c r="V1061" s="3" t="n">
        <v>45985</v>
      </c>
      <c r="W1061" s="2" t="inlineStr">
        <is>
          <t>AR: https://www.parlamento.pt/OrcamentoEstado/Paginas/DetalhePropostaAlteracao.aspx?BID=24237 PDF: https://app.parlamento.pt/webutils/docs/doc.pdf?path=6148523063484d364c793942556b356c6443397a6158526c63793959566b6c4a544556484c3039464c7a49774d6a59794d4449314d5441774f533951515339684f4463344e47526c4d43307a59574d334c54526b4f544974595455784d7930324d7a46695a47526d5a6a466d5a6a51756347526d&amp;Fich=a8784de0-3ac7-4d92-a513-631bddff1ff4.pdf&amp;Inline=true</t>
        </is>
      </c>
      <c r="X1061" s="2" t="inlineStr">
        <is>
          <t>Educação e Ciência</t>
        </is>
      </c>
      <c r="Y1061" s="2" t="inlineStr">
        <is>
          <t>Articulado</t>
        </is>
      </c>
      <c r="Z1061" s="2" t="inlineStr">
        <is>
          <t>Aditamento (Artigo PPL)</t>
        </is>
      </c>
      <c r="AA1061" s="2" t="inlineStr">
        <is>
          <t>Rejeitado(a) em Comissão</t>
        </is>
      </c>
      <c r="AB1061" s="2" t="inlineStr"/>
      <c r="AC1061" s="2" t="inlineStr"/>
      <c r="AD1061" s="2" t="inlineStr">
        <is>
          <t>1</t>
        </is>
      </c>
      <c r="AE1061" s="2" t="inlineStr">
        <is>
          <t>24237</t>
        </is>
      </c>
      <c r="AF1061" s="2" t="inlineStr">
        <is>
          <t>https://www.parlamento.pt/OrcamentoEstado/Paginas/DetalhePropostaAlteracao.aspx?BID=24237</t>
        </is>
      </c>
      <c r="AG1061" s="2" t="inlineStr">
        <is>
          <t>https://app.parlamento.pt/webutils/docs/doc.pdf?path=6148523063484d364c793942556b356c6443397a6158526c63793959566b6c4a544556484c3039464c7a49774d6a59794d4449314d5441774f533951515339684f4463344e47526c4d43307a59574d334c54526b4f544974595455784d7930324d7a46695a47526d5a6a466d5a6a51756347526d&amp;Fich=a8784de0-3ac7-4d92-a513-631bddff1ff4.pdf&amp;Inline=true</t>
        </is>
      </c>
      <c r="AH1061" s="3" t="n">
        <v>46321.77847222222</v>
      </c>
      <c r="AI1061" s="3" t="n">
        <v>46321.78055555555</v>
      </c>
      <c r="AJ1061" s="2" t="inlineStr"/>
    </row>
    <row r="1062">
      <c r="A1062" s="2" t="n">
        <v>1061</v>
      </c>
      <c r="B1062" s="2" t="inlineStr">
        <is>
          <t>997C</t>
        </is>
      </c>
      <c r="C1062" s="3" t="n">
        <v>45967.82569444444</v>
      </c>
      <c r="D1062" s="2" t="inlineStr">
        <is>
          <t>Original</t>
        </is>
      </c>
      <c r="E1062" s="2" t="inlineStr">
        <is>
          <t>PCP</t>
        </is>
      </c>
      <c r="F1062" s="2" t="inlineStr">
        <is>
          <t>Alfredo Maia; Paula Santos; Paulo Raimundo</t>
        </is>
      </c>
      <c r="G1062" s="2" t="inlineStr">
        <is>
          <t>Art. 118.º-A (aditamento)</t>
        </is>
      </c>
      <c r="H1062" s="2" t="n"/>
      <c r="I1062" s="2" t="n"/>
      <c r="J1062" s="2" t="n"/>
      <c r="K1062" s="2" t="n"/>
      <c r="L1062" s="2" t="inlineStr">
        <is>
          <t>Artigo 118.º-A (Reforço do papel dos Laboratórios do Estado)</t>
        </is>
      </c>
      <c r="M1062" s="4" t="n"/>
      <c r="N1062" s="4" t="n"/>
      <c r="O1062" s="2" t="n"/>
      <c r="P1062" s="2" t="n"/>
      <c r="Q1062" s="2" t="n"/>
      <c r="R1062" s="2" t="n"/>
      <c r="S1062" s="2" t="inlineStr">
        <is>
          <t>Rejeitado(a) em Comissão</t>
        </is>
      </c>
      <c r="T1062" s="2" t="inlineStr">
        <is>
          <t>Rejeitada</t>
        </is>
      </c>
      <c r="U1062" s="2" t="inlineStr">
        <is>
          <t>Favor: CH, L, PCP, BE, PAN; Contra: PSD, CDS-PP; Abstenção: PS, IL</t>
        </is>
      </c>
      <c r="V1062" s="3" t="n">
        <v>45985</v>
      </c>
      <c r="W1062" s="2" t="inlineStr">
        <is>
          <t>AR: https://www.parlamento.pt/OrcamentoEstado/Paginas/DetalhePropostaAlteracao.aspx?BID=24238 PDF: https://app.parlamento.pt/webutils/docs/doc.pdf?path=6148523063484d364c793942556b356c6443397a6158526c63793959566b6c4a544556484c3039464c7a49774d6a59794d4449314d5441774f5339515153396d5a444d324d544d79597930304e5449774c54526a4f544d7459546c6a4d5331694e7a55345a44646a4e6a51314e5445756347526d&amp;Fich=fd36132c-4520-4c93-a9c1-b758d7c64551.pdf&amp;Inline=true</t>
        </is>
      </c>
      <c r="X1062" s="2" t="inlineStr">
        <is>
          <t>Educação e Ciência</t>
        </is>
      </c>
      <c r="Y1062" s="2" t="inlineStr">
        <is>
          <t>Articulado</t>
        </is>
      </c>
      <c r="Z1062" s="2" t="inlineStr">
        <is>
          <t>Aditamento (Artigo PPL)</t>
        </is>
      </c>
      <c r="AA1062" s="2" t="inlineStr">
        <is>
          <t>Rejeitado(a) em Comissão</t>
        </is>
      </c>
      <c r="AB1062" s="2" t="inlineStr"/>
      <c r="AC1062" s="2" t="inlineStr"/>
      <c r="AD1062" s="2" t="inlineStr">
        <is>
          <t>1</t>
        </is>
      </c>
      <c r="AE1062" s="2" t="inlineStr">
        <is>
          <t>24238</t>
        </is>
      </c>
      <c r="AF1062" s="2" t="inlineStr">
        <is>
          <t>https://www.parlamento.pt/OrcamentoEstado/Paginas/DetalhePropostaAlteracao.aspx?BID=24238</t>
        </is>
      </c>
      <c r="AG1062" s="2" t="inlineStr">
        <is>
          <t>https://app.parlamento.pt/webutils/docs/doc.pdf?path=6148523063484d364c793942556b356c6443397a6158526c63793959566b6c4a544556484c3039464c7a49774d6a59794d4449314d5441774f5339515153396d5a444d324d544d79597930304e5449774c54526a4f544d7459546c6a4d5331694e7a55345a44646a4e6a51314e5445756347526d&amp;Fich=fd36132c-4520-4c93-a9c1-b758d7c64551.pdf&amp;Inline=true</t>
        </is>
      </c>
      <c r="AH1062" s="3" t="n">
        <v>46321.77847222222</v>
      </c>
      <c r="AI1062" s="3" t="n">
        <v>46321.78055555555</v>
      </c>
      <c r="AJ1062" s="2" t="inlineStr"/>
    </row>
    <row r="1063">
      <c r="A1063" s="2" t="n">
        <v>1062</v>
      </c>
      <c r="B1063" s="2" t="inlineStr">
        <is>
          <t>998C</t>
        </is>
      </c>
      <c r="C1063" s="3" t="n">
        <v>45967.82638888889</v>
      </c>
      <c r="D1063" s="2" t="inlineStr">
        <is>
          <t>Original</t>
        </is>
      </c>
      <c r="E1063" s="2" t="inlineStr">
        <is>
          <t>PCP</t>
        </is>
      </c>
      <c r="F1063" s="2" t="inlineStr">
        <is>
          <t>Alfredo Maia; Paula Santos; Paulo Raimundo</t>
        </is>
      </c>
      <c r="G1063" s="2" t="inlineStr">
        <is>
          <t>Art. 118.º-A (aditamento)</t>
        </is>
      </c>
      <c r="H1063" s="2" t="n"/>
      <c r="I1063" s="2" t="n"/>
      <c r="J1063" s="2" t="n"/>
      <c r="K1063" s="2" t="n"/>
      <c r="L1063" s="2" t="inlineStr">
        <is>
          <t>Artigo 118.º-A (Regime especial para a utilização da Inteligência Artificial)</t>
        </is>
      </c>
      <c r="M1063" s="4" t="n"/>
      <c r="N1063" s="4" t="n"/>
      <c r="O1063" s="2" t="n"/>
      <c r="P1063" s="2" t="n"/>
      <c r="Q1063" s="2" t="n"/>
      <c r="R1063" s="2" t="n"/>
      <c r="S1063" s="2" t="inlineStr">
        <is>
          <t>Rejeitado(a) em Comissão</t>
        </is>
      </c>
      <c r="T1063" s="2" t="inlineStr">
        <is>
          <t>Rejeitada</t>
        </is>
      </c>
      <c r="U1063" s="2" t="inlineStr">
        <is>
          <t>Favor: L, PCP, BE, PAN; Contra: PSD, IL, CDS-PP; Abstenção: CH, PS</t>
        </is>
      </c>
      <c r="V1063" s="3" t="n">
        <v>45985</v>
      </c>
      <c r="W1063" s="2" t="inlineStr">
        <is>
          <t>AR: https://www.parlamento.pt/OrcamentoEstado/Paginas/DetalhePropostaAlteracao.aspx?BID=24239 PDF: https://app.parlamento.pt/webutils/docs/doc.pdf?path=6148523063484d364c793942556b356c6443397a6158526c63793959566b6c4a544556484c3039464c7a49774d6a59794d4449314d5441774f5339515153387a4e6a49344d3245775a5330324d5455784c5451355957457459544a6a4e5330324d44526c4f54566c4d6d59314e6a59756347526d&amp;Fich=36283a0e-6151-49aa-a2c5-604e95e2f566.pdf&amp;Inline=true</t>
        </is>
      </c>
      <c r="X1063" s="2" t="inlineStr">
        <is>
          <t>Educação e Ciência</t>
        </is>
      </c>
      <c r="Y1063" s="2" t="inlineStr">
        <is>
          <t>Articulado</t>
        </is>
      </c>
      <c r="Z1063" s="2" t="inlineStr">
        <is>
          <t>Aditamento (Artigo PPL)</t>
        </is>
      </c>
      <c r="AA1063" s="2" t="inlineStr">
        <is>
          <t>Rejeitado(a) em Comissão</t>
        </is>
      </c>
      <c r="AB1063" s="2" t="inlineStr"/>
      <c r="AC1063" s="2" t="inlineStr"/>
      <c r="AD1063" s="2" t="inlineStr">
        <is>
          <t>1</t>
        </is>
      </c>
      <c r="AE1063" s="2" t="inlineStr">
        <is>
          <t>24239</t>
        </is>
      </c>
      <c r="AF1063" s="2" t="inlineStr">
        <is>
          <t>https://www.parlamento.pt/OrcamentoEstado/Paginas/DetalhePropostaAlteracao.aspx?BID=24239</t>
        </is>
      </c>
      <c r="AG1063" s="2" t="inlineStr">
        <is>
          <t>https://app.parlamento.pt/webutils/docs/doc.pdf?path=6148523063484d364c793942556b356c6443397a6158526c63793959566b6c4a544556484c3039464c7a49774d6a59794d4449314d5441774f5339515153387a4e6a49344d3245775a5330324d5455784c5451355957457459544a6a4e5330324d44526c4f54566c4d6d59314e6a59756347526d&amp;Fich=36283a0e-6151-49aa-a2c5-604e95e2f566.pdf&amp;Inline=true</t>
        </is>
      </c>
      <c r="AH1063" s="3" t="n">
        <v>46321.77847222222</v>
      </c>
      <c r="AI1063" s="3" t="n">
        <v>46321.78055555555</v>
      </c>
      <c r="AJ1063" s="2" t="inlineStr"/>
    </row>
    <row r="1064">
      <c r="A1064" s="2" t="n">
        <v>1063</v>
      </c>
      <c r="B1064" s="2" t="inlineStr">
        <is>
          <t>999C</t>
        </is>
      </c>
      <c r="C1064" s="3" t="n">
        <v>45967.82708333333</v>
      </c>
      <c r="D1064" s="2" t="inlineStr">
        <is>
          <t>Original</t>
        </is>
      </c>
      <c r="E1064" s="2" t="inlineStr">
        <is>
          <t>PCP</t>
        </is>
      </c>
      <c r="F1064" s="2" t="inlineStr">
        <is>
          <t>Alfredo Maia; Paula Santos; Paulo Raimundo</t>
        </is>
      </c>
      <c r="G1064" s="2" t="inlineStr">
        <is>
          <t>Art. 118.º-A (aditamento)</t>
        </is>
      </c>
      <c r="H1064" s="2" t="n"/>
      <c r="I1064" s="2" t="n"/>
      <c r="J1064" s="2" t="n"/>
      <c r="K1064" s="2" t="n"/>
      <c r="L1064" s="2" t="inlineStr">
        <is>
          <t>Artigo 118.º-A (Reposição dos subsídios a bolseiros para participação em missões e congressos)</t>
        </is>
      </c>
      <c r="M1064" s="4" t="n"/>
      <c r="N1064" s="4" t="n"/>
      <c r="O1064" s="2" t="n"/>
      <c r="P1064" s="2" t="n"/>
      <c r="Q1064" s="2" t="n"/>
      <c r="R1064" s="2" t="n"/>
      <c r="S1064" s="2" t="inlineStr">
        <is>
          <t>Rejeitado(a) em Comissão</t>
        </is>
      </c>
      <c r="T1064" s="2" t="inlineStr">
        <is>
          <t>Rejeitada</t>
        </is>
      </c>
      <c r="U1064" s="2" t="inlineStr">
        <is>
          <t>Favor: L, PCP, BE, PAN; Contra: PSD, IL, CDS-PP; Abstenção: CH, PS</t>
        </is>
      </c>
      <c r="V1064" s="3" t="n">
        <v>45985</v>
      </c>
      <c r="W1064" s="2" t="inlineStr">
        <is>
          <t>AR: https://www.parlamento.pt/OrcamentoEstado/Paginas/DetalhePropostaAlteracao.aspx?BID=24240 PDF: https://app.parlamento.pt/webutils/docs/doc.pdf?path=6148523063484d364c793942556b356c6443397a6158526c63793959566b6c4a544556484c3039464c7a49774d6a59794d4449314d5441774f533951515338324e7a4a6b4f5463314e5330334e4459344c5452684e5449744f4746694e53307a4d44426a4d5449314e324a6c5a4749756347526d&amp;Fich=672d9755-7468-4a52-8ab5-300c1257bedb.pdf&amp;Inline=true</t>
        </is>
      </c>
      <c r="X1064" s="2" t="inlineStr">
        <is>
          <t>Educação e Ciência</t>
        </is>
      </c>
      <c r="Y1064" s="2" t="inlineStr">
        <is>
          <t>Articulado</t>
        </is>
      </c>
      <c r="Z1064" s="2" t="inlineStr">
        <is>
          <t>Aditamento (Artigo PPL)</t>
        </is>
      </c>
      <c r="AA1064" s="2" t="inlineStr">
        <is>
          <t>Rejeitado(a) em Comissão</t>
        </is>
      </c>
      <c r="AB1064" s="2" t="inlineStr"/>
      <c r="AC1064" s="2" t="inlineStr"/>
      <c r="AD1064" s="2" t="inlineStr">
        <is>
          <t>1</t>
        </is>
      </c>
      <c r="AE1064" s="2" t="inlineStr">
        <is>
          <t>24240</t>
        </is>
      </c>
      <c r="AF1064" s="2" t="inlineStr">
        <is>
          <t>https://www.parlamento.pt/OrcamentoEstado/Paginas/DetalhePropostaAlteracao.aspx?BID=24240</t>
        </is>
      </c>
      <c r="AG1064" s="2" t="inlineStr">
        <is>
          <t>https://app.parlamento.pt/webutils/docs/doc.pdf?path=6148523063484d364c793942556b356c6443397a6158526c63793959566b6c4a544556484c3039464c7a49774d6a59794d4449314d5441774f533951515338324e7a4a6b4f5463314e5330334e4459344c5452684e5449744f4746694e53307a4d44426a4d5449314e324a6c5a4749756347526d&amp;Fich=672d9755-7468-4a52-8ab5-300c1257bedb.pdf&amp;Inline=true</t>
        </is>
      </c>
      <c r="AH1064" s="3" t="n">
        <v>46321.77847222222</v>
      </c>
      <c r="AI1064" s="3" t="n">
        <v>46321.78055555555</v>
      </c>
      <c r="AJ1064" s="2" t="inlineStr"/>
    </row>
    <row r="1065">
      <c r="A1065" s="2" t="n">
        <v>1064</v>
      </c>
      <c r="B1065" s="2" t="inlineStr">
        <is>
          <t>1000C</t>
        </is>
      </c>
      <c r="C1065" s="3" t="n">
        <v>45967.82708333333</v>
      </c>
      <c r="D1065" s="2" t="inlineStr">
        <is>
          <t>Original</t>
        </is>
      </c>
      <c r="E1065" s="2" t="inlineStr">
        <is>
          <t>Vários</t>
        </is>
      </c>
      <c r="F1065" s="2" t="inlineStr">
        <is>
          <t>Alberto Fonseca; Ana Oliveira; Francisco Pimentel; Francisco Sousa Vieira; Hugo Carneiro; Hugo Soares; Miguel Guimarães; João Pinho de Almeida; Paulo Núncio</t>
        </is>
      </c>
      <c r="G1065" s="2" t="inlineStr">
        <is>
          <t>Art. 71.º-A (aditamento)</t>
        </is>
      </c>
      <c r="H1065" s="2" t="n"/>
      <c r="I1065" s="2" t="n"/>
      <c r="J1065" s="2" t="n"/>
      <c r="K1065" s="2" t="n"/>
      <c r="L1065" s="2" t="inlineStr">
        <is>
          <t>Artigo 71.º-A (Promoção da saúde e prevenção da doença)</t>
        </is>
      </c>
      <c r="M1065" s="4" t="n"/>
      <c r="N1065" s="4" t="n"/>
      <c r="O1065" s="2" t="n"/>
      <c r="P1065" s="2" t="n"/>
      <c r="Q1065" s="2" t="n"/>
      <c r="R1065" s="2" t="n"/>
      <c r="S1065" s="2" t="inlineStr">
        <is>
          <t>Aprovado(a) por Unanimidade em Comissão</t>
        </is>
      </c>
      <c r="T1065" s="2" t="inlineStr">
        <is>
          <t>Aprovada</t>
        </is>
      </c>
      <c r="U1065" s="2" t="inlineStr">
        <is>
          <t>Favor: PSD, CH, PS, IL, L, PCP, CDS-PP, BE, PAN</t>
        </is>
      </c>
      <c r="V1065" s="3" t="n">
        <v>45982</v>
      </c>
      <c r="W1065" s="2" t="inlineStr">
        <is>
          <t>AR: https://www.parlamento.pt/OrcamentoEstado/Paginas/DetalhePropostaAlteracao.aspx?BID=24241 PDF: https://app.parlamento.pt/webutils/docs/doc.pdf?path=6148523063484d364c793942556b356c6443397a6158526c63793959566b6c4a544556484c3039464c7a49774d6a59794d4449314d5441774f533951515338344d546b334d7a4d344d79316c5a544d794c5451324f545974596d4d774d7931694d4749354d6a4a6d4e54566d4d4749756347526d&amp;Fich=81973383-ee32-4696-bc03-b0b922f55f0b.pdf&amp;Inline=true</t>
        </is>
      </c>
      <c r="X1065" s="2" t="inlineStr">
        <is>
          <t>Saúde</t>
        </is>
      </c>
      <c r="Y1065" s="2" t="inlineStr">
        <is>
          <t>Articulado</t>
        </is>
      </c>
      <c r="Z1065" s="2" t="inlineStr">
        <is>
          <t>Aditamento (Artigo PPL)</t>
        </is>
      </c>
      <c r="AA1065" s="2" t="inlineStr">
        <is>
          <t>Aprovado(a) por Unanimidade em Comissão</t>
        </is>
      </c>
      <c r="AB1065" s="2" t="inlineStr"/>
      <c r="AC1065" s="2" t="inlineStr"/>
      <c r="AD1065" s="2" t="inlineStr">
        <is>
          <t>1</t>
        </is>
      </c>
      <c r="AE1065" s="2" t="inlineStr">
        <is>
          <t>24241</t>
        </is>
      </c>
      <c r="AF1065" s="2" t="inlineStr">
        <is>
          <t>https://www.parlamento.pt/OrcamentoEstado/Paginas/DetalhePropostaAlteracao.aspx?BID=24241</t>
        </is>
      </c>
      <c r="AG1065" s="2" t="inlineStr">
        <is>
          <t>https://app.parlamento.pt/webutils/docs/doc.pdf?path=6148523063484d364c793942556b356c6443397a6158526c63793959566b6c4a544556484c3039464c7a49774d6a59794d4449314d5441774f533951515338344d546b334d7a4d344d79316c5a544d794c5451324f545974596d4d774d7931694d4749354d6a4a6d4e54566d4d4749756347526d&amp;Fich=81973383-ee32-4696-bc03-b0b922f55f0b.pdf&amp;Inline=true</t>
        </is>
      </c>
      <c r="AH1065" s="3" t="n">
        <v>46321.77847222222</v>
      </c>
      <c r="AI1065" s="3" t="n">
        <v>46321.78055555555</v>
      </c>
      <c r="AJ1065" s="2" t="inlineStr"/>
    </row>
    <row r="1066">
      <c r="A1066" s="2" t="n">
        <v>1065</v>
      </c>
      <c r="B1066" s="2" t="inlineStr">
        <is>
          <t>1001C</t>
        </is>
      </c>
      <c r="C1066" s="3" t="n">
        <v>45967.82777777778</v>
      </c>
      <c r="D1066" s="2" t="inlineStr">
        <is>
          <t>Original</t>
        </is>
      </c>
      <c r="E1066" s="2" t="inlineStr">
        <is>
          <t>PCP</t>
        </is>
      </c>
      <c r="F1066" s="2" t="inlineStr">
        <is>
          <t>Alfredo Maia; Paula Santos; Paulo Raimundo</t>
        </is>
      </c>
      <c r="G1066" s="2" t="inlineStr">
        <is>
          <t>Art. 7.º (aditamento)</t>
        </is>
      </c>
      <c r="H1066" s="2" t="n"/>
      <c r="I1066" s="2" t="n"/>
      <c r="J1066" s="2" t="n"/>
      <c r="K1066" s="2" t="n"/>
      <c r="L1066" s="2" t="inlineStr">
        <is>
          <t>Nova Verba 17, Mapa de alterações e transferências orçamentais, Artigo 7.º</t>
        </is>
      </c>
      <c r="M1066" s="4" t="n"/>
      <c r="N1066" s="4" t="n"/>
      <c r="O1066" s="2" t="n"/>
      <c r="P1066" s="2" t="n"/>
      <c r="Q1066" s="2" t="n"/>
      <c r="R1066" s="2" t="n"/>
      <c r="S1066" s="2" t="inlineStr">
        <is>
          <t>Rejeitado(a) em Comissão</t>
        </is>
      </c>
      <c r="T1066" s="2" t="inlineStr">
        <is>
          <t>Rejeitada</t>
        </is>
      </c>
      <c r="U1066" s="2" t="inlineStr">
        <is>
          <t>Favor: L, PCP, BE, PAN; Contra: PSD, CH, IL, CDS-PP; Abstenção: PS</t>
        </is>
      </c>
      <c r="V1066" s="3" t="n">
        <v>45987</v>
      </c>
      <c r="W1066" s="2" t="inlineStr">
        <is>
          <t>AR: https://www.parlamento.pt/OrcamentoEstado/Paginas/DetalhePropostaAlteracao.aspx?BID=24242 PDF: https://app.parlamento.pt/webutils/docs/doc.pdf?path=6148523063484d364c793942556b356c6443397a6158526c63793959566b6c4a544556484c3039464c7a49774d6a59794d4449314d5441774f533951515338305a544d7a5a6d526c4d533077597a63354c54517a596a55744f44466d4e69307a597a526a4e44597a5a6a4e6b4f5745756347526d&amp;Fich=4e33fde1-0c79-43b5-81f6-3c4c463f3d9a.pdf&amp;Inline=true</t>
        </is>
      </c>
      <c r="X1066" s="2" t="inlineStr">
        <is>
          <t>Educação e Ciência</t>
        </is>
      </c>
      <c r="Y1066" s="2" t="inlineStr">
        <is>
          <t>Articulado</t>
        </is>
      </c>
      <c r="Z1066" s="2" t="inlineStr">
        <is>
          <t>Aditamento (Números e Alíneas)</t>
        </is>
      </c>
      <c r="AA1066" s="2" t="inlineStr">
        <is>
          <t>Rejeitado(a) em Comissão</t>
        </is>
      </c>
      <c r="AB1066" s="2" t="inlineStr"/>
      <c r="AC1066" s="2" t="inlineStr"/>
      <c r="AD1066" s="2" t="inlineStr">
        <is>
          <t>1</t>
        </is>
      </c>
      <c r="AE1066" s="2" t="inlineStr">
        <is>
          <t>24242</t>
        </is>
      </c>
      <c r="AF1066" s="2" t="inlineStr">
        <is>
          <t>https://www.parlamento.pt/OrcamentoEstado/Paginas/DetalhePropostaAlteracao.aspx?BID=24242</t>
        </is>
      </c>
      <c r="AG1066" s="2" t="inlineStr">
        <is>
          <t>https://app.parlamento.pt/webutils/docs/doc.pdf?path=6148523063484d364c793942556b356c6443397a6158526c63793959566b6c4a544556484c3039464c7a49774d6a59794d4449314d5441774f533951515338305a544d7a5a6d526c4d533077597a63354c54517a596a55744f44466d4e69307a597a526a4e44597a5a6a4e6b4f5745756347526d&amp;Fich=4e33fde1-0c79-43b5-81f6-3c4c463f3d9a.pdf&amp;Inline=true</t>
        </is>
      </c>
      <c r="AH1066" s="3" t="n">
        <v>46321.77847222222</v>
      </c>
      <c r="AI1066" s="3" t="n">
        <v>46321.78055555555</v>
      </c>
      <c r="AJ1066" s="2" t="inlineStr"/>
    </row>
    <row r="1067">
      <c r="A1067" s="2" t="n">
        <v>1066</v>
      </c>
      <c r="B1067" s="2" t="inlineStr">
        <is>
          <t>1002C</t>
        </is>
      </c>
      <c r="C1067" s="3" t="n">
        <v>45967.82777777778</v>
      </c>
      <c r="D1067" s="2" t="inlineStr">
        <is>
          <t>Original</t>
        </is>
      </c>
      <c r="E1067" s="2" t="inlineStr">
        <is>
          <t>PCP</t>
        </is>
      </c>
      <c r="F1067" s="2" t="inlineStr">
        <is>
          <t>Alfredo Maia; Paula Santos; Paulo Raimundo</t>
        </is>
      </c>
      <c r="G1067" s="2" t="inlineStr">
        <is>
          <t>Art. 7.º (aditamento)</t>
        </is>
      </c>
      <c r="H1067" s="2" t="n"/>
      <c r="I1067" s="2" t="n"/>
      <c r="J1067" s="2" t="n"/>
      <c r="K1067" s="2" t="n"/>
      <c r="L1067" s="2" t="inlineStr">
        <is>
          <t>Nova Verba 17, Mapa de alterações e transferências orçamentais, Artigo 7.º</t>
        </is>
      </c>
      <c r="M1067" s="4" t="n"/>
      <c r="N1067" s="4" t="n"/>
      <c r="O1067" s="2" t="n"/>
      <c r="P1067" s="2" t="n"/>
      <c r="Q1067" s="2" t="n"/>
      <c r="R1067" s="2" t="n"/>
      <c r="S1067" s="2" t="inlineStr">
        <is>
          <t>Rejeitado(a) em Comissão</t>
        </is>
      </c>
      <c r="T1067" s="2" t="inlineStr">
        <is>
          <t>Rejeitada</t>
        </is>
      </c>
      <c r="U1067" s="2" t="inlineStr">
        <is>
          <t>Favor: L, PCP, BE; Contra: PSD, IL, CDS-PP; Abstenção: CH, PS, PAN</t>
        </is>
      </c>
      <c r="V1067" s="3" t="n">
        <v>45987</v>
      </c>
      <c r="W1067" s="2" t="inlineStr">
        <is>
          <t>AR: https://www.parlamento.pt/OrcamentoEstado/Paginas/DetalhePropostaAlteracao.aspx?BID=24243 PDF: https://app.parlamento.pt/webutils/docs/doc.pdf?path=6148523063484d364c793942556b356c6443397a6158526c63793959566b6c4a544556484c3039464c7a49774d6a59794d4449314d5441774f5339515153396859544e6c5a6d49795a4330305a474d774c5451325a544174596a41344e79316b4e574e68596d4d3159575a684e5467756347526d&amp;Fich=aa3efb2d-4dc0-46e0-b087-d5cabc5afa58.pdf&amp;Inline=true</t>
        </is>
      </c>
      <c r="X1067" s="2" t="inlineStr">
        <is>
          <t>Educação e Ciência</t>
        </is>
      </c>
      <c r="Y1067" s="2" t="inlineStr">
        <is>
          <t>Articulado</t>
        </is>
      </c>
      <c r="Z1067" s="2" t="inlineStr">
        <is>
          <t>Aditamento (Números e Alíneas)</t>
        </is>
      </c>
      <c r="AA1067" s="2" t="inlineStr">
        <is>
          <t>Rejeitado(a) em Comissão</t>
        </is>
      </c>
      <c r="AB1067" s="2" t="inlineStr"/>
      <c r="AC1067" s="2" t="inlineStr"/>
      <c r="AD1067" s="2" t="inlineStr">
        <is>
          <t>1</t>
        </is>
      </c>
      <c r="AE1067" s="2" t="inlineStr">
        <is>
          <t>24243</t>
        </is>
      </c>
      <c r="AF1067" s="2" t="inlineStr">
        <is>
          <t>https://www.parlamento.pt/OrcamentoEstado/Paginas/DetalhePropostaAlteracao.aspx?BID=24243</t>
        </is>
      </c>
      <c r="AG1067" s="2" t="inlineStr">
        <is>
          <t>https://app.parlamento.pt/webutils/docs/doc.pdf?path=6148523063484d364c793942556b356c6443397a6158526c63793959566b6c4a544556484c3039464c7a49774d6a59794d4449314d5441774f5339515153396859544e6c5a6d49795a4330305a474d774c5451325a544174596a41344e79316b4e574e68596d4d3159575a684e5467756347526d&amp;Fich=aa3efb2d-4dc0-46e0-b087-d5cabc5afa58.pdf&amp;Inline=true</t>
        </is>
      </c>
      <c r="AH1067" s="3" t="n">
        <v>46321.77847222222</v>
      </c>
      <c r="AI1067" s="3" t="n">
        <v>46321.78055555555</v>
      </c>
      <c r="AJ1067" s="2" t="inlineStr"/>
    </row>
    <row r="1068">
      <c r="A1068" s="2" t="n">
        <v>1067</v>
      </c>
      <c r="B1068" s="2" t="inlineStr">
        <is>
          <t>1003C</t>
        </is>
      </c>
      <c r="C1068" s="3" t="n">
        <v>45967.82847222222</v>
      </c>
      <c r="D1068" s="2" t="inlineStr">
        <is>
          <t>Original</t>
        </is>
      </c>
      <c r="E1068" s="2" t="inlineStr">
        <is>
          <t>PCP</t>
        </is>
      </c>
      <c r="F1068" s="2" t="inlineStr">
        <is>
          <t>Alfredo Maia; Paula Santos; Paulo Raimundo</t>
        </is>
      </c>
      <c r="G1068" s="2" t="inlineStr">
        <is>
          <t>Art. 7.º (aditamento)</t>
        </is>
      </c>
      <c r="H1068" s="2" t="n"/>
      <c r="I1068" s="2" t="n"/>
      <c r="J1068" s="2" t="n"/>
      <c r="K1068" s="2" t="n"/>
      <c r="L1068" s="2" t="inlineStr">
        <is>
          <t>Nova Verba 17, Mapa de alterações e transferências orçamentais, Artigo 7.º</t>
        </is>
      </c>
      <c r="M1068" s="4" t="n"/>
      <c r="N1068" s="4" t="n"/>
      <c r="O1068" s="2" t="n"/>
      <c r="P1068" s="2" t="n"/>
      <c r="Q1068" s="2" t="n"/>
      <c r="R1068" s="2" t="n"/>
      <c r="S1068" s="2" t="inlineStr">
        <is>
          <t>Rejeitado(a) em Comissão</t>
        </is>
      </c>
      <c r="T1068" s="2" t="inlineStr">
        <is>
          <t>Rejeitada</t>
        </is>
      </c>
      <c r="U1068" s="2" t="inlineStr">
        <is>
          <t>Favor: L, PCP, BE, PAN; Contra: PSD, CH, IL, CDS-PP; Abstenção: PS</t>
        </is>
      </c>
      <c r="V1068" s="3" t="n">
        <v>45987</v>
      </c>
      <c r="W1068" s="2" t="inlineStr">
        <is>
          <t>AR: https://www.parlamento.pt/OrcamentoEstado/Paginas/DetalhePropostaAlteracao.aspx?BID=24244 PDF: https://app.parlamento.pt/webutils/docs/doc.pdf?path=6148523063484d364c793942556b356c6443397a6158526c63793959566b6c4a544556484c3039464c7a49774d6a59794d4449314d5441774f53395151533831596a6330596d49324f43316a5a57497a4c54526b5a444d744f5755314e7930334e545178596d4e694d5756694f546b756347526d&amp;Fich=5b74bb68-ceb3-4dd3-9e57-7541bcb1eb99.pdf&amp;Inline=true</t>
        </is>
      </c>
      <c r="X1068" s="2" t="inlineStr">
        <is>
          <t>Educação e Ciência</t>
        </is>
      </c>
      <c r="Y1068" s="2" t="inlineStr">
        <is>
          <t>Articulado</t>
        </is>
      </c>
      <c r="Z1068" s="2" t="inlineStr">
        <is>
          <t>Aditamento (Números e Alíneas)</t>
        </is>
      </c>
      <c r="AA1068" s="2" t="inlineStr">
        <is>
          <t>Rejeitado(a) em Comissão</t>
        </is>
      </c>
      <c r="AB1068" s="2" t="inlineStr"/>
      <c r="AC1068" s="2" t="inlineStr"/>
      <c r="AD1068" s="2" t="inlineStr">
        <is>
          <t>1</t>
        </is>
      </c>
      <c r="AE1068" s="2" t="inlineStr">
        <is>
          <t>24244</t>
        </is>
      </c>
      <c r="AF1068" s="2" t="inlineStr">
        <is>
          <t>https://www.parlamento.pt/OrcamentoEstado/Paginas/DetalhePropostaAlteracao.aspx?BID=24244</t>
        </is>
      </c>
      <c r="AG1068" s="2" t="inlineStr">
        <is>
          <t>https://app.parlamento.pt/webutils/docs/doc.pdf?path=6148523063484d364c793942556b356c6443397a6158526c63793959566b6c4a544556484c3039464c7a49774d6a59794d4449314d5441774f53395151533831596a6330596d49324f43316a5a57497a4c54526b5a444d744f5755314e7930334e545178596d4e694d5756694f546b756347526d&amp;Fich=5b74bb68-ceb3-4dd3-9e57-7541bcb1eb99.pdf&amp;Inline=true</t>
        </is>
      </c>
      <c r="AH1068" s="3" t="n">
        <v>46321.77847222222</v>
      </c>
      <c r="AI1068" s="3" t="n">
        <v>46321.78055555555</v>
      </c>
      <c r="AJ1068" s="2" t="inlineStr"/>
    </row>
    <row r="1069">
      <c r="A1069" s="2" t="n">
        <v>1068</v>
      </c>
      <c r="B1069" s="2" t="inlineStr">
        <is>
          <t>1004C</t>
        </is>
      </c>
      <c r="C1069" s="3" t="n">
        <v>45967.83055555556</v>
      </c>
      <c r="D1069" s="2" t="inlineStr">
        <is>
          <t>Original</t>
        </is>
      </c>
      <c r="E1069" s="2" t="inlineStr">
        <is>
          <t>PCP</t>
        </is>
      </c>
      <c r="F1069" s="2" t="inlineStr">
        <is>
          <t>Alfredo Maia; Paula Santos; Paulo Raimundo</t>
        </is>
      </c>
      <c r="G1069" s="2" t="inlineStr">
        <is>
          <t>Art. 7.º (aditamento)</t>
        </is>
      </c>
      <c r="H1069" s="2" t="n"/>
      <c r="I1069" s="2" t="n"/>
      <c r="J1069" s="2" t="n"/>
      <c r="K1069" s="2" t="n"/>
      <c r="L1069" s="2" t="inlineStr">
        <is>
          <t>Nova Verba 17, Mapa de alterações e transferências orçamentais, Artigo 7.º.</t>
        </is>
      </c>
      <c r="M1069" s="4" t="n"/>
      <c r="N1069" s="4" t="n"/>
      <c r="O1069" s="2" t="n"/>
      <c r="P1069" s="2" t="n"/>
      <c r="Q1069" s="2" t="n"/>
      <c r="R1069" s="2" t="n"/>
      <c r="S1069" s="2" t="inlineStr">
        <is>
          <t>Rejeitado(a) em Comissão</t>
        </is>
      </c>
      <c r="T1069" s="2" t="inlineStr">
        <is>
          <t>Rejeitada</t>
        </is>
      </c>
      <c r="U1069" s="2" t="inlineStr">
        <is>
          <t>Favor: L, PCP, BE, PAN; Contra: PSD, IL, CDS-PP; Abstenção: CH, PS</t>
        </is>
      </c>
      <c r="V1069" s="3" t="n">
        <v>45987</v>
      </c>
      <c r="W1069" s="2" t="inlineStr">
        <is>
          <t>AR: https://www.parlamento.pt/OrcamentoEstado/Paginas/DetalhePropostaAlteracao.aspx?BID=24245 PDF: https://app.parlamento.pt/webutils/docs/doc.pdf?path=6148523063484d364c793942556b356c6443397a6158526c63793959566b6c4a544556484c3039464c7a49774d6a59794d4449314d5441774f5339515153396b5a546b335a47526a4d79307a59574a6a4c54517a4f5445744f5745795a5330314e57493459324d774d4459304d7a63756347526d&amp;Fich=de97ddc3-3abc-4391-9a2e-55b8cc006437.pdf&amp;Inline=true</t>
        </is>
      </c>
      <c r="X1069" s="2" t="inlineStr">
        <is>
          <t>Educação e Ciência</t>
        </is>
      </c>
      <c r="Y1069" s="2" t="inlineStr">
        <is>
          <t>Articulado</t>
        </is>
      </c>
      <c r="Z1069" s="2" t="inlineStr">
        <is>
          <t>Aditamento (Números e Alíneas)</t>
        </is>
      </c>
      <c r="AA1069" s="2" t="inlineStr">
        <is>
          <t>Rejeitado(a) em Comissão</t>
        </is>
      </c>
      <c r="AB1069" s="2" t="inlineStr"/>
      <c r="AC1069" s="2" t="inlineStr"/>
      <c r="AD1069" s="2" t="inlineStr">
        <is>
          <t>1</t>
        </is>
      </c>
      <c r="AE1069" s="2" t="inlineStr">
        <is>
          <t>24245</t>
        </is>
      </c>
      <c r="AF1069" s="2" t="inlineStr">
        <is>
          <t>https://www.parlamento.pt/OrcamentoEstado/Paginas/DetalhePropostaAlteracao.aspx?BID=24245</t>
        </is>
      </c>
      <c r="AG1069" s="2" t="inlineStr">
        <is>
          <t>https://app.parlamento.pt/webutils/docs/doc.pdf?path=6148523063484d364c793942556b356c6443397a6158526c63793959566b6c4a544556484c3039464c7a49774d6a59794d4449314d5441774f5339515153396b5a546b335a47526a4d79307a59574a6a4c54517a4f5445744f5745795a5330314e57493459324d774d4459304d7a63756347526d&amp;Fich=de97ddc3-3abc-4391-9a2e-55b8cc006437.pdf&amp;Inline=true</t>
        </is>
      </c>
      <c r="AH1069" s="3" t="n">
        <v>46321.77847222222</v>
      </c>
      <c r="AI1069" s="3" t="n">
        <v>46321.78055555555</v>
      </c>
      <c r="AJ1069" s="2" t="inlineStr"/>
    </row>
    <row r="1070">
      <c r="A1070" s="2" t="n">
        <v>1069</v>
      </c>
      <c r="B1070" s="2" t="inlineStr">
        <is>
          <t>1005C</t>
        </is>
      </c>
      <c r="C1070" s="3" t="n">
        <v>45967.83055555556</v>
      </c>
      <c r="D1070" s="2" t="inlineStr">
        <is>
          <t>Original</t>
        </is>
      </c>
      <c r="E1070" s="2" t="inlineStr">
        <is>
          <t>L</t>
        </is>
      </c>
      <c r="F1070" s="2" t="inlineStr">
        <is>
          <t>Filipa Pinto; Isabel Mendes Lopes; Jorge Pinto; Patrícia Gonçalves; Paulo Muacho; Rui Tavares</t>
        </is>
      </c>
      <c r="G1070" s="2" t="inlineStr">
        <is>
          <t>Art. 112.º-A (aditamento)</t>
        </is>
      </c>
      <c r="H1070" s="2" t="n"/>
      <c r="I1070" s="2" t="n"/>
      <c r="J1070" s="2" t="n"/>
      <c r="K1070" s="2" t="n"/>
      <c r="L1070" s="2" t="inlineStr">
        <is>
          <t>Artigo 112.º- A (Programa de apoio à gestão e residência de coletivos artísticos nos equipamentos da RTCP e RPAC)</t>
        </is>
      </c>
      <c r="M1070" s="4" t="n"/>
      <c r="N1070" s="4" t="n"/>
      <c r="O1070" s="2" t="n"/>
      <c r="P1070" s="2" t="n"/>
      <c r="Q1070" s="2" t="n"/>
      <c r="R1070" s="2" t="n"/>
      <c r="S1070" s="2" t="inlineStr">
        <is>
          <t>Rejeitado(a) em Comissão</t>
        </is>
      </c>
      <c r="T1070" s="2" t="inlineStr">
        <is>
          <t>Rejeitada</t>
        </is>
      </c>
      <c r="U1070" s="2" t="inlineStr">
        <is>
          <t>Favor: L, PCP, BE, PAN; Contra: PSD, CH, CDS-PP; Abstenção: PS, IL</t>
        </is>
      </c>
      <c r="V1070" s="3" t="n">
        <v>45982</v>
      </c>
      <c r="W1070" s="2" t="inlineStr">
        <is>
          <t>AR: https://www.parlamento.pt/OrcamentoEstado/Paginas/DetalhePropostaAlteracao.aspx?BID=24246 PDF: https://app.parlamento.pt/webutils/docs/doc.pdf?path=6148523063484d364c793942556b356c6443397a6158526c63793959566b6c4a544556484c3039464c7a49774d6a59794d4449314d5441774f5339515153396a4f4759774e7a49344d69316a59544d344c54513159325574596a4d305a6930334d6d4a685a444d30596d566c4f4451756347526d&amp;Fich=c8f07282-ca38-45ce-b34f-72bad34bee84.pdf&amp;Inline=true</t>
        </is>
      </c>
      <c r="X1070" s="2" t="inlineStr">
        <is>
          <t>Cultura, Comunicação, Juventude e Desporto</t>
        </is>
      </c>
      <c r="Y1070" s="2" t="inlineStr">
        <is>
          <t>Articulado</t>
        </is>
      </c>
      <c r="Z1070" s="2" t="inlineStr">
        <is>
          <t>Aditamento (Artigo PPL)</t>
        </is>
      </c>
      <c r="AA1070" s="2" t="inlineStr">
        <is>
          <t>Rejeitado(a) em Comissão</t>
        </is>
      </c>
      <c r="AB1070" s="2" t="inlineStr"/>
      <c r="AC1070" s="2" t="inlineStr"/>
      <c r="AD1070" s="2" t="inlineStr">
        <is>
          <t>1</t>
        </is>
      </c>
      <c r="AE1070" s="2" t="inlineStr">
        <is>
          <t>24246</t>
        </is>
      </c>
      <c r="AF1070" s="2" t="inlineStr">
        <is>
          <t>https://www.parlamento.pt/OrcamentoEstado/Paginas/DetalhePropostaAlteracao.aspx?BID=24246</t>
        </is>
      </c>
      <c r="AG1070" s="2" t="inlineStr">
        <is>
          <t>https://app.parlamento.pt/webutils/docs/doc.pdf?path=6148523063484d364c793942556b356c6443397a6158526c63793959566b6c4a544556484c3039464c7a49774d6a59794d4449314d5441774f5339515153396a4f4759774e7a49344d69316a59544d344c54513159325574596a4d305a6930334d6d4a685a444d30596d566c4f4451756347526d&amp;Fich=c8f07282-ca38-45ce-b34f-72bad34bee84.pdf&amp;Inline=true</t>
        </is>
      </c>
      <c r="AH1070" s="3" t="n">
        <v>46321.77847222222</v>
      </c>
      <c r="AI1070" s="3" t="n">
        <v>46321.78055555555</v>
      </c>
      <c r="AJ1070" s="2" t="inlineStr"/>
    </row>
    <row r="1071">
      <c r="A1071" s="2" t="n">
        <v>1070</v>
      </c>
      <c r="B1071" s="2" t="inlineStr">
        <is>
          <t>1006C</t>
        </is>
      </c>
      <c r="C1071" s="3" t="n">
        <v>45967.83055555556</v>
      </c>
      <c r="D1071" s="2" t="inlineStr">
        <is>
          <t>Original</t>
        </is>
      </c>
      <c r="E1071" s="2" t="inlineStr">
        <is>
          <t>PCP</t>
        </is>
      </c>
      <c r="F1071" s="2" t="inlineStr">
        <is>
          <t>Alfredo Maia; Paula Santos; Paulo Raimundo</t>
        </is>
      </c>
      <c r="G1071" s="2" t="inlineStr">
        <is>
          <t>Art. 7.º (aditamento)</t>
        </is>
      </c>
      <c r="H1071" s="2" t="n"/>
      <c r="I1071" s="2" t="n"/>
      <c r="J1071" s="2" t="n"/>
      <c r="K1071" s="2" t="n"/>
      <c r="L1071" s="2" t="inlineStr">
        <is>
          <t>Nova Verba 17, Mapa de alterações e transferências orçamentais, Artigo 7.º</t>
        </is>
      </c>
      <c r="M1071" s="4" t="n"/>
      <c r="N1071" s="4" t="n"/>
      <c r="O1071" s="2" t="n"/>
      <c r="P1071" s="2" t="n"/>
      <c r="Q1071" s="2" t="n"/>
      <c r="R1071" s="2" t="n"/>
      <c r="S1071" s="2" t="inlineStr">
        <is>
          <t>Rejeitado(a) em Comissão</t>
        </is>
      </c>
      <c r="T1071" s="2" t="inlineStr">
        <is>
          <t>Rejeitada</t>
        </is>
      </c>
      <c r="U1071" s="2" t="inlineStr">
        <is>
          <t>Favor: L, PCP, BE, PAN; Contra: PSD, CH, CDS-PP; Abstenção: PS, IL</t>
        </is>
      </c>
      <c r="V1071" s="3" t="n">
        <v>45987</v>
      </c>
      <c r="W1071" s="2" t="inlineStr">
        <is>
          <t>AR: https://www.parlamento.pt/OrcamentoEstado/Paginas/DetalhePropostaAlteracao.aspx?BID=24247 PDF: https://app.parlamento.pt/webutils/docs/doc.pdf?path=6148523063484d364c793942556b356c6443397a6158526c63793959566b6c4a544556484c3039464c7a49774d6a59794d4449314d5441774f5339515153396c4d6d55314f474a6a4e53316a4e6d51354c5451324f5745744f44646b4e43316b5a6d4a6d4d6a41314f5459334d4467756347526d&amp;Fich=e2e58bc5-c6d9-469a-87d4-dfbf20596708.pdf&amp;Inline=true</t>
        </is>
      </c>
      <c r="X1071" s="2" t="inlineStr">
        <is>
          <t>Educação e Ciência</t>
        </is>
      </c>
      <c r="Y1071" s="2" t="inlineStr">
        <is>
          <t>Articulado</t>
        </is>
      </c>
      <c r="Z1071" s="2" t="inlineStr">
        <is>
          <t>Aditamento (Números e Alíneas)</t>
        </is>
      </c>
      <c r="AA1071" s="2" t="inlineStr">
        <is>
          <t>Rejeitado(a) em Comissão</t>
        </is>
      </c>
      <c r="AB1071" s="2" t="inlineStr"/>
      <c r="AC1071" s="2" t="inlineStr"/>
      <c r="AD1071" s="2" t="inlineStr">
        <is>
          <t>1</t>
        </is>
      </c>
      <c r="AE1071" s="2" t="inlineStr">
        <is>
          <t>24247</t>
        </is>
      </c>
      <c r="AF1071" s="2" t="inlineStr">
        <is>
          <t>https://www.parlamento.pt/OrcamentoEstado/Paginas/DetalhePropostaAlteracao.aspx?BID=24247</t>
        </is>
      </c>
      <c r="AG1071" s="2" t="inlineStr">
        <is>
          <t>https://app.parlamento.pt/webutils/docs/doc.pdf?path=6148523063484d364c793942556b356c6443397a6158526c63793959566b6c4a544556484c3039464c7a49774d6a59794d4449314d5441774f5339515153396c4d6d55314f474a6a4e53316a4e6d51354c5451324f5745744f44646b4e43316b5a6d4a6d4d6a41314f5459334d4467756347526d&amp;Fich=e2e58bc5-c6d9-469a-87d4-dfbf20596708.pdf&amp;Inline=true</t>
        </is>
      </c>
      <c r="AH1071" s="3" t="n">
        <v>46321.77847222222</v>
      </c>
      <c r="AI1071" s="3" t="n">
        <v>46321.78055555555</v>
      </c>
      <c r="AJ1071" s="2" t="inlineStr"/>
    </row>
    <row r="1072">
      <c r="A1072" s="2" t="n">
        <v>1071</v>
      </c>
      <c r="B1072" s="2" t="inlineStr">
        <is>
          <t>1007C</t>
        </is>
      </c>
      <c r="C1072" s="3" t="n">
        <v>45967.83333333334</v>
      </c>
      <c r="D1072" s="2" t="inlineStr">
        <is>
          <t>Original</t>
        </is>
      </c>
      <c r="E1072" s="2" t="inlineStr">
        <is>
          <t>L</t>
        </is>
      </c>
      <c r="F1072" s="2" t="inlineStr">
        <is>
          <t>Filipa Pinto; Isabel Mendes Lopes; Jorge Pinto; Patrícia Gonçalves; Paulo Muacho; Rui Tavares</t>
        </is>
      </c>
      <c r="G1072" s="2" t="inlineStr">
        <is>
          <t>Art. 126.º-A (aditamento)</t>
        </is>
      </c>
      <c r="H1072" s="2" t="n"/>
      <c r="I1072" s="2" t="n"/>
      <c r="J1072" s="2" t="n"/>
      <c r="K1072" s="2" t="n"/>
      <c r="L1072" s="2" t="inlineStr">
        <is>
          <t>Artigo 126.º-A (Programa «Escolas Solares»)</t>
        </is>
      </c>
      <c r="M1072" s="4" t="n"/>
      <c r="N1072" s="4" t="n"/>
      <c r="O1072" s="2" t="n"/>
      <c r="P1072" s="2" t="n"/>
      <c r="Q1072" s="2" t="n"/>
      <c r="R1072" s="2" t="n"/>
      <c r="S1072" s="2" t="inlineStr">
        <is>
          <t>Rejeitado(a) em Comissão</t>
        </is>
      </c>
      <c r="T1072" s="2" t="inlineStr">
        <is>
          <t>Rejeitada</t>
        </is>
      </c>
      <c r="U1072" s="2" t="inlineStr">
        <is>
          <t>Favor: L, PCP, BE, PAN; Contra: PSD, CH, CDS-PP; Abstenção: PS, IL</t>
        </is>
      </c>
      <c r="V1072" s="3" t="n">
        <v>45985</v>
      </c>
      <c r="W1072" s="2" t="inlineStr">
        <is>
          <t>AR: https://www.parlamento.pt/OrcamentoEstado/Paginas/DetalhePropostaAlteracao.aspx?BID=24248 PDF: https://app.parlamento.pt/webutils/docs/doc.pdf?path=6148523063484d364c793942556b356c6443397a6158526c63793959566b6c4a544556484c3039464c7a49774d6a59794d4449314d5441774f5339515153396b5a6a63324f44417a4e5331684d7a63334c54526d596d59744f5749775a69316c4e446379596a4d784e7a55774d4463756347526d&amp;Fich=df768035-a377-4fbf-9b0f-e472b3175007.pdf&amp;Inline=true</t>
        </is>
      </c>
      <c r="X1072" s="2" t="inlineStr">
        <is>
          <t>Ambiente e Energia</t>
        </is>
      </c>
      <c r="Y1072" s="2" t="inlineStr">
        <is>
          <t>Articulado</t>
        </is>
      </c>
      <c r="Z1072" s="2" t="inlineStr">
        <is>
          <t>Aditamento (Artigo PPL)</t>
        </is>
      </c>
      <c r="AA1072" s="2" t="inlineStr">
        <is>
          <t>Rejeitado(a) em Comissão</t>
        </is>
      </c>
      <c r="AB1072" s="2" t="inlineStr"/>
      <c r="AC1072" s="2" t="inlineStr"/>
      <c r="AD1072" s="2" t="inlineStr">
        <is>
          <t>1</t>
        </is>
      </c>
      <c r="AE1072" s="2" t="inlineStr">
        <is>
          <t>24248</t>
        </is>
      </c>
      <c r="AF1072" s="2" t="inlineStr">
        <is>
          <t>https://www.parlamento.pt/OrcamentoEstado/Paginas/DetalhePropostaAlteracao.aspx?BID=24248</t>
        </is>
      </c>
      <c r="AG1072" s="2" t="inlineStr">
        <is>
          <t>https://app.parlamento.pt/webutils/docs/doc.pdf?path=6148523063484d364c793942556b356c6443397a6158526c63793959566b6c4a544556484c3039464c7a49774d6a59794d4449314d5441774f5339515153396b5a6a63324f44417a4e5331684d7a63334c54526d596d59744f5749775a69316c4e446379596a4d784e7a55774d4463756347526d&amp;Fich=df768035-a377-4fbf-9b0f-e472b3175007.pdf&amp;Inline=true</t>
        </is>
      </c>
      <c r="AH1072" s="3" t="n">
        <v>46321.77847222222</v>
      </c>
      <c r="AI1072" s="3" t="n">
        <v>46321.78055555555</v>
      </c>
      <c r="AJ1072" s="2" t="inlineStr"/>
    </row>
    <row r="1073">
      <c r="A1073" s="2" t="n">
        <v>1072</v>
      </c>
      <c r="B1073" s="2" t="inlineStr">
        <is>
          <t>1008C</t>
        </is>
      </c>
      <c r="C1073" s="3" t="n">
        <v>45967.83402777778</v>
      </c>
      <c r="D1073" s="2" t="inlineStr">
        <is>
          <t>Original</t>
        </is>
      </c>
      <c r="E1073" s="2" t="inlineStr">
        <is>
          <t>Vários</t>
        </is>
      </c>
      <c r="F1073" s="2" t="inlineStr">
        <is>
          <t>Alberto Fonseca; Ana Oliveira; Francisco Pimentel; Francisco Sousa Vieira; Hugo Carneiro; Hugo Soares; Miguel Guimarães; João Pinho de Almeida; Paulo Núncio</t>
        </is>
      </c>
      <c r="G1073" s="2" t="inlineStr">
        <is>
          <t>Art. 75.º-A (aditamento)</t>
        </is>
      </c>
      <c r="H1073" s="2" t="n"/>
      <c r="I1073" s="2" t="n"/>
      <c r="J1073" s="2" t="n"/>
      <c r="K1073" s="2" t="n"/>
      <c r="L1073" s="2" t="inlineStr">
        <is>
          <t>Artigo 75.º-A (Aumento da quota de mercado dos medicamentos genéricos)</t>
        </is>
      </c>
      <c r="M1073" s="4" t="n"/>
      <c r="N1073" s="4" t="n"/>
      <c r="O1073" s="2" t="n"/>
      <c r="P1073" s="2" t="n"/>
      <c r="Q1073" s="2" t="n"/>
      <c r="R1073" s="2" t="n"/>
      <c r="S1073" s="2" t="inlineStr">
        <is>
          <t>Aprovado(a) por Unanimidade em Comissão</t>
        </is>
      </c>
      <c r="T1073" s="2" t="inlineStr">
        <is>
          <t>Aprovada</t>
        </is>
      </c>
      <c r="U1073" s="2" t="inlineStr">
        <is>
          <t>Favor: PSD, CH, PS, IL, L, PCP, CDS-PP, BE, PAN</t>
        </is>
      </c>
      <c r="V1073" s="3" t="n">
        <v>45987</v>
      </c>
      <c r="W1073" s="2" t="inlineStr">
        <is>
          <t>AR: https://www.parlamento.pt/OrcamentoEstado/Paginas/DetalhePropostaAlteracao.aspx?BID=24249 PDF: https://app.parlamento.pt/webutils/docs/doc.pdf?path=6148523063484d364c793942556b356c6443397a6158526c63793959566b6c4a544556484c3039464c7a49774d6a59794d4449314d5441774f5339515153396c595749325a6a59794d7930304e7a4e6b4c5452684d6a49744f5459324e4330354d6d526c5a575932596d55335a5445756347526d&amp;Fich=eab6f623-473d-4a22-9664-92deef6be7e1.pdf&amp;Inline=true</t>
        </is>
      </c>
      <c r="X1073" s="2" t="inlineStr">
        <is>
          <t>Saúde</t>
        </is>
      </c>
      <c r="Y1073" s="2" t="inlineStr">
        <is>
          <t>Articulado</t>
        </is>
      </c>
      <c r="Z1073" s="2" t="inlineStr">
        <is>
          <t>Aditamento (Artigo PPL)</t>
        </is>
      </c>
      <c r="AA1073" s="2" t="inlineStr">
        <is>
          <t>Aprovado(a) por Unanimidade em Comissão</t>
        </is>
      </c>
      <c r="AB1073" s="2" t="inlineStr"/>
      <c r="AC1073" s="2" t="inlineStr"/>
      <c r="AD1073" s="2" t="inlineStr">
        <is>
          <t>1</t>
        </is>
      </c>
      <c r="AE1073" s="2" t="inlineStr">
        <is>
          <t>24249</t>
        </is>
      </c>
      <c r="AF1073" s="2" t="inlineStr">
        <is>
          <t>https://www.parlamento.pt/OrcamentoEstado/Paginas/DetalhePropostaAlteracao.aspx?BID=24249</t>
        </is>
      </c>
      <c r="AG1073" s="2" t="inlineStr">
        <is>
          <t>https://app.parlamento.pt/webutils/docs/doc.pdf?path=6148523063484d364c793942556b356c6443397a6158526c63793959566b6c4a544556484c3039464c7a49774d6a59794d4449314d5441774f5339515153396c595749325a6a59794d7930304e7a4e6b4c5452684d6a49744f5459324e4330354d6d526c5a575932596d55335a5445756347526d&amp;Fich=eab6f623-473d-4a22-9664-92deef6be7e1.pdf&amp;Inline=true</t>
        </is>
      </c>
      <c r="AH1073" s="3" t="n">
        <v>46321.77847222222</v>
      </c>
      <c r="AI1073" s="3" t="n">
        <v>46321.78055555555</v>
      </c>
      <c r="AJ1073" s="2" t="inlineStr"/>
    </row>
    <row r="1074">
      <c r="A1074" s="2" t="n">
        <v>1073</v>
      </c>
      <c r="B1074" s="2" t="inlineStr">
        <is>
          <t>1009C</t>
        </is>
      </c>
      <c r="C1074" s="3" t="n">
        <v>45967.83680555555</v>
      </c>
      <c r="D1074" s="2" t="inlineStr">
        <is>
          <t>Original</t>
        </is>
      </c>
      <c r="E1074" s="2" t="inlineStr">
        <is>
          <t>PCP</t>
        </is>
      </c>
      <c r="F1074" s="2" t="inlineStr">
        <is>
          <t>Alfredo Maia; Paula Santos; Paulo Raimundo</t>
        </is>
      </c>
      <c r="G1074" s="2" t="inlineStr">
        <is>
          <t>Art. 113.º-A (aditamento)</t>
        </is>
      </c>
      <c r="H1074" s="2" t="n"/>
      <c r="I1074" s="2" t="n"/>
      <c r="J1074" s="2" t="n"/>
      <c r="K1074" s="2" t="n"/>
      <c r="L1074" s="2" t="inlineStr">
        <is>
          <t>Artigo 113.º-A (Novo quartel para os Bombeiros Voluntários de Sever do Vouga)</t>
        </is>
      </c>
      <c r="M1074" s="4" t="n"/>
      <c r="N1074" s="4" t="n"/>
      <c r="O1074" s="2" t="n"/>
      <c r="P1074" s="2" t="n"/>
      <c r="Q1074" s="2" t="n"/>
      <c r="R1074" s="2" t="n"/>
      <c r="S1074" s="2" t="inlineStr">
        <is>
          <t>Rejeitado(a) em Comissão</t>
        </is>
      </c>
      <c r="T1074" s="2" t="inlineStr">
        <is>
          <t>Rejeitada</t>
        </is>
      </c>
      <c r="U1074" s="2" t="inlineStr">
        <is>
          <t>Favor: CH, IL, L, PCP, BE, PAN; Contra: PSD, CDS-PP; Abstenção: PS</t>
        </is>
      </c>
      <c r="V1074" s="3" t="n">
        <v>45985</v>
      </c>
      <c r="W1074" s="2" t="inlineStr">
        <is>
          <t>AR: https://www.parlamento.pt/OrcamentoEstado/Paginas/DetalhePropostaAlteracao.aspx?BID=24250 PDF: https://app.parlamento.pt/webutils/docs/doc.pdf?path=6148523063484d364c793942556b356c6443397a6158526c63793959566b6c4a544556484c3039464c7a49774d6a59794d4449314d5441774f533951515338304d7a41314d446730596930774d6a5a6b4c5451344f4463744f5749304d69316b5a5449785a5759324f44526a4d5467756347526d&amp;Fich=4305084b-026d-4887-9b42-de21ef684c18.pdf&amp;Inline=true</t>
        </is>
      </c>
      <c r="X1074" s="2" t="inlineStr">
        <is>
          <t>Assuntos Constitucionais, Direitos, Liberdades e Garantias</t>
        </is>
      </c>
      <c r="Y1074" s="2" t="inlineStr">
        <is>
          <t>Articulado</t>
        </is>
      </c>
      <c r="Z1074" s="2" t="inlineStr">
        <is>
          <t>Aditamento (Artigo PPL)</t>
        </is>
      </c>
      <c r="AA1074" s="2" t="inlineStr">
        <is>
          <t>Rejeitado(a) em Comissão</t>
        </is>
      </c>
      <c r="AB1074" s="2" t="inlineStr"/>
      <c r="AC1074" s="2" t="inlineStr"/>
      <c r="AD1074" s="2" t="inlineStr">
        <is>
          <t>1</t>
        </is>
      </c>
      <c r="AE1074" s="2" t="inlineStr">
        <is>
          <t>24250</t>
        </is>
      </c>
      <c r="AF1074" s="2" t="inlineStr">
        <is>
          <t>https://www.parlamento.pt/OrcamentoEstado/Paginas/DetalhePropostaAlteracao.aspx?BID=24250</t>
        </is>
      </c>
      <c r="AG1074" s="2" t="inlineStr">
        <is>
          <t>https://app.parlamento.pt/webutils/docs/doc.pdf?path=6148523063484d364c793942556b356c6443397a6158526c63793959566b6c4a544556484c3039464c7a49774d6a59794d4449314d5441774f533951515338304d7a41314d446730596930774d6a5a6b4c5451344f4463744f5749304d69316b5a5449785a5759324f44526a4d5467756347526d&amp;Fich=4305084b-026d-4887-9b42-de21ef684c18.pdf&amp;Inline=true</t>
        </is>
      </c>
      <c r="AH1074" s="3" t="n">
        <v>46321.77847222222</v>
      </c>
      <c r="AI1074" s="3" t="n">
        <v>46321.78055555555</v>
      </c>
      <c r="AJ1074" s="2" t="inlineStr"/>
    </row>
    <row r="1075">
      <c r="A1075" s="2" t="n">
        <v>1074</v>
      </c>
      <c r="B1075" s="2" t="inlineStr">
        <is>
          <t>1010C</t>
        </is>
      </c>
      <c r="C1075" s="3" t="n">
        <v>45967.8375</v>
      </c>
      <c r="D1075" s="2" t="inlineStr">
        <is>
          <t>Original</t>
        </is>
      </c>
      <c r="E1075" s="2" t="inlineStr">
        <is>
          <t>PCP</t>
        </is>
      </c>
      <c r="F1075" s="2" t="inlineStr">
        <is>
          <t>Alfredo Maia; Paula Santos; Paulo Raimundo</t>
        </is>
      </c>
      <c r="G1075" s="2" t="inlineStr">
        <is>
          <t>Art. 113.º-A (aditamento)</t>
        </is>
      </c>
      <c r="H1075" s="2" t="n"/>
      <c r="I1075" s="2" t="n"/>
      <c r="J1075" s="2" t="n"/>
      <c r="K1075" s="2" t="n"/>
      <c r="L1075" s="2" t="inlineStr">
        <is>
          <t>Artigo 113.º-A (Reabilitação do pavimento da EN 109)</t>
        </is>
      </c>
      <c r="M1075" s="4" t="n"/>
      <c r="N1075" s="4" t="n"/>
      <c r="O1075" s="2" t="n"/>
      <c r="P1075" s="2" t="n"/>
      <c r="Q1075" s="2" t="n"/>
      <c r="R1075" s="2" t="n"/>
      <c r="S1075" s="2" t="inlineStr">
        <is>
          <t>Rejeitado(a) em Comissão</t>
        </is>
      </c>
      <c r="T1075" s="2" t="inlineStr">
        <is>
          <t>Rejeitada</t>
        </is>
      </c>
      <c r="U1075" s="2" t="inlineStr">
        <is>
          <t>Favor: CH, L, PCP, BE; Contra: PSD, CDS-PP; Abstenção: PS, IL, PAN</t>
        </is>
      </c>
      <c r="V1075" s="3" t="n">
        <v>45985</v>
      </c>
      <c r="W1075" s="2" t="inlineStr">
        <is>
          <t>AR: https://www.parlamento.pt/OrcamentoEstado/Paginas/DetalhePropostaAlteracao.aspx?BID=24251 PDF: https://app.parlamento.pt/webutils/docs/doc.pdf?path=6148523063484d364c793942556b356c6443397a6158526c63793959566b6c4a544556484c3039464c7a49774d6a59794d4449314d5441774f533951515338784f474e6a4e6a4e6b5a5330784d44637a4c5451354e574d744f446330595330794e4749335a6a6732595759354f4455756347526d&amp;Fich=18cc63de-1073-495c-874a-24b7f86af985.pdf&amp;Inline=true</t>
        </is>
      </c>
      <c r="X1075" s="2" t="inlineStr">
        <is>
          <t>Infraestruturas, Mobilidade e Habitação</t>
        </is>
      </c>
      <c r="Y1075" s="2" t="inlineStr">
        <is>
          <t>Articulado</t>
        </is>
      </c>
      <c r="Z1075" s="2" t="inlineStr">
        <is>
          <t>Aditamento (Artigo PPL)</t>
        </is>
      </c>
      <c r="AA1075" s="2" t="inlineStr">
        <is>
          <t>Rejeitado(a) em Comissão</t>
        </is>
      </c>
      <c r="AB1075" s="2" t="inlineStr"/>
      <c r="AC1075" s="2" t="inlineStr"/>
      <c r="AD1075" s="2" t="inlineStr">
        <is>
          <t>1</t>
        </is>
      </c>
      <c r="AE1075" s="2" t="inlineStr">
        <is>
          <t>24251</t>
        </is>
      </c>
      <c r="AF1075" s="2" t="inlineStr">
        <is>
          <t>https://www.parlamento.pt/OrcamentoEstado/Paginas/DetalhePropostaAlteracao.aspx?BID=24251</t>
        </is>
      </c>
      <c r="AG1075" s="2" t="inlineStr">
        <is>
          <t>https://app.parlamento.pt/webutils/docs/doc.pdf?path=6148523063484d364c793942556b356c6443397a6158526c63793959566b6c4a544556484c3039464c7a49774d6a59794d4449314d5441774f533951515338784f474e6a4e6a4e6b5a5330784d44637a4c5451354e574d744f446330595330794e4749335a6a6732595759354f4455756347526d&amp;Fich=18cc63de-1073-495c-874a-24b7f86af985.pdf&amp;Inline=true</t>
        </is>
      </c>
      <c r="AH1075" s="3" t="n">
        <v>46321.77847222222</v>
      </c>
      <c r="AI1075" s="3" t="n">
        <v>46321.78055555555</v>
      </c>
      <c r="AJ1075" s="2" t="inlineStr"/>
    </row>
    <row r="1076">
      <c r="A1076" s="2" t="n">
        <v>1075</v>
      </c>
      <c r="B1076" s="2" t="inlineStr">
        <is>
          <t>1011C</t>
        </is>
      </c>
      <c r="C1076" s="3" t="n">
        <v>45967.83819444444</v>
      </c>
      <c r="D1076" s="2" t="inlineStr">
        <is>
          <t>Original</t>
        </is>
      </c>
      <c r="E1076" s="2" t="inlineStr">
        <is>
          <t>PCP</t>
        </is>
      </c>
      <c r="F1076" s="2" t="inlineStr">
        <is>
          <t>Alfredo Maia; Paula Santos; Paulo Raimundo</t>
        </is>
      </c>
      <c r="G1076" s="2" t="inlineStr">
        <is>
          <t>Art. 113.º-A (aditamento)</t>
        </is>
      </c>
      <c r="H1076" s="2" t="n"/>
      <c r="I1076" s="2" t="n"/>
      <c r="J1076" s="2" t="n"/>
      <c r="K1076" s="2" t="n"/>
      <c r="L1076" s="2" t="inlineStr">
        <is>
          <t>Artigo 113.º-A (Regadio na zona do Baixo Vouga)</t>
        </is>
      </c>
      <c r="M1076" s="4" t="n"/>
      <c r="N1076" s="4" t="n"/>
      <c r="O1076" s="2" t="n"/>
      <c r="P1076" s="2" t="n"/>
      <c r="Q1076" s="2" t="n"/>
      <c r="R1076" s="2" t="n"/>
      <c r="S1076" s="2" t="inlineStr">
        <is>
          <t>Rejeitado(a) em Comissão</t>
        </is>
      </c>
      <c r="T1076" s="2" t="inlineStr">
        <is>
          <t>Rejeitada</t>
        </is>
      </c>
      <c r="U1076" s="2" t="inlineStr">
        <is>
          <t>Favor: IL, PCP, BE; Contra: PSD, CDS-PP, PAN; Abstenção: CH, PS, L</t>
        </is>
      </c>
      <c r="V1076" s="3" t="n">
        <v>45985</v>
      </c>
      <c r="W1076" s="2" t="inlineStr">
        <is>
          <t>AR: https://www.parlamento.pt/OrcamentoEstado/Paginas/DetalhePropostaAlteracao.aspx?BID=24252 PDF: https://app.parlamento.pt/webutils/docs/doc.pdf?path=6148523063484d364c793942556b356c6443397a6158526c63793959566b6c4a544556484c3039464c7a49774d6a59794d4449314d5441774f533951515338315a6a633459575579596930774d7a63774c5451314e6a557459575a694f4331684d446c6c4e6a56694f474d775a574d756347526d&amp;Fich=5f78ae2b-0370-4565-afb8-a09e65b8c0ec.pdf&amp;Inline=true</t>
        </is>
      </c>
      <c r="X1076" s="2" t="inlineStr">
        <is>
          <t>Agricultura e Pescas</t>
        </is>
      </c>
      <c r="Y1076" s="2" t="inlineStr">
        <is>
          <t>Articulado</t>
        </is>
      </c>
      <c r="Z1076" s="2" t="inlineStr">
        <is>
          <t>Aditamento (Artigo PPL)</t>
        </is>
      </c>
      <c r="AA1076" s="2" t="inlineStr">
        <is>
          <t>Rejeitado(a) em Comissão</t>
        </is>
      </c>
      <c r="AB1076" s="2" t="inlineStr"/>
      <c r="AC1076" s="2" t="inlineStr"/>
      <c r="AD1076" s="2" t="inlineStr">
        <is>
          <t>1</t>
        </is>
      </c>
      <c r="AE1076" s="2" t="inlineStr">
        <is>
          <t>24252</t>
        </is>
      </c>
      <c r="AF1076" s="2" t="inlineStr">
        <is>
          <t>https://www.parlamento.pt/OrcamentoEstado/Paginas/DetalhePropostaAlteracao.aspx?BID=24252</t>
        </is>
      </c>
      <c r="AG1076" s="2" t="inlineStr">
        <is>
          <t>https://app.parlamento.pt/webutils/docs/doc.pdf?path=6148523063484d364c793942556b356c6443397a6158526c63793959566b6c4a544556484c3039464c7a49774d6a59794d4449314d5441774f533951515338315a6a633459575579596930774d7a63774c5451314e6a557459575a694f4331684d446c6c4e6a56694f474d775a574d756347526d&amp;Fich=5f78ae2b-0370-4565-afb8-a09e65b8c0ec.pdf&amp;Inline=true</t>
        </is>
      </c>
      <c r="AH1076" s="3" t="n">
        <v>46321.77847222222</v>
      </c>
      <c r="AI1076" s="3" t="n">
        <v>46321.78055555555</v>
      </c>
      <c r="AJ1076" s="2" t="inlineStr"/>
    </row>
    <row r="1077">
      <c r="A1077" s="2" t="n">
        <v>1076</v>
      </c>
      <c r="B1077" s="2" t="inlineStr">
        <is>
          <t>1012C</t>
        </is>
      </c>
      <c r="C1077" s="3" t="n">
        <v>45967.84166666667</v>
      </c>
      <c r="D1077" s="2" t="inlineStr">
        <is>
          <t>Original</t>
        </is>
      </c>
      <c r="E1077" s="2" t="inlineStr">
        <is>
          <t>Vários</t>
        </is>
      </c>
      <c r="F1077" s="2" t="inlineStr">
        <is>
          <t>Alberto Fonseca; Alexandre Poço; Francisco Covelinhas Lopes; Francisco Pimentel; Gonçalo Lage; Hugo Carneiro; Hugo Soares; Nuna Menezes; Paulo Moniz; João Pinho de Almeida; Paulo Núncio</t>
        </is>
      </c>
      <c r="G1077" s="2" t="inlineStr">
        <is>
          <t>Art. 112.º-A (aditamento)</t>
        </is>
      </c>
      <c r="H1077" s="2" t="n"/>
      <c r="I1077" s="2" t="n"/>
      <c r="J1077" s="2" t="n"/>
      <c r="K1077" s="2" t="n"/>
      <c r="L1077" s="2" t="inlineStr">
        <is>
          <t>Artigo 112.º-A (Cabos submarinos inter-ilhas)</t>
        </is>
      </c>
      <c r="M1077" s="4" t="n"/>
      <c r="N1077" s="4" t="n"/>
      <c r="O1077" s="2" t="n"/>
      <c r="P1077" s="2" t="n"/>
      <c r="Q1077" s="2" t="n"/>
      <c r="R1077" s="2" t="n"/>
      <c r="S1077" s="2" t="inlineStr">
        <is>
          <t>Aprovado(a) por Unanimidade em Comissão</t>
        </is>
      </c>
      <c r="T1077" s="2" t="inlineStr">
        <is>
          <t>Aprovada</t>
        </is>
      </c>
      <c r="U1077" s="2" t="inlineStr">
        <is>
          <t>Favor: PSD, CH, PS, IL, L, PCP, CDS-PP, BE, PAN</t>
        </is>
      </c>
      <c r="V1077" s="3" t="n">
        <v>45982</v>
      </c>
      <c r="W1077" s="2" t="inlineStr">
        <is>
          <t>AR: https://www.parlamento.pt/OrcamentoEstado/Paginas/DetalhePropostaAlteracao.aspx?BID=24253 PDF: https://app.parlamento.pt/webutils/docs/doc.pdf?path=6148523063484d364c793942556b356c6443397a6158526c63793959566b6c4a544556484c3039464c7a49774d6a59794d4449314d5441774f533951515338304e4756695a544d784d5330794e6a4e6a4c5451784e5451744f575578596930354e575a6c4d47497a4e7a566c4d574d756347526d&amp;Fich=44ebe311-263c-4154-9e1b-95fe0b375e1c.pdf&amp;Inline=true</t>
        </is>
      </c>
      <c r="X1077" s="2" t="inlineStr">
        <is>
          <t>Infraestruturas, Mobilidade e Habitação</t>
        </is>
      </c>
      <c r="Y1077" s="2" t="inlineStr">
        <is>
          <t>Articulado</t>
        </is>
      </c>
      <c r="Z1077" s="2" t="inlineStr">
        <is>
          <t>Aditamento (Artigo PPL)</t>
        </is>
      </c>
      <c r="AA1077" s="2" t="inlineStr">
        <is>
          <t>Aprovado(a) por Unanimidade em Comissão</t>
        </is>
      </c>
      <c r="AB1077" s="2" t="inlineStr"/>
      <c r="AC1077" s="2" t="inlineStr"/>
      <c r="AD1077" s="2" t="inlineStr">
        <is>
          <t>1</t>
        </is>
      </c>
      <c r="AE1077" s="2" t="inlineStr">
        <is>
          <t>24253</t>
        </is>
      </c>
      <c r="AF1077" s="2" t="inlineStr">
        <is>
          <t>https://www.parlamento.pt/OrcamentoEstado/Paginas/DetalhePropostaAlteracao.aspx?BID=24253</t>
        </is>
      </c>
      <c r="AG1077" s="2" t="inlineStr">
        <is>
          <t>https://app.parlamento.pt/webutils/docs/doc.pdf?path=6148523063484d364c793942556b356c6443397a6158526c63793959566b6c4a544556484c3039464c7a49774d6a59794d4449314d5441774f533951515338304e4756695a544d784d5330794e6a4e6a4c5451784e5451744f575578596930354e575a6c4d47497a4e7a566c4d574d756347526d&amp;Fich=44ebe311-263c-4154-9e1b-95fe0b375e1c.pdf&amp;Inline=true</t>
        </is>
      </c>
      <c r="AH1077" s="3" t="n">
        <v>46321.77847222222</v>
      </c>
      <c r="AI1077" s="3" t="n">
        <v>46321.78055555555</v>
      </c>
      <c r="AJ1077" s="2" t="inlineStr"/>
    </row>
    <row r="1078">
      <c r="A1078" s="2" t="n">
        <v>1077</v>
      </c>
      <c r="B1078" s="2" t="inlineStr">
        <is>
          <t>1013C</t>
        </is>
      </c>
      <c r="C1078" s="3" t="n">
        <v>45967.85069444445</v>
      </c>
      <c r="D1078" s="2" t="inlineStr">
        <is>
          <t>Original</t>
        </is>
      </c>
      <c r="E1078" s="2" t="inlineStr">
        <is>
          <t>PCP</t>
        </is>
      </c>
      <c r="F1078" s="2" t="inlineStr">
        <is>
          <t>Alfredo Maia; Paula Santos; Paulo Raimundo</t>
        </is>
      </c>
      <c r="G1078" s="2" t="inlineStr">
        <is>
          <t>Art. 113.º-A (aditamento)</t>
        </is>
      </c>
      <c r="H1078" s="2" t="n"/>
      <c r="I1078" s="2" t="n"/>
      <c r="J1078" s="2" t="n"/>
      <c r="K1078" s="2" t="n"/>
      <c r="L1078" s="2" t="inlineStr">
        <is>
          <t>Artigo 113.º-A (Novo Hospital do Oeste)</t>
        </is>
      </c>
      <c r="M1078" s="4" t="n"/>
      <c r="N1078" s="4" t="n"/>
      <c r="O1078" s="2" t="n"/>
      <c r="P1078" s="2" t="n"/>
      <c r="Q1078" s="2" t="n"/>
      <c r="R1078" s="2" t="n"/>
      <c r="S1078" s="2" t="inlineStr">
        <is>
          <t>Rejeitado(a) em Comissão</t>
        </is>
      </c>
      <c r="T1078" s="2" t="inlineStr">
        <is>
          <t>Rejeitada</t>
        </is>
      </c>
      <c r="U1078" s="2" t="inlineStr">
        <is>
          <t>Favor: CH, L, PCP, BE, PAN; Contra: PSD, IL, CDS-PP; Abstenção: PS</t>
        </is>
      </c>
      <c r="V1078" s="3" t="n">
        <v>45985</v>
      </c>
      <c r="W1078" s="2" t="inlineStr">
        <is>
          <t>AR: https://www.parlamento.pt/OrcamentoEstado/Paginas/DetalhePropostaAlteracao.aspx?BID=24254 PDF: https://app.parlamento.pt/webutils/docs/doc.pdf?path=6148523063484d364c793942556b356c6443397a6158526c63793959566b6c4a544556484c3039464c7a49774d6a59794d4449314d5441774f533951515338774e44686a4e6a4d324f4330324d5751794c5451774d6d59744f47493359693079595751314d3259305a6d5a6d4f5759756347526d&amp;Fich=048c6368-61d2-402f-8b7b-2ad53f4fff9f.pdf&amp;Inline=true</t>
        </is>
      </c>
      <c r="X1078" s="2" t="inlineStr">
        <is>
          <t>Saúde</t>
        </is>
      </c>
      <c r="Y1078" s="2" t="inlineStr">
        <is>
          <t>Articulado</t>
        </is>
      </c>
      <c r="Z1078" s="2" t="inlineStr">
        <is>
          <t>Aditamento (Artigo PPL)</t>
        </is>
      </c>
      <c r="AA1078" s="2" t="inlineStr">
        <is>
          <t>Rejeitado(a) em Comissão</t>
        </is>
      </c>
      <c r="AB1078" s="2" t="inlineStr"/>
      <c r="AC1078" s="2" t="inlineStr"/>
      <c r="AD1078" s="2" t="inlineStr">
        <is>
          <t>1</t>
        </is>
      </c>
      <c r="AE1078" s="2" t="inlineStr">
        <is>
          <t>24254</t>
        </is>
      </c>
      <c r="AF1078" s="2" t="inlineStr">
        <is>
          <t>https://www.parlamento.pt/OrcamentoEstado/Paginas/DetalhePropostaAlteracao.aspx?BID=24254</t>
        </is>
      </c>
      <c r="AG1078" s="2" t="inlineStr">
        <is>
          <t>https://app.parlamento.pt/webutils/docs/doc.pdf?path=6148523063484d364c793942556b356c6443397a6158526c63793959566b6c4a544556484c3039464c7a49774d6a59794d4449314d5441774f533951515338774e44686a4e6a4d324f4330324d5751794c5451774d6d59744f47493359693079595751314d3259305a6d5a6d4f5759756347526d&amp;Fich=048c6368-61d2-402f-8b7b-2ad53f4fff9f.pdf&amp;Inline=true</t>
        </is>
      </c>
      <c r="AH1078" s="3" t="n">
        <v>46321.77847222222</v>
      </c>
      <c r="AI1078" s="3" t="n">
        <v>46321.78055555555</v>
      </c>
      <c r="AJ1078" s="2" t="inlineStr"/>
    </row>
    <row r="1079">
      <c r="A1079" s="2" t="n">
        <v>1078</v>
      </c>
      <c r="B1079" s="2" t="inlineStr">
        <is>
          <t>1014C</t>
        </is>
      </c>
      <c r="C1079" s="3" t="n">
        <v>45967.85138888889</v>
      </c>
      <c r="D1079" s="2" t="inlineStr">
        <is>
          <t>Original</t>
        </is>
      </c>
      <c r="E1079" s="2" t="inlineStr">
        <is>
          <t>PCP</t>
        </is>
      </c>
      <c r="F1079" s="2" t="inlineStr">
        <is>
          <t>Alfredo Maia; Paula Santos; Paulo Raimundo</t>
        </is>
      </c>
      <c r="G1079" s="2" t="inlineStr">
        <is>
          <t>Art. 113.º-A (aditamento)</t>
        </is>
      </c>
      <c r="H1079" s="2" t="n"/>
      <c r="I1079" s="2" t="n"/>
      <c r="J1079" s="2" t="n"/>
      <c r="K1079" s="2" t="n"/>
      <c r="L1079" s="2" t="inlineStr">
        <is>
          <t>Artigo 113.º-A (Eletrificação e modernização da Linha do Oeste)</t>
        </is>
      </c>
      <c r="M1079" s="4" t="n"/>
      <c r="N1079" s="4" t="n"/>
      <c r="O1079" s="2" t="n"/>
      <c r="P1079" s="2" t="n"/>
      <c r="Q1079" s="2" t="n"/>
      <c r="R1079" s="2" t="n"/>
      <c r="S1079" s="2" t="inlineStr">
        <is>
          <t>Aprovado(a) em Comissão</t>
        </is>
      </c>
      <c r="T1079" s="2" t="inlineStr">
        <is>
          <t>Aprovada</t>
        </is>
      </c>
      <c r="U1079" s="2" t="inlineStr">
        <is>
          <t>Favor: CH, PS, IL, L, PCP, BE, PAN; Contra: PSD, CDS-PP</t>
        </is>
      </c>
      <c r="V1079" s="3" t="n">
        <v>45985</v>
      </c>
      <c r="W1079" s="2" t="inlineStr">
        <is>
          <t>AR: https://www.parlamento.pt/OrcamentoEstado/Paginas/DetalhePropostaAlteracao.aspx?BID=24255 PDF: https://app.parlamento.pt/webutils/docs/doc.pdf?path=6148523063484d364c793942556b356c6443397a6158526c63793959566b6c4a544556484c3039464c7a49774d6a59794d4449314d5441774f533951515338335a5467785a54677759793034597a55354c5451774d4449744f546731595330344e6a4134596a59304d6d5577593245756347526d&amp;Fich=7e81e80c-8c59-4002-985a-8608b642e0ca.pdf&amp;Inline=true</t>
        </is>
      </c>
      <c r="X1079" s="2" t="inlineStr">
        <is>
          <t>Infraestruturas, Mobilidade e Habitação</t>
        </is>
      </c>
      <c r="Y1079" s="2" t="inlineStr">
        <is>
          <t>Articulado</t>
        </is>
      </c>
      <c r="Z1079" s="2" t="inlineStr">
        <is>
          <t>Aditamento (Artigo PPL)</t>
        </is>
      </c>
      <c r="AA1079" s="2" t="inlineStr">
        <is>
          <t>Aprovado(a) em Comissão</t>
        </is>
      </c>
      <c r="AB1079" s="2" t="inlineStr"/>
      <c r="AC1079" s="2" t="inlineStr"/>
      <c r="AD1079" s="2" t="inlineStr">
        <is>
          <t>1</t>
        </is>
      </c>
      <c r="AE1079" s="2" t="inlineStr">
        <is>
          <t>24255</t>
        </is>
      </c>
      <c r="AF1079" s="2" t="inlineStr">
        <is>
          <t>https://www.parlamento.pt/OrcamentoEstado/Paginas/DetalhePropostaAlteracao.aspx?BID=24255</t>
        </is>
      </c>
      <c r="AG1079" s="2" t="inlineStr">
        <is>
          <t>https://app.parlamento.pt/webutils/docs/doc.pdf?path=6148523063484d364c793942556b356c6443397a6158526c63793959566b6c4a544556484c3039464c7a49774d6a59794d4449314d5441774f533951515338335a5467785a54677759793034597a55354c5451774d4449744f546731595330344e6a4134596a59304d6d5577593245756347526d&amp;Fich=7e81e80c-8c59-4002-985a-8608b642e0ca.pdf&amp;Inline=true</t>
        </is>
      </c>
      <c r="AH1079" s="3" t="n">
        <v>46321.77847222222</v>
      </c>
      <c r="AI1079" s="3" t="n">
        <v>46321.78055555555</v>
      </c>
      <c r="AJ1079" s="2" t="inlineStr"/>
    </row>
    <row r="1080">
      <c r="A1080" s="2" t="n">
        <v>1079</v>
      </c>
      <c r="B1080" s="2" t="inlineStr">
        <is>
          <t>1015C</t>
        </is>
      </c>
      <c r="C1080" s="3" t="n">
        <v>45967.85208333333</v>
      </c>
      <c r="D1080" s="2" t="inlineStr">
        <is>
          <t>Original</t>
        </is>
      </c>
      <c r="E1080" s="2" t="inlineStr">
        <is>
          <t>PCP</t>
        </is>
      </c>
      <c r="F1080" s="2" t="inlineStr">
        <is>
          <t>Alfredo Maia; Paula Santos; Paulo Raimundo</t>
        </is>
      </c>
      <c r="G1080" s="2" t="inlineStr">
        <is>
          <t>Art. 113.º-A (aditamento)</t>
        </is>
      </c>
      <c r="H1080" s="2" t="n"/>
      <c r="I1080" s="2" t="n"/>
      <c r="J1080" s="2" t="n"/>
      <c r="K1080" s="2" t="n"/>
      <c r="L1080" s="2" t="inlineStr">
        <is>
          <t>Artigo 113.º-A (Intervenção no molhe norte do Porto da Nazaré)</t>
        </is>
      </c>
      <c r="M1080" s="4" t="n"/>
      <c r="N1080" s="4" t="n"/>
      <c r="O1080" s="2" t="n"/>
      <c r="P1080" s="2" t="n"/>
      <c r="Q1080" s="2" t="n"/>
      <c r="R1080" s="2" t="n"/>
      <c r="S1080" s="2" t="inlineStr">
        <is>
          <t>Rejeitado(a) em Comissão</t>
        </is>
      </c>
      <c r="T1080" s="2" t="inlineStr">
        <is>
          <t>Rejeitada</t>
        </is>
      </c>
      <c r="U1080" s="2" t="inlineStr">
        <is>
          <t>Favor: CH, IL, L, PCP, BE; Contra: PSD, CDS-PP; Abstenção: PS, PAN</t>
        </is>
      </c>
      <c r="V1080" s="3" t="n">
        <v>45985</v>
      </c>
      <c r="W1080" s="2" t="inlineStr">
        <is>
          <t>AR: https://www.parlamento.pt/OrcamentoEstado/Paginas/DetalhePropostaAlteracao.aspx?BID=24256 PDF: https://app.parlamento.pt/webutils/docs/doc.pdf?path=6148523063484d364c793942556b356c6443397a6158526c63793959566b6c4a544556484c3039464c7a49774d6a59794d4449314d5441774f53395151533879593245334d5449314f5330304e474a6b4c54526c4d7a67744f544e684e5330314f475a695932566d4e7a4e6d4e5755756347526d&amp;Fich=2ca71259-44bd-4e38-93a5-58fbcef73f5e.pdf&amp;Inline=true</t>
        </is>
      </c>
      <c r="X1080" s="2" t="inlineStr">
        <is>
          <t>Agricultura e Pescas; Infraestruturas, Mobilidade e Habitação</t>
        </is>
      </c>
      <c r="Y1080" s="2" t="inlineStr">
        <is>
          <t>Articulado</t>
        </is>
      </c>
      <c r="Z1080" s="2" t="inlineStr">
        <is>
          <t>Aditamento (Artigo PPL)</t>
        </is>
      </c>
      <c r="AA1080" s="2" t="inlineStr">
        <is>
          <t>Rejeitado(a) em Comissão</t>
        </is>
      </c>
      <c r="AB1080" s="2" t="inlineStr"/>
      <c r="AC1080" s="2" t="inlineStr"/>
      <c r="AD1080" s="2" t="inlineStr">
        <is>
          <t>1</t>
        </is>
      </c>
      <c r="AE1080" s="2" t="inlineStr">
        <is>
          <t>24256</t>
        </is>
      </c>
      <c r="AF1080" s="2" t="inlineStr">
        <is>
          <t>https://www.parlamento.pt/OrcamentoEstado/Paginas/DetalhePropostaAlteracao.aspx?BID=24256</t>
        </is>
      </c>
      <c r="AG1080" s="2" t="inlineStr">
        <is>
          <t>https://app.parlamento.pt/webutils/docs/doc.pdf?path=6148523063484d364c793942556b356c6443397a6158526c63793959566b6c4a544556484c3039464c7a49774d6a59794d4449314d5441774f53395151533879593245334d5449314f5330304e474a6b4c54526c4d7a67744f544e684e5330314f475a695932566d4e7a4e6d4e5755756347526d&amp;Fich=2ca71259-44bd-4e38-93a5-58fbcef73f5e.pdf&amp;Inline=true</t>
        </is>
      </c>
      <c r="AH1080" s="3" t="n">
        <v>46321.77847222222</v>
      </c>
      <c r="AI1080" s="3" t="n">
        <v>46321.78055555555</v>
      </c>
      <c r="AJ1080" s="2" t="inlineStr"/>
    </row>
    <row r="1081">
      <c r="A1081" s="2" t="n">
        <v>1080</v>
      </c>
      <c r="B1081" s="2" t="inlineStr">
        <is>
          <t>1016C</t>
        </is>
      </c>
      <c r="C1081" s="3" t="n">
        <v>45967.85277777778</v>
      </c>
      <c r="D1081" s="2" t="inlineStr">
        <is>
          <t>Original</t>
        </is>
      </c>
      <c r="E1081" s="2" t="inlineStr">
        <is>
          <t>PCP</t>
        </is>
      </c>
      <c r="F1081" s="2" t="inlineStr">
        <is>
          <t>Alfredo Maia; Paula Santos; Paulo Raimundo</t>
        </is>
      </c>
      <c r="G1081" s="2" t="inlineStr">
        <is>
          <t>Art. 113.º-A (aditamento)</t>
        </is>
      </c>
      <c r="H1081" s="2" t="n"/>
      <c r="I1081" s="2" t="n"/>
      <c r="J1081" s="2" t="n"/>
      <c r="K1081" s="2" t="n"/>
      <c r="L1081" s="2" t="inlineStr">
        <is>
          <t>Artigo 113.º-A (Programa para a salvaguarda da qualidade ambiental da bacia hidrográfica do Rio Lis)</t>
        </is>
      </c>
      <c r="M1081" s="4" t="n"/>
      <c r="N1081" s="4" t="n"/>
      <c r="O1081" s="2" t="n"/>
      <c r="P1081" s="2" t="n"/>
      <c r="Q1081" s="2" t="n"/>
      <c r="R1081" s="2" t="n"/>
      <c r="S1081" s="2" t="inlineStr">
        <is>
          <t>Rejeitado(a) em Comissão</t>
        </is>
      </c>
      <c r="T1081" s="2" t="inlineStr">
        <is>
          <t>Rejeitada</t>
        </is>
      </c>
      <c r="U1081" s="2" t="inlineStr">
        <is>
          <t>Favor: CH, L, PCP, BE, PAN; Contra: PSD, IL, CDS-PP; Abstenção: PS</t>
        </is>
      </c>
      <c r="V1081" s="3" t="n">
        <v>45985</v>
      </c>
      <c r="W1081" s="2" t="inlineStr">
        <is>
          <t>AR: https://www.parlamento.pt/OrcamentoEstado/Paginas/DetalhePropostaAlteracao.aspx?BID=24257 PDF: https://app.parlamento.pt/webutils/docs/doc.pdf?path=6148523063484d364c793942556b356c6443397a6158526c63793959566b6c4a544556484c3039464c7a49774d6a59794d4449314d5441774f53395151533833597a4d774d47597a4f4330324e546b784c54526859574d74596a51335979316c4d446b794e3255775a6d457a597a67756347526d&amp;Fich=7c300f38-6591-4aac-b47c-e0927e0fa3c8.pdf&amp;Inline=true</t>
        </is>
      </c>
      <c r="X1081" s="2" t="inlineStr">
        <is>
          <t>Ambiente e Energia</t>
        </is>
      </c>
      <c r="Y1081" s="2" t="inlineStr">
        <is>
          <t>Articulado</t>
        </is>
      </c>
      <c r="Z1081" s="2" t="inlineStr">
        <is>
          <t>Aditamento (Artigo PPL)</t>
        </is>
      </c>
      <c r="AA1081" s="2" t="inlineStr">
        <is>
          <t>Rejeitado(a) em Comissão</t>
        </is>
      </c>
      <c r="AB1081" s="2" t="inlineStr"/>
      <c r="AC1081" s="2" t="inlineStr"/>
      <c r="AD1081" s="2" t="inlineStr">
        <is>
          <t>1</t>
        </is>
      </c>
      <c r="AE1081" s="2" t="inlineStr">
        <is>
          <t>24257</t>
        </is>
      </c>
      <c r="AF1081" s="2" t="inlineStr">
        <is>
          <t>https://www.parlamento.pt/OrcamentoEstado/Paginas/DetalhePropostaAlteracao.aspx?BID=24257</t>
        </is>
      </c>
      <c r="AG1081" s="2" t="inlineStr">
        <is>
          <t>https://app.parlamento.pt/webutils/docs/doc.pdf?path=6148523063484d364c793942556b356c6443397a6158526c63793959566b6c4a544556484c3039464c7a49774d6a59794d4449314d5441774f53395151533833597a4d774d47597a4f4330324e546b784c54526859574d74596a51335979316c4d446b794e3255775a6d457a597a67756347526d&amp;Fich=7c300f38-6591-4aac-b47c-e0927e0fa3c8.pdf&amp;Inline=true</t>
        </is>
      </c>
      <c r="AH1081" s="3" t="n">
        <v>46321.77847222222</v>
      </c>
      <c r="AI1081" s="3" t="n">
        <v>46321.78055555555</v>
      </c>
      <c r="AJ1081" s="2" t="inlineStr"/>
    </row>
    <row r="1082">
      <c r="A1082" s="2" t="n">
        <v>1081</v>
      </c>
      <c r="B1082" s="2" t="inlineStr">
        <is>
          <t>1017C</t>
        </is>
      </c>
      <c r="C1082" s="3" t="n">
        <v>45967.85347222222</v>
      </c>
      <c r="D1082" s="2" t="inlineStr">
        <is>
          <t>Original</t>
        </is>
      </c>
      <c r="E1082" s="2" t="inlineStr">
        <is>
          <t>PCP</t>
        </is>
      </c>
      <c r="F1082" s="2" t="inlineStr">
        <is>
          <t>Alfredo Maia; Paula Santos; Paulo Raimundo</t>
        </is>
      </c>
      <c r="G1082" s="2" t="inlineStr">
        <is>
          <t>Art. 113.º-A (aditamento)</t>
        </is>
      </c>
      <c r="H1082" s="2" t="n"/>
      <c r="I1082" s="2" t="n"/>
      <c r="J1082" s="2" t="n"/>
      <c r="K1082" s="2" t="n"/>
      <c r="L1082" s="2" t="inlineStr">
        <is>
          <t>Artigo 113.º-A (Recuperação, acompanhamento e monitorização da valorização da Mata Nacional de Leiria)</t>
        </is>
      </c>
      <c r="M1082" s="4" t="n"/>
      <c r="N1082" s="4" t="n"/>
      <c r="O1082" s="2" t="n"/>
      <c r="P1082" s="2" t="n"/>
      <c r="Q1082" s="2" t="n"/>
      <c r="R1082" s="2" t="n"/>
      <c r="S1082" s="2" t="inlineStr">
        <is>
          <t>Rejeitado(a) em Comissão</t>
        </is>
      </c>
      <c r="T1082" s="2" t="inlineStr">
        <is>
          <t>Rejeitada</t>
        </is>
      </c>
      <c r="U1082" s="2" t="inlineStr">
        <is>
          <t>Favor: CH, L, PCP, BE, PAN; Contra: PSD, IL, CDS-PP; Abstenção: PS</t>
        </is>
      </c>
      <c r="V1082" s="3" t="n">
        <v>45985</v>
      </c>
      <c r="W1082" s="2" t="inlineStr">
        <is>
          <t>AR: https://www.parlamento.pt/OrcamentoEstado/Paginas/DetalhePropostaAlteracao.aspx?BID=24258 PDF: https://app.parlamento.pt/webutils/docs/doc.pdf?path=6148523063484d364c793942556b356c6443397a6158526c63793959566b6c4a544556484c3039464c7a49774d6a59794d4449314d5441774f5339515153396a4d7a59334d54517a4f5330334e3245774c54517a4d324d74596a566a4e6930774d44646d4e6a49794e4441314d5441756347526d&amp;Fich=c3671439-77a0-433c-b5c6-007f62240510.pdf&amp;Inline=true</t>
        </is>
      </c>
      <c r="X1082" s="2" t="inlineStr">
        <is>
          <t>Ambiente e Energia</t>
        </is>
      </c>
      <c r="Y1082" s="2" t="inlineStr">
        <is>
          <t>Articulado</t>
        </is>
      </c>
      <c r="Z1082" s="2" t="inlineStr">
        <is>
          <t>Aditamento (Artigo PPL)</t>
        </is>
      </c>
      <c r="AA1082" s="2" t="inlineStr">
        <is>
          <t>Rejeitado(a) em Comissão</t>
        </is>
      </c>
      <c r="AB1082" s="2" t="inlineStr"/>
      <c r="AC1082" s="2" t="inlineStr"/>
      <c r="AD1082" s="2" t="inlineStr">
        <is>
          <t>1</t>
        </is>
      </c>
      <c r="AE1082" s="2" t="inlineStr">
        <is>
          <t>24258</t>
        </is>
      </c>
      <c r="AF1082" s="2" t="inlineStr">
        <is>
          <t>https://www.parlamento.pt/OrcamentoEstado/Paginas/DetalhePropostaAlteracao.aspx?BID=24258</t>
        </is>
      </c>
      <c r="AG1082" s="2" t="inlineStr">
        <is>
          <t>https://app.parlamento.pt/webutils/docs/doc.pdf?path=6148523063484d364c793942556b356c6443397a6158526c63793959566b6c4a544556484c3039464c7a49774d6a59794d4449314d5441774f5339515153396a4d7a59334d54517a4f5330334e3245774c54517a4d324d74596a566a4e6930774d44646d4e6a49794e4441314d5441756347526d&amp;Fich=c3671439-77a0-433c-b5c6-007f62240510.pdf&amp;Inline=true</t>
        </is>
      </c>
      <c r="AH1082" s="3" t="n">
        <v>46321.77847222222</v>
      </c>
      <c r="AI1082" s="3" t="n">
        <v>46321.78055555555</v>
      </c>
      <c r="AJ1082" s="2" t="inlineStr"/>
    </row>
    <row r="1083">
      <c r="A1083" s="2" t="n">
        <v>1082</v>
      </c>
      <c r="B1083" s="2" t="inlineStr">
        <is>
          <t>1018C</t>
        </is>
      </c>
      <c r="C1083" s="3" t="n">
        <v>45967.85694444444</v>
      </c>
      <c r="D1083" s="2" t="inlineStr">
        <is>
          <t>Original</t>
        </is>
      </c>
      <c r="E1083" s="2" t="inlineStr">
        <is>
          <t>PCP</t>
        </is>
      </c>
      <c r="F1083" s="2" t="inlineStr">
        <is>
          <t>Alfredo Maia; Paula Santos; Paulo Raimundo</t>
        </is>
      </c>
      <c r="G1083" s="2" t="inlineStr">
        <is>
          <t>Art. 113.º-A (aditamento)</t>
        </is>
      </c>
      <c r="H1083" s="2" t="n"/>
      <c r="I1083" s="2" t="n"/>
      <c r="J1083" s="2" t="n"/>
      <c r="K1083" s="2" t="n"/>
      <c r="L1083" s="2" t="inlineStr">
        <is>
          <t>Artigo 113.º-A (Requalificação do Palácio dos Condes da Lousã)</t>
        </is>
      </c>
      <c r="M1083" s="4" t="n"/>
      <c r="N1083" s="4" t="n"/>
      <c r="O1083" s="2" t="n"/>
      <c r="P1083" s="2" t="n"/>
      <c r="Q1083" s="2" t="n"/>
      <c r="R1083" s="2" t="n"/>
      <c r="S1083" s="2" t="inlineStr">
        <is>
          <t>Rejeitado(a) em Comissão</t>
        </is>
      </c>
      <c r="T1083" s="2" t="inlineStr">
        <is>
          <t>Rejeitada</t>
        </is>
      </c>
      <c r="U1083" s="2" t="inlineStr">
        <is>
          <t>Favor: CH, L, PCP, BE, PAN; Contra: PSD, IL, CDS-PP; Abstenção: PS</t>
        </is>
      </c>
      <c r="V1083" s="3" t="n">
        <v>45985</v>
      </c>
      <c r="W1083" s="2" t="inlineStr">
        <is>
          <t>AR: https://www.parlamento.pt/OrcamentoEstado/Paginas/DetalhePropostaAlteracao.aspx?BID=24259 PDF: https://app.parlamento.pt/webutils/docs/doc.pdf?path=6148523063484d364c793942556b356c6443397a6158526c63793959566b6c4a544556484c3039464c7a49774d6a59794d4449314d5441774f533951515338315a6d51775a545a695a4330334d4455334c54526959324d744f574d314e53316c4f446b334d475a6c4d6a4a6d4d5749756347526d&amp;Fich=5fd0e6bd-7057-4bcc-9c55-e8970fe22f1b.pdf&amp;Inline=true</t>
        </is>
      </c>
      <c r="X1083" s="2" t="inlineStr">
        <is>
          <t>Cultura, Comunicação, Juventude e Desporto</t>
        </is>
      </c>
      <c r="Y1083" s="2" t="inlineStr">
        <is>
          <t>Articulado</t>
        </is>
      </c>
      <c r="Z1083" s="2" t="inlineStr">
        <is>
          <t>Aditamento (Artigo PPL)</t>
        </is>
      </c>
      <c r="AA1083" s="2" t="inlineStr">
        <is>
          <t>Rejeitado(a) em Comissão</t>
        </is>
      </c>
      <c r="AB1083" s="2" t="inlineStr"/>
      <c r="AC1083" s="2" t="inlineStr"/>
      <c r="AD1083" s="2" t="inlineStr">
        <is>
          <t>1</t>
        </is>
      </c>
      <c r="AE1083" s="2" t="inlineStr">
        <is>
          <t>24259</t>
        </is>
      </c>
      <c r="AF1083" s="2" t="inlineStr">
        <is>
          <t>https://www.parlamento.pt/OrcamentoEstado/Paginas/DetalhePropostaAlteracao.aspx?BID=24259</t>
        </is>
      </c>
      <c r="AG1083" s="2" t="inlineStr">
        <is>
          <t>https://app.parlamento.pt/webutils/docs/doc.pdf?path=6148523063484d364c793942556b356c6443397a6158526c63793959566b6c4a544556484c3039464c7a49774d6a59794d4449314d5441774f533951515338315a6d51775a545a695a4330334d4455334c54526959324d744f574d314e53316c4f446b334d475a6c4d6a4a6d4d5749756347526d&amp;Fich=5fd0e6bd-7057-4bcc-9c55-e8970fe22f1b.pdf&amp;Inline=true</t>
        </is>
      </c>
      <c r="AH1083" s="3" t="n">
        <v>46321.77847222222</v>
      </c>
      <c r="AI1083" s="3" t="n">
        <v>46321.78055555555</v>
      </c>
      <c r="AJ1083" s="2" t="inlineStr"/>
    </row>
    <row r="1084">
      <c r="A1084" s="2" t="n">
        <v>1083</v>
      </c>
      <c r="B1084" s="2" t="inlineStr">
        <is>
          <t>1019C</t>
        </is>
      </c>
      <c r="C1084" s="3" t="n">
        <v>45967.85833333333</v>
      </c>
      <c r="D1084" s="2" t="inlineStr">
        <is>
          <t>Original</t>
        </is>
      </c>
      <c r="E1084" s="2" t="inlineStr">
        <is>
          <t>PCP</t>
        </is>
      </c>
      <c r="F1084" s="2" t="inlineStr">
        <is>
          <t>Alfredo Maia; Paula Santos; Paulo Raimundo</t>
        </is>
      </c>
      <c r="G1084" s="2" t="inlineStr">
        <is>
          <t>Art. 113.º-A (aditamento)</t>
        </is>
      </c>
      <c r="H1084" s="2" t="n"/>
      <c r="I1084" s="2" t="n"/>
      <c r="J1084" s="2" t="n"/>
      <c r="K1084" s="2" t="n"/>
      <c r="L1084" s="2" t="inlineStr">
        <is>
          <t>Artigo 113.º-A (Expropriação dos terrenos de propriedade privada no Bairro da Cova da Moura)</t>
        </is>
      </c>
      <c r="M1084" s="4" t="n"/>
      <c r="N1084" s="4" t="n"/>
      <c r="O1084" s="2" t="n"/>
      <c r="P1084" s="2" t="n"/>
      <c r="Q1084" s="2" t="n"/>
      <c r="R1084" s="2" t="n"/>
      <c r="S1084" s="2" t="inlineStr">
        <is>
          <t>Rejeitado(a) em Comissão</t>
        </is>
      </c>
      <c r="T1084" s="2" t="inlineStr">
        <is>
          <t>Rejeitada</t>
        </is>
      </c>
      <c r="U1084" s="2" t="inlineStr">
        <is>
          <t>Favor: L, PCP, BE, PAN; Contra: PSD, CH, IL, CDS-PP; Abstenção: PS</t>
        </is>
      </c>
      <c r="V1084" s="3" t="n">
        <v>45985</v>
      </c>
      <c r="W1084" s="2" t="inlineStr">
        <is>
          <t>AR: https://www.parlamento.pt/OrcamentoEstado/Paginas/DetalhePropostaAlteracao.aspx?BID=24260 PDF: https://app.parlamento.pt/webutils/docs/doc.pdf?path=6148523063484d364c793942556b356c6443397a6158526c63793959566b6c4a544556484c3039464c7a49774d6a59794d4449314d5441774f533951515338354d54466d4f4455354f4330334d6a51334c54517a5a544574595455355a4331685a47566d4d544d7a4d5441795a4459756347526d&amp;Fich=911f8598-7247-43e1-a59d-adef133102d6.pdf&amp;Inline=true</t>
        </is>
      </c>
      <c r="X1084" s="2" t="inlineStr">
        <is>
          <t>Comissão de Economia e Coesão Territorial</t>
        </is>
      </c>
      <c r="Y1084" s="2" t="inlineStr">
        <is>
          <t>Articulado</t>
        </is>
      </c>
      <c r="Z1084" s="2" t="inlineStr">
        <is>
          <t>Aditamento (Artigo PPL)</t>
        </is>
      </c>
      <c r="AA1084" s="2" t="inlineStr">
        <is>
          <t>Rejeitado(a) em Comissão</t>
        </is>
      </c>
      <c r="AB1084" s="2" t="inlineStr"/>
      <c r="AC1084" s="2" t="inlineStr"/>
      <c r="AD1084" s="2" t="inlineStr">
        <is>
          <t>1</t>
        </is>
      </c>
      <c r="AE1084" s="2" t="inlineStr">
        <is>
          <t>24260</t>
        </is>
      </c>
      <c r="AF1084" s="2" t="inlineStr">
        <is>
          <t>https://www.parlamento.pt/OrcamentoEstado/Paginas/DetalhePropostaAlteracao.aspx?BID=24260</t>
        </is>
      </c>
      <c r="AG1084" s="2" t="inlineStr">
        <is>
          <t>https://app.parlamento.pt/webutils/docs/doc.pdf?path=6148523063484d364c793942556b356c6443397a6158526c63793959566b6c4a544556484c3039464c7a49774d6a59794d4449314d5441774f533951515338354d54466d4f4455354f4330334d6a51334c54517a5a544574595455355a4331685a47566d4d544d7a4d5441795a4459756347526d&amp;Fich=911f8598-7247-43e1-a59d-adef133102d6.pdf&amp;Inline=true</t>
        </is>
      </c>
      <c r="AH1084" s="3" t="n">
        <v>46321.77847222222</v>
      </c>
      <c r="AI1084" s="3" t="n">
        <v>46321.78055555555</v>
      </c>
      <c r="AJ1084" s="2" t="inlineStr"/>
    </row>
    <row r="1085">
      <c r="A1085" s="2" t="n">
        <v>1084</v>
      </c>
      <c r="B1085" s="2" t="inlineStr">
        <is>
          <t>1020C</t>
        </is>
      </c>
      <c r="C1085" s="3" t="n">
        <v>45967.85833333333</v>
      </c>
      <c r="D1085" s="2" t="inlineStr">
        <is>
          <t>Original</t>
        </is>
      </c>
      <c r="E1085" s="2" t="inlineStr">
        <is>
          <t>PCP</t>
        </is>
      </c>
      <c r="F1085" s="2" t="inlineStr">
        <is>
          <t>Alfredo Maia; Paula Santos; Paulo Raimundo</t>
        </is>
      </c>
      <c r="G1085" s="2" t="inlineStr">
        <is>
          <t>Art. 113.º-A (aditamento)</t>
        </is>
      </c>
      <c r="H1085" s="2" t="n"/>
      <c r="I1085" s="2" t="n"/>
      <c r="J1085" s="2" t="n"/>
      <c r="K1085" s="2" t="n"/>
      <c r="L1085" s="2" t="inlineStr">
        <is>
          <t>Artigo 113.º-A (Construção de seis Estruturas Residenciais para Pessoas Idosas no município da Amadora)</t>
        </is>
      </c>
      <c r="M1085" s="4" t="n"/>
      <c r="N1085" s="4" t="n"/>
      <c r="O1085" s="2" t="n"/>
      <c r="P1085" s="2" t="n"/>
      <c r="Q1085" s="2" t="n"/>
      <c r="R1085" s="2" t="n"/>
      <c r="S1085" s="2" t="inlineStr">
        <is>
          <t>Rejeitado(a) em Comissão</t>
        </is>
      </c>
      <c r="T1085" s="2" t="inlineStr">
        <is>
          <t>Rejeitada</t>
        </is>
      </c>
      <c r="U1085" s="2" t="inlineStr">
        <is>
          <t>Favor: L, PCP, BE, PAN; Contra: PSD, IL, CDS-PP; Abstenção: CH, PS</t>
        </is>
      </c>
      <c r="V1085" s="3" t="n">
        <v>45985</v>
      </c>
      <c r="W1085" s="2" t="inlineStr">
        <is>
          <t>AR: https://www.parlamento.pt/OrcamentoEstado/Paginas/DetalhePropostaAlteracao.aspx?BID=24261 PDF: https://app.parlamento.pt/webutils/docs/doc.pdf?path=6148523063484d364c793942556b356c6443397a6158526c63793959566b6c4a544556484c3039464c7a49774d6a59794d4449314d5441774f5339515153396b4e44646b5a575a6a5a6931684e7a52694c5451795a6a51745954526d5969316d5a6a49345a444d77595455334e6a41756347526d&amp;Fich=d47defcf-a74b-42f4-a4fb-ff28d30a5760.pdf&amp;Inline=true</t>
        </is>
      </c>
      <c r="X1085" s="2" t="inlineStr">
        <is>
          <t>Trabalho, Segurança Social e Inclusão</t>
        </is>
      </c>
      <c r="Y1085" s="2" t="inlineStr">
        <is>
          <t>Articulado</t>
        </is>
      </c>
      <c r="Z1085" s="2" t="inlineStr">
        <is>
          <t>Aditamento (Artigo PPL)</t>
        </is>
      </c>
      <c r="AA1085" s="2" t="inlineStr">
        <is>
          <t>Rejeitado(a) em Comissão</t>
        </is>
      </c>
      <c r="AB1085" s="2" t="inlineStr"/>
      <c r="AC1085" s="2" t="inlineStr"/>
      <c r="AD1085" s="2" t="inlineStr">
        <is>
          <t>1</t>
        </is>
      </c>
      <c r="AE1085" s="2" t="inlineStr">
        <is>
          <t>24261</t>
        </is>
      </c>
      <c r="AF1085" s="2" t="inlineStr">
        <is>
          <t>https://www.parlamento.pt/OrcamentoEstado/Paginas/DetalhePropostaAlteracao.aspx?BID=24261</t>
        </is>
      </c>
      <c r="AG1085" s="2" t="inlineStr">
        <is>
          <t>https://app.parlamento.pt/webutils/docs/doc.pdf?path=6148523063484d364c793942556b356c6443397a6158526c63793959566b6c4a544556484c3039464c7a49774d6a59794d4449314d5441774f5339515153396b4e44646b5a575a6a5a6931684e7a52694c5451795a6a51745954526d5969316d5a6a49345a444d77595455334e6a41756347526d&amp;Fich=d47defcf-a74b-42f4-a4fb-ff28d30a5760.pdf&amp;Inline=true</t>
        </is>
      </c>
      <c r="AH1085" s="3" t="n">
        <v>46321.77847222222</v>
      </c>
      <c r="AI1085" s="3" t="n">
        <v>46321.78055555555</v>
      </c>
      <c r="AJ1085" s="2" t="inlineStr"/>
    </row>
    <row r="1086">
      <c r="A1086" s="2" t="n">
        <v>1085</v>
      </c>
      <c r="B1086" s="2" t="inlineStr">
        <is>
          <t>1021C</t>
        </is>
      </c>
      <c r="C1086" s="3" t="n">
        <v>45967.85902777778</v>
      </c>
      <c r="D1086" s="2" t="inlineStr">
        <is>
          <t>Original</t>
        </is>
      </c>
      <c r="E1086" s="2" t="inlineStr">
        <is>
          <t>PCP</t>
        </is>
      </c>
      <c r="F1086" s="2" t="inlineStr">
        <is>
          <t>Alfredo Maia; Paula Santos; Paulo Raimundo</t>
        </is>
      </c>
      <c r="G1086" s="2" t="inlineStr">
        <is>
          <t>Art. 113.º-A (aditamento)</t>
        </is>
      </c>
      <c r="H1086" s="2" t="n"/>
      <c r="I1086" s="2" t="n"/>
      <c r="J1086" s="2" t="n"/>
      <c r="K1086" s="2" t="n"/>
      <c r="L1086" s="2" t="inlineStr">
        <is>
          <t>Artigo 113.º-A (Reabilitação do conjunto habitacional da IHRU no Bairro do Zambujal)</t>
        </is>
      </c>
      <c r="M1086" s="4" t="n"/>
      <c r="N1086" s="4" t="n"/>
      <c r="O1086" s="2" t="n"/>
      <c r="P1086" s="2" t="n"/>
      <c r="Q1086" s="2" t="n"/>
      <c r="R1086" s="2" t="n"/>
      <c r="S1086" s="2" t="inlineStr">
        <is>
          <t>Rejeitado(a) em Comissão</t>
        </is>
      </c>
      <c r="T1086" s="2" t="inlineStr">
        <is>
          <t>Rejeitada</t>
        </is>
      </c>
      <c r="U1086" s="2" t="inlineStr">
        <is>
          <t>Favor: CH, L, PCP, BE, PAN; Contra: PSD, CDS-PP; Abstenção: PS, IL</t>
        </is>
      </c>
      <c r="V1086" s="3" t="n">
        <v>45985</v>
      </c>
      <c r="W1086" s="2" t="inlineStr">
        <is>
          <t>AR: https://www.parlamento.pt/OrcamentoEstado/Paginas/DetalhePropostaAlteracao.aspx?BID=24262 PDF: https://app.parlamento.pt/webutils/docs/doc.pdf?path=6148523063484d364c793942556b356c6443397a6158526c63793959566b6c4a544556484c3039464c7a49774d6a59794d4449314d5441774f533951515338304f475577596a49305a6931694e3256684c54517a5a6d4574596a55305a4330315a6a4a694d57466b4d324d344d5751756347526d&amp;Fich=48e0b24f-b7ea-43fa-b54d-5f2b1ad3c81d.pdf&amp;Inline=true</t>
        </is>
      </c>
      <c r="X1086" s="2" t="inlineStr">
        <is>
          <t>Comissão de Economia e Coesão Territorial</t>
        </is>
      </c>
      <c r="Y1086" s="2" t="inlineStr">
        <is>
          <t>Articulado</t>
        </is>
      </c>
      <c r="Z1086" s="2" t="inlineStr">
        <is>
          <t>Aditamento (Artigo PPL)</t>
        </is>
      </c>
      <c r="AA1086" s="2" t="inlineStr">
        <is>
          <t>Rejeitado(a) em Comissão</t>
        </is>
      </c>
      <c r="AB1086" s="2" t="inlineStr"/>
      <c r="AC1086" s="2" t="inlineStr"/>
      <c r="AD1086" s="2" t="inlineStr">
        <is>
          <t>1</t>
        </is>
      </c>
      <c r="AE1086" s="2" t="inlineStr">
        <is>
          <t>24262</t>
        </is>
      </c>
      <c r="AF1086" s="2" t="inlineStr">
        <is>
          <t>https://www.parlamento.pt/OrcamentoEstado/Paginas/DetalhePropostaAlteracao.aspx?BID=24262</t>
        </is>
      </c>
      <c r="AG1086" s="2" t="inlineStr">
        <is>
          <t>https://app.parlamento.pt/webutils/docs/doc.pdf?path=6148523063484d364c793942556b356c6443397a6158526c63793959566b6c4a544556484c3039464c7a49774d6a59794d4449314d5441774f533951515338304f475577596a49305a6931694e3256684c54517a5a6d4574596a55305a4330315a6a4a694d57466b4d324d344d5751756347526d&amp;Fich=48e0b24f-b7ea-43fa-b54d-5f2b1ad3c81d.pdf&amp;Inline=true</t>
        </is>
      </c>
      <c r="AH1086" s="3" t="n">
        <v>46321.77847222222</v>
      </c>
      <c r="AI1086" s="3" t="n">
        <v>46321.78055555555</v>
      </c>
      <c r="AJ1086" s="2" t="inlineStr"/>
    </row>
    <row r="1087">
      <c r="A1087" s="2" t="n">
        <v>1086</v>
      </c>
      <c r="B1087" s="2" t="inlineStr">
        <is>
          <t>1022C</t>
        </is>
      </c>
      <c r="C1087" s="3" t="n">
        <v>45967.85972222222</v>
      </c>
      <c r="D1087" s="2" t="inlineStr">
        <is>
          <t>Original</t>
        </is>
      </c>
      <c r="E1087" s="2" t="inlineStr">
        <is>
          <t>PCP</t>
        </is>
      </c>
      <c r="F1087" s="2" t="inlineStr">
        <is>
          <t>Alfredo Maia; Paula Santos; Paulo Raimundo</t>
        </is>
      </c>
      <c r="G1087" s="2" t="inlineStr">
        <is>
          <t>Art. 113.º-A (aditamento)</t>
        </is>
      </c>
      <c r="H1087" s="2" t="n"/>
      <c r="I1087" s="2" t="n"/>
      <c r="J1087" s="2" t="n"/>
      <c r="K1087" s="2" t="n"/>
      <c r="L1087" s="2" t="inlineStr">
        <is>
          <t>Artigo 113.º-A (Circular Nascente e Poente à Cidade de Agualva-Cacém)</t>
        </is>
      </c>
      <c r="M1087" s="4" t="n"/>
      <c r="N1087" s="4" t="n"/>
      <c r="O1087" s="2" t="n"/>
      <c r="P1087" s="2" t="n"/>
      <c r="Q1087" s="2" t="n"/>
      <c r="R1087" s="2" t="n"/>
      <c r="S1087" s="2" t="inlineStr">
        <is>
          <t>Rejeitado(a) em Comissão</t>
        </is>
      </c>
      <c r="T1087" s="2" t="inlineStr">
        <is>
          <t>Rejeitada</t>
        </is>
      </c>
      <c r="U1087" s="2" t="inlineStr">
        <is>
          <t>Favor: CH, IL, PCP, BE; Contra: PSD, CDS-PP; Abstenção: PS, L, PAN</t>
        </is>
      </c>
      <c r="V1087" s="3" t="n">
        <v>45985</v>
      </c>
      <c r="W1087" s="2" t="inlineStr">
        <is>
          <t>AR: https://www.parlamento.pt/OrcamentoEstado/Paginas/DetalhePropostaAlteracao.aspx?BID=24263 PDF: https://app.parlamento.pt/webutils/docs/doc.pdf?path=6148523063484d364c793942556b356c6443397a6158526c63793959566b6c4a544556484c3039464c7a49774d6a59794d4449314d5441774f533951515339694f44526b59544a6b4f4330325a6d5a6b4c54526a4f4751744f544d304d79307a5a5445335a4467304d6a4668593245756347526d&amp;Fich=b84da2d8-6ffd-4c8d-9343-3e17d8421aca.pdf&amp;Inline=true</t>
        </is>
      </c>
      <c r="X1087" s="2" t="inlineStr">
        <is>
          <t>Infraestruturas, Mobilidade e Habitação</t>
        </is>
      </c>
      <c r="Y1087" s="2" t="inlineStr">
        <is>
          <t>Articulado</t>
        </is>
      </c>
      <c r="Z1087" s="2" t="inlineStr">
        <is>
          <t>Aditamento (Artigo PPL)</t>
        </is>
      </c>
      <c r="AA1087" s="2" t="inlineStr">
        <is>
          <t>Rejeitado(a) em Comissão</t>
        </is>
      </c>
      <c r="AB1087" s="2" t="inlineStr"/>
      <c r="AC1087" s="2" t="inlineStr"/>
      <c r="AD1087" s="2" t="inlineStr">
        <is>
          <t>1</t>
        </is>
      </c>
      <c r="AE1087" s="2" t="inlineStr">
        <is>
          <t>24263</t>
        </is>
      </c>
      <c r="AF1087" s="2" t="inlineStr">
        <is>
          <t>https://www.parlamento.pt/OrcamentoEstado/Paginas/DetalhePropostaAlteracao.aspx?BID=24263</t>
        </is>
      </c>
      <c r="AG1087" s="2" t="inlineStr">
        <is>
          <t>https://app.parlamento.pt/webutils/docs/doc.pdf?path=6148523063484d364c793942556b356c6443397a6158526c63793959566b6c4a544556484c3039464c7a49774d6a59794d4449314d5441774f533951515339694f44526b59544a6b4f4330325a6d5a6b4c54526a4f4751744f544d304d79307a5a5445335a4467304d6a4668593245756347526d&amp;Fich=b84da2d8-6ffd-4c8d-9343-3e17d8421aca.pdf&amp;Inline=true</t>
        </is>
      </c>
      <c r="AH1087" s="3" t="n">
        <v>46321.77847222222</v>
      </c>
      <c r="AI1087" s="3" t="n">
        <v>46321.78055555555</v>
      </c>
      <c r="AJ1087" s="2" t="inlineStr"/>
    </row>
    <row r="1088">
      <c r="A1088" s="2" t="n">
        <v>1087</v>
      </c>
      <c r="B1088" s="2" t="inlineStr">
        <is>
          <t>1023C</t>
        </is>
      </c>
      <c r="C1088" s="3" t="n">
        <v>45967.86041666667</v>
      </c>
      <c r="D1088" s="2" t="inlineStr">
        <is>
          <t>Original</t>
        </is>
      </c>
      <c r="E1088" s="2" t="inlineStr">
        <is>
          <t>PCP</t>
        </is>
      </c>
      <c r="F1088" s="2" t="inlineStr">
        <is>
          <t>Alfredo Maia; Paula Santos; Paulo Raimundo</t>
        </is>
      </c>
      <c r="G1088" s="2" t="inlineStr">
        <is>
          <t>Art. 113.º-A (aditamento)</t>
        </is>
      </c>
      <c r="H1088" s="2" t="n"/>
      <c r="I1088" s="2" t="n"/>
      <c r="J1088" s="2" t="n"/>
      <c r="K1088" s="2" t="n"/>
      <c r="L1088" s="2" t="inlineStr">
        <is>
          <t>Artigo 113.º-A (Construção de Centros de Saúde na Amadora)</t>
        </is>
      </c>
      <c r="M1088" s="4" t="n"/>
      <c r="N1088" s="4" t="n"/>
      <c r="O1088" s="2" t="n"/>
      <c r="P1088" s="2" t="n"/>
      <c r="Q1088" s="2" t="n"/>
      <c r="R1088" s="2" t="n"/>
      <c r="S1088" s="2" t="inlineStr">
        <is>
          <t>Rejeitado(a) em Comissão</t>
        </is>
      </c>
      <c r="T1088" s="2" t="inlineStr">
        <is>
          <t>Rejeitada</t>
        </is>
      </c>
      <c r="U1088" s="2" t="inlineStr">
        <is>
          <t>Favor: CH, L, PCP, BE, PAN; Contra: PSD, CDS-PP; Abstenção: PS, IL</t>
        </is>
      </c>
      <c r="V1088" s="3" t="n">
        <v>45985</v>
      </c>
      <c r="W1088" s="2" t="inlineStr">
        <is>
          <t>AR: https://www.parlamento.pt/OrcamentoEstado/Paginas/DetalhePropostaAlteracao.aspx?BID=24264 PDF: https://app.parlamento.pt/webutils/docs/doc.pdf?path=6148523063484d364c793942556b356c6443397a6158526c63793959566b6c4a544556484c3039464c7a49774d6a59794d4449314d5441774f533951515338324d6d59784d446b314e6930794d4449314c545178596a4d74596a466d4d5330304d3259344f574532596a67334d5749756347526d&amp;Fich=62f10956-2025-41b3-b1f1-43f89a6b871b.pdf&amp;Inline=true</t>
        </is>
      </c>
      <c r="X1088" s="2" t="inlineStr">
        <is>
          <t>Saúde</t>
        </is>
      </c>
      <c r="Y1088" s="2" t="inlineStr">
        <is>
          <t>Articulado</t>
        </is>
      </c>
      <c r="Z1088" s="2" t="inlineStr">
        <is>
          <t>Aditamento (Artigo PPL)</t>
        </is>
      </c>
      <c r="AA1088" s="2" t="inlineStr">
        <is>
          <t>Rejeitado(a) em Comissão</t>
        </is>
      </c>
      <c r="AB1088" s="2" t="inlineStr"/>
      <c r="AC1088" s="2" t="inlineStr"/>
      <c r="AD1088" s="2" t="inlineStr">
        <is>
          <t>1</t>
        </is>
      </c>
      <c r="AE1088" s="2" t="inlineStr">
        <is>
          <t>24264</t>
        </is>
      </c>
      <c r="AF1088" s="2" t="inlineStr">
        <is>
          <t>https://www.parlamento.pt/OrcamentoEstado/Paginas/DetalhePropostaAlteracao.aspx?BID=24264</t>
        </is>
      </c>
      <c r="AG1088" s="2" t="inlineStr">
        <is>
          <t>https://app.parlamento.pt/webutils/docs/doc.pdf?path=6148523063484d364c793942556b356c6443397a6158526c63793959566b6c4a544556484c3039464c7a49774d6a59794d4449314d5441774f533951515338324d6d59784d446b314e6930794d4449314c545178596a4d74596a466d4d5330304d3259344f574532596a67334d5749756347526d&amp;Fich=62f10956-2025-41b3-b1f1-43f89a6b871b.pdf&amp;Inline=true</t>
        </is>
      </c>
      <c r="AH1088" s="3" t="n">
        <v>46321.77847222222</v>
      </c>
      <c r="AI1088" s="3" t="n">
        <v>46321.78055555555</v>
      </c>
      <c r="AJ1088" s="2" t="inlineStr"/>
    </row>
    <row r="1089">
      <c r="A1089" s="2" t="n">
        <v>1088</v>
      </c>
      <c r="B1089" s="2" t="inlineStr">
        <is>
          <t>1024C</t>
        </is>
      </c>
      <c r="C1089" s="3" t="n">
        <v>45967.86111111111</v>
      </c>
      <c r="D1089" s="2" t="inlineStr">
        <is>
          <t>Original</t>
        </is>
      </c>
      <c r="E1089" s="2" t="inlineStr">
        <is>
          <t>PCP</t>
        </is>
      </c>
      <c r="F1089" s="2" t="inlineStr">
        <is>
          <t>Alfredo Maia; Paula Santos; Paulo Raimundo</t>
        </is>
      </c>
      <c r="G1089" s="2" t="inlineStr">
        <is>
          <t>Art. 113.º-A (aditamento)</t>
        </is>
      </c>
      <c r="H1089" s="2" t="n"/>
      <c r="I1089" s="2" t="n"/>
      <c r="J1089" s="2" t="n"/>
      <c r="K1089" s="2" t="n"/>
      <c r="L1089" s="2" t="inlineStr">
        <is>
          <t>Artigo 113.º-A (Acessibilidades para o concelho de Vila Franca de Xira - Construção do nó do Sobralinho)</t>
        </is>
      </c>
      <c r="M1089" s="4" t="n"/>
      <c r="N1089" s="4" t="n"/>
      <c r="O1089" s="2" t="n"/>
      <c r="P1089" s="2" t="n"/>
      <c r="Q1089" s="2" t="n"/>
      <c r="R1089" s="2" t="n"/>
      <c r="S1089" s="2" t="inlineStr">
        <is>
          <t>Rejeitado(a) em Comissão</t>
        </is>
      </c>
      <c r="T1089" s="2" t="inlineStr">
        <is>
          <t>Rejeitada</t>
        </is>
      </c>
      <c r="U1089" s="2" t="inlineStr">
        <is>
          <t>Favor: CH, L, PCP, BE; Contra: PSD, CDS-PP; Abstenção: PS, IL, PAN</t>
        </is>
      </c>
      <c r="V1089" s="3" t="n">
        <v>45985</v>
      </c>
      <c r="W1089" s="2" t="inlineStr">
        <is>
          <t>AR: https://www.parlamento.pt/OrcamentoEstado/Paginas/DetalhePropostaAlteracao.aspx?BID=24265 PDF: https://app.parlamento.pt/webutils/docs/doc.pdf?path=6148523063484d364c793942556b356c6443397a6158526c63793959566b6c4a544556484c3039464c7a49774d6a59794d4449314d5441774f5339515153396a5a546b785a57466a4d5330774e574a6d4c54526d595759744f444d315a53303259324e6a59575578596a49784f5451756347526d&amp;Fich=ce91eac1-05bf-4faf-835e-6cccae1b2194.pdf&amp;Inline=true</t>
        </is>
      </c>
      <c r="X1089" s="2" t="inlineStr">
        <is>
          <t>Infraestruturas, Mobilidade e Habitação</t>
        </is>
      </c>
      <c r="Y1089" s="2" t="inlineStr">
        <is>
          <t>Articulado</t>
        </is>
      </c>
      <c r="Z1089" s="2" t="inlineStr">
        <is>
          <t>Aditamento (Artigo PPL)</t>
        </is>
      </c>
      <c r="AA1089" s="2" t="inlineStr">
        <is>
          <t>Rejeitado(a) em Comissão</t>
        </is>
      </c>
      <c r="AB1089" s="2" t="inlineStr"/>
      <c r="AC1089" s="2" t="inlineStr"/>
      <c r="AD1089" s="2" t="inlineStr">
        <is>
          <t>1</t>
        </is>
      </c>
      <c r="AE1089" s="2" t="inlineStr">
        <is>
          <t>24265</t>
        </is>
      </c>
      <c r="AF1089" s="2" t="inlineStr">
        <is>
          <t>https://www.parlamento.pt/OrcamentoEstado/Paginas/DetalhePropostaAlteracao.aspx?BID=24265</t>
        </is>
      </c>
      <c r="AG1089" s="2" t="inlineStr">
        <is>
          <t>https://app.parlamento.pt/webutils/docs/doc.pdf?path=6148523063484d364c793942556b356c6443397a6158526c63793959566b6c4a544556484c3039464c7a49774d6a59794d4449314d5441774f5339515153396a5a546b785a57466a4d5330774e574a6d4c54526d595759744f444d315a53303259324e6a59575578596a49784f5451756347526d&amp;Fich=ce91eac1-05bf-4faf-835e-6cccae1b2194.pdf&amp;Inline=true</t>
        </is>
      </c>
      <c r="AH1089" s="3" t="n">
        <v>46321.77847222222</v>
      </c>
      <c r="AI1089" s="3" t="n">
        <v>46321.78055555555</v>
      </c>
      <c r="AJ1089" s="2" t="inlineStr"/>
    </row>
    <row r="1090">
      <c r="A1090" s="2" t="n">
        <v>1089</v>
      </c>
      <c r="B1090" s="2" t="inlineStr">
        <is>
          <t>1025C</t>
        </is>
      </c>
      <c r="C1090" s="3" t="n">
        <v>45967.86111111111</v>
      </c>
      <c r="D1090" s="2" t="inlineStr">
        <is>
          <t>Original</t>
        </is>
      </c>
      <c r="E1090" s="2" t="inlineStr">
        <is>
          <t>Vários</t>
        </is>
      </c>
      <c r="F1090" s="2" t="inlineStr">
        <is>
          <t>Alberto Fonseca; Carla Barros; Francisco Pimentel; Helga Correia; Hugo Carneiro; Hugo Soares; Isaura Morais; João Pinho de Almeida; Paulo Núncio</t>
        </is>
      </c>
      <c r="G1090" s="2" t="inlineStr">
        <is>
          <t>Art. 38.º-A (aditamento)</t>
        </is>
      </c>
      <c r="H1090" s="2" t="n"/>
      <c r="I1090" s="2" t="n"/>
      <c r="J1090" s="2" t="n"/>
      <c r="K1090" s="2" t="n"/>
      <c r="L1090" s="2" t="inlineStr">
        <is>
          <t>Artigo 38.º-A (Suplemento extraordinário das pensões)</t>
        </is>
      </c>
      <c r="M1090" s="4" t="n"/>
      <c r="N1090" s="4" t="n"/>
      <c r="O1090" s="2" t="n"/>
      <c r="P1090" s="2" t="n"/>
      <c r="Q1090" s="2" t="n"/>
      <c r="R1090" s="2" t="n"/>
      <c r="S1090" s="2" t="inlineStr">
        <is>
          <t>Aprovado(a) em Plenário</t>
        </is>
      </c>
      <c r="T1090" s="2" t="inlineStr">
        <is>
          <t>Aprovada</t>
        </is>
      </c>
      <c r="U1090" s="2" t="inlineStr">
        <is>
          <t>Favor: PSD, CH, CDS-PP, PAN, JPP; Contra: IL; Abstenção: PS, L, PCP, BE</t>
        </is>
      </c>
      <c r="V1090" s="3" t="n">
        <v>45982</v>
      </c>
      <c r="W1090" s="2" t="inlineStr">
        <is>
          <t>Avocada a Plenário. AR: https://www.parlamento.pt/OrcamentoEstado/Paginas/DetalhePropostaAlteracao.aspx?BID=24266 PDF: https://app.parlamento.pt/webutils/docs/doc.pdf?path=6148523063484d364c793942556b356c6443397a6158526c63793959566b6c4a544556484c3039464c7a49774d6a59794d4449314d5441774f5339515153396b5a6a566a5a446733595331684d6a557a4c54526c4f4467744f4445325a4330335a6a6c68596d4a6b4d4745774f4459756347526d&amp;Fich=df5cd87a-a253-4e88-816d-7f9abbd0a086.pdf&amp;Inline=true</t>
        </is>
      </c>
      <c r="X1090" s="2" t="inlineStr">
        <is>
          <t>Trabalho, Segurança Social e Inclusão</t>
        </is>
      </c>
      <c r="Y1090" s="2" t="inlineStr">
        <is>
          <t>Articulado</t>
        </is>
      </c>
      <c r="Z1090" s="2" t="inlineStr">
        <is>
          <t>Aditamento (Artigo PPL)</t>
        </is>
      </c>
      <c r="AA1090" s="2" t="inlineStr">
        <is>
          <t>Aprovado(a) em Plenário</t>
        </is>
      </c>
      <c r="AB1090" s="2" t="inlineStr">
        <is>
          <t>S</t>
        </is>
      </c>
      <c r="AC1090" s="2" t="inlineStr"/>
      <c r="AD1090" s="2" t="inlineStr">
        <is>
          <t>2</t>
        </is>
      </c>
      <c r="AE1090" s="2" t="inlineStr">
        <is>
          <t>24266</t>
        </is>
      </c>
      <c r="AF1090" s="2" t="inlineStr">
        <is>
          <t>https://www.parlamento.pt/OrcamentoEstado/Paginas/DetalhePropostaAlteracao.aspx?BID=24266</t>
        </is>
      </c>
      <c r="AG1090" s="2" t="inlineStr">
        <is>
          <t>https://app.parlamento.pt/webutils/docs/doc.pdf?path=6148523063484d364c793942556b356c6443397a6158526c63793959566b6c4a544556484c3039464c7a49774d6a59794d4449314d5441774f5339515153396b5a6a566a5a446733595331684d6a557a4c54526c4f4467744f4445325a4330335a6a6c68596d4a6b4d4745774f4459756347526d&amp;Fich=df5cd87a-a253-4e88-816d-7f9abbd0a086.pdf&amp;Inline=true</t>
        </is>
      </c>
      <c r="AH1090" s="3" t="n">
        <v>46321.77847222222</v>
      </c>
      <c r="AI1090" s="3" t="n">
        <v>46321.78055555555</v>
      </c>
      <c r="AJ1090" s="2" t="inlineStr"/>
    </row>
    <row r="1091">
      <c r="A1091" s="2" t="n">
        <v>1090</v>
      </c>
      <c r="B1091" s="2" t="inlineStr">
        <is>
          <t>1026C</t>
        </is>
      </c>
      <c r="C1091" s="3" t="n">
        <v>45967.86180555556</v>
      </c>
      <c r="D1091" s="2" t="inlineStr">
        <is>
          <t>Original</t>
        </is>
      </c>
      <c r="E1091" s="2" t="inlineStr">
        <is>
          <t>PCP</t>
        </is>
      </c>
      <c r="F1091" s="2" t="inlineStr">
        <is>
          <t>Alfredo Maia; Paula Santos; Paulo Raimundo</t>
        </is>
      </c>
      <c r="G1091" s="2" t="inlineStr">
        <is>
          <t>Art. 113.º-A (aditamento)</t>
        </is>
      </c>
      <c r="H1091" s="2" t="n"/>
      <c r="I1091" s="2" t="n"/>
      <c r="J1091" s="2" t="n"/>
      <c r="K1091" s="2" t="n"/>
      <c r="L1091" s="2" t="inlineStr">
        <is>
          <t>Artigo 113.º-A (Acessibilidades para a zona sul de Vila Franca de Xira - Construção do nó dos Caniços)</t>
        </is>
      </c>
      <c r="M1091" s="4" t="n"/>
      <c r="N1091" s="4" t="n"/>
      <c r="O1091" s="2" t="n"/>
      <c r="P1091" s="2" t="n"/>
      <c r="Q1091" s="2" t="n"/>
      <c r="R1091" s="2" t="n"/>
      <c r="S1091" s="2" t="inlineStr">
        <is>
          <t>Rejeitado(a) em Comissão</t>
        </is>
      </c>
      <c r="T1091" s="2" t="inlineStr">
        <is>
          <t>Rejeitada</t>
        </is>
      </c>
      <c r="U1091" s="2" t="inlineStr">
        <is>
          <t>Favor: CH, L, PCP, BE; Contra: PSD, CDS-PP; Abstenção: PS, IL, PAN</t>
        </is>
      </c>
      <c r="V1091" s="3" t="n">
        <v>45985</v>
      </c>
      <c r="W1091" s="2" t="inlineStr">
        <is>
          <t>AR: https://www.parlamento.pt/OrcamentoEstado/Paginas/DetalhePropostaAlteracao.aspx?BID=24267 PDF: https://app.parlamento.pt/webutils/docs/doc.pdf?path=6148523063484d364c793942556b356c6443397a6158526c63793959566b6c4a544556484c3039464c7a49774d6a59794d4449314d5441774f533951515338304f446b324f4745325a4330344d32526c4c54513359544d744f54646c4e7930304f575a6c4e445a6d4e474d775a6a63756347526d&amp;Fich=48968a6d-83de-47a3-97e7-49fe46f4c0f7.pdf&amp;Inline=true</t>
        </is>
      </c>
      <c r="X1091" s="2" t="inlineStr">
        <is>
          <t>Infraestruturas, Mobilidade e Habitação</t>
        </is>
      </c>
      <c r="Y1091" s="2" t="inlineStr">
        <is>
          <t>Articulado</t>
        </is>
      </c>
      <c r="Z1091" s="2" t="inlineStr">
        <is>
          <t>Aditamento (Artigo PPL)</t>
        </is>
      </c>
      <c r="AA1091" s="2" t="inlineStr">
        <is>
          <t>Rejeitado(a) em Comissão</t>
        </is>
      </c>
      <c r="AB1091" s="2" t="inlineStr"/>
      <c r="AC1091" s="2" t="inlineStr"/>
      <c r="AD1091" s="2" t="inlineStr">
        <is>
          <t>1</t>
        </is>
      </c>
      <c r="AE1091" s="2" t="inlineStr">
        <is>
          <t>24267</t>
        </is>
      </c>
      <c r="AF1091" s="2" t="inlineStr">
        <is>
          <t>https://www.parlamento.pt/OrcamentoEstado/Paginas/DetalhePropostaAlteracao.aspx?BID=24267</t>
        </is>
      </c>
      <c r="AG1091" s="2" t="inlineStr">
        <is>
          <t>https://app.parlamento.pt/webutils/docs/doc.pdf?path=6148523063484d364c793942556b356c6443397a6158526c63793959566b6c4a544556484c3039464c7a49774d6a59794d4449314d5441774f533951515338304f446b324f4745325a4330344d32526c4c54513359544d744f54646c4e7930304f575a6c4e445a6d4e474d775a6a63756347526d&amp;Fich=48968a6d-83de-47a3-97e7-49fe46f4c0f7.pdf&amp;Inline=true</t>
        </is>
      </c>
      <c r="AH1091" s="3" t="n">
        <v>46321.77847222222</v>
      </c>
      <c r="AI1091" s="3" t="n">
        <v>46321.78055555555</v>
      </c>
      <c r="AJ1091" s="2" t="inlineStr"/>
    </row>
    <row r="1092">
      <c r="A1092" s="2" t="n">
        <v>1091</v>
      </c>
      <c r="B1092" s="2" t="inlineStr">
        <is>
          <t>1027C</t>
        </is>
      </c>
      <c r="C1092" s="3" t="n">
        <v>45967.8625</v>
      </c>
      <c r="D1092" s="2" t="inlineStr">
        <is>
          <t>Original</t>
        </is>
      </c>
      <c r="E1092" s="2" t="inlineStr">
        <is>
          <t>PCP</t>
        </is>
      </c>
      <c r="F1092" s="2" t="inlineStr">
        <is>
          <t>Alfredo Maia; Paula Santos; Paulo Raimundo</t>
        </is>
      </c>
      <c r="G1092" s="2" t="inlineStr">
        <is>
          <t>Art. 113.º-A (aditamento)</t>
        </is>
      </c>
      <c r="H1092" s="2" t="n"/>
      <c r="I1092" s="2" t="n"/>
      <c r="J1092" s="2" t="n"/>
      <c r="K1092" s="2" t="n"/>
      <c r="L1092" s="2" t="inlineStr">
        <is>
          <t>Artigo 113.º-A (Criação de dois polos de atendimentos complementares no concelho de Loures)</t>
        </is>
      </c>
      <c r="M1092" s="4" t="n"/>
      <c r="N1092" s="4" t="n"/>
      <c r="O1092" s="2" t="n"/>
      <c r="P1092" s="2" t="n"/>
      <c r="Q1092" s="2" t="n"/>
      <c r="R1092" s="2" t="n"/>
      <c r="S1092" s="2" t="inlineStr">
        <is>
          <t>Rejeitado(a) em Comissão</t>
        </is>
      </c>
      <c r="T1092" s="2" t="inlineStr">
        <is>
          <t>Rejeitada</t>
        </is>
      </c>
      <c r="U1092" s="2" t="inlineStr">
        <is>
          <t>Favor: CH, L, PCP, BE, PAN; Contra: PSD, CDS-PP; Abstenção: PS, IL</t>
        </is>
      </c>
      <c r="V1092" s="3" t="n">
        <v>45985</v>
      </c>
      <c r="W1092" s="2" t="inlineStr">
        <is>
          <t>AR: https://www.parlamento.pt/OrcamentoEstado/Paginas/DetalhePropostaAlteracao.aspx?BID=24268 PDF: https://app.parlamento.pt/webutils/docs/doc.pdf?path=6148523063484d364c793942556b356c6443397a6158526c63793959566b6c4a544556484c3039464c7a49774d6a59794d4449314d5441774f5339515153396d4e5464694e444531597930334d474a6a4c5451334e6d4d744f47526c5a43316a4e7a4d32593251344f54426a4f4451756347526d&amp;Fich=f57b415c-70bc-476c-8ded-c736cd890c84.pdf&amp;Inline=true</t>
        </is>
      </c>
      <c r="X1092" s="2" t="inlineStr">
        <is>
          <t>Saúde; Trabalho, Segurança Social e Inclusão</t>
        </is>
      </c>
      <c r="Y1092" s="2" t="inlineStr">
        <is>
          <t>Articulado</t>
        </is>
      </c>
      <c r="Z1092" s="2" t="inlineStr">
        <is>
          <t>Aditamento (Artigo PPL)</t>
        </is>
      </c>
      <c r="AA1092" s="2" t="inlineStr">
        <is>
          <t>Rejeitado(a) em Comissão</t>
        </is>
      </c>
      <c r="AB1092" s="2" t="inlineStr"/>
      <c r="AC1092" s="2" t="inlineStr"/>
      <c r="AD1092" s="2" t="inlineStr">
        <is>
          <t>1</t>
        </is>
      </c>
      <c r="AE1092" s="2" t="inlineStr">
        <is>
          <t>24268</t>
        </is>
      </c>
      <c r="AF1092" s="2" t="inlineStr">
        <is>
          <t>https://www.parlamento.pt/OrcamentoEstado/Paginas/DetalhePropostaAlteracao.aspx?BID=24268</t>
        </is>
      </c>
      <c r="AG1092" s="2" t="inlineStr">
        <is>
          <t>https://app.parlamento.pt/webutils/docs/doc.pdf?path=6148523063484d364c793942556b356c6443397a6158526c63793959566b6c4a544556484c3039464c7a49774d6a59794d4449314d5441774f5339515153396d4e5464694e444531597930334d474a6a4c5451334e6d4d744f47526c5a43316a4e7a4d32593251344f54426a4f4451756347526d&amp;Fich=f57b415c-70bc-476c-8ded-c736cd890c84.pdf&amp;Inline=true</t>
        </is>
      </c>
      <c r="AH1092" s="3" t="n">
        <v>46321.77847222222</v>
      </c>
      <c r="AI1092" s="3" t="n">
        <v>46321.78055555555</v>
      </c>
      <c r="AJ1092" s="2" t="inlineStr"/>
    </row>
    <row r="1093">
      <c r="A1093" s="2" t="n">
        <v>1092</v>
      </c>
      <c r="B1093" s="2" t="inlineStr">
        <is>
          <t>1028C</t>
        </is>
      </c>
      <c r="C1093" s="3" t="n">
        <v>45967.86319444444</v>
      </c>
      <c r="D1093" s="2" t="inlineStr">
        <is>
          <t>Original</t>
        </is>
      </c>
      <c r="E1093" s="2" t="inlineStr">
        <is>
          <t>PCP</t>
        </is>
      </c>
      <c r="F1093" s="2" t="inlineStr">
        <is>
          <t>Alfredo Maia; Paula Santos; Paulo Raimundo</t>
        </is>
      </c>
      <c r="G1093" s="2" t="inlineStr">
        <is>
          <t>Art. 113.º-A (aditamento)</t>
        </is>
      </c>
      <c r="H1093" s="2" t="n"/>
      <c r="I1093" s="2" t="n"/>
      <c r="J1093" s="2" t="n"/>
      <c r="K1093" s="2" t="n"/>
      <c r="L1093" s="2" t="inlineStr">
        <is>
          <t>Artigo 113.º-A (Ampliação do Hospital de Sintra)</t>
        </is>
      </c>
      <c r="M1093" s="4" t="n"/>
      <c r="N1093" s="4" t="n"/>
      <c r="O1093" s="2" t="n"/>
      <c r="P1093" s="2" t="n"/>
      <c r="Q1093" s="2" t="n"/>
      <c r="R1093" s="2" t="n"/>
      <c r="S1093" s="2" t="inlineStr">
        <is>
          <t>Rejeitado(a) em Comissão</t>
        </is>
      </c>
      <c r="T1093" s="2" t="inlineStr">
        <is>
          <t>Rejeitada</t>
        </is>
      </c>
      <c r="U1093" s="2" t="inlineStr">
        <is>
          <t>Favor: CH, L, PCP, BE, PAN; Contra: PSD, IL, CDS-PP; Abstenção: PS</t>
        </is>
      </c>
      <c r="V1093" s="3" t="n">
        <v>45985</v>
      </c>
      <c r="W1093" s="2" t="inlineStr">
        <is>
          <t>AR: https://www.parlamento.pt/OrcamentoEstado/Paginas/DetalhePropostaAlteracao.aspx?BID=24269 PDF: https://app.parlamento.pt/webutils/docs/doc.pdf?path=6148523063484d364c793942556b356c6443397a6158526c63793959566b6c4a544556484c3039464c7a49774d6a59794d4449314d5441774f53395151533830596d5133596d59335969316b4d6a41314c5451334e4459744f5446684d53316a4e324d355a6d51304d444d314e5749756347526d&amp;Fich=4bd7bf7b-d205-4746-91a1-c7c9fd40355b.pdf&amp;Inline=true</t>
        </is>
      </c>
      <c r="X1093" s="2" t="inlineStr">
        <is>
          <t>Saúde</t>
        </is>
      </c>
      <c r="Y1093" s="2" t="inlineStr">
        <is>
          <t>Articulado</t>
        </is>
      </c>
      <c r="Z1093" s="2" t="inlineStr">
        <is>
          <t>Aditamento (Artigo PPL)</t>
        </is>
      </c>
      <c r="AA1093" s="2" t="inlineStr">
        <is>
          <t>Rejeitado(a) em Comissão</t>
        </is>
      </c>
      <c r="AB1093" s="2" t="inlineStr"/>
      <c r="AC1093" s="2" t="inlineStr"/>
      <c r="AD1093" s="2" t="inlineStr">
        <is>
          <t>1</t>
        </is>
      </c>
      <c r="AE1093" s="2" t="inlineStr">
        <is>
          <t>24269</t>
        </is>
      </c>
      <c r="AF1093" s="2" t="inlineStr">
        <is>
          <t>https://www.parlamento.pt/OrcamentoEstado/Paginas/DetalhePropostaAlteracao.aspx?BID=24269</t>
        </is>
      </c>
      <c r="AG1093" s="2" t="inlineStr">
        <is>
          <t>https://app.parlamento.pt/webutils/docs/doc.pdf?path=6148523063484d364c793942556b356c6443397a6158526c63793959566b6c4a544556484c3039464c7a49774d6a59794d4449314d5441774f53395151533830596d5133596d59335969316b4d6a41314c5451334e4459744f5446684d53316a4e324d355a6d51304d444d314e5749756347526d&amp;Fich=4bd7bf7b-d205-4746-91a1-c7c9fd40355b.pdf&amp;Inline=true</t>
        </is>
      </c>
      <c r="AH1093" s="3" t="n">
        <v>46321.77847222222</v>
      </c>
      <c r="AI1093" s="3" t="n">
        <v>46321.78055555555</v>
      </c>
      <c r="AJ1093" s="2" t="inlineStr"/>
    </row>
    <row r="1094">
      <c r="A1094" s="2" t="n">
        <v>1093</v>
      </c>
      <c r="B1094" s="2" t="inlineStr">
        <is>
          <t>1029C</t>
        </is>
      </c>
      <c r="C1094" s="3" t="n">
        <v>45967.86388888889</v>
      </c>
      <c r="D1094" s="2" t="inlineStr">
        <is>
          <t>Original</t>
        </is>
      </c>
      <c r="E1094" s="2" t="inlineStr">
        <is>
          <t>PCP</t>
        </is>
      </c>
      <c r="F1094" s="2" t="inlineStr">
        <is>
          <t>Alfredo Maia; Paula Santos; Paulo Raimundo</t>
        </is>
      </c>
      <c r="G1094" s="2" t="inlineStr">
        <is>
          <t>Art. 113.º-A (aditamento)</t>
        </is>
      </c>
      <c r="H1094" s="2" t="n"/>
      <c r="I1094" s="2" t="n"/>
      <c r="J1094" s="2" t="n"/>
      <c r="K1094" s="2" t="n"/>
      <c r="L1094" s="2" t="inlineStr">
        <is>
          <t>Artigo 113.º-A (Reabertura da Esquadra da PSP em Carnide)</t>
        </is>
      </c>
      <c r="M1094" s="4" t="n"/>
      <c r="N1094" s="4" t="n"/>
      <c r="O1094" s="2" t="n"/>
      <c r="P1094" s="2" t="n"/>
      <c r="Q1094" s="2" t="n"/>
      <c r="R1094" s="2" t="n"/>
      <c r="S1094" s="2" t="inlineStr">
        <is>
          <t>Rejeitado(a) em Comissão</t>
        </is>
      </c>
      <c r="T1094" s="2" t="inlineStr">
        <is>
          <t>Rejeitada</t>
        </is>
      </c>
      <c r="U1094" s="2" t="inlineStr">
        <is>
          <t>Favor: CH, IL, L, PCP, BE, PAN; Contra: PSD, CDS-PP; Abstenção: PS</t>
        </is>
      </c>
      <c r="V1094" s="3" t="n">
        <v>45985</v>
      </c>
      <c r="W1094" s="2" t="inlineStr">
        <is>
          <t>AR: https://www.parlamento.pt/OrcamentoEstado/Paginas/DetalhePropostaAlteracao.aspx?BID=24270 PDF: https://app.parlamento.pt/webutils/docs/doc.pdf?path=6148523063484d364c793942556b356c6443397a6158526c63793959566b6c4a544556484c3039464c7a49774d6a59794d4449314d5441774f533951515338784e4459314d4445355a6930324f5451774c5451314d6a55744f4459334e5330315a54677a4f5745344d6d566a597a4d756347526d&amp;Fich=1465019f-6940-4525-8675-5e839a82ecc3.pdf&amp;Inline=true</t>
        </is>
      </c>
      <c r="X1094" s="2" t="inlineStr">
        <is>
          <t>Assuntos Constitucionais, Direitos, Liberdades e Garantias</t>
        </is>
      </c>
      <c r="Y1094" s="2" t="inlineStr">
        <is>
          <t>Articulado</t>
        </is>
      </c>
      <c r="Z1094" s="2" t="inlineStr">
        <is>
          <t>Aditamento (Artigo PPL)</t>
        </is>
      </c>
      <c r="AA1094" s="2" t="inlineStr">
        <is>
          <t>Rejeitado(a) em Comissão</t>
        </is>
      </c>
      <c r="AB1094" s="2" t="inlineStr"/>
      <c r="AC1094" s="2" t="inlineStr"/>
      <c r="AD1094" s="2" t="inlineStr">
        <is>
          <t>1</t>
        </is>
      </c>
      <c r="AE1094" s="2" t="inlineStr">
        <is>
          <t>24270</t>
        </is>
      </c>
      <c r="AF1094" s="2" t="inlineStr">
        <is>
          <t>https://www.parlamento.pt/OrcamentoEstado/Paginas/DetalhePropostaAlteracao.aspx?BID=24270</t>
        </is>
      </c>
      <c r="AG1094" s="2" t="inlineStr">
        <is>
          <t>https://app.parlamento.pt/webutils/docs/doc.pdf?path=6148523063484d364c793942556b356c6443397a6158526c63793959566b6c4a544556484c3039464c7a49774d6a59794d4449314d5441774f533951515338784e4459314d4445355a6930324f5451774c5451314d6a55744f4459334e5330315a54677a4f5745344d6d566a597a4d756347526d&amp;Fich=1465019f-6940-4525-8675-5e839a82ecc3.pdf&amp;Inline=true</t>
        </is>
      </c>
      <c r="AH1094" s="3" t="n">
        <v>46321.77847222222</v>
      </c>
      <c r="AI1094" s="3" t="n">
        <v>46321.78055555555</v>
      </c>
      <c r="AJ1094" s="2" t="inlineStr"/>
    </row>
    <row r="1095">
      <c r="A1095" s="2" t="n">
        <v>1094</v>
      </c>
      <c r="B1095" s="2" t="inlineStr">
        <is>
          <t>1030C</t>
        </is>
      </c>
      <c r="C1095" s="3" t="n">
        <v>45967.86458333334</v>
      </c>
      <c r="D1095" s="2" t="inlineStr">
        <is>
          <t>Original</t>
        </is>
      </c>
      <c r="E1095" s="2" t="inlineStr">
        <is>
          <t>PCP</t>
        </is>
      </c>
      <c r="F1095" s="2" t="inlineStr">
        <is>
          <t>Alfredo Maia; Paula Santos; Paulo Raimundo</t>
        </is>
      </c>
      <c r="G1095" s="2" t="inlineStr">
        <is>
          <t>Art. 113.º-A (aditamento)</t>
        </is>
      </c>
      <c r="H1095" s="2" t="n"/>
      <c r="I1095" s="2" t="n"/>
      <c r="J1095" s="2" t="n"/>
      <c r="K1095" s="2" t="n"/>
      <c r="L1095" s="2" t="inlineStr">
        <is>
          <t>Artigo 113.º-A (Reabertura das Esquadras da PSP, em Lisboa)</t>
        </is>
      </c>
      <c r="M1095" s="4" t="n"/>
      <c r="N1095" s="4" t="n"/>
      <c r="O1095" s="2" t="n"/>
      <c r="P1095" s="2" t="n"/>
      <c r="Q1095" s="2" t="n"/>
      <c r="R1095" s="2" t="n"/>
      <c r="S1095" s="2" t="inlineStr">
        <is>
          <t>Rejeitado(a) em Comissão</t>
        </is>
      </c>
      <c r="T1095" s="2" t="inlineStr">
        <is>
          <t>Rejeitada</t>
        </is>
      </c>
      <c r="U1095" s="2" t="inlineStr">
        <is>
          <t>Favor: CH, L, PCP, BE, PAN; Contra: PSD, CDS-PP; Abstenção: PS, IL</t>
        </is>
      </c>
      <c r="V1095" s="3" t="n">
        <v>45985</v>
      </c>
      <c r="W1095" s="2" t="inlineStr">
        <is>
          <t>AR: https://www.parlamento.pt/OrcamentoEstado/Paginas/DetalhePropostaAlteracao.aspx?BID=24271 PDF: https://app.parlamento.pt/webutils/docs/doc.pdf?path=6148523063484d364c793942556b356c6443397a6158526c63793959566b6c4a544556484c3039464c7a49774d6a59794d4449314d5441774f533951515338794d446b32597a4e694e7930305a475a694c5451304f5455744f5449305969316b5a4455334d5751774d6a41324e5749756347526d&amp;Fich=2096c3b7-4dfb-4495-924b-dd571d02065b.pdf&amp;Inline=true</t>
        </is>
      </c>
      <c r="X1095" s="2" t="inlineStr">
        <is>
          <t>Assuntos Constitucionais, Direitos, Liberdades e Garantias</t>
        </is>
      </c>
      <c r="Y1095" s="2" t="inlineStr">
        <is>
          <t>Articulado</t>
        </is>
      </c>
      <c r="Z1095" s="2" t="inlineStr">
        <is>
          <t>Aditamento (Artigo PPL)</t>
        </is>
      </c>
      <c r="AA1095" s="2" t="inlineStr">
        <is>
          <t>Rejeitado(a) em Comissão</t>
        </is>
      </c>
      <c r="AB1095" s="2" t="inlineStr"/>
      <c r="AC1095" s="2" t="inlineStr"/>
      <c r="AD1095" s="2" t="inlineStr">
        <is>
          <t>1</t>
        </is>
      </c>
      <c r="AE1095" s="2" t="inlineStr">
        <is>
          <t>24271</t>
        </is>
      </c>
      <c r="AF1095" s="2" t="inlineStr">
        <is>
          <t>https://www.parlamento.pt/OrcamentoEstado/Paginas/DetalhePropostaAlteracao.aspx?BID=24271</t>
        </is>
      </c>
      <c r="AG1095" s="2" t="inlineStr">
        <is>
          <t>https://app.parlamento.pt/webutils/docs/doc.pdf?path=6148523063484d364c793942556b356c6443397a6158526c63793959566b6c4a544556484c3039464c7a49774d6a59794d4449314d5441774f533951515338794d446b32597a4e694e7930305a475a694c5451304f5455744f5449305969316b5a4455334d5751774d6a41324e5749756347526d&amp;Fich=2096c3b7-4dfb-4495-924b-dd571d02065b.pdf&amp;Inline=true</t>
        </is>
      </c>
      <c r="AH1095" s="3" t="n">
        <v>46321.77847222222</v>
      </c>
      <c r="AI1095" s="3" t="n">
        <v>46321.78055555555</v>
      </c>
      <c r="AJ1095" s="2" t="inlineStr"/>
    </row>
    <row r="1096">
      <c r="A1096" s="2" t="n">
        <v>1095</v>
      </c>
      <c r="B1096" s="2" t="inlineStr">
        <is>
          <t>1031C</t>
        </is>
      </c>
      <c r="C1096" s="3" t="n">
        <v>45967.86944444444</v>
      </c>
      <c r="D1096" s="2" t="inlineStr">
        <is>
          <t>Original</t>
        </is>
      </c>
      <c r="E1096" s="2" t="inlineStr">
        <is>
          <t>PCP</t>
        </is>
      </c>
      <c r="F1096" s="2" t="inlineStr">
        <is>
          <t>Alfredo Maia; Paula Santos; Paulo Raimundo</t>
        </is>
      </c>
      <c r="G1096" s="2" t="inlineStr">
        <is>
          <t>Art. 113.º-A (aditamento)</t>
        </is>
      </c>
      <c r="H1096" s="2" t="n"/>
      <c r="I1096" s="2" t="n"/>
      <c r="J1096" s="2" t="n"/>
      <c r="K1096" s="2" t="n"/>
      <c r="L1096" s="2" t="inlineStr">
        <is>
          <t>Artigo 113.º-A (Apoio à construção de charcas e barragens de pequenas dimensões)</t>
        </is>
      </c>
      <c r="M1096" s="4" t="n"/>
      <c r="N1096" s="4" t="n"/>
      <c r="O1096" s="2" t="n"/>
      <c r="P1096" s="2" t="n"/>
      <c r="Q1096" s="2" t="n"/>
      <c r="R1096" s="2" t="n"/>
      <c r="S1096" s="2" t="inlineStr">
        <is>
          <t>Rejeitado(a) em Comissão</t>
        </is>
      </c>
      <c r="T1096" s="2" t="inlineStr">
        <is>
          <t>Rejeitada</t>
        </is>
      </c>
      <c r="U1096" s="2" t="inlineStr">
        <is>
          <t>Favor: CH, PCP, BE; Contra: PSD, IL, CDS-PP; Abstenção: PS, L, PAN</t>
        </is>
      </c>
      <c r="V1096" s="3" t="n">
        <v>45985</v>
      </c>
      <c r="W1096" s="2" t="inlineStr">
        <is>
          <t>AR: https://www.parlamento.pt/OrcamentoEstado/Paginas/DetalhePropostaAlteracao.aspx?BID=24272 PDF: https://app.parlamento.pt/webutils/docs/doc.pdf?path=6148523063484d364c793942556b356c6443397a6158526c63793959566b6c4a544556484c3039464c7a49774d6a59794d4449314d5441774f533951515338355932493059325a6c5953316d4d47526a4c5451344f4467744f474a6b4d5330794e5445784f47466c4e574a6c4f5745756347526d&amp;Fich=9cb4cfea-f0dc-4888-8bd1-25118ae5be9a.pdf&amp;Inline=true</t>
        </is>
      </c>
      <c r="X1096" s="2" t="inlineStr">
        <is>
          <t>Agricultura e Pescas</t>
        </is>
      </c>
      <c r="Y1096" s="2" t="inlineStr">
        <is>
          <t>Articulado</t>
        </is>
      </c>
      <c r="Z1096" s="2" t="inlineStr">
        <is>
          <t>Aditamento (Artigo PPL)</t>
        </is>
      </c>
      <c r="AA1096" s="2" t="inlineStr">
        <is>
          <t>Rejeitado(a) em Comissão</t>
        </is>
      </c>
      <c r="AB1096" s="2" t="inlineStr"/>
      <c r="AC1096" s="2" t="inlineStr"/>
      <c r="AD1096" s="2" t="inlineStr">
        <is>
          <t>1</t>
        </is>
      </c>
      <c r="AE1096" s="2" t="inlineStr">
        <is>
          <t>24272</t>
        </is>
      </c>
      <c r="AF1096" s="2" t="inlineStr">
        <is>
          <t>https://www.parlamento.pt/OrcamentoEstado/Paginas/DetalhePropostaAlteracao.aspx?BID=24272</t>
        </is>
      </c>
      <c r="AG1096" s="2" t="inlineStr">
        <is>
          <t>https://app.parlamento.pt/webutils/docs/doc.pdf?path=6148523063484d364c793942556b356c6443397a6158526c63793959566b6c4a544556484c3039464c7a49774d6a59794d4449314d5441774f533951515338355932493059325a6c5953316d4d47526a4c5451344f4467744f474a6b4d5330794e5445784f47466c4e574a6c4f5745756347526d&amp;Fich=9cb4cfea-f0dc-4888-8bd1-25118ae5be9a.pdf&amp;Inline=true</t>
        </is>
      </c>
      <c r="AH1096" s="3" t="n">
        <v>46321.77847222222</v>
      </c>
      <c r="AI1096" s="3" t="n">
        <v>46321.78055555555</v>
      </c>
      <c r="AJ1096" s="2" t="inlineStr"/>
    </row>
    <row r="1097">
      <c r="A1097" s="2" t="n">
        <v>1096</v>
      </c>
      <c r="B1097" s="2" t="inlineStr">
        <is>
          <t>1032C</t>
        </is>
      </c>
      <c r="C1097" s="3" t="n">
        <v>45967.87222222222</v>
      </c>
      <c r="D1097" s="2" t="inlineStr">
        <is>
          <t>Original</t>
        </is>
      </c>
      <c r="E1097" s="2" t="inlineStr">
        <is>
          <t>PCP</t>
        </is>
      </c>
      <c r="F1097" s="2" t="inlineStr">
        <is>
          <t>Alfredo Maia; Paula Santos; Paulo Raimundo</t>
        </is>
      </c>
      <c r="G1097" s="2" t="inlineStr">
        <is>
          <t>Art. 113.º-A (aditamento)</t>
        </is>
      </c>
      <c r="H1097" s="2" t="n"/>
      <c r="I1097" s="2" t="n"/>
      <c r="J1097" s="2" t="n"/>
      <c r="K1097" s="2" t="n"/>
      <c r="L1097" s="2" t="inlineStr">
        <is>
          <t>Artigo 113.º-A (Requalificação de troço da EN261)</t>
        </is>
      </c>
      <c r="M1097" s="4" t="n"/>
      <c r="N1097" s="4" t="n"/>
      <c r="O1097" s="2" t="n"/>
      <c r="P1097" s="2" t="n"/>
      <c r="Q1097" s="2" t="n"/>
      <c r="R1097" s="2" t="n"/>
      <c r="S1097" s="2" t="inlineStr">
        <is>
          <t>Rejeitado(a) em Comissão</t>
        </is>
      </c>
      <c r="T1097" s="2" t="inlineStr">
        <is>
          <t>Rejeitada</t>
        </is>
      </c>
      <c r="U1097" s="2" t="inlineStr">
        <is>
          <t>Favor: CH, L, PCP, BE; Contra: PSD, CDS-PP; Abstenção: PS, IL, PAN</t>
        </is>
      </c>
      <c r="V1097" s="3" t="n">
        <v>45985</v>
      </c>
      <c r="W1097" s="2" t="inlineStr">
        <is>
          <t>AR: https://www.parlamento.pt/OrcamentoEstado/Paginas/DetalhePropostaAlteracao.aspx?BID=24273 PDF: https://app.parlamento.pt/webutils/docs/doc.pdf?path=6148523063484d364c793942556b356c6443397a6158526c63793959566b6c4a544556484c3039464c7a49774d6a59794d4449314d5441774f5339515153396a4e5759334e544d335a43316d4e3249344c54526d4d6d49744f4467794d79316c4d6a6735596d55775a4452684d5751756347526d&amp;Fich=c5f7537d-f7b8-4f2b-8823-e289be0d4a1d.pdf&amp;Inline=true</t>
        </is>
      </c>
      <c r="X1097" s="2" t="inlineStr">
        <is>
          <t>Infraestruturas, Mobilidade e Habitação</t>
        </is>
      </c>
      <c r="Y1097" s="2" t="inlineStr">
        <is>
          <t>Articulado</t>
        </is>
      </c>
      <c r="Z1097" s="2" t="inlineStr">
        <is>
          <t>Aditamento (Artigo PPL)</t>
        </is>
      </c>
      <c r="AA1097" s="2" t="inlineStr">
        <is>
          <t>Rejeitado(a) em Comissão</t>
        </is>
      </c>
      <c r="AB1097" s="2" t="inlineStr"/>
      <c r="AC1097" s="2" t="inlineStr"/>
      <c r="AD1097" s="2" t="inlineStr">
        <is>
          <t>1</t>
        </is>
      </c>
      <c r="AE1097" s="2" t="inlineStr">
        <is>
          <t>24273</t>
        </is>
      </c>
      <c r="AF1097" s="2" t="inlineStr">
        <is>
          <t>https://www.parlamento.pt/OrcamentoEstado/Paginas/DetalhePropostaAlteracao.aspx?BID=24273</t>
        </is>
      </c>
      <c r="AG1097" s="2" t="inlineStr">
        <is>
          <t>https://app.parlamento.pt/webutils/docs/doc.pdf?path=6148523063484d364c793942556b356c6443397a6158526c63793959566b6c4a544556484c3039464c7a49774d6a59794d4449314d5441774f5339515153396a4e5759334e544d335a43316d4e3249344c54526d4d6d49744f4467794d79316c4d6a6735596d55775a4452684d5751756347526d&amp;Fich=c5f7537d-f7b8-4f2b-8823-e289be0d4a1d.pdf&amp;Inline=true</t>
        </is>
      </c>
      <c r="AH1097" s="3" t="n">
        <v>46321.77847222222</v>
      </c>
      <c r="AI1097" s="3" t="n">
        <v>46321.78055555555</v>
      </c>
      <c r="AJ1097" s="2" t="inlineStr"/>
    </row>
    <row r="1098">
      <c r="A1098" s="2" t="n">
        <v>1097</v>
      </c>
      <c r="B1098" s="2" t="inlineStr">
        <is>
          <t>1033C</t>
        </is>
      </c>
      <c r="C1098" s="3" t="n">
        <v>45967.87569444445</v>
      </c>
      <c r="D1098" s="2" t="inlineStr">
        <is>
          <t>Original</t>
        </is>
      </c>
      <c r="E1098" s="2" t="inlineStr">
        <is>
          <t>PCP</t>
        </is>
      </c>
      <c r="F1098" s="2" t="inlineStr">
        <is>
          <t>Alfredo Maia; Paula Santos; Paulo Raimundo</t>
        </is>
      </c>
      <c r="G1098" s="2" t="inlineStr">
        <is>
          <t>Art. 113.º-A (aditamento)</t>
        </is>
      </c>
      <c r="H1098" s="2" t="n"/>
      <c r="I1098" s="2" t="n"/>
      <c r="J1098" s="2" t="n"/>
      <c r="K1098" s="2" t="n"/>
      <c r="L1098" s="2" t="inlineStr">
        <is>
          <t>Artigo 113.º-A (Requalificação de troços da EN253)</t>
        </is>
      </c>
      <c r="M1098" s="4" t="n"/>
      <c r="N1098" s="4" t="n"/>
      <c r="O1098" s="2" t="n"/>
      <c r="P1098" s="2" t="n"/>
      <c r="Q1098" s="2" t="n"/>
      <c r="R1098" s="2" t="n"/>
      <c r="S1098" s="2" t="inlineStr">
        <is>
          <t>Rejeitado(a) em Comissão</t>
        </is>
      </c>
      <c r="T1098" s="2" t="inlineStr">
        <is>
          <t>Rejeitada</t>
        </is>
      </c>
      <c r="U1098" s="2" t="inlineStr">
        <is>
          <t>Favor: CH, L, PCP, BE; Contra: PSD, CDS-PP; Abstenção: PS, IL, PAN</t>
        </is>
      </c>
      <c r="V1098" s="3" t="n">
        <v>45985</v>
      </c>
      <c r="W1098" s="2" t="inlineStr">
        <is>
          <t>AR: https://www.parlamento.pt/OrcamentoEstado/Paginas/DetalhePropostaAlteracao.aspx?BID=24274 PDF: https://app.parlamento.pt/webutils/docs/doc.pdf?path=6148523063484d364c793942556b356c6443397a6158526c63793959566b6c4a544556484c3039464c7a49774d6a59794d4449314d5441774f533951515338334e5455334d574e695a69307a4e4452684c545131597a5574595441775a53316d597a526a4e44526b5a57566c4d4463756347526d&amp;Fich=75571cbf-344a-45c5-a00e-fc4c44deee07.pdf&amp;Inline=true</t>
        </is>
      </c>
      <c r="X1098" s="2" t="inlineStr">
        <is>
          <t>Infraestruturas, Mobilidade e Habitação</t>
        </is>
      </c>
      <c r="Y1098" s="2" t="inlineStr">
        <is>
          <t>Articulado</t>
        </is>
      </c>
      <c r="Z1098" s="2" t="inlineStr">
        <is>
          <t>Aditamento (Artigo PPL)</t>
        </is>
      </c>
      <c r="AA1098" s="2" t="inlineStr">
        <is>
          <t>Rejeitado(a) em Comissão</t>
        </is>
      </c>
      <c r="AB1098" s="2" t="inlineStr"/>
      <c r="AC1098" s="2" t="inlineStr"/>
      <c r="AD1098" s="2" t="inlineStr">
        <is>
          <t>1</t>
        </is>
      </c>
      <c r="AE1098" s="2" t="inlineStr">
        <is>
          <t>24274</t>
        </is>
      </c>
      <c r="AF1098" s="2" t="inlineStr">
        <is>
          <t>https://www.parlamento.pt/OrcamentoEstado/Paginas/DetalhePropostaAlteracao.aspx?BID=24274</t>
        </is>
      </c>
      <c r="AG1098" s="2" t="inlineStr">
        <is>
          <t>https://app.parlamento.pt/webutils/docs/doc.pdf?path=6148523063484d364c793942556b356c6443397a6158526c63793959566b6c4a544556484c3039464c7a49774d6a59794d4449314d5441774f533951515338334e5455334d574e695a69307a4e4452684c545131597a5574595441775a53316d597a526a4e44526b5a57566c4d4463756347526d&amp;Fich=75571cbf-344a-45c5-a00e-fc4c44deee07.pdf&amp;Inline=true</t>
        </is>
      </c>
      <c r="AH1098" s="3" t="n">
        <v>46321.77847222222</v>
      </c>
      <c r="AI1098" s="3" t="n">
        <v>46321.78055555555</v>
      </c>
      <c r="AJ1098" s="2" t="inlineStr"/>
    </row>
    <row r="1099">
      <c r="A1099" s="2" t="n">
        <v>1098</v>
      </c>
      <c r="B1099" s="2" t="inlineStr">
        <is>
          <t>1034C</t>
        </is>
      </c>
      <c r="C1099" s="3" t="n">
        <v>45967.87708333333</v>
      </c>
      <c r="D1099" s="2" t="inlineStr">
        <is>
          <t>Original</t>
        </is>
      </c>
      <c r="E1099" s="2" t="inlineStr">
        <is>
          <t>PCP</t>
        </is>
      </c>
      <c r="F1099" s="2" t="inlineStr">
        <is>
          <t>Alfredo Maia; Paula Santos; Paulo Raimundo</t>
        </is>
      </c>
      <c r="G1099" s="2" t="inlineStr">
        <is>
          <t>Art. 113.º-A (aditamento)</t>
        </is>
      </c>
      <c r="H1099" s="2" t="n"/>
      <c r="I1099" s="2" t="n"/>
      <c r="J1099" s="2" t="n"/>
      <c r="K1099" s="2" t="n"/>
      <c r="L1099" s="2" t="inlineStr">
        <is>
          <t>Artigo 113.º-A (Requalificação do IC 1 entre Palma e Alcácer do Sal (Sul))</t>
        </is>
      </c>
      <c r="M1099" s="4" t="n"/>
      <c r="N1099" s="4" t="n"/>
      <c r="O1099" s="2" t="n"/>
      <c r="P1099" s="2" t="n"/>
      <c r="Q1099" s="2" t="n"/>
      <c r="R1099" s="2" t="n"/>
      <c r="S1099" s="2" t="inlineStr">
        <is>
          <t>Aprovado(a) em Comissão</t>
        </is>
      </c>
      <c r="T1099" s="2" t="inlineStr">
        <is>
          <t>Aprovada</t>
        </is>
      </c>
      <c r="U1099" s="2" t="inlineStr">
        <is>
          <t>Favor: CH, PS, L, PCP, BE; Contra: PSD, CDS-PP; Abstenção: IL, PAN</t>
        </is>
      </c>
      <c r="V1099" s="3" t="n">
        <v>45985</v>
      </c>
      <c r="W1099" s="2" t="inlineStr">
        <is>
          <t>AR: https://www.parlamento.pt/OrcamentoEstado/Paginas/DetalhePropostaAlteracao.aspx?BID=24275 PDF: https://app.parlamento.pt/webutils/docs/doc.pdf?path=6148523063484d364c793942556b356c6443397a6158526c63793959566b6c4a544556484c3039464c7a49774d6a59794d4449314d5441774f533951515338344d7a63335a575a6c4d6930325a6d526a4c5451775a544d74596a597a4d5330315a6a63774e7a497a597a4d334d4441756347526d&amp;Fich=8377efe2-6fdc-40e3-b631-5f70723c3700.pdf&amp;Inline=true</t>
        </is>
      </c>
      <c r="X1099" s="2" t="inlineStr">
        <is>
          <t>Infraestruturas, Mobilidade e Habitação</t>
        </is>
      </c>
      <c r="Y1099" s="2" t="inlineStr">
        <is>
          <t>Articulado</t>
        </is>
      </c>
      <c r="Z1099" s="2" t="inlineStr">
        <is>
          <t>Aditamento (Artigo PPL)</t>
        </is>
      </c>
      <c r="AA1099" s="2" t="inlineStr">
        <is>
          <t>Aprovado(a) em Comissão</t>
        </is>
      </c>
      <c r="AB1099" s="2" t="inlineStr"/>
      <c r="AC1099" s="2" t="inlineStr"/>
      <c r="AD1099" s="2" t="inlineStr">
        <is>
          <t>1</t>
        </is>
      </c>
      <c r="AE1099" s="2" t="inlineStr">
        <is>
          <t>24275</t>
        </is>
      </c>
      <c r="AF1099" s="2" t="inlineStr">
        <is>
          <t>https://www.parlamento.pt/OrcamentoEstado/Paginas/DetalhePropostaAlteracao.aspx?BID=24275</t>
        </is>
      </c>
      <c r="AG1099" s="2" t="inlineStr">
        <is>
          <t>https://app.parlamento.pt/webutils/docs/doc.pdf?path=6148523063484d364c793942556b356c6443397a6158526c63793959566b6c4a544556484c3039464c7a49774d6a59794d4449314d5441774f533951515338344d7a63335a575a6c4d6930325a6d526a4c5451775a544d74596a597a4d5330315a6a63774e7a497a597a4d334d4441756347526d&amp;Fich=8377efe2-6fdc-40e3-b631-5f70723c3700.pdf&amp;Inline=true</t>
        </is>
      </c>
      <c r="AH1099" s="3" t="n">
        <v>46321.77847222222</v>
      </c>
      <c r="AI1099" s="3" t="n">
        <v>46321.78055555555</v>
      </c>
      <c r="AJ1099" s="2" t="inlineStr"/>
    </row>
    <row r="1100">
      <c r="A1100" s="2" t="n">
        <v>1099</v>
      </c>
      <c r="B1100" s="2" t="inlineStr">
        <is>
          <t>1035C</t>
        </is>
      </c>
      <c r="C1100" s="3" t="n">
        <v>45967.87986111111</v>
      </c>
      <c r="D1100" s="2" t="inlineStr">
        <is>
          <t>Original</t>
        </is>
      </c>
      <c r="E1100" s="2" t="inlineStr">
        <is>
          <t>PCP</t>
        </is>
      </c>
      <c r="F1100" s="2" t="inlineStr">
        <is>
          <t>Alfredo Maia; Paula Santos; Paulo Raimundo</t>
        </is>
      </c>
      <c r="G1100" s="2" t="inlineStr">
        <is>
          <t>Art. 113.º-A (aditamento)</t>
        </is>
      </c>
      <c r="H1100" s="2" t="n"/>
      <c r="I1100" s="2" t="n"/>
      <c r="J1100" s="2" t="n"/>
      <c r="K1100" s="2" t="n"/>
      <c r="L1100" s="2" t="inlineStr">
        <is>
          <t>Artigo 113.º-A (Construção do Museu Resistência Antifascista no Porto)</t>
        </is>
      </c>
      <c r="M1100" s="4" t="n"/>
      <c r="N1100" s="4" t="n"/>
      <c r="O1100" s="2" t="n"/>
      <c r="P1100" s="2" t="n"/>
      <c r="Q1100" s="2" t="n"/>
      <c r="R1100" s="2" t="n"/>
      <c r="S1100" s="2" t="inlineStr">
        <is>
          <t>Rejeitado(a) em Comissão</t>
        </is>
      </c>
      <c r="T1100" s="2" t="inlineStr">
        <is>
          <t>Rejeitada</t>
        </is>
      </c>
      <c r="U1100" s="2" t="inlineStr">
        <is>
          <t>Favor: PS, L, PCP, BE, PAN; Contra: PSD, CH, CDS-PP; Abstenção: IL</t>
        </is>
      </c>
      <c r="V1100" s="3" t="n">
        <v>45985</v>
      </c>
      <c r="W1100" s="2" t="inlineStr">
        <is>
          <t>AR: https://www.parlamento.pt/OrcamentoEstado/Paginas/DetalhePropostaAlteracao.aspx?BID=24276 PDF: https://app.parlamento.pt/webutils/docs/doc.pdf?path=6148523063484d364c793942556b356c6443397a6158526c63793959566b6c4a544556484c3039464c7a49774d6a59794d4449314d5441774f53395151533830595455324e444e6a4e533035597a466c4c54526d4e7a55744f5456684e4330344d325177597a51314e7a6b334e6a67756347526d&amp;Fich=4a5643c5-9c1e-4f75-95a4-83d0c4579768.pdf&amp;Inline=true</t>
        </is>
      </c>
      <c r="X1100" s="2" t="inlineStr">
        <is>
          <t>Cultura, Comunicação, Juventude e Desporto</t>
        </is>
      </c>
      <c r="Y1100" s="2" t="inlineStr">
        <is>
          <t>Articulado</t>
        </is>
      </c>
      <c r="Z1100" s="2" t="inlineStr">
        <is>
          <t>Aditamento (Artigo PPL)</t>
        </is>
      </c>
      <c r="AA1100" s="2" t="inlineStr">
        <is>
          <t>Rejeitado(a) em Comissão</t>
        </is>
      </c>
      <c r="AB1100" s="2" t="inlineStr"/>
      <c r="AC1100" s="2" t="inlineStr"/>
      <c r="AD1100" s="2" t="inlineStr">
        <is>
          <t>1</t>
        </is>
      </c>
      <c r="AE1100" s="2" t="inlineStr">
        <is>
          <t>24276</t>
        </is>
      </c>
      <c r="AF1100" s="2" t="inlineStr">
        <is>
          <t>https://www.parlamento.pt/OrcamentoEstado/Paginas/DetalhePropostaAlteracao.aspx?BID=24276</t>
        </is>
      </c>
      <c r="AG1100" s="2" t="inlineStr">
        <is>
          <t>https://app.parlamento.pt/webutils/docs/doc.pdf?path=6148523063484d364c793942556b356c6443397a6158526c63793959566b6c4a544556484c3039464c7a49774d6a59794d4449314d5441774f53395151533830595455324e444e6a4e533035597a466c4c54526d4e7a55744f5456684e4330344d325177597a51314e7a6b334e6a67756347526d&amp;Fich=4a5643c5-9c1e-4f75-95a4-83d0c4579768.pdf&amp;Inline=true</t>
        </is>
      </c>
      <c r="AH1100" s="3" t="n">
        <v>46321.77847222222</v>
      </c>
      <c r="AI1100" s="3" t="n">
        <v>46321.78055555555</v>
      </c>
      <c r="AJ1100" s="2" t="inlineStr"/>
    </row>
    <row r="1101">
      <c r="A1101" s="2" t="n">
        <v>1100</v>
      </c>
      <c r="B1101" s="2" t="inlineStr">
        <is>
          <t>1036C</t>
        </is>
      </c>
      <c r="C1101" s="3" t="n">
        <v>45967.88055555556</v>
      </c>
      <c r="D1101" s="2" t="inlineStr">
        <is>
          <t>Original</t>
        </is>
      </c>
      <c r="E1101" s="2" t="inlineStr">
        <is>
          <t>PCP</t>
        </is>
      </c>
      <c r="F1101" s="2" t="inlineStr">
        <is>
          <t>Alfredo Maia; Paula Santos; Paulo Raimundo</t>
        </is>
      </c>
      <c r="G1101" s="2" t="inlineStr">
        <is>
          <t>Art. 113.º-A (aditamento)</t>
        </is>
      </c>
      <c r="H1101" s="2" t="n"/>
      <c r="I1101" s="2" t="n"/>
      <c r="J1101" s="2" t="n"/>
      <c r="K1101" s="2" t="n"/>
      <c r="L1101" s="2" t="inlineStr">
        <is>
          <t>Artigo 113.º-A (Plano de desenvolvimento do Metro do Porto)</t>
        </is>
      </c>
      <c r="M1101" s="4" t="n"/>
      <c r="N1101" s="4" t="n"/>
      <c r="O1101" s="2" t="n"/>
      <c r="P1101" s="2" t="n"/>
      <c r="Q1101" s="2" t="n"/>
      <c r="R1101" s="2" t="n"/>
      <c r="S1101" s="2" t="inlineStr">
        <is>
          <t>Aprovado(a) em Comissão</t>
        </is>
      </c>
      <c r="T1101" s="2" t="inlineStr">
        <is>
          <t>Aprovada</t>
        </is>
      </c>
      <c r="U1101" s="2" t="inlineStr">
        <is>
          <t>Favor: CH, PS, L, PCP, BE, PAN; Contra: PSD, CDS-PP; Abstenção: IL</t>
        </is>
      </c>
      <c r="V1101" s="3" t="n">
        <v>45985</v>
      </c>
      <c r="W1101" s="2" t="inlineStr">
        <is>
          <t>AR: https://www.parlamento.pt/OrcamentoEstado/Paginas/DetalhePropostaAlteracao.aspx?BID=24277 PDF: https://app.parlamento.pt/webutils/docs/doc.pdf?path=6148523063484d364c793942556b356c6443397a6158526c63793959566b6c4a544556484c3039464c7a49774d6a59794d4449314d5441774f5339515153387a4f5467334f444533596930354d4467324c5451305a546b744f475a6c595330314d474534596a4d334e5749304d4751756347526d&amp;Fich=3987817b-9086-44e9-8fea-50a8b375b40d.pdf&amp;Inline=true</t>
        </is>
      </c>
      <c r="X1101" s="2" t="inlineStr">
        <is>
          <t>Infraestruturas, Mobilidade e Habitação</t>
        </is>
      </c>
      <c r="Y1101" s="2" t="inlineStr">
        <is>
          <t>Articulado</t>
        </is>
      </c>
      <c r="Z1101" s="2" t="inlineStr">
        <is>
          <t>Aditamento (Artigo PPL)</t>
        </is>
      </c>
      <c r="AA1101" s="2" t="inlineStr">
        <is>
          <t>Aprovado(a) em Comissão</t>
        </is>
      </c>
      <c r="AB1101" s="2" t="inlineStr"/>
      <c r="AC1101" s="2" t="inlineStr"/>
      <c r="AD1101" s="2" t="inlineStr">
        <is>
          <t>1</t>
        </is>
      </c>
      <c r="AE1101" s="2" t="inlineStr">
        <is>
          <t>24277</t>
        </is>
      </c>
      <c r="AF1101" s="2" t="inlineStr">
        <is>
          <t>https://www.parlamento.pt/OrcamentoEstado/Paginas/DetalhePropostaAlteracao.aspx?BID=24277</t>
        </is>
      </c>
      <c r="AG1101" s="2" t="inlineStr">
        <is>
          <t>https://app.parlamento.pt/webutils/docs/doc.pdf?path=6148523063484d364c793942556b356c6443397a6158526c63793959566b6c4a544556484c3039464c7a49774d6a59794d4449314d5441774f5339515153387a4f5467334f444533596930354d4467324c5451305a546b744f475a6c595330314d474534596a4d334e5749304d4751756347526d&amp;Fich=3987817b-9086-44e9-8fea-50a8b375b40d.pdf&amp;Inline=true</t>
        </is>
      </c>
      <c r="AH1101" s="3" t="n">
        <v>46321.77847222222</v>
      </c>
      <c r="AI1101" s="3" t="n">
        <v>46321.78055555555</v>
      </c>
      <c r="AJ1101" s="2" t="inlineStr"/>
    </row>
    <row r="1102">
      <c r="A1102" s="2" t="n">
        <v>1101</v>
      </c>
      <c r="B1102" s="2" t="inlineStr">
        <is>
          <t>1037C</t>
        </is>
      </c>
      <c r="C1102" s="3" t="n">
        <v>45967.88125</v>
      </c>
      <c r="D1102" s="2" t="inlineStr">
        <is>
          <t>Original</t>
        </is>
      </c>
      <c r="E1102" s="2" t="inlineStr">
        <is>
          <t>PCP</t>
        </is>
      </c>
      <c r="F1102" s="2" t="inlineStr">
        <is>
          <t>Alfredo Maia; Paula Santos; Paulo Raimundo</t>
        </is>
      </c>
      <c r="G1102" s="2" t="inlineStr">
        <is>
          <t>Art. 113.º-A (aditamento)</t>
        </is>
      </c>
      <c r="H1102" s="2" t="n"/>
      <c r="I1102" s="2" t="n"/>
      <c r="J1102" s="2" t="n"/>
      <c r="K1102" s="2" t="n"/>
      <c r="L1102" s="2" t="inlineStr">
        <is>
          <t>Artigo 113.º-A (Modernização do porto de Leixões)</t>
        </is>
      </c>
      <c r="M1102" s="4" t="n"/>
      <c r="N1102" s="4" t="n"/>
      <c r="O1102" s="2" t="n"/>
      <c r="P1102" s="2" t="n"/>
      <c r="Q1102" s="2" t="n"/>
      <c r="R1102" s="2" t="n"/>
      <c r="S1102" s="2" t="inlineStr">
        <is>
          <t>Rejeitado(a) em Comissão</t>
        </is>
      </c>
      <c r="T1102" s="2" t="inlineStr">
        <is>
          <t>Rejeitada</t>
        </is>
      </c>
      <c r="U1102" s="2" t="inlineStr">
        <is>
          <t>Favor: CH, IL, L, PCP, BE; Contra: PSD, CDS-PP; Abstenção: PS, PAN</t>
        </is>
      </c>
      <c r="V1102" s="3" t="n">
        <v>45985</v>
      </c>
      <c r="W1102" s="2" t="inlineStr">
        <is>
          <t>AR: https://www.parlamento.pt/OrcamentoEstado/Paginas/DetalhePropostaAlteracao.aspx?BID=24278 PDF: https://app.parlamento.pt/webutils/docs/doc.pdf?path=6148523063484d364c793942556b356c6443397a6158526c63793959566b6c4a544556484c3039464c7a49774d6a59794d4449314d5441774f533951515339684e6a56684d4745335a6930784e6a5a6c4c54517a4d5751744f4745334d69316c4d3246685a474d344e6d45784e7a59756347526d&amp;Fich=a65a0a7f-166e-431d-8a72-e3aadc86a176.pdf&amp;Inline=true</t>
        </is>
      </c>
      <c r="X1102" s="2" t="inlineStr">
        <is>
          <t>Infraestruturas, Mobilidade e Habitação</t>
        </is>
      </c>
      <c r="Y1102" s="2" t="inlineStr">
        <is>
          <t>Articulado</t>
        </is>
      </c>
      <c r="Z1102" s="2" t="inlineStr">
        <is>
          <t>Aditamento (Artigo PPL)</t>
        </is>
      </c>
      <c r="AA1102" s="2" t="inlineStr">
        <is>
          <t>Rejeitado(a) em Comissão</t>
        </is>
      </c>
      <c r="AB1102" s="2" t="inlineStr"/>
      <c r="AC1102" s="2" t="inlineStr"/>
      <c r="AD1102" s="2" t="inlineStr">
        <is>
          <t>1</t>
        </is>
      </c>
      <c r="AE1102" s="2" t="inlineStr">
        <is>
          <t>24278</t>
        </is>
      </c>
      <c r="AF1102" s="2" t="inlineStr">
        <is>
          <t>https://www.parlamento.pt/OrcamentoEstado/Paginas/DetalhePropostaAlteracao.aspx?BID=24278</t>
        </is>
      </c>
      <c r="AG1102" s="2" t="inlineStr">
        <is>
          <t>https://app.parlamento.pt/webutils/docs/doc.pdf?path=6148523063484d364c793942556b356c6443397a6158526c63793959566b6c4a544556484c3039464c7a49774d6a59794d4449314d5441774f533951515339684e6a56684d4745335a6930784e6a5a6c4c54517a4d5751744f4745334d69316c4d3246685a474d344e6d45784e7a59756347526d&amp;Fich=a65a0a7f-166e-431d-8a72-e3aadc86a176.pdf&amp;Inline=true</t>
        </is>
      </c>
      <c r="AH1102" s="3" t="n">
        <v>46321.77847222222</v>
      </c>
      <c r="AI1102" s="3" t="n">
        <v>46321.78055555555</v>
      </c>
      <c r="AJ1102" s="2" t="inlineStr"/>
    </row>
    <row r="1103">
      <c r="A1103" s="2" t="n">
        <v>1102</v>
      </c>
      <c r="B1103" s="2" t="inlineStr">
        <is>
          <t>1038C</t>
        </is>
      </c>
      <c r="C1103" s="3" t="n">
        <v>45967.88194444445</v>
      </c>
      <c r="D1103" s="2" t="inlineStr">
        <is>
          <t>Original</t>
        </is>
      </c>
      <c r="E1103" s="2" t="inlineStr">
        <is>
          <t>PCP</t>
        </is>
      </c>
      <c r="F1103" s="2" t="inlineStr">
        <is>
          <t>Alfredo Maia; Paula Santos; Paulo Raimundo</t>
        </is>
      </c>
      <c r="G1103" s="2" t="inlineStr">
        <is>
          <t>Art. 113.º-A (aditamento)</t>
        </is>
      </c>
      <c r="H1103" s="2" t="n"/>
      <c r="I1103" s="2" t="n"/>
      <c r="J1103" s="2" t="n"/>
      <c r="K1103" s="2" t="n"/>
      <c r="L1103" s="2" t="inlineStr">
        <is>
          <t>Artigo 113.º-A (Novo Hospital Santo Tirso)</t>
        </is>
      </c>
      <c r="M1103" s="4" t="n"/>
      <c r="N1103" s="4" t="n"/>
      <c r="O1103" s="2" t="n"/>
      <c r="P1103" s="2" t="n"/>
      <c r="Q1103" s="2" t="n"/>
      <c r="R1103" s="2" t="n"/>
      <c r="S1103" s="2" t="inlineStr">
        <is>
          <t>Rejeitado(a) em Comissão</t>
        </is>
      </c>
      <c r="T1103" s="2" t="inlineStr">
        <is>
          <t>Rejeitada</t>
        </is>
      </c>
      <c r="U1103" s="2" t="inlineStr">
        <is>
          <t>Favor: L, PCP, BE, PAN; Contra: PSD, CDS-PP; Abstenção: CH, PS, IL</t>
        </is>
      </c>
      <c r="V1103" s="3" t="n">
        <v>45985</v>
      </c>
      <c r="W1103" s="2" t="inlineStr">
        <is>
          <t>AR: https://www.parlamento.pt/OrcamentoEstado/Paginas/DetalhePropostaAlteracao.aspx?BID=24279 PDF: https://app.parlamento.pt/webutils/docs/doc.pdf?path=6148523063484d364c793942556b356c6443397a6158526c63793959566b6c4a544556484c3039464c7a49774d6a59794d4449314d5441774f533951515338314f544d314f474a695a533035597a497a4c5451304e7a4574596d566a59693077596a68685a6a4e6d4d6a63344f5441756347526d&amp;Fich=59358bbe-9c23-4471-becb-0b8af3f27890.pdf&amp;Inline=true</t>
        </is>
      </c>
      <c r="X1103" s="2" t="inlineStr">
        <is>
          <t>Saúde</t>
        </is>
      </c>
      <c r="Y1103" s="2" t="inlineStr">
        <is>
          <t>Articulado</t>
        </is>
      </c>
      <c r="Z1103" s="2" t="inlineStr">
        <is>
          <t>Aditamento (Artigo PPL)</t>
        </is>
      </c>
      <c r="AA1103" s="2" t="inlineStr">
        <is>
          <t>Rejeitado(a) em Comissão</t>
        </is>
      </c>
      <c r="AB1103" s="2" t="inlineStr"/>
      <c r="AC1103" s="2" t="inlineStr"/>
      <c r="AD1103" s="2" t="inlineStr">
        <is>
          <t>1</t>
        </is>
      </c>
      <c r="AE1103" s="2" t="inlineStr">
        <is>
          <t>24279</t>
        </is>
      </c>
      <c r="AF1103" s="2" t="inlineStr">
        <is>
          <t>https://www.parlamento.pt/OrcamentoEstado/Paginas/DetalhePropostaAlteracao.aspx?BID=24279</t>
        </is>
      </c>
      <c r="AG1103" s="2" t="inlineStr">
        <is>
          <t>https://app.parlamento.pt/webutils/docs/doc.pdf?path=6148523063484d364c793942556b356c6443397a6158526c63793959566b6c4a544556484c3039464c7a49774d6a59794d4449314d5441774f533951515338314f544d314f474a695a533035597a497a4c5451304e7a4574596d566a59693077596a68685a6a4e6d4d6a63344f5441756347526d&amp;Fich=59358bbe-9c23-4471-becb-0b8af3f27890.pdf&amp;Inline=true</t>
        </is>
      </c>
      <c r="AH1103" s="3" t="n">
        <v>46321.77847222222</v>
      </c>
      <c r="AI1103" s="3" t="n">
        <v>46321.78055555555</v>
      </c>
      <c r="AJ1103" s="2" t="inlineStr"/>
    </row>
    <row r="1104">
      <c r="A1104" s="2" t="n">
        <v>1103</v>
      </c>
      <c r="B1104" s="2" t="inlineStr">
        <is>
          <t>1039C</t>
        </is>
      </c>
      <c r="C1104" s="3" t="n">
        <v>45967.88263888889</v>
      </c>
      <c r="D1104" s="2" t="inlineStr">
        <is>
          <t>Original</t>
        </is>
      </c>
      <c r="E1104" s="2" t="inlineStr">
        <is>
          <t>PCP</t>
        </is>
      </c>
      <c r="F1104" s="2" t="inlineStr">
        <is>
          <t>Alfredo Maia; Paula Santos; Paulo Raimundo</t>
        </is>
      </c>
      <c r="G1104" s="2" t="inlineStr">
        <is>
          <t>Art. 113.º-A (aditamento)</t>
        </is>
      </c>
      <c r="H1104" s="2" t="n"/>
      <c r="I1104" s="2" t="n"/>
      <c r="J1104" s="2" t="n"/>
      <c r="K1104" s="2" t="n"/>
      <c r="L1104" s="2" t="inlineStr">
        <is>
          <t>Artigo 113.º-A (Novo Hospital da Póvoa de Varzim e Vila do Conde)</t>
        </is>
      </c>
      <c r="M1104" s="4" t="n"/>
      <c r="N1104" s="4" t="n"/>
      <c r="O1104" s="2" t="n"/>
      <c r="P1104" s="2" t="n"/>
      <c r="Q1104" s="2" t="n"/>
      <c r="R1104" s="2" t="n"/>
      <c r="S1104" s="2" t="inlineStr">
        <is>
          <t>Rejeitado(a) em Comissão</t>
        </is>
      </c>
      <c r="T1104" s="2" t="inlineStr">
        <is>
          <t>Rejeitada</t>
        </is>
      </c>
      <c r="U1104" s="2" t="inlineStr">
        <is>
          <t>Favor: CH, L, PCP, BE, PAN; Contra: PSD, CDS-PP; Abstenção: PS, IL</t>
        </is>
      </c>
      <c r="V1104" s="3" t="n">
        <v>45985</v>
      </c>
      <c r="W1104" s="2" t="inlineStr">
        <is>
          <t>AR: https://www.parlamento.pt/OrcamentoEstado/Paginas/DetalhePropostaAlteracao.aspx?BID=24280 PDF: https://app.parlamento.pt/webutils/docs/doc.pdf?path=6148523063484d364c793942556b356c6443397a6158526c63793959566b6c4a544556484c3039464c7a49774d6a59794d4449314d5441774f533951515338784e7a59345a444978596931684e47457a4c5451774e4467744f5755324d5331694e324a6c4d324e684d6d566b4f5759756347526d&amp;Fich=1768d21b-a4a3-4048-9e61-b7be3ca2ed9f.pdf&amp;Inline=true</t>
        </is>
      </c>
      <c r="X1104" s="2" t="inlineStr">
        <is>
          <t>Saúde</t>
        </is>
      </c>
      <c r="Y1104" s="2" t="inlineStr">
        <is>
          <t>Articulado</t>
        </is>
      </c>
      <c r="Z1104" s="2" t="inlineStr">
        <is>
          <t>Aditamento (Artigo PPL)</t>
        </is>
      </c>
      <c r="AA1104" s="2" t="inlineStr">
        <is>
          <t>Rejeitado(a) em Comissão</t>
        </is>
      </c>
      <c r="AB1104" s="2" t="inlineStr"/>
      <c r="AC1104" s="2" t="inlineStr"/>
      <c r="AD1104" s="2" t="inlineStr">
        <is>
          <t>1</t>
        </is>
      </c>
      <c r="AE1104" s="2" t="inlineStr">
        <is>
          <t>24280</t>
        </is>
      </c>
      <c r="AF1104" s="2" t="inlineStr">
        <is>
          <t>https://www.parlamento.pt/OrcamentoEstado/Paginas/DetalhePropostaAlteracao.aspx?BID=24280</t>
        </is>
      </c>
      <c r="AG1104" s="2" t="inlineStr">
        <is>
          <t>https://app.parlamento.pt/webutils/docs/doc.pdf?path=6148523063484d364c793942556b356c6443397a6158526c63793959566b6c4a544556484c3039464c7a49774d6a59794d4449314d5441774f533951515338784e7a59345a444978596931684e47457a4c5451774e4467744f5755324d5331694e324a6c4d324e684d6d566b4f5759756347526d&amp;Fich=1768d21b-a4a3-4048-9e61-b7be3ca2ed9f.pdf&amp;Inline=true</t>
        </is>
      </c>
      <c r="AH1104" s="3" t="n">
        <v>46321.77847222222</v>
      </c>
      <c r="AI1104" s="3" t="n">
        <v>46321.78055555555</v>
      </c>
      <c r="AJ1104" s="2" t="inlineStr"/>
    </row>
    <row r="1105">
      <c r="A1105" s="2" t="n">
        <v>1104</v>
      </c>
      <c r="B1105" s="2" t="inlineStr">
        <is>
          <t>1040C</t>
        </is>
      </c>
      <c r="C1105" s="3" t="n">
        <v>45967.88333333333</v>
      </c>
      <c r="D1105" s="2" t="inlineStr">
        <is>
          <t>Original</t>
        </is>
      </c>
      <c r="E1105" s="2" t="inlineStr">
        <is>
          <t>PCP</t>
        </is>
      </c>
      <c r="F1105" s="2" t="inlineStr">
        <is>
          <t>Alfredo Maia; Paula Santos; Paulo Raimundo</t>
        </is>
      </c>
      <c r="G1105" s="2" t="inlineStr">
        <is>
          <t>Art. 113.º-A (aditamento)</t>
        </is>
      </c>
      <c r="H1105" s="2" t="n"/>
      <c r="I1105" s="2" t="n"/>
      <c r="J1105" s="2" t="n"/>
      <c r="K1105" s="2" t="n"/>
      <c r="L1105" s="2" t="inlineStr">
        <is>
          <t>Artigo 113.º-A (Plano de acessibilidades e promoção da mobilidade na região do Tâmega e Sousa)</t>
        </is>
      </c>
      <c r="M1105" s="4" t="n"/>
      <c r="N1105" s="4" t="n"/>
      <c r="O1105" s="2" t="n"/>
      <c r="P1105" s="2" t="n"/>
      <c r="Q1105" s="2" t="n"/>
      <c r="R1105" s="2" t="n"/>
      <c r="S1105" s="2" t="inlineStr">
        <is>
          <t>Rejeitado(a) em Comissão</t>
        </is>
      </c>
      <c r="T1105" s="2" t="inlineStr">
        <is>
          <t>Rejeitada</t>
        </is>
      </c>
      <c r="U1105" s="2" t="inlineStr">
        <is>
          <t>Favor: CH, L, PCP, BE, PAN; Contra: PSD, IL, CDS-PP; Abstenção: PS</t>
        </is>
      </c>
      <c r="V1105" s="3" t="n">
        <v>45985</v>
      </c>
      <c r="W1105" s="2" t="inlineStr">
        <is>
          <t>AR: https://www.parlamento.pt/OrcamentoEstado/Paginas/DetalhePropostaAlteracao.aspx?BID=24281 PDF: https://app.parlamento.pt/webutils/docs/doc.pdf?path=6148523063484d364c793942556b356c6443397a6158526c63793959566b6c4a544556484c3039464c7a49774d6a59794d4449314d5441774f533951515338774d4467794f5464685a43316b4e4441344c5452685a6a4174596d4e694d693169597a5978595755354d7a4d784d4449756347526d&amp;Fich=008297ad-d408-4af0-bcb2-bc61ae933102.pdf&amp;Inline=true</t>
        </is>
      </c>
      <c r="X1105" s="2" t="inlineStr">
        <is>
          <t>Infraestruturas, Mobilidade e Habitação</t>
        </is>
      </c>
      <c r="Y1105" s="2" t="inlineStr">
        <is>
          <t>Articulado</t>
        </is>
      </c>
      <c r="Z1105" s="2" t="inlineStr">
        <is>
          <t>Aditamento (Artigo PPL)</t>
        </is>
      </c>
      <c r="AA1105" s="2" t="inlineStr">
        <is>
          <t>Rejeitado(a) em Comissão</t>
        </is>
      </c>
      <c r="AB1105" s="2" t="inlineStr"/>
      <c r="AC1105" s="2" t="inlineStr"/>
      <c r="AD1105" s="2" t="inlineStr">
        <is>
          <t>1</t>
        </is>
      </c>
      <c r="AE1105" s="2" t="inlineStr">
        <is>
          <t>24281</t>
        </is>
      </c>
      <c r="AF1105" s="2" t="inlineStr">
        <is>
          <t>https://www.parlamento.pt/OrcamentoEstado/Paginas/DetalhePropostaAlteracao.aspx?BID=24281</t>
        </is>
      </c>
      <c r="AG1105" s="2" t="inlineStr">
        <is>
          <t>https://app.parlamento.pt/webutils/docs/doc.pdf?path=6148523063484d364c793942556b356c6443397a6158526c63793959566b6c4a544556484c3039464c7a49774d6a59794d4449314d5441774f533951515338774d4467794f5464685a43316b4e4441344c5452685a6a4174596d4e694d693169597a5978595755354d7a4d784d4449756347526d&amp;Fich=008297ad-d408-4af0-bcb2-bc61ae933102.pdf&amp;Inline=true</t>
        </is>
      </c>
      <c r="AH1105" s="3" t="n">
        <v>46321.77847222222</v>
      </c>
      <c r="AI1105" s="3" t="n">
        <v>46321.78055555555</v>
      </c>
      <c r="AJ1105" s="2" t="inlineStr"/>
    </row>
    <row r="1106">
      <c r="A1106" s="2" t="n">
        <v>1105</v>
      </c>
      <c r="B1106" s="2" t="inlineStr">
        <is>
          <t>1041C</t>
        </is>
      </c>
      <c r="C1106" s="3" t="n">
        <v>45967.88402777778</v>
      </c>
      <c r="D1106" s="2" t="inlineStr">
        <is>
          <t>Original</t>
        </is>
      </c>
      <c r="E1106" s="2" t="inlineStr">
        <is>
          <t>PCP</t>
        </is>
      </c>
      <c r="F1106" s="2" t="inlineStr">
        <is>
          <t>Alfredo Maia; Paula Santos; Paulo Raimundo</t>
        </is>
      </c>
      <c r="G1106" s="2" t="inlineStr">
        <is>
          <t>Art. 113.º-A (aditamento)</t>
        </is>
      </c>
      <c r="H1106" s="2" t="n"/>
      <c r="I1106" s="2" t="n"/>
      <c r="J1106" s="2" t="n"/>
      <c r="K1106" s="2" t="n"/>
      <c r="L1106" s="2" t="inlineStr">
        <is>
          <t>Artigo 113.º-A (Plano de Capacitação da ULS Tâmega e Sousa)</t>
        </is>
      </c>
      <c r="M1106" s="4" t="n"/>
      <c r="N1106" s="4" t="n"/>
      <c r="O1106" s="2" t="n"/>
      <c r="P1106" s="2" t="n"/>
      <c r="Q1106" s="2" t="n"/>
      <c r="R1106" s="2" t="n"/>
      <c r="S1106" s="2" t="inlineStr">
        <is>
          <t>Rejeitado(a) em Comissão</t>
        </is>
      </c>
      <c r="T1106" s="2" t="inlineStr">
        <is>
          <t>Rejeitada</t>
        </is>
      </c>
      <c r="U1106" s="2" t="inlineStr">
        <is>
          <t>Favor: CH, L, PCP, BE, PAN; Contra: PSD, IL, CDS-PP; Abstenção: PS</t>
        </is>
      </c>
      <c r="V1106" s="3" t="n">
        <v>45985</v>
      </c>
      <c r="W1106" s="2" t="inlineStr">
        <is>
          <t>AR: https://www.parlamento.pt/OrcamentoEstado/Paginas/DetalhePropostaAlteracao.aspx?BID=24282 PDF: https://app.parlamento.pt/webutils/docs/doc.pdf?path=6148523063484d364c793942556b356c6443397a6158526c63793959566b6c4a544556484c3039464c7a49774d6a59794d4449314d5441774f53395151533831597a41304d47597a5a6930785a57466c4c5451774f444d74596d4d794e4330784e446b774e7a4a685a5751795a6d51756347526d&amp;Fich=5c040f3f-1eae-4083-bc24-149072aed2fd.pdf&amp;Inline=true</t>
        </is>
      </c>
      <c r="X1106" s="2" t="inlineStr">
        <is>
          <t>Saúde</t>
        </is>
      </c>
      <c r="Y1106" s="2" t="inlineStr">
        <is>
          <t>Articulado</t>
        </is>
      </c>
      <c r="Z1106" s="2" t="inlineStr">
        <is>
          <t>Aditamento (Artigo PPL)</t>
        </is>
      </c>
      <c r="AA1106" s="2" t="inlineStr">
        <is>
          <t>Rejeitado(a) em Comissão</t>
        </is>
      </c>
      <c r="AB1106" s="2" t="inlineStr"/>
      <c r="AC1106" s="2" t="inlineStr"/>
      <c r="AD1106" s="2" t="inlineStr">
        <is>
          <t>1</t>
        </is>
      </c>
      <c r="AE1106" s="2" t="inlineStr">
        <is>
          <t>24282</t>
        </is>
      </c>
      <c r="AF1106" s="2" t="inlineStr">
        <is>
          <t>https://www.parlamento.pt/OrcamentoEstado/Paginas/DetalhePropostaAlteracao.aspx?BID=24282</t>
        </is>
      </c>
      <c r="AG1106" s="2" t="inlineStr">
        <is>
          <t>https://app.parlamento.pt/webutils/docs/doc.pdf?path=6148523063484d364c793942556b356c6443397a6158526c63793959566b6c4a544556484c3039464c7a49774d6a59794d4449314d5441774f53395151533831597a41304d47597a5a6930785a57466c4c5451774f444d74596d4d794e4330784e446b774e7a4a685a5751795a6d51756347526d&amp;Fich=5c040f3f-1eae-4083-bc24-149072aed2fd.pdf&amp;Inline=true</t>
        </is>
      </c>
      <c r="AH1106" s="3" t="n">
        <v>46321.77847222222</v>
      </c>
      <c r="AI1106" s="3" t="n">
        <v>46321.78055555555</v>
      </c>
      <c r="AJ1106" s="2" t="inlineStr"/>
    </row>
    <row r="1107">
      <c r="A1107" s="2" t="n">
        <v>1106</v>
      </c>
      <c r="B1107" s="2" t="inlineStr">
        <is>
          <t>1042C</t>
        </is>
      </c>
      <c r="C1107" s="3" t="n">
        <v>45967.88472222222</v>
      </c>
      <c r="D1107" s="2" t="inlineStr">
        <is>
          <t>Original</t>
        </is>
      </c>
      <c r="E1107" s="2" t="inlineStr">
        <is>
          <t>PCP</t>
        </is>
      </c>
      <c r="F1107" s="2" t="inlineStr">
        <is>
          <t>Alfredo Maia; Paula Santos; Paulo Raimundo</t>
        </is>
      </c>
      <c r="G1107" s="2" t="inlineStr">
        <is>
          <t>Art. 113.º-A (aditamento)</t>
        </is>
      </c>
      <c r="H1107" s="2" t="n"/>
      <c r="I1107" s="2" t="n"/>
      <c r="J1107" s="2" t="n"/>
      <c r="K1107" s="2" t="n"/>
      <c r="L1107" s="2" t="inlineStr">
        <is>
          <t>Artigo 113.º-A (Prolongamento da Linha de Leixões)</t>
        </is>
      </c>
      <c r="M1107" s="4" t="n"/>
      <c r="N1107" s="4" t="n"/>
      <c r="O1107" s="2" t="n"/>
      <c r="P1107" s="2" t="n"/>
      <c r="Q1107" s="2" t="n"/>
      <c r="R1107" s="2" t="n"/>
      <c r="S1107" s="2" t="inlineStr">
        <is>
          <t>Rejeitado(a) em Comissão</t>
        </is>
      </c>
      <c r="T1107" s="2" t="inlineStr">
        <is>
          <t>Rejeitada</t>
        </is>
      </c>
      <c r="U1107" s="2" t="inlineStr">
        <is>
          <t>Favor: CH, L, PCP, BE, PAN; Contra: PSD, IL, CDS-PP; Abstenção: PS</t>
        </is>
      </c>
      <c r="V1107" s="3" t="n">
        <v>45985</v>
      </c>
      <c r="W1107" s="2" t="inlineStr">
        <is>
          <t>AR: https://www.parlamento.pt/OrcamentoEstado/Paginas/DetalhePropostaAlteracao.aspx?BID=24283 PDF: https://app.parlamento.pt/webutils/docs/doc.pdf?path=6148523063484d364c793942556b356c6443397a6158526c63793959566b6c4a544556484c3039464c7a49774d6a59794d4449314d5441774f533951515339695a54526d4f5463345979316a4e6a59304c54526d5a444d744f5441344f5330335a444d34595446685a545577595445756347526d&amp;Fich=be4f978c-c664-4fd3-9089-7d38a1ae50a1.pdf&amp;Inline=true</t>
        </is>
      </c>
      <c r="X1107" s="2" t="inlineStr">
        <is>
          <t>Infraestruturas, Mobilidade e Habitação</t>
        </is>
      </c>
      <c r="Y1107" s="2" t="inlineStr">
        <is>
          <t>Articulado</t>
        </is>
      </c>
      <c r="Z1107" s="2" t="inlineStr">
        <is>
          <t>Aditamento (Artigo PPL)</t>
        </is>
      </c>
      <c r="AA1107" s="2" t="inlineStr">
        <is>
          <t>Rejeitado(a) em Comissão</t>
        </is>
      </c>
      <c r="AB1107" s="2" t="inlineStr"/>
      <c r="AC1107" s="2" t="inlineStr"/>
      <c r="AD1107" s="2" t="inlineStr">
        <is>
          <t>1</t>
        </is>
      </c>
      <c r="AE1107" s="2" t="inlineStr">
        <is>
          <t>24283</t>
        </is>
      </c>
      <c r="AF1107" s="2" t="inlineStr">
        <is>
          <t>https://www.parlamento.pt/OrcamentoEstado/Paginas/DetalhePropostaAlteracao.aspx?BID=24283</t>
        </is>
      </c>
      <c r="AG1107" s="2" t="inlineStr">
        <is>
          <t>https://app.parlamento.pt/webutils/docs/doc.pdf?path=6148523063484d364c793942556b356c6443397a6158526c63793959566b6c4a544556484c3039464c7a49774d6a59794d4449314d5441774f533951515339695a54526d4f5463345979316a4e6a59304c54526d5a444d744f5441344f5330335a444d34595446685a545577595445756347526d&amp;Fich=be4f978c-c664-4fd3-9089-7d38a1ae50a1.pdf&amp;Inline=true</t>
        </is>
      </c>
      <c r="AH1107" s="3" t="n">
        <v>46321.77847222222</v>
      </c>
      <c r="AI1107" s="3" t="n">
        <v>46321.78055555555</v>
      </c>
      <c r="AJ1107" s="2" t="inlineStr"/>
    </row>
    <row r="1108">
      <c r="A1108" s="2" t="n">
        <v>1107</v>
      </c>
      <c r="B1108" s="2" t="inlineStr">
        <is>
          <t>1043C</t>
        </is>
      </c>
      <c r="C1108" s="3" t="n">
        <v>45967.90694444445</v>
      </c>
      <c r="D1108" s="2" t="inlineStr">
        <is>
          <t>Original</t>
        </is>
      </c>
      <c r="E1108" s="2" t="inlineStr">
        <is>
          <t>PCP</t>
        </is>
      </c>
      <c r="F1108" s="2" t="inlineStr">
        <is>
          <t>Alfredo Maia; Paula Santos; Paulo Raimundo</t>
        </is>
      </c>
      <c r="G1108" s="2" t="inlineStr">
        <is>
          <t>Art. 128.º-A (aditamento)</t>
        </is>
      </c>
      <c r="H1108" s="2" t="n"/>
      <c r="I1108" s="2" t="n"/>
      <c r="J1108" s="2" t="n"/>
      <c r="K1108" s="2" t="n"/>
      <c r="L1108" s="2" t="inlineStr">
        <is>
          <t>Artigo 128.º-A (Acesso à tarifa regulada do gás natural)</t>
        </is>
      </c>
      <c r="M1108" s="4" t="n"/>
      <c r="N1108" s="4" t="n"/>
      <c r="O1108" s="2" t="n"/>
      <c r="P1108" s="2" t="n"/>
      <c r="Q1108" s="2" t="n"/>
      <c r="R1108" s="2" t="n"/>
      <c r="S1108" s="2" t="inlineStr">
        <is>
          <t>Rejeitado(a) em Comissão</t>
        </is>
      </c>
      <c r="T1108" s="2" t="inlineStr">
        <is>
          <t>Rejeitada</t>
        </is>
      </c>
      <c r="U1108" s="2" t="inlineStr">
        <is>
          <t>Favor: L, PCP, BE, PAN; Contra: PSD, CH, PS, IL, CDS-PP</t>
        </is>
      </c>
      <c r="V1108" s="3" t="n">
        <v>45985</v>
      </c>
      <c r="W1108" s="2" t="inlineStr">
        <is>
          <t>AR: https://www.parlamento.pt/OrcamentoEstado/Paginas/DetalhePropostaAlteracao.aspx?BID=24284 PDF: https://app.parlamento.pt/webutils/docs/doc.pdf?path=6148523063484d364c793942556b356c6443397a6158526c63793959566b6c4a544556484c3039464c7a49774d6a59794d4449314d5441774f5339515153396a4d7a59334e3252684d79316d59546b334c54526c4d4467744f5759355a533078595451314d546734597a67774e7a67756347526d&amp;Fich=c3677da3-fa97-4e08-9f9e-1a45188c8078.pdf&amp;Inline=true</t>
        </is>
      </c>
      <c r="X1108" s="2" t="inlineStr">
        <is>
          <t>Ambiente e Energia</t>
        </is>
      </c>
      <c r="Y1108" s="2" t="inlineStr">
        <is>
          <t>Articulado</t>
        </is>
      </c>
      <c r="Z1108" s="2" t="inlineStr">
        <is>
          <t>Aditamento (Artigo PPL)</t>
        </is>
      </c>
      <c r="AA1108" s="2" t="inlineStr">
        <is>
          <t>Rejeitado(a) em Comissão</t>
        </is>
      </c>
      <c r="AB1108" s="2" t="inlineStr"/>
      <c r="AC1108" s="2" t="inlineStr"/>
      <c r="AD1108" s="2" t="inlineStr">
        <is>
          <t>1</t>
        </is>
      </c>
      <c r="AE1108" s="2" t="inlineStr">
        <is>
          <t>24284</t>
        </is>
      </c>
      <c r="AF1108" s="2" t="inlineStr">
        <is>
          <t>https://www.parlamento.pt/OrcamentoEstado/Paginas/DetalhePropostaAlteracao.aspx?BID=24284</t>
        </is>
      </c>
      <c r="AG1108" s="2" t="inlineStr">
        <is>
          <t>https://app.parlamento.pt/webutils/docs/doc.pdf?path=6148523063484d364c793942556b356c6443397a6158526c63793959566b6c4a544556484c3039464c7a49774d6a59794d4449314d5441774f5339515153396a4d7a59334e3252684d79316d59546b334c54526c4d4467744f5759355a533078595451314d546734597a67774e7a67756347526d&amp;Fich=c3677da3-fa97-4e08-9f9e-1a45188c8078.pdf&amp;Inline=true</t>
        </is>
      </c>
      <c r="AH1108" s="3" t="n">
        <v>46321.77847222222</v>
      </c>
      <c r="AI1108" s="3" t="n">
        <v>46321.78055555555</v>
      </c>
      <c r="AJ1108" s="2" t="inlineStr"/>
    </row>
    <row r="1109">
      <c r="A1109" s="2" t="n">
        <v>1108</v>
      </c>
      <c r="B1109" s="2" t="inlineStr">
        <is>
          <t>1044C</t>
        </is>
      </c>
      <c r="C1109" s="3" t="n">
        <v>45967.90763888889</v>
      </c>
      <c r="D1109" s="2" t="inlineStr">
        <is>
          <t>Original</t>
        </is>
      </c>
      <c r="E1109" s="2" t="inlineStr">
        <is>
          <t>PCP</t>
        </is>
      </c>
      <c r="F1109" s="2" t="inlineStr">
        <is>
          <t>Alfredo Maia; Paula Santos; Paulo Raimundo</t>
        </is>
      </c>
      <c r="G1109" s="2" t="inlineStr">
        <is>
          <t>Art. 136.º-A (aditamento)</t>
        </is>
      </c>
      <c r="H1109" s="2" t="n"/>
      <c r="I1109" s="2" t="n"/>
      <c r="J1109" s="2" t="n"/>
      <c r="K1109" s="2" t="n"/>
      <c r="L1109" s="2" t="inlineStr">
        <is>
          <t>Artigo 136.º-A (Alteração ao Decreto-Lei n.º 15/2022, de 14 de janeiro)</t>
        </is>
      </c>
      <c r="M1109" s="4" t="n"/>
      <c r="N1109" s="4" t="n"/>
      <c r="O1109" s="2" t="n"/>
      <c r="P1109" s="2" t="n"/>
      <c r="Q1109" s="2" t="n"/>
      <c r="R1109" s="2" t="n"/>
      <c r="S1109" s="2" t="inlineStr">
        <is>
          <t>Rejeitado(a) em Comissão</t>
        </is>
      </c>
      <c r="T1109" s="2" t="inlineStr">
        <is>
          <t>Rejeitada</t>
        </is>
      </c>
      <c r="U1109" s="2" t="inlineStr">
        <is>
          <t>Favor: L, PCP, BE, PAN; Contra: PSD, CH, PS, IL, CDS-PP</t>
        </is>
      </c>
      <c r="V1109" s="3" t="n">
        <v>45987</v>
      </c>
      <c r="W1109" s="2" t="inlineStr">
        <is>
          <t>AR: https://www.parlamento.pt/OrcamentoEstado/Paginas/DetalhePropostaAlteracao.aspx?BID=24285 PDF: https://app.parlamento.pt/webutils/docs/doc.pdf?path=6148523063484d364c793942556b356c6443397a6158526c63793959566b6c4a544556484c3039464c7a49774d6a59794d4449314d5441774f5339515153396b4e574d785a5445345a53316b4d54637a4c54526c4d6a51744f4745355969307a4d3252684e4449794e324e6a4f4459756347526d&amp;Fich=d5c1e18e-d173-4e24-8a9b-33da4227cc86.pdf&amp;Inline=true</t>
        </is>
      </c>
      <c r="X1109" s="2" t="inlineStr">
        <is>
          <t>Ambiente e Energia</t>
        </is>
      </c>
      <c r="Y1109" s="2" t="inlineStr">
        <is>
          <t>Articulado</t>
        </is>
      </c>
      <c r="Z1109" s="2" t="inlineStr">
        <is>
          <t>Aditamento (Artigo PPL)</t>
        </is>
      </c>
      <c r="AA1109" s="2" t="inlineStr">
        <is>
          <t>Rejeitado(a) em Comissão</t>
        </is>
      </c>
      <c r="AB1109" s="2" t="inlineStr"/>
      <c r="AC1109" s="2" t="inlineStr"/>
      <c r="AD1109" s="2" t="inlineStr">
        <is>
          <t>1</t>
        </is>
      </c>
      <c r="AE1109" s="2" t="inlineStr">
        <is>
          <t>24285</t>
        </is>
      </c>
      <c r="AF1109" s="2" t="inlineStr">
        <is>
          <t>https://www.parlamento.pt/OrcamentoEstado/Paginas/DetalhePropostaAlteracao.aspx?BID=24285</t>
        </is>
      </c>
      <c r="AG1109" s="2" t="inlineStr">
        <is>
          <t>https://app.parlamento.pt/webutils/docs/doc.pdf?path=6148523063484d364c793942556b356c6443397a6158526c63793959566b6c4a544556484c3039464c7a49774d6a59794d4449314d5441774f5339515153396b4e574d785a5445345a53316b4d54637a4c54526c4d6a51744f4745355969307a4d3252684e4449794e324e6a4f4459756347526d&amp;Fich=d5c1e18e-d173-4e24-8a9b-33da4227cc86.pdf&amp;Inline=true</t>
        </is>
      </c>
      <c r="AH1109" s="3" t="n">
        <v>46321.77847222222</v>
      </c>
      <c r="AI1109" s="3" t="n">
        <v>46321.78055555555</v>
      </c>
      <c r="AJ1109" s="2" t="inlineStr"/>
    </row>
    <row r="1110">
      <c r="A1110" s="2" t="n">
        <v>1109</v>
      </c>
      <c r="B1110" s="2" t="inlineStr">
        <is>
          <t>1045C</t>
        </is>
      </c>
      <c r="C1110" s="3" t="n">
        <v>45967.91041666667</v>
      </c>
      <c r="D1110" s="2" t="inlineStr">
        <is>
          <t>Original</t>
        </is>
      </c>
      <c r="E1110" s="2" t="inlineStr">
        <is>
          <t>PCP</t>
        </is>
      </c>
      <c r="F1110" s="2" t="inlineStr">
        <is>
          <t>Alfredo Maia; Paula Santos; Paulo Raimundo</t>
        </is>
      </c>
      <c r="G1110" s="2" t="inlineStr">
        <is>
          <t>Art. 21.º-A (aditamento)</t>
        </is>
      </c>
      <c r="H1110" s="2" t="n"/>
      <c r="I1110" s="2" t="n"/>
      <c r="J1110" s="2" t="n"/>
      <c r="K1110" s="2" t="n"/>
      <c r="L1110" s="2" t="inlineStr">
        <is>
          <t>Artigo 21.º-A (Alteração remuneratória dos docentes das intuições do ensino superior públicas)</t>
        </is>
      </c>
      <c r="M1110" s="4" t="n"/>
      <c r="N1110" s="4" t="n"/>
      <c r="O1110" s="2" t="n"/>
      <c r="P1110" s="2" t="n"/>
      <c r="Q1110" s="2" t="n"/>
      <c r="R1110" s="2" t="n"/>
      <c r="S1110" s="2" t="inlineStr">
        <is>
          <t>Rejeitado(a) em Comissão</t>
        </is>
      </c>
      <c r="T1110" s="2" t="inlineStr">
        <is>
          <t>Rejeitada</t>
        </is>
      </c>
      <c r="U1110" s="2" t="inlineStr">
        <is>
          <t>Favor: L, PCP, BE, PAN; Contra: PSD, IL, CDS-PP; Abstenção: CH, PS</t>
        </is>
      </c>
      <c r="V1110" s="3" t="n">
        <v>45981</v>
      </c>
      <c r="W1110" s="2" t="inlineStr">
        <is>
          <t>AR: https://www.parlamento.pt/OrcamentoEstado/Paginas/DetalhePropostaAlteracao.aspx?BID=24286 PDF: https://app.parlamento.pt/webutils/docs/doc.pdf?path=6148523063484d364c793942556b356c6443397a6158526c63793959566b6c4a544556484c3039464c7a49774d6a59794d4449314d5441774f5339515153396a4e6d45774d32466d4d7930774e6d55334c54526d5a4749744f54646d5a5330315a6d49785a5755344e54566a4f5463756347526d&amp;Fich=c6a03af3-06e7-4fdb-97fe-5fb1ee855c97.pdf&amp;Inline=true</t>
        </is>
      </c>
      <c r="X1110" s="2" t="inlineStr">
        <is>
          <t>Educação e Ciência</t>
        </is>
      </c>
      <c r="Y1110" s="2" t="inlineStr">
        <is>
          <t>Articulado</t>
        </is>
      </c>
      <c r="Z1110" s="2" t="inlineStr">
        <is>
          <t>Aditamento (Artigo PPL)</t>
        </is>
      </c>
      <c r="AA1110" s="2" t="inlineStr">
        <is>
          <t>Rejeitado(a) em Comissão</t>
        </is>
      </c>
      <c r="AB1110" s="2" t="inlineStr"/>
      <c r="AC1110" s="2" t="inlineStr"/>
      <c r="AD1110" s="2" t="inlineStr">
        <is>
          <t>1</t>
        </is>
      </c>
      <c r="AE1110" s="2" t="inlineStr">
        <is>
          <t>24286</t>
        </is>
      </c>
      <c r="AF1110" s="2" t="inlineStr">
        <is>
          <t>https://www.parlamento.pt/OrcamentoEstado/Paginas/DetalhePropostaAlteracao.aspx?BID=24286</t>
        </is>
      </c>
      <c r="AG1110" s="2" t="inlineStr">
        <is>
          <t>https://app.parlamento.pt/webutils/docs/doc.pdf?path=6148523063484d364c793942556b356c6443397a6158526c63793959566b6c4a544556484c3039464c7a49774d6a59794d4449314d5441774f5339515153396a4e6d45774d32466d4d7930774e6d55334c54526d5a4749744f54646d5a5330315a6d49785a5755344e54566a4f5463756347526d&amp;Fich=c6a03af3-06e7-4fdb-97fe-5fb1ee855c97.pdf&amp;Inline=true</t>
        </is>
      </c>
      <c r="AH1110" s="3" t="n">
        <v>46321.77847222222</v>
      </c>
      <c r="AI1110" s="3" t="n">
        <v>46321.78055555555</v>
      </c>
      <c r="AJ1110" s="2" t="inlineStr"/>
    </row>
    <row r="1111">
      <c r="A1111" s="2" t="n">
        <v>1110</v>
      </c>
      <c r="B1111" s="2" t="inlineStr">
        <is>
          <t>1046C</t>
        </is>
      </c>
      <c r="C1111" s="3" t="n">
        <v>45967.91041666667</v>
      </c>
      <c r="D1111" s="2" t="inlineStr">
        <is>
          <t>Original</t>
        </is>
      </c>
      <c r="E1111" s="2" t="inlineStr">
        <is>
          <t>PCP</t>
        </is>
      </c>
      <c r="F1111" s="2" t="inlineStr">
        <is>
          <t>Alfredo Maia; Paula Santos; Paulo Raimundo</t>
        </is>
      </c>
      <c r="G1111" s="2" t="inlineStr">
        <is>
          <t>Art. 21.º-A (aditamento)</t>
        </is>
      </c>
      <c r="H1111" s="2" t="n"/>
      <c r="I1111" s="2" t="n"/>
      <c r="J1111" s="2" t="n"/>
      <c r="K1111" s="2" t="n"/>
      <c r="L1111" s="2" t="inlineStr">
        <is>
          <t>Artigo 21.º-A (Contratação de psicólogos nas Instituições do Ensino Superior Públicas)</t>
        </is>
      </c>
      <c r="M1111" s="4" t="n"/>
      <c r="N1111" s="4" t="n"/>
      <c r="O1111" s="2" t="n"/>
      <c r="P1111" s="2" t="n"/>
      <c r="Q1111" s="2" t="n"/>
      <c r="R1111" s="2" t="n"/>
      <c r="S1111" s="2" t="inlineStr">
        <is>
          <t>Rejeitado(a) em Comissão</t>
        </is>
      </c>
      <c r="T1111" s="2" t="inlineStr">
        <is>
          <t>Rejeitada</t>
        </is>
      </c>
      <c r="U1111" s="2" t="inlineStr">
        <is>
          <t>Favor: CH, L, PCP, BE, PAN; Contra: PSD, CDS-PP; Abstenção: PS, IL</t>
        </is>
      </c>
      <c r="V1111" s="3" t="n">
        <v>45981</v>
      </c>
      <c r="W1111" s="2" t="inlineStr">
        <is>
          <t>AR: https://www.parlamento.pt/OrcamentoEstado/Paginas/DetalhePropostaAlteracao.aspx?BID=24287 PDF: https://app.parlamento.pt/webutils/docs/doc.pdf?path=6148523063484d364c793942556b356c6443397a6158526c63793959566b6c4a544556484c3039464c7a49774d6a59794d4449314d5441774f533951515338784e546b774e6a4d324f43316d4f5455334c545268595751744f546c6d4d4330314e47597a4f444931593252684e7a55756347526d&amp;Fich=15906368-f957-4aad-99f0-54f3825cda75.pdf&amp;Inline=true</t>
        </is>
      </c>
      <c r="X1111" s="2" t="inlineStr">
        <is>
          <t>Educação e Ciência</t>
        </is>
      </c>
      <c r="Y1111" s="2" t="inlineStr">
        <is>
          <t>Articulado</t>
        </is>
      </c>
      <c r="Z1111" s="2" t="inlineStr">
        <is>
          <t>Aditamento (Artigo PPL)</t>
        </is>
      </c>
      <c r="AA1111" s="2" t="inlineStr">
        <is>
          <t>Rejeitado(a) em Comissão</t>
        </is>
      </c>
      <c r="AB1111" s="2" t="inlineStr"/>
      <c r="AC1111" s="2" t="inlineStr"/>
      <c r="AD1111" s="2" t="inlineStr">
        <is>
          <t>1</t>
        </is>
      </c>
      <c r="AE1111" s="2" t="inlineStr">
        <is>
          <t>24287</t>
        </is>
      </c>
      <c r="AF1111" s="2" t="inlineStr">
        <is>
          <t>https://www.parlamento.pt/OrcamentoEstado/Paginas/DetalhePropostaAlteracao.aspx?BID=24287</t>
        </is>
      </c>
      <c r="AG1111" s="2" t="inlineStr">
        <is>
          <t>https://app.parlamento.pt/webutils/docs/doc.pdf?path=6148523063484d364c793942556b356c6443397a6158526c63793959566b6c4a544556484c3039464c7a49774d6a59794d4449314d5441774f533951515338784e546b774e6a4d324f43316d4f5455334c545268595751744f546c6d4d4330314e47597a4f444931593252684e7a55756347526d&amp;Fich=15906368-f957-4aad-99f0-54f3825cda75.pdf&amp;Inline=true</t>
        </is>
      </c>
      <c r="AH1111" s="3" t="n">
        <v>46321.77847222222</v>
      </c>
      <c r="AI1111" s="3" t="n">
        <v>46321.78055555555</v>
      </c>
      <c r="AJ1111" s="2" t="inlineStr"/>
    </row>
    <row r="1112">
      <c r="A1112" s="2" t="n">
        <v>1111</v>
      </c>
      <c r="B1112" s="2" t="inlineStr">
        <is>
          <t>1047C</t>
        </is>
      </c>
      <c r="C1112" s="3" t="n">
        <v>45967.91111111111</v>
      </c>
      <c r="D1112" s="2" t="inlineStr">
        <is>
          <t>Original</t>
        </is>
      </c>
      <c r="E1112" s="2" t="inlineStr">
        <is>
          <t>PCP</t>
        </is>
      </c>
      <c r="F1112" s="2" t="inlineStr">
        <is>
          <t>Alfredo Maia; Paula Santos; Paulo Raimundo</t>
        </is>
      </c>
      <c r="G1112" s="2" t="inlineStr">
        <is>
          <t>Art. 118.º-A (aditamento)</t>
        </is>
      </c>
      <c r="H1112" s="2" t="n"/>
      <c r="I1112" s="2" t="n"/>
      <c r="J1112" s="2" t="n"/>
      <c r="K1112" s="2" t="n"/>
      <c r="L1112" s="2" t="inlineStr">
        <is>
          <t>Artigo 118.º-A (Fixação do preço da refeição no ensino superior público)</t>
        </is>
      </c>
      <c r="M1112" s="4" t="n"/>
      <c r="N1112" s="4" t="n"/>
      <c r="O1112" s="2" t="n"/>
      <c r="P1112" s="2" t="n"/>
      <c r="Q1112" s="2" t="n"/>
      <c r="R1112" s="2" t="n"/>
      <c r="S1112" s="2" t="inlineStr">
        <is>
          <t>Rejeitado(a) em Comissão</t>
        </is>
      </c>
      <c r="T1112" s="2" t="inlineStr">
        <is>
          <t>Rejeitada</t>
        </is>
      </c>
      <c r="U1112" s="2" t="inlineStr">
        <is>
          <t>Favor: L, PCP, BE, PAN; Contra: PSD, IL, CDS-PP; Abstenção: CH, PS</t>
        </is>
      </c>
      <c r="V1112" s="3" t="n">
        <v>45985</v>
      </c>
      <c r="W1112" s="2" t="inlineStr">
        <is>
          <t>AR: https://www.parlamento.pt/OrcamentoEstado/Paginas/DetalhePropostaAlteracao.aspx?BID=24288 PDF: https://app.parlamento.pt/webutils/docs/doc.pdf?path=6148523063484d364c793942556b356c6443397a6158526c63793959566b6c4a544556484c3039464c7a49774d6a59794d4449314d5441774f533951515338334d32557a597a466a4e43316959545a6d4c5451784f4467744f574e684e53316a5a54466b4d5467345a544a6b4e5745756347526d&amp;Fich=73e3c1c4-ba6f-4188-9ca5-ce1d188e2d5a.pdf&amp;Inline=true</t>
        </is>
      </c>
      <c r="X1112" s="2" t="inlineStr">
        <is>
          <t>Educação e Ciência</t>
        </is>
      </c>
      <c r="Y1112" s="2" t="inlineStr">
        <is>
          <t>Articulado</t>
        </is>
      </c>
      <c r="Z1112" s="2" t="inlineStr">
        <is>
          <t>Aditamento (Artigo PPL)</t>
        </is>
      </c>
      <c r="AA1112" s="2" t="inlineStr">
        <is>
          <t>Rejeitado(a) em Comissão</t>
        </is>
      </c>
      <c r="AB1112" s="2" t="inlineStr"/>
      <c r="AC1112" s="2" t="inlineStr"/>
      <c r="AD1112" s="2" t="inlineStr">
        <is>
          <t>1</t>
        </is>
      </c>
      <c r="AE1112" s="2" t="inlineStr">
        <is>
          <t>24288</t>
        </is>
      </c>
      <c r="AF1112" s="2" t="inlineStr">
        <is>
          <t>https://www.parlamento.pt/OrcamentoEstado/Paginas/DetalhePropostaAlteracao.aspx?BID=24288</t>
        </is>
      </c>
      <c r="AG1112" s="2" t="inlineStr">
        <is>
          <t>https://app.parlamento.pt/webutils/docs/doc.pdf?path=6148523063484d364c793942556b356c6443397a6158526c63793959566b6c4a544556484c3039464c7a49774d6a59794d4449314d5441774f533951515338334d32557a597a466a4e43316959545a6d4c5451784f4467744f574e684e53316a5a54466b4d5467345a544a6b4e5745756347526d&amp;Fich=73e3c1c4-ba6f-4188-9ca5-ce1d188e2d5a.pdf&amp;Inline=true</t>
        </is>
      </c>
      <c r="AH1112" s="3" t="n">
        <v>46321.77847222222</v>
      </c>
      <c r="AI1112" s="3" t="n">
        <v>46321.78055555555</v>
      </c>
      <c r="AJ1112" s="2" t="inlineStr"/>
    </row>
    <row r="1113">
      <c r="A1113" s="2" t="n">
        <v>1112</v>
      </c>
      <c r="B1113" s="2" t="inlineStr">
        <is>
          <t>1048C</t>
        </is>
      </c>
      <c r="C1113" s="3" t="n">
        <v>45967.91180555556</v>
      </c>
      <c r="D1113" s="2" t="inlineStr">
        <is>
          <t>Original</t>
        </is>
      </c>
      <c r="E1113" s="2" t="inlineStr">
        <is>
          <t>PCP</t>
        </is>
      </c>
      <c r="F1113" s="2" t="inlineStr">
        <is>
          <t>Alfredo Maia; Paula Santos; Paulo Raimundo</t>
        </is>
      </c>
      <c r="G1113" s="2" t="inlineStr">
        <is>
          <t>Art. 118.º-A (aditamento)</t>
        </is>
      </c>
      <c r="H1113" s="2" t="n"/>
      <c r="I1113" s="2" t="n"/>
      <c r="J1113" s="2" t="n"/>
      <c r="K1113" s="2" t="n"/>
      <c r="L1113" s="2" t="inlineStr">
        <is>
          <t>Artigo 118.º-A (Garantia da refeição social em todas as cantinas das Instituições do Ensino Superior Público)</t>
        </is>
      </c>
      <c r="M1113" s="4" t="n"/>
      <c r="N1113" s="4" t="n"/>
      <c r="O1113" s="2" t="n"/>
      <c r="P1113" s="2" t="n"/>
      <c r="Q1113" s="2" t="n"/>
      <c r="R1113" s="2" t="n"/>
      <c r="S1113" s="2" t="inlineStr">
        <is>
          <t>Rejeitado(a) em Comissão</t>
        </is>
      </c>
      <c r="T1113" s="2" t="inlineStr">
        <is>
          <t>Rejeitada</t>
        </is>
      </c>
      <c r="U1113" s="2" t="inlineStr">
        <is>
          <t>Favor: CH, IL, L, PCP, BE, PAN; Contra: PSD, CDS-PP; Abstenção: PS</t>
        </is>
      </c>
      <c r="V1113" s="3" t="n">
        <v>45985</v>
      </c>
      <c r="W1113" s="2" t="inlineStr">
        <is>
          <t>AR: https://www.parlamento.pt/OrcamentoEstado/Paginas/DetalhePropostaAlteracao.aspx?BID=24289 PDF: https://app.parlamento.pt/webutils/docs/doc.pdf?path=6148523063484d364c793942556b356c6443397a6158526c63793959566b6c4a544556484c3039464c7a49774d6a59794d4449314d5441774f5339515153396d4d54426a4e6a67324d7931684d54526d4c5451314d445574595441354d79316c5a6a6b314d6d59324d5751784e6a67756347526d&amp;Fich=f10c6863-a14f-4505-a093-ef952f61d168.pdf&amp;Inline=true</t>
        </is>
      </c>
      <c r="X1113" s="2" t="inlineStr">
        <is>
          <t>Educação e Ciência</t>
        </is>
      </c>
      <c r="Y1113" s="2" t="inlineStr">
        <is>
          <t>Articulado</t>
        </is>
      </c>
      <c r="Z1113" s="2" t="inlineStr">
        <is>
          <t>Aditamento (Artigo PPL)</t>
        </is>
      </c>
      <c r="AA1113" s="2" t="inlineStr">
        <is>
          <t>Rejeitado(a) em Comissão</t>
        </is>
      </c>
      <c r="AB1113" s="2" t="inlineStr"/>
      <c r="AC1113" s="2" t="inlineStr"/>
      <c r="AD1113" s="2" t="inlineStr">
        <is>
          <t>1</t>
        </is>
      </c>
      <c r="AE1113" s="2" t="inlineStr">
        <is>
          <t>24289</t>
        </is>
      </c>
      <c r="AF1113" s="2" t="inlineStr">
        <is>
          <t>https://www.parlamento.pt/OrcamentoEstado/Paginas/DetalhePropostaAlteracao.aspx?BID=24289</t>
        </is>
      </c>
      <c r="AG1113" s="2" t="inlineStr">
        <is>
          <t>https://app.parlamento.pt/webutils/docs/doc.pdf?path=6148523063484d364c793942556b356c6443397a6158526c63793959566b6c4a544556484c3039464c7a49774d6a59794d4449314d5441774f5339515153396d4d54426a4e6a67324d7931684d54526d4c5451314d445574595441354d79316c5a6a6b314d6d59324d5751784e6a67756347526d&amp;Fich=f10c6863-a14f-4505-a093-ef952f61d168.pdf&amp;Inline=true</t>
        </is>
      </c>
      <c r="AH1113" s="3" t="n">
        <v>46321.77847222222</v>
      </c>
      <c r="AI1113" s="3" t="n">
        <v>46321.78055555555</v>
      </c>
      <c r="AJ1113" s="2" t="inlineStr"/>
    </row>
    <row r="1114">
      <c r="A1114" s="2" t="n">
        <v>1113</v>
      </c>
      <c r="B1114" s="2" t="inlineStr">
        <is>
          <t>1049C-1</t>
        </is>
      </c>
      <c r="C1114" s="3" t="n">
        <v>45967.9125</v>
      </c>
      <c r="D1114" s="2" t="inlineStr">
        <is>
          <t>Original</t>
        </is>
      </c>
      <c r="E1114" s="2" t="inlineStr">
        <is>
          <t>PCP</t>
        </is>
      </c>
      <c r="F1114" s="2" t="inlineStr">
        <is>
          <t>Alfredo Maia; Paula Santos; Paulo Raimundo</t>
        </is>
      </c>
      <c r="G1114" s="2" t="inlineStr">
        <is>
          <t>Art. 21.º (substituição)</t>
        </is>
      </c>
      <c r="H1114" s="2" t="n"/>
      <c r="I1114" s="2" t="n"/>
      <c r="J1114" s="2" t="n"/>
      <c r="K1114" s="2" t="n"/>
      <c r="L1114" s="2" t="inlineStr">
        <is>
          <t>N.º 1, N.º 2, Artigo 21.º</t>
        </is>
      </c>
      <c r="M1114" s="4" t="n"/>
      <c r="N1114" s="4" t="n"/>
      <c r="O1114" s="2" t="n"/>
      <c r="P1114" s="2" t="n"/>
      <c r="Q1114" s="2" t="n"/>
      <c r="R1114" s="2" t="n"/>
      <c r="S1114" s="2" t="inlineStr">
        <is>
          <t>Rejeitado(a) em Comissão</t>
        </is>
      </c>
      <c r="T1114" s="2" t="inlineStr">
        <is>
          <t>Rejeitada</t>
        </is>
      </c>
      <c r="U1114" s="2" t="inlineStr">
        <is>
          <t>Favor: L, PCP, BE, PAN; Contra: PSD, CDS-PP; Abstenção: CH, PS, IL</t>
        </is>
      </c>
      <c r="V1114" s="3" t="n">
        <v>45981</v>
      </c>
      <c r="W1114" s="2" t="inlineStr">
        <is>
          <t>AR: https://www.parlamento.pt/OrcamentoEstado/Paginas/DetalhePropostaAlteracao.aspx?BID=24290 PDF: https://app.parlamento.pt/webutils/docs/doc.pdf?path=6148523063484d364c793942556b356c6443397a6158526c63793959566b6c4a544556484c3039464c7a49774d6a59794d4449314d5441774f533951515338794e7a4d314d6d4e69595330354f5441324c54526d4d6a4974596a49355a6930324e3259335a6a55775a4467314d5467756347526d&amp;Fich=27352cba-9906-4f22-b29f-67f7f50d8518.pdf&amp;Inline=true</t>
        </is>
      </c>
      <c r="X1114" s="2" t="inlineStr">
        <is>
          <t>Educação e Ciência</t>
        </is>
      </c>
      <c r="Y1114" s="2" t="inlineStr">
        <is>
          <t>Articulado</t>
        </is>
      </c>
      <c r="Z1114" s="2" t="inlineStr">
        <is>
          <t>Substituição</t>
        </is>
      </c>
      <c r="AA1114" s="2" t="inlineStr">
        <is>
          <t>Rejeitado(a) em Comissão</t>
        </is>
      </c>
      <c r="AB1114" s="2" t="inlineStr"/>
      <c r="AC1114" s="2" t="inlineStr">
        <is>
          <t>1</t>
        </is>
      </c>
      <c r="AD1114" s="2" t="inlineStr">
        <is>
          <t>1</t>
        </is>
      </c>
      <c r="AE1114" s="2" t="inlineStr">
        <is>
          <t>24290</t>
        </is>
      </c>
      <c r="AF1114" s="2" t="inlineStr">
        <is>
          <t>https://www.parlamento.pt/OrcamentoEstado/Paginas/DetalhePropostaAlteracao.aspx?BID=24290</t>
        </is>
      </c>
      <c r="AG1114" s="2" t="inlineStr">
        <is>
          <t>https://app.parlamento.pt/webutils/docs/doc.pdf?path=6148523063484d364c793942556b356c6443397a6158526c63793959566b6c4a544556484c3039464c7a49774d6a59794d4449314d5441774f533951515338794e7a4d314d6d4e69595330354f5441324c54526d4d6a4974596a49355a6930324e3259335a6a55775a4467314d5467756347526d&amp;Fich=27352cba-9906-4f22-b29f-67f7f50d8518.pdf&amp;Inline=true</t>
        </is>
      </c>
      <c r="AH1114" s="3" t="n">
        <v>46321.77847222222</v>
      </c>
      <c r="AI1114" s="3" t="n">
        <v>46321.78055555555</v>
      </c>
      <c r="AJ1114" s="2" t="inlineStr"/>
    </row>
    <row r="1115">
      <c r="A1115" s="2" t="n">
        <v>1114</v>
      </c>
      <c r="B1115" s="2" t="inlineStr">
        <is>
          <t>1049C-2</t>
        </is>
      </c>
      <c r="C1115" s="3" t="n">
        <v>45967.9125</v>
      </c>
      <c r="D1115" s="2" t="inlineStr">
        <is>
          <t>Original</t>
        </is>
      </c>
      <c r="E1115" s="2" t="inlineStr">
        <is>
          <t>PCP</t>
        </is>
      </c>
      <c r="F1115" s="2" t="inlineStr">
        <is>
          <t>Alfredo Maia; Paula Santos; Paulo Raimundo</t>
        </is>
      </c>
      <c r="G1115" s="2" t="inlineStr">
        <is>
          <t>Art. 21.º (eliminação)</t>
        </is>
      </c>
      <c r="H1115" s="2" t="n"/>
      <c r="I1115" s="2" t="n"/>
      <c r="J1115" s="2" t="n"/>
      <c r="K1115" s="2" t="n"/>
      <c r="L1115" s="2" t="inlineStr">
        <is>
          <t>N.º 4, Artigo 21.º</t>
        </is>
      </c>
      <c r="M1115" s="4" t="n"/>
      <c r="N1115" s="4" t="n"/>
      <c r="O1115" s="2" t="n"/>
      <c r="P1115" s="2" t="n"/>
      <c r="Q1115" s="2" t="n"/>
      <c r="R1115" s="2" t="n"/>
      <c r="S1115" s="2" t="inlineStr">
        <is>
          <t>Rejeitado(a) em Comissão</t>
        </is>
      </c>
      <c r="T1115" s="2" t="inlineStr">
        <is>
          <t>Rejeitada</t>
        </is>
      </c>
      <c r="U1115" s="2" t="inlineStr">
        <is>
          <t>Favor: L, PCP, BE, PAN; Contra: PSD, CDS-PP; Abstenção: CH, PS, IL</t>
        </is>
      </c>
      <c r="V1115" s="3" t="n">
        <v>45981</v>
      </c>
      <c r="W1115" s="2" t="inlineStr">
        <is>
          <t>AR: https://www.parlamento.pt/OrcamentoEstado/Paginas/DetalhePropostaAlteracao.aspx?BID=24710 PDF: https://app.parlamento.pt/webutils/docs/doc.pdf?path=6148523063484d364c793942556b356c6443397a6158526c63793959566b6c4a544556484c3039464c7a49774d6a59794d4449314d5441774f5339515153396d5a6a637a4e544a695a43307a5a546c6d4c54526d4d324d744f54566c4d69316c595441304d6a55324f54566d4d3251756347526d&amp;Fich=ff7352bd-3e9f-4f3c-95e2-ea0425695f3d.pdf&amp;Inline=true</t>
        </is>
      </c>
      <c r="X1115" s="2" t="inlineStr">
        <is>
          <t>Educação e Ciência</t>
        </is>
      </c>
      <c r="Y1115" s="2" t="inlineStr">
        <is>
          <t>Articulado</t>
        </is>
      </c>
      <c r="Z1115" s="2" t="inlineStr">
        <is>
          <t>Eliminação</t>
        </is>
      </c>
      <c r="AA1115" s="2" t="inlineStr">
        <is>
          <t>Rejeitado(a) em Comissão</t>
        </is>
      </c>
      <c r="AB1115" s="2" t="inlineStr"/>
      <c r="AC1115" s="2" t="inlineStr">
        <is>
          <t>2</t>
        </is>
      </c>
      <c r="AD1115" s="2" t="inlineStr">
        <is>
          <t>1</t>
        </is>
      </c>
      <c r="AE1115" s="2" t="inlineStr">
        <is>
          <t>24710</t>
        </is>
      </c>
      <c r="AF1115" s="2" t="inlineStr">
        <is>
          <t>https://www.parlamento.pt/OrcamentoEstado/Paginas/DetalhePropostaAlteracao.aspx?BID=24710</t>
        </is>
      </c>
      <c r="AG1115" s="2" t="inlineStr">
        <is>
          <t>https://app.parlamento.pt/webutils/docs/doc.pdf?path=6148523063484d364c793942556b356c6443397a6158526c63793959566b6c4a544556484c3039464c7a49774d6a59794d4449314d5441774f5339515153396d5a6a637a4e544a695a43307a5a546c6d4c54526d4d324d744f54566c4d69316c595441304d6a55324f54566d4d3251756347526d&amp;Fich=ff7352bd-3e9f-4f3c-95e2-ea0425695f3d.pdf&amp;Inline=true</t>
        </is>
      </c>
      <c r="AH1115" s="3" t="n">
        <v>46321.77847222222</v>
      </c>
      <c r="AI1115" s="3" t="n">
        <v>46321.78055555555</v>
      </c>
      <c r="AJ1115" s="2" t="inlineStr"/>
    </row>
    <row r="1116">
      <c r="A1116" s="2" t="n">
        <v>1115</v>
      </c>
      <c r="B1116" s="2" t="inlineStr">
        <is>
          <t>1050C</t>
        </is>
      </c>
      <c r="C1116" s="3" t="n">
        <v>45967.91319444445</v>
      </c>
      <c r="D1116" s="2" t="inlineStr">
        <is>
          <t>Original</t>
        </is>
      </c>
      <c r="E1116" s="2" t="inlineStr">
        <is>
          <t>PCP</t>
        </is>
      </c>
      <c r="F1116" s="2" t="inlineStr">
        <is>
          <t>Alfredo Maia; Paula Santos; Paulo Raimundo</t>
        </is>
      </c>
      <c r="G1116" s="2" t="inlineStr">
        <is>
          <t>Art. 118.º (substituição)</t>
        </is>
      </c>
      <c r="H1116" s="2" t="n"/>
      <c r="I1116" s="2" t="n"/>
      <c r="J1116" s="2" t="n"/>
      <c r="K1116" s="2" t="n"/>
      <c r="L1116" s="2" t="inlineStr">
        <is>
          <t>N.º 1, Artigo 118.º</t>
        </is>
      </c>
      <c r="M1116" s="4" t="n"/>
      <c r="N1116" s="4" t="n"/>
      <c r="O1116" s="2" t="n"/>
      <c r="P1116" s="2" t="n"/>
      <c r="Q1116" s="2" t="n"/>
      <c r="R1116" s="2" t="n"/>
      <c r="S1116" s="2" t="inlineStr">
        <is>
          <t>Rejeitado(a) em Comissão</t>
        </is>
      </c>
      <c r="T1116" s="2" t="inlineStr">
        <is>
          <t>Rejeitada</t>
        </is>
      </c>
      <c r="U1116" s="2" t="inlineStr">
        <is>
          <t>Favor: L, PCP, BE, PAN; Contra: PSD, CH, CDS-PP; Abstenção: PS, IL</t>
        </is>
      </c>
      <c r="V1116" s="3" t="n">
        <v>45985</v>
      </c>
      <c r="W1116" s="2" t="inlineStr">
        <is>
          <t>AR: https://www.parlamento.pt/OrcamentoEstado/Paginas/DetalhePropostaAlteracao.aspx?BID=24291 PDF: https://app.parlamento.pt/webutils/docs/doc.pdf?path=6148523063484d364c793942556b356c6443397a6158526c63793959566b6c4a544556484c3039464c7a49774d6a59794d4449314d5441774f5339515153396b4f4449304d6d4d794d79316c5a6a646d4c54526c4e6d51744f4745325969307a59545a6d5a5468684e57597a5a4755756347526d&amp;Fich=d8242c23-ef7f-4e6d-8a6b-3a6fe8a5f3de.pdf&amp;Inline=true</t>
        </is>
      </c>
      <c r="X1116" s="2" t="inlineStr">
        <is>
          <t>Educação e Ciência</t>
        </is>
      </c>
      <c r="Y1116" s="2" t="inlineStr">
        <is>
          <t>Articulado</t>
        </is>
      </c>
      <c r="Z1116" s="2" t="inlineStr">
        <is>
          <t>Substituição</t>
        </is>
      </c>
      <c r="AA1116" s="2" t="inlineStr">
        <is>
          <t>Rejeitado(a) em Comissão</t>
        </is>
      </c>
      <c r="AB1116" s="2" t="inlineStr"/>
      <c r="AC1116" s="2" t="inlineStr"/>
      <c r="AD1116" s="2" t="inlineStr">
        <is>
          <t>1</t>
        </is>
      </c>
      <c r="AE1116" s="2" t="inlineStr">
        <is>
          <t>24291</t>
        </is>
      </c>
      <c r="AF1116" s="2" t="inlineStr">
        <is>
          <t>https://www.parlamento.pt/OrcamentoEstado/Paginas/DetalhePropostaAlteracao.aspx?BID=24291</t>
        </is>
      </c>
      <c r="AG1116" s="2" t="inlineStr">
        <is>
          <t>https://app.parlamento.pt/webutils/docs/doc.pdf?path=6148523063484d364c793942556b356c6443397a6158526c63793959566b6c4a544556484c3039464c7a49774d6a59794d4449314d5441774f5339515153396b4f4449304d6d4d794d79316c5a6a646d4c54526c4e6d51744f4745325969307a59545a6d5a5468684e57597a5a4755756347526d&amp;Fich=d8242c23-ef7f-4e6d-8a6b-3a6fe8a5f3de.pdf&amp;Inline=true</t>
        </is>
      </c>
      <c r="AH1116" s="3" t="n">
        <v>46321.77847222222</v>
      </c>
      <c r="AI1116" s="3" t="n">
        <v>46321.78055555555</v>
      </c>
      <c r="AJ1116" s="2" t="inlineStr"/>
    </row>
    <row r="1117">
      <c r="A1117" s="2" t="n">
        <v>1116</v>
      </c>
      <c r="B1117" s="2" t="inlineStr">
        <is>
          <t>1051C</t>
        </is>
      </c>
      <c r="C1117" s="3" t="n">
        <v>45967.91527777778</v>
      </c>
      <c r="D1117" s="2" t="inlineStr">
        <is>
          <t>Original</t>
        </is>
      </c>
      <c r="E1117" s="2" t="inlineStr">
        <is>
          <t>PCP</t>
        </is>
      </c>
      <c r="F1117" s="2" t="inlineStr">
        <is>
          <t>Alfredo Maia; Paula Santos; Paulo Raimundo</t>
        </is>
      </c>
      <c r="G1117" s="2" t="inlineStr">
        <is>
          <t>Art. 1.º (substituição)</t>
        </is>
      </c>
      <c r="H1117" s="2" t="n"/>
      <c r="I1117" s="2" t="n"/>
      <c r="J1117" s="2" t="n"/>
      <c r="K1117" s="2" t="n"/>
      <c r="L1117" s="2" t="inlineStr">
        <is>
          <t>Mapa 4, Reforço da verba, € 250.000</t>
        </is>
      </c>
      <c r="M1117" s="4" t="n"/>
      <c r="N1117" s="4" t="n"/>
      <c r="O1117" s="2" t="n"/>
      <c r="P1117" s="2" t="n"/>
      <c r="Q1117" s="2" t="n"/>
      <c r="R1117" s="2" t="n"/>
      <c r="S1117" s="2" t="inlineStr">
        <is>
          <t>Rejeitado(a) em Comissão</t>
        </is>
      </c>
      <c r="T1117" s="2" t="inlineStr">
        <is>
          <t>Rejeitada</t>
        </is>
      </c>
      <c r="U1117" s="2" t="inlineStr">
        <is>
          <t>Favor: CH, IL, L, PCP, BE, PAN; Contra: PSD, CDS-PP; Abstenção: PS</t>
        </is>
      </c>
      <c r="V1117" s="3" t="n">
        <v>45987</v>
      </c>
      <c r="W1117" s="2" t="inlineStr">
        <is>
          <t>AR: https://www.parlamento.pt/OrcamentoEstado/Paginas/DetalhePropostaAlteracao.aspx?BID=24292 PDF: https://app.parlamento.pt/webutils/docs/doc.pdf?path=6148523063484d364c793942556b356c6443397a6158526c63793959566b6c4a544556484c3039464c7a49774d6a59794d4449314d5441774f53395151533835596a6b33595752684e7930334d7a5a694c545132596a59744f5459354e53316b596a55784d7a566c4e7a5a684d7a67756347526d&amp;Fich=9b97ada7-736b-46b6-9695-db5135e76a38.pdf&amp;Inline=true</t>
        </is>
      </c>
      <c r="X1117" s="2" t="inlineStr">
        <is>
          <t>Negócios Estrangeiros e Comunidades Portuguesas</t>
        </is>
      </c>
      <c r="Y1117" s="2" t="inlineStr">
        <is>
          <t>Mapas</t>
        </is>
      </c>
      <c r="Z1117" s="2" t="inlineStr">
        <is>
          <t>Substituição</t>
        </is>
      </c>
      <c r="AA1117" s="2" t="inlineStr">
        <is>
          <t>Rejeitado(a) em Comissão</t>
        </is>
      </c>
      <c r="AB1117" s="2" t="inlineStr"/>
      <c r="AC1117" s="2" t="inlineStr"/>
      <c r="AD1117" s="2" t="inlineStr">
        <is>
          <t>1</t>
        </is>
      </c>
      <c r="AE1117" s="2" t="inlineStr">
        <is>
          <t>24292</t>
        </is>
      </c>
      <c r="AF1117" s="2" t="inlineStr">
        <is>
          <t>https://www.parlamento.pt/OrcamentoEstado/Paginas/DetalhePropostaAlteracao.aspx?BID=24292</t>
        </is>
      </c>
      <c r="AG1117" s="2" t="inlineStr">
        <is>
          <t>https://app.parlamento.pt/webutils/docs/doc.pdf?path=6148523063484d364c793942556b356c6443397a6158526c63793959566b6c4a544556484c3039464c7a49774d6a59794d4449314d5441774f53395151533835596a6b33595752684e7930334d7a5a694c545132596a59744f5459354e53316b596a55784d7a566c4e7a5a684d7a67756347526d&amp;Fich=9b97ada7-736b-46b6-9695-db5135e76a38.pdf&amp;Inline=true</t>
        </is>
      </c>
      <c r="AH1117" s="3" t="n">
        <v>46321.77847222222</v>
      </c>
      <c r="AI1117" s="3" t="n">
        <v>46321.78055555555</v>
      </c>
      <c r="AJ1117" s="2" t="inlineStr"/>
    </row>
    <row r="1118">
      <c r="A1118" s="2" t="n">
        <v>1117</v>
      </c>
      <c r="B1118" s="2" t="inlineStr">
        <is>
          <t>1052C</t>
        </is>
      </c>
      <c r="C1118" s="3" t="n">
        <v>45967.91597222222</v>
      </c>
      <c r="D1118" s="2" t="inlineStr">
        <is>
          <t>Original</t>
        </is>
      </c>
      <c r="E1118" s="2" t="inlineStr">
        <is>
          <t>PCP</t>
        </is>
      </c>
      <c r="F1118" s="2" t="inlineStr">
        <is>
          <t>Alfredo Maia; Paula Santos; Paulo Raimundo</t>
        </is>
      </c>
      <c r="G1118" s="2" t="inlineStr">
        <is>
          <t>Art. 1.º (substituição)</t>
        </is>
      </c>
      <c r="H1118" s="2" t="n"/>
      <c r="I1118" s="2" t="n"/>
      <c r="J1118" s="2" t="n"/>
      <c r="K1118" s="2" t="n"/>
      <c r="L1118" s="2" t="inlineStr">
        <is>
          <t>Mapa 4, Reforço da verba, € 5.000.000</t>
        </is>
      </c>
      <c r="M1118" s="4" t="n"/>
      <c r="N1118" s="4" t="n"/>
      <c r="O1118" s="2" t="n"/>
      <c r="P1118" s="2" t="n"/>
      <c r="Q1118" s="2" t="n"/>
      <c r="R1118" s="2" t="n"/>
      <c r="S1118" s="2" t="inlineStr">
        <is>
          <t>Rejeitado(a) em Comissão</t>
        </is>
      </c>
      <c r="T1118" s="2" t="inlineStr">
        <is>
          <t>Rejeitada</t>
        </is>
      </c>
      <c r="U1118" s="2" t="inlineStr">
        <is>
          <t>Favor: L, PCP, BE, PAN; Contra: PSD, CH, IL, CDS-PP; Abstenção: PS</t>
        </is>
      </c>
      <c r="V1118" s="3" t="n">
        <v>45987</v>
      </c>
      <c r="W1118" s="2" t="inlineStr">
        <is>
          <t>AR: https://www.parlamento.pt/OrcamentoEstado/Paginas/DetalhePropostaAlteracao.aspx?BID=24293 PDF: https://app.parlamento.pt/webutils/docs/doc.pdf?path=6148523063484d364c793942556b356c6443397a6158526c63793959566b6c4a544556484c3039464c7a49774d6a59794d4449314d5441774f5339515153396d5a6d557a5a6a52694e5330324d5441784c5451314f5759744f4445344d4330325a544d344d4456684e6d5a6a4e4449756347526d&amp;Fich=ffe3f4b5-6101-459f-8180-6e3805a6fc42.pdf&amp;Inline=true</t>
        </is>
      </c>
      <c r="X1118" s="2" t="inlineStr">
        <is>
          <t>Negócios Estrangeiros e Comunidades Portuguesas</t>
        </is>
      </c>
      <c r="Y1118" s="2" t="inlineStr">
        <is>
          <t>Articulado</t>
        </is>
      </c>
      <c r="Z1118" s="2" t="inlineStr">
        <is>
          <t>Substituição</t>
        </is>
      </c>
      <c r="AA1118" s="2" t="inlineStr">
        <is>
          <t>Rejeitado(a) em Comissão</t>
        </is>
      </c>
      <c r="AB1118" s="2" t="inlineStr"/>
      <c r="AC1118" s="2" t="inlineStr"/>
      <c r="AD1118" s="2" t="inlineStr">
        <is>
          <t>1</t>
        </is>
      </c>
      <c r="AE1118" s="2" t="inlineStr">
        <is>
          <t>24293</t>
        </is>
      </c>
      <c r="AF1118" s="2" t="inlineStr">
        <is>
          <t>https://www.parlamento.pt/OrcamentoEstado/Paginas/DetalhePropostaAlteracao.aspx?BID=24293</t>
        </is>
      </c>
      <c r="AG1118" s="2" t="inlineStr">
        <is>
          <t>https://app.parlamento.pt/webutils/docs/doc.pdf?path=6148523063484d364c793942556b356c6443397a6158526c63793959566b6c4a544556484c3039464c7a49774d6a59794d4449314d5441774f5339515153396d5a6d557a5a6a52694e5330324d5441784c5451314f5759744f4445344d4330325a544d344d4456684e6d5a6a4e4449756347526d&amp;Fich=ffe3f4b5-6101-459f-8180-6e3805a6fc42.pdf&amp;Inline=true</t>
        </is>
      </c>
      <c r="AH1118" s="3" t="n">
        <v>46321.77847222222</v>
      </c>
      <c r="AI1118" s="3" t="n">
        <v>46321.78055555555</v>
      </c>
      <c r="AJ1118" s="2" t="inlineStr"/>
    </row>
    <row r="1119">
      <c r="A1119" s="2" t="n">
        <v>1118</v>
      </c>
      <c r="B1119" s="2" t="inlineStr">
        <is>
          <t>1053C</t>
        </is>
      </c>
      <c r="C1119" s="3" t="n">
        <v>45967.91736111111</v>
      </c>
      <c r="D1119" s="2" t="inlineStr">
        <is>
          <t>Original</t>
        </is>
      </c>
      <c r="E1119" s="2" t="inlineStr">
        <is>
          <t>PCP</t>
        </is>
      </c>
      <c r="F1119" s="2" t="inlineStr">
        <is>
          <t>Alfredo Maia; Paula Santos; Paulo Raimundo</t>
        </is>
      </c>
      <c r="G1119" s="2" t="inlineStr">
        <is>
          <t>Art. 20.º-A (aditamento)</t>
        </is>
      </c>
      <c r="H1119" s="2" t="n"/>
      <c r="I1119" s="2" t="n"/>
      <c r="J1119" s="2" t="n"/>
      <c r="K1119" s="2" t="n"/>
      <c r="L1119" s="2" t="inlineStr">
        <is>
          <t>Artigo 20.º-A (Proteção social dos trabalhadores dos Serviços Periféricos Externos do Ministério dos Negócios Estrangeiros)</t>
        </is>
      </c>
      <c r="M1119" s="4" t="n"/>
      <c r="N1119" s="4" t="n"/>
      <c r="O1119" s="2" t="n"/>
      <c r="P1119" s="2" t="n"/>
      <c r="Q1119" s="2" t="n"/>
      <c r="R1119" s="2" t="n"/>
      <c r="S1119" s="2" t="inlineStr">
        <is>
          <t>Rejeitado(a) em Comissão</t>
        </is>
      </c>
      <c r="T1119" s="2" t="inlineStr">
        <is>
          <t>Rejeitada</t>
        </is>
      </c>
      <c r="U1119" s="2" t="inlineStr">
        <is>
          <t>Favor: CH, L, PCP, BE, PAN; Contra: PSD, CDS-PP; Abstenção: PS, IL</t>
        </is>
      </c>
      <c r="V1119" s="3" t="n">
        <v>45981</v>
      </c>
      <c r="W1119" s="2" t="inlineStr">
        <is>
          <t>AR: https://www.parlamento.pt/OrcamentoEstado/Paginas/DetalhePropostaAlteracao.aspx?BID=24294 PDF: https://app.parlamento.pt/webutils/docs/doc.pdf?path=6148523063484d364c793942556b356c6443397a6158526c63793959566b6c4a544556484c3039464c7a49774d6a59794d4449314d5441774f533951515338324f574d794e5463324e4330794d4451304c5451344e445574596d55325a43316a4d6a55334d7a6c6c597a6c6d4f4445756347526d&amp;Fich=69c25764-2044-4845-be6d-c25739ec9f81.pdf&amp;Inline=true</t>
        </is>
      </c>
      <c r="X1119" s="2" t="inlineStr">
        <is>
          <t>Negócios Estrangeiros e Comunidades Portuguesas</t>
        </is>
      </c>
      <c r="Y1119" s="2" t="inlineStr">
        <is>
          <t>Articulado</t>
        </is>
      </c>
      <c r="Z1119" s="2" t="inlineStr">
        <is>
          <t>Aditamento (Artigo PPL)</t>
        </is>
      </c>
      <c r="AA1119" s="2" t="inlineStr">
        <is>
          <t>Rejeitado(a) em Comissão</t>
        </is>
      </c>
      <c r="AB1119" s="2" t="inlineStr"/>
      <c r="AC1119" s="2" t="inlineStr"/>
      <c r="AD1119" s="2" t="inlineStr">
        <is>
          <t>1</t>
        </is>
      </c>
      <c r="AE1119" s="2" t="inlineStr">
        <is>
          <t>24294</t>
        </is>
      </c>
      <c r="AF1119" s="2" t="inlineStr">
        <is>
          <t>https://www.parlamento.pt/OrcamentoEstado/Paginas/DetalhePropostaAlteracao.aspx?BID=24294</t>
        </is>
      </c>
      <c r="AG1119" s="2" t="inlineStr">
        <is>
          <t>https://app.parlamento.pt/webutils/docs/doc.pdf?path=6148523063484d364c793942556b356c6443397a6158526c63793959566b6c4a544556484c3039464c7a49774d6a59794d4449314d5441774f533951515338324f574d794e5463324e4330794d4451304c5451344e445574596d55325a43316a4d6a55334d7a6c6c597a6c6d4f4445756347526d&amp;Fich=69c25764-2044-4845-be6d-c25739ec9f81.pdf&amp;Inline=true</t>
        </is>
      </c>
      <c r="AH1119" s="3" t="n">
        <v>46321.77847222222</v>
      </c>
      <c r="AI1119" s="3" t="n">
        <v>46321.78055555555</v>
      </c>
      <c r="AJ1119" s="2" t="inlineStr"/>
    </row>
    <row r="1120">
      <c r="A1120" s="2" t="n">
        <v>1119</v>
      </c>
      <c r="B1120" s="2" t="inlineStr">
        <is>
          <t>1054C</t>
        </is>
      </c>
      <c r="C1120" s="3" t="n">
        <v>45967.91875</v>
      </c>
      <c r="D1120" s="2" t="inlineStr">
        <is>
          <t>Original</t>
        </is>
      </c>
      <c r="E1120" s="2" t="inlineStr">
        <is>
          <t>PCP</t>
        </is>
      </c>
      <c r="F1120" s="2" t="inlineStr">
        <is>
          <t>Alfredo Maia; Paula Santos; Paulo Raimundo</t>
        </is>
      </c>
      <c r="G1120" s="2" t="inlineStr">
        <is>
          <t>Art. 112.º-A (aditamento)</t>
        </is>
      </c>
      <c r="H1120" s="2" t="n"/>
      <c r="I1120" s="2" t="n"/>
      <c r="J1120" s="2" t="n"/>
      <c r="K1120" s="2" t="n"/>
      <c r="L1120" s="2" t="inlineStr">
        <is>
          <t>Artigo 112.º-A (Apoio às associações portuguesas no estrangeiro)</t>
        </is>
      </c>
      <c r="M1120" s="4" t="n"/>
      <c r="N1120" s="4" t="n"/>
      <c r="O1120" s="2" t="n"/>
      <c r="P1120" s="2" t="n"/>
      <c r="Q1120" s="2" t="n"/>
      <c r="R1120" s="2" t="n"/>
      <c r="S1120" s="2" t="inlineStr">
        <is>
          <t>Rejeitado(a) em Comissão</t>
        </is>
      </c>
      <c r="T1120" s="2" t="inlineStr">
        <is>
          <t>Rejeitada</t>
        </is>
      </c>
      <c r="U1120" s="2" t="inlineStr">
        <is>
          <t>Favor: CH, L, PCP, BE, PAN; Contra: PSD, IL, CDS-PP; Abstenção: PS</t>
        </is>
      </c>
      <c r="V1120" s="3" t="n">
        <v>45982</v>
      </c>
      <c r="W1120" s="2" t="inlineStr">
        <is>
          <t>AR: https://www.parlamento.pt/OrcamentoEstado/Paginas/DetalhePropostaAlteracao.aspx?BID=24295 PDF: https://app.parlamento.pt/webutils/docs/doc.pdf?path=6148523063484d364c793942556b356c6443397a6158526c63793959566b6c4a544556484c3039464c7a49774d6a59794d4449314d5441774f533951515338354d575a6b5a446377597930775a544e6b4c54526d5a5459744f44686a4d7930334f5445795a6d566c5a5441345a5745756347526d&amp;Fich=91fdd70c-0e3d-4fe6-88c3-7912feee08ea.pdf&amp;Inline=true</t>
        </is>
      </c>
      <c r="X1120" s="2" t="inlineStr">
        <is>
          <t>Negócios Estrangeiros e Comunidades Portuguesas</t>
        </is>
      </c>
      <c r="Y1120" s="2" t="inlineStr">
        <is>
          <t>Articulado</t>
        </is>
      </c>
      <c r="Z1120" s="2" t="inlineStr">
        <is>
          <t>Aditamento (Artigo PPL)</t>
        </is>
      </c>
      <c r="AA1120" s="2" t="inlineStr">
        <is>
          <t>Rejeitado(a) em Comissão</t>
        </is>
      </c>
      <c r="AB1120" s="2" t="inlineStr"/>
      <c r="AC1120" s="2" t="inlineStr"/>
      <c r="AD1120" s="2" t="inlineStr">
        <is>
          <t>1</t>
        </is>
      </c>
      <c r="AE1120" s="2" t="inlineStr">
        <is>
          <t>24295</t>
        </is>
      </c>
      <c r="AF1120" s="2" t="inlineStr">
        <is>
          <t>https://www.parlamento.pt/OrcamentoEstado/Paginas/DetalhePropostaAlteracao.aspx?BID=24295</t>
        </is>
      </c>
      <c r="AG1120" s="2" t="inlineStr">
        <is>
          <t>https://app.parlamento.pt/webutils/docs/doc.pdf?path=6148523063484d364c793942556b356c6443397a6158526c63793959566b6c4a544556484c3039464c7a49774d6a59794d4449314d5441774f533951515338354d575a6b5a446377597930775a544e6b4c54526d5a5459744f44686a4d7930334f5445795a6d566c5a5441345a5745756347526d&amp;Fich=91fdd70c-0e3d-4fe6-88c3-7912feee08ea.pdf&amp;Inline=true</t>
        </is>
      </c>
      <c r="AH1120" s="3" t="n">
        <v>46321.77847222222</v>
      </c>
      <c r="AI1120" s="3" t="n">
        <v>46321.78055555555</v>
      </c>
      <c r="AJ1120" s="2" t="inlineStr"/>
    </row>
    <row r="1121">
      <c r="A1121" s="2" t="n">
        <v>1120</v>
      </c>
      <c r="B1121" s="2" t="inlineStr">
        <is>
          <t>1055C</t>
        </is>
      </c>
      <c r="C1121" s="3" t="n">
        <v>45967.92916666667</v>
      </c>
      <c r="D1121" s="2" t="inlineStr">
        <is>
          <t>Original</t>
        </is>
      </c>
      <c r="E1121" s="2" t="inlineStr">
        <is>
          <t>L</t>
        </is>
      </c>
      <c r="F1121" s="2" t="inlineStr">
        <is>
          <t>Filipa Pinto; Isabel Mendes Lopes; Jorge Pinto; Patrícia Gonçalves; Paulo Muacho; Rui Tavares</t>
        </is>
      </c>
      <c r="G1121" s="2" t="inlineStr">
        <is>
          <t>Art. 22.º-A (aditamento)</t>
        </is>
      </c>
      <c r="H1121" s="2" t="n"/>
      <c r="I1121" s="2" t="n"/>
      <c r="J1121" s="2" t="n"/>
      <c r="K1121" s="2" t="n"/>
      <c r="L1121" s="2" t="inlineStr">
        <is>
          <t>Artigo 22.º-A (Abertura de concursos em Medicina Geral e Familiar)</t>
        </is>
      </c>
      <c r="M1121" s="4" t="n"/>
      <c r="N1121" s="4" t="n"/>
      <c r="O1121" s="2" t="n"/>
      <c r="P1121" s="2" t="n"/>
      <c r="Q1121" s="2" t="n"/>
      <c r="R1121" s="2" t="n"/>
      <c r="S1121" s="2" t="inlineStr">
        <is>
          <t>Rejeitado(a) em Comissão</t>
        </is>
      </c>
      <c r="T1121" s="2" t="inlineStr">
        <is>
          <t>Rejeitada</t>
        </is>
      </c>
      <c r="U1121" s="2" t="inlineStr">
        <is>
          <t>Favor: CH, L, PCP, BE, PAN; Contra: PSD, CDS-PP; Abstenção: PS, IL</t>
        </is>
      </c>
      <c r="V1121" s="3" t="n">
        <v>45981</v>
      </c>
      <c r="W1121" s="2" t="inlineStr">
        <is>
          <t>AR: https://www.parlamento.pt/OrcamentoEstado/Paginas/DetalhePropostaAlteracao.aspx?BID=24296 PDF: https://app.parlamento.pt/webutils/docs/doc.pdf?path=6148523063484d364c793942556b356c6443397a6158526c63793959566b6c4a544556484c3039464c7a49774d6a59794d4449314d5441774f533951515338354e446c6a4e4745314f5330335a5441774c5451344f575974596a6b314e79316a4e6d4d794d5749774e6a426b5a4449756347526d&amp;Fich=949c4a59-7e00-489f-b957-c6c21b060dd2.pdf&amp;Inline=true</t>
        </is>
      </c>
      <c r="X1121" s="2" t="inlineStr">
        <is>
          <t>Saúde</t>
        </is>
      </c>
      <c r="Y1121" s="2" t="inlineStr">
        <is>
          <t>Articulado</t>
        </is>
      </c>
      <c r="Z1121" s="2" t="inlineStr">
        <is>
          <t>Aditamento (Artigo PPL)</t>
        </is>
      </c>
      <c r="AA1121" s="2" t="inlineStr">
        <is>
          <t>Rejeitado(a) em Comissão</t>
        </is>
      </c>
      <c r="AB1121" s="2" t="inlineStr"/>
      <c r="AC1121" s="2" t="inlineStr"/>
      <c r="AD1121" s="2" t="inlineStr">
        <is>
          <t>1</t>
        </is>
      </c>
      <c r="AE1121" s="2" t="inlineStr">
        <is>
          <t>24296</t>
        </is>
      </c>
      <c r="AF1121" s="2" t="inlineStr">
        <is>
          <t>https://www.parlamento.pt/OrcamentoEstado/Paginas/DetalhePropostaAlteracao.aspx?BID=24296</t>
        </is>
      </c>
      <c r="AG1121" s="2" t="inlineStr">
        <is>
          <t>https://app.parlamento.pt/webutils/docs/doc.pdf?path=6148523063484d364c793942556b356c6443397a6158526c63793959566b6c4a544556484c3039464c7a49774d6a59794d4449314d5441774f533951515338354e446c6a4e4745314f5330335a5441774c5451344f575974596a6b314e79316a4e6d4d794d5749774e6a426b5a4449756347526d&amp;Fich=949c4a59-7e00-489f-b957-c6c21b060dd2.pdf&amp;Inline=true</t>
        </is>
      </c>
      <c r="AH1121" s="3" t="n">
        <v>46321.77847222222</v>
      </c>
      <c r="AI1121" s="3" t="n">
        <v>46321.78055555555</v>
      </c>
      <c r="AJ1121" s="2" t="inlineStr"/>
    </row>
    <row r="1122">
      <c r="A1122" s="2" t="n">
        <v>1121</v>
      </c>
      <c r="B1122" s="2" t="inlineStr">
        <is>
          <t>1056C</t>
        </is>
      </c>
      <c r="C1122" s="3" t="n">
        <v>45967.93333333333</v>
      </c>
      <c r="D1122" s="2" t="inlineStr">
        <is>
          <t>Original</t>
        </is>
      </c>
      <c r="E1122" s="2" t="inlineStr">
        <is>
          <t>CH</t>
        </is>
      </c>
      <c r="F112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22" s="2" t="inlineStr">
        <is>
          <t>Art. 109.º-A (aditamento)</t>
        </is>
      </c>
      <c r="H1122" s="2" t="n"/>
      <c r="I1122" s="2" t="n"/>
      <c r="J1122" s="2" t="n"/>
      <c r="K1122" s="2" t="n"/>
      <c r="L1122" s="2" t="inlineStr">
        <is>
          <t>Artigo 109.º-A (Criação do programa nacional de segurança de proximidade)</t>
        </is>
      </c>
      <c r="M1122" s="4" t="n"/>
      <c r="N1122" s="4" t="n"/>
      <c r="O1122" s="2" t="n"/>
      <c r="P1122" s="2" t="n"/>
      <c r="Q1122" s="2" t="n"/>
      <c r="R1122" s="2" t="n"/>
      <c r="S1122" s="2" t="inlineStr">
        <is>
          <t>Rejeitado(a) em Comissão</t>
        </is>
      </c>
      <c r="T1122" s="2" t="inlineStr">
        <is>
          <t>Rejeitada</t>
        </is>
      </c>
      <c r="U1122" s="2" t="inlineStr">
        <is>
          <t>Favor: CH, PAN; Contra: PSD, L, PCP, CDS-PP, BE; Abstenção: PS, IL</t>
        </is>
      </c>
      <c r="V1122" s="3" t="n">
        <v>45982</v>
      </c>
      <c r="W1122" s="2" t="inlineStr">
        <is>
          <t>AR: https://www.parlamento.pt/OrcamentoEstado/Paginas/DetalhePropostaAlteracao.aspx?BID=24297 PDF: https://app.parlamento.pt/webutils/docs/doc.pdf?path=6148523063484d364c793942556b356c6443397a6158526c63793959566b6c4a544556484c3039464c7a49774d6a59794d4449314d5441774f533951515338314f54566d4e7a417a59693169596a63794c5451784d6a55744f445a685969307a59546b314f444a6b5a5455784f5445756347526d&amp;Fich=595f703b-bb72-4125-86ab-3a9582de5191.pdf&amp;Inline=true</t>
        </is>
      </c>
      <c r="X1122" s="2" t="inlineStr">
        <is>
          <t>Assuntos Constitucionais, Direitos, Liberdades e Garantias</t>
        </is>
      </c>
      <c r="Y1122" s="2" t="inlineStr">
        <is>
          <t>Articulado</t>
        </is>
      </c>
      <c r="Z1122" s="2" t="inlineStr">
        <is>
          <t>Aditamento (Artigo PPL)</t>
        </is>
      </c>
      <c r="AA1122" s="2" t="inlineStr">
        <is>
          <t>Rejeitado(a) em Comissão</t>
        </is>
      </c>
      <c r="AB1122" s="2" t="inlineStr"/>
      <c r="AC1122" s="2" t="inlineStr"/>
      <c r="AD1122" s="2" t="inlineStr">
        <is>
          <t>1</t>
        </is>
      </c>
      <c r="AE1122" s="2" t="inlineStr">
        <is>
          <t>24297</t>
        </is>
      </c>
      <c r="AF1122" s="2" t="inlineStr">
        <is>
          <t>https://www.parlamento.pt/OrcamentoEstado/Paginas/DetalhePropostaAlteracao.aspx?BID=24297</t>
        </is>
      </c>
      <c r="AG1122" s="2" t="inlineStr">
        <is>
          <t>https://app.parlamento.pt/webutils/docs/doc.pdf?path=6148523063484d364c793942556b356c6443397a6158526c63793959566b6c4a544556484c3039464c7a49774d6a59794d4449314d5441774f533951515338314f54566d4e7a417a59693169596a63794c5451784d6a55744f445a685969307a59546b314f444a6b5a5455784f5445756347526d&amp;Fich=595f703b-bb72-4125-86ab-3a9582de5191.pdf&amp;Inline=true</t>
        </is>
      </c>
      <c r="AH1122" s="3" t="n">
        <v>46321.77847222222</v>
      </c>
      <c r="AI1122" s="3" t="n">
        <v>46321.78055555555</v>
      </c>
      <c r="AJ1122" s="2" t="inlineStr"/>
    </row>
    <row r="1123">
      <c r="A1123" s="2" t="n">
        <v>1122</v>
      </c>
      <c r="B1123" s="2" t="inlineStr">
        <is>
          <t>1057C-1</t>
        </is>
      </c>
      <c r="C1123" s="3" t="n">
        <v>45967.93333333333</v>
      </c>
      <c r="D1123" s="2" t="inlineStr">
        <is>
          <t>Original</t>
        </is>
      </c>
      <c r="E1123" s="2" t="inlineStr">
        <is>
          <t>PCP</t>
        </is>
      </c>
      <c r="F1123" s="2" t="inlineStr">
        <is>
          <t>Alfredo Maia; Paula Santos; Paulo Raimundo</t>
        </is>
      </c>
      <c r="G1123" s="2" t="inlineStr">
        <is>
          <t>Art. 128.º-A (aditamento)</t>
        </is>
      </c>
      <c r="H1123" s="2" t="n"/>
      <c r="I1123" s="2" t="n"/>
      <c r="J1123" s="2" t="n"/>
      <c r="K1123" s="2" t="n"/>
      <c r="L1123" s="2" t="inlineStr">
        <is>
          <t>Artigo 128.º-A (Controlo e fixação de preços dos combustíveis)</t>
        </is>
      </c>
      <c r="M1123" s="4" t="n"/>
      <c r="N1123" s="4" t="n"/>
      <c r="O1123" s="2" t="n"/>
      <c r="P1123" s="2" t="n"/>
      <c r="Q1123" s="2" t="n"/>
      <c r="R1123" s="2" t="n"/>
      <c r="S1123" s="2" t="inlineStr">
        <is>
          <t>Rejeitado(a) em Comissão</t>
        </is>
      </c>
      <c r="T1123" s="2" t="inlineStr">
        <is>
          <t>Rejeitada</t>
        </is>
      </c>
      <c r="U1123" s="2" t="inlineStr">
        <is>
          <t>Favor: L, PCP, BE, PAN; Contra: PSD, CH, PS, IL, CDS-PP</t>
        </is>
      </c>
      <c r="V1123" s="3" t="n">
        <v>45985</v>
      </c>
      <c r="W1123" s="2" t="inlineStr">
        <is>
          <t>AR: https://www.parlamento.pt/OrcamentoEstado/Paginas/DetalhePropostaAlteracao.aspx?BID=24298 PDF: https://app.parlamento.pt/webutils/docs/doc.pdf?path=6148523063484d364c793942556b356c6443397a6158526c63793959566b6c4a544556484c3039464c7a49774d6a59794d4449314d5441774f533951515338774d575a68593245354d53303059574d7a4c5451315a5441744f446b785a43316b595746684f57566d4f5755784d3249756347526d&amp;Fich=01faca91-4ac3-45e0-891d-daaa9ef9e13b.pdf&amp;Inline=true</t>
        </is>
      </c>
      <c r="X1123" s="2" t="inlineStr">
        <is>
          <t>Ambiente e Energia</t>
        </is>
      </c>
      <c r="Y1123" s="2" t="inlineStr">
        <is>
          <t>Articulado</t>
        </is>
      </c>
      <c r="Z1123" s="2" t="inlineStr">
        <is>
          <t>Aditamento (Artigo PPL)</t>
        </is>
      </c>
      <c r="AA1123" s="2" t="inlineStr">
        <is>
          <t>Rejeitado(a) em Comissão</t>
        </is>
      </c>
      <c r="AB1123" s="2" t="inlineStr"/>
      <c r="AC1123" s="2" t="inlineStr">
        <is>
          <t>1</t>
        </is>
      </c>
      <c r="AD1123" s="2" t="inlineStr">
        <is>
          <t>1</t>
        </is>
      </c>
      <c r="AE1123" s="2" t="inlineStr">
        <is>
          <t>24298</t>
        </is>
      </c>
      <c r="AF1123" s="2" t="inlineStr">
        <is>
          <t>https://www.parlamento.pt/OrcamentoEstado/Paginas/DetalhePropostaAlteracao.aspx?BID=24298</t>
        </is>
      </c>
      <c r="AG1123" s="2" t="inlineStr">
        <is>
          <t>https://app.parlamento.pt/webutils/docs/doc.pdf?path=6148523063484d364c793942556b356c6443397a6158526c63793959566b6c4a544556484c3039464c7a49774d6a59794d4449314d5441774f533951515338774d575a68593245354d53303059574d7a4c5451315a5441744f446b785a43316b595746684f57566d4f5755784d3249756347526d&amp;Fich=01faca91-4ac3-45e0-891d-daaa9ef9e13b.pdf&amp;Inline=true</t>
        </is>
      </c>
      <c r="AH1123" s="3" t="n">
        <v>46321.77847222222</v>
      </c>
      <c r="AI1123" s="3" t="n">
        <v>46321.78055555555</v>
      </c>
      <c r="AJ1123" s="2" t="inlineStr"/>
    </row>
    <row r="1124">
      <c r="A1124" s="2" t="n">
        <v>1123</v>
      </c>
      <c r="B1124" s="2" t="inlineStr">
        <is>
          <t>1057C-2</t>
        </is>
      </c>
      <c r="C1124" s="3" t="n">
        <v>45967.93333333333</v>
      </c>
      <c r="D1124" s="2" t="inlineStr">
        <is>
          <t>Original</t>
        </is>
      </c>
      <c r="E1124" s="2" t="inlineStr">
        <is>
          <t>PCP</t>
        </is>
      </c>
      <c r="F1124" s="2" t="inlineStr">
        <is>
          <t>Alfredo Maia; Paula Santos; Paulo Raimundo</t>
        </is>
      </c>
      <c r="G1124" s="2" t="inlineStr">
        <is>
          <t>Art. 128.º-B (aditamento)</t>
        </is>
      </c>
      <c r="H1124" s="2" t="n"/>
      <c r="I1124" s="2" t="n"/>
      <c r="J1124" s="2" t="n"/>
      <c r="K1124" s="2" t="n"/>
      <c r="L1124" s="2" t="inlineStr">
        <is>
          <t>Artigo 128.º-B (Controlo e fixação de preços dos combustíveis)</t>
        </is>
      </c>
      <c r="M1124" s="4" t="n"/>
      <c r="N1124" s="4" t="n"/>
      <c r="O1124" s="2" t="n"/>
      <c r="P1124" s="2" t="n"/>
      <c r="Q1124" s="2" t="n"/>
      <c r="R1124" s="2" t="n"/>
      <c r="S1124" s="2" t="inlineStr">
        <is>
          <t>Rejeitado(a) em Comissão</t>
        </is>
      </c>
      <c r="T1124" s="2" t="inlineStr">
        <is>
          <t>Rejeitada</t>
        </is>
      </c>
      <c r="U1124" s="2" t="inlineStr">
        <is>
          <t>Favor: L, PCP, BE, PAN; Contra: PSD, CH, PS, IL, CDS-PP</t>
        </is>
      </c>
      <c r="V1124" s="3" t="n">
        <v>45985</v>
      </c>
      <c r="W1124" s="2" t="inlineStr">
        <is>
          <t>AR: https://www.parlamento.pt/OrcamentoEstado/Paginas/DetalhePropostaAlteracao.aspx?BID=25338 PDF: https://app.parlamento.pt/webutils/docs/doc.pdf?path=6148523063484d364c793942556b356c6443397a6158526c63793959566b6c4a544556484c3039464c7a49774d6a59794d4449314d5441774f53395151533835596d4d30595441325a53316c4e6a51784c5451784f4449744f47526b4e6930775a47497a4e5751344e544e684f4449756347526d&amp;Fich=9bc4a06e-e641-4182-8dd6-0db35d853a82.pdf&amp;Inline=true</t>
        </is>
      </c>
      <c r="X1124" s="2" t="inlineStr">
        <is>
          <t>Ambiente e Energia</t>
        </is>
      </c>
      <c r="Y1124" s="2" t="inlineStr">
        <is>
          <t>Articulado</t>
        </is>
      </c>
      <c r="Z1124" s="2" t="inlineStr">
        <is>
          <t>Aditamento (Artigo PPL)</t>
        </is>
      </c>
      <c r="AA1124" s="2" t="inlineStr">
        <is>
          <t>Rejeitado(a) em Comissão</t>
        </is>
      </c>
      <c r="AB1124" s="2" t="inlineStr"/>
      <c r="AC1124" s="2" t="inlineStr">
        <is>
          <t>2</t>
        </is>
      </c>
      <c r="AD1124" s="2" t="inlineStr">
        <is>
          <t>1</t>
        </is>
      </c>
      <c r="AE1124" s="2" t="inlineStr">
        <is>
          <t>25338</t>
        </is>
      </c>
      <c r="AF1124" s="2" t="inlineStr">
        <is>
          <t>https://www.parlamento.pt/OrcamentoEstado/Paginas/DetalhePropostaAlteracao.aspx?BID=25338</t>
        </is>
      </c>
      <c r="AG1124" s="2" t="inlineStr">
        <is>
          <t>https://app.parlamento.pt/webutils/docs/doc.pdf?path=6148523063484d364c793942556b356c6443397a6158526c63793959566b6c4a544556484c3039464c7a49774d6a59794d4449314d5441774f53395151533835596d4d30595441325a53316c4e6a51784c5451784f4449744f47526b4e6930775a47497a4e5751344e544e684f4449756347526d&amp;Fich=9bc4a06e-e641-4182-8dd6-0db35d853a82.pdf&amp;Inline=true</t>
        </is>
      </c>
      <c r="AH1124" s="3" t="n">
        <v>46321.77847222222</v>
      </c>
      <c r="AI1124" s="3" t="n">
        <v>46321.78055555555</v>
      </c>
      <c r="AJ1124" s="2" t="inlineStr"/>
    </row>
    <row r="1125">
      <c r="A1125" s="2" t="n">
        <v>1124</v>
      </c>
      <c r="B1125" s="2" t="inlineStr">
        <is>
          <t>1058C</t>
        </is>
      </c>
      <c r="C1125" s="3" t="n">
        <v>45967.93402777778</v>
      </c>
      <c r="D1125" s="2" t="inlineStr">
        <is>
          <t>Original</t>
        </is>
      </c>
      <c r="E1125" s="2" t="inlineStr">
        <is>
          <t>L</t>
        </is>
      </c>
      <c r="F1125" s="2" t="inlineStr">
        <is>
          <t>Filipa Pinto; Isabel Mendes Lopes; Jorge Pinto; Patrícia Gonçalves; Paulo Muacho; Rui Tavares</t>
        </is>
      </c>
      <c r="G1125" s="2" t="inlineStr">
        <is>
          <t>Art. 19.º-A (aditamento)</t>
        </is>
      </c>
      <c r="H1125" s="2" t="n"/>
      <c r="I1125" s="2" t="n"/>
      <c r="J1125" s="2" t="n"/>
      <c r="K1125" s="2" t="n"/>
      <c r="L1125" s="2" t="inlineStr">
        <is>
          <t>Artigo 19.º-A (Programa “Semana de quatro dias de trabalho na Administração Pública”)</t>
        </is>
      </c>
      <c r="M1125" s="4" t="n"/>
      <c r="N1125" s="4" t="n"/>
      <c r="O1125" s="2" t="n"/>
      <c r="P1125" s="2" t="n"/>
      <c r="Q1125" s="2" t="n"/>
      <c r="R1125" s="2" t="n"/>
      <c r="S1125" s="2" t="inlineStr">
        <is>
          <t>Rejeitado(a) em Comissão</t>
        </is>
      </c>
      <c r="T1125" s="2" t="inlineStr">
        <is>
          <t>Rejeitada</t>
        </is>
      </c>
      <c r="U1125" s="2" t="inlineStr">
        <is>
          <t>Favor: L, BE, PAN; Contra: PSD, CH, IL, CDS-PP; Abstenção: PS, PCP</t>
        </is>
      </c>
      <c r="V1125" s="3" t="n">
        <v>45981</v>
      </c>
      <c r="W1125" s="2" t="inlineStr">
        <is>
          <t>AR: https://www.parlamento.pt/OrcamentoEstado/Paginas/DetalhePropostaAlteracao.aspx?BID=24299 PDF: https://app.parlamento.pt/webutils/docs/doc.pdf?path=6148523063484d364c793942556b356c6443397a6158526c63793959566b6c4a544556484c3039464c7a49774d6a59794d4449314d5441774f5339515153396a597a4135596a557a5a53316d4d4746694c54526a597a4574595459774e43316c4d7a51314e545935596a41334f4759756347526d&amp;Fich=cc09b53e-f0ab-4cc1-a604-e345569b078f.pdf&amp;Inline=true</t>
        </is>
      </c>
      <c r="X1125" s="2" t="inlineStr">
        <is>
          <t>Trabalho, Segurança Social e Inclusão</t>
        </is>
      </c>
      <c r="Y1125" s="2" t="inlineStr">
        <is>
          <t>Articulado</t>
        </is>
      </c>
      <c r="Z1125" s="2" t="inlineStr">
        <is>
          <t>Aditamento (Artigo PPL)</t>
        </is>
      </c>
      <c r="AA1125" s="2" t="inlineStr">
        <is>
          <t>Rejeitado(a) em Comissão</t>
        </is>
      </c>
      <c r="AB1125" s="2" t="inlineStr"/>
      <c r="AC1125" s="2" t="inlineStr"/>
      <c r="AD1125" s="2" t="inlineStr">
        <is>
          <t>1</t>
        </is>
      </c>
      <c r="AE1125" s="2" t="inlineStr">
        <is>
          <t>24299</t>
        </is>
      </c>
      <c r="AF1125" s="2" t="inlineStr">
        <is>
          <t>https://www.parlamento.pt/OrcamentoEstado/Paginas/DetalhePropostaAlteracao.aspx?BID=24299</t>
        </is>
      </c>
      <c r="AG1125" s="2" t="inlineStr">
        <is>
          <t>https://app.parlamento.pt/webutils/docs/doc.pdf?path=6148523063484d364c793942556b356c6443397a6158526c63793959566b6c4a544556484c3039464c7a49774d6a59794d4449314d5441774f5339515153396a597a4135596a557a5a53316d4d4746694c54526a597a4574595459774e43316c4d7a51314e545935596a41334f4759756347526d&amp;Fich=cc09b53e-f0ab-4cc1-a604-e345569b078f.pdf&amp;Inline=true</t>
        </is>
      </c>
      <c r="AH1125" s="3" t="n">
        <v>46321.77847222222</v>
      </c>
      <c r="AI1125" s="3" t="n">
        <v>46321.78055555555</v>
      </c>
      <c r="AJ1125" s="2" t="inlineStr"/>
    </row>
    <row r="1126">
      <c r="A1126" s="2" t="n">
        <v>1125</v>
      </c>
      <c r="B1126" s="2" t="inlineStr">
        <is>
          <t>1059C</t>
        </is>
      </c>
      <c r="C1126" s="3" t="n">
        <v>45967.93680555555</v>
      </c>
      <c r="D1126" s="2" t="inlineStr">
        <is>
          <t>Original</t>
        </is>
      </c>
      <c r="E1126" s="2" t="inlineStr">
        <is>
          <t>L</t>
        </is>
      </c>
      <c r="F1126" s="2" t="inlineStr">
        <is>
          <t>Filipa Pinto; Isabel Mendes Lopes; Jorge Pinto; Patrícia Gonçalves; Paulo Muacho; Rui Tavares</t>
        </is>
      </c>
      <c r="G1126" s="2" t="inlineStr">
        <is>
          <t>Art. 112.º-A (aditamento)</t>
        </is>
      </c>
      <c r="H1126" s="2" t="n"/>
      <c r="I1126" s="2" t="n"/>
      <c r="J1126" s="2" t="n"/>
      <c r="K1126" s="2" t="n"/>
      <c r="L1126" s="2" t="inlineStr">
        <is>
          <t>Artigo 112.º-A (Aditamento ao Decreto-Lei n.º 220/2006, de 3 de novembro)</t>
        </is>
      </c>
      <c r="M1126" s="4" t="n"/>
      <c r="N1126" s="4" t="n"/>
      <c r="O1126" s="2" t="n"/>
      <c r="P1126" s="2" t="n"/>
      <c r="Q1126" s="2" t="n"/>
      <c r="R1126" s="2" t="n"/>
      <c r="S1126" s="2" t="inlineStr">
        <is>
          <t>Rejeitado(a) em Comissão</t>
        </is>
      </c>
      <c r="T1126" s="2" t="inlineStr">
        <is>
          <t>Rejeitada</t>
        </is>
      </c>
      <c r="U1126" s="2" t="inlineStr">
        <is>
          <t>Favor: L, PAN; Contra: PSD, CH, PS, IL, PCP, CDS-PP; Abstenção: BE</t>
        </is>
      </c>
      <c r="V1126" s="3" t="n">
        <v>45982</v>
      </c>
      <c r="W1126" s="2" t="inlineStr">
        <is>
          <t>AR: https://www.parlamento.pt/OrcamentoEstado/Paginas/DetalhePropostaAlteracao.aspx?BID=24300 PDF: https://app.parlamento.pt/webutils/docs/doc.pdf?path=6148523063484d364c793942556b356c6443397a6158526c63793959566b6c4a544556484c3039464c7a49774d6a59794d4449314d5441774f5339515153396c4d6a52694f5751784e533035596a59794c54517a4e324d744f574e6b5a6930334f544e6c4f5445334d5745324e7a45756347526d&amp;Fich=e24b9d15-9b62-437c-9cdf-793e9171a671.pdf&amp;Inline=true</t>
        </is>
      </c>
      <c r="X1126" s="2" t="inlineStr">
        <is>
          <t>Comissão de Economia e Coesão Territorial; Trabalho, Segurança Social e Inclusão</t>
        </is>
      </c>
      <c r="Y1126" s="2" t="inlineStr">
        <is>
          <t>Articulado</t>
        </is>
      </c>
      <c r="Z1126" s="2" t="inlineStr">
        <is>
          <t>Aditamento (Artigo PPL)</t>
        </is>
      </c>
      <c r="AA1126" s="2" t="inlineStr">
        <is>
          <t>Rejeitado(a) em Comissão</t>
        </is>
      </c>
      <c r="AB1126" s="2" t="inlineStr"/>
      <c r="AC1126" s="2" t="inlineStr"/>
      <c r="AD1126" s="2" t="inlineStr">
        <is>
          <t>1</t>
        </is>
      </c>
      <c r="AE1126" s="2" t="inlineStr">
        <is>
          <t>24300</t>
        </is>
      </c>
      <c r="AF1126" s="2" t="inlineStr">
        <is>
          <t>https://www.parlamento.pt/OrcamentoEstado/Paginas/DetalhePropostaAlteracao.aspx?BID=24300</t>
        </is>
      </c>
      <c r="AG1126" s="2" t="inlineStr">
        <is>
          <t>https://app.parlamento.pt/webutils/docs/doc.pdf?path=6148523063484d364c793942556b356c6443397a6158526c63793959566b6c4a544556484c3039464c7a49774d6a59794d4449314d5441774f5339515153396c4d6a52694f5751784e533035596a59794c54517a4e324d744f574e6b5a6930334f544e6c4f5445334d5745324e7a45756347526d&amp;Fich=e24b9d15-9b62-437c-9cdf-793e9171a671.pdf&amp;Inline=true</t>
        </is>
      </c>
      <c r="AH1126" s="3" t="n">
        <v>46321.77847222222</v>
      </c>
      <c r="AI1126" s="3" t="n">
        <v>46321.78055555555</v>
      </c>
      <c r="AJ1126" s="2" t="inlineStr"/>
    </row>
    <row r="1127">
      <c r="A1127" s="2" t="n">
        <v>1126</v>
      </c>
      <c r="B1127" s="2" t="inlineStr">
        <is>
          <t>1060C</t>
        </is>
      </c>
      <c r="C1127" s="3" t="n">
        <v>45967.93680555555</v>
      </c>
      <c r="D1127" s="2" t="inlineStr">
        <is>
          <t>Original</t>
        </is>
      </c>
      <c r="E1127" s="2" t="inlineStr">
        <is>
          <t>PCP</t>
        </is>
      </c>
      <c r="F1127" s="2" t="inlineStr">
        <is>
          <t>Alfredo Maia; Paula Santos; Paulo Raimundo</t>
        </is>
      </c>
      <c r="G1127" s="2" t="inlineStr">
        <is>
          <t>Art. 28.º-A (aditamento)</t>
        </is>
      </c>
      <c r="H1127" s="2" t="n"/>
      <c r="I1127" s="2" t="n"/>
      <c r="J1127" s="2" t="n"/>
      <c r="K1127" s="2" t="n"/>
      <c r="L1127" s="2" t="inlineStr">
        <is>
          <t>Artigo 28.º-A (Reforço da Autoridade para as Condições de Trabalho)</t>
        </is>
      </c>
      <c r="M1127" s="4" t="n"/>
      <c r="N1127" s="4" t="n"/>
      <c r="O1127" s="2" t="n"/>
      <c r="P1127" s="2" t="n"/>
      <c r="Q1127" s="2" t="n"/>
      <c r="R1127" s="2" t="n"/>
      <c r="S1127" s="2" t="inlineStr">
        <is>
          <t>Rejeitado(a) em Comissão</t>
        </is>
      </c>
      <c r="T1127" s="2" t="inlineStr">
        <is>
          <t>Rejeitada</t>
        </is>
      </c>
      <c r="U1127" s="2" t="inlineStr">
        <is>
          <t>Favor: L, PCP, BE, PAN; Contra: PSD, IL, CDS-PP; Abstenção: CH, PS</t>
        </is>
      </c>
      <c r="V1127" s="3" t="n">
        <v>45981</v>
      </c>
      <c r="W1127" s="2" t="inlineStr">
        <is>
          <t>AR: https://www.parlamento.pt/OrcamentoEstado/Paginas/DetalhePropostaAlteracao.aspx?BID=24301 PDF: https://app.parlamento.pt/webutils/docs/doc.pdf?path=6148523063484d364c793942556b356c6443397a6158526c63793959566b6c4a544556484c3039464c7a49774d6a59794d4449314d5441774f53395151533878596d466c4d4455314e43316d4d6a64684c5451784d4455744f5755784d79316d4e4745314d7a49304f444d314e4749756347526d&amp;Fich=1bae0554-f27a-4105-9e13-f4a53248354b.pdf&amp;Inline=true</t>
        </is>
      </c>
      <c r="X1127" s="2" t="inlineStr">
        <is>
          <t>Trabalho, Segurança Social e Inclusão</t>
        </is>
      </c>
      <c r="Y1127" s="2" t="inlineStr">
        <is>
          <t>Articulado</t>
        </is>
      </c>
      <c r="Z1127" s="2" t="inlineStr">
        <is>
          <t>Aditamento (Artigo PPL)</t>
        </is>
      </c>
      <c r="AA1127" s="2" t="inlineStr">
        <is>
          <t>Rejeitado(a) em Comissão</t>
        </is>
      </c>
      <c r="AB1127" s="2" t="inlineStr"/>
      <c r="AC1127" s="2" t="inlineStr"/>
      <c r="AD1127" s="2" t="inlineStr">
        <is>
          <t>1</t>
        </is>
      </c>
      <c r="AE1127" s="2" t="inlineStr">
        <is>
          <t>24301</t>
        </is>
      </c>
      <c r="AF1127" s="2" t="inlineStr">
        <is>
          <t>https://www.parlamento.pt/OrcamentoEstado/Paginas/DetalhePropostaAlteracao.aspx?BID=24301</t>
        </is>
      </c>
      <c r="AG1127" s="2" t="inlineStr">
        <is>
          <t>https://app.parlamento.pt/webutils/docs/doc.pdf?path=6148523063484d364c793942556b356c6443397a6158526c63793959566b6c4a544556484c3039464c7a49774d6a59794d4449314d5441774f53395151533878596d466c4d4455314e43316d4d6a64684c5451784d4455744f5755784d79316d4e4745314d7a49304f444d314e4749756347526d&amp;Fich=1bae0554-f27a-4105-9e13-f4a53248354b.pdf&amp;Inline=true</t>
        </is>
      </c>
      <c r="AH1127" s="3" t="n">
        <v>46321.77847222222</v>
      </c>
      <c r="AI1127" s="3" t="n">
        <v>46321.78055555555</v>
      </c>
      <c r="AJ1127" s="2" t="inlineStr"/>
    </row>
    <row r="1128">
      <c r="A1128" s="2" t="n">
        <v>1127</v>
      </c>
      <c r="B1128" s="2" t="inlineStr">
        <is>
          <t>1061C</t>
        </is>
      </c>
      <c r="C1128" s="3" t="n">
        <v>45967.9375</v>
      </c>
      <c r="D1128" s="2" t="inlineStr">
        <is>
          <t>Retirada</t>
        </is>
      </c>
      <c r="E1128" s="2" t="inlineStr">
        <is>
          <t>PCP</t>
        </is>
      </c>
      <c r="F1128" s="2" t="inlineStr">
        <is>
          <t>Alfredo Maia; Paula Santos; Paulo Raimundo</t>
        </is>
      </c>
      <c r="G1128" s="2" t="inlineStr">
        <is>
          <t>Art. 46.º-A (aditamento)</t>
        </is>
      </c>
      <c r="H1128" s="2" t="n"/>
      <c r="I1128" s="2" t="n"/>
      <c r="J1128" s="2" t="n"/>
      <c r="K1128" s="2" t="n"/>
      <c r="L1128" s="2" t="inlineStr">
        <is>
          <t>Artigo 46.º-A (Definição e regulamentação de um regime laboral e de aposentação específico para os Operadores de Assistência em Escala e Técnicos de Tráfego de Assistência em Escala)</t>
        </is>
      </c>
      <c r="M1128" s="4" t="n"/>
      <c r="N1128" s="4" t="n"/>
      <c r="O1128" s="2" t="n"/>
      <c r="P1128" s="2" t="n"/>
      <c r="Q1128" s="2" t="n"/>
      <c r="R1128" s="2" t="n"/>
      <c r="S1128" s="2" t="inlineStr">
        <is>
          <t>Retirado(a)</t>
        </is>
      </c>
      <c r="T1128" s="2" t="inlineStr">
        <is>
          <t>Retirada</t>
        </is>
      </c>
      <c r="U1128" s="2" t="inlineStr"/>
      <c r="V1128" s="3" t="n"/>
      <c r="W1128" s="2" t="inlineStr">
        <is>
          <t>AR: https://www.parlamento.pt/OrcamentoEstado/Paginas/DetalhePropostaAlteracao.aspx?BID=24302 PDF: https://app.parlamento.pt/webutils/docs/doc.pdf?path=6148523063484d364c793942556b356c6443397a6158526c63793959566b6c4a544556484c3039464c7a49774d6a59794d4449314d5441774f533951515338344d444d774f4441784d4330774d4445334c5451785a6d51745957466c4d43307a4d6a6b784e544577597a41335a6d55756347526d&amp;Fich=80308010-0017-41fd-aae0-3291510c07fe.pdf&amp;Inline=true</t>
        </is>
      </c>
      <c r="X1128" s="2" t="inlineStr">
        <is>
          <t>Trabalho, Segurança Social e Inclusão</t>
        </is>
      </c>
      <c r="Y1128" s="2" t="inlineStr">
        <is>
          <t>Articulado</t>
        </is>
      </c>
      <c r="Z1128" s="2" t="inlineStr">
        <is>
          <t>Aditamento (Artigo PPL)</t>
        </is>
      </c>
      <c r="AA1128" s="2" t="inlineStr">
        <is>
          <t>Retirado(a)</t>
        </is>
      </c>
      <c r="AB1128" s="2" t="inlineStr"/>
      <c r="AC1128" s="2" t="inlineStr"/>
      <c r="AD1128" s="2" t="inlineStr">
        <is>
          <t>0</t>
        </is>
      </c>
      <c r="AE1128" s="2" t="inlineStr">
        <is>
          <t>24302</t>
        </is>
      </c>
      <c r="AF1128" s="2" t="inlineStr">
        <is>
          <t>https://www.parlamento.pt/OrcamentoEstado/Paginas/DetalhePropostaAlteracao.aspx?BID=24302</t>
        </is>
      </c>
      <c r="AG1128" s="2" t="inlineStr">
        <is>
          <t>https://app.parlamento.pt/webutils/docs/doc.pdf?path=6148523063484d364c793942556b356c6443397a6158526c63793959566b6c4a544556484c3039464c7a49774d6a59794d4449314d5441774f533951515338344d444d774f4441784d4330774d4445334c5451785a6d51745957466c4d43307a4d6a6b784e544577597a41335a6d55756347526d&amp;Fich=80308010-0017-41fd-aae0-3291510c07fe.pdf&amp;Inline=true</t>
        </is>
      </c>
      <c r="AH1128" s="3" t="n">
        <v>46321.77847222222</v>
      </c>
      <c r="AI1128" s="3" t="n">
        <v>46321.78055555555</v>
      </c>
      <c r="AJ1128" s="2" t="inlineStr"/>
    </row>
    <row r="1129">
      <c r="A1129" s="2" t="n">
        <v>1128</v>
      </c>
      <c r="B1129" s="2" t="inlineStr">
        <is>
          <t>1062C</t>
        </is>
      </c>
      <c r="C1129" s="3" t="n">
        <v>45967.93888888889</v>
      </c>
      <c r="D1129" s="2" t="inlineStr">
        <is>
          <t>Retirada</t>
        </is>
      </c>
      <c r="E1129" s="2" t="inlineStr">
        <is>
          <t>PCP</t>
        </is>
      </c>
      <c r="F1129" s="2" t="inlineStr">
        <is>
          <t>Alfredo Maia; Paula Santos; Paulo Raimundo</t>
        </is>
      </c>
      <c r="G1129" s="2" t="inlineStr">
        <is>
          <t>Art. 46.º-A (aditamento)</t>
        </is>
      </c>
      <c r="H1129" s="2" t="n"/>
      <c r="I1129" s="2" t="n"/>
      <c r="J1129" s="2" t="n"/>
      <c r="K1129" s="2" t="n"/>
      <c r="L1129" s="2" t="inlineStr">
        <is>
          <t>Artigo 46.º-A (Definição e regulamentação de um regime laboral e de aposentação específico para os Operadores de Assistência em Escala e Técnicos de Tráfego de Assistência em Escala)</t>
        </is>
      </c>
      <c r="M1129" s="4" t="n"/>
      <c r="N1129" s="4" t="n"/>
      <c r="O1129" s="2" t="n"/>
      <c r="P1129" s="2" t="n"/>
      <c r="Q1129" s="2" t="n"/>
      <c r="R1129" s="2" t="n"/>
      <c r="S1129" s="2" t="inlineStr">
        <is>
          <t>Retirado(a)</t>
        </is>
      </c>
      <c r="T1129" s="2" t="inlineStr">
        <is>
          <t>Retirada</t>
        </is>
      </c>
      <c r="U1129" s="2" t="inlineStr"/>
      <c r="V1129" s="3" t="n"/>
      <c r="W1129" s="2" t="inlineStr">
        <is>
          <t>AR: https://www.parlamento.pt/OrcamentoEstado/Paginas/DetalhePropostaAlteracao.aspx?BID=24303 PDF: https://app.parlamento.pt/webutils/docs/doc.pdf?path=6148523063484d364c793942556b356c6443397a6158526c63793959566b6c4a544556484c3039464c7a49774d6a59794d4449314d5441774f533951515338784e6a68684e7a59325a5331695a5459774c5451304d325574596a41785a6930314f57526a4e3259314e3251794f4441756347526d&amp;Fich=168a766e-be60-443e-b01f-59dc7f57d280.pdf&amp;Inline=true</t>
        </is>
      </c>
      <c r="X1129" s="2" t="inlineStr">
        <is>
          <t>Trabalho, Segurança Social e Inclusão</t>
        </is>
      </c>
      <c r="Y1129" s="2" t="inlineStr">
        <is>
          <t>Articulado</t>
        </is>
      </c>
      <c r="Z1129" s="2" t="inlineStr">
        <is>
          <t>Aditamento (Artigo PPL)</t>
        </is>
      </c>
      <c r="AA1129" s="2" t="inlineStr">
        <is>
          <t>Retirado(a)</t>
        </is>
      </c>
      <c r="AB1129" s="2" t="inlineStr"/>
      <c r="AC1129" s="2" t="inlineStr"/>
      <c r="AD1129" s="2" t="inlineStr">
        <is>
          <t>0</t>
        </is>
      </c>
      <c r="AE1129" s="2" t="inlineStr">
        <is>
          <t>24303</t>
        </is>
      </c>
      <c r="AF1129" s="2" t="inlineStr">
        <is>
          <t>https://www.parlamento.pt/OrcamentoEstado/Paginas/DetalhePropostaAlteracao.aspx?BID=24303</t>
        </is>
      </c>
      <c r="AG1129" s="2" t="inlineStr">
        <is>
          <t>https://app.parlamento.pt/webutils/docs/doc.pdf?path=6148523063484d364c793942556b356c6443397a6158526c63793959566b6c4a544556484c3039464c7a49774d6a59794d4449314d5441774f533951515338784e6a68684e7a59325a5331695a5459774c5451304d325574596a41785a6930314f57526a4e3259314e3251794f4441756347526d&amp;Fich=168a766e-be60-443e-b01f-59dc7f57d280.pdf&amp;Inline=true</t>
        </is>
      </c>
      <c r="AH1129" s="3" t="n">
        <v>46321.77847222222</v>
      </c>
      <c r="AI1129" s="3" t="n">
        <v>46321.78055555555</v>
      </c>
      <c r="AJ1129" s="2" t="inlineStr"/>
    </row>
    <row r="1130">
      <c r="A1130" s="2" t="n">
        <v>1129</v>
      </c>
      <c r="B1130" s="2" t="inlineStr">
        <is>
          <t>1063C</t>
        </is>
      </c>
      <c r="C1130" s="3" t="n">
        <v>45967.93888888889</v>
      </c>
      <c r="D1130" s="2" t="inlineStr">
        <is>
          <t>Original</t>
        </is>
      </c>
      <c r="E1130" s="2" t="inlineStr">
        <is>
          <t>CH</t>
        </is>
      </c>
      <c r="F113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30" s="2" t="inlineStr">
        <is>
          <t>Art. 136.º-A (aditamento)</t>
        </is>
      </c>
      <c r="H1130" s="2" t="n"/>
      <c r="I1130" s="2" t="n"/>
      <c r="J1130" s="2" t="n"/>
      <c r="K1130" s="2" t="n"/>
      <c r="L1130" s="2" t="inlineStr">
        <is>
          <t>Artigo 136.º-A (Centro de Interpretação da Ria de Aveiro e do seu Património Lagunar)</t>
        </is>
      </c>
      <c r="M1130" s="4" t="n"/>
      <c r="N1130" s="4" t="n"/>
      <c r="O1130" s="2" t="n"/>
      <c r="P1130" s="2" t="n"/>
      <c r="Q1130" s="2" t="n"/>
      <c r="R1130" s="2" t="n"/>
      <c r="S1130" s="2" t="inlineStr">
        <is>
          <t>Rejeitado(a) em Comissão</t>
        </is>
      </c>
      <c r="T1130" s="2" t="inlineStr">
        <is>
          <t>Rejeitada</t>
        </is>
      </c>
      <c r="U1130" s="2" t="inlineStr">
        <is>
          <t>Favor: CH, BE, PAN; Contra: PSD, IL, CDS-PP; Abstenção: PS, L, PCP</t>
        </is>
      </c>
      <c r="V1130" s="3" t="n">
        <v>45987</v>
      </c>
      <c r="W1130" s="2" t="inlineStr">
        <is>
          <t>AR: https://www.parlamento.pt/OrcamentoEstado/Paginas/DetalhePropostaAlteracao.aspx?BID=24304 PDF: https://app.parlamento.pt/webutils/docs/doc.pdf?path=6148523063484d364c793942556b356c6443397a6158526c63793959566b6c4a544556484c3039464c7a49774d6a59794d4449314d5441774f533951515338354d544531596d566c4e7930314e4445334c54526c4d544d74595451304e69307a4d4451314f444d304d3245354d6d45756347526d&amp;Fich=9115bee7-5417-4e13-a446-30458343a92a.pdf&amp;Inline=true</t>
        </is>
      </c>
      <c r="X1130" s="2" t="inlineStr">
        <is>
          <t>Cultura, Comunicação, Juventude e Desporto</t>
        </is>
      </c>
      <c r="Y1130" s="2" t="inlineStr">
        <is>
          <t>Articulado</t>
        </is>
      </c>
      <c r="Z1130" s="2" t="inlineStr">
        <is>
          <t>Aditamento (Artigo PPL)</t>
        </is>
      </c>
      <c r="AA1130" s="2" t="inlineStr">
        <is>
          <t>Rejeitado(a) em Comissão</t>
        </is>
      </c>
      <c r="AB1130" s="2" t="inlineStr"/>
      <c r="AC1130" s="2" t="inlineStr"/>
      <c r="AD1130" s="2" t="inlineStr">
        <is>
          <t>1</t>
        </is>
      </c>
      <c r="AE1130" s="2" t="inlineStr">
        <is>
          <t>24304</t>
        </is>
      </c>
      <c r="AF1130" s="2" t="inlineStr">
        <is>
          <t>https://www.parlamento.pt/OrcamentoEstado/Paginas/DetalhePropostaAlteracao.aspx?BID=24304</t>
        </is>
      </c>
      <c r="AG1130" s="2" t="inlineStr">
        <is>
          <t>https://app.parlamento.pt/webutils/docs/doc.pdf?path=6148523063484d364c793942556b356c6443397a6158526c63793959566b6c4a544556484c3039464c7a49774d6a59794d4449314d5441774f533951515338354d544531596d566c4e7930314e4445334c54526c4d544d74595451304e69307a4d4451314f444d304d3245354d6d45756347526d&amp;Fich=9115bee7-5417-4e13-a446-30458343a92a.pdf&amp;Inline=true</t>
        </is>
      </c>
      <c r="AH1130" s="3" t="n">
        <v>46321.77847222222</v>
      </c>
      <c r="AI1130" s="3" t="n">
        <v>46321.78055555555</v>
      </c>
      <c r="AJ1130" s="2" t="inlineStr"/>
    </row>
    <row r="1131">
      <c r="A1131" s="2" t="n">
        <v>1130</v>
      </c>
      <c r="B1131" s="2" t="inlineStr">
        <is>
          <t>1064C</t>
        </is>
      </c>
      <c r="C1131" s="3" t="n">
        <v>45967.93958333333</v>
      </c>
      <c r="D1131" s="2" t="inlineStr">
        <is>
          <t>Original</t>
        </is>
      </c>
      <c r="E1131" s="2" t="inlineStr">
        <is>
          <t>PCP</t>
        </is>
      </c>
      <c r="F1131" s="2" t="inlineStr">
        <is>
          <t>Alfredo Maia; Paula Santos; Paulo Raimundo</t>
        </is>
      </c>
      <c r="G1131" s="2" t="inlineStr">
        <is>
          <t>Art. 46.º-A (aditamento)</t>
        </is>
      </c>
      <c r="H1131" s="2" t="n"/>
      <c r="I1131" s="2" t="n"/>
      <c r="J1131" s="2" t="n"/>
      <c r="K1131" s="2" t="n"/>
      <c r="L1131" s="2" t="inlineStr">
        <is>
          <t>Artigo 46.º-A (Definição e regulamentação de um regime laboral e de aposentação específico para os trabalhadores da indústria metalúrgica e da indústria vidreira)</t>
        </is>
      </c>
      <c r="M1131" s="4" t="n"/>
      <c r="N1131" s="4" t="n"/>
      <c r="O1131" s="2" t="n"/>
      <c r="P1131" s="2" t="n"/>
      <c r="Q1131" s="2" t="n"/>
      <c r="R1131" s="2" t="n"/>
      <c r="S1131" s="2" t="inlineStr">
        <is>
          <t>Rejeitado(a) em Comissão</t>
        </is>
      </c>
      <c r="T1131" s="2" t="inlineStr">
        <is>
          <t>Rejeitada</t>
        </is>
      </c>
      <c r="U1131" s="2" t="inlineStr">
        <is>
          <t>Favor: L, PCP, BE, PAN; Contra: PSD, IL, CDS-PP; Abstenção: CH, PS</t>
        </is>
      </c>
      <c r="V1131" s="3" t="n">
        <v>45981</v>
      </c>
      <c r="W1131" s="2" t="inlineStr">
        <is>
          <t>AR: https://www.parlamento.pt/OrcamentoEstado/Paginas/DetalhePropostaAlteracao.aspx?BID=24305 PDF: https://app.parlamento.pt/webutils/docs/doc.pdf?path=6148523063484d364c793942556b356c6443397a6158526c63793959566b6c4a544556484c3039464c7a49774d6a59794d4449314d5441774f533951515338354d6d55794f546c6b5a4331684e6d55304c5451314e575974596a4933595330354e7a4e6b4d544a6a4e6a4e6c4d5759756347526d&amp;Fich=92e299dd-a6e4-455f-b27a-973d12c63e1f.pdf&amp;Inline=true</t>
        </is>
      </c>
      <c r="X1131" s="2" t="inlineStr">
        <is>
          <t>Trabalho, Segurança Social e Inclusão</t>
        </is>
      </c>
      <c r="Y1131" s="2" t="inlineStr">
        <is>
          <t>Articulado</t>
        </is>
      </c>
      <c r="Z1131" s="2" t="inlineStr">
        <is>
          <t>Aditamento (Artigo PPL)</t>
        </is>
      </c>
      <c r="AA1131" s="2" t="inlineStr">
        <is>
          <t>Rejeitado(a) em Comissão</t>
        </is>
      </c>
      <c r="AB1131" s="2" t="inlineStr"/>
      <c r="AC1131" s="2" t="inlineStr"/>
      <c r="AD1131" s="2" t="inlineStr">
        <is>
          <t>1</t>
        </is>
      </c>
      <c r="AE1131" s="2" t="inlineStr">
        <is>
          <t>24305</t>
        </is>
      </c>
      <c r="AF1131" s="2" t="inlineStr">
        <is>
          <t>https://www.parlamento.pt/OrcamentoEstado/Paginas/DetalhePropostaAlteracao.aspx?BID=24305</t>
        </is>
      </c>
      <c r="AG1131" s="2" t="inlineStr">
        <is>
          <t>https://app.parlamento.pt/webutils/docs/doc.pdf?path=6148523063484d364c793942556b356c6443397a6158526c63793959566b6c4a544556484c3039464c7a49774d6a59794d4449314d5441774f533951515338354d6d55794f546c6b5a4331684e6d55304c5451314e575974596a4933595330354e7a4e6b4d544a6a4e6a4e6c4d5759756347526d&amp;Fich=92e299dd-a6e4-455f-b27a-973d12c63e1f.pdf&amp;Inline=true</t>
        </is>
      </c>
      <c r="AH1131" s="3" t="n">
        <v>46321.77847222222</v>
      </c>
      <c r="AI1131" s="3" t="n">
        <v>46321.78055555555</v>
      </c>
      <c r="AJ1131" s="2" t="inlineStr"/>
    </row>
    <row r="1132">
      <c r="A1132" s="2" t="n">
        <v>1131</v>
      </c>
      <c r="B1132" s="2" t="inlineStr">
        <is>
          <t>1065C</t>
        </is>
      </c>
      <c r="C1132" s="3" t="n">
        <v>45967.94027777778</v>
      </c>
      <c r="D1132" s="2" t="inlineStr">
        <is>
          <t>Original</t>
        </is>
      </c>
      <c r="E1132" s="2" t="inlineStr">
        <is>
          <t>PCP</t>
        </is>
      </c>
      <c r="F1132" s="2" t="inlineStr">
        <is>
          <t>Alfredo Maia; Paula Santos; Paulo Raimundo</t>
        </is>
      </c>
      <c r="G1132" s="2" t="inlineStr">
        <is>
          <t>Art. 46.º-A (aditamento)</t>
        </is>
      </c>
      <c r="H1132" s="2" t="n"/>
      <c r="I1132" s="2" t="n"/>
      <c r="J1132" s="2" t="n"/>
      <c r="K1132" s="2" t="n"/>
      <c r="L1132" s="2" t="inlineStr">
        <is>
          <t>Artigo 46.º-A (Definição e regulamentação de um regime laboral e de aposentação específico para os carteiros)</t>
        </is>
      </c>
      <c r="M1132" s="4" t="n"/>
      <c r="N1132" s="4" t="n"/>
      <c r="O1132" s="2" t="n"/>
      <c r="P1132" s="2" t="n"/>
      <c r="Q1132" s="2" t="n"/>
      <c r="R1132" s="2" t="n"/>
      <c r="S1132" s="2" t="inlineStr">
        <is>
          <t>Rejeitado(a) em Comissão</t>
        </is>
      </c>
      <c r="T1132" s="2" t="inlineStr">
        <is>
          <t>Rejeitada</t>
        </is>
      </c>
      <c r="U1132" s="2" t="inlineStr">
        <is>
          <t>Favor: CH, L, PCP, BE, PAN; Contra: PSD, IL, CDS-PP; Abstenção: PS</t>
        </is>
      </c>
      <c r="V1132" s="3" t="n">
        <v>45981</v>
      </c>
      <c r="W1132" s="2" t="inlineStr">
        <is>
          <t>AR: https://www.parlamento.pt/OrcamentoEstado/Paginas/DetalhePropostaAlteracao.aspx?BID=24306 PDF: https://app.parlamento.pt/webutils/docs/doc.pdf?path=6148523063484d364c793942556b356c6443397a6158526c63793959566b6c4a544556484c3039464c7a49774d6a59794d4449314d5441774f5339515153387a4e4459304d7a45794d6930334f4467784c545130595467744f54646d4d43303459574a6d4d4755774d5459324d6d59756347526d&amp;Fich=34643122-7881-44a8-97f0-8abf0e01662f.pdf&amp;Inline=true</t>
        </is>
      </c>
      <c r="X1132" s="2" t="inlineStr">
        <is>
          <t>Trabalho, Segurança Social e Inclusão</t>
        </is>
      </c>
      <c r="Y1132" s="2" t="inlineStr">
        <is>
          <t>Articulado</t>
        </is>
      </c>
      <c r="Z1132" s="2" t="inlineStr">
        <is>
          <t>Aditamento (Artigo PPL)</t>
        </is>
      </c>
      <c r="AA1132" s="2" t="inlineStr">
        <is>
          <t>Rejeitado(a) em Comissão</t>
        </is>
      </c>
      <c r="AB1132" s="2" t="inlineStr"/>
      <c r="AC1132" s="2" t="inlineStr"/>
      <c r="AD1132" s="2" t="inlineStr">
        <is>
          <t>1</t>
        </is>
      </c>
      <c r="AE1132" s="2" t="inlineStr">
        <is>
          <t>24306</t>
        </is>
      </c>
      <c r="AF1132" s="2" t="inlineStr">
        <is>
          <t>https://www.parlamento.pt/OrcamentoEstado/Paginas/DetalhePropostaAlteracao.aspx?BID=24306</t>
        </is>
      </c>
      <c r="AG1132" s="2" t="inlineStr">
        <is>
          <t>https://app.parlamento.pt/webutils/docs/doc.pdf?path=6148523063484d364c793942556b356c6443397a6158526c63793959566b6c4a544556484c3039464c7a49774d6a59794d4449314d5441774f5339515153387a4e4459304d7a45794d6930334f4467784c545130595467744f54646d4d43303459574a6d4d4755774d5459324d6d59756347526d&amp;Fich=34643122-7881-44a8-97f0-8abf0e01662f.pdf&amp;Inline=true</t>
        </is>
      </c>
      <c r="AH1132" s="3" t="n">
        <v>46321.77847222222</v>
      </c>
      <c r="AI1132" s="3" t="n">
        <v>46321.78055555555</v>
      </c>
      <c r="AJ1132" s="2" t="inlineStr"/>
    </row>
    <row r="1133">
      <c r="A1133" s="2" t="n">
        <v>1132</v>
      </c>
      <c r="B1133" s="2" t="inlineStr">
        <is>
          <t>1066C</t>
        </is>
      </c>
      <c r="C1133" s="3" t="n">
        <v>45967.94097222222</v>
      </c>
      <c r="D1133" s="2" t="inlineStr">
        <is>
          <t>Original</t>
        </is>
      </c>
      <c r="E1133" s="2" t="inlineStr">
        <is>
          <t>PCP</t>
        </is>
      </c>
      <c r="F1133" s="2" t="inlineStr">
        <is>
          <t>Alfredo Maia; Paula Santos; Paulo Raimundo</t>
        </is>
      </c>
      <c r="G1133" s="2" t="inlineStr">
        <is>
          <t>Art. 46.º-A (aditamento)</t>
        </is>
      </c>
      <c r="H1133" s="2" t="n"/>
      <c r="I1133" s="2" t="n"/>
      <c r="J1133" s="2" t="n"/>
      <c r="K1133" s="2" t="n"/>
      <c r="L1133" s="2" t="inlineStr">
        <is>
          <t>Artigo 46.º-A (Definição e regulamentação de um regime laboral e de aposentação específico para os trabalhadores dos centros de contacto)</t>
        </is>
      </c>
      <c r="M1133" s="4" t="n"/>
      <c r="N1133" s="4" t="n"/>
      <c r="O1133" s="2" t="n"/>
      <c r="P1133" s="2" t="n"/>
      <c r="Q1133" s="2" t="n"/>
      <c r="R1133" s="2" t="n"/>
      <c r="S1133" s="2" t="inlineStr">
        <is>
          <t>Rejeitado(a) em Comissão</t>
        </is>
      </c>
      <c r="T1133" s="2" t="inlineStr">
        <is>
          <t>Rejeitada</t>
        </is>
      </c>
      <c r="U1133" s="2" t="inlineStr">
        <is>
          <t>Favor: CH, L, PCP, BE, PAN; Contra: PSD, IL, CDS-PP; Abstenção: PS</t>
        </is>
      </c>
      <c r="V1133" s="3" t="n">
        <v>45981</v>
      </c>
      <c r="W1133" s="2" t="inlineStr">
        <is>
          <t>AR: https://www.parlamento.pt/OrcamentoEstado/Paginas/DetalhePropostaAlteracao.aspx?BID=24307 PDF: https://app.parlamento.pt/webutils/docs/doc.pdf?path=6148523063484d364c793942556b356c6443397a6158526c63793959566b6c4a544556484c3039464c7a49774d6a59794d4449314d5441774f5339515153396a5a6a59345a4459354e79316a4d5751324c5451324d474d74596a55325a6931684e445a6a4e6a49345a474d315a6d51756347526d&amp;Fich=cf68d697-c1d6-460c-b56f-a46c628dc5fd.pdf&amp;Inline=true</t>
        </is>
      </c>
      <c r="X1133" s="2" t="inlineStr">
        <is>
          <t>Trabalho, Segurança Social e Inclusão</t>
        </is>
      </c>
      <c r="Y1133" s="2" t="inlineStr">
        <is>
          <t>Articulado</t>
        </is>
      </c>
      <c r="Z1133" s="2" t="inlineStr">
        <is>
          <t>Aditamento (Artigo PPL)</t>
        </is>
      </c>
      <c r="AA1133" s="2" t="inlineStr">
        <is>
          <t>Rejeitado(a) em Comissão</t>
        </is>
      </c>
      <c r="AB1133" s="2" t="inlineStr"/>
      <c r="AC1133" s="2" t="inlineStr"/>
      <c r="AD1133" s="2" t="inlineStr">
        <is>
          <t>1</t>
        </is>
      </c>
      <c r="AE1133" s="2" t="inlineStr">
        <is>
          <t>24307</t>
        </is>
      </c>
      <c r="AF1133" s="2" t="inlineStr">
        <is>
          <t>https://www.parlamento.pt/OrcamentoEstado/Paginas/DetalhePropostaAlteracao.aspx?BID=24307</t>
        </is>
      </c>
      <c r="AG1133" s="2" t="inlineStr">
        <is>
          <t>https://app.parlamento.pt/webutils/docs/doc.pdf?path=6148523063484d364c793942556b356c6443397a6158526c63793959566b6c4a544556484c3039464c7a49774d6a59794d4449314d5441774f5339515153396a5a6a59345a4459354e79316a4d5751324c5451324d474d74596a55325a6931684e445a6a4e6a49345a474d315a6d51756347526d&amp;Fich=cf68d697-c1d6-460c-b56f-a46c628dc5fd.pdf&amp;Inline=true</t>
        </is>
      </c>
      <c r="AH1133" s="3" t="n">
        <v>46321.77847222222</v>
      </c>
      <c r="AI1133" s="3" t="n">
        <v>46321.78055555555</v>
      </c>
      <c r="AJ1133" s="2" t="inlineStr"/>
    </row>
    <row r="1134">
      <c r="A1134" s="2" t="n">
        <v>1133</v>
      </c>
      <c r="B1134" s="2" t="inlineStr">
        <is>
          <t>1067C</t>
        </is>
      </c>
      <c r="C1134" s="3" t="n">
        <v>45967.94166666667</v>
      </c>
      <c r="D1134" s="2" t="inlineStr">
        <is>
          <t>Original</t>
        </is>
      </c>
      <c r="E1134" s="2" t="inlineStr">
        <is>
          <t>PCP</t>
        </is>
      </c>
      <c r="F1134" s="2" t="inlineStr">
        <is>
          <t>Alfredo Maia; Paula Santos; Paulo Raimundo</t>
        </is>
      </c>
      <c r="G1134" s="2" t="inlineStr">
        <is>
          <t>Art. 46.º-A (aditamento)</t>
        </is>
      </c>
      <c r="H1134" s="2" t="n"/>
      <c r="I1134" s="2" t="n"/>
      <c r="J1134" s="2" t="n"/>
      <c r="K1134" s="2" t="n"/>
      <c r="L1134" s="2" t="inlineStr">
        <is>
          <t>Artigo 46.º-A (Definição e regulamentação de um regime laboral e de aposentação específico para os trabalhadores do setor dos transportes)</t>
        </is>
      </c>
      <c r="M1134" s="4" t="n"/>
      <c r="N1134" s="4" t="n"/>
      <c r="O1134" s="2" t="n"/>
      <c r="P1134" s="2" t="n"/>
      <c r="Q1134" s="2" t="n"/>
      <c r="R1134" s="2" t="n"/>
      <c r="S1134" s="2" t="inlineStr">
        <is>
          <t>Rejeitado(a) em Comissão</t>
        </is>
      </c>
      <c r="T1134" s="2" t="inlineStr">
        <is>
          <t>Rejeitada</t>
        </is>
      </c>
      <c r="U1134" s="2" t="inlineStr">
        <is>
          <t>Favor: CH, L, PCP, BE, PAN; Contra: PSD, IL, CDS-PP; Abstenção: PS</t>
        </is>
      </c>
      <c r="V1134" s="3" t="n">
        <v>45981</v>
      </c>
      <c r="W1134" s="2" t="inlineStr">
        <is>
          <t>AR: https://www.parlamento.pt/OrcamentoEstado/Paginas/DetalhePropostaAlteracao.aspx?BID=24308 PDF: https://app.parlamento.pt/webutils/docs/doc.pdf?path=6148523063484d364c793942556b356c6443397a6158526c63793959566b6c4a544556484c3039464c7a49774d6a59794d4449314d5441774f533951515338325954677a596d5668597930334e4755334c5451784f54597459544e695a693031596a497a5a4464694e6a49354f4449756347526d&amp;Fich=6a83beac-74e7-4196-a3bf-5b23d7b62982.pdf&amp;Inline=true</t>
        </is>
      </c>
      <c r="X1134" s="2" t="inlineStr">
        <is>
          <t>Trabalho, Segurança Social e Inclusão</t>
        </is>
      </c>
      <c r="Y1134" s="2" t="inlineStr">
        <is>
          <t>Articulado</t>
        </is>
      </c>
      <c r="Z1134" s="2" t="inlineStr">
        <is>
          <t>Aditamento (Artigo PPL)</t>
        </is>
      </c>
      <c r="AA1134" s="2" t="inlineStr">
        <is>
          <t>Rejeitado(a) em Comissão</t>
        </is>
      </c>
      <c r="AB1134" s="2" t="inlineStr"/>
      <c r="AC1134" s="2" t="inlineStr"/>
      <c r="AD1134" s="2" t="inlineStr">
        <is>
          <t>1</t>
        </is>
      </c>
      <c r="AE1134" s="2" t="inlineStr">
        <is>
          <t>24308</t>
        </is>
      </c>
      <c r="AF1134" s="2" t="inlineStr">
        <is>
          <t>https://www.parlamento.pt/OrcamentoEstado/Paginas/DetalhePropostaAlteracao.aspx?BID=24308</t>
        </is>
      </c>
      <c r="AG1134" s="2" t="inlineStr">
        <is>
          <t>https://app.parlamento.pt/webutils/docs/doc.pdf?path=6148523063484d364c793942556b356c6443397a6158526c63793959566b6c4a544556484c3039464c7a49774d6a59794d4449314d5441774f533951515338325954677a596d5668597930334e4755334c5451784f54597459544e695a693031596a497a5a4464694e6a49354f4449756347526d&amp;Fich=6a83beac-74e7-4196-a3bf-5b23d7b62982.pdf&amp;Inline=true</t>
        </is>
      </c>
      <c r="AH1134" s="3" t="n">
        <v>46321.77847222222</v>
      </c>
      <c r="AI1134" s="3" t="n">
        <v>46321.78055555555</v>
      </c>
      <c r="AJ1134" s="2" t="inlineStr"/>
    </row>
    <row r="1135">
      <c r="A1135" s="2" t="n">
        <v>1134</v>
      </c>
      <c r="B1135" s="2" t="inlineStr">
        <is>
          <t>1068C</t>
        </is>
      </c>
      <c r="C1135" s="3" t="n">
        <v>45967.94236111111</v>
      </c>
      <c r="D1135" s="2" t="inlineStr">
        <is>
          <t>Original</t>
        </is>
      </c>
      <c r="E1135" s="2" t="inlineStr">
        <is>
          <t>PCP</t>
        </is>
      </c>
      <c r="F1135" s="2" t="inlineStr">
        <is>
          <t>Alfredo Maia; Paula Santos; Paulo Raimundo</t>
        </is>
      </c>
      <c r="G1135" s="2" t="inlineStr">
        <is>
          <t>Art. 46.º-A (aditamento)</t>
        </is>
      </c>
      <c r="H1135" s="2" t="n"/>
      <c r="I1135" s="2" t="n"/>
      <c r="J1135" s="2" t="n"/>
      <c r="K1135" s="2" t="n"/>
      <c r="L1135" s="2" t="inlineStr">
        <is>
          <t>Artigo 46.º-A (Definição e regulamentação de um regime laboral e de aposentação específico para os trabalhadores por turnos)</t>
        </is>
      </c>
      <c r="M1135" s="4" t="n"/>
      <c r="N1135" s="4" t="n"/>
      <c r="O1135" s="2" t="n"/>
      <c r="P1135" s="2" t="n"/>
      <c r="Q1135" s="2" t="n"/>
      <c r="R1135" s="2" t="n"/>
      <c r="S1135" s="2" t="inlineStr">
        <is>
          <t>Rejeitado(a) em Comissão</t>
        </is>
      </c>
      <c r="T1135" s="2" t="inlineStr">
        <is>
          <t>Rejeitada</t>
        </is>
      </c>
      <c r="U1135" s="2" t="inlineStr">
        <is>
          <t>Favor: CH, L, PCP, BE, PAN; Contra: PSD, CDS-PP; Abstenção: PS, IL</t>
        </is>
      </c>
      <c r="V1135" s="3" t="n">
        <v>45981</v>
      </c>
      <c r="W1135" s="2" t="inlineStr">
        <is>
          <t>AR: https://www.parlamento.pt/OrcamentoEstado/Paginas/DetalhePropostaAlteracao.aspx?BID=24309 PDF: https://app.parlamento.pt/webutils/docs/doc.pdf?path=6148523063484d364c793942556b356c6443397a6158526c63793959566b6c4a544556484c3039464c7a49774d6a59794d4449314d5441774f533951515339684e544d794e475a694f43316b4d7a51344c5452684e4455744f47466d4e5330315a474d305a545a6d4d6a6c694e4467756347526d&amp;Fich=a5324fb8-d348-4a45-8af5-5dc4e6f29b48.pdf&amp;Inline=true</t>
        </is>
      </c>
      <c r="X1135" s="2" t="inlineStr">
        <is>
          <t>Trabalho, Segurança Social e Inclusão</t>
        </is>
      </c>
      <c r="Y1135" s="2" t="inlineStr">
        <is>
          <t>Articulado</t>
        </is>
      </c>
      <c r="Z1135" s="2" t="inlineStr">
        <is>
          <t>Aditamento (Artigo PPL)</t>
        </is>
      </c>
      <c r="AA1135" s="2" t="inlineStr">
        <is>
          <t>Rejeitado(a) em Comissão</t>
        </is>
      </c>
      <c r="AB1135" s="2" t="inlineStr"/>
      <c r="AC1135" s="2" t="inlineStr"/>
      <c r="AD1135" s="2" t="inlineStr">
        <is>
          <t>1</t>
        </is>
      </c>
      <c r="AE1135" s="2" t="inlineStr">
        <is>
          <t>24309</t>
        </is>
      </c>
      <c r="AF1135" s="2" t="inlineStr">
        <is>
          <t>https://www.parlamento.pt/OrcamentoEstado/Paginas/DetalhePropostaAlteracao.aspx?BID=24309</t>
        </is>
      </c>
      <c r="AG1135" s="2" t="inlineStr">
        <is>
          <t>https://app.parlamento.pt/webutils/docs/doc.pdf?path=6148523063484d364c793942556b356c6443397a6158526c63793959566b6c4a544556484c3039464c7a49774d6a59794d4449314d5441774f533951515339684e544d794e475a694f43316b4d7a51344c5452684e4455744f47466d4e5330315a474d305a545a6d4d6a6c694e4467756347526d&amp;Fich=a5324fb8-d348-4a45-8af5-5dc4e6f29b48.pdf&amp;Inline=true</t>
        </is>
      </c>
      <c r="AH1135" s="3" t="n">
        <v>46321.77847222222</v>
      </c>
      <c r="AI1135" s="3" t="n">
        <v>46321.78055555555</v>
      </c>
      <c r="AJ1135" s="2" t="inlineStr"/>
    </row>
    <row r="1136">
      <c r="A1136" s="2" t="n">
        <v>1135</v>
      </c>
      <c r="B1136" s="2" t="inlineStr">
        <is>
          <t>1069C</t>
        </is>
      </c>
      <c r="C1136" s="3" t="n">
        <v>45967.94236111111</v>
      </c>
      <c r="D1136" s="2" t="inlineStr">
        <is>
          <t>Original</t>
        </is>
      </c>
      <c r="E1136" s="2" t="inlineStr">
        <is>
          <t>CH</t>
        </is>
      </c>
      <c r="F113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36" s="2" t="inlineStr">
        <is>
          <t>Art. 19.º-A (aditamento)</t>
        </is>
      </c>
      <c r="H1136" s="2" t="n"/>
      <c r="I1136" s="2" t="n"/>
      <c r="J1136" s="2" t="n"/>
      <c r="K1136" s="2" t="n"/>
      <c r="L1136" s="2" t="inlineStr">
        <is>
          <t>Artigo 19.º-A (Construção da nova Esquadra da PSP do Montijo)</t>
        </is>
      </c>
      <c r="M1136" s="4" t="n"/>
      <c r="N1136" s="4" t="n"/>
      <c r="O1136" s="2" t="n"/>
      <c r="P1136" s="2" t="n"/>
      <c r="Q1136" s="2" t="n"/>
      <c r="R1136" s="2" t="n"/>
      <c r="S1136" s="2" t="inlineStr">
        <is>
          <t>Rejeitado(a) em Comissão</t>
        </is>
      </c>
      <c r="T1136" s="2" t="inlineStr">
        <is>
          <t>Rejeitada</t>
        </is>
      </c>
      <c r="U1136" s="2" t="inlineStr">
        <is>
          <t>Favor: CH, BE, PAN; Contra: PSD, CDS-PP; Abstenção: PS, IL, L, PCP</t>
        </is>
      </c>
      <c r="V1136" s="3" t="n">
        <v>45981</v>
      </c>
      <c r="W1136" s="2" t="inlineStr">
        <is>
          <t>AR: https://www.parlamento.pt/OrcamentoEstado/Paginas/DetalhePropostaAlteracao.aspx?BID=24310 PDF: https://app.parlamento.pt/webutils/docs/doc.pdf?path=6148523063484d364c793942556b356c6443397a6158526c63793959566b6c4a544556484c3039464c7a49774d6a59794d4449314d5441774f533951515338344f4459324f4751344f5330774f544d794c5452684e7a41744f54566b5a4330774d4751355a4449785a54566d5a6a49756347526d&amp;Fich=88668d89-0932-4a70-95dd-00d9d21e5ff2.pdf&amp;Inline=true</t>
        </is>
      </c>
      <c r="X1136" s="2" t="inlineStr">
        <is>
          <t>Assuntos Constitucionais, Direitos, Liberdades e Garantias</t>
        </is>
      </c>
      <c r="Y1136" s="2" t="inlineStr">
        <is>
          <t>Articulado</t>
        </is>
      </c>
      <c r="Z1136" s="2" t="inlineStr">
        <is>
          <t>Aditamento (Artigo PPL)</t>
        </is>
      </c>
      <c r="AA1136" s="2" t="inlineStr">
        <is>
          <t>Rejeitado(a) em Comissão</t>
        </is>
      </c>
      <c r="AB1136" s="2" t="inlineStr"/>
      <c r="AC1136" s="2" t="inlineStr"/>
      <c r="AD1136" s="2" t="inlineStr">
        <is>
          <t>1</t>
        </is>
      </c>
      <c r="AE1136" s="2" t="inlineStr">
        <is>
          <t>24310</t>
        </is>
      </c>
      <c r="AF1136" s="2" t="inlineStr">
        <is>
          <t>https://www.parlamento.pt/OrcamentoEstado/Paginas/DetalhePropostaAlteracao.aspx?BID=24310</t>
        </is>
      </c>
      <c r="AG1136" s="2" t="inlineStr">
        <is>
          <t>https://app.parlamento.pt/webutils/docs/doc.pdf?path=6148523063484d364c793942556b356c6443397a6158526c63793959566b6c4a544556484c3039464c7a49774d6a59794d4449314d5441774f533951515338344f4459324f4751344f5330774f544d794c5452684e7a41744f54566b5a4330774d4751355a4449785a54566d5a6a49756347526d&amp;Fich=88668d89-0932-4a70-95dd-00d9d21e5ff2.pdf&amp;Inline=true</t>
        </is>
      </c>
      <c r="AH1136" s="3" t="n">
        <v>46321.77847222222</v>
      </c>
      <c r="AI1136" s="3" t="n">
        <v>46321.78055555555</v>
      </c>
      <c r="AJ1136" s="2" t="inlineStr"/>
    </row>
    <row r="1137">
      <c r="A1137" s="2" t="n">
        <v>1136</v>
      </c>
      <c r="B1137" s="2" t="inlineStr">
        <is>
          <t>1070C</t>
        </is>
      </c>
      <c r="C1137" s="3" t="n">
        <v>45967.94375</v>
      </c>
      <c r="D1137" s="2" t="inlineStr">
        <is>
          <t>Original</t>
        </is>
      </c>
      <c r="E1137" s="2" t="inlineStr">
        <is>
          <t>PCP</t>
        </is>
      </c>
      <c r="F1137" s="2" t="inlineStr">
        <is>
          <t>Alfredo Maia; Paula Santos; Paulo Raimundo</t>
        </is>
      </c>
      <c r="G1137" s="2" t="inlineStr">
        <is>
          <t>Art. 46.º-A (aditamento)</t>
        </is>
      </c>
      <c r="H1137" s="2" t="n"/>
      <c r="I1137" s="2" t="n"/>
      <c r="J1137" s="2" t="n"/>
      <c r="K1137" s="2" t="n"/>
      <c r="L1137" s="2" t="inlineStr">
        <is>
          <t>Artigo 46.º-A (Definição e regulamentação de um regime laboral e de aposentação específico para os tripulantes de cabine)</t>
        </is>
      </c>
      <c r="M1137" s="4" t="n"/>
      <c r="N1137" s="4" t="n"/>
      <c r="O1137" s="2" t="n"/>
      <c r="P1137" s="2" t="n"/>
      <c r="Q1137" s="2" t="n"/>
      <c r="R1137" s="2" t="n"/>
      <c r="S1137" s="2" t="inlineStr">
        <is>
          <t>Rejeitado(a) em Comissão</t>
        </is>
      </c>
      <c r="T1137" s="2" t="inlineStr">
        <is>
          <t>Rejeitada</t>
        </is>
      </c>
      <c r="U1137" s="2" t="inlineStr">
        <is>
          <t>Favor: CH, L, PCP, BE, PAN; Contra: PSD, IL, CDS-PP; Abstenção: PS</t>
        </is>
      </c>
      <c r="V1137" s="3" t="n">
        <v>45981</v>
      </c>
      <c r="W1137" s="2" t="inlineStr">
        <is>
          <t>AR: https://www.parlamento.pt/OrcamentoEstado/Paginas/DetalhePropostaAlteracao.aspx?BID=24311 PDF: https://app.parlamento.pt/webutils/docs/doc.pdf?path=6148523063484d364c793942556b356c6443397a6158526c63793959566b6c4a544556484c3039464c7a49774d6a59794d4449314d5441774f5339515153396d5954466a596a67774f5330314f5755324c5451334e4755744f5459354d7930784e6d4a6d4e4463785a5467334d7a6b756347526d&amp;Fich=fa1cb809-59e6-474e-9693-16bf471e8739.pdf&amp;Inline=true</t>
        </is>
      </c>
      <c r="X1137" s="2" t="inlineStr">
        <is>
          <t>Trabalho, Segurança Social e Inclusão</t>
        </is>
      </c>
      <c r="Y1137" s="2" t="inlineStr">
        <is>
          <t>Articulado</t>
        </is>
      </c>
      <c r="Z1137" s="2" t="inlineStr">
        <is>
          <t>Aditamento (Artigo PPL)</t>
        </is>
      </c>
      <c r="AA1137" s="2" t="inlineStr">
        <is>
          <t>Rejeitado(a) em Comissão</t>
        </is>
      </c>
      <c r="AB1137" s="2" t="inlineStr"/>
      <c r="AC1137" s="2" t="inlineStr"/>
      <c r="AD1137" s="2" t="inlineStr">
        <is>
          <t>1</t>
        </is>
      </c>
      <c r="AE1137" s="2" t="inlineStr">
        <is>
          <t>24311</t>
        </is>
      </c>
      <c r="AF1137" s="2" t="inlineStr">
        <is>
          <t>https://www.parlamento.pt/OrcamentoEstado/Paginas/DetalhePropostaAlteracao.aspx?BID=24311</t>
        </is>
      </c>
      <c r="AG1137" s="2" t="inlineStr">
        <is>
          <t>https://app.parlamento.pt/webutils/docs/doc.pdf?path=6148523063484d364c793942556b356c6443397a6158526c63793959566b6c4a544556484c3039464c7a49774d6a59794d4449314d5441774f5339515153396d5954466a596a67774f5330314f5755324c5451334e4755744f5459354d7930784e6d4a6d4e4463785a5467334d7a6b756347526d&amp;Fich=fa1cb809-59e6-474e-9693-16bf471e8739.pdf&amp;Inline=true</t>
        </is>
      </c>
      <c r="AH1137" s="3" t="n">
        <v>46321.77847222222</v>
      </c>
      <c r="AI1137" s="3" t="n">
        <v>46321.78055555555</v>
      </c>
      <c r="AJ1137" s="2" t="inlineStr"/>
    </row>
    <row r="1138">
      <c r="A1138" s="2" t="n">
        <v>1137</v>
      </c>
      <c r="B1138" s="2" t="inlineStr">
        <is>
          <t>1071C</t>
        </is>
      </c>
      <c r="C1138" s="3" t="n">
        <v>45967.94444444445</v>
      </c>
      <c r="D1138" s="2" t="inlineStr">
        <is>
          <t>Original</t>
        </is>
      </c>
      <c r="E1138" s="2" t="inlineStr">
        <is>
          <t>CH</t>
        </is>
      </c>
      <c r="F113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38" s="2" t="inlineStr">
        <is>
          <t>Art. 19.º-A (aditamento)</t>
        </is>
      </c>
      <c r="H1138" s="2" t="n"/>
      <c r="I1138" s="2" t="n"/>
      <c r="J1138" s="2" t="n"/>
      <c r="K1138" s="2" t="n"/>
      <c r="L1138" s="2" t="inlineStr">
        <is>
          <t>Artigo 19.º-A (Construção de novo Posto territorial da GNR em Monchique)</t>
        </is>
      </c>
      <c r="M1138" s="4" t="n"/>
      <c r="N1138" s="4" t="n"/>
      <c r="O1138" s="2" t="n"/>
      <c r="P1138" s="2" t="n"/>
      <c r="Q1138" s="2" t="n"/>
      <c r="R1138" s="2" t="n"/>
      <c r="S1138" s="2" t="inlineStr">
        <is>
          <t>Rejeitado(a) em Comissão</t>
        </is>
      </c>
      <c r="T1138" s="2" t="inlineStr">
        <is>
          <t>Rejeitada</t>
        </is>
      </c>
      <c r="U1138" s="2" t="inlineStr">
        <is>
          <t>Favor: CH, BE, PAN; Contra: PSD, CDS-PP; Abstenção: PS, IL, L, PCP</t>
        </is>
      </c>
      <c r="V1138" s="3" t="n">
        <v>45981</v>
      </c>
      <c r="W1138" s="2" t="inlineStr">
        <is>
          <t>AR: https://www.parlamento.pt/OrcamentoEstado/Paginas/DetalhePropostaAlteracao.aspx?BID=24312 PDF: https://app.parlamento.pt/webutils/docs/doc.pdf?path=6148523063484d364c793942556b356c6443397a6158526c63793959566b6c4a544556484c3039464c7a49774d6a59794d4449314d5441774f533951515338774d4759305a6a4177596930354f47526c4c545131595445744f44646b4d69316b59324e6b595751354d3251324d5445756347526d&amp;Fich=00f4f00b-98de-45a1-87d2-dccdad93d611.pdf&amp;Inline=true</t>
        </is>
      </c>
      <c r="X1138" s="2" t="inlineStr">
        <is>
          <t>Assuntos Constitucionais, Direitos, Liberdades e Garantias</t>
        </is>
      </c>
      <c r="Y1138" s="2" t="inlineStr">
        <is>
          <t>Articulado</t>
        </is>
      </c>
      <c r="Z1138" s="2" t="inlineStr">
        <is>
          <t>Aditamento (Artigo PPL)</t>
        </is>
      </c>
      <c r="AA1138" s="2" t="inlineStr">
        <is>
          <t>Rejeitado(a) em Comissão</t>
        </is>
      </c>
      <c r="AB1138" s="2" t="inlineStr"/>
      <c r="AC1138" s="2" t="inlineStr"/>
      <c r="AD1138" s="2" t="inlineStr">
        <is>
          <t>1</t>
        </is>
      </c>
      <c r="AE1138" s="2" t="inlineStr">
        <is>
          <t>24312</t>
        </is>
      </c>
      <c r="AF1138" s="2" t="inlineStr">
        <is>
          <t>https://www.parlamento.pt/OrcamentoEstado/Paginas/DetalhePropostaAlteracao.aspx?BID=24312</t>
        </is>
      </c>
      <c r="AG1138" s="2" t="inlineStr">
        <is>
          <t>https://app.parlamento.pt/webutils/docs/doc.pdf?path=6148523063484d364c793942556b356c6443397a6158526c63793959566b6c4a544556484c3039464c7a49774d6a59794d4449314d5441774f533951515338774d4759305a6a4177596930354f47526c4c545131595445744f44646b4d69316b59324e6b595751354d3251324d5445756347526d&amp;Fich=00f4f00b-98de-45a1-87d2-dccdad93d611.pdf&amp;Inline=true</t>
        </is>
      </c>
      <c r="AH1138" s="3" t="n">
        <v>46321.77847222222</v>
      </c>
      <c r="AI1138" s="3" t="n">
        <v>46321.78055555555</v>
      </c>
      <c r="AJ1138" s="2" t="inlineStr"/>
    </row>
    <row r="1139">
      <c r="A1139" s="2" t="n">
        <v>1138</v>
      </c>
      <c r="B1139" s="2" t="inlineStr">
        <is>
          <t>1072C</t>
        </is>
      </c>
      <c r="C1139" s="3" t="n">
        <v>45967.94513888889</v>
      </c>
      <c r="D1139" s="2" t="inlineStr">
        <is>
          <t>Original</t>
        </is>
      </c>
      <c r="E1139" s="2" t="inlineStr">
        <is>
          <t>PCP</t>
        </is>
      </c>
      <c r="F1139" s="2" t="inlineStr">
        <is>
          <t>Alfredo Maia; Paula Santos; Paulo Raimundo</t>
        </is>
      </c>
      <c r="G1139" s="2" t="inlineStr">
        <is>
          <t>Art. 136.º-A (aditamento)</t>
        </is>
      </c>
      <c r="H1139" s="2" t="n"/>
      <c r="I1139" s="2" t="n"/>
      <c r="J1139" s="2" t="n"/>
      <c r="K1139" s="2" t="n"/>
      <c r="L1139" s="2" t="inlineStr">
        <is>
          <t>Artigo 136.º-A (Alteração e aditamento ao Código do Trabalho, aprovado pela Lei n.º 7/2009, de 12 de fevereiro)</t>
        </is>
      </c>
      <c r="M1139" s="4" t="n"/>
      <c r="N1139" s="4" t="n"/>
      <c r="O1139" s="2" t="n"/>
      <c r="P1139" s="2" t="n"/>
      <c r="Q1139" s="2" t="n"/>
      <c r="R1139" s="2" t="n"/>
      <c r="S1139" s="2" t="inlineStr">
        <is>
          <t>Rejeitado(a) em Comissão</t>
        </is>
      </c>
      <c r="T1139" s="2" t="inlineStr">
        <is>
          <t>Rejeitada</t>
        </is>
      </c>
      <c r="U1139" s="2" t="inlineStr">
        <is>
          <t>Favor: L, PCP, BE, PAN; Contra: PSD, IL, CDS-PP; Abstenção: CH, PS</t>
        </is>
      </c>
      <c r="V1139" s="3" t="n">
        <v>45987</v>
      </c>
      <c r="W1139" s="2" t="inlineStr">
        <is>
          <t>AR: https://www.parlamento.pt/OrcamentoEstado/Paginas/DetalhePropostaAlteracao.aspx?BID=24313 PDF: https://app.parlamento.pt/webutils/docs/doc.pdf?path=6148523063484d364c793942556b356c6443397a6158526c63793959566b6c4a544556484c3039464c7a49774d6a59794d4449314d5441774f533951515338775a475134595463314d533078597a63784c5452694f4459744f4749795953307a4e54646a4e4455784d7a526c597a4d756347526d&amp;Fich=0dd8a751-1c71-4b86-8b2a-357c45134ec3.pdf&amp;Inline=true</t>
        </is>
      </c>
      <c r="X1139" s="2" t="inlineStr">
        <is>
          <t>Trabalho, Segurança Social e Inclusão</t>
        </is>
      </c>
      <c r="Y1139" s="2" t="inlineStr">
        <is>
          <t>Articulado</t>
        </is>
      </c>
      <c r="Z1139" s="2" t="inlineStr">
        <is>
          <t>Aditamento (Artigo PPL)</t>
        </is>
      </c>
      <c r="AA1139" s="2" t="inlineStr">
        <is>
          <t>Rejeitado(a) em Comissão</t>
        </is>
      </c>
      <c r="AB1139" s="2" t="inlineStr"/>
      <c r="AC1139" s="2" t="inlineStr"/>
      <c r="AD1139" s="2" t="inlineStr">
        <is>
          <t>1</t>
        </is>
      </c>
      <c r="AE1139" s="2" t="inlineStr">
        <is>
          <t>24313</t>
        </is>
      </c>
      <c r="AF1139" s="2" t="inlineStr">
        <is>
          <t>https://www.parlamento.pt/OrcamentoEstado/Paginas/DetalhePropostaAlteracao.aspx?BID=24313</t>
        </is>
      </c>
      <c r="AG1139" s="2" t="inlineStr">
        <is>
          <t>https://app.parlamento.pt/webutils/docs/doc.pdf?path=6148523063484d364c793942556b356c6443397a6158526c63793959566b6c4a544556484c3039464c7a49774d6a59794d4449314d5441774f533951515338775a475134595463314d533078597a63784c5452694f4459744f4749795953307a4e54646a4e4455784d7a526c597a4d756347526d&amp;Fich=0dd8a751-1c71-4b86-8b2a-357c45134ec3.pdf&amp;Inline=true</t>
        </is>
      </c>
      <c r="AH1139" s="3" t="n">
        <v>46321.77847222222</v>
      </c>
      <c r="AI1139" s="3" t="n">
        <v>46321.78055555555</v>
      </c>
      <c r="AJ1139" s="2" t="inlineStr"/>
    </row>
    <row r="1140">
      <c r="A1140" s="2" t="n">
        <v>1139</v>
      </c>
      <c r="B1140" s="2" t="inlineStr">
        <is>
          <t>1073C</t>
        </is>
      </c>
      <c r="C1140" s="3" t="n">
        <v>45967.94583333333</v>
      </c>
      <c r="D1140" s="2" t="inlineStr">
        <is>
          <t>Original</t>
        </is>
      </c>
      <c r="E1140" s="2" t="inlineStr">
        <is>
          <t>PCP</t>
        </is>
      </c>
      <c r="F1140" s="2" t="inlineStr">
        <is>
          <t>Alfredo Maia; Paula Santos; Paulo Raimundo</t>
        </is>
      </c>
      <c r="G1140" s="2" t="inlineStr">
        <is>
          <t>Art. 136.º-A (aditamento)</t>
        </is>
      </c>
      <c r="H1140" s="2" t="n"/>
      <c r="I1140" s="2" t="n"/>
      <c r="J1140" s="2" t="n"/>
      <c r="K1140" s="2" t="n"/>
      <c r="L1140" s="2" t="inlineStr">
        <is>
          <t>Artigo 136.º-A (Melhoria das condições de atribuição do subsídio de desemprego e subsídio social de desemprego)</t>
        </is>
      </c>
      <c r="M1140" s="4" t="n"/>
      <c r="N1140" s="4" t="n"/>
      <c r="O1140" s="2" t="n"/>
      <c r="P1140" s="2" t="n"/>
      <c r="Q1140" s="2" t="n"/>
      <c r="R1140" s="2" t="n"/>
      <c r="S1140" s="2" t="inlineStr">
        <is>
          <t>Rejeitado(a) em Comissão</t>
        </is>
      </c>
      <c r="T1140" s="2" t="inlineStr">
        <is>
          <t>Rejeitada</t>
        </is>
      </c>
      <c r="U1140" s="2" t="inlineStr">
        <is>
          <t>Favor: L, PCP, BE, PAN; Contra: PSD, CH, IL, CDS-PP; Abstenção: PS</t>
        </is>
      </c>
      <c r="V1140" s="3" t="n">
        <v>45987</v>
      </c>
      <c r="W1140" s="2" t="inlineStr">
        <is>
          <t>AR: https://www.parlamento.pt/OrcamentoEstado/Paginas/DetalhePropostaAlteracao.aspx?BID=24314 PDF: https://app.parlamento.pt/webutils/docs/doc.pdf?path=6148523063484d364c793942556b356c6443397a6158526c63793959566b6c4a544556484c3039464c7a49774d6a59794d4449314d5441774f5339515153396a4d6a6730595456684d43316c4d7a41354c5451794d546b74596a52694d43316b4e7a49785a5759314d5463314e5745756347526d&amp;Fich=c284a5a0-e309-4219-b4b0-d721ef51755a.pdf&amp;Inline=true</t>
        </is>
      </c>
      <c r="X1140" s="2" t="inlineStr">
        <is>
          <t>Trabalho, Segurança Social e Inclusão</t>
        </is>
      </c>
      <c r="Y1140" s="2" t="inlineStr">
        <is>
          <t>Articulado</t>
        </is>
      </c>
      <c r="Z1140" s="2" t="inlineStr">
        <is>
          <t>Aditamento (Artigo PPL)</t>
        </is>
      </c>
      <c r="AA1140" s="2" t="inlineStr">
        <is>
          <t>Rejeitado(a) em Comissão</t>
        </is>
      </c>
      <c r="AB1140" s="2" t="inlineStr"/>
      <c r="AC1140" s="2" t="inlineStr"/>
      <c r="AD1140" s="2" t="inlineStr">
        <is>
          <t>1</t>
        </is>
      </c>
      <c r="AE1140" s="2" t="inlineStr">
        <is>
          <t>24314</t>
        </is>
      </c>
      <c r="AF1140" s="2" t="inlineStr">
        <is>
          <t>https://www.parlamento.pt/OrcamentoEstado/Paginas/DetalhePropostaAlteracao.aspx?BID=24314</t>
        </is>
      </c>
      <c r="AG1140" s="2" t="inlineStr">
        <is>
          <t>https://app.parlamento.pt/webutils/docs/doc.pdf?path=6148523063484d364c793942556b356c6443397a6158526c63793959566b6c4a544556484c3039464c7a49774d6a59794d4449314d5441774f5339515153396a4d6a6730595456684d43316c4d7a41354c5451794d546b74596a52694d43316b4e7a49785a5759314d5463314e5745756347526d&amp;Fich=c284a5a0-e309-4219-b4b0-d721ef51755a.pdf&amp;Inline=true</t>
        </is>
      </c>
      <c r="AH1140" s="3" t="n">
        <v>46321.77847222222</v>
      </c>
      <c r="AI1140" s="3" t="n">
        <v>46321.78055555555</v>
      </c>
      <c r="AJ1140" s="2" t="inlineStr"/>
    </row>
    <row r="1141">
      <c r="A1141" s="2" t="n">
        <v>1140</v>
      </c>
      <c r="B1141" s="2" t="inlineStr">
        <is>
          <t>1074C</t>
        </is>
      </c>
      <c r="C1141" s="3" t="n">
        <v>45967.94791666666</v>
      </c>
      <c r="D1141" s="2" t="inlineStr">
        <is>
          <t>Original</t>
        </is>
      </c>
      <c r="E1141" s="2" t="inlineStr">
        <is>
          <t>CH</t>
        </is>
      </c>
      <c r="F114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41" s="2" t="inlineStr">
        <is>
          <t>Art. 136.º-A (aditamento)</t>
        </is>
      </c>
      <c r="H1141" s="2" t="n"/>
      <c r="I1141" s="2" t="n"/>
      <c r="J1141" s="2" t="n"/>
      <c r="K1141" s="2" t="n"/>
      <c r="L1141" s="2" t="inlineStr">
        <is>
          <t>Artigo 136.º-A (Manutenção de recintos desportivos)</t>
        </is>
      </c>
      <c r="M1141" s="4" t="n"/>
      <c r="N1141" s="4" t="n"/>
      <c r="O1141" s="2" t="n"/>
      <c r="P1141" s="2" t="n"/>
      <c r="Q1141" s="2" t="n"/>
      <c r="R1141" s="2" t="n"/>
      <c r="S1141" s="2" t="inlineStr">
        <is>
          <t>Rejeitado(a) em Comissão</t>
        </is>
      </c>
      <c r="T1141" s="2" t="inlineStr">
        <is>
          <t>Rejeitada</t>
        </is>
      </c>
      <c r="U1141" s="2" t="inlineStr">
        <is>
          <t>Favor: CH, IL, BE; Contra: PSD, CDS-PP; Abstenção: PS, L, PCP, PAN</t>
        </is>
      </c>
      <c r="V1141" s="3" t="n">
        <v>45987</v>
      </c>
      <c r="W1141" s="2" t="inlineStr">
        <is>
          <t>AR: https://www.parlamento.pt/OrcamentoEstado/Paginas/DetalhePropostaAlteracao.aspx?BID=24315 PDF: https://app.parlamento.pt/webutils/docs/doc.pdf?path=6148523063484d364c793942556b356c6443397a6158526c63793959566b6c4a544556484c3039464c7a49774d6a59794d4449314d5441774f533951515338334f4467334e7a4d324d5330324f4749354c54526b5a6d51744f4445334e533079597a45334e4752694d4463305a5441756347526d&amp;Fich=78877361-68b9-4dfd-8175-2c174db074e0.pdf&amp;Inline=true</t>
        </is>
      </c>
      <c r="X1141" s="2" t="inlineStr">
        <is>
          <t>Cultura, Comunicação, Juventude e Desporto; Infraestruturas, Mobilidade e Habitação</t>
        </is>
      </c>
      <c r="Y1141" s="2" t="inlineStr">
        <is>
          <t>Articulado</t>
        </is>
      </c>
      <c r="Z1141" s="2" t="inlineStr">
        <is>
          <t>Aditamento (Artigo PPL)</t>
        </is>
      </c>
      <c r="AA1141" s="2" t="inlineStr">
        <is>
          <t>Rejeitado(a) em Comissão</t>
        </is>
      </c>
      <c r="AB1141" s="2" t="inlineStr"/>
      <c r="AC1141" s="2" t="inlineStr"/>
      <c r="AD1141" s="2" t="inlineStr">
        <is>
          <t>1</t>
        </is>
      </c>
      <c r="AE1141" s="2" t="inlineStr">
        <is>
          <t>24315</t>
        </is>
      </c>
      <c r="AF1141" s="2" t="inlineStr">
        <is>
          <t>https://www.parlamento.pt/OrcamentoEstado/Paginas/DetalhePropostaAlteracao.aspx?BID=24315</t>
        </is>
      </c>
      <c r="AG1141" s="2" t="inlineStr">
        <is>
          <t>https://app.parlamento.pt/webutils/docs/doc.pdf?path=6148523063484d364c793942556b356c6443397a6158526c63793959566b6c4a544556484c3039464c7a49774d6a59794d4449314d5441774f533951515338334f4467334e7a4d324d5330324f4749354c54526b5a6d51744f4445334e533079597a45334e4752694d4463305a5441756347526d&amp;Fich=78877361-68b9-4dfd-8175-2c174db074e0.pdf&amp;Inline=true</t>
        </is>
      </c>
      <c r="AH1141" s="3" t="n">
        <v>46321.77847222222</v>
      </c>
      <c r="AI1141" s="3" t="n">
        <v>46321.78055555555</v>
      </c>
      <c r="AJ1141" s="2" t="inlineStr"/>
    </row>
    <row r="1142">
      <c r="A1142" s="2" t="n">
        <v>1141</v>
      </c>
      <c r="B1142" s="2" t="inlineStr">
        <is>
          <t>1075C</t>
        </is>
      </c>
      <c r="C1142" s="3" t="n">
        <v>45967.94930555556</v>
      </c>
      <c r="D1142" s="2" t="inlineStr">
        <is>
          <t>Original</t>
        </is>
      </c>
      <c r="E1142" s="2" t="inlineStr">
        <is>
          <t>CH</t>
        </is>
      </c>
      <c r="F114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42" s="2" t="inlineStr">
        <is>
          <t>Art. 136.º-A (aditamento)</t>
        </is>
      </c>
      <c r="H1142" s="2" t="n"/>
      <c r="I1142" s="2" t="n"/>
      <c r="J1142" s="2" t="n"/>
      <c r="K1142" s="2" t="n"/>
      <c r="L1142" s="2" t="inlineStr">
        <is>
          <t>Artigo 136.º-A (Criação do Museu Nacional de Arte Sacra de Lisboa)</t>
        </is>
      </c>
      <c r="M1142" s="4" t="n"/>
      <c r="N1142" s="4" t="n"/>
      <c r="O1142" s="2" t="n"/>
      <c r="P1142" s="2" t="n"/>
      <c r="Q1142" s="2" t="n"/>
      <c r="R1142" s="2" t="n"/>
      <c r="S1142" s="2" t="inlineStr">
        <is>
          <t>Rejeitado(a) em Comissão</t>
        </is>
      </c>
      <c r="T1142" s="2" t="inlineStr">
        <is>
          <t>Rejeitada</t>
        </is>
      </c>
      <c r="U1142" s="2" t="inlineStr">
        <is>
          <t>Favor: CH, PAN; Contra: PSD, PS, L, CDS-PP; Abstenção: IL, PCP, BE</t>
        </is>
      </c>
      <c r="V1142" s="3" t="n">
        <v>45987</v>
      </c>
      <c r="W1142" s="2" t="inlineStr">
        <is>
          <t>AR: https://www.parlamento.pt/OrcamentoEstado/Paginas/DetalhePropostaAlteracao.aspx?BID=24316 PDF: https://app.parlamento.pt/webutils/docs/doc.pdf?path=6148523063484d364c793942556b356c6443397a6158526c63793959566b6c4a544556484c3039464c7a49774d6a59794d4449314d5441774f5339515153387859324a6c4f5751345a43316c5a6d4d774c5451334d6a4974596a41334f433078595755324e474a694d5751795a5751756347526d&amp;Fich=1cbe9d8d-efc0-4722-b078-1ae64bb1d2ed.pdf&amp;Inline=true</t>
        </is>
      </c>
      <c r="X1142" s="2" t="inlineStr">
        <is>
          <t>Cultura, Comunicação, Juventude e Desporto</t>
        </is>
      </c>
      <c r="Y1142" s="2" t="inlineStr">
        <is>
          <t>Articulado</t>
        </is>
      </c>
      <c r="Z1142" s="2" t="inlineStr">
        <is>
          <t>Aditamento (Artigo PPL)</t>
        </is>
      </c>
      <c r="AA1142" s="2" t="inlineStr">
        <is>
          <t>Rejeitado(a) em Comissão</t>
        </is>
      </c>
      <c r="AB1142" s="2" t="inlineStr"/>
      <c r="AC1142" s="2" t="inlineStr"/>
      <c r="AD1142" s="2" t="inlineStr">
        <is>
          <t>1</t>
        </is>
      </c>
      <c r="AE1142" s="2" t="inlineStr">
        <is>
          <t>24316</t>
        </is>
      </c>
      <c r="AF1142" s="2" t="inlineStr">
        <is>
          <t>https://www.parlamento.pt/OrcamentoEstado/Paginas/DetalhePropostaAlteracao.aspx?BID=24316</t>
        </is>
      </c>
      <c r="AG1142" s="2" t="inlineStr">
        <is>
          <t>https://app.parlamento.pt/webutils/docs/doc.pdf?path=6148523063484d364c793942556b356c6443397a6158526c63793959566b6c4a544556484c3039464c7a49774d6a59794d4449314d5441774f5339515153387859324a6c4f5751345a43316c5a6d4d774c5451334d6a4974596a41334f433078595755324e474a694d5751795a5751756347526d&amp;Fich=1cbe9d8d-efc0-4722-b078-1ae64bb1d2ed.pdf&amp;Inline=true</t>
        </is>
      </c>
      <c r="AH1142" s="3" t="n">
        <v>46321.77847222222</v>
      </c>
      <c r="AI1142" s="3" t="n">
        <v>46321.78055555555</v>
      </c>
      <c r="AJ1142" s="2" t="inlineStr"/>
    </row>
    <row r="1143">
      <c r="A1143" s="2" t="n">
        <v>1142</v>
      </c>
      <c r="B1143" s="2" t="inlineStr">
        <is>
          <t>1076C</t>
        </is>
      </c>
      <c r="C1143" s="3" t="n">
        <v>45967.94930555556</v>
      </c>
      <c r="D1143" s="2" t="inlineStr">
        <is>
          <t>Original</t>
        </is>
      </c>
      <c r="E1143" s="2" t="inlineStr">
        <is>
          <t>CH</t>
        </is>
      </c>
      <c r="F114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43" s="2" t="inlineStr">
        <is>
          <t>Art. 19.º-A (aditamento)</t>
        </is>
      </c>
      <c r="H1143" s="2" t="n"/>
      <c r="I1143" s="2" t="n"/>
      <c r="J1143" s="2" t="n"/>
      <c r="K1143" s="2" t="n"/>
      <c r="L1143" s="2" t="inlineStr">
        <is>
          <t>Artigo 19.º-A (Construção do Posto territorial da GNR em Souselas)</t>
        </is>
      </c>
      <c r="M1143" s="4" t="n"/>
      <c r="N1143" s="4" t="n"/>
      <c r="O1143" s="2" t="n"/>
      <c r="P1143" s="2" t="n"/>
      <c r="Q1143" s="2" t="n"/>
      <c r="R1143" s="2" t="n"/>
      <c r="S1143" s="2" t="inlineStr">
        <is>
          <t>Rejeitado(a) em Comissão</t>
        </is>
      </c>
      <c r="T1143" s="2" t="inlineStr">
        <is>
          <t>Rejeitada</t>
        </is>
      </c>
      <c r="U1143" s="2" t="inlineStr">
        <is>
          <t>Favor: CH, BE, PAN; Contra: PSD, CDS-PP; Abstenção: PS, IL, L, PCP</t>
        </is>
      </c>
      <c r="V1143" s="3" t="n">
        <v>45981</v>
      </c>
      <c r="W1143" s="2" t="inlineStr">
        <is>
          <t>AR: https://www.parlamento.pt/OrcamentoEstado/Paginas/DetalhePropostaAlteracao.aspx?BID=24317 PDF: https://app.parlamento.pt/webutils/docs/doc.pdf?path=6148523063484d364c793942556b356c6443397a6158526c63793959566b6c4a544556484c3039464c7a49774d6a59794d4449314d5441774f533951515338774d5749305a544935597930774d5445784c5451304e7a59744f57466a4f5330785a4468684e324a6d5a6a4e69597a67756347526d&amp;Fich=01b4e29c-0111-4476-9ac9-1d8a7bff3bc8.pdf&amp;Inline=true</t>
        </is>
      </c>
      <c r="X1143" s="2" t="inlineStr">
        <is>
          <t>Assuntos Constitucionais, Direitos, Liberdades e Garantias</t>
        </is>
      </c>
      <c r="Y1143" s="2" t="inlineStr">
        <is>
          <t>Articulado</t>
        </is>
      </c>
      <c r="Z1143" s="2" t="inlineStr">
        <is>
          <t>Aditamento (Artigo PPL)</t>
        </is>
      </c>
      <c r="AA1143" s="2" t="inlineStr">
        <is>
          <t>Rejeitado(a) em Comissão</t>
        </is>
      </c>
      <c r="AB1143" s="2" t="inlineStr"/>
      <c r="AC1143" s="2" t="inlineStr"/>
      <c r="AD1143" s="2" t="inlineStr">
        <is>
          <t>1</t>
        </is>
      </c>
      <c r="AE1143" s="2" t="inlineStr">
        <is>
          <t>24317</t>
        </is>
      </c>
      <c r="AF1143" s="2" t="inlineStr">
        <is>
          <t>https://www.parlamento.pt/OrcamentoEstado/Paginas/DetalhePropostaAlteracao.aspx?BID=24317</t>
        </is>
      </c>
      <c r="AG1143" s="2" t="inlineStr">
        <is>
          <t>https://app.parlamento.pt/webutils/docs/doc.pdf?path=6148523063484d364c793942556b356c6443397a6158526c63793959566b6c4a544556484c3039464c7a49774d6a59794d4449314d5441774f533951515338774d5749305a544935597930774d5445784c5451304e7a59744f57466a4f5330785a4468684e324a6d5a6a4e69597a67756347526d&amp;Fich=01b4e29c-0111-4476-9ac9-1d8a7bff3bc8.pdf&amp;Inline=true</t>
        </is>
      </c>
      <c r="AH1143" s="3" t="n">
        <v>46321.77847222222</v>
      </c>
      <c r="AI1143" s="3" t="n">
        <v>46321.78055555555</v>
      </c>
      <c r="AJ1143" s="2" t="inlineStr"/>
    </row>
    <row r="1144">
      <c r="A1144" s="2" t="n">
        <v>1143</v>
      </c>
      <c r="B1144" s="2" t="inlineStr">
        <is>
          <t>1077C</t>
        </is>
      </c>
      <c r="C1144" s="3" t="n">
        <v>45967.95069444444</v>
      </c>
      <c r="D1144" s="2" t="inlineStr">
        <is>
          <t>Original</t>
        </is>
      </c>
      <c r="E1144" s="2" t="inlineStr">
        <is>
          <t>CH</t>
        </is>
      </c>
      <c r="F114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44" s="2" t="inlineStr">
        <is>
          <t>Art. 19.º-A (aditamento)</t>
        </is>
      </c>
      <c r="H1144" s="2" t="n"/>
      <c r="I1144" s="2" t="n"/>
      <c r="J1144" s="2" t="n"/>
      <c r="K1144" s="2" t="n"/>
      <c r="L1144" s="2" t="inlineStr">
        <is>
          <t>Artigo 19.º-A (Construção de novo Posto territorial da GNR no Montijo)</t>
        </is>
      </c>
      <c r="M1144" s="4" t="n"/>
      <c r="N1144" s="4" t="n"/>
      <c r="O1144" s="2" t="n"/>
      <c r="P1144" s="2" t="n"/>
      <c r="Q1144" s="2" t="n"/>
      <c r="R1144" s="2" t="n"/>
      <c r="S1144" s="2" t="inlineStr">
        <is>
          <t>Rejeitado(a) em Comissão</t>
        </is>
      </c>
      <c r="T1144" s="2" t="inlineStr">
        <is>
          <t>Rejeitada</t>
        </is>
      </c>
      <c r="U1144" s="2" t="inlineStr">
        <is>
          <t>Favor: CH, BE, PAN; Contra: PSD, CDS-PP; Abstenção: PS, IL, L, PCP</t>
        </is>
      </c>
      <c r="V1144" s="3" t="n">
        <v>45981</v>
      </c>
      <c r="W1144" s="2" t="inlineStr">
        <is>
          <t>AR: https://www.parlamento.pt/OrcamentoEstado/Paginas/DetalhePropostaAlteracao.aspx?BID=24318 PDF: https://app.parlamento.pt/webutils/docs/doc.pdf?path=6148523063484d364c793942556b356c6443397a6158526c63793959566b6c4a544556484c3039464c7a49774d6a59794d4449314d5441774f533951515339695a574d324e574e6b5a5330785932557a4c5451354e6a5974596a49774e7930304d54426c595441315a6a67345a5441756347526d&amp;Fich=bec65cde-1ce3-4966-b207-410ea05f88e0.pdf&amp;Inline=true</t>
        </is>
      </c>
      <c r="X1144" s="2" t="inlineStr">
        <is>
          <t>Assuntos Constitucionais, Direitos, Liberdades e Garantias</t>
        </is>
      </c>
      <c r="Y1144" s="2" t="inlineStr">
        <is>
          <t>Articulado</t>
        </is>
      </c>
      <c r="Z1144" s="2" t="inlineStr">
        <is>
          <t>Aditamento (Artigo PPL)</t>
        </is>
      </c>
      <c r="AA1144" s="2" t="inlineStr">
        <is>
          <t>Rejeitado(a) em Comissão</t>
        </is>
      </c>
      <c r="AB1144" s="2" t="inlineStr"/>
      <c r="AC1144" s="2" t="inlineStr"/>
      <c r="AD1144" s="2" t="inlineStr">
        <is>
          <t>1</t>
        </is>
      </c>
      <c r="AE1144" s="2" t="inlineStr">
        <is>
          <t>24318</t>
        </is>
      </c>
      <c r="AF1144" s="2" t="inlineStr">
        <is>
          <t>https://www.parlamento.pt/OrcamentoEstado/Paginas/DetalhePropostaAlteracao.aspx?BID=24318</t>
        </is>
      </c>
      <c r="AG1144" s="2" t="inlineStr">
        <is>
          <t>https://app.parlamento.pt/webutils/docs/doc.pdf?path=6148523063484d364c793942556b356c6443397a6158526c63793959566b6c4a544556484c3039464c7a49774d6a59794d4449314d5441774f533951515339695a574d324e574e6b5a5330785932557a4c5451354e6a5974596a49774e7930304d54426c595441315a6a67345a5441756347526d&amp;Fich=bec65cde-1ce3-4966-b207-410ea05f88e0.pdf&amp;Inline=true</t>
        </is>
      </c>
      <c r="AH1144" s="3" t="n">
        <v>46321.77847222222</v>
      </c>
      <c r="AI1144" s="3" t="n">
        <v>46321.78055555555</v>
      </c>
      <c r="AJ1144" s="2" t="inlineStr"/>
    </row>
    <row r="1145">
      <c r="A1145" s="2" t="n">
        <v>1144</v>
      </c>
      <c r="B1145" s="2" t="inlineStr">
        <is>
          <t>1078C</t>
        </is>
      </c>
      <c r="C1145" s="3" t="n">
        <v>45967.95138888889</v>
      </c>
      <c r="D1145" s="2" t="inlineStr">
        <is>
          <t>Original</t>
        </is>
      </c>
      <c r="E1145" s="2" t="inlineStr">
        <is>
          <t>CH</t>
        </is>
      </c>
      <c r="F114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45" s="2" t="inlineStr">
        <is>
          <t>Art. 136.º-A (aditamento)</t>
        </is>
      </c>
      <c r="H1145" s="2" t="n"/>
      <c r="I1145" s="2" t="n"/>
      <c r="J1145" s="2" t="n"/>
      <c r="K1145" s="2" t="n"/>
      <c r="L1145" s="2" t="inlineStr">
        <is>
          <t>Artigo 136.º-A (Programa de incentivo ao desporto escolar)</t>
        </is>
      </c>
      <c r="M1145" s="4" t="n"/>
      <c r="N1145" s="4" t="n"/>
      <c r="O1145" s="2" t="n"/>
      <c r="P1145" s="2" t="n"/>
      <c r="Q1145" s="2" t="n"/>
      <c r="R1145" s="2" t="n"/>
      <c r="S1145" s="2" t="inlineStr">
        <is>
          <t>Rejeitado(a) em Comissão</t>
        </is>
      </c>
      <c r="T1145" s="2" t="inlineStr">
        <is>
          <t>Rejeitada</t>
        </is>
      </c>
      <c r="U1145" s="2" t="inlineStr">
        <is>
          <t>Favor: CH, IL, BE, PAN; Contra: PSD, CDS-PP; Abstenção: PS, L, PCP</t>
        </is>
      </c>
      <c r="V1145" s="3" t="n">
        <v>45987</v>
      </c>
      <c r="W1145" s="2" t="inlineStr">
        <is>
          <t>AR: https://www.parlamento.pt/OrcamentoEstado/Paginas/DetalhePropostaAlteracao.aspx?BID=24319 PDF: https://app.parlamento.pt/webutils/docs/doc.pdf?path=6148523063484d364c793942556b356c6443397a6158526c63793959566b6c4a544556484c3039464c7a49774d6a59794d4449314d5441774f53395151533877597a42694d6d56685a6931694e57517a4c5451334f5449744f4459305969316a4d6d45794d5751304e5455344d5751756347526d&amp;Fich=0c0b2eaf-b5d3-4792-864b-c2a21d45581d.pdf&amp;Inline=true</t>
        </is>
      </c>
      <c r="X1145" s="2" t="inlineStr">
        <is>
          <t>Educação e Ciência</t>
        </is>
      </c>
      <c r="Y1145" s="2" t="inlineStr">
        <is>
          <t>Articulado</t>
        </is>
      </c>
      <c r="Z1145" s="2" t="inlineStr">
        <is>
          <t>Aditamento (Artigo PPL)</t>
        </is>
      </c>
      <c r="AA1145" s="2" t="inlineStr">
        <is>
          <t>Rejeitado(a) em Comissão</t>
        </is>
      </c>
      <c r="AB1145" s="2" t="inlineStr"/>
      <c r="AC1145" s="2" t="inlineStr"/>
      <c r="AD1145" s="2" t="inlineStr">
        <is>
          <t>1</t>
        </is>
      </c>
      <c r="AE1145" s="2" t="inlineStr">
        <is>
          <t>24319</t>
        </is>
      </c>
      <c r="AF1145" s="2" t="inlineStr">
        <is>
          <t>https://www.parlamento.pt/OrcamentoEstado/Paginas/DetalhePropostaAlteracao.aspx?BID=24319</t>
        </is>
      </c>
      <c r="AG1145" s="2" t="inlineStr">
        <is>
          <t>https://app.parlamento.pt/webutils/docs/doc.pdf?path=6148523063484d364c793942556b356c6443397a6158526c63793959566b6c4a544556484c3039464c7a49774d6a59794d4449314d5441774f53395151533877597a42694d6d56685a6931694e57517a4c5451334f5449744f4459305969316a4d6d45794d5751304e5455344d5751756347526d&amp;Fich=0c0b2eaf-b5d3-4792-864b-c2a21d45581d.pdf&amp;Inline=true</t>
        </is>
      </c>
      <c r="AH1145" s="3" t="n">
        <v>46321.77847222222</v>
      </c>
      <c r="AI1145" s="3" t="n">
        <v>46321.78055555555</v>
      </c>
      <c r="AJ1145" s="2" t="inlineStr"/>
    </row>
    <row r="1146">
      <c r="A1146" s="2" t="n">
        <v>1145</v>
      </c>
      <c r="B1146" s="2" t="inlineStr">
        <is>
          <t>1079C</t>
        </is>
      </c>
      <c r="C1146" s="3" t="n">
        <v>45967.95277777778</v>
      </c>
      <c r="D1146" s="2" t="inlineStr">
        <is>
          <t>Original</t>
        </is>
      </c>
      <c r="E1146" s="2" t="inlineStr">
        <is>
          <t>CH</t>
        </is>
      </c>
      <c r="F114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46" s="2" t="inlineStr">
        <is>
          <t>Art. 19.º-A (aditamento)</t>
        </is>
      </c>
      <c r="H1146" s="2" t="n"/>
      <c r="I1146" s="2" t="n"/>
      <c r="J1146" s="2" t="n"/>
      <c r="K1146" s="2" t="n"/>
      <c r="L1146" s="2" t="inlineStr">
        <is>
          <t>Artigo 19.º-A - Alteração ao Decreto-Lei n.º 145/2019, de 23 de setembro</t>
        </is>
      </c>
      <c r="M1146" s="4" t="n"/>
      <c r="N1146" s="4" t="n"/>
      <c r="O1146" s="2" t="n"/>
      <c r="P1146" s="2" t="n"/>
      <c r="Q1146" s="2" t="n"/>
      <c r="R1146" s="2" t="n"/>
      <c r="S1146" s="2" t="inlineStr">
        <is>
          <t>Rejeitado(a) em Comissão</t>
        </is>
      </c>
      <c r="T1146" s="2" t="inlineStr">
        <is>
          <t>Rejeitada</t>
        </is>
      </c>
      <c r="U1146" s="2" t="inlineStr">
        <is>
          <t>Favor: CH, PAN; Contra: PSD, CDS-PP; Abstenção: PS, IL, L, PCP, BE</t>
        </is>
      </c>
      <c r="V1146" s="3" t="n">
        <v>45981</v>
      </c>
      <c r="W1146" s="2" t="inlineStr">
        <is>
          <t>AR: https://www.parlamento.pt/OrcamentoEstado/Paginas/DetalhePropostaAlteracao.aspx?BID=24320 PDF: https://app.parlamento.pt/webutils/docs/doc.pdf?path=6148523063484d364c793942556b356c6443397a6158526c63793959566b6c4a544556484c3039464c7a49774d6a59794d4449314d5441774f533951515339685a4752684d7a4d32597931694d7a4d334c545269596d4d744f575a6b4d4330324f5751335a6a597a4e7a4a694f474d756347526d&amp;Fich=adda336c-b337-4bbc-9fd0-69d7f6372b8c.pdf&amp;Inline=true</t>
        </is>
      </c>
      <c r="X1146" s="2" t="inlineStr">
        <is>
          <t>Trabalho, Segurança Social e Inclusão</t>
        </is>
      </c>
      <c r="Y1146" s="2" t="inlineStr">
        <is>
          <t>Articulado</t>
        </is>
      </c>
      <c r="Z1146" s="2" t="inlineStr">
        <is>
          <t>Aditamento (Artigo PPL)</t>
        </is>
      </c>
      <c r="AA1146" s="2" t="inlineStr">
        <is>
          <t>Rejeitado(a) em Comissão</t>
        </is>
      </c>
      <c r="AB1146" s="2" t="inlineStr"/>
      <c r="AC1146" s="2" t="inlineStr"/>
      <c r="AD1146" s="2" t="inlineStr">
        <is>
          <t>1</t>
        </is>
      </c>
      <c r="AE1146" s="2" t="inlineStr">
        <is>
          <t>24320</t>
        </is>
      </c>
      <c r="AF1146" s="2" t="inlineStr">
        <is>
          <t>https://www.parlamento.pt/OrcamentoEstado/Paginas/DetalhePropostaAlteracao.aspx?BID=24320</t>
        </is>
      </c>
      <c r="AG1146" s="2" t="inlineStr">
        <is>
          <t>https://app.parlamento.pt/webutils/docs/doc.pdf?path=6148523063484d364c793942556b356c6443397a6158526c63793959566b6c4a544556484c3039464c7a49774d6a59794d4449314d5441774f533951515339685a4752684d7a4d32597931694d7a4d334c545269596d4d744f575a6b4d4330324f5751335a6a597a4e7a4a694f474d756347526d&amp;Fich=adda336c-b337-4bbc-9fd0-69d7f6372b8c.pdf&amp;Inline=true</t>
        </is>
      </c>
      <c r="AH1146" s="3" t="n">
        <v>46321.77847222222</v>
      </c>
      <c r="AI1146" s="3" t="n">
        <v>46321.78055555555</v>
      </c>
      <c r="AJ1146" s="2" t="inlineStr"/>
    </row>
    <row r="1147">
      <c r="A1147" s="2" t="n">
        <v>1146</v>
      </c>
      <c r="B1147" s="2" t="inlineStr">
        <is>
          <t>1080C</t>
        </is>
      </c>
      <c r="C1147" s="3" t="n">
        <v>45967.95347222222</v>
      </c>
      <c r="D1147" s="2" t="inlineStr">
        <is>
          <t>Original</t>
        </is>
      </c>
      <c r="E1147" s="2" t="inlineStr">
        <is>
          <t>CH</t>
        </is>
      </c>
      <c r="F114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47" s="2" t="inlineStr">
        <is>
          <t>Art. 136.º-A (aditamento)</t>
        </is>
      </c>
      <c r="H1147" s="2" t="n"/>
      <c r="I1147" s="2" t="n"/>
      <c r="J1147" s="2" t="n"/>
      <c r="K1147" s="2" t="n"/>
      <c r="L1147" s="2" t="inlineStr">
        <is>
          <t>Artigo 136.º-A (Plano de Inventariação Nacional das Necessidades de Intervenção no Património Imóvel Classificado)</t>
        </is>
      </c>
      <c r="M1147" s="4" t="n"/>
      <c r="N1147" s="4" t="n"/>
      <c r="O1147" s="2" t="n"/>
      <c r="P1147" s="2" t="n"/>
      <c r="Q1147" s="2" t="n"/>
      <c r="R1147" s="2" t="n"/>
      <c r="S1147" s="2" t="inlineStr">
        <is>
          <t>Rejeitado(a) em Comissão</t>
        </is>
      </c>
      <c r="T1147" s="2" t="inlineStr">
        <is>
          <t>Rejeitada</t>
        </is>
      </c>
      <c r="U1147" s="2" t="inlineStr">
        <is>
          <t>Favor: CH, IL, BE, PAN; Contra: PSD, CDS-PP; Abstenção: PS, L, PCP</t>
        </is>
      </c>
      <c r="V1147" s="3" t="n">
        <v>45987</v>
      </c>
      <c r="W1147" s="2" t="inlineStr">
        <is>
          <t>AR: https://www.parlamento.pt/OrcamentoEstado/Paginas/DetalhePropostaAlteracao.aspx?BID=24321 PDF: https://app.parlamento.pt/webutils/docs/doc.pdf?path=6148523063484d364c793942556b356c6443397a6158526c63793959566b6c4a544556484c3039464c7a49774d6a59794d4449314d5441774f53395151533833597a4a684d5459324e69316b4d47497a4c5451314e7a6b744f4755794d43316a5a6d493359544e6a4d7a42685a4441756347526d&amp;Fich=7c2a1666-d0b3-4579-8e20-cfb7a3c30ad0.pdf&amp;Inline=true</t>
        </is>
      </c>
      <c r="X1147" s="2" t="inlineStr">
        <is>
          <t>Cultura, Comunicação, Juventude e Desporto</t>
        </is>
      </c>
      <c r="Y1147" s="2" t="inlineStr">
        <is>
          <t>Articulado</t>
        </is>
      </c>
      <c r="Z1147" s="2" t="inlineStr">
        <is>
          <t>Aditamento (Artigo PPL)</t>
        </is>
      </c>
      <c r="AA1147" s="2" t="inlineStr">
        <is>
          <t>Rejeitado(a) em Comissão</t>
        </is>
      </c>
      <c r="AB1147" s="2" t="inlineStr"/>
      <c r="AC1147" s="2" t="inlineStr"/>
      <c r="AD1147" s="2" t="inlineStr">
        <is>
          <t>1</t>
        </is>
      </c>
      <c r="AE1147" s="2" t="inlineStr">
        <is>
          <t>24321</t>
        </is>
      </c>
      <c r="AF1147" s="2" t="inlineStr">
        <is>
          <t>https://www.parlamento.pt/OrcamentoEstado/Paginas/DetalhePropostaAlteracao.aspx?BID=24321</t>
        </is>
      </c>
      <c r="AG1147" s="2" t="inlineStr">
        <is>
          <t>https://app.parlamento.pt/webutils/docs/doc.pdf?path=6148523063484d364c793942556b356c6443397a6158526c63793959566b6c4a544556484c3039464c7a49774d6a59794d4449314d5441774f53395151533833597a4a684d5459324e69316b4d47497a4c5451314e7a6b744f4755794d43316a5a6d493359544e6a4d7a42685a4441756347526d&amp;Fich=7c2a1666-d0b3-4579-8e20-cfb7a3c30ad0.pdf&amp;Inline=true</t>
        </is>
      </c>
      <c r="AH1147" s="3" t="n">
        <v>46321.77847222222</v>
      </c>
      <c r="AI1147" s="3" t="n">
        <v>46321.78055555555</v>
      </c>
      <c r="AJ1147" s="2" t="inlineStr"/>
    </row>
    <row r="1148">
      <c r="A1148" s="2" t="n">
        <v>1147</v>
      </c>
      <c r="B1148" s="2" t="inlineStr">
        <is>
          <t>1081C</t>
        </is>
      </c>
      <c r="C1148" s="3" t="n">
        <v>45967.95486111111</v>
      </c>
      <c r="D1148" s="2" t="inlineStr">
        <is>
          <t>Original</t>
        </is>
      </c>
      <c r="E1148" s="2" t="inlineStr">
        <is>
          <t>CH</t>
        </is>
      </c>
      <c r="F114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48" s="2" t="inlineStr">
        <is>
          <t>Art. 19.º-A (aditamento)</t>
        </is>
      </c>
      <c r="H1148" s="2" t="n"/>
      <c r="I1148" s="2" t="n"/>
      <c r="J1148" s="2" t="n"/>
      <c r="K1148" s="2" t="n"/>
      <c r="L1148" s="2" t="inlineStr">
        <is>
          <t>Artigo 19.º-A (Subsídio de insularidade para funcionários judiciais em funções nas regiões autónomas)</t>
        </is>
      </c>
      <c r="M1148" s="4" t="n"/>
      <c r="N1148" s="4" t="n"/>
      <c r="O1148" s="2" t="n"/>
      <c r="P1148" s="2" t="n"/>
      <c r="Q1148" s="2" t="n"/>
      <c r="R1148" s="2" t="n"/>
      <c r="S1148" s="2" t="inlineStr">
        <is>
          <t>Rejeitado(a) em Comissão</t>
        </is>
      </c>
      <c r="T1148" s="2" t="inlineStr">
        <is>
          <t>Rejeitada</t>
        </is>
      </c>
      <c r="U1148" s="2" t="inlineStr">
        <is>
          <t>Favor: CH, CDS-PP, BE, PAN; Contra: PSD, IL; Abstenção: PS, L, PCP</t>
        </is>
      </c>
      <c r="V1148" s="3" t="n">
        <v>45981</v>
      </c>
      <c r="W1148" s="2" t="inlineStr">
        <is>
          <t>AR: https://www.parlamento.pt/OrcamentoEstado/Paginas/DetalhePropostaAlteracao.aspx?BID=24322 PDF: https://app.parlamento.pt/webutils/docs/doc.pdf?path=6148523063484d364c793942556b356c6443397a6158526c63793959566b6c4a544556484c3039464c7a49774d6a59794d4449314d5441774f5339515153396d5932566a5a474d794e6930784e3245784c5452694e4463744f574a6d595330334e324e6c5a5459794e7a6b775a4463756347526d&amp;Fich=fcecdc26-17a1-4b47-9bfa-77cee62790d7.pdf&amp;Inline=true</t>
        </is>
      </c>
      <c r="X1148" s="2" t="inlineStr">
        <is>
          <t>Trabalho, Segurança Social e Inclusão</t>
        </is>
      </c>
      <c r="Y1148" s="2" t="inlineStr">
        <is>
          <t>Articulado</t>
        </is>
      </c>
      <c r="Z1148" s="2" t="inlineStr">
        <is>
          <t>Aditamento (Artigo PPL)</t>
        </is>
      </c>
      <c r="AA1148" s="2" t="inlineStr">
        <is>
          <t>Rejeitado(a) em Comissão</t>
        </is>
      </c>
      <c r="AB1148" s="2" t="inlineStr"/>
      <c r="AC1148" s="2" t="inlineStr"/>
      <c r="AD1148" s="2" t="inlineStr">
        <is>
          <t>1</t>
        </is>
      </c>
      <c r="AE1148" s="2" t="inlineStr">
        <is>
          <t>24322</t>
        </is>
      </c>
      <c r="AF1148" s="2" t="inlineStr">
        <is>
          <t>https://www.parlamento.pt/OrcamentoEstado/Paginas/DetalhePropostaAlteracao.aspx?BID=24322</t>
        </is>
      </c>
      <c r="AG1148" s="2" t="inlineStr">
        <is>
          <t>https://app.parlamento.pt/webutils/docs/doc.pdf?path=6148523063484d364c793942556b356c6443397a6158526c63793959566b6c4a544556484c3039464c7a49774d6a59794d4449314d5441774f5339515153396d5932566a5a474d794e6930784e3245784c5452694e4463744f574a6d595330334e324e6c5a5459794e7a6b775a4463756347526d&amp;Fich=fcecdc26-17a1-4b47-9bfa-77cee62790d7.pdf&amp;Inline=true</t>
        </is>
      </c>
      <c r="AH1148" s="3" t="n">
        <v>46321.77847222222</v>
      </c>
      <c r="AI1148" s="3" t="n">
        <v>46321.78055555555</v>
      </c>
      <c r="AJ1148" s="2" t="inlineStr"/>
    </row>
    <row r="1149">
      <c r="A1149" s="2" t="n">
        <v>1148</v>
      </c>
      <c r="B1149" s="2" t="inlineStr">
        <is>
          <t>1082C</t>
        </is>
      </c>
      <c r="C1149" s="3" t="n">
        <v>45967.95555555556</v>
      </c>
      <c r="D1149" s="2" t="inlineStr">
        <is>
          <t>Original</t>
        </is>
      </c>
      <c r="E1149" s="2" t="inlineStr">
        <is>
          <t>CH</t>
        </is>
      </c>
      <c r="F114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49" s="2" t="inlineStr">
        <is>
          <t>Art. 136.º-A (aditamento)</t>
        </is>
      </c>
      <c r="H1149" s="2" t="n"/>
      <c r="I1149" s="2" t="n"/>
      <c r="J1149" s="2" t="n"/>
      <c r="K1149" s="2" t="n"/>
      <c r="L1149" s="2" t="inlineStr">
        <is>
          <t>Artigo 136.º-A (Início do processo de substituição das Fragatas da Marinha)</t>
        </is>
      </c>
      <c r="M1149" s="4" t="n"/>
      <c r="N1149" s="4" t="n"/>
      <c r="O1149" s="2" t="n"/>
      <c r="P1149" s="2" t="n"/>
      <c r="Q1149" s="2" t="n"/>
      <c r="R1149" s="2" t="n"/>
      <c r="S1149" s="2" t="inlineStr">
        <is>
          <t>Rejeitado(a) em Comissão</t>
        </is>
      </c>
      <c r="T1149" s="2" t="inlineStr">
        <is>
          <t>Rejeitada</t>
        </is>
      </c>
      <c r="U1149" s="2" t="inlineStr">
        <is>
          <t>Favor: CH, PAN; Contra: PSD, PS, PCP, CDS-PP; Abstenção: IL, L, BE</t>
        </is>
      </c>
      <c r="V1149" s="3" t="n">
        <v>45987</v>
      </c>
      <c r="W1149" s="2" t="inlineStr">
        <is>
          <t>AR: https://www.parlamento.pt/OrcamentoEstado/Paginas/DetalhePropostaAlteracao.aspx?BID=24323 PDF: https://app.parlamento.pt/webutils/docs/doc.pdf?path=6148523063484d364c793942556b356c6443397a6158526c63793959566b6c4a544556484c3039464c7a49774d6a59794d4449314d5441774f533951515338314f546c684e324e6d4d4331685a4463784c5451335a4751744f544d774f53307a596a55334e6d49795a5446684f544d756347526d&amp;Fich=599a7cf0-ad71-47dd-9309-3b576b2e1a93.pdf&amp;Inline=true</t>
        </is>
      </c>
      <c r="X1149" s="2" t="inlineStr">
        <is>
          <t>Defesa Nacional</t>
        </is>
      </c>
      <c r="Y1149" s="2" t="inlineStr">
        <is>
          <t>Articulado</t>
        </is>
      </c>
      <c r="Z1149" s="2" t="inlineStr">
        <is>
          <t>Aditamento (Artigo PPL)</t>
        </is>
      </c>
      <c r="AA1149" s="2" t="inlineStr">
        <is>
          <t>Rejeitado(a) em Comissão</t>
        </is>
      </c>
      <c r="AB1149" s="2" t="inlineStr"/>
      <c r="AC1149" s="2" t="inlineStr"/>
      <c r="AD1149" s="2" t="inlineStr">
        <is>
          <t>1</t>
        </is>
      </c>
      <c r="AE1149" s="2" t="inlineStr">
        <is>
          <t>24323</t>
        </is>
      </c>
      <c r="AF1149" s="2" t="inlineStr">
        <is>
          <t>https://www.parlamento.pt/OrcamentoEstado/Paginas/DetalhePropostaAlteracao.aspx?BID=24323</t>
        </is>
      </c>
      <c r="AG1149" s="2" t="inlineStr">
        <is>
          <t>https://app.parlamento.pt/webutils/docs/doc.pdf?path=6148523063484d364c793942556b356c6443397a6158526c63793959566b6c4a544556484c3039464c7a49774d6a59794d4449314d5441774f533951515338314f546c684e324e6d4d4331685a4463784c5451335a4751744f544d774f53307a596a55334e6d49795a5446684f544d756347526d&amp;Fich=599a7cf0-ad71-47dd-9309-3b576b2e1a93.pdf&amp;Inline=true</t>
        </is>
      </c>
      <c r="AH1149" s="3" t="n">
        <v>46321.77847222222</v>
      </c>
      <c r="AI1149" s="3" t="n">
        <v>46321.78055555555</v>
      </c>
      <c r="AJ1149" s="2" t="inlineStr"/>
    </row>
    <row r="1150">
      <c r="A1150" s="2" t="n">
        <v>1149</v>
      </c>
      <c r="B1150" s="2" t="inlineStr">
        <is>
          <t>1083C</t>
        </is>
      </c>
      <c r="C1150" s="3" t="n">
        <v>45967.95555555556</v>
      </c>
      <c r="D1150" s="2" t="inlineStr">
        <is>
          <t>Original</t>
        </is>
      </c>
      <c r="E1150" s="2" t="inlineStr">
        <is>
          <t>CH</t>
        </is>
      </c>
      <c r="F115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50" s="2" t="inlineStr">
        <is>
          <t>Art. 19.º-A (aditamento)</t>
        </is>
      </c>
      <c r="H1150" s="2" t="n"/>
      <c r="I1150" s="2" t="n"/>
      <c r="J1150" s="2" t="n"/>
      <c r="K1150" s="2" t="n"/>
      <c r="L1150" s="2" t="inlineStr">
        <is>
          <t>Artigo 19.º-A (Subsídio de insularidade para funcionários públicos em funções nas regiões autónomas)</t>
        </is>
      </c>
      <c r="M1150" s="4" t="n"/>
      <c r="N1150" s="4" t="n"/>
      <c r="O1150" s="2" t="n"/>
      <c r="P1150" s="2" t="n"/>
      <c r="Q1150" s="2" t="n"/>
      <c r="R1150" s="2" t="n"/>
      <c r="S1150" s="2" t="inlineStr">
        <is>
          <t>Rejeitado(a) em Comissão</t>
        </is>
      </c>
      <c r="T1150" s="2" t="inlineStr">
        <is>
          <t>Rejeitada</t>
        </is>
      </c>
      <c r="U1150" s="2" t="inlineStr">
        <is>
          <t>Favor: CH, BE, PAN; Contra: PSD, CDS-PP; Abstenção: PS, IL, L, PCP</t>
        </is>
      </c>
      <c r="V1150" s="3" t="n">
        <v>45981</v>
      </c>
      <c r="W1150" s="2" t="inlineStr">
        <is>
          <t>AR: https://www.parlamento.pt/OrcamentoEstado/Paginas/DetalhePropostaAlteracao.aspx?BID=24324 PDF: https://app.parlamento.pt/webutils/docs/doc.pdf?path=6148523063484d364c793942556b356c6443397a6158526c63793959566b6c4a544556484c3039464c7a49774d6a59794d4449314d5441774f5339515153396d5a4445354e4452685953307a5a574a694c54526a4d6a51744f4451354e433168595751784f5755314d445532597a6b756347526d&amp;Fich=fd1944aa-3ebb-4c24-8494-aad19e5056c9.pdf&amp;Inline=true</t>
        </is>
      </c>
      <c r="X1150" s="2" t="inlineStr">
        <is>
          <t>Trabalho, Segurança Social e Inclusão</t>
        </is>
      </c>
      <c r="Y1150" s="2" t="inlineStr">
        <is>
          <t>Articulado</t>
        </is>
      </c>
      <c r="Z1150" s="2" t="inlineStr">
        <is>
          <t>Aditamento (Artigo PPL)</t>
        </is>
      </c>
      <c r="AA1150" s="2" t="inlineStr">
        <is>
          <t>Rejeitado(a) em Comissão</t>
        </is>
      </c>
      <c r="AB1150" s="2" t="inlineStr"/>
      <c r="AC1150" s="2" t="inlineStr"/>
      <c r="AD1150" s="2" t="inlineStr">
        <is>
          <t>1</t>
        </is>
      </c>
      <c r="AE1150" s="2" t="inlineStr">
        <is>
          <t>24324</t>
        </is>
      </c>
      <c r="AF1150" s="2" t="inlineStr">
        <is>
          <t>https://www.parlamento.pt/OrcamentoEstado/Paginas/DetalhePropostaAlteracao.aspx?BID=24324</t>
        </is>
      </c>
      <c r="AG1150" s="2" t="inlineStr">
        <is>
          <t>https://app.parlamento.pt/webutils/docs/doc.pdf?path=6148523063484d364c793942556b356c6443397a6158526c63793959566b6c4a544556484c3039464c7a49774d6a59794d4449314d5441774f5339515153396d5a4445354e4452685953307a5a574a694c54526a4d6a51744f4451354e433168595751784f5755314d445532597a6b756347526d&amp;Fich=fd1944aa-3ebb-4c24-8494-aad19e5056c9.pdf&amp;Inline=true</t>
        </is>
      </c>
      <c r="AH1150" s="3" t="n">
        <v>46321.77847222222</v>
      </c>
      <c r="AI1150" s="3" t="n">
        <v>46321.78055555555</v>
      </c>
      <c r="AJ1150" s="2" t="inlineStr"/>
    </row>
    <row r="1151">
      <c r="A1151" s="2" t="n">
        <v>1150</v>
      </c>
      <c r="B1151" s="2" t="inlineStr">
        <is>
          <t>1084C</t>
        </is>
      </c>
      <c r="C1151" s="3" t="n">
        <v>45967.95694444444</v>
      </c>
      <c r="D1151" s="2" t="inlineStr">
        <is>
          <t>Original</t>
        </is>
      </c>
      <c r="E1151" s="2" t="inlineStr">
        <is>
          <t>CH</t>
        </is>
      </c>
      <c r="F115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51" s="2" t="inlineStr">
        <is>
          <t>Art. 19.º-A (aditamento)</t>
        </is>
      </c>
      <c r="H1151" s="2" t="n"/>
      <c r="I1151" s="2" t="n"/>
      <c r="J1151" s="2" t="n"/>
      <c r="K1151" s="2" t="n"/>
      <c r="L1151" s="2" t="inlineStr">
        <is>
          <t>Artigo 19.º-A (Subsídio de insularidade para os militares colocados nas Regiões Autónomas dos Açores e da Madeira)</t>
        </is>
      </c>
      <c r="M1151" s="4" t="n"/>
      <c r="N1151" s="4" t="n"/>
      <c r="O1151" s="2" t="n"/>
      <c r="P1151" s="2" t="n"/>
      <c r="Q1151" s="2" t="n"/>
      <c r="R1151" s="2" t="n"/>
      <c r="S1151" s="2" t="inlineStr">
        <is>
          <t>Rejeitado(a) em Comissão</t>
        </is>
      </c>
      <c r="T1151" s="2" t="inlineStr">
        <is>
          <t>Rejeitada</t>
        </is>
      </c>
      <c r="U1151" s="2" t="inlineStr">
        <is>
          <t>Favor: CH, BE, PAN; Contra: PSD, IL, CDS-PP; Abstenção: PS, L, PCP</t>
        </is>
      </c>
      <c r="V1151" s="3" t="n">
        <v>45981</v>
      </c>
      <c r="W1151" s="2" t="inlineStr">
        <is>
          <t>AR: https://www.parlamento.pt/OrcamentoEstado/Paginas/DetalhePropostaAlteracao.aspx?BID=24325 PDF: https://app.parlamento.pt/webutils/docs/doc.pdf?path=6148523063484d364c793942556b356c6443397a6158526c63793959566b6c4a544556484c3039464c7a49774d6a59794d4449314d5441774f533951515338354e6a4e6d4e7a517a4e53316c595441314c54526b5a6a49744f544a695a5330334e54646d5a6d51774d32526a4e3245756347526d&amp;Fich=963f7435-ea05-4df2-92be-757ffd03dc7a.pdf&amp;Inline=true</t>
        </is>
      </c>
      <c r="X1151" s="2" t="inlineStr">
        <is>
          <t>Trabalho, Segurança Social e Inclusão</t>
        </is>
      </c>
      <c r="Y1151" s="2" t="inlineStr">
        <is>
          <t>Articulado</t>
        </is>
      </c>
      <c r="Z1151" s="2" t="inlineStr">
        <is>
          <t>Aditamento (Artigo PPL)</t>
        </is>
      </c>
      <c r="AA1151" s="2" t="inlineStr">
        <is>
          <t>Rejeitado(a) em Comissão</t>
        </is>
      </c>
      <c r="AB1151" s="2" t="inlineStr"/>
      <c r="AC1151" s="2" t="inlineStr"/>
      <c r="AD1151" s="2" t="inlineStr">
        <is>
          <t>1</t>
        </is>
      </c>
      <c r="AE1151" s="2" t="inlineStr">
        <is>
          <t>24325</t>
        </is>
      </c>
      <c r="AF1151" s="2" t="inlineStr">
        <is>
          <t>https://www.parlamento.pt/OrcamentoEstado/Paginas/DetalhePropostaAlteracao.aspx?BID=24325</t>
        </is>
      </c>
      <c r="AG1151" s="2" t="inlineStr">
        <is>
          <t>https://app.parlamento.pt/webutils/docs/doc.pdf?path=6148523063484d364c793942556b356c6443397a6158526c63793959566b6c4a544556484c3039464c7a49774d6a59794d4449314d5441774f533951515338354e6a4e6d4e7a517a4e53316c595441314c54526b5a6a49744f544a695a5330334e54646d5a6d51774d32526a4e3245756347526d&amp;Fich=963f7435-ea05-4df2-92be-757ffd03dc7a.pdf&amp;Inline=true</t>
        </is>
      </c>
      <c r="AH1151" s="3" t="n">
        <v>46321.77847222222</v>
      </c>
      <c r="AI1151" s="3" t="n">
        <v>46321.78055555555</v>
      </c>
      <c r="AJ1151" s="2" t="inlineStr"/>
    </row>
    <row r="1152">
      <c r="A1152" s="2" t="n">
        <v>1151</v>
      </c>
      <c r="B1152" s="2" t="inlineStr">
        <is>
          <t>1085C</t>
        </is>
      </c>
      <c r="C1152" s="3" t="n">
        <v>45967.95763888889</v>
      </c>
      <c r="D1152" s="2" t="inlineStr">
        <is>
          <t>Original</t>
        </is>
      </c>
      <c r="E1152" s="2" t="inlineStr">
        <is>
          <t>JPP</t>
        </is>
      </c>
      <c r="F1152" s="2" t="inlineStr">
        <is>
          <t>Filipe Sousa</t>
        </is>
      </c>
      <c r="G1152" s="2" t="inlineStr">
        <is>
          <t>Art. 112.º-A (aditamento)</t>
        </is>
      </c>
      <c r="H1152" s="2" t="n"/>
      <c r="I1152" s="2" t="n"/>
      <c r="J1152" s="2" t="n"/>
      <c r="K1152" s="2" t="n"/>
      <c r="L1152" s="2" t="inlineStr">
        <is>
          <t>Artigo 112.º-A (Criação do Fundo de Garantia da Mobilidade Aérea nas Regiões Autónomas)</t>
        </is>
      </c>
      <c r="M1152" s="4" t="n"/>
      <c r="N1152" s="4" t="n"/>
      <c r="O1152" s="2" t="n"/>
      <c r="P1152" s="2" t="n"/>
      <c r="Q1152" s="2" t="n"/>
      <c r="R1152" s="2" t="n"/>
      <c r="S1152" s="2" t="inlineStr">
        <is>
          <t>Rejeitado(a) em Plenário</t>
        </is>
      </c>
      <c r="T1152" s="2" t="inlineStr">
        <is>
          <t>Rejeitada</t>
        </is>
      </c>
      <c r="U1152" s="2" t="inlineStr">
        <is>
          <t>Favor: PCP, BE, PAN, JPP; Contra: PSD, PS, IL, CDS-PP; Abstenção: CH, L</t>
        </is>
      </c>
      <c r="V1152" s="3" t="n">
        <v>45985</v>
      </c>
      <c r="W1152" s="2" t="inlineStr">
        <is>
          <t>Avocada a Plenário. AR: https://www.parlamento.pt/OrcamentoEstado/Paginas/DetalhePropostaAlteracao.aspx?BID=24326 PDF: https://app.parlamento.pt/webutils/docs/doc.pdf?path=6148523063484d364c793942556b356c6443397a6158526c63793959566b6c4a544556484c3039464c7a49774d6a59794d4449314d5441774f5339515153387859545a695a4756685a6930354d54426c4c5451785a6a51744f574d304f53316d4f544e6a4f446c694f474a6d4e7a45756347526d&amp;Fich=1a6bdeaf-910e-41f4-9c49-f93c89b8bf71.pdf&amp;Inline=true</t>
        </is>
      </c>
      <c r="X1152" s="2" t="inlineStr">
        <is>
          <t>Infraestruturas, Mobilidade e Habitação</t>
        </is>
      </c>
      <c r="Y1152" s="2" t="inlineStr">
        <is>
          <t>Articulado</t>
        </is>
      </c>
      <c r="Z1152" s="2" t="inlineStr">
        <is>
          <t>Aditamento (Artigo PPL)</t>
        </is>
      </c>
      <c r="AA1152" s="2" t="inlineStr">
        <is>
          <t>Rejeitado(a) em Plenário</t>
        </is>
      </c>
      <c r="AB1152" s="2" t="inlineStr">
        <is>
          <t>S</t>
        </is>
      </c>
      <c r="AC1152" s="2" t="inlineStr"/>
      <c r="AD1152" s="2" t="inlineStr">
        <is>
          <t>2</t>
        </is>
      </c>
      <c r="AE1152" s="2" t="inlineStr">
        <is>
          <t>24326</t>
        </is>
      </c>
      <c r="AF1152" s="2" t="inlineStr">
        <is>
          <t>https://www.parlamento.pt/OrcamentoEstado/Paginas/DetalhePropostaAlteracao.aspx?BID=24326</t>
        </is>
      </c>
      <c r="AG1152" s="2" t="inlineStr">
        <is>
          <t>https://app.parlamento.pt/webutils/docs/doc.pdf?path=6148523063484d364c793942556b356c6443397a6158526c63793959566b6c4a544556484c3039464c7a49774d6a59794d4449314d5441774f5339515153387859545a695a4756685a6930354d54426c4c5451785a6a51744f574d304f53316d4f544e6a4f446c694f474a6d4e7a45756347526d&amp;Fich=1a6bdeaf-910e-41f4-9c49-f93c89b8bf71.pdf&amp;Inline=true</t>
        </is>
      </c>
      <c r="AH1152" s="3" t="n">
        <v>46321.77847222222</v>
      </c>
      <c r="AI1152" s="3" t="n">
        <v>46321.78055555555</v>
      </c>
      <c r="AJ1152" s="2" t="inlineStr"/>
    </row>
    <row r="1153">
      <c r="A1153" s="2" t="n">
        <v>1152</v>
      </c>
      <c r="B1153" s="2" t="inlineStr">
        <is>
          <t>1086C</t>
        </is>
      </c>
      <c r="C1153" s="3" t="n">
        <v>45967.95902777778</v>
      </c>
      <c r="D1153" s="2" t="inlineStr">
        <is>
          <t>Original</t>
        </is>
      </c>
      <c r="E1153" s="2" t="inlineStr">
        <is>
          <t>CH</t>
        </is>
      </c>
      <c r="F115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53" s="2" t="inlineStr">
        <is>
          <t>Art. 22.º-A (aditamento)</t>
        </is>
      </c>
      <c r="H1153" s="2" t="n"/>
      <c r="I1153" s="2" t="n"/>
      <c r="J1153" s="2" t="n"/>
      <c r="K1153" s="2" t="n"/>
      <c r="L1153" s="2" t="inlineStr">
        <is>
          <t>Artigo 22.º-A (Revisão Carreira Técnico Superior Diagnóstico Terapêutica)</t>
        </is>
      </c>
      <c r="M1153" s="4" t="n"/>
      <c r="N1153" s="4" t="n"/>
      <c r="O1153" s="2" t="n"/>
      <c r="P1153" s="2" t="n"/>
      <c r="Q1153" s="2" t="n"/>
      <c r="R1153" s="2" t="n"/>
      <c r="S1153" s="2" t="inlineStr">
        <is>
          <t>Rejeitado(a) em Comissão</t>
        </is>
      </c>
      <c r="T1153" s="2" t="inlineStr">
        <is>
          <t>Rejeitada</t>
        </is>
      </c>
      <c r="U1153" s="2" t="inlineStr">
        <is>
          <t>Favor: CH, BE, PAN; Contra: PSD, CDS-PP; Abstenção: PS, IL, L, PCP</t>
        </is>
      </c>
      <c r="V1153" s="3" t="n">
        <v>45981</v>
      </c>
      <c r="W1153" s="2" t="inlineStr">
        <is>
          <t>AR: https://www.parlamento.pt/OrcamentoEstado/Paginas/DetalhePropostaAlteracao.aspx?BID=24327 PDF: https://app.parlamento.pt/webutils/docs/doc.pdf?path=6148523063484d364c793942556b356c6443397a6158526c63793959566b6c4a544556484c3039464c7a49774d6a59794d4449314d5441774f533951515339694e474d33595441324e5330304e5751354c5451354d446774596a6c6d4e6930794d57526c4d446b334e4463334f5441756347526d&amp;Fich=b4c7a065-45d9-4908-b9f6-21de09747790.pdf&amp;Inline=true</t>
        </is>
      </c>
      <c r="X1153" s="2" t="inlineStr">
        <is>
          <t>Saúde</t>
        </is>
      </c>
      <c r="Y1153" s="2" t="inlineStr">
        <is>
          <t>Articulado</t>
        </is>
      </c>
      <c r="Z1153" s="2" t="inlineStr">
        <is>
          <t>Aditamento (Artigo PPL)</t>
        </is>
      </c>
      <c r="AA1153" s="2" t="inlineStr">
        <is>
          <t>Rejeitado(a) em Comissão</t>
        </is>
      </c>
      <c r="AB1153" s="2" t="inlineStr"/>
      <c r="AC1153" s="2" t="inlineStr"/>
      <c r="AD1153" s="2" t="inlineStr">
        <is>
          <t>1</t>
        </is>
      </c>
      <c r="AE1153" s="2" t="inlineStr">
        <is>
          <t>24327</t>
        </is>
      </c>
      <c r="AF1153" s="2" t="inlineStr">
        <is>
          <t>https://www.parlamento.pt/OrcamentoEstado/Paginas/DetalhePropostaAlteracao.aspx?BID=24327</t>
        </is>
      </c>
      <c r="AG1153" s="2" t="inlineStr">
        <is>
          <t>https://app.parlamento.pt/webutils/docs/doc.pdf?path=6148523063484d364c793942556b356c6443397a6158526c63793959566b6c4a544556484c3039464c7a49774d6a59794d4449314d5441774f533951515339694e474d33595441324e5330304e5751354c5451354d446774596a6c6d4e6930794d57526c4d446b334e4463334f5441756347526d&amp;Fich=b4c7a065-45d9-4908-b9f6-21de09747790.pdf&amp;Inline=true</t>
        </is>
      </c>
      <c r="AH1153" s="3" t="n">
        <v>46321.77847222222</v>
      </c>
      <c r="AI1153" s="3" t="n">
        <v>46321.78055555555</v>
      </c>
      <c r="AJ1153" s="2" t="inlineStr"/>
    </row>
    <row r="1154">
      <c r="A1154" s="2" t="n">
        <v>1153</v>
      </c>
      <c r="B1154" s="2" t="inlineStr">
        <is>
          <t>1087C</t>
        </is>
      </c>
      <c r="C1154" s="3" t="n">
        <v>45967.96041666667</v>
      </c>
      <c r="D1154" s="2" t="inlineStr">
        <is>
          <t>Original</t>
        </is>
      </c>
      <c r="E1154" s="2" t="inlineStr">
        <is>
          <t>JPP</t>
        </is>
      </c>
      <c r="F1154" s="2" t="inlineStr">
        <is>
          <t>Filipe Sousa</t>
        </is>
      </c>
      <c r="G1154" s="2" t="inlineStr">
        <is>
          <t>Art. 121.º-A (aditamento)</t>
        </is>
      </c>
      <c r="H1154" s="2" t="n"/>
      <c r="I1154" s="2" t="n"/>
      <c r="J1154" s="2" t="n"/>
      <c r="K1154" s="2" t="n"/>
      <c r="L1154" s="2" t="inlineStr">
        <is>
          <t>Artigo 121.º-A (Transporte marítimo regular Madeira-Continente)</t>
        </is>
      </c>
      <c r="M1154" s="4" t="n"/>
      <c r="N1154" s="4" t="n"/>
      <c r="O1154" s="2" t="n"/>
      <c r="P1154" s="2" t="n"/>
      <c r="Q1154" s="2" t="n"/>
      <c r="R1154" s="2" t="n"/>
      <c r="S1154" s="2" t="inlineStr">
        <is>
          <t>Rejeitado(a) em Comissão</t>
        </is>
      </c>
      <c r="T1154" s="2" t="inlineStr">
        <is>
          <t>Rejeitada</t>
        </is>
      </c>
      <c r="U1154" s="2" t="inlineStr">
        <is>
          <t>Favor: L, BE, PAN; Contra: PSD, IL, CDS-PP; Abstenção: CH, PS, PCP</t>
        </is>
      </c>
      <c r="V1154" s="3" t="n">
        <v>45985</v>
      </c>
      <c r="W1154" s="2" t="inlineStr">
        <is>
          <t>AR: https://www.parlamento.pt/OrcamentoEstado/Paginas/DetalhePropostaAlteracao.aspx?BID=24328 PDF: https://app.parlamento.pt/webutils/docs/doc.pdf?path=6148523063484d364c793942556b356c6443397a6158526c63793959566b6c4a544556484c3039464c7a49774d6a59794d4449314d5441774f533951515339694d5451324d5759324e53316c4e44526c4c5451314f446b744f5752694e5331694d6a56684e6d5a694f444d33595449756347526d&amp;Fich=b1461f65-e44e-4589-9db5-b25a6fb837a2.pdf&amp;Inline=true</t>
        </is>
      </c>
      <c r="X1154" s="2" t="inlineStr">
        <is>
          <t>Infraestruturas, Mobilidade e Habitação</t>
        </is>
      </c>
      <c r="Y1154" s="2" t="inlineStr">
        <is>
          <t>Articulado</t>
        </is>
      </c>
      <c r="Z1154" s="2" t="inlineStr">
        <is>
          <t>Aditamento (Artigo PPL)</t>
        </is>
      </c>
      <c r="AA1154" s="2" t="inlineStr">
        <is>
          <t>Rejeitado(a) em Comissão</t>
        </is>
      </c>
      <c r="AB1154" s="2" t="inlineStr"/>
      <c r="AC1154" s="2" t="inlineStr"/>
      <c r="AD1154" s="2" t="inlineStr">
        <is>
          <t>1</t>
        </is>
      </c>
      <c r="AE1154" s="2" t="inlineStr">
        <is>
          <t>24328</t>
        </is>
      </c>
      <c r="AF1154" s="2" t="inlineStr">
        <is>
          <t>https://www.parlamento.pt/OrcamentoEstado/Paginas/DetalhePropostaAlteracao.aspx?BID=24328</t>
        </is>
      </c>
      <c r="AG1154" s="2" t="inlineStr">
        <is>
          <t>https://app.parlamento.pt/webutils/docs/doc.pdf?path=6148523063484d364c793942556b356c6443397a6158526c63793959566b6c4a544556484c3039464c7a49774d6a59794d4449314d5441774f533951515339694d5451324d5759324e53316c4e44526c4c5451314f446b744f5752694e5331694d6a56684e6d5a694f444d33595449756347526d&amp;Fich=b1461f65-e44e-4589-9db5-b25a6fb837a2.pdf&amp;Inline=true</t>
        </is>
      </c>
      <c r="AH1154" s="3" t="n">
        <v>46321.77847222222</v>
      </c>
      <c r="AI1154" s="3" t="n">
        <v>46321.78055555555</v>
      </c>
      <c r="AJ1154" s="2" t="inlineStr"/>
    </row>
    <row r="1155">
      <c r="A1155" s="2" t="n">
        <v>1154</v>
      </c>
      <c r="B1155" s="2" t="inlineStr">
        <is>
          <t>1088C</t>
        </is>
      </c>
      <c r="C1155" s="3" t="n">
        <v>45967.96041666667</v>
      </c>
      <c r="D1155" s="2" t="inlineStr">
        <is>
          <t>Original</t>
        </is>
      </c>
      <c r="E1155" s="2" t="inlineStr">
        <is>
          <t>CH</t>
        </is>
      </c>
      <c r="F115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55" s="2" t="inlineStr">
        <is>
          <t>Art. 22.º-A (aditamento)</t>
        </is>
      </c>
      <c r="H1155" s="2" t="n"/>
      <c r="I1155" s="2" t="n"/>
      <c r="J1155" s="2" t="n"/>
      <c r="K1155" s="2" t="n"/>
      <c r="L1155" s="2" t="inlineStr">
        <is>
          <t>Artigo 22.º-A (Alteração da Lei n.º 51/2025, de 7 de abril)</t>
        </is>
      </c>
      <c r="M1155" s="4" t="n"/>
      <c r="N1155" s="4" t="n"/>
      <c r="O1155" s="2" t="n"/>
      <c r="P1155" s="2" t="n"/>
      <c r="Q1155" s="2" t="n"/>
      <c r="R1155" s="2" t="n"/>
      <c r="S1155" s="2" t="inlineStr">
        <is>
          <t>Rejeitado(a) em Comissão</t>
        </is>
      </c>
      <c r="T1155" s="2" t="inlineStr">
        <is>
          <t>Rejeitada</t>
        </is>
      </c>
      <c r="U1155" s="2" t="inlineStr">
        <is>
          <t>Favor: CH, BE, PAN; Contra: PSD, IL, CDS-PP; Abstenção: PS, L, PCP</t>
        </is>
      </c>
      <c r="V1155" s="3" t="n">
        <v>45981</v>
      </c>
      <c r="W1155" s="2" t="inlineStr">
        <is>
          <t>AR: https://www.parlamento.pt/OrcamentoEstado/Paginas/DetalhePropostaAlteracao.aspx?BID=24329 PDF: https://app.parlamento.pt/webutils/docs/doc.pdf?path=6148523063484d364c793942556b356c6443397a6158526c63793959566b6c4a544556484c3039464c7a49774d6a59794d4449314d5441774f533951515338335a444a694f5468695a53316b4e5449324c54526d5a475574596d4d354e6930335a4746694e6d526d4f544a6a5a4749756347526d&amp;Fich=7d2b98be-d526-4fde-bc96-7dab6df92cdb.pdf&amp;Inline=true</t>
        </is>
      </c>
      <c r="X1155" s="2" t="inlineStr">
        <is>
          <t>Saúde</t>
        </is>
      </c>
      <c r="Y1155" s="2" t="inlineStr">
        <is>
          <t>Articulado</t>
        </is>
      </c>
      <c r="Z1155" s="2" t="inlineStr">
        <is>
          <t>Aditamento (Artigo PPL)</t>
        </is>
      </c>
      <c r="AA1155" s="2" t="inlineStr">
        <is>
          <t>Rejeitado(a) em Comissão</t>
        </is>
      </c>
      <c r="AB1155" s="2" t="inlineStr"/>
      <c r="AC1155" s="2" t="inlineStr"/>
      <c r="AD1155" s="2" t="inlineStr">
        <is>
          <t>1</t>
        </is>
      </c>
      <c r="AE1155" s="2" t="inlineStr">
        <is>
          <t>24329</t>
        </is>
      </c>
      <c r="AF1155" s="2" t="inlineStr">
        <is>
          <t>https://www.parlamento.pt/OrcamentoEstado/Paginas/DetalhePropostaAlteracao.aspx?BID=24329</t>
        </is>
      </c>
      <c r="AG1155" s="2" t="inlineStr">
        <is>
          <t>https://app.parlamento.pt/webutils/docs/doc.pdf?path=6148523063484d364c793942556b356c6443397a6158526c63793959566b6c4a544556484c3039464c7a49774d6a59794d4449314d5441774f533951515338335a444a694f5468695a53316b4e5449324c54526d5a475574596d4d354e6930335a4746694e6d526d4f544a6a5a4749756347526d&amp;Fich=7d2b98be-d526-4fde-bc96-7dab6df92cdb.pdf&amp;Inline=true</t>
        </is>
      </c>
      <c r="AH1155" s="3" t="n">
        <v>46321.77847222222</v>
      </c>
      <c r="AI1155" s="3" t="n">
        <v>46321.78055555555</v>
      </c>
      <c r="AJ1155" s="2" t="inlineStr"/>
    </row>
    <row r="1156">
      <c r="A1156" s="2" t="n">
        <v>1155</v>
      </c>
      <c r="B1156" s="2" t="inlineStr">
        <is>
          <t>1089C</t>
        </is>
      </c>
      <c r="C1156" s="3" t="n">
        <v>45967.96111111111</v>
      </c>
      <c r="D1156" s="2" t="inlineStr">
        <is>
          <t>Original</t>
        </is>
      </c>
      <c r="E1156" s="2" t="inlineStr">
        <is>
          <t>CH</t>
        </is>
      </c>
      <c r="F115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56" s="2" t="inlineStr">
        <is>
          <t>Art. 136.º-A (aditamento)</t>
        </is>
      </c>
      <c r="H1156" s="2" t="n"/>
      <c r="I1156" s="2" t="n"/>
      <c r="J1156" s="2" t="n"/>
      <c r="K1156" s="2" t="n"/>
      <c r="L1156" s="2" t="inlineStr">
        <is>
          <t>Artigo 136.º-A (Alteração ao Decreto-Lei nº 165/2006, de 11 de agosto)</t>
        </is>
      </c>
      <c r="M1156" s="4" t="n"/>
      <c r="N1156" s="4" t="n"/>
      <c r="O1156" s="2" t="n"/>
      <c r="P1156" s="2" t="n"/>
      <c r="Q1156" s="2" t="n"/>
      <c r="R1156" s="2" t="n"/>
      <c r="S1156" s="2" t="inlineStr">
        <is>
          <t>Rejeitado(a) em Comissão</t>
        </is>
      </c>
      <c r="T1156" s="2" t="inlineStr">
        <is>
          <t>Rejeitada</t>
        </is>
      </c>
      <c r="U1156" s="2" t="inlineStr">
        <is>
          <t>Favor: CH, IL, BE, PAN; Contra: PSD, CDS-PP; Abstenção: PS, L, PCP</t>
        </is>
      </c>
      <c r="V1156" s="3" t="n">
        <v>45987</v>
      </c>
      <c r="W1156" s="2" t="inlineStr">
        <is>
          <t>AR: https://www.parlamento.pt/OrcamentoEstado/Paginas/DetalhePropostaAlteracao.aspx?BID=24330 PDF: https://app.parlamento.pt/webutils/docs/doc.pdf?path=6148523063484d364c793942556b356c6443397a6158526c63793959566b6c4a544556484c3039464c7a49774d6a59794d4449314d5441774f5339515153396b4f5455774f4751784e5330354e4755784c5451354d7a457459544d794d79316a4e6d4d33597a526d4f5751305a5455756347526d&amp;Fich=d9508d15-94e1-4931-a323-c6c7c4f9d4e5.pdf&amp;Inline=true</t>
        </is>
      </c>
      <c r="X1156" s="2" t="inlineStr">
        <is>
          <t>Negócios Estrangeiros e Comunidades Portuguesas</t>
        </is>
      </c>
      <c r="Y1156" s="2" t="inlineStr">
        <is>
          <t>Articulado</t>
        </is>
      </c>
      <c r="Z1156" s="2" t="inlineStr">
        <is>
          <t>Aditamento (Artigo PPL)</t>
        </is>
      </c>
      <c r="AA1156" s="2" t="inlineStr">
        <is>
          <t>Rejeitado(a) em Comissão</t>
        </is>
      </c>
      <c r="AB1156" s="2" t="inlineStr"/>
      <c r="AC1156" s="2" t="inlineStr"/>
      <c r="AD1156" s="2" t="inlineStr">
        <is>
          <t>1</t>
        </is>
      </c>
      <c r="AE1156" s="2" t="inlineStr">
        <is>
          <t>24330</t>
        </is>
      </c>
      <c r="AF1156" s="2" t="inlineStr">
        <is>
          <t>https://www.parlamento.pt/OrcamentoEstado/Paginas/DetalhePropostaAlteracao.aspx?BID=24330</t>
        </is>
      </c>
      <c r="AG1156" s="2" t="inlineStr">
        <is>
          <t>https://app.parlamento.pt/webutils/docs/doc.pdf?path=6148523063484d364c793942556b356c6443397a6158526c63793959566b6c4a544556484c3039464c7a49774d6a59794d4449314d5441774f5339515153396b4f5455774f4751784e5330354e4755784c5451354d7a457459544d794d79316a4e6d4d33597a526d4f5751305a5455756347526d&amp;Fich=d9508d15-94e1-4931-a323-c6c7c4f9d4e5.pdf&amp;Inline=true</t>
        </is>
      </c>
      <c r="AH1156" s="3" t="n">
        <v>46321.77847222222</v>
      </c>
      <c r="AI1156" s="3" t="n">
        <v>46321.78055555555</v>
      </c>
      <c r="AJ1156" s="2" t="inlineStr"/>
    </row>
    <row r="1157">
      <c r="A1157" s="2" t="n">
        <v>1156</v>
      </c>
      <c r="B1157" s="2" t="inlineStr">
        <is>
          <t>1090C</t>
        </is>
      </c>
      <c r="C1157" s="3" t="n">
        <v>45967.96111111111</v>
      </c>
      <c r="D1157" s="2" t="inlineStr">
        <is>
          <t>Original</t>
        </is>
      </c>
      <c r="E1157" s="2" t="inlineStr">
        <is>
          <t>CH</t>
        </is>
      </c>
      <c r="F115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57" s="2" t="inlineStr">
        <is>
          <t>Art. 22.º-A (aditamento)</t>
        </is>
      </c>
      <c r="H1157" s="2" t="n"/>
      <c r="I1157" s="2" t="n"/>
      <c r="J1157" s="2" t="n"/>
      <c r="K1157" s="2" t="n"/>
      <c r="L1157" s="2" t="inlineStr">
        <is>
          <t>Artigo 22.º-A (Criação Carreira Medicina Dentária no Serviço Nacional de Saúde)</t>
        </is>
      </c>
      <c r="M1157" s="4" t="n"/>
      <c r="N1157" s="4" t="n"/>
      <c r="O1157" s="2" t="n"/>
      <c r="P1157" s="2" t="n"/>
      <c r="Q1157" s="2" t="n"/>
      <c r="R1157" s="2" t="n"/>
      <c r="S1157" s="2" t="inlineStr">
        <is>
          <t>Rejeitado(a) em Comissão</t>
        </is>
      </c>
      <c r="T1157" s="2" t="inlineStr">
        <is>
          <t>Rejeitada</t>
        </is>
      </c>
      <c r="U1157" s="2" t="inlineStr">
        <is>
          <t>Favor: CH, IL, BE, PAN; Contra: PSD, CDS-PP; Abstenção: PS, L, PCP</t>
        </is>
      </c>
      <c r="V1157" s="3" t="n">
        <v>45981</v>
      </c>
      <c r="W1157" s="2" t="inlineStr">
        <is>
          <t>AR: https://www.parlamento.pt/OrcamentoEstado/Paginas/DetalhePropostaAlteracao.aspx?BID=24331 PDF: https://app.parlamento.pt/webutils/docs/doc.pdf?path=6148523063484d364c793942556b356c6443397a6158526c63793959566b6c4a544556484c3039464c7a49774d6a59794d4449314d5441774f533951515338775a54466a4d446b334e4330334e574d314c5451334f5445744f5446684e43316a5a444a694d6d4e694e5467344d7a59756347526d&amp;Fich=0e1c0974-75c5-4791-91a4-cd2b2cb58836.pdf&amp;Inline=true</t>
        </is>
      </c>
      <c r="X1157" s="2" t="inlineStr">
        <is>
          <t>Saúde</t>
        </is>
      </c>
      <c r="Y1157" s="2" t="inlineStr">
        <is>
          <t>Articulado</t>
        </is>
      </c>
      <c r="Z1157" s="2" t="inlineStr">
        <is>
          <t>Aditamento (Artigo PPL)</t>
        </is>
      </c>
      <c r="AA1157" s="2" t="inlineStr">
        <is>
          <t>Rejeitado(a) em Comissão</t>
        </is>
      </c>
      <c r="AB1157" s="2" t="inlineStr"/>
      <c r="AC1157" s="2" t="inlineStr"/>
      <c r="AD1157" s="2" t="inlineStr">
        <is>
          <t>1</t>
        </is>
      </c>
      <c r="AE1157" s="2" t="inlineStr">
        <is>
          <t>24331</t>
        </is>
      </c>
      <c r="AF1157" s="2" t="inlineStr">
        <is>
          <t>https://www.parlamento.pt/OrcamentoEstado/Paginas/DetalhePropostaAlteracao.aspx?BID=24331</t>
        </is>
      </c>
      <c r="AG1157" s="2" t="inlineStr">
        <is>
          <t>https://app.parlamento.pt/webutils/docs/doc.pdf?path=6148523063484d364c793942556b356c6443397a6158526c63793959566b6c4a544556484c3039464c7a49774d6a59794d4449314d5441774f533951515338775a54466a4d446b334e4330334e574d314c5451334f5445744f5446684e43316a5a444a694d6d4e694e5467344d7a59756347526d&amp;Fich=0e1c0974-75c5-4791-91a4-cd2b2cb58836.pdf&amp;Inline=true</t>
        </is>
      </c>
      <c r="AH1157" s="3" t="n">
        <v>46321.77847222222</v>
      </c>
      <c r="AI1157" s="3" t="n">
        <v>46321.78055555555</v>
      </c>
      <c r="AJ1157" s="2" t="inlineStr"/>
    </row>
    <row r="1158">
      <c r="A1158" s="2" t="n">
        <v>1157</v>
      </c>
      <c r="B1158" s="2" t="inlineStr">
        <is>
          <t>1091C</t>
        </is>
      </c>
      <c r="C1158" s="3" t="n">
        <v>45967.96180555555</v>
      </c>
      <c r="D1158" s="2" t="inlineStr">
        <is>
          <t>Original</t>
        </is>
      </c>
      <c r="E1158" s="2" t="inlineStr">
        <is>
          <t>CH</t>
        </is>
      </c>
      <c r="F115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58" s="2" t="inlineStr">
        <is>
          <t>Art. 22.º-A (aditamento)</t>
        </is>
      </c>
      <c r="H1158" s="2" t="n"/>
      <c r="I1158" s="2" t="n"/>
      <c r="J1158" s="2" t="n"/>
      <c r="K1158" s="2" t="n"/>
      <c r="L1158" s="2" t="inlineStr">
        <is>
          <t>Artigo 22.º-A (Criação da carreira especial de Técnico de Emergência Médica)</t>
        </is>
      </c>
      <c r="M1158" s="4" t="n"/>
      <c r="N1158" s="4" t="n"/>
      <c r="O1158" s="2" t="n"/>
      <c r="P1158" s="2" t="n"/>
      <c r="Q1158" s="2" t="n"/>
      <c r="R1158" s="2" t="n"/>
      <c r="S1158" s="2" t="inlineStr">
        <is>
          <t>Rejeitado(a) em Comissão</t>
        </is>
      </c>
      <c r="T1158" s="2" t="inlineStr">
        <is>
          <t>Rejeitada</t>
        </is>
      </c>
      <c r="U1158" s="2" t="inlineStr">
        <is>
          <t>Favor: CH, IL, BE, PAN; Contra: PSD, L, CDS-PP; Abstenção: PS, PCP</t>
        </is>
      </c>
      <c r="V1158" s="3" t="n">
        <v>45981</v>
      </c>
      <c r="W1158" s="2" t="inlineStr">
        <is>
          <t>AR: https://www.parlamento.pt/OrcamentoEstado/Paginas/DetalhePropostaAlteracao.aspx?BID=24332 PDF: https://app.parlamento.pt/webutils/docs/doc.pdf?path=6148523063484d364c793942556b356c6443397a6158526c63793959566b6c4a544556484c3039464c7a49774d6a59794d4449314d5441774f533951515338775a4745344d4451335a6931694f4441314c545130595745744f5463335a6930344e4745314f57557a4f474d344e3249756347526d&amp;Fich=0da8047f-b805-44aa-977f-84a59e38c87b.pdf&amp;Inline=true</t>
        </is>
      </c>
      <c r="X1158" s="2" t="inlineStr">
        <is>
          <t>Saúde</t>
        </is>
      </c>
      <c r="Y1158" s="2" t="inlineStr">
        <is>
          <t>Articulado</t>
        </is>
      </c>
      <c r="Z1158" s="2" t="inlineStr">
        <is>
          <t>Aditamento (Artigo PPL)</t>
        </is>
      </c>
      <c r="AA1158" s="2" t="inlineStr">
        <is>
          <t>Rejeitado(a) em Comissão</t>
        </is>
      </c>
      <c r="AB1158" s="2" t="inlineStr"/>
      <c r="AC1158" s="2" t="inlineStr"/>
      <c r="AD1158" s="2" t="inlineStr">
        <is>
          <t>1</t>
        </is>
      </c>
      <c r="AE1158" s="2" t="inlineStr">
        <is>
          <t>24332</t>
        </is>
      </c>
      <c r="AF1158" s="2" t="inlineStr">
        <is>
          <t>https://www.parlamento.pt/OrcamentoEstado/Paginas/DetalhePropostaAlteracao.aspx?BID=24332</t>
        </is>
      </c>
      <c r="AG1158" s="2" t="inlineStr">
        <is>
          <t>https://app.parlamento.pt/webutils/docs/doc.pdf?path=6148523063484d364c793942556b356c6443397a6158526c63793959566b6c4a544556484c3039464c7a49774d6a59794d4449314d5441774f533951515338775a4745344d4451335a6931694f4441314c545130595745744f5463335a6930344e4745314f57557a4f474d344e3249756347526d&amp;Fich=0da8047f-b805-44aa-977f-84a59e38c87b.pdf&amp;Inline=true</t>
        </is>
      </c>
      <c r="AH1158" s="3" t="n">
        <v>46321.77847222222</v>
      </c>
      <c r="AI1158" s="3" t="n">
        <v>46321.78055555555</v>
      </c>
      <c r="AJ1158" s="2" t="inlineStr"/>
    </row>
    <row r="1159">
      <c r="A1159" s="2" t="n">
        <v>1158</v>
      </c>
      <c r="B1159" s="2" t="inlineStr">
        <is>
          <t>1092C</t>
        </is>
      </c>
      <c r="C1159" s="3" t="n">
        <v>45967.9625</v>
      </c>
      <c r="D1159" s="2" t="inlineStr">
        <is>
          <t>Retirada</t>
        </is>
      </c>
      <c r="E1159" s="2" t="inlineStr">
        <is>
          <t>CH</t>
        </is>
      </c>
      <c r="F115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59" s="2" t="inlineStr">
        <is>
          <t>Art. 136.º-A (aditamento)</t>
        </is>
      </c>
      <c r="H1159" s="2" t="n"/>
      <c r="I1159" s="2" t="n"/>
      <c r="J1159" s="2" t="n"/>
      <c r="K1159" s="2" t="n"/>
      <c r="L1159" s="2" t="inlineStr">
        <is>
          <t>Artigo 136.º-A (Alteração ao Decreto-Lei nº 165/2006, de 11 de agosto)</t>
        </is>
      </c>
      <c r="M1159" s="4" t="n"/>
      <c r="N1159" s="4" t="n"/>
      <c r="O1159" s="2" t="n"/>
      <c r="P1159" s="2" t="n"/>
      <c r="Q1159" s="2" t="n"/>
      <c r="R1159" s="2" t="n"/>
      <c r="S1159" s="2" t="inlineStr">
        <is>
          <t>Retirado(a)</t>
        </is>
      </c>
      <c r="T1159" s="2" t="inlineStr">
        <is>
          <t>Retirada</t>
        </is>
      </c>
      <c r="U1159" s="2" t="inlineStr"/>
      <c r="V1159" s="3" t="n"/>
      <c r="W1159" s="2" t="inlineStr">
        <is>
          <t>AR: https://www.parlamento.pt/OrcamentoEstado/Paginas/DetalhePropostaAlteracao.aspx?BID=24333 PDF: https://app.parlamento.pt/webutils/docs/doc.pdf?path=6148523063484d364c793942556b356c6443397a6158526c63793959566b6c4a544556484c3039464c7a49774d6a59794d4449314d5441774f5339515153387a4d4759354d444a695a533032595755334c5451314f4455744f5467354d4330304f5751784e325577596a566a4f5451756347526d&amp;Fich=30f902be-6ae7-4585-9890-49d17e0b5c94.pdf&amp;Inline=true</t>
        </is>
      </c>
      <c r="X1159" s="2" t="inlineStr">
        <is>
          <t>Negócios Estrangeiros e Comunidades Portuguesas</t>
        </is>
      </c>
      <c r="Y1159" s="2" t="inlineStr">
        <is>
          <t>Articulado</t>
        </is>
      </c>
      <c r="Z1159" s="2" t="inlineStr">
        <is>
          <t>Aditamento (Artigo PPL)</t>
        </is>
      </c>
      <c r="AA1159" s="2" t="inlineStr">
        <is>
          <t>Retirado(a)</t>
        </is>
      </c>
      <c r="AB1159" s="2" t="inlineStr"/>
      <c r="AC1159" s="2" t="inlineStr"/>
      <c r="AD1159" s="2" t="inlineStr">
        <is>
          <t>0</t>
        </is>
      </c>
      <c r="AE1159" s="2" t="inlineStr">
        <is>
          <t>24333</t>
        </is>
      </c>
      <c r="AF1159" s="2" t="inlineStr">
        <is>
          <t>https://www.parlamento.pt/OrcamentoEstado/Paginas/DetalhePropostaAlteracao.aspx?BID=24333</t>
        </is>
      </c>
      <c r="AG1159" s="2" t="inlineStr">
        <is>
          <t>https://app.parlamento.pt/webutils/docs/doc.pdf?path=6148523063484d364c793942556b356c6443397a6158526c63793959566b6c4a544556484c3039464c7a49774d6a59794d4449314d5441774f5339515153387a4d4759354d444a695a533032595755334c5451314f4455744f5467354d4330304f5751784e325577596a566a4f5451756347526d&amp;Fich=30f902be-6ae7-4585-9890-49d17e0b5c94.pdf&amp;Inline=true</t>
        </is>
      </c>
      <c r="AH1159" s="3" t="n">
        <v>46321.77847222222</v>
      </c>
      <c r="AI1159" s="3" t="n">
        <v>46321.78055555555</v>
      </c>
      <c r="AJ1159" s="2" t="inlineStr"/>
    </row>
    <row r="1160">
      <c r="A1160" s="2" t="n">
        <v>1159</v>
      </c>
      <c r="B1160" s="2" t="inlineStr">
        <is>
          <t>1093C</t>
        </is>
      </c>
      <c r="C1160" s="3" t="n">
        <v>45967.9625</v>
      </c>
      <c r="D1160" s="2" t="inlineStr">
        <is>
          <t>Original</t>
        </is>
      </c>
      <c r="E1160" s="2" t="inlineStr">
        <is>
          <t>CH</t>
        </is>
      </c>
      <c r="F116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60" s="2" t="inlineStr">
        <is>
          <t>Art. 22.º-A (aditamento)</t>
        </is>
      </c>
      <c r="H1160" s="2" t="n"/>
      <c r="I1160" s="2" t="n"/>
      <c r="J1160" s="2" t="n"/>
      <c r="K1160" s="2" t="n"/>
      <c r="L1160" s="2" t="inlineStr">
        <is>
          <t>Artigo 22.º-A (Pagamento de retroativos aos enfermeiros abrangidos pelo Decreto-Lei n.º 80-B/2022, de 28 de novembro)</t>
        </is>
      </c>
      <c r="M1160" s="4" t="n"/>
      <c r="N1160" s="4" t="n"/>
      <c r="O1160" s="2" t="n"/>
      <c r="P1160" s="2" t="n"/>
      <c r="Q1160" s="2" t="n"/>
      <c r="R1160" s="2" t="n"/>
      <c r="S1160" s="2" t="inlineStr">
        <is>
          <t>Rejeitado(a) em Comissão</t>
        </is>
      </c>
      <c r="T1160" s="2" t="inlineStr">
        <is>
          <t>Rejeitada</t>
        </is>
      </c>
      <c r="U1160" s="2" t="inlineStr">
        <is>
          <t>Favor: CH, BE, PAN; Contra: PSD, CDS-PP; Abstenção: PS, IL, L, PCP</t>
        </is>
      </c>
      <c r="V1160" s="3" t="n">
        <v>45981</v>
      </c>
      <c r="W1160" s="2" t="inlineStr">
        <is>
          <t>AR: https://www.parlamento.pt/OrcamentoEstado/Paginas/DetalhePropostaAlteracao.aspx?BID=24334 PDF: https://app.parlamento.pt/webutils/docs/doc.pdf?path=6148523063484d364c793942556b356c6443397a6158526c63793959566b6c4a544556484c3039464c7a49774d6a59794d4449314d5441774f533951515338314e4467784d6a5a684e53316c4d6a4e6a4c5451355a6a4d744f574d304e793034596a68694e5441314d7a63354e5467756347526d&amp;Fich=548126a5-e23c-49f3-9c47-8b8b50537958.pdf&amp;Inline=true</t>
        </is>
      </c>
      <c r="X1160" s="2" t="inlineStr">
        <is>
          <t>Saúde</t>
        </is>
      </c>
      <c r="Y1160" s="2" t="inlineStr">
        <is>
          <t>Articulado</t>
        </is>
      </c>
      <c r="Z1160" s="2" t="inlineStr">
        <is>
          <t>Aditamento (Artigo PPL)</t>
        </is>
      </c>
      <c r="AA1160" s="2" t="inlineStr">
        <is>
          <t>Rejeitado(a) em Comissão</t>
        </is>
      </c>
      <c r="AB1160" s="2" t="inlineStr"/>
      <c r="AC1160" s="2" t="inlineStr"/>
      <c r="AD1160" s="2" t="inlineStr">
        <is>
          <t>1</t>
        </is>
      </c>
      <c r="AE1160" s="2" t="inlineStr">
        <is>
          <t>24334</t>
        </is>
      </c>
      <c r="AF1160" s="2" t="inlineStr">
        <is>
          <t>https://www.parlamento.pt/OrcamentoEstado/Paginas/DetalhePropostaAlteracao.aspx?BID=24334</t>
        </is>
      </c>
      <c r="AG1160" s="2" t="inlineStr">
        <is>
          <t>https://app.parlamento.pt/webutils/docs/doc.pdf?path=6148523063484d364c793942556b356c6443397a6158526c63793959566b6c4a544556484c3039464c7a49774d6a59794d4449314d5441774f533951515338314e4467784d6a5a684e53316c4d6a4e6a4c5451355a6a4d744f574d304e793034596a68694e5441314d7a63354e5467756347526d&amp;Fich=548126a5-e23c-49f3-9c47-8b8b50537958.pdf&amp;Inline=true</t>
        </is>
      </c>
      <c r="AH1160" s="3" t="n">
        <v>46321.77847222222</v>
      </c>
      <c r="AI1160" s="3" t="n">
        <v>46321.78055555555</v>
      </c>
      <c r="AJ1160" s="2" t="inlineStr"/>
    </row>
    <row r="1161">
      <c r="A1161" s="2" t="n">
        <v>1160</v>
      </c>
      <c r="B1161" s="2" t="inlineStr">
        <is>
          <t>1094C</t>
        </is>
      </c>
      <c r="C1161" s="3" t="n">
        <v>45967.96319444444</v>
      </c>
      <c r="D1161" s="2" t="inlineStr">
        <is>
          <t>Original</t>
        </is>
      </c>
      <c r="E1161" s="2" t="inlineStr">
        <is>
          <t>JPP</t>
        </is>
      </c>
      <c r="F1161" s="2" t="inlineStr">
        <is>
          <t>Filipe Sousa</t>
        </is>
      </c>
      <c r="G1161" s="2" t="inlineStr">
        <is>
          <t>Art. 116.º-A (aditamento)</t>
        </is>
      </c>
      <c r="H1161" s="2" t="n"/>
      <c r="I1161" s="2" t="n"/>
      <c r="J1161" s="2" t="n"/>
      <c r="K1161" s="2" t="n"/>
      <c r="L1161" s="2" t="inlineStr">
        <is>
          <t>Artigo 116.º-A (Plano de contingência à mobilidade aérea em caso de inoperacionalidade do Aeroporto Internacional da Madeira – Cristiano Ronaldo)</t>
        </is>
      </c>
      <c r="M1161" s="4" t="n"/>
      <c r="N1161" s="4" t="n"/>
      <c r="O1161" s="2" t="n"/>
      <c r="P1161" s="2" t="n"/>
      <c r="Q1161" s="2" t="n"/>
      <c r="R1161" s="2" t="n"/>
      <c r="S1161" s="2" t="inlineStr">
        <is>
          <t>Rejeitado(a) em Comissão</t>
        </is>
      </c>
      <c r="T1161" s="2" t="inlineStr">
        <is>
          <t>Rejeitada</t>
        </is>
      </c>
      <c r="U1161" s="2" t="inlineStr">
        <is>
          <t>Favor: PS, L, PCP, BE, PAN; Contra: PSD, CDS-PP; Abstenção: CH, IL</t>
        </is>
      </c>
      <c r="V1161" s="3" t="n">
        <v>45985</v>
      </c>
      <c r="W1161" s="2" t="inlineStr">
        <is>
          <t>AR: https://www.parlamento.pt/OrcamentoEstado/Paginas/DetalhePropostaAlteracao.aspx?BID=24335 PDF: https://app.parlamento.pt/webutils/docs/doc.pdf?path=6148523063484d364c793942556b356c6443397a6158526c63793959566b6c4a544556484c3039464c7a49774d6a59794d4449314d5441774f5339515153387a4f5442684d5745345a6930344f446b7a4c5451345a574974596d45334e53303159546b7a595455354e32466a59324d756347526d&amp;Fich=390a1a8f-8893-48eb-ba75-5a93a597accc.pdf&amp;Inline=true</t>
        </is>
      </c>
      <c r="X1161" s="2" t="inlineStr">
        <is>
          <t>Infraestruturas, Mobilidade e Habitação</t>
        </is>
      </c>
      <c r="Y1161" s="2" t="inlineStr">
        <is>
          <t>Articulado</t>
        </is>
      </c>
      <c r="Z1161" s="2" t="inlineStr">
        <is>
          <t>Aditamento (Artigo PPL)</t>
        </is>
      </c>
      <c r="AA1161" s="2" t="inlineStr">
        <is>
          <t>Rejeitado(a) em Comissão</t>
        </is>
      </c>
      <c r="AB1161" s="2" t="inlineStr"/>
      <c r="AC1161" s="2" t="inlineStr"/>
      <c r="AD1161" s="2" t="inlineStr">
        <is>
          <t>1</t>
        </is>
      </c>
      <c r="AE1161" s="2" t="inlineStr">
        <is>
          <t>24335</t>
        </is>
      </c>
      <c r="AF1161" s="2" t="inlineStr">
        <is>
          <t>https://www.parlamento.pt/OrcamentoEstado/Paginas/DetalhePropostaAlteracao.aspx?BID=24335</t>
        </is>
      </c>
      <c r="AG1161" s="2" t="inlineStr">
        <is>
          <t>https://app.parlamento.pt/webutils/docs/doc.pdf?path=6148523063484d364c793942556b356c6443397a6158526c63793959566b6c4a544556484c3039464c7a49774d6a59794d4449314d5441774f5339515153387a4f5442684d5745345a6930344f446b7a4c5451345a574974596d45334e53303159546b7a595455354e32466a59324d756347526d&amp;Fich=390a1a8f-8893-48eb-ba75-5a93a597accc.pdf&amp;Inline=true</t>
        </is>
      </c>
      <c r="AH1161" s="3" t="n">
        <v>46321.77847222222</v>
      </c>
      <c r="AI1161" s="3" t="n">
        <v>46321.78055555555</v>
      </c>
      <c r="AJ1161" s="2" t="inlineStr"/>
    </row>
    <row r="1162">
      <c r="A1162" s="2" t="n">
        <v>1161</v>
      </c>
      <c r="B1162" s="2" t="inlineStr">
        <is>
          <t>1095C</t>
        </is>
      </c>
      <c r="C1162" s="3" t="n">
        <v>45967.96597222222</v>
      </c>
      <c r="D1162" s="2" t="inlineStr">
        <is>
          <t>Original</t>
        </is>
      </c>
      <c r="E1162" s="2" t="inlineStr">
        <is>
          <t>JPP</t>
        </is>
      </c>
      <c r="F1162" s="2" t="inlineStr">
        <is>
          <t>Filipe Sousa</t>
        </is>
      </c>
      <c r="G1162" s="2" t="inlineStr">
        <is>
          <t>Art. 122.º-A (aditamento)</t>
        </is>
      </c>
      <c r="H1162" s="2" t="n"/>
      <c r="I1162" s="2" t="n"/>
      <c r="J1162" s="2" t="n"/>
      <c r="K1162" s="2" t="n"/>
      <c r="L1162" s="2" t="inlineStr">
        <is>
          <t>Artigo 122.º-A (Requalificação e construção de esquadras da PSP na Região Autónoma da Madeira)</t>
        </is>
      </c>
      <c r="M1162" s="4" t="n"/>
      <c r="N1162" s="4" t="n"/>
      <c r="O1162" s="2" t="n"/>
      <c r="P1162" s="2" t="n"/>
      <c r="Q1162" s="2" t="n"/>
      <c r="R1162" s="2" t="n"/>
      <c r="S1162" s="2" t="inlineStr">
        <is>
          <t>Rejeitado(a) em Comissão</t>
        </is>
      </c>
      <c r="T1162" s="2" t="inlineStr">
        <is>
          <t>Rejeitada</t>
        </is>
      </c>
      <c r="U1162" s="2" t="inlineStr">
        <is>
          <t>Favor: CH, L, PCP, BE, PAN; Contra: PSD, CDS-PP; Abstenção: PS, IL</t>
        </is>
      </c>
      <c r="V1162" s="3" t="n">
        <v>45985</v>
      </c>
      <c r="W1162" s="2" t="inlineStr">
        <is>
          <t>AR: https://www.parlamento.pt/OrcamentoEstado/Paginas/DetalhePropostaAlteracao.aspx?BID=24336 PDF: https://app.parlamento.pt/webutils/docs/doc.pdf?path=6148523063484d364c793942556b356c6443397a6158526c63793959566b6c4a544556484c3039464c7a49774d6a59794d4449314d5441774f5339515153396a5a475a6a5a6a6b355a43316d4f4451344c5452694d474574596d4d315a5330794d6d4a6a4e7a646a4d474e6b4e544d756347526d&amp;Fich=cdfcf99d-f848-4b0a-bc5e-22bc77c0cd53.pdf&amp;Inline=true</t>
        </is>
      </c>
      <c r="X1162" s="2" t="inlineStr">
        <is>
          <t>Assuntos Constitucionais, Direitos, Liberdades e Garantias</t>
        </is>
      </c>
      <c r="Y1162" s="2" t="inlineStr">
        <is>
          <t>Articulado</t>
        </is>
      </c>
      <c r="Z1162" s="2" t="inlineStr">
        <is>
          <t>Aditamento (Artigo PPL)</t>
        </is>
      </c>
      <c r="AA1162" s="2" t="inlineStr">
        <is>
          <t>Rejeitado(a) em Comissão</t>
        </is>
      </c>
      <c r="AB1162" s="2" t="inlineStr"/>
      <c r="AC1162" s="2" t="inlineStr"/>
      <c r="AD1162" s="2" t="inlineStr">
        <is>
          <t>1</t>
        </is>
      </c>
      <c r="AE1162" s="2" t="inlineStr">
        <is>
          <t>24336</t>
        </is>
      </c>
      <c r="AF1162" s="2" t="inlineStr">
        <is>
          <t>https://www.parlamento.pt/OrcamentoEstado/Paginas/DetalhePropostaAlteracao.aspx?BID=24336</t>
        </is>
      </c>
      <c r="AG1162" s="2" t="inlineStr">
        <is>
          <t>https://app.parlamento.pt/webutils/docs/doc.pdf?path=6148523063484d364c793942556b356c6443397a6158526c63793959566b6c4a544556484c3039464c7a49774d6a59794d4449314d5441774f5339515153396a5a475a6a5a6a6b355a43316d4f4451344c5452694d474574596d4d315a5330794d6d4a6a4e7a646a4d474e6b4e544d756347526d&amp;Fich=cdfcf99d-f848-4b0a-bc5e-22bc77c0cd53.pdf&amp;Inline=true</t>
        </is>
      </c>
      <c r="AH1162" s="3" t="n">
        <v>46321.77847222222</v>
      </c>
      <c r="AI1162" s="3" t="n">
        <v>46321.78055555555</v>
      </c>
      <c r="AJ1162" s="2" t="inlineStr"/>
    </row>
    <row r="1163">
      <c r="A1163" s="2" t="n">
        <v>1162</v>
      </c>
      <c r="B1163" s="2" t="inlineStr">
        <is>
          <t>1096C</t>
        </is>
      </c>
      <c r="C1163" s="3" t="n">
        <v>45967.96597222222</v>
      </c>
      <c r="D1163" s="2" t="inlineStr">
        <is>
          <t>Original</t>
        </is>
      </c>
      <c r="E1163" s="2" t="inlineStr">
        <is>
          <t>CH</t>
        </is>
      </c>
      <c r="F116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63" s="2" t="inlineStr">
        <is>
          <t>Art. 136.º-A (aditamento)</t>
        </is>
      </c>
      <c r="H1163" s="2" t="n"/>
      <c r="I1163" s="2" t="n"/>
      <c r="J1163" s="2" t="n"/>
      <c r="K1163" s="2" t="n"/>
      <c r="L1163" s="2" t="inlineStr">
        <is>
          <t>Artigo 136.º-A (Aumento de verbas para o ensino do português aos alunos PLNM)</t>
        </is>
      </c>
      <c r="M1163" s="4" t="n"/>
      <c r="N1163" s="4" t="n"/>
      <c r="O1163" s="2" t="n"/>
      <c r="P1163" s="2" t="n"/>
      <c r="Q1163" s="2" t="n"/>
      <c r="R1163" s="2" t="n"/>
      <c r="S1163" s="2" t="inlineStr">
        <is>
          <t>Rejeitado(a) em Comissão</t>
        </is>
      </c>
      <c r="T1163" s="2" t="inlineStr">
        <is>
          <t>Rejeitada</t>
        </is>
      </c>
      <c r="U1163" s="2" t="inlineStr">
        <is>
          <t>Favor: CH, IL, PAN; Contra: PSD, CDS-PP, BE; Abstenção: PS, L, PCP</t>
        </is>
      </c>
      <c r="V1163" s="3" t="n">
        <v>45987</v>
      </c>
      <c r="W1163" s="2" t="inlineStr">
        <is>
          <t>AR: https://www.parlamento.pt/OrcamentoEstado/Paginas/DetalhePropostaAlteracao.aspx?BID=24337 PDF: https://app.parlamento.pt/webutils/docs/doc.pdf?path=6148523063484d364c793942556b356c6443397a6158526c63793959566b6c4a544556484c3039464c7a49774d6a59794d4449314d5441774f5339515153387a4d446c6959574d77597931694e54466d4c54526d593249744f4467774e5331695a5464684f54466c4e4463774e7a63756347526d&amp;Fich=309bac0c-b51f-4fcb-8805-be7a91e47077.pdf&amp;Inline=true</t>
        </is>
      </c>
      <c r="X1163" s="2" t="inlineStr">
        <is>
          <t>Educação e Ciência</t>
        </is>
      </c>
      <c r="Y1163" s="2" t="inlineStr">
        <is>
          <t>Articulado</t>
        </is>
      </c>
      <c r="Z1163" s="2" t="inlineStr">
        <is>
          <t>Aditamento (Artigo PPL)</t>
        </is>
      </c>
      <c r="AA1163" s="2" t="inlineStr">
        <is>
          <t>Rejeitado(a) em Comissão</t>
        </is>
      </c>
      <c r="AB1163" s="2" t="inlineStr"/>
      <c r="AC1163" s="2" t="inlineStr"/>
      <c r="AD1163" s="2" t="inlineStr">
        <is>
          <t>1</t>
        </is>
      </c>
      <c r="AE1163" s="2" t="inlineStr">
        <is>
          <t>24337</t>
        </is>
      </c>
      <c r="AF1163" s="2" t="inlineStr">
        <is>
          <t>https://www.parlamento.pt/OrcamentoEstado/Paginas/DetalhePropostaAlteracao.aspx?BID=24337</t>
        </is>
      </c>
      <c r="AG1163" s="2" t="inlineStr">
        <is>
          <t>https://app.parlamento.pt/webutils/docs/doc.pdf?path=6148523063484d364c793942556b356c6443397a6158526c63793959566b6c4a544556484c3039464c7a49774d6a59794d4449314d5441774f5339515153387a4d446c6959574d77597931694e54466d4c54526d593249744f4467774e5331695a5464684f54466c4e4463774e7a63756347526d&amp;Fich=309bac0c-b51f-4fcb-8805-be7a91e47077.pdf&amp;Inline=true</t>
        </is>
      </c>
      <c r="AH1163" s="3" t="n">
        <v>46321.77847222222</v>
      </c>
      <c r="AI1163" s="3" t="n">
        <v>46321.78055555555</v>
      </c>
      <c r="AJ1163" s="2" t="inlineStr"/>
    </row>
    <row r="1164">
      <c r="A1164" s="2" t="n">
        <v>1163</v>
      </c>
      <c r="B1164" s="2" t="inlineStr">
        <is>
          <t>1097C</t>
        </is>
      </c>
      <c r="C1164" s="3" t="n">
        <v>45967.96805555555</v>
      </c>
      <c r="D1164" s="2" t="inlineStr">
        <is>
          <t>Original</t>
        </is>
      </c>
      <c r="E1164" s="2" t="inlineStr">
        <is>
          <t>CH</t>
        </is>
      </c>
      <c r="F116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64" s="2" t="inlineStr">
        <is>
          <t>Art. 136.º-A (aditamento)</t>
        </is>
      </c>
      <c r="H1164" s="2" t="n"/>
      <c r="I1164" s="2" t="n"/>
      <c r="J1164" s="2" t="n"/>
      <c r="K1164" s="2" t="n"/>
      <c r="L1164" s="2" t="inlineStr">
        <is>
          <t>Artigo 136.º-A (Celebração de protocolos para atração de estudantes para o Instituto Politécnico da Guarda)</t>
        </is>
      </c>
      <c r="M1164" s="4" t="n"/>
      <c r="N1164" s="4" t="n"/>
      <c r="O1164" s="2" t="n"/>
      <c r="P1164" s="2" t="n"/>
      <c r="Q1164" s="2" t="n"/>
      <c r="R1164" s="2" t="n"/>
      <c r="S1164" s="2" t="inlineStr">
        <is>
          <t>Rejeitado(a) em Comissão</t>
        </is>
      </c>
      <c r="T1164" s="2" t="inlineStr">
        <is>
          <t>Rejeitada</t>
        </is>
      </c>
      <c r="U1164" s="2" t="inlineStr">
        <is>
          <t>Favor: CH, IL, BE, PAN; Contra: PSD, CDS-PP; Abstenção: PS, L, PCP</t>
        </is>
      </c>
      <c r="V1164" s="3" t="n">
        <v>45987</v>
      </c>
      <c r="W1164" s="2" t="inlineStr">
        <is>
          <t>AR: https://www.parlamento.pt/OrcamentoEstado/Paginas/DetalhePropostaAlteracao.aspx?BID=24338 PDF: https://app.parlamento.pt/webutils/docs/doc.pdf?path=6148523063484d364c793942556b356c6443397a6158526c63793959566b6c4a544556484c3039464c7a49774d6a59794d4449314d5441774f533951515338314d7a566a596d45324d5330355932526b4c54526a5a545574595467774f5330324d3255794d5451315a544135595463756347526d&amp;Fich=535cba61-9cdd-4ce5-a809-63e2145e09a7.pdf&amp;Inline=true</t>
        </is>
      </c>
      <c r="X1164" s="2" t="inlineStr">
        <is>
          <t>Educação e Ciência</t>
        </is>
      </c>
      <c r="Y1164" s="2" t="inlineStr">
        <is>
          <t>Articulado</t>
        </is>
      </c>
      <c r="Z1164" s="2" t="inlineStr">
        <is>
          <t>Aditamento (Artigo PPL)</t>
        </is>
      </c>
      <c r="AA1164" s="2" t="inlineStr">
        <is>
          <t>Rejeitado(a) em Comissão</t>
        </is>
      </c>
      <c r="AB1164" s="2" t="inlineStr"/>
      <c r="AC1164" s="2" t="inlineStr"/>
      <c r="AD1164" s="2" t="inlineStr">
        <is>
          <t>1</t>
        </is>
      </c>
      <c r="AE1164" s="2" t="inlineStr">
        <is>
          <t>24338</t>
        </is>
      </c>
      <c r="AF1164" s="2" t="inlineStr">
        <is>
          <t>https://www.parlamento.pt/OrcamentoEstado/Paginas/DetalhePropostaAlteracao.aspx?BID=24338</t>
        </is>
      </c>
      <c r="AG1164" s="2" t="inlineStr">
        <is>
          <t>https://app.parlamento.pt/webutils/docs/doc.pdf?path=6148523063484d364c793942556b356c6443397a6158526c63793959566b6c4a544556484c3039464c7a49774d6a59794d4449314d5441774f533951515338314d7a566a596d45324d5330355932526b4c54526a5a545574595467774f5330324d3255794d5451315a544135595463756347526d&amp;Fich=535cba61-9cdd-4ce5-a809-63e2145e09a7.pdf&amp;Inline=true</t>
        </is>
      </c>
      <c r="AH1164" s="3" t="n">
        <v>46321.77847222222</v>
      </c>
      <c r="AI1164" s="3" t="n">
        <v>46321.78055555555</v>
      </c>
      <c r="AJ1164" s="2" t="inlineStr"/>
    </row>
    <row r="1165">
      <c r="A1165" s="2" t="n">
        <v>1164</v>
      </c>
      <c r="B1165" s="2" t="inlineStr">
        <is>
          <t>1098C</t>
        </is>
      </c>
      <c r="C1165" s="3" t="n">
        <v>45967.96805555555</v>
      </c>
      <c r="D1165" s="2" t="inlineStr">
        <is>
          <t>Original</t>
        </is>
      </c>
      <c r="E1165" s="2" t="inlineStr">
        <is>
          <t>JPP</t>
        </is>
      </c>
      <c r="F1165" s="2" t="inlineStr">
        <is>
          <t>Filipe Sousa</t>
        </is>
      </c>
      <c r="G1165" s="2" t="inlineStr">
        <is>
          <t>Art. 123.º-A (aditamento)</t>
        </is>
      </c>
      <c r="H1165" s="2" t="n"/>
      <c r="I1165" s="2" t="n"/>
      <c r="J1165" s="2" t="n"/>
      <c r="K1165" s="2" t="n"/>
      <c r="L1165" s="2" t="inlineStr">
        <is>
          <t>Artigo 123.º-A (Edifícios judiciais na Região Autónoma da Madeira)</t>
        </is>
      </c>
      <c r="M1165" s="4" t="n"/>
      <c r="N1165" s="4" t="n"/>
      <c r="O1165" s="2" t="n"/>
      <c r="P1165" s="2" t="n"/>
      <c r="Q1165" s="2" t="n"/>
      <c r="R1165" s="2" t="n"/>
      <c r="S1165" s="2" t="inlineStr">
        <is>
          <t>Aprovado(a) Parcialmente em Comissão</t>
        </is>
      </c>
      <c r="T1165" s="2" t="inlineStr">
        <is>
          <t>Aprovada parcialmente</t>
        </is>
      </c>
      <c r="U1165" s="2" t="inlineStr">
        <is>
          <t>Favor: CH, PS, IL, L, PCP, BE, PAN; Contra: PSD, CDS-PP</t>
        </is>
      </c>
      <c r="V1165" s="3" t="n">
        <v>45985</v>
      </c>
      <c r="W1165" s="2" t="inlineStr">
        <is>
          <t>AR: https://www.parlamento.pt/OrcamentoEstado/Paginas/DetalhePropostaAlteracao.aspx?BID=24339 PDF: https://app.parlamento.pt/webutils/docs/doc.pdf?path=6148523063484d364c793942556b356c6443397a6158526c63793959566b6c4a544556484c3039464c7a49774d6a59794d4449314d5441774f533951515338325a6d49324f5441325a43303359546c6b4c545134595449744f5751774d4330354f444a6d593251345a544d324f5463756347526d&amp;Fich=6fb6906d-7a9d-48a2-9d00-982fcd8e3697.pdf&amp;Inline=true</t>
        </is>
      </c>
      <c r="X1165" s="2" t="inlineStr">
        <is>
          <t>Assuntos Constitucionais, Direitos, Liberdades e Garantias</t>
        </is>
      </c>
      <c r="Y1165" s="2" t="inlineStr">
        <is>
          <t>Articulado</t>
        </is>
      </c>
      <c r="Z1165" s="2" t="inlineStr">
        <is>
          <t>Aditamento (Artigo PPL)</t>
        </is>
      </c>
      <c r="AA1165" s="2" t="inlineStr">
        <is>
          <t>Aprovado(a) Parcialmente em Comissão</t>
        </is>
      </c>
      <c r="AB1165" s="2" t="inlineStr"/>
      <c r="AC1165" s="2" t="inlineStr"/>
      <c r="AD1165" s="2" t="inlineStr">
        <is>
          <t>1</t>
        </is>
      </c>
      <c r="AE1165" s="2" t="inlineStr">
        <is>
          <t>24339</t>
        </is>
      </c>
      <c r="AF1165" s="2" t="inlineStr">
        <is>
          <t>https://www.parlamento.pt/OrcamentoEstado/Paginas/DetalhePropostaAlteracao.aspx?BID=24339</t>
        </is>
      </c>
      <c r="AG1165" s="2" t="inlineStr">
        <is>
          <t>https://app.parlamento.pt/webutils/docs/doc.pdf?path=6148523063484d364c793942556b356c6443397a6158526c63793959566b6c4a544556484c3039464c7a49774d6a59794d4449314d5441774f533951515338325a6d49324f5441325a43303359546c6b4c545134595449744f5751774d4330354f444a6d593251345a544d324f5463756347526d&amp;Fich=6fb6906d-7a9d-48a2-9d00-982fcd8e3697.pdf&amp;Inline=true</t>
        </is>
      </c>
      <c r="AH1165" s="3" t="n">
        <v>46321.77847222222</v>
      </c>
      <c r="AI1165" s="3" t="n">
        <v>46321.78055555555</v>
      </c>
      <c r="AJ1165" s="2" t="inlineStr"/>
    </row>
    <row r="1166">
      <c r="A1166" s="2" t="n">
        <v>1165</v>
      </c>
      <c r="B1166" s="2" t="inlineStr">
        <is>
          <t>1099C</t>
        </is>
      </c>
      <c r="C1166" s="3" t="n">
        <v>45967.96875</v>
      </c>
      <c r="D1166" s="2" t="inlineStr">
        <is>
          <t>Original</t>
        </is>
      </c>
      <c r="E1166" s="2" t="inlineStr">
        <is>
          <t>CH</t>
        </is>
      </c>
      <c r="F116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66" s="2" t="inlineStr">
        <is>
          <t>Art. 28.º-A (aditamento)</t>
        </is>
      </c>
      <c r="H1166" s="2" t="n"/>
      <c r="I1166" s="2" t="n"/>
      <c r="J1166" s="2" t="n"/>
      <c r="K1166" s="2" t="n"/>
      <c r="L1166" s="2" t="inlineStr">
        <is>
          <t>Artigo 28.º-A (Revisão do SIADAP)</t>
        </is>
      </c>
      <c r="M1166" s="4" t="n"/>
      <c r="N1166" s="4" t="n"/>
      <c r="O1166" s="2" t="n"/>
      <c r="P1166" s="2" t="n"/>
      <c r="Q1166" s="2" t="n"/>
      <c r="R1166" s="2" t="n"/>
      <c r="S1166" s="2" t="inlineStr">
        <is>
          <t>Rejeitado(a) em Comissão</t>
        </is>
      </c>
      <c r="T1166" s="2" t="inlineStr">
        <is>
          <t>Rejeitada</t>
        </is>
      </c>
      <c r="U1166" s="2" t="inlineStr">
        <is>
          <t>Favor: CH, BE, PAN; Contra: PSD, PS, PCP, CDS-PP; Abstenção: IL, L</t>
        </is>
      </c>
      <c r="V1166" s="3" t="n">
        <v>45981</v>
      </c>
      <c r="W1166" s="2" t="inlineStr">
        <is>
          <t>AR: https://www.parlamento.pt/OrcamentoEstado/Paginas/DetalhePropostaAlteracao.aspx?BID=24340 PDF: https://app.parlamento.pt/webutils/docs/doc.pdf?path=6148523063484d364c793942556b356c6443397a6158526c63793959566b6c4a544556484c3039464c7a49774d6a59794d4449314d5441774f533951515338315a444d334e574e6b4e533032596a45794c5451784d7a5574596a49794e43316a597a4e6a4e575933597a4d354f546b756347526d&amp;Fich=5d375cd5-6b12-4135-b224-cc3c5f7c3999.pdf&amp;Inline=true</t>
        </is>
      </c>
      <c r="X1166" s="2" t="inlineStr">
        <is>
          <t>Orçamento, Finanças e Administração Pública</t>
        </is>
      </c>
      <c r="Y1166" s="2" t="inlineStr">
        <is>
          <t>Articulado</t>
        </is>
      </c>
      <c r="Z1166" s="2" t="inlineStr">
        <is>
          <t>Aditamento (Artigo PPL)</t>
        </is>
      </c>
      <c r="AA1166" s="2" t="inlineStr">
        <is>
          <t>Rejeitado(a) em Comissão</t>
        </is>
      </c>
      <c r="AB1166" s="2" t="inlineStr"/>
      <c r="AC1166" s="2" t="inlineStr"/>
      <c r="AD1166" s="2" t="inlineStr">
        <is>
          <t>1</t>
        </is>
      </c>
      <c r="AE1166" s="2" t="inlineStr">
        <is>
          <t>24340</t>
        </is>
      </c>
      <c r="AF1166" s="2" t="inlineStr">
        <is>
          <t>https://www.parlamento.pt/OrcamentoEstado/Paginas/DetalhePropostaAlteracao.aspx?BID=24340</t>
        </is>
      </c>
      <c r="AG1166" s="2" t="inlineStr">
        <is>
          <t>https://app.parlamento.pt/webutils/docs/doc.pdf?path=6148523063484d364c793942556b356c6443397a6158526c63793959566b6c4a544556484c3039464c7a49774d6a59794d4449314d5441774f533951515338315a444d334e574e6b4e533032596a45794c5451784d7a5574596a49794e43316a597a4e6a4e575933597a4d354f546b756347526d&amp;Fich=5d375cd5-6b12-4135-b224-cc3c5f7c3999.pdf&amp;Inline=true</t>
        </is>
      </c>
      <c r="AH1166" s="3" t="n">
        <v>46321.77847222222</v>
      </c>
      <c r="AI1166" s="3" t="n">
        <v>46321.78055555555</v>
      </c>
      <c r="AJ1166" s="2" t="inlineStr"/>
    </row>
    <row r="1167">
      <c r="A1167" s="2" t="n">
        <v>1166</v>
      </c>
      <c r="B1167" s="2" t="inlineStr">
        <is>
          <t>1100C</t>
        </is>
      </c>
      <c r="C1167" s="3" t="n">
        <v>45967.96944444445</v>
      </c>
      <c r="D1167" s="2" t="inlineStr">
        <is>
          <t>Original</t>
        </is>
      </c>
      <c r="E1167" s="2" t="inlineStr">
        <is>
          <t>JPP</t>
        </is>
      </c>
      <c r="F1167" s="2" t="inlineStr">
        <is>
          <t>Filipe Sousa</t>
        </is>
      </c>
      <c r="G1167" s="2" t="inlineStr">
        <is>
          <t>Art. 136.º-A (aditamento)</t>
        </is>
      </c>
      <c r="H1167" s="2" t="n"/>
      <c r="I1167" s="2" t="n"/>
      <c r="J1167" s="2" t="n"/>
      <c r="K1167" s="2" t="n"/>
      <c r="L1167" s="2" t="inlineStr">
        <is>
          <t>Artigo 136.º-A (Reforço do efetivo da Polícia de Segurança Pública na Região Autónoma da Madeira)</t>
        </is>
      </c>
      <c r="M1167" s="4" t="n"/>
      <c r="N1167" s="4" t="n"/>
      <c r="O1167" s="2" t="n"/>
      <c r="P1167" s="2" t="n"/>
      <c r="Q1167" s="2" t="n"/>
      <c r="R1167" s="2" t="n"/>
      <c r="S1167" s="2" t="inlineStr">
        <is>
          <t>Rejeitado(a) em Comissão</t>
        </is>
      </c>
      <c r="T1167" s="2" t="inlineStr">
        <is>
          <t>Rejeitada</t>
        </is>
      </c>
      <c r="U1167" s="2" t="inlineStr">
        <is>
          <t>Favor: CH, L, PCP, BE, PAN; Contra: PSD, CDS-PP; Abstenção: PS, IL</t>
        </is>
      </c>
      <c r="V1167" s="3" t="n">
        <v>45987</v>
      </c>
      <c r="W1167" s="2" t="inlineStr">
        <is>
          <t>AR: https://www.parlamento.pt/OrcamentoEstado/Paginas/DetalhePropostaAlteracao.aspx?BID=24341 PDF: https://app.parlamento.pt/webutils/docs/doc.pdf?path=6148523063484d364c793942556b356c6443397a6158526c63793959566b6c4a544556484c3039464c7a49774d6a59794d4449314d5441774f533951515338784e6d457a596a51774e43316c4e4455354c5451774e475974596a55304f5330344d3245304e4451304e47517a5a5749756347526d&amp;Fich=16a3b404-e459-404f-b549-83a44444d3eb.pdf&amp;Inline=true</t>
        </is>
      </c>
      <c r="X1167" s="2" t="inlineStr">
        <is>
          <t>Assuntos Constitucionais, Direitos, Liberdades e Garantias</t>
        </is>
      </c>
      <c r="Y1167" s="2" t="inlineStr">
        <is>
          <t>Articulado</t>
        </is>
      </c>
      <c r="Z1167" s="2" t="inlineStr">
        <is>
          <t>Aditamento (Artigo PPL)</t>
        </is>
      </c>
      <c r="AA1167" s="2" t="inlineStr">
        <is>
          <t>Rejeitado(a) em Comissão</t>
        </is>
      </c>
      <c r="AB1167" s="2" t="inlineStr"/>
      <c r="AC1167" s="2" t="inlineStr"/>
      <c r="AD1167" s="2" t="inlineStr">
        <is>
          <t>1</t>
        </is>
      </c>
      <c r="AE1167" s="2" t="inlineStr">
        <is>
          <t>24341</t>
        </is>
      </c>
      <c r="AF1167" s="2" t="inlineStr">
        <is>
          <t>https://www.parlamento.pt/OrcamentoEstado/Paginas/DetalhePropostaAlteracao.aspx?BID=24341</t>
        </is>
      </c>
      <c r="AG1167" s="2" t="inlineStr">
        <is>
          <t>https://app.parlamento.pt/webutils/docs/doc.pdf?path=6148523063484d364c793942556b356c6443397a6158526c63793959566b6c4a544556484c3039464c7a49774d6a59794d4449314d5441774f533951515338784e6d457a596a51774e43316c4e4455354c5451774e475974596a55304f5330344d3245304e4451304e47517a5a5749756347526d&amp;Fich=16a3b404-e459-404f-b549-83a44444d3eb.pdf&amp;Inline=true</t>
        </is>
      </c>
      <c r="AH1167" s="3" t="n">
        <v>46321.77847222222</v>
      </c>
      <c r="AI1167" s="3" t="n">
        <v>46321.78055555555</v>
      </c>
      <c r="AJ1167" s="2" t="inlineStr"/>
    </row>
    <row r="1168">
      <c r="A1168" s="2" t="n">
        <v>1167</v>
      </c>
      <c r="B1168" s="2" t="inlineStr">
        <is>
          <t>1101C</t>
        </is>
      </c>
      <c r="C1168" s="3" t="n">
        <v>45967.97013888889</v>
      </c>
      <c r="D1168" s="2" t="inlineStr">
        <is>
          <t>Original</t>
        </is>
      </c>
      <c r="E1168" s="2" t="inlineStr">
        <is>
          <t>CH</t>
        </is>
      </c>
      <c r="F116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68" s="2" t="inlineStr">
        <is>
          <t>Art. 136.º-A (aditamento)</t>
        </is>
      </c>
      <c r="H1168" s="2" t="n"/>
      <c r="I1168" s="2" t="n"/>
      <c r="J1168" s="2" t="n"/>
      <c r="K1168" s="2" t="n"/>
      <c r="L1168" s="2" t="inlineStr">
        <is>
          <t>Artigo 136.º-A (Criação de uma Escola EB 2,3 em Lagos)</t>
        </is>
      </c>
      <c r="M1168" s="4" t="n"/>
      <c r="N1168" s="4" t="n"/>
      <c r="O1168" s="2" t="n"/>
      <c r="P1168" s="2" t="n"/>
      <c r="Q1168" s="2" t="n"/>
      <c r="R1168" s="2" t="n"/>
      <c r="S1168" s="2" t="inlineStr">
        <is>
          <t>Rejeitado(a) em Comissão</t>
        </is>
      </c>
      <c r="T1168" s="2" t="inlineStr">
        <is>
          <t>Rejeitada</t>
        </is>
      </c>
      <c r="U1168" s="2" t="inlineStr">
        <is>
          <t>Favor: CH, IL, BE, PAN; Contra: PSD, CDS-PP; Abstenção: PS, L, PCP</t>
        </is>
      </c>
      <c r="V1168" s="3" t="n">
        <v>45987</v>
      </c>
      <c r="W1168" s="2" t="inlineStr">
        <is>
          <t>AR: https://www.parlamento.pt/OrcamentoEstado/Paginas/DetalhePropostaAlteracao.aspx?BID=24342 PDF: https://app.parlamento.pt/webutils/docs/doc.pdf?path=6148523063484d364c793942556b356c6443397a6158526c63793959566b6c4a544556484c3039464c7a49774d6a59794d4449314d5441774f5339515153396a4d445577596a45344e533077596a45344c5451314d6a55744f4449784e433077596a67794f546b774d544e69596a51756347526d&amp;Fich=c050b185-0b18-4525-8214-0b8299013bb4.pdf&amp;Inline=true</t>
        </is>
      </c>
      <c r="X1168" s="2" t="inlineStr">
        <is>
          <t>Educação e Ciência; Infraestruturas, Mobilidade e Habitação</t>
        </is>
      </c>
      <c r="Y1168" s="2" t="inlineStr">
        <is>
          <t>Articulado</t>
        </is>
      </c>
      <c r="Z1168" s="2" t="inlineStr">
        <is>
          <t>Aditamento (Artigo PPL)</t>
        </is>
      </c>
      <c r="AA1168" s="2" t="inlineStr">
        <is>
          <t>Rejeitado(a) em Comissão</t>
        </is>
      </c>
      <c r="AB1168" s="2" t="inlineStr"/>
      <c r="AC1168" s="2" t="inlineStr"/>
      <c r="AD1168" s="2" t="inlineStr">
        <is>
          <t>1</t>
        </is>
      </c>
      <c r="AE1168" s="2" t="inlineStr">
        <is>
          <t>24342</t>
        </is>
      </c>
      <c r="AF1168" s="2" t="inlineStr">
        <is>
          <t>https://www.parlamento.pt/OrcamentoEstado/Paginas/DetalhePropostaAlteracao.aspx?BID=24342</t>
        </is>
      </c>
      <c r="AG1168" s="2" t="inlineStr">
        <is>
          <t>https://app.parlamento.pt/webutils/docs/doc.pdf?path=6148523063484d364c793942556b356c6443397a6158526c63793959566b6c4a544556484c3039464c7a49774d6a59794d4449314d5441774f5339515153396a4d445577596a45344e533077596a45344c5451314d6a55744f4449784e433077596a67794f546b774d544e69596a51756347526d&amp;Fich=c050b185-0b18-4525-8214-0b8299013bb4.pdf&amp;Inline=true</t>
        </is>
      </c>
      <c r="AH1168" s="3" t="n">
        <v>46321.77847222222</v>
      </c>
      <c r="AI1168" s="3" t="n">
        <v>46321.78055555555</v>
      </c>
      <c r="AJ1168" s="2" t="inlineStr"/>
    </row>
    <row r="1169">
      <c r="A1169" s="2" t="n">
        <v>1168</v>
      </c>
      <c r="B1169" s="2" t="inlineStr">
        <is>
          <t>1102C</t>
        </is>
      </c>
      <c r="C1169" s="3" t="n">
        <v>45967.97013888889</v>
      </c>
      <c r="D1169" s="2" t="inlineStr">
        <is>
          <t>Original</t>
        </is>
      </c>
      <c r="E1169" s="2" t="inlineStr">
        <is>
          <t>CH</t>
        </is>
      </c>
      <c r="F116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69" s="2" t="inlineStr">
        <is>
          <t>Art. 35.º-A (aditamento)</t>
        </is>
      </c>
      <c r="H1169" s="2" t="n"/>
      <c r="I1169" s="2" t="n"/>
      <c r="J1169" s="2" t="n"/>
      <c r="K1169" s="2" t="n"/>
      <c r="L1169" s="2" t="inlineStr">
        <is>
          <t>Artigo 35.º-A (Afetação de receitas do Instituto de Registos e Notariado, I.P.)</t>
        </is>
      </c>
      <c r="M1169" s="4" t="n"/>
      <c r="N1169" s="4" t="n"/>
      <c r="O1169" s="2" t="n"/>
      <c r="P1169" s="2" t="n"/>
      <c r="Q1169" s="2" t="n"/>
      <c r="R1169" s="2" t="n"/>
      <c r="S1169" s="2" t="inlineStr">
        <is>
          <t>Rejeitado(a) em Comissão</t>
        </is>
      </c>
      <c r="T1169" s="2" t="inlineStr">
        <is>
          <t>Rejeitada</t>
        </is>
      </c>
      <c r="U1169" s="2" t="inlineStr">
        <is>
          <t>Favor: CH, PAN; Contra: PSD, IL, L, CDS-PP; Abstenção: PS, PCP, BE</t>
        </is>
      </c>
      <c r="V1169" s="3" t="n">
        <v>45981</v>
      </c>
      <c r="W1169" s="2" t="inlineStr">
        <is>
          <t>AR: https://www.parlamento.pt/OrcamentoEstado/Paginas/DetalhePropostaAlteracao.aspx?BID=24343 PDF: https://app.parlamento.pt/webutils/docs/doc.pdf?path=6148523063484d364c793942556b356c6443397a6158526c63793959566b6c4a544556484c3039464c7a49774d6a59794d4449314d5441774f5339515153396a596a68694e5755345a43316c4d324d7a4c54513559546374596d566d5a6931684e44646d4e57566d4d446377596a6b756347526d&amp;Fich=cb8b5e8d-e3c3-49a7-beff-a47f5ef070b9.pdf&amp;Inline=true</t>
        </is>
      </c>
      <c r="X1169" s="2" t="inlineStr">
        <is>
          <t>Assuntos Constitucionais, Direitos, Liberdades e Garantias</t>
        </is>
      </c>
      <c r="Y1169" s="2" t="inlineStr">
        <is>
          <t>Articulado</t>
        </is>
      </c>
      <c r="Z1169" s="2" t="inlineStr">
        <is>
          <t>Aditamento (Artigo PPL)</t>
        </is>
      </c>
      <c r="AA1169" s="2" t="inlineStr">
        <is>
          <t>Rejeitado(a) em Comissão</t>
        </is>
      </c>
      <c r="AB1169" s="2" t="inlineStr"/>
      <c r="AC1169" s="2" t="inlineStr"/>
      <c r="AD1169" s="2" t="inlineStr">
        <is>
          <t>1</t>
        </is>
      </c>
      <c r="AE1169" s="2" t="inlineStr">
        <is>
          <t>24343</t>
        </is>
      </c>
      <c r="AF1169" s="2" t="inlineStr">
        <is>
          <t>https://www.parlamento.pt/OrcamentoEstado/Paginas/DetalhePropostaAlteracao.aspx?BID=24343</t>
        </is>
      </c>
      <c r="AG1169" s="2" t="inlineStr">
        <is>
          <t>https://app.parlamento.pt/webutils/docs/doc.pdf?path=6148523063484d364c793942556b356c6443397a6158526c63793959566b6c4a544556484c3039464c7a49774d6a59794d4449314d5441774f5339515153396a596a68694e5755345a43316c4d324d7a4c54513559546374596d566d5a6931684e44646d4e57566d4d446377596a6b756347526d&amp;Fich=cb8b5e8d-e3c3-49a7-beff-a47f5ef070b9.pdf&amp;Inline=true</t>
        </is>
      </c>
      <c r="AH1169" s="3" t="n">
        <v>46321.77847222222</v>
      </c>
      <c r="AI1169" s="3" t="n">
        <v>46321.78055555555</v>
      </c>
      <c r="AJ1169" s="2" t="inlineStr"/>
    </row>
    <row r="1170">
      <c r="A1170" s="2" t="n">
        <v>1169</v>
      </c>
      <c r="B1170" s="2" t="inlineStr">
        <is>
          <t>1103C</t>
        </is>
      </c>
      <c r="C1170" s="3" t="n">
        <v>45967.97152777778</v>
      </c>
      <c r="D1170" s="2" t="inlineStr">
        <is>
          <t>Original</t>
        </is>
      </c>
      <c r="E1170" s="2" t="inlineStr">
        <is>
          <t>CH</t>
        </is>
      </c>
      <c r="F117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70" s="2" t="inlineStr">
        <is>
          <t>Art. 46.º-A (aditamento)</t>
        </is>
      </c>
      <c r="H1170" s="2" t="n"/>
      <c r="I1170" s="2" t="n"/>
      <c r="J1170" s="2" t="n"/>
      <c r="K1170" s="2" t="n"/>
      <c r="L1170" s="2" t="inlineStr">
        <is>
          <t>Artigo 46.º-A (Alteração do Decreto-Lei n.º 187/2007, de 10 de Maio)</t>
        </is>
      </c>
      <c r="M1170" s="4" t="n"/>
      <c r="N1170" s="4" t="n"/>
      <c r="O1170" s="2" t="n"/>
      <c r="P1170" s="2" t="n"/>
      <c r="Q1170" s="2" t="n"/>
      <c r="R1170" s="2" t="n"/>
      <c r="S1170" s="2" t="inlineStr">
        <is>
          <t>Rejeitado(a) em Comissão</t>
        </is>
      </c>
      <c r="T1170" s="2" t="inlineStr">
        <is>
          <t>Rejeitada</t>
        </is>
      </c>
      <c r="U1170" s="2" t="inlineStr">
        <is>
          <t>Favor: CH, BE, PAN; Contra: PSD, IL, CDS-PP; Abstenção: PS, L, PCP</t>
        </is>
      </c>
      <c r="V1170" s="3" t="n">
        <v>45981</v>
      </c>
      <c r="W1170" s="2" t="inlineStr">
        <is>
          <t>AR: https://www.parlamento.pt/OrcamentoEstado/Paginas/DetalhePropostaAlteracao.aspx?BID=24344 PDF: https://app.parlamento.pt/webutils/docs/doc.pdf?path=6148523063484d364c793942556b356c6443397a6158526c63793959566b6c4a544556484c3039464c7a49774d6a59794d4449314d5441774f533951515339684d6a51354d6a4268596930794d6a6c6d4c5451314d6a6374595451334f4330354e544d784d6a51304d54426d4e5449756347526d&amp;Fich=a24920ab-229f-4527-a478-953124410f52.pdf&amp;Inline=true</t>
        </is>
      </c>
      <c r="X1170" s="2" t="inlineStr">
        <is>
          <t>Trabalho, Segurança Social e Inclusão</t>
        </is>
      </c>
      <c r="Y1170" s="2" t="inlineStr">
        <is>
          <t>Articulado</t>
        </is>
      </c>
      <c r="Z1170" s="2" t="inlineStr">
        <is>
          <t>Aditamento (Artigo PPL)</t>
        </is>
      </c>
      <c r="AA1170" s="2" t="inlineStr">
        <is>
          <t>Rejeitado(a) em Comissão</t>
        </is>
      </c>
      <c r="AB1170" s="2" t="inlineStr"/>
      <c r="AC1170" s="2" t="inlineStr"/>
      <c r="AD1170" s="2" t="inlineStr">
        <is>
          <t>1</t>
        </is>
      </c>
      <c r="AE1170" s="2" t="inlineStr">
        <is>
          <t>24344</t>
        </is>
      </c>
      <c r="AF1170" s="2" t="inlineStr">
        <is>
          <t>https://www.parlamento.pt/OrcamentoEstado/Paginas/DetalhePropostaAlteracao.aspx?BID=24344</t>
        </is>
      </c>
      <c r="AG1170" s="2" t="inlineStr">
        <is>
          <t>https://app.parlamento.pt/webutils/docs/doc.pdf?path=6148523063484d364c793942556b356c6443397a6158526c63793959566b6c4a544556484c3039464c7a49774d6a59794d4449314d5441774f533951515339684d6a51354d6a4268596930794d6a6c6d4c5451314d6a6374595451334f4330354e544d784d6a51304d54426d4e5449756347526d&amp;Fich=a24920ab-229f-4527-a478-953124410f52.pdf&amp;Inline=true</t>
        </is>
      </c>
      <c r="AH1170" s="3" t="n">
        <v>46321.77847222222</v>
      </c>
      <c r="AI1170" s="3" t="n">
        <v>46321.78055555555</v>
      </c>
      <c r="AJ1170" s="2" t="inlineStr"/>
    </row>
    <row r="1171">
      <c r="A1171" s="2" t="n">
        <v>1170</v>
      </c>
      <c r="B1171" s="2" t="inlineStr">
        <is>
          <t>1104C</t>
        </is>
      </c>
      <c r="C1171" s="3" t="n">
        <v>45967.97222222222</v>
      </c>
      <c r="D1171" s="2" t="inlineStr">
        <is>
          <t>Original</t>
        </is>
      </c>
      <c r="E1171" s="2" t="inlineStr">
        <is>
          <t>CH</t>
        </is>
      </c>
      <c r="F117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71" s="2" t="inlineStr">
        <is>
          <t>Art. 136.º-A (aditamento)</t>
        </is>
      </c>
      <c r="H1171" s="2" t="n"/>
      <c r="I1171" s="2" t="n"/>
      <c r="J1171" s="2" t="n"/>
      <c r="K1171" s="2" t="n"/>
      <c r="L1171" s="2" t="inlineStr">
        <is>
          <t>Artigo 136.º-A (Isenção de pagamento de propinas no ensino público para todos os militares das Forças Armadas)</t>
        </is>
      </c>
      <c r="M1171" s="4" t="n"/>
      <c r="N1171" s="4" t="n"/>
      <c r="O1171" s="2" t="n"/>
      <c r="P1171" s="2" t="n"/>
      <c r="Q1171" s="2" t="n"/>
      <c r="R1171" s="2" t="n"/>
      <c r="S1171" s="2" t="inlineStr">
        <is>
          <t>Rejeitado(a) em Comissão</t>
        </is>
      </c>
      <c r="T1171" s="2" t="inlineStr">
        <is>
          <t>Rejeitada</t>
        </is>
      </c>
      <c r="U1171" s="2" t="inlineStr">
        <is>
          <t>Favor: CH; Contra: PSD, CDS-PP, BE; Abstenção: PS, IL, L, PCP, PAN</t>
        </is>
      </c>
      <c r="V1171" s="3" t="n">
        <v>45987</v>
      </c>
      <c r="W1171" s="2" t="inlineStr">
        <is>
          <t>AR: https://www.parlamento.pt/OrcamentoEstado/Paginas/DetalhePropostaAlteracao.aspx?BID=24345 PDF: https://app.parlamento.pt/webutils/docs/doc.pdf?path=6148523063484d364c793942556b356c6443397a6158526c63793959566b6c4a544556484c3039464c7a49774d6a59794d4449314d5441774f533951515339684e6d466b4e5759304e53316c4f44426b4c5451784d574d744f54426c4e7930794e5452684e7a55345a6a41354d5455756347526d&amp;Fich=a6ad5f45-e80d-411c-90e7-254a758f0915.pdf&amp;Inline=true</t>
        </is>
      </c>
      <c r="X1171" s="2" t="inlineStr">
        <is>
          <t>Defesa Nacional; Educação e Ciência</t>
        </is>
      </c>
      <c r="Y1171" s="2" t="inlineStr">
        <is>
          <t>Articulado</t>
        </is>
      </c>
      <c r="Z1171" s="2" t="inlineStr">
        <is>
          <t>Aditamento (Artigo PPL)</t>
        </is>
      </c>
      <c r="AA1171" s="2" t="inlineStr">
        <is>
          <t>Rejeitado(a) em Comissão</t>
        </is>
      </c>
      <c r="AB1171" s="2" t="inlineStr"/>
      <c r="AC1171" s="2" t="inlineStr"/>
      <c r="AD1171" s="2" t="inlineStr">
        <is>
          <t>1</t>
        </is>
      </c>
      <c r="AE1171" s="2" t="inlineStr">
        <is>
          <t>24345</t>
        </is>
      </c>
      <c r="AF1171" s="2" t="inlineStr">
        <is>
          <t>https://www.parlamento.pt/OrcamentoEstado/Paginas/DetalhePropostaAlteracao.aspx?BID=24345</t>
        </is>
      </c>
      <c r="AG1171" s="2" t="inlineStr">
        <is>
          <t>https://app.parlamento.pt/webutils/docs/doc.pdf?path=6148523063484d364c793942556b356c6443397a6158526c63793959566b6c4a544556484c3039464c7a49774d6a59794d4449314d5441774f533951515339684e6d466b4e5759304e53316c4f44426b4c5451784d574d744f54426c4e7930794e5452684e7a55345a6a41354d5455756347526d&amp;Fich=a6ad5f45-e80d-411c-90e7-254a758f0915.pdf&amp;Inline=true</t>
        </is>
      </c>
      <c r="AH1171" s="3" t="n">
        <v>46321.77847222222</v>
      </c>
      <c r="AI1171" s="3" t="n">
        <v>46321.78055555555</v>
      </c>
      <c r="AJ1171" s="2" t="inlineStr"/>
    </row>
    <row r="1172">
      <c r="A1172" s="2" t="n">
        <v>1171</v>
      </c>
      <c r="B1172" s="2" t="inlineStr">
        <is>
          <t>1105C</t>
        </is>
      </c>
      <c r="C1172" s="3" t="n">
        <v>45967.97222222222</v>
      </c>
      <c r="D1172" s="2" t="inlineStr">
        <is>
          <t>Original</t>
        </is>
      </c>
      <c r="E1172" s="2" t="inlineStr">
        <is>
          <t>CH</t>
        </is>
      </c>
      <c r="F117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72" s="2" t="inlineStr">
        <is>
          <t>Art. 46.º-A (aditamento)</t>
        </is>
      </c>
      <c r="H1172" s="2" t="n"/>
      <c r="I1172" s="2" t="n"/>
      <c r="J1172" s="2" t="n"/>
      <c r="K1172" s="2" t="n"/>
      <c r="L1172" s="2" t="inlineStr">
        <is>
          <t>Artigo 46.º-A (Favorece o apoio alimentar saudável a pessoas sem-abrigo)</t>
        </is>
      </c>
      <c r="M1172" s="4" t="n"/>
      <c r="N1172" s="4" t="n"/>
      <c r="O1172" s="2" t="n"/>
      <c r="P1172" s="2" t="n"/>
      <c r="Q1172" s="2" t="n"/>
      <c r="R1172" s="2" t="n"/>
      <c r="S1172" s="2" t="inlineStr">
        <is>
          <t>Rejeitado(a) em Comissão</t>
        </is>
      </c>
      <c r="T1172" s="2" t="inlineStr">
        <is>
          <t>Rejeitada</t>
        </is>
      </c>
      <c r="U1172" s="2" t="inlineStr">
        <is>
          <t>Favor: CH, BE, PAN; Contra: PSD, IL, CDS-PP; Abstenção: PS, L, PCP</t>
        </is>
      </c>
      <c r="V1172" s="3" t="n">
        <v>45981</v>
      </c>
      <c r="W1172" s="2" t="inlineStr">
        <is>
          <t>AR: https://www.parlamento.pt/OrcamentoEstado/Paginas/DetalhePropostaAlteracao.aspx?BID=24346 PDF: https://app.parlamento.pt/webutils/docs/doc.pdf?path=6148523063484d364c793942556b356c6443397a6158526c63793959566b6c4a544556484c3039464c7a49774d6a59794d4449314d5441774f533951515338334d324e6a4e7a686b5a5330784d3249324c54526b4f5759744f57526d5953316d4e4449784d4749785a5467344d4441756347526d&amp;Fich=73cc78de-13b6-4d9f-9dfa-f4210b1e8800.pdf&amp;Inline=true</t>
        </is>
      </c>
      <c r="X1172" s="2" t="inlineStr">
        <is>
          <t>Trabalho, Segurança Social e Inclusão</t>
        </is>
      </c>
      <c r="Y1172" s="2" t="inlineStr">
        <is>
          <t>Articulado</t>
        </is>
      </c>
      <c r="Z1172" s="2" t="inlineStr">
        <is>
          <t>Aditamento (Artigo PPL)</t>
        </is>
      </c>
      <c r="AA1172" s="2" t="inlineStr">
        <is>
          <t>Rejeitado(a) em Comissão</t>
        </is>
      </c>
      <c r="AB1172" s="2" t="inlineStr"/>
      <c r="AC1172" s="2" t="inlineStr"/>
      <c r="AD1172" s="2" t="inlineStr">
        <is>
          <t>1</t>
        </is>
      </c>
      <c r="AE1172" s="2" t="inlineStr">
        <is>
          <t>24346</t>
        </is>
      </c>
      <c r="AF1172" s="2" t="inlineStr">
        <is>
          <t>https://www.parlamento.pt/OrcamentoEstado/Paginas/DetalhePropostaAlteracao.aspx?BID=24346</t>
        </is>
      </c>
      <c r="AG1172" s="2" t="inlineStr">
        <is>
          <t>https://app.parlamento.pt/webutils/docs/doc.pdf?path=6148523063484d364c793942556b356c6443397a6158526c63793959566b6c4a544556484c3039464c7a49774d6a59794d4449314d5441774f533951515338334d324e6a4e7a686b5a5330784d3249324c54526b4f5759744f57526d5953316d4e4449784d4749785a5467344d4441756347526d&amp;Fich=73cc78de-13b6-4d9f-9dfa-f4210b1e8800.pdf&amp;Inline=true</t>
        </is>
      </c>
      <c r="AH1172" s="3" t="n">
        <v>46321.77847222222</v>
      </c>
      <c r="AI1172" s="3" t="n">
        <v>46321.78055555555</v>
      </c>
      <c r="AJ1172" s="2" t="inlineStr"/>
    </row>
    <row r="1173">
      <c r="A1173" s="2" t="n">
        <v>1172</v>
      </c>
      <c r="B1173" s="2" t="inlineStr">
        <is>
          <t>1106C</t>
        </is>
      </c>
      <c r="C1173" s="3" t="n">
        <v>45967.97361111111</v>
      </c>
      <c r="D1173" s="2" t="inlineStr">
        <is>
          <t>Original</t>
        </is>
      </c>
      <c r="E1173" s="2" t="inlineStr">
        <is>
          <t>CH</t>
        </is>
      </c>
      <c r="F117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73" s="2" t="inlineStr">
        <is>
          <t>Art. 60.º-A (aditamento)</t>
        </is>
      </c>
      <c r="H1173" s="2" t="n"/>
      <c r="I1173" s="2" t="n"/>
      <c r="J1173" s="2" t="n"/>
      <c r="K1173" s="2" t="n"/>
      <c r="L1173" s="2" t="inlineStr">
        <is>
          <t>Artigo 60.º-A (Alteração ao Decreto-Lei n.º 398/98, de 17 de dezembro)</t>
        </is>
      </c>
      <c r="M1173" s="4" t="n"/>
      <c r="N1173" s="4" t="n"/>
      <c r="O1173" s="2" t="n"/>
      <c r="P1173" s="2" t="n"/>
      <c r="Q1173" s="2" t="n"/>
      <c r="R1173" s="2" t="n"/>
      <c r="S1173" s="2" t="inlineStr">
        <is>
          <t>Rejeitado(a) em Comissão</t>
        </is>
      </c>
      <c r="T1173" s="2" t="inlineStr">
        <is>
          <t>Rejeitada</t>
        </is>
      </c>
      <c r="U1173" s="2" t="inlineStr">
        <is>
          <t>Favor: CH, BE; Contra: PSD, IL, CDS-PP; Abstenção: PS, L, PCP, PAN</t>
        </is>
      </c>
      <c r="V1173" s="3" t="n">
        <v>45981</v>
      </c>
      <c r="W1173" s="2" t="inlineStr">
        <is>
          <t>AR: https://www.parlamento.pt/OrcamentoEstado/Paginas/DetalhePropostaAlteracao.aspx?BID=24347 PDF: https://app.parlamento.pt/webutils/docs/doc.pdf?path=6148523063484d364c793942556b356c6443397a6158526c63793959566b6c4a544556484c3039464c7a49774d6a59794d4449314d5441774f533951515339684d574e694d4449314f433030595441334c5451784e4749744f544d774e4330314d6d59774d5445774e5441785a4459756347526d&amp;Fich=a1cb0258-4a07-414b-9304-52f0110501d6.pdf&amp;Inline=true</t>
        </is>
      </c>
      <c r="X1173" s="2" t="inlineStr">
        <is>
          <t>Orçamento, Finanças e Administração Pública</t>
        </is>
      </c>
      <c r="Y1173" s="2" t="inlineStr">
        <is>
          <t>Articulado</t>
        </is>
      </c>
      <c r="Z1173" s="2" t="inlineStr">
        <is>
          <t>Aditamento (Artigo PPL)</t>
        </is>
      </c>
      <c r="AA1173" s="2" t="inlineStr">
        <is>
          <t>Rejeitado(a) em Comissão</t>
        </is>
      </c>
      <c r="AB1173" s="2" t="inlineStr"/>
      <c r="AC1173" s="2" t="inlineStr"/>
      <c r="AD1173" s="2" t="inlineStr">
        <is>
          <t>1</t>
        </is>
      </c>
      <c r="AE1173" s="2" t="inlineStr">
        <is>
          <t>24347</t>
        </is>
      </c>
      <c r="AF1173" s="2" t="inlineStr">
        <is>
          <t>https://www.parlamento.pt/OrcamentoEstado/Paginas/DetalhePropostaAlteracao.aspx?BID=24347</t>
        </is>
      </c>
      <c r="AG1173" s="2" t="inlineStr">
        <is>
          <t>https://app.parlamento.pt/webutils/docs/doc.pdf?path=6148523063484d364c793942556b356c6443397a6158526c63793959566b6c4a544556484c3039464c7a49774d6a59794d4449314d5441774f533951515339684d574e694d4449314f433030595441334c5451784e4749744f544d774e4330314d6d59774d5445774e5441785a4459756347526d&amp;Fich=a1cb0258-4a07-414b-9304-52f0110501d6.pdf&amp;Inline=true</t>
        </is>
      </c>
      <c r="AH1173" s="3" t="n">
        <v>46321.77847222222</v>
      </c>
      <c r="AI1173" s="3" t="n">
        <v>46321.78055555555</v>
      </c>
      <c r="AJ1173" s="2" t="inlineStr"/>
    </row>
    <row r="1174">
      <c r="A1174" s="2" t="n">
        <v>1173</v>
      </c>
      <c r="B1174" s="2" t="inlineStr">
        <is>
          <t>1107C</t>
        </is>
      </c>
      <c r="C1174" s="3" t="n">
        <v>45967.97361111111</v>
      </c>
      <c r="D1174" s="2" t="inlineStr">
        <is>
          <t>Original</t>
        </is>
      </c>
      <c r="E1174" s="2" t="inlineStr">
        <is>
          <t>CH</t>
        </is>
      </c>
      <c r="F117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74" s="2" t="inlineStr">
        <is>
          <t>Art. 136.º-A (aditamento)</t>
        </is>
      </c>
      <c r="H1174" s="2" t="n"/>
      <c r="I1174" s="2" t="n"/>
      <c r="J1174" s="2" t="n"/>
      <c r="K1174" s="2" t="n"/>
      <c r="L1174" s="2" t="inlineStr">
        <is>
          <t>Artigo 136.º-A (Alteração à Lei n.º 37/2003, de 22 de agosto)</t>
        </is>
      </c>
      <c r="M1174" s="4" t="n"/>
      <c r="N1174" s="4" t="n"/>
      <c r="O1174" s="2" t="n"/>
      <c r="P1174" s="2" t="n"/>
      <c r="Q1174" s="2" t="n"/>
      <c r="R1174" s="2" t="n"/>
      <c r="S1174" s="2" t="inlineStr">
        <is>
          <t>Rejeitado(a) em Comissão</t>
        </is>
      </c>
      <c r="T1174" s="2" t="inlineStr">
        <is>
          <t>Rejeitada</t>
        </is>
      </c>
      <c r="U1174" s="2" t="inlineStr">
        <is>
          <t>Favor: CH; Contra: PSD, PS, IL, L, PCP, CDS-PP, BE; Abstenção: PAN</t>
        </is>
      </c>
      <c r="V1174" s="3" t="n">
        <v>45987</v>
      </c>
      <c r="W1174" s="2" t="inlineStr">
        <is>
          <t>AR: https://www.parlamento.pt/OrcamentoEstado/Paginas/DetalhePropostaAlteracao.aspx?BID=24348 PDF: https://app.parlamento.pt/webutils/docs/doc.pdf?path=6148523063484d364c793942556b356c6443397a6158526c63793959566b6c4a544556484c3039464c7a49774d6a59794d4449314d5441774f533951515338345a4456694d444d304d433035595445304c54526a4e545574595749784d79316a4e7a55315a57517a5a6a513059544d756347526d&amp;Fich=8d5b0340-9a14-4c55-ab13-c755ed3f44a3.pdf&amp;Inline=true</t>
        </is>
      </c>
      <c r="X1174" s="2" t="inlineStr">
        <is>
          <t>Educação e Ciência</t>
        </is>
      </c>
      <c r="Y1174" s="2" t="inlineStr">
        <is>
          <t>Articulado</t>
        </is>
      </c>
      <c r="Z1174" s="2" t="inlineStr">
        <is>
          <t>Aditamento (Artigo PPL)</t>
        </is>
      </c>
      <c r="AA1174" s="2" t="inlineStr">
        <is>
          <t>Rejeitado(a) em Comissão</t>
        </is>
      </c>
      <c r="AB1174" s="2" t="inlineStr"/>
      <c r="AC1174" s="2" t="inlineStr"/>
      <c r="AD1174" s="2" t="inlineStr">
        <is>
          <t>1</t>
        </is>
      </c>
      <c r="AE1174" s="2" t="inlineStr">
        <is>
          <t>24348</t>
        </is>
      </c>
      <c r="AF1174" s="2" t="inlineStr">
        <is>
          <t>https://www.parlamento.pt/OrcamentoEstado/Paginas/DetalhePropostaAlteracao.aspx?BID=24348</t>
        </is>
      </c>
      <c r="AG1174" s="2" t="inlineStr">
        <is>
          <t>https://app.parlamento.pt/webutils/docs/doc.pdf?path=6148523063484d364c793942556b356c6443397a6158526c63793959566b6c4a544556484c3039464c7a49774d6a59794d4449314d5441774f533951515338345a4456694d444d304d433035595445304c54526a4e545574595749784d79316a4e7a55315a57517a5a6a513059544d756347526d&amp;Fich=8d5b0340-9a14-4c55-ab13-c755ed3f44a3.pdf&amp;Inline=true</t>
        </is>
      </c>
      <c r="AH1174" s="3" t="n">
        <v>46321.77847222222</v>
      </c>
      <c r="AI1174" s="3" t="n">
        <v>46321.78055555555</v>
      </c>
      <c r="AJ1174" s="2" t="inlineStr"/>
    </row>
    <row r="1175">
      <c r="A1175" s="2" t="n">
        <v>1174</v>
      </c>
      <c r="B1175" s="2" t="inlineStr">
        <is>
          <t>1108C</t>
        </is>
      </c>
      <c r="C1175" s="3" t="n">
        <v>45967.97430555556</v>
      </c>
      <c r="D1175" s="2" t="inlineStr">
        <is>
          <t>Original</t>
        </is>
      </c>
      <c r="E1175" s="2" t="inlineStr">
        <is>
          <t>CH</t>
        </is>
      </c>
      <c r="F117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75" s="2" t="inlineStr">
        <is>
          <t>Art. 63.º-A (aditamento)</t>
        </is>
      </c>
      <c r="H1175" s="2" t="n"/>
      <c r="I1175" s="2" t="n"/>
      <c r="J1175" s="2" t="n"/>
      <c r="K1175" s="2" t="n"/>
      <c r="L1175" s="2" t="inlineStr">
        <is>
          <t>Artigo 63.º-A (Alteração ao Decreto-lei n.º 84/2017, de 21 de julho)</t>
        </is>
      </c>
      <c r="M1175" s="4" t="n"/>
      <c r="N1175" s="4" t="n"/>
      <c r="O1175" s="2" t="n"/>
      <c r="P1175" s="2" t="n"/>
      <c r="Q1175" s="2" t="n"/>
      <c r="R1175" s="2" t="n"/>
      <c r="S1175" s="2" t="inlineStr">
        <is>
          <t>Rejeitado(a) em Comissão</t>
        </is>
      </c>
      <c r="T1175" s="2" t="inlineStr">
        <is>
          <t>Rejeitada</t>
        </is>
      </c>
      <c r="U1175" s="2" t="inlineStr">
        <is>
          <t>Favor: CH, IL, BE, PAN; Contra: PSD; Abstenção: PS, L, PCP, CDS-PP</t>
        </is>
      </c>
      <c r="V1175" s="3" t="n">
        <v>45982</v>
      </c>
      <c r="W1175" s="2" t="inlineStr">
        <is>
          <t>AR: https://www.parlamento.pt/OrcamentoEstado/Paginas/DetalhePropostaAlteracao.aspx?BID=24349 PDF: https://app.parlamento.pt/webutils/docs/doc.pdf?path=6148523063484d364c793942556b356c6443397a6158526c63793959566b6c4a544556484c3039464c7a49774d6a59794d4449314d5441774f533951515338315a575a694e7a46684d79316b4e474d794c5451325a6d55745954466d4d7931695a6a686c5a5745314e324a6d5a6a45756347526d&amp;Fich=5efb71a3-d4c2-46fe-a1f3-bf8eea57bff1.pdf&amp;Inline=true</t>
        </is>
      </c>
      <c r="X1175" s="2" t="inlineStr">
        <is>
          <t>Orçamento, Finanças e Administração Pública</t>
        </is>
      </c>
      <c r="Y1175" s="2" t="inlineStr">
        <is>
          <t>Articulado</t>
        </is>
      </c>
      <c r="Z1175" s="2" t="inlineStr">
        <is>
          <t>Aditamento (Artigo PPL)</t>
        </is>
      </c>
      <c r="AA1175" s="2" t="inlineStr">
        <is>
          <t>Rejeitado(a) em Comissão</t>
        </is>
      </c>
      <c r="AB1175" s="2" t="inlineStr"/>
      <c r="AC1175" s="2" t="inlineStr"/>
      <c r="AD1175" s="2" t="inlineStr">
        <is>
          <t>1</t>
        </is>
      </c>
      <c r="AE1175" s="2" t="inlineStr">
        <is>
          <t>24349</t>
        </is>
      </c>
      <c r="AF1175" s="2" t="inlineStr">
        <is>
          <t>https://www.parlamento.pt/OrcamentoEstado/Paginas/DetalhePropostaAlteracao.aspx?BID=24349</t>
        </is>
      </c>
      <c r="AG1175" s="2" t="inlineStr">
        <is>
          <t>https://app.parlamento.pt/webutils/docs/doc.pdf?path=6148523063484d364c793942556b356c6443397a6158526c63793959566b6c4a544556484c3039464c7a49774d6a59794d4449314d5441774f533951515338315a575a694e7a46684d79316b4e474d794c5451325a6d55745954466d4d7931695a6a686c5a5745314e324a6d5a6a45756347526d&amp;Fich=5efb71a3-d4c2-46fe-a1f3-bf8eea57bff1.pdf&amp;Inline=true</t>
        </is>
      </c>
      <c r="AH1175" s="3" t="n">
        <v>46321.77847222222</v>
      </c>
      <c r="AI1175" s="3" t="n">
        <v>46321.78055555555</v>
      </c>
      <c r="AJ1175" s="2" t="inlineStr"/>
    </row>
    <row r="1176">
      <c r="A1176" s="2" t="n">
        <v>1175</v>
      </c>
      <c r="B1176" s="2" t="inlineStr">
        <is>
          <t>1109C</t>
        </is>
      </c>
      <c r="C1176" s="3" t="n">
        <v>45967.975</v>
      </c>
      <c r="D1176" s="2" t="inlineStr">
        <is>
          <t>Original</t>
        </is>
      </c>
      <c r="E1176" s="2" t="inlineStr">
        <is>
          <t>CH</t>
        </is>
      </c>
      <c r="F117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76" s="2" t="inlineStr">
        <is>
          <t>Art. 63.º-A (aditamento)</t>
        </is>
      </c>
      <c r="H1176" s="2" t="n"/>
      <c r="I1176" s="2" t="n"/>
      <c r="J1176" s="2" t="n"/>
      <c r="K1176" s="2" t="n"/>
      <c r="L1176" s="2" t="inlineStr">
        <is>
          <t>Artigo 63.º-A (Alteração ao Decreto-Lei n.º 84/2017, de 21 de julho)</t>
        </is>
      </c>
      <c r="M1176" s="4" t="n"/>
      <c r="N1176" s="4" t="n"/>
      <c r="O1176" s="2" t="n"/>
      <c r="P1176" s="2" t="n"/>
      <c r="Q1176" s="2" t="n"/>
      <c r="R1176" s="2" t="n"/>
      <c r="S1176" s="2" t="inlineStr">
        <is>
          <t>Rejeitado(a) em Comissão</t>
        </is>
      </c>
      <c r="T1176" s="2" t="inlineStr">
        <is>
          <t>Rejeitada</t>
        </is>
      </c>
      <c r="U1176" s="2" t="inlineStr">
        <is>
          <t>Favor: CH, IL, BE, PAN; Contra: PSD; Abstenção: PS, L, PCP, CDS-PP</t>
        </is>
      </c>
      <c r="V1176" s="3" t="n">
        <v>45982</v>
      </c>
      <c r="W1176" s="2" t="inlineStr">
        <is>
          <t>AR: https://www.parlamento.pt/OrcamentoEstado/Paginas/DetalhePropostaAlteracao.aspx?BID=24350 PDF: https://app.parlamento.pt/webutils/docs/doc.pdf?path=6148523063484d364c793942556b356c6443397a6158526c63793959566b6c4a544556484c3039464c7a49774d6a59794d4449314d5441774f5339515153396c4e6a67324d6a59304e7930305a44526d4c54513559324974595451345a4330334e545178596d55345957526c4e4455756347526d&amp;Fich=e6862647-4d4f-49cb-a48d-7541be8ade45.pdf&amp;Inline=true</t>
        </is>
      </c>
      <c r="X1176" s="2" t="inlineStr">
        <is>
          <t>Orçamento, Finanças e Administração Pública</t>
        </is>
      </c>
      <c r="Y1176" s="2" t="inlineStr">
        <is>
          <t>Articulado</t>
        </is>
      </c>
      <c r="Z1176" s="2" t="inlineStr">
        <is>
          <t>Aditamento (Artigo PPL)</t>
        </is>
      </c>
      <c r="AA1176" s="2" t="inlineStr">
        <is>
          <t>Rejeitado(a) em Comissão</t>
        </is>
      </c>
      <c r="AB1176" s="2" t="inlineStr"/>
      <c r="AC1176" s="2" t="inlineStr"/>
      <c r="AD1176" s="2" t="inlineStr">
        <is>
          <t>1</t>
        </is>
      </c>
      <c r="AE1176" s="2" t="inlineStr">
        <is>
          <t>24350</t>
        </is>
      </c>
      <c r="AF1176" s="2" t="inlineStr">
        <is>
          <t>https://www.parlamento.pt/OrcamentoEstado/Paginas/DetalhePropostaAlteracao.aspx?BID=24350</t>
        </is>
      </c>
      <c r="AG1176" s="2" t="inlineStr">
        <is>
          <t>https://app.parlamento.pt/webutils/docs/doc.pdf?path=6148523063484d364c793942556b356c6443397a6158526c63793959566b6c4a544556484c3039464c7a49774d6a59794d4449314d5441774f5339515153396c4e6a67324d6a59304e7930305a44526d4c54513559324974595451345a4330334e545178596d55345957526c4e4455756347526d&amp;Fich=e6862647-4d4f-49cb-a48d-7541be8ade45.pdf&amp;Inline=true</t>
        </is>
      </c>
      <c r="AH1176" s="3" t="n">
        <v>46321.77847222222</v>
      </c>
      <c r="AI1176" s="3" t="n">
        <v>46321.78055555555</v>
      </c>
      <c r="AJ1176" s="2" t="inlineStr"/>
    </row>
    <row r="1177">
      <c r="A1177" s="2" t="n">
        <v>1176</v>
      </c>
      <c r="B1177" s="2" t="inlineStr">
        <is>
          <t>1110C</t>
        </is>
      </c>
      <c r="C1177" s="3" t="n">
        <v>45967.975</v>
      </c>
      <c r="D1177" s="2" t="inlineStr">
        <is>
          <t>Original</t>
        </is>
      </c>
      <c r="E1177" s="2" t="inlineStr">
        <is>
          <t>CH</t>
        </is>
      </c>
      <c r="F117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77" s="2" t="inlineStr">
        <is>
          <t>Art. 136.º-A (aditamento)</t>
        </is>
      </c>
      <c r="H1177" s="2" t="n"/>
      <c r="I1177" s="2" t="n"/>
      <c r="J1177" s="2" t="n"/>
      <c r="K1177" s="2" t="n"/>
      <c r="L1177" s="2" t="inlineStr">
        <is>
          <t>Artigo 136.º-A (Requalificação da Escola Secundária du Bocage)</t>
        </is>
      </c>
      <c r="M1177" s="4" t="n"/>
      <c r="N1177" s="4" t="n"/>
      <c r="O1177" s="2" t="n"/>
      <c r="P1177" s="2" t="n"/>
      <c r="Q1177" s="2" t="n"/>
      <c r="R1177" s="2" t="n"/>
      <c r="S1177" s="2" t="inlineStr">
        <is>
          <t>Rejeitado(a) em Comissão</t>
        </is>
      </c>
      <c r="T1177" s="2" t="inlineStr">
        <is>
          <t>Rejeitada</t>
        </is>
      </c>
      <c r="U1177" s="2" t="inlineStr">
        <is>
          <t>Favor: CH, BE, PAN; Contra: PSD, CDS-PP; Abstenção: PS, IL, L, PCP</t>
        </is>
      </c>
      <c r="V1177" s="3" t="n">
        <v>45987</v>
      </c>
      <c r="W1177" s="2" t="inlineStr">
        <is>
          <t>AR: https://www.parlamento.pt/OrcamentoEstado/Paginas/DetalhePropostaAlteracao.aspx?BID=24351 PDF: https://app.parlamento.pt/webutils/docs/doc.pdf?path=6148523063484d364c793942556b356c6443397a6158526c63793959566b6c4a544556484c3039464c7a49774d6a59794d4449314d5441774f533951515338325a4464684f4445324e79303059546b334c5452694d446374596a6c694d69316d595441334e6a457a593245794d3259756347526d&amp;Fich=6d7a8167-4a97-4b07-b9b2-fa07613ca23f.pdf&amp;Inline=true</t>
        </is>
      </c>
      <c r="X1177" s="2" t="inlineStr">
        <is>
          <t>Educação e Ciência</t>
        </is>
      </c>
      <c r="Y1177" s="2" t="inlineStr">
        <is>
          <t>Articulado</t>
        </is>
      </c>
      <c r="Z1177" s="2" t="inlineStr">
        <is>
          <t>Aditamento (Artigo PPL)</t>
        </is>
      </c>
      <c r="AA1177" s="2" t="inlineStr">
        <is>
          <t>Rejeitado(a) em Comissão</t>
        </is>
      </c>
      <c r="AB1177" s="2" t="inlineStr"/>
      <c r="AC1177" s="2" t="inlineStr"/>
      <c r="AD1177" s="2" t="inlineStr">
        <is>
          <t>1</t>
        </is>
      </c>
      <c r="AE1177" s="2" t="inlineStr">
        <is>
          <t>24351</t>
        </is>
      </c>
      <c r="AF1177" s="2" t="inlineStr">
        <is>
          <t>https://www.parlamento.pt/OrcamentoEstado/Paginas/DetalhePropostaAlteracao.aspx?BID=24351</t>
        </is>
      </c>
      <c r="AG1177" s="2" t="inlineStr">
        <is>
          <t>https://app.parlamento.pt/webutils/docs/doc.pdf?path=6148523063484d364c793942556b356c6443397a6158526c63793959566b6c4a544556484c3039464c7a49774d6a59794d4449314d5441774f533951515338325a4464684f4445324e79303059546b334c5452694d446374596a6c694d69316d595441334e6a457a593245794d3259756347526d&amp;Fich=6d7a8167-4a97-4b07-b9b2-fa07613ca23f.pdf&amp;Inline=true</t>
        </is>
      </c>
      <c r="AH1177" s="3" t="n">
        <v>46321.77847222222</v>
      </c>
      <c r="AI1177" s="3" t="n">
        <v>46321.78055555555</v>
      </c>
      <c r="AJ1177" s="2" t="inlineStr"/>
    </row>
    <row r="1178">
      <c r="A1178" s="2" t="n">
        <v>1177</v>
      </c>
      <c r="B1178" s="2" t="inlineStr">
        <is>
          <t>1111C</t>
        </is>
      </c>
      <c r="C1178" s="3" t="n">
        <v>45967.97569444445</v>
      </c>
      <c r="D1178" s="2" t="inlineStr">
        <is>
          <t>Original</t>
        </is>
      </c>
      <c r="E1178" s="2" t="inlineStr">
        <is>
          <t>CH</t>
        </is>
      </c>
      <c r="F117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78" s="2" t="inlineStr">
        <is>
          <t>Art. 83.º-A (aditamento)</t>
        </is>
      </c>
      <c r="H1178" s="2" t="n"/>
      <c r="I1178" s="2" t="n"/>
      <c r="J1178" s="2" t="n"/>
      <c r="K1178" s="2" t="n"/>
      <c r="L1178" s="2" t="inlineStr">
        <is>
          <t>Artigo 83.º-A (Alteração ao Decreto-lei n.º 198/2012, de 24 de Agosto)</t>
        </is>
      </c>
      <c r="M1178" s="4" t="n"/>
      <c r="N1178" s="4" t="n"/>
      <c r="O1178" s="2" t="n"/>
      <c r="P1178" s="2" t="n"/>
      <c r="Q1178" s="2" t="n"/>
      <c r="R1178" s="2" t="n"/>
      <c r="S1178" s="2" t="inlineStr">
        <is>
          <t>Rejeitado(a) em Comissão</t>
        </is>
      </c>
      <c r="T1178" s="2" t="inlineStr">
        <is>
          <t>Rejeitada</t>
        </is>
      </c>
      <c r="U1178" s="2" t="inlineStr">
        <is>
          <t>Favor: CH, IL, PAN; Contra: PSD, CDS-PP; Abstenção: PS, L, PCP, BE</t>
        </is>
      </c>
      <c r="V1178" s="3" t="n">
        <v>45982</v>
      </c>
      <c r="W1178" s="2" t="inlineStr">
        <is>
          <t>AR: https://www.parlamento.pt/OrcamentoEstado/Paginas/DetalhePropostaAlteracao.aspx?BID=24352 PDF: https://app.parlamento.pt/webutils/docs/doc.pdf?path=6148523063484d364c793942556b356c6443397a6158526c63793959566b6c4a544556484c3039464c7a49774d6a59794d4449314d5441774f5339515153396d4f5455785a47526d4e5330785a6a55344c5451344d7a4574595445324e6930344e3255354d6a49314e446779595751756347526d&amp;Fich=f951ddf5-1f58-4831-a166-87e9225482ad.pdf&amp;Inline=true</t>
        </is>
      </c>
      <c r="X1178" s="2" t="inlineStr">
        <is>
          <t>Orçamento, Finanças e Administração Pública</t>
        </is>
      </c>
      <c r="Y1178" s="2" t="inlineStr">
        <is>
          <t>Articulado</t>
        </is>
      </c>
      <c r="Z1178" s="2" t="inlineStr">
        <is>
          <t>Aditamento (Artigo PPL)</t>
        </is>
      </c>
      <c r="AA1178" s="2" t="inlineStr">
        <is>
          <t>Rejeitado(a) em Comissão</t>
        </is>
      </c>
      <c r="AB1178" s="2" t="inlineStr"/>
      <c r="AC1178" s="2" t="inlineStr"/>
      <c r="AD1178" s="2" t="inlineStr">
        <is>
          <t>1</t>
        </is>
      </c>
      <c r="AE1178" s="2" t="inlineStr">
        <is>
          <t>24352</t>
        </is>
      </c>
      <c r="AF1178" s="2" t="inlineStr">
        <is>
          <t>https://www.parlamento.pt/OrcamentoEstado/Paginas/DetalhePropostaAlteracao.aspx?BID=24352</t>
        </is>
      </c>
      <c r="AG1178" s="2" t="inlineStr">
        <is>
          <t>https://app.parlamento.pt/webutils/docs/doc.pdf?path=6148523063484d364c793942556b356c6443397a6158526c63793959566b6c4a544556484c3039464c7a49774d6a59794d4449314d5441774f5339515153396d4f5455785a47526d4e5330785a6a55344c5451344d7a4574595445324e6930344e3255354d6a49314e446779595751756347526d&amp;Fich=f951ddf5-1f58-4831-a166-87e9225482ad.pdf&amp;Inline=true</t>
        </is>
      </c>
      <c r="AH1178" s="3" t="n">
        <v>46321.77847222222</v>
      </c>
      <c r="AI1178" s="3" t="n">
        <v>46321.78055555555</v>
      </c>
      <c r="AJ1178" s="2" t="inlineStr"/>
    </row>
    <row r="1179">
      <c r="A1179" s="2" t="n">
        <v>1178</v>
      </c>
      <c r="B1179" s="2" t="inlineStr">
        <is>
          <t>1112C</t>
        </is>
      </c>
      <c r="C1179" s="3" t="n">
        <v>45967.97708333333</v>
      </c>
      <c r="D1179" s="2" t="inlineStr">
        <is>
          <t>Original</t>
        </is>
      </c>
      <c r="E1179" s="2" t="inlineStr">
        <is>
          <t>CH</t>
        </is>
      </c>
      <c r="F117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79" s="2" t="inlineStr">
        <is>
          <t>Art. 89.º-A (aditamento)</t>
        </is>
      </c>
      <c r="H1179" s="2" t="n"/>
      <c r="I1179" s="2" t="n"/>
      <c r="J1179" s="2" t="n"/>
      <c r="K1179" s="2" t="n"/>
      <c r="L1179" s="2" t="inlineStr">
        <is>
          <t>Artigo 89.º-A (Transferência do Estado para os municípios para apoio a associações humanitárias de bombeiros voluntários)</t>
        </is>
      </c>
      <c r="M1179" s="4" t="n"/>
      <c r="N1179" s="4" t="n"/>
      <c r="O1179" s="2" t="n"/>
      <c r="P1179" s="2" t="n"/>
      <c r="Q1179" s="2" t="n"/>
      <c r="R1179" s="2" t="n"/>
      <c r="S1179" s="2" t="inlineStr">
        <is>
          <t>Rejeitado(a) em Plenário</t>
        </is>
      </c>
      <c r="T1179" s="2" t="inlineStr">
        <is>
          <t>Rejeitada</t>
        </is>
      </c>
      <c r="U1179" s="2" t="inlineStr">
        <is>
          <t>Favor: CH, BE, PAN, JPP; Contra: PSD, CDS-PP; Abstenção: PS, IL, L, PCP</t>
        </is>
      </c>
      <c r="V1179" s="3" t="n">
        <v>45985</v>
      </c>
      <c r="W1179" s="2" t="inlineStr">
        <is>
          <t>Avocada a Plenário. AR: https://www.parlamento.pt/OrcamentoEstado/Paginas/DetalhePropostaAlteracao.aspx?BID=24353 PDF: https://app.parlamento.pt/webutils/docs/doc.pdf?path=6148523063484d364c793942556b356c6443397a6158526c63793959566b6c4a544556484c3039464c7a49774d6a59794d4449314d5441774f533951515338325a6a67784d445134597930314d54686d4c54526a5a6a6b745957566c4e5330774e6a55344e6a5669597a566c4f5759756347526d&amp;Fich=6f81048c-518f-4cf9-aee5-065865bc5e9f.pdf&amp;Inline=true</t>
        </is>
      </c>
      <c r="X1179" s="2" t="inlineStr">
        <is>
          <t>Assuntos Constitucionais, Direitos, Liberdades e Garantias</t>
        </is>
      </c>
      <c r="Y1179" s="2" t="inlineStr">
        <is>
          <t>Articulado</t>
        </is>
      </c>
      <c r="Z1179" s="2" t="inlineStr">
        <is>
          <t>Aditamento (Artigo PPL)</t>
        </is>
      </c>
      <c r="AA1179" s="2" t="inlineStr">
        <is>
          <t>Rejeitado(a) em Plenário</t>
        </is>
      </c>
      <c r="AB1179" s="2" t="inlineStr">
        <is>
          <t>S</t>
        </is>
      </c>
      <c r="AC1179" s="2" t="inlineStr"/>
      <c r="AD1179" s="2" t="inlineStr">
        <is>
          <t>2</t>
        </is>
      </c>
      <c r="AE1179" s="2" t="inlineStr">
        <is>
          <t>24353</t>
        </is>
      </c>
      <c r="AF1179" s="2" t="inlineStr">
        <is>
          <t>https://www.parlamento.pt/OrcamentoEstado/Paginas/DetalhePropostaAlteracao.aspx?BID=24353</t>
        </is>
      </c>
      <c r="AG1179" s="2" t="inlineStr">
        <is>
          <t>https://app.parlamento.pt/webutils/docs/doc.pdf?path=6148523063484d364c793942556b356c6443397a6158526c63793959566b6c4a544556484c3039464c7a49774d6a59794d4449314d5441774f533951515338325a6a67784d445134597930314d54686d4c54526a5a6a6b745957566c4e5330774e6a55344e6a5669597a566c4f5759756347526d&amp;Fich=6f81048c-518f-4cf9-aee5-065865bc5e9f.pdf&amp;Inline=true</t>
        </is>
      </c>
      <c r="AH1179" s="3" t="n">
        <v>46321.77847222222</v>
      </c>
      <c r="AI1179" s="3" t="n">
        <v>46321.78055555555</v>
      </c>
      <c r="AJ1179" s="2" t="inlineStr"/>
    </row>
    <row r="1180">
      <c r="A1180" s="2" t="n">
        <v>1179</v>
      </c>
      <c r="B1180" s="2" t="inlineStr">
        <is>
          <t>1113C</t>
        </is>
      </c>
      <c r="C1180" s="3" t="n">
        <v>45967.97708333333</v>
      </c>
      <c r="D1180" s="2" t="inlineStr">
        <is>
          <t>Original</t>
        </is>
      </c>
      <c r="E1180" s="2" t="inlineStr">
        <is>
          <t>CH</t>
        </is>
      </c>
      <c r="F118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80" s="2" t="inlineStr">
        <is>
          <t>Art. 136.º-A (aditamento)</t>
        </is>
      </c>
      <c r="H1180" s="2" t="n"/>
      <c r="I1180" s="2" t="n"/>
      <c r="J1180" s="2" t="n"/>
      <c r="K1180" s="2" t="n"/>
      <c r="L1180" s="2" t="inlineStr">
        <is>
          <t>Artigo 136.º-A (Conclusão do IP2 entre a A6, em Estremoz, e a A23, na Barragem do Fratel)</t>
        </is>
      </c>
      <c r="M1180" s="4" t="n"/>
      <c r="N1180" s="4" t="n"/>
      <c r="O1180" s="2" t="n"/>
      <c r="P1180" s="2" t="n"/>
      <c r="Q1180" s="2" t="n"/>
      <c r="R1180" s="2" t="n"/>
      <c r="S1180" s="2" t="inlineStr">
        <is>
          <t>Rejeitado(a) em Comissão</t>
        </is>
      </c>
      <c r="T1180" s="2" t="inlineStr">
        <is>
          <t>Rejeitada</t>
        </is>
      </c>
      <c r="U1180" s="2" t="inlineStr">
        <is>
          <t>Favor: CH, BE; Contra: PSD, CDS-PP; Abstenção: PS, IL, L, PCP, PAN</t>
        </is>
      </c>
      <c r="V1180" s="3" t="n">
        <v>45987</v>
      </c>
      <c r="W1180" s="2" t="inlineStr">
        <is>
          <t>AR: https://www.parlamento.pt/OrcamentoEstado/Paginas/DetalhePropostaAlteracao.aspx?BID=24354 PDF: https://app.parlamento.pt/webutils/docs/doc.pdf?path=6148523063484d364c793942556b356c6443397a6158526c63793959566b6c4a544556484c3039464c7a49774d6a59794d4449314d5441774f5339515153387a5a6d55314d44457a5a53316d597a4d314c54526a4d6a63744f5749335a4330774d7a41354e5441325a4751315a6d45756347526d&amp;Fich=3fe5013e-fc35-4c27-9b7d-0309506dd5fa.pdf&amp;Inline=true</t>
        </is>
      </c>
      <c r="X1180" s="2" t="inlineStr">
        <is>
          <t>Infraestruturas, Mobilidade e Habitação</t>
        </is>
      </c>
      <c r="Y1180" s="2" t="inlineStr">
        <is>
          <t>Articulado</t>
        </is>
      </c>
      <c r="Z1180" s="2" t="inlineStr">
        <is>
          <t>Aditamento (Artigo PPL)</t>
        </is>
      </c>
      <c r="AA1180" s="2" t="inlineStr">
        <is>
          <t>Rejeitado(a) em Comissão</t>
        </is>
      </c>
      <c r="AB1180" s="2" t="inlineStr"/>
      <c r="AC1180" s="2" t="inlineStr"/>
      <c r="AD1180" s="2" t="inlineStr">
        <is>
          <t>1</t>
        </is>
      </c>
      <c r="AE1180" s="2" t="inlineStr">
        <is>
          <t>24354</t>
        </is>
      </c>
      <c r="AF1180" s="2" t="inlineStr">
        <is>
          <t>https://www.parlamento.pt/OrcamentoEstado/Paginas/DetalhePropostaAlteracao.aspx?BID=24354</t>
        </is>
      </c>
      <c r="AG1180" s="2" t="inlineStr">
        <is>
          <t>https://app.parlamento.pt/webutils/docs/doc.pdf?path=6148523063484d364c793942556b356c6443397a6158526c63793959566b6c4a544556484c3039464c7a49774d6a59794d4449314d5441774f5339515153387a5a6d55314d44457a5a53316d597a4d314c54526a4d6a63744f5749335a4330774d7a41354e5441325a4751315a6d45756347526d&amp;Fich=3fe5013e-fc35-4c27-9b7d-0309506dd5fa.pdf&amp;Inline=true</t>
        </is>
      </c>
      <c r="AH1180" s="3" t="n">
        <v>46321.77847222222</v>
      </c>
      <c r="AI1180" s="3" t="n">
        <v>46321.78055555555</v>
      </c>
      <c r="AJ1180" s="2" t="inlineStr"/>
    </row>
    <row r="1181">
      <c r="A1181" s="2" t="n">
        <v>1180</v>
      </c>
      <c r="B1181" s="2" t="inlineStr">
        <is>
          <t>1114C</t>
        </is>
      </c>
      <c r="C1181" s="3" t="n">
        <v>45967.97777777778</v>
      </c>
      <c r="D1181" s="2" t="inlineStr">
        <is>
          <t>Original</t>
        </is>
      </c>
      <c r="E1181" s="2" t="inlineStr">
        <is>
          <t>CH</t>
        </is>
      </c>
      <c r="F118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81" s="2" t="inlineStr">
        <is>
          <t>Art. 89.º-A (aditamento)</t>
        </is>
      </c>
      <c r="H1181" s="2" t="n"/>
      <c r="I1181" s="2" t="n"/>
      <c r="J1181" s="2" t="n"/>
      <c r="K1181" s="2" t="n"/>
      <c r="L1181" s="2" t="inlineStr">
        <is>
          <t>Artigo 89.º-A (Alteração à Lei n.º73/2013, de 3 de setembro)</t>
        </is>
      </c>
      <c r="M1181" s="4" t="n"/>
      <c r="N1181" s="4" t="n"/>
      <c r="O1181" s="2" t="n"/>
      <c r="P1181" s="2" t="n"/>
      <c r="Q1181" s="2" t="n"/>
      <c r="R1181" s="2" t="n"/>
      <c r="S1181" s="2" t="inlineStr">
        <is>
          <t>Rejeitado(a) em Comissão</t>
        </is>
      </c>
      <c r="T1181" s="2" t="inlineStr">
        <is>
          <t>Rejeitada</t>
        </is>
      </c>
      <c r="U1181" s="2" t="inlineStr">
        <is>
          <t>Favor: CH, BE, PAN; Contra: PSD, IL, PCP, CDS-PP; Abstenção: PS, L</t>
        </is>
      </c>
      <c r="V1181" s="3" t="n">
        <v>45982</v>
      </c>
      <c r="W1181" s="2" t="inlineStr">
        <is>
          <t>AR: https://www.parlamento.pt/OrcamentoEstado/Paginas/DetalhePropostaAlteracao.aspx?BID=24355 PDF: https://app.parlamento.pt/webutils/docs/doc.pdf?path=6148523063484d364c793942556b356c6443397a6158526c63793959566b6c4a544556484c3039464c7a49774d6a59794d4449314d5441774f533951515338345a6a686b5a574d355a5330794d3245354c54517759574d744f5445334d4330335a47526a5a545a684e6d4d785a6d55756347526d&amp;Fich=8f8dec9e-23a9-40ac-9170-7ddce6a6c1fe.pdf&amp;Inline=true</t>
        </is>
      </c>
      <c r="X1181" s="2" t="inlineStr">
        <is>
          <t>Reforma do Estado e Poder Local</t>
        </is>
      </c>
      <c r="Y1181" s="2" t="inlineStr">
        <is>
          <t>Articulado</t>
        </is>
      </c>
      <c r="Z1181" s="2" t="inlineStr">
        <is>
          <t>Aditamento (Artigo PPL)</t>
        </is>
      </c>
      <c r="AA1181" s="2" t="inlineStr">
        <is>
          <t>Rejeitado(a) em Comissão</t>
        </is>
      </c>
      <c r="AB1181" s="2" t="inlineStr"/>
      <c r="AC1181" s="2" t="inlineStr"/>
      <c r="AD1181" s="2" t="inlineStr">
        <is>
          <t>1</t>
        </is>
      </c>
      <c r="AE1181" s="2" t="inlineStr">
        <is>
          <t>24355</t>
        </is>
      </c>
      <c r="AF1181" s="2" t="inlineStr">
        <is>
          <t>https://www.parlamento.pt/OrcamentoEstado/Paginas/DetalhePropostaAlteracao.aspx?BID=24355</t>
        </is>
      </c>
      <c r="AG1181" s="2" t="inlineStr">
        <is>
          <t>https://app.parlamento.pt/webutils/docs/doc.pdf?path=6148523063484d364c793942556b356c6443397a6158526c63793959566b6c4a544556484c3039464c7a49774d6a59794d4449314d5441774f533951515338345a6a686b5a574d355a5330794d3245354c54517759574d744f5445334d4330335a47526a5a545a684e6d4d785a6d55756347526d&amp;Fich=8f8dec9e-23a9-40ac-9170-7ddce6a6c1fe.pdf&amp;Inline=true</t>
        </is>
      </c>
      <c r="AH1181" s="3" t="n">
        <v>46321.77847222222</v>
      </c>
      <c r="AI1181" s="3" t="n">
        <v>46321.78055555555</v>
      </c>
      <c r="AJ1181" s="2" t="inlineStr"/>
    </row>
    <row r="1182">
      <c r="A1182" s="2" t="n">
        <v>1181</v>
      </c>
      <c r="B1182" s="2" t="inlineStr">
        <is>
          <t>1115C</t>
        </is>
      </c>
      <c r="C1182" s="3" t="n">
        <v>45967.97847222222</v>
      </c>
      <c r="D1182" s="2" t="inlineStr">
        <is>
          <t>Original</t>
        </is>
      </c>
      <c r="E1182" s="2" t="inlineStr">
        <is>
          <t>CH</t>
        </is>
      </c>
      <c r="F118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82" s="2" t="inlineStr">
        <is>
          <t>Art. 136.º-A (aditamento)</t>
        </is>
      </c>
      <c r="H1182" s="2" t="n"/>
      <c r="I1182" s="2" t="n"/>
      <c r="J1182" s="2" t="n"/>
      <c r="K1182" s="2" t="n"/>
      <c r="L1182" s="2" t="inlineStr">
        <is>
          <t>Artigo 136.º-A (Conclusão do estudo técnico da Linha Maia II em modo Metro Ligeiro Convencional e sua ligação a Ermesinde)</t>
        </is>
      </c>
      <c r="M1182" s="4" t="n"/>
      <c r="N1182" s="4" t="n"/>
      <c r="O1182" s="2" t="n"/>
      <c r="P1182" s="2" t="n"/>
      <c r="Q1182" s="2" t="n"/>
      <c r="R1182" s="2" t="n"/>
      <c r="S1182" s="2" t="inlineStr">
        <is>
          <t>Rejeitado(a) em Comissão</t>
        </is>
      </c>
      <c r="T1182" s="2" t="inlineStr">
        <is>
          <t>Rejeitada</t>
        </is>
      </c>
      <c r="U1182" s="2" t="inlineStr">
        <is>
          <t>Favor: CH, BE, PAN; Contra: PSD, IL, PCP, CDS-PP; Abstenção: PS, L</t>
        </is>
      </c>
      <c r="V1182" s="3" t="n">
        <v>45987</v>
      </c>
      <c r="W1182" s="2" t="inlineStr">
        <is>
          <t>AR: https://www.parlamento.pt/OrcamentoEstado/Paginas/DetalhePropostaAlteracao.aspx?BID=24356 PDF: https://app.parlamento.pt/webutils/docs/doc.pdf?path=6148523063484d364c793942556b356c6443397a6158526c63793959566b6c4a544556484c3039464c7a49774d6a59794d4449314d5441774f5339515153396b4e5749334e474d305a533031596a49324c5452685a5759744f5449324f43316c4d7a526b4d446b79593249305a6d51756347526d&amp;Fich=d5b74c4e-5b26-4aef-9268-e34d092cb4fd.pdf&amp;Inline=true</t>
        </is>
      </c>
      <c r="X1182" s="2" t="inlineStr">
        <is>
          <t>Infraestruturas, Mobilidade e Habitação</t>
        </is>
      </c>
      <c r="Y1182" s="2" t="inlineStr">
        <is>
          <t>Articulado</t>
        </is>
      </c>
      <c r="Z1182" s="2" t="inlineStr">
        <is>
          <t>Aditamento (Artigo PPL)</t>
        </is>
      </c>
      <c r="AA1182" s="2" t="inlineStr">
        <is>
          <t>Rejeitado(a) em Comissão</t>
        </is>
      </c>
      <c r="AB1182" s="2" t="inlineStr"/>
      <c r="AC1182" s="2" t="inlineStr"/>
      <c r="AD1182" s="2" t="inlineStr">
        <is>
          <t>1</t>
        </is>
      </c>
      <c r="AE1182" s="2" t="inlineStr">
        <is>
          <t>24356</t>
        </is>
      </c>
      <c r="AF1182" s="2" t="inlineStr">
        <is>
          <t>https://www.parlamento.pt/OrcamentoEstado/Paginas/DetalhePropostaAlteracao.aspx?BID=24356</t>
        </is>
      </c>
      <c r="AG1182" s="2" t="inlineStr">
        <is>
          <t>https://app.parlamento.pt/webutils/docs/doc.pdf?path=6148523063484d364c793942556b356c6443397a6158526c63793959566b6c4a544556484c3039464c7a49774d6a59794d4449314d5441774f5339515153396b4e5749334e474d305a533031596a49324c5452685a5759744f5449324f43316c4d7a526b4d446b79593249305a6d51756347526d&amp;Fich=d5b74c4e-5b26-4aef-9268-e34d092cb4fd.pdf&amp;Inline=true</t>
        </is>
      </c>
      <c r="AH1182" s="3" t="n">
        <v>46321.77847222222</v>
      </c>
      <c r="AI1182" s="3" t="n">
        <v>46321.78055555555</v>
      </c>
      <c r="AJ1182" s="2" t="inlineStr"/>
    </row>
    <row r="1183">
      <c r="A1183" s="2" t="n">
        <v>1182</v>
      </c>
      <c r="B1183" s="2" t="inlineStr">
        <is>
          <t>1116C</t>
        </is>
      </c>
      <c r="C1183" s="3" t="n">
        <v>45967.97847222222</v>
      </c>
      <c r="D1183" s="2" t="inlineStr">
        <is>
          <t>Original</t>
        </is>
      </c>
      <c r="E1183" s="2" t="inlineStr">
        <is>
          <t>JPP</t>
        </is>
      </c>
      <c r="F1183" s="2" t="inlineStr">
        <is>
          <t>Filipe Sousa</t>
        </is>
      </c>
      <c r="G1183" s="2" t="inlineStr">
        <is>
          <t>Art. 63.º-H (aditamento)</t>
        </is>
      </c>
      <c r="H1183" s="2" t="n"/>
      <c r="I1183" s="2" t="n"/>
      <c r="J1183" s="2" t="n"/>
      <c r="K1183" s="2" t="n"/>
      <c r="L1183" s="2" t="inlineStr">
        <is>
          <t>Artigo 63.º-H (ZFM — Prorrogação do benefício para empresas licenciadas entre 2015 e 2026)</t>
        </is>
      </c>
      <c r="M1183" s="4" t="n"/>
      <c r="N1183" s="4" t="n"/>
      <c r="O1183" s="2" t="n"/>
      <c r="P1183" s="2" t="n"/>
      <c r="Q1183" s="2" t="n"/>
      <c r="R1183" s="2" t="n"/>
      <c r="S1183" s="2" t="inlineStr">
        <is>
          <t>Rejeitado(a) em Comissão</t>
        </is>
      </c>
      <c r="T1183" s="2" t="inlineStr">
        <is>
          <t>Rejeitada</t>
        </is>
      </c>
      <c r="U1183" s="2" t="inlineStr">
        <is>
          <t>Contra: PSD, CH, L, PCP, CDS-PP, BE, PAN; Abstenção: PS, IL</t>
        </is>
      </c>
      <c r="V1183" s="3" t="n">
        <v>45982</v>
      </c>
      <c r="W1183" s="2" t="inlineStr">
        <is>
          <t>AR: https://www.parlamento.pt/OrcamentoEstado/Paginas/DetalhePropostaAlteracao.aspx?BID=24357 PDF: https://app.parlamento.pt/webutils/docs/doc.pdf?path=6148523063484d364c793942556b356c6443397a6158526c63793959566b6c4a544556484c3039464c7a49774d6a59794d4449314d5441774f533951515339685a4745325a546b31596930795a544a6a4c5452694e4463744f5445784d53316c597a646b595441304d6d4e6d4d4467756347526d&amp;Fich=ada6e95b-2e2c-4b47-9111-ec7da042cf08.pdf&amp;Inline=true</t>
        </is>
      </c>
      <c r="X1183" s="2" t="inlineStr">
        <is>
          <t>Orçamento, Finanças e Administração Pública</t>
        </is>
      </c>
      <c r="Y1183" s="2" t="inlineStr">
        <is>
          <t>Articulado</t>
        </is>
      </c>
      <c r="Z1183" s="2" t="inlineStr">
        <is>
          <t>Aditamento (Artigo PPL)</t>
        </is>
      </c>
      <c r="AA1183" s="2" t="inlineStr">
        <is>
          <t>Rejeitado(a) em Comissão</t>
        </is>
      </c>
      <c r="AB1183" s="2" t="inlineStr"/>
      <c r="AC1183" s="2" t="inlineStr"/>
      <c r="AD1183" s="2" t="inlineStr">
        <is>
          <t>1</t>
        </is>
      </c>
      <c r="AE1183" s="2" t="inlineStr">
        <is>
          <t>24357</t>
        </is>
      </c>
      <c r="AF1183" s="2" t="inlineStr">
        <is>
          <t>https://www.parlamento.pt/OrcamentoEstado/Paginas/DetalhePropostaAlteracao.aspx?BID=24357</t>
        </is>
      </c>
      <c r="AG1183" s="2" t="inlineStr">
        <is>
          <t>https://app.parlamento.pt/webutils/docs/doc.pdf?path=6148523063484d364c793942556b356c6443397a6158526c63793959566b6c4a544556484c3039464c7a49774d6a59794d4449314d5441774f533951515339685a4745325a546b31596930795a544a6a4c5452694e4463744f5445784d53316c597a646b595441304d6d4e6d4d4467756347526d&amp;Fich=ada6e95b-2e2c-4b47-9111-ec7da042cf08.pdf&amp;Inline=true</t>
        </is>
      </c>
      <c r="AH1183" s="3" t="n">
        <v>46321.77847222222</v>
      </c>
      <c r="AI1183" s="3" t="n">
        <v>46321.78055555555</v>
      </c>
      <c r="AJ1183" s="2" t="inlineStr"/>
    </row>
    <row r="1184">
      <c r="A1184" s="2" t="n">
        <v>1183</v>
      </c>
      <c r="B1184" s="2" t="inlineStr">
        <is>
          <t>1117C</t>
        </is>
      </c>
      <c r="C1184" s="3" t="n">
        <v>45967.98055555556</v>
      </c>
      <c r="D1184" s="2" t="inlineStr">
        <is>
          <t>Original</t>
        </is>
      </c>
      <c r="E1184" s="2" t="inlineStr">
        <is>
          <t>JPP</t>
        </is>
      </c>
      <c r="F1184" s="2" t="inlineStr">
        <is>
          <t>Filipe Sousa</t>
        </is>
      </c>
      <c r="G1184" s="2" t="inlineStr">
        <is>
          <t>Art. 63.º-I (aditamento)</t>
        </is>
      </c>
      <c r="H1184" s="2" t="n"/>
      <c r="I1184" s="2" t="n"/>
      <c r="J1184" s="2" t="n"/>
      <c r="K1184" s="2" t="n"/>
      <c r="L1184" s="2" t="inlineStr">
        <is>
          <t>Artigo 63.º-I (ZFM — Novas licenças 2026-2028 com salvaguarda europeia)</t>
        </is>
      </c>
      <c r="M1184" s="4" t="n"/>
      <c r="N1184" s="4" t="n"/>
      <c r="O1184" s="2" t="n"/>
      <c r="P1184" s="2" t="n"/>
      <c r="Q1184" s="2" t="n"/>
      <c r="R1184" s="2" t="n"/>
      <c r="S1184" s="2" t="inlineStr">
        <is>
          <t>Rejeitado(a) em Comissão</t>
        </is>
      </c>
      <c r="T1184" s="2" t="inlineStr">
        <is>
          <t>Rejeitada</t>
        </is>
      </c>
      <c r="U1184" s="2" t="inlineStr">
        <is>
          <t>Contra: PSD, CH, L, PCP, CDS-PP, BE, PAN; Abstenção: PS, IL</t>
        </is>
      </c>
      <c r="V1184" s="3" t="n">
        <v>45982</v>
      </c>
      <c r="W1184" s="2" t="inlineStr">
        <is>
          <t>AR: https://www.parlamento.pt/OrcamentoEstado/Paginas/DetalhePropostaAlteracao.aspx?BID=24358 PDF: https://app.parlamento.pt/webutils/docs/doc.pdf?path=6148523063484d364c793942556b356c6443397a6158526c63793959566b6c4a544556484c3039464c7a49774d6a59794d4449314d5441774f5339515153387a5a4455794f4449314d4330784f44566c4c54517a595751744f54566c5a43307a5a445a684f574e6c4e545a684e544d756347526d&amp;Fich=3d528250-185e-43ad-95ed-3d6a9ce56a53.pdf&amp;Inline=true</t>
        </is>
      </c>
      <c r="X1184" s="2" t="inlineStr">
        <is>
          <t>Orçamento, Finanças e Administração Pública</t>
        </is>
      </c>
      <c r="Y1184" s="2" t="inlineStr">
        <is>
          <t>Articulado</t>
        </is>
      </c>
      <c r="Z1184" s="2" t="inlineStr">
        <is>
          <t>Aditamento (Artigo PPL)</t>
        </is>
      </c>
      <c r="AA1184" s="2" t="inlineStr">
        <is>
          <t>Rejeitado(a) em Comissão</t>
        </is>
      </c>
      <c r="AB1184" s="2" t="inlineStr"/>
      <c r="AC1184" s="2" t="inlineStr"/>
      <c r="AD1184" s="2" t="inlineStr">
        <is>
          <t>1</t>
        </is>
      </c>
      <c r="AE1184" s="2" t="inlineStr">
        <is>
          <t>24358</t>
        </is>
      </c>
      <c r="AF1184" s="2" t="inlineStr">
        <is>
          <t>https://www.parlamento.pt/OrcamentoEstado/Paginas/DetalhePropostaAlteracao.aspx?BID=24358</t>
        </is>
      </c>
      <c r="AG1184" s="2" t="inlineStr">
        <is>
          <t>https://app.parlamento.pt/webutils/docs/doc.pdf?path=6148523063484d364c793942556b356c6443397a6158526c63793959566b6c4a544556484c3039464c7a49774d6a59794d4449314d5441774f5339515153387a5a4455794f4449314d4330784f44566c4c54517a595751744f54566c5a43307a5a445a684f574e6c4e545a684e544d756347526d&amp;Fich=3d528250-185e-43ad-95ed-3d6a9ce56a53.pdf&amp;Inline=true</t>
        </is>
      </c>
      <c r="AH1184" s="3" t="n">
        <v>46321.77847222222</v>
      </c>
      <c r="AI1184" s="3" t="n">
        <v>46321.78055555555</v>
      </c>
      <c r="AJ1184" s="2" t="inlineStr"/>
    </row>
    <row r="1185">
      <c r="A1185" s="2" t="n">
        <v>1184</v>
      </c>
      <c r="B1185" s="2" t="inlineStr">
        <is>
          <t>1118C</t>
        </is>
      </c>
      <c r="C1185" s="3" t="n">
        <v>45967.98055555556</v>
      </c>
      <c r="D1185" s="2" t="inlineStr">
        <is>
          <t>Original</t>
        </is>
      </c>
      <c r="E1185" s="2" t="inlineStr">
        <is>
          <t>CH</t>
        </is>
      </c>
      <c r="F118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85" s="2" t="inlineStr">
        <is>
          <t>Art. 136.º-A (aditamento)</t>
        </is>
      </c>
      <c r="H1185" s="2" t="n"/>
      <c r="I1185" s="2" t="n"/>
      <c r="J1185" s="2" t="n"/>
      <c r="K1185" s="2" t="n"/>
      <c r="L1185" s="2" t="inlineStr">
        <is>
          <t>Artigo 136.º-A (Posicionamento remuneratório dos Chefes de Chancelaria e Contabilidade dos Serviços Periféricos Externos do Ministério dos Negócios Estrangeiros)</t>
        </is>
      </c>
      <c r="M1185" s="4" t="n"/>
      <c r="N1185" s="4" t="n"/>
      <c r="O1185" s="2" t="n"/>
      <c r="P1185" s="2" t="n"/>
      <c r="Q1185" s="2" t="n"/>
      <c r="R1185" s="2" t="n"/>
      <c r="S1185" s="2" t="inlineStr">
        <is>
          <t>Rejeitado(a) em Comissão</t>
        </is>
      </c>
      <c r="T1185" s="2" t="inlineStr">
        <is>
          <t>Rejeitada</t>
        </is>
      </c>
      <c r="U1185" s="2" t="inlineStr">
        <is>
          <t>Favor: CH, BE, PAN; Contra: PSD, CDS-PP; Abstenção: PS, IL, L, PCP</t>
        </is>
      </c>
      <c r="V1185" s="3" t="n">
        <v>45987</v>
      </c>
      <c r="W1185" s="2" t="inlineStr">
        <is>
          <t>AR: https://www.parlamento.pt/OrcamentoEstado/Paginas/DetalhePropostaAlteracao.aspx?BID=24359 PDF: https://app.parlamento.pt/webutils/docs/doc.pdf?path=6148523063484d364c793942556b356c6443397a6158526c63793959566b6c4a544556484c3039464c7a49774d6a59794d4449314d5441774f5339515153396c4f546869595446695a5330774f5467354c54526b5a4751744f47526c4e6930794d6a55775a6a45344d545a6a4e4755756347526d&amp;Fich=e98ba1be-0989-4ddd-8de6-2250f1816c4e.pdf&amp;Inline=true</t>
        </is>
      </c>
      <c r="X1185" s="2" t="inlineStr">
        <is>
          <t>Negócios Estrangeiros e Comunidades Portuguesas</t>
        </is>
      </c>
      <c r="Y1185" s="2" t="inlineStr">
        <is>
          <t>Articulado</t>
        </is>
      </c>
      <c r="Z1185" s="2" t="inlineStr">
        <is>
          <t>Aditamento (Artigo PPL)</t>
        </is>
      </c>
      <c r="AA1185" s="2" t="inlineStr">
        <is>
          <t>Rejeitado(a) em Comissão</t>
        </is>
      </c>
      <c r="AB1185" s="2" t="inlineStr"/>
      <c r="AC1185" s="2" t="inlineStr"/>
      <c r="AD1185" s="2" t="inlineStr">
        <is>
          <t>1</t>
        </is>
      </c>
      <c r="AE1185" s="2" t="inlineStr">
        <is>
          <t>24359</t>
        </is>
      </c>
      <c r="AF1185" s="2" t="inlineStr">
        <is>
          <t>https://www.parlamento.pt/OrcamentoEstado/Paginas/DetalhePropostaAlteracao.aspx?BID=24359</t>
        </is>
      </c>
      <c r="AG1185" s="2" t="inlineStr">
        <is>
          <t>https://app.parlamento.pt/webutils/docs/doc.pdf?path=6148523063484d364c793942556b356c6443397a6158526c63793959566b6c4a544556484c3039464c7a49774d6a59794d4449314d5441774f5339515153396c4f546869595446695a5330774f5467354c54526b5a4751744f47526c4e6930794d6a55775a6a45344d545a6a4e4755756347526d&amp;Fich=e98ba1be-0989-4ddd-8de6-2250f1816c4e.pdf&amp;Inline=true</t>
        </is>
      </c>
      <c r="AH1185" s="3" t="n">
        <v>46321.77847222222</v>
      </c>
      <c r="AI1185" s="3" t="n">
        <v>46321.78055555555</v>
      </c>
      <c r="AJ1185" s="2" t="inlineStr"/>
    </row>
    <row r="1186">
      <c r="A1186" s="2" t="n">
        <v>1185</v>
      </c>
      <c r="B1186" s="2" t="inlineStr">
        <is>
          <t>1119C</t>
        </is>
      </c>
      <c r="C1186" s="3" t="n">
        <v>45967.98194444444</v>
      </c>
      <c r="D1186" s="2" t="inlineStr">
        <is>
          <t>Original</t>
        </is>
      </c>
      <c r="E1186" s="2" t="inlineStr">
        <is>
          <t>JPP</t>
        </is>
      </c>
      <c r="F1186" s="2" t="inlineStr">
        <is>
          <t>Filipe Sousa</t>
        </is>
      </c>
      <c r="G1186" s="2" t="inlineStr">
        <is>
          <t>Art. 63.º-I (aditamento)</t>
        </is>
      </c>
      <c r="H1186" s="2" t="n"/>
      <c r="I1186" s="2" t="n"/>
      <c r="J1186" s="2" t="n"/>
      <c r="K1186" s="2" t="n"/>
      <c r="L1186" s="2" t="inlineStr">
        <is>
          <t>Artigo 63.º-I (ZFM — Fundo para desenvolvimento regional)</t>
        </is>
      </c>
      <c r="M1186" s="4" t="n"/>
      <c r="N1186" s="4" t="n"/>
      <c r="O1186" s="2" t="n"/>
      <c r="P1186" s="2" t="n"/>
      <c r="Q1186" s="2" t="n"/>
      <c r="R1186" s="2" t="n"/>
      <c r="S1186" s="2" t="inlineStr">
        <is>
          <t>Rejeitado(a) em Comissão</t>
        </is>
      </c>
      <c r="T1186" s="2" t="inlineStr">
        <is>
          <t>Rejeitada</t>
        </is>
      </c>
      <c r="U1186" s="2" t="inlineStr">
        <is>
          <t>Favor: PAN; Contra: PSD, CH, IL, PCP, CDS-PP; Abstenção: PS, L, BE</t>
        </is>
      </c>
      <c r="V1186" s="3" t="n">
        <v>45982</v>
      </c>
      <c r="W1186" s="2" t="inlineStr">
        <is>
          <t>AR: https://www.parlamento.pt/OrcamentoEstado/Paginas/DetalhePropostaAlteracao.aspx?BID=24360 PDF: https://app.parlamento.pt/webutils/docs/doc.pdf?path=6148523063484d364c793942556b356c6443397a6158526c63793959566b6c4a544556484c3039464c7a49774d6a59794d4449314d5441774f5339515153396a596a6b31596a64694e43316a5a5449324c5451314d5451745957557a4e53316d5a6d4d315a6d51325a6a67344d4745756347526d&amp;Fich=cb95b7b4-ce26-4514-ae35-ffc5fd6f880a.pdf&amp;Inline=true</t>
        </is>
      </c>
      <c r="X1186" s="2" t="inlineStr">
        <is>
          <t>Orçamento, Finanças e Administração Pública</t>
        </is>
      </c>
      <c r="Y1186" s="2" t="inlineStr">
        <is>
          <t>Articulado</t>
        </is>
      </c>
      <c r="Z1186" s="2" t="inlineStr">
        <is>
          <t>Aditamento (Artigo PPL)</t>
        </is>
      </c>
      <c r="AA1186" s="2" t="inlineStr">
        <is>
          <t>Rejeitado(a) em Comissão</t>
        </is>
      </c>
      <c r="AB1186" s="2" t="inlineStr"/>
      <c r="AC1186" s="2" t="inlineStr"/>
      <c r="AD1186" s="2" t="inlineStr">
        <is>
          <t>1</t>
        </is>
      </c>
      <c r="AE1186" s="2" t="inlineStr">
        <is>
          <t>24360</t>
        </is>
      </c>
      <c r="AF1186" s="2" t="inlineStr">
        <is>
          <t>https://www.parlamento.pt/OrcamentoEstado/Paginas/DetalhePropostaAlteracao.aspx?BID=24360</t>
        </is>
      </c>
      <c r="AG1186" s="2" t="inlineStr">
        <is>
          <t>https://app.parlamento.pt/webutils/docs/doc.pdf?path=6148523063484d364c793942556b356c6443397a6158526c63793959566b6c4a544556484c3039464c7a49774d6a59794d4449314d5441774f5339515153396a596a6b31596a64694e43316a5a5449324c5451314d5451745957557a4e53316d5a6d4d315a6d51325a6a67344d4745756347526d&amp;Fich=cb95b7b4-ce26-4514-ae35-ffc5fd6f880a.pdf&amp;Inline=true</t>
        </is>
      </c>
      <c r="AH1186" s="3" t="n">
        <v>46321.77847222222</v>
      </c>
      <c r="AI1186" s="3" t="n">
        <v>46321.78055555555</v>
      </c>
      <c r="AJ1186" s="2" t="inlineStr"/>
    </row>
    <row r="1187">
      <c r="A1187" s="2" t="n">
        <v>1186</v>
      </c>
      <c r="B1187" s="2" t="inlineStr">
        <is>
          <t>1120C</t>
        </is>
      </c>
      <c r="C1187" s="3" t="n">
        <v>45967.98263888889</v>
      </c>
      <c r="D1187" s="2" t="inlineStr">
        <is>
          <t>Original</t>
        </is>
      </c>
      <c r="E1187" s="2" t="inlineStr">
        <is>
          <t>CH</t>
        </is>
      </c>
      <c r="F118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87" s="2" t="inlineStr">
        <is>
          <t>Art. 108.º-A (aditamento)</t>
        </is>
      </c>
      <c r="H1187" s="2" t="n"/>
      <c r="I1187" s="2" t="n"/>
      <c r="J1187" s="2" t="n"/>
      <c r="K1187" s="2" t="n"/>
      <c r="L1187" s="2" t="inlineStr">
        <is>
          <t>Artigo 108.º-A (Alteração à Lei n.º 27/2016, de 23 de agosto)</t>
        </is>
      </c>
      <c r="M1187" s="4" t="n"/>
      <c r="N1187" s="4" t="n"/>
      <c r="O1187" s="2" t="n"/>
      <c r="P1187" s="2" t="n"/>
      <c r="Q1187" s="2" t="n"/>
      <c r="R1187" s="2" t="n"/>
      <c r="S1187" s="2" t="inlineStr">
        <is>
          <t>Rejeitado(a) em Comissão</t>
        </is>
      </c>
      <c r="T1187" s="2" t="inlineStr">
        <is>
          <t>Rejeitada</t>
        </is>
      </c>
      <c r="U1187" s="2" t="inlineStr">
        <is>
          <t>Favor: CH, BE, PAN; Contra: PSD, IL, CDS-PP; Abstenção: PS, L, PCP</t>
        </is>
      </c>
      <c r="V1187" s="3" t="n">
        <v>45982</v>
      </c>
      <c r="W1187" s="2" t="inlineStr">
        <is>
          <t>AR: https://www.parlamento.pt/OrcamentoEstado/Paginas/DetalhePropostaAlteracao.aspx?BID=24361 PDF: https://app.parlamento.pt/webutils/docs/doc.pdf?path=6148523063484d364c793942556b356c6443397a6158526c63793959566b6c4a544556484c3039464c7a49774d6a59794d4449314d5441774f53395151533969597a51344e4455354e5330354d6a63794c5451314d5749744f446b785953316b593259354e6a4a6b5a574d304d5445756347526d&amp;Fich=bc484595-9272-451b-891a-dcf962dec411.pdf&amp;Inline=true</t>
        </is>
      </c>
      <c r="X1187" s="2" t="inlineStr">
        <is>
          <t>Agricultura e Pescas</t>
        </is>
      </c>
      <c r="Y1187" s="2" t="inlineStr">
        <is>
          <t>Articulado</t>
        </is>
      </c>
      <c r="Z1187" s="2" t="inlineStr">
        <is>
          <t>Aditamento (Artigo PPL)</t>
        </is>
      </c>
      <c r="AA1187" s="2" t="inlineStr">
        <is>
          <t>Rejeitado(a) em Comissão</t>
        </is>
      </c>
      <c r="AB1187" s="2" t="inlineStr"/>
      <c r="AC1187" s="2" t="inlineStr"/>
      <c r="AD1187" s="2" t="inlineStr">
        <is>
          <t>1</t>
        </is>
      </c>
      <c r="AE1187" s="2" t="inlineStr">
        <is>
          <t>24361</t>
        </is>
      </c>
      <c r="AF1187" s="2" t="inlineStr">
        <is>
          <t>https://www.parlamento.pt/OrcamentoEstado/Paginas/DetalhePropostaAlteracao.aspx?BID=24361</t>
        </is>
      </c>
      <c r="AG1187" s="2" t="inlineStr">
        <is>
          <t>https://app.parlamento.pt/webutils/docs/doc.pdf?path=6148523063484d364c793942556b356c6443397a6158526c63793959566b6c4a544556484c3039464c7a49774d6a59794d4449314d5441774f53395151533969597a51344e4455354e5330354d6a63794c5451314d5749744f446b785953316b593259354e6a4a6b5a574d304d5445756347526d&amp;Fich=bc484595-9272-451b-891a-dcf962dec411.pdf&amp;Inline=true</t>
        </is>
      </c>
      <c r="AH1187" s="3" t="n">
        <v>46321.77847222222</v>
      </c>
      <c r="AI1187" s="3" t="n">
        <v>46321.78055555555</v>
      </c>
      <c r="AJ1187" s="2" t="inlineStr"/>
    </row>
    <row r="1188">
      <c r="A1188" s="2" t="n">
        <v>1187</v>
      </c>
      <c r="B1188" s="2" t="inlineStr">
        <is>
          <t>1121C</t>
        </is>
      </c>
      <c r="C1188" s="3" t="n">
        <v>45967.98333333333</v>
      </c>
      <c r="D1188" s="2" t="inlineStr">
        <is>
          <t>Original</t>
        </is>
      </c>
      <c r="E1188" s="2" t="inlineStr">
        <is>
          <t>JPP</t>
        </is>
      </c>
      <c r="F1188" s="2" t="inlineStr">
        <is>
          <t>Filipe Sousa</t>
        </is>
      </c>
      <c r="G1188" s="2" t="inlineStr">
        <is>
          <t>Art. 121.º-A (aditamento)</t>
        </is>
      </c>
      <c r="H1188" s="2" t="n"/>
      <c r="I1188" s="2" t="n"/>
      <c r="J1188" s="2" t="n"/>
      <c r="K1188" s="2" t="n"/>
      <c r="L1188" s="2" t="inlineStr">
        <is>
          <t>Artigo 121.º-A (Regime transitório de cálculo do Fundo de Coesão para as Regiões Autónomas)</t>
        </is>
      </c>
      <c r="M1188" s="4" t="n"/>
      <c r="N1188" s="4" t="n"/>
      <c r="O1188" s="2" t="n"/>
      <c r="P1188" s="2" t="n"/>
      <c r="Q1188" s="2" t="n"/>
      <c r="R1188" s="2" t="n"/>
      <c r="S1188" s="2" t="inlineStr">
        <is>
          <t>Rejeitado(a) em Comissão</t>
        </is>
      </c>
      <c r="T1188" s="2" t="inlineStr">
        <is>
          <t>Rejeitada</t>
        </is>
      </c>
      <c r="U1188" s="2" t="inlineStr">
        <is>
          <t>Favor: PCP, BE, PAN; Contra: PSD, PS, IL, CDS-PP; Abstenção: CH, L</t>
        </is>
      </c>
      <c r="V1188" s="3" t="n">
        <v>45985</v>
      </c>
      <c r="W1188" s="2" t="inlineStr">
        <is>
          <t>AR: https://www.parlamento.pt/OrcamentoEstado/Paginas/DetalhePropostaAlteracao.aspx?BID=24362 PDF: https://app.parlamento.pt/webutils/docs/doc.pdf?path=6148523063484d364c793942556b356c6443397a6158526c63793959566b6c4a544556484c3039464c7a49774d6a59794d4449314d5441774f533951515338334d4459774f44426c5a69316c5a5452694c5451324f5449744f4441795953316b5a6a597a5a5441794d7a4e6d4e7a55756347526d&amp;Fich=706080ef-ee4b-4692-802a-df63e0233f75.pdf&amp;Inline=true</t>
        </is>
      </c>
      <c r="X1188" s="2" t="inlineStr">
        <is>
          <t>Orçamento, Finanças e Administração Pública</t>
        </is>
      </c>
      <c r="Y1188" s="2" t="inlineStr">
        <is>
          <t>Articulado</t>
        </is>
      </c>
      <c r="Z1188" s="2" t="inlineStr">
        <is>
          <t>Aditamento (Artigo PPL)</t>
        </is>
      </c>
      <c r="AA1188" s="2" t="inlineStr">
        <is>
          <t>Rejeitado(a) em Comissão</t>
        </is>
      </c>
      <c r="AB1188" s="2" t="inlineStr"/>
      <c r="AC1188" s="2" t="inlineStr"/>
      <c r="AD1188" s="2" t="inlineStr">
        <is>
          <t>1</t>
        </is>
      </c>
      <c r="AE1188" s="2" t="inlineStr">
        <is>
          <t>24362</t>
        </is>
      </c>
      <c r="AF1188" s="2" t="inlineStr">
        <is>
          <t>https://www.parlamento.pt/OrcamentoEstado/Paginas/DetalhePropostaAlteracao.aspx?BID=24362</t>
        </is>
      </c>
      <c r="AG1188" s="2" t="inlineStr">
        <is>
          <t>https://app.parlamento.pt/webutils/docs/doc.pdf?path=6148523063484d364c793942556b356c6443397a6158526c63793959566b6c4a544556484c3039464c7a49774d6a59794d4449314d5441774f533951515338334d4459774f44426c5a69316c5a5452694c5451324f5449744f4441795953316b5a6a597a5a5441794d7a4e6d4e7a55756347526d&amp;Fich=706080ef-ee4b-4692-802a-df63e0233f75.pdf&amp;Inline=true</t>
        </is>
      </c>
      <c r="AH1188" s="3" t="n">
        <v>46321.77847222222</v>
      </c>
      <c r="AI1188" s="3" t="n">
        <v>46321.78055555555</v>
      </c>
      <c r="AJ1188" s="2" t="inlineStr"/>
    </row>
    <row r="1189">
      <c r="A1189" s="2" t="n">
        <v>1188</v>
      </c>
      <c r="B1189" s="2" t="inlineStr">
        <is>
          <t>1122C</t>
        </is>
      </c>
      <c r="C1189" s="3" t="n">
        <v>45967.98333333333</v>
      </c>
      <c r="D1189" s="2" t="inlineStr">
        <is>
          <t>Original</t>
        </is>
      </c>
      <c r="E1189" s="2" t="inlineStr">
        <is>
          <t>CH</t>
        </is>
      </c>
      <c r="F118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89" s="2" t="inlineStr">
        <is>
          <t>Art. 136.º-A (aditamento)</t>
        </is>
      </c>
      <c r="H1189" s="2" t="n"/>
      <c r="I1189" s="2" t="n"/>
      <c r="J1189" s="2" t="n"/>
      <c r="K1189" s="2" t="n"/>
      <c r="L1189" s="2" t="inlineStr">
        <is>
          <t>Artigo 136.º-A (Reforça o apoio ao Conselho das Comunidades Portuguesas)</t>
        </is>
      </c>
      <c r="M1189" s="4" t="n"/>
      <c r="N1189" s="4" t="n"/>
      <c r="O1189" s="2" t="n"/>
      <c r="P1189" s="2" t="n"/>
      <c r="Q1189" s="2" t="n"/>
      <c r="R1189" s="2" t="n"/>
      <c r="S1189" s="2" t="inlineStr">
        <is>
          <t>Rejeitado(a) em Comissão</t>
        </is>
      </c>
      <c r="T1189" s="2" t="inlineStr">
        <is>
          <t>Rejeitada</t>
        </is>
      </c>
      <c r="U1189" s="2" t="inlineStr">
        <is>
          <t>Favor: CH, IL, BE, PAN; Contra: PSD, CDS-PP; Abstenção: PS, L, PCP</t>
        </is>
      </c>
      <c r="V1189" s="3" t="n">
        <v>45987</v>
      </c>
      <c r="W1189" s="2" t="inlineStr">
        <is>
          <t>AR: https://www.parlamento.pt/OrcamentoEstado/Paginas/DetalhePropostaAlteracao.aspx?BID=24363 PDF: https://app.parlamento.pt/webutils/docs/doc.pdf?path=6148523063484d364c793942556b356c6443397a6158526c63793959566b6c4a544556484c3039464c7a49774d6a59794d4449314d5441774f533951515338324e57466d597a4269597930335a5751334c545131596a5174595749354d6930334e4451784e57526a4e5467304d6a55756347526d&amp;Fich=65afc0bc-7ed7-45b4-ab92-74415dc58425.pdf&amp;Inline=true</t>
        </is>
      </c>
      <c r="X1189" s="2" t="inlineStr">
        <is>
          <t>Negócios Estrangeiros e Comunidades Portuguesas</t>
        </is>
      </c>
      <c r="Y1189" s="2" t="inlineStr">
        <is>
          <t>Articulado</t>
        </is>
      </c>
      <c r="Z1189" s="2" t="inlineStr">
        <is>
          <t>Aditamento (Artigo PPL)</t>
        </is>
      </c>
      <c r="AA1189" s="2" t="inlineStr">
        <is>
          <t>Rejeitado(a) em Comissão</t>
        </is>
      </c>
      <c r="AB1189" s="2" t="inlineStr"/>
      <c r="AC1189" s="2" t="inlineStr"/>
      <c r="AD1189" s="2" t="inlineStr">
        <is>
          <t>1</t>
        </is>
      </c>
      <c r="AE1189" s="2" t="inlineStr">
        <is>
          <t>24363</t>
        </is>
      </c>
      <c r="AF1189" s="2" t="inlineStr">
        <is>
          <t>https://www.parlamento.pt/OrcamentoEstado/Paginas/DetalhePropostaAlteracao.aspx?BID=24363</t>
        </is>
      </c>
      <c r="AG1189" s="2" t="inlineStr">
        <is>
          <t>https://app.parlamento.pt/webutils/docs/doc.pdf?path=6148523063484d364c793942556b356c6443397a6158526c63793959566b6c4a544556484c3039464c7a49774d6a59794d4449314d5441774f533951515338324e57466d597a4269597930335a5751334c545131596a5174595749354d6930334e4451784e57526a4e5467304d6a55756347526d&amp;Fich=65afc0bc-7ed7-45b4-ab92-74415dc58425.pdf&amp;Inline=true</t>
        </is>
      </c>
      <c r="AH1189" s="3" t="n">
        <v>46321.77847222222</v>
      </c>
      <c r="AI1189" s="3" t="n">
        <v>46321.78055555555</v>
      </c>
      <c r="AJ1189" s="2" t="inlineStr"/>
    </row>
    <row r="1190">
      <c r="A1190" s="2" t="n">
        <v>1189</v>
      </c>
      <c r="B1190" s="2" t="inlineStr">
        <is>
          <t>1123C</t>
        </is>
      </c>
      <c r="C1190" s="3" t="n">
        <v>45967.98333333333</v>
      </c>
      <c r="D1190" s="2" t="inlineStr">
        <is>
          <t>Original</t>
        </is>
      </c>
      <c r="E1190" s="2" t="inlineStr">
        <is>
          <t>CH</t>
        </is>
      </c>
      <c r="F119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90" s="2" t="inlineStr">
        <is>
          <t>Art. 109.º-A (aditamento)</t>
        </is>
      </c>
      <c r="H1190" s="2" t="n"/>
      <c r="I1190" s="2" t="n"/>
      <c r="J1190" s="2" t="n"/>
      <c r="K1190" s="2" t="n"/>
      <c r="L1190" s="2" t="inlineStr">
        <is>
          <t>Artigo 109.º-A (Alteração à Lei n.º 169/99, de 18 de setembro)</t>
        </is>
      </c>
      <c r="M1190" s="4" t="n"/>
      <c r="N1190" s="4" t="n"/>
      <c r="O1190" s="2" t="n"/>
      <c r="P1190" s="2" t="n"/>
      <c r="Q1190" s="2" t="n"/>
      <c r="R1190" s="2" t="n"/>
      <c r="S1190" s="2" t="inlineStr">
        <is>
          <t>Rejeitado(a) em Comissão</t>
        </is>
      </c>
      <c r="T1190" s="2" t="inlineStr">
        <is>
          <t>Rejeitada</t>
        </is>
      </c>
      <c r="U1190" s="2" t="inlineStr">
        <is>
          <t>Favor: CH; Contra: PSD, PS, IL, L, PCP, CDS-PP, BE, PAN</t>
        </is>
      </c>
      <c r="V1190" s="3" t="n">
        <v>45982</v>
      </c>
      <c r="W1190" s="2" t="inlineStr">
        <is>
          <t>AR: https://www.parlamento.pt/OrcamentoEstado/Paginas/DetalhePropostaAlteracao.aspx?BID=24364 PDF: https://app.parlamento.pt/webutils/docs/doc.pdf?path=6148523063484d364c793942556b356c6443397a6158526c63793959566b6c4a544556484c3039464c7a49774d6a59794d4449314d5441774f533951515338314d7a63794e4452684d43307a4d544a684c5451344e5459744f54426c4d533077593251784e6a41784f54597a4e5455756347526d&amp;Fich=537244a0-312a-4856-90e1-0cd160196355.pdf&amp;Inline=true</t>
        </is>
      </c>
      <c r="X1190" s="2" t="inlineStr">
        <is>
          <t>Reforma do Estado e Poder Local</t>
        </is>
      </c>
      <c r="Y1190" s="2" t="inlineStr">
        <is>
          <t>Articulado</t>
        </is>
      </c>
      <c r="Z1190" s="2" t="inlineStr">
        <is>
          <t>Aditamento (Artigo PPL)</t>
        </is>
      </c>
      <c r="AA1190" s="2" t="inlineStr">
        <is>
          <t>Rejeitado(a) em Comissão</t>
        </is>
      </c>
      <c r="AB1190" s="2" t="inlineStr"/>
      <c r="AC1190" s="2" t="inlineStr"/>
      <c r="AD1190" s="2" t="inlineStr">
        <is>
          <t>1</t>
        </is>
      </c>
      <c r="AE1190" s="2" t="inlineStr">
        <is>
          <t>24364</t>
        </is>
      </c>
      <c r="AF1190" s="2" t="inlineStr">
        <is>
          <t>https://www.parlamento.pt/OrcamentoEstado/Paginas/DetalhePropostaAlteracao.aspx?BID=24364</t>
        </is>
      </c>
      <c r="AG1190" s="2" t="inlineStr">
        <is>
          <t>https://app.parlamento.pt/webutils/docs/doc.pdf?path=6148523063484d364c793942556b356c6443397a6158526c63793959566b6c4a544556484c3039464c7a49774d6a59794d4449314d5441774f533951515338314d7a63794e4452684d43307a4d544a684c5451344e5459744f54426c4d533077593251784e6a41784f54597a4e5455756347526d&amp;Fich=537244a0-312a-4856-90e1-0cd160196355.pdf&amp;Inline=true</t>
        </is>
      </c>
      <c r="AH1190" s="3" t="n">
        <v>46321.77847222222</v>
      </c>
      <c r="AI1190" s="3" t="n">
        <v>46321.78055555555</v>
      </c>
      <c r="AJ1190" s="2" t="inlineStr"/>
    </row>
    <row r="1191">
      <c r="A1191" s="2" t="n">
        <v>1190</v>
      </c>
      <c r="B1191" s="2" t="inlineStr">
        <is>
          <t>1124C</t>
        </is>
      </c>
      <c r="C1191" s="3" t="n">
        <v>45967.98402777778</v>
      </c>
      <c r="D1191" s="2" t="inlineStr">
        <is>
          <t>Original</t>
        </is>
      </c>
      <c r="E1191" s="2" t="inlineStr">
        <is>
          <t>CH</t>
        </is>
      </c>
      <c r="F119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91" s="2" t="inlineStr">
        <is>
          <t>Art. 109.º-A (aditamento)</t>
        </is>
      </c>
      <c r="H1191" s="2" t="n"/>
      <c r="I1191" s="2" t="n"/>
      <c r="J1191" s="2" t="n"/>
      <c r="K1191" s="2" t="n"/>
      <c r="L1191" s="2" t="inlineStr">
        <is>
          <t>Artigo 109.º-A (Determina a Criação da Plataforma de Registo de Arrendatários Municipais (PRAM))</t>
        </is>
      </c>
      <c r="M1191" s="4" t="n"/>
      <c r="N1191" s="4" t="n"/>
      <c r="O1191" s="2" t="n"/>
      <c r="P1191" s="2" t="n"/>
      <c r="Q1191" s="2" t="n"/>
      <c r="R1191" s="2" t="n"/>
      <c r="S1191" s="2" t="inlineStr">
        <is>
          <t>Rejeitado(a) em Comissão</t>
        </is>
      </c>
      <c r="T1191" s="2" t="inlineStr">
        <is>
          <t>Rejeitada</t>
        </is>
      </c>
      <c r="U1191" s="2" t="inlineStr">
        <is>
          <t>Favor: CH; Contra: PSD, PS, L, PCP, CDS-PP, PAN; Abstenção: IL, BE</t>
        </is>
      </c>
      <c r="V1191" s="3" t="n">
        <v>45982</v>
      </c>
      <c r="W1191" s="2" t="inlineStr">
        <is>
          <t>AR: https://www.parlamento.pt/OrcamentoEstado/Paginas/DetalhePropostaAlteracao.aspx?BID=24365 PDF: https://app.parlamento.pt/webutils/docs/doc.pdf?path=6148523063484d364c793942556b356c6443397a6158526c63793959566b6c4a544556484c3039464c7a49774d6a59794d4449314d5441774f533951515338794d6a566d4e544d304f4330784f4455304c545131597a59744f4746685a43303059324533596d4a684d4459304e6a55756347526d&amp;Fich=225f5348-1854-45c6-8aad-4ca7bba06465.pdf&amp;Inline=true</t>
        </is>
      </c>
      <c r="X1191" s="2" t="inlineStr">
        <is>
          <t>Reforma do Estado e Poder Local</t>
        </is>
      </c>
      <c r="Y1191" s="2" t="inlineStr">
        <is>
          <t>Articulado</t>
        </is>
      </c>
      <c r="Z1191" s="2" t="inlineStr">
        <is>
          <t>Aditamento (Artigo PPL)</t>
        </is>
      </c>
      <c r="AA1191" s="2" t="inlineStr">
        <is>
          <t>Rejeitado(a) em Comissão</t>
        </is>
      </c>
      <c r="AB1191" s="2" t="inlineStr"/>
      <c r="AC1191" s="2" t="inlineStr"/>
      <c r="AD1191" s="2" t="inlineStr">
        <is>
          <t>1</t>
        </is>
      </c>
      <c r="AE1191" s="2" t="inlineStr">
        <is>
          <t>24365</t>
        </is>
      </c>
      <c r="AF1191" s="2" t="inlineStr">
        <is>
          <t>https://www.parlamento.pt/OrcamentoEstado/Paginas/DetalhePropostaAlteracao.aspx?BID=24365</t>
        </is>
      </c>
      <c r="AG1191" s="2" t="inlineStr">
        <is>
          <t>https://app.parlamento.pt/webutils/docs/doc.pdf?path=6148523063484d364c793942556b356c6443397a6158526c63793959566b6c4a544556484c3039464c7a49774d6a59794d4449314d5441774f533951515338794d6a566d4e544d304f4330784f4455304c545131597a59744f4746685a43303059324533596d4a684d4459304e6a55756347526d&amp;Fich=225f5348-1854-45c6-8aad-4ca7bba06465.pdf&amp;Inline=true</t>
        </is>
      </c>
      <c r="AH1191" s="3" t="n">
        <v>46321.77847222222</v>
      </c>
      <c r="AI1191" s="3" t="n">
        <v>46321.78055555555</v>
      </c>
      <c r="AJ1191" s="2" t="inlineStr"/>
    </row>
    <row r="1192">
      <c r="A1192" s="2" t="n">
        <v>1191</v>
      </c>
      <c r="B1192" s="2" t="inlineStr">
        <is>
          <t>1125C</t>
        </is>
      </c>
      <c r="C1192" s="3" t="n">
        <v>45967.98541666667</v>
      </c>
      <c r="D1192" s="2" t="inlineStr">
        <is>
          <t>Original</t>
        </is>
      </c>
      <c r="E1192" s="2" t="inlineStr">
        <is>
          <t>CH</t>
        </is>
      </c>
      <c r="F119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92" s="2" t="inlineStr">
        <is>
          <t>Art. 113.º-A (aditamento)</t>
        </is>
      </c>
      <c r="H1192" s="2" t="n"/>
      <c r="I1192" s="2" t="n"/>
      <c r="J1192" s="2" t="n"/>
      <c r="K1192" s="2" t="n"/>
      <c r="L1192" s="2" t="inlineStr">
        <is>
          <t>Artigo 113.º-A (Reforço das verbas para reabilitação das instalações das Forças de Segurança)</t>
        </is>
      </c>
      <c r="M1192" s="4" t="n"/>
      <c r="N1192" s="4" t="n"/>
      <c r="O1192" s="2" t="n"/>
      <c r="P1192" s="2" t="n"/>
      <c r="Q1192" s="2" t="n"/>
      <c r="R1192" s="2" t="n"/>
      <c r="S1192" s="2" t="inlineStr">
        <is>
          <t>Rejeitado(a) em Comissão</t>
        </is>
      </c>
      <c r="T1192" s="2" t="inlineStr">
        <is>
          <t>Rejeitada</t>
        </is>
      </c>
      <c r="U1192" s="2" t="inlineStr">
        <is>
          <t>Favor: CH, BE, PAN; Contra: PSD, CDS-PP; Abstenção: PS, IL, L, PCP</t>
        </is>
      </c>
      <c r="V1192" s="3" t="n">
        <v>45985</v>
      </c>
      <c r="W1192" s="2" t="inlineStr">
        <is>
          <t>AR: https://www.parlamento.pt/OrcamentoEstado/Paginas/DetalhePropostaAlteracao.aspx?BID=24366 PDF: https://app.parlamento.pt/webutils/docs/doc.pdf?path=6148523063484d364c793942556b356c6443397a6158526c63793959566b6c4a544556484c3039464c7a49774d6a59794d4449314d5441774f5339515153396c596a557a4d4759774f43316b59574d334c54526d59325574596a686a4e79316a4d54526c4e6a68684e6a4e69595755756347526d&amp;Fich=eb530f08-dac7-4fce-b8c7-c14e68a63bae.pdf&amp;Inline=true</t>
        </is>
      </c>
      <c r="X1192" s="2" t="inlineStr">
        <is>
          <t>Assuntos Constitucionais, Direitos, Liberdades e Garantias</t>
        </is>
      </c>
      <c r="Y1192" s="2" t="inlineStr">
        <is>
          <t>Articulado</t>
        </is>
      </c>
      <c r="Z1192" s="2" t="inlineStr">
        <is>
          <t>Aditamento (Artigo PPL)</t>
        </is>
      </c>
      <c r="AA1192" s="2" t="inlineStr">
        <is>
          <t>Rejeitado(a) em Comissão</t>
        </is>
      </c>
      <c r="AB1192" s="2" t="inlineStr"/>
      <c r="AC1192" s="2" t="inlineStr"/>
      <c r="AD1192" s="2" t="inlineStr">
        <is>
          <t>1</t>
        </is>
      </c>
      <c r="AE1192" s="2" t="inlineStr">
        <is>
          <t>24366</t>
        </is>
      </c>
      <c r="AF1192" s="2" t="inlineStr">
        <is>
          <t>https://www.parlamento.pt/OrcamentoEstado/Paginas/DetalhePropostaAlteracao.aspx?BID=24366</t>
        </is>
      </c>
      <c r="AG1192" s="2" t="inlineStr">
        <is>
          <t>https://app.parlamento.pt/webutils/docs/doc.pdf?path=6148523063484d364c793942556b356c6443397a6158526c63793959566b6c4a544556484c3039464c7a49774d6a59794d4449314d5441774f5339515153396c596a557a4d4759774f43316b59574d334c54526d59325574596a686a4e79316a4d54526c4e6a68684e6a4e69595755756347526d&amp;Fich=eb530f08-dac7-4fce-b8c7-c14e68a63bae.pdf&amp;Inline=true</t>
        </is>
      </c>
      <c r="AH1192" s="3" t="n">
        <v>46321.77847222222</v>
      </c>
      <c r="AI1192" s="3" t="n">
        <v>46321.78055555555</v>
      </c>
      <c r="AJ1192" s="2" t="inlineStr"/>
    </row>
    <row r="1193">
      <c r="A1193" s="2" t="n">
        <v>1192</v>
      </c>
      <c r="B1193" s="2" t="inlineStr">
        <is>
          <t>1126C</t>
        </is>
      </c>
      <c r="C1193" s="3" t="n">
        <v>45967.98611111111</v>
      </c>
      <c r="D1193" s="2" t="inlineStr">
        <is>
          <t>Original</t>
        </is>
      </c>
      <c r="E1193" s="2" t="inlineStr">
        <is>
          <t>CH</t>
        </is>
      </c>
      <c r="F119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93" s="2" t="inlineStr">
        <is>
          <t>Art. 113.º-A (aditamento)</t>
        </is>
      </c>
      <c r="H1193" s="2" t="n"/>
      <c r="I1193" s="2" t="n"/>
      <c r="J1193" s="2" t="n"/>
      <c r="K1193" s="2" t="n"/>
      <c r="L1193" s="2" t="inlineStr">
        <is>
          <t>Artigo 113.º-A (Requalificação de esquadras policiais das Regiões autónomas da Madeira e Açores)</t>
        </is>
      </c>
      <c r="M1193" s="4" t="n"/>
      <c r="N1193" s="4" t="n"/>
      <c r="O1193" s="2" t="n"/>
      <c r="P1193" s="2" t="n"/>
      <c r="Q1193" s="2" t="n"/>
      <c r="R1193" s="2" t="n"/>
      <c r="S1193" s="2" t="inlineStr">
        <is>
          <t>Aprovado(a) Parcialmente em Comissão</t>
        </is>
      </c>
      <c r="T1193" s="2" t="inlineStr">
        <is>
          <t>Aprovada parcialmente</t>
        </is>
      </c>
      <c r="U1193" s="2" t="inlineStr">
        <is>
          <t>Favor: CH, PS, BE, PAN; Abstenção: PSD, IL, L, PCP, CDS-PP</t>
        </is>
      </c>
      <c r="V1193" s="3" t="n">
        <v>45985</v>
      </c>
      <c r="W1193" s="2" t="inlineStr">
        <is>
          <t>AR: https://www.parlamento.pt/OrcamentoEstado/Paginas/DetalhePropostaAlteracao.aspx?BID=24367 PDF: https://app.parlamento.pt/webutils/docs/doc.pdf?path=6148523063484d364c793942556b356c6443397a6158526c63793959566b6c4a544556484c3039464c7a49774d6a59794d4449314d5441774f533951515338304e5755314f446b7859793078597a426b4c5451314f444174596a64695a53316a5a4749354e54466c4e5751344d5463756347526d&amp;Fich=45e5891c-1c0d-4580-b7be-cdb951e5d817.pdf&amp;Inline=true</t>
        </is>
      </c>
      <c r="X1193" s="2" t="inlineStr">
        <is>
          <t>Assuntos Constitucionais, Direitos, Liberdades e Garantias</t>
        </is>
      </c>
      <c r="Y1193" s="2" t="inlineStr">
        <is>
          <t>Articulado</t>
        </is>
      </c>
      <c r="Z1193" s="2" t="inlineStr">
        <is>
          <t>Aditamento (Artigo PPL)</t>
        </is>
      </c>
      <c r="AA1193" s="2" t="inlineStr">
        <is>
          <t>Aprovado(a) Parcialmente em Comissão</t>
        </is>
      </c>
      <c r="AB1193" s="2" t="inlineStr"/>
      <c r="AC1193" s="2" t="inlineStr"/>
      <c r="AD1193" s="2" t="inlineStr">
        <is>
          <t>1</t>
        </is>
      </c>
      <c r="AE1193" s="2" t="inlineStr">
        <is>
          <t>24367</t>
        </is>
      </c>
      <c r="AF1193" s="2" t="inlineStr">
        <is>
          <t>https://www.parlamento.pt/OrcamentoEstado/Paginas/DetalhePropostaAlteracao.aspx?BID=24367</t>
        </is>
      </c>
      <c r="AG1193" s="2" t="inlineStr">
        <is>
          <t>https://app.parlamento.pt/webutils/docs/doc.pdf?path=6148523063484d364c793942556b356c6443397a6158526c63793959566b6c4a544556484c3039464c7a49774d6a59794d4449314d5441774f533951515338304e5755314f446b7859793078597a426b4c5451314f444174596a64695a53316a5a4749354e54466c4e5751344d5463756347526d&amp;Fich=45e5891c-1c0d-4580-b7be-cdb951e5d817.pdf&amp;Inline=true</t>
        </is>
      </c>
      <c r="AH1193" s="3" t="n">
        <v>46321.77847222222</v>
      </c>
      <c r="AI1193" s="3" t="n">
        <v>46321.78055555555</v>
      </c>
      <c r="AJ1193" s="2" t="inlineStr"/>
    </row>
    <row r="1194">
      <c r="A1194" s="2" t="n">
        <v>1193</v>
      </c>
      <c r="B1194" s="2" t="inlineStr">
        <is>
          <t>1127C</t>
        </is>
      </c>
      <c r="C1194" s="3" t="n">
        <v>45967.98611111111</v>
      </c>
      <c r="D1194" s="2" t="inlineStr">
        <is>
          <t>Original</t>
        </is>
      </c>
      <c r="E1194" s="2" t="inlineStr">
        <is>
          <t>CH</t>
        </is>
      </c>
      <c r="F119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94" s="2" t="inlineStr">
        <is>
          <t>Art. 136.º-A (aditamento)</t>
        </is>
      </c>
      <c r="H1194" s="2" t="n"/>
      <c r="I1194" s="2" t="n"/>
      <c r="J1194" s="2" t="n"/>
      <c r="K1194" s="2" t="n"/>
      <c r="L1194" s="2" t="inlineStr">
        <is>
          <t>Artigo 136.º-A (Equipara o subsídio de alimentação entre trabalhadores dos Serviços Periféricos Externos do Ministério dos Negócios Estrangeiros e restante pessoal da Administração Pública)</t>
        </is>
      </c>
      <c r="M1194" s="4" t="n"/>
      <c r="N1194" s="4" t="n"/>
      <c r="O1194" s="2" t="n"/>
      <c r="P1194" s="2" t="n"/>
      <c r="Q1194" s="2" t="n"/>
      <c r="R1194" s="2" t="n"/>
      <c r="S1194" s="2" t="inlineStr">
        <is>
          <t>Rejeitado(a) em Comissão</t>
        </is>
      </c>
      <c r="T1194" s="2" t="inlineStr">
        <is>
          <t>Rejeitada</t>
        </is>
      </c>
      <c r="U1194" s="2" t="inlineStr">
        <is>
          <t>Favor: CH, IL, BE, PAN; Contra: PSD, CDS-PP; Abstenção: PS, L, PCP</t>
        </is>
      </c>
      <c r="V1194" s="3" t="n">
        <v>45987</v>
      </c>
      <c r="W1194" s="2" t="inlineStr">
        <is>
          <t>AR: https://www.parlamento.pt/OrcamentoEstado/Paginas/DetalhePropostaAlteracao.aspx?BID=24368 PDF: https://app.parlamento.pt/webutils/docs/doc.pdf?path=6148523063484d364c793942556b356c6443397a6158526c63793959566b6c4a544556484c3039464c7a49774d6a59794d4449314d5441774f533951515338794f4759784d6d5a6a4f5331695a5451774c5451794d4445744f5749774d6930784e574a6b4d446b314e6a49784d3255756347526d&amp;Fich=28f12fc9-be40-4201-9b02-15bd0956213e.pdf&amp;Inline=true</t>
        </is>
      </c>
      <c r="X1194" s="2" t="inlineStr">
        <is>
          <t>Negócios Estrangeiros e Comunidades Portuguesas</t>
        </is>
      </c>
      <c r="Y1194" s="2" t="inlineStr">
        <is>
          <t>Articulado</t>
        </is>
      </c>
      <c r="Z1194" s="2" t="inlineStr">
        <is>
          <t>Aditamento (Artigo PPL)</t>
        </is>
      </c>
      <c r="AA1194" s="2" t="inlineStr">
        <is>
          <t>Rejeitado(a) em Comissão</t>
        </is>
      </c>
      <c r="AB1194" s="2" t="inlineStr"/>
      <c r="AC1194" s="2" t="inlineStr"/>
      <c r="AD1194" s="2" t="inlineStr">
        <is>
          <t>1</t>
        </is>
      </c>
      <c r="AE1194" s="2" t="inlineStr">
        <is>
          <t>24368</t>
        </is>
      </c>
      <c r="AF1194" s="2" t="inlineStr">
        <is>
          <t>https://www.parlamento.pt/OrcamentoEstado/Paginas/DetalhePropostaAlteracao.aspx?BID=24368</t>
        </is>
      </c>
      <c r="AG1194" s="2" t="inlineStr">
        <is>
          <t>https://app.parlamento.pt/webutils/docs/doc.pdf?path=6148523063484d364c793942556b356c6443397a6158526c63793959566b6c4a544556484c3039464c7a49774d6a59794d4449314d5441774f533951515338794f4759784d6d5a6a4f5331695a5451774c5451794d4445744f5749774d6930784e574a6b4d446b314e6a49784d3255756347526d&amp;Fich=28f12fc9-be40-4201-9b02-15bd0956213e.pdf&amp;Inline=true</t>
        </is>
      </c>
      <c r="AH1194" s="3" t="n">
        <v>46321.77847222222</v>
      </c>
      <c r="AI1194" s="3" t="n">
        <v>46321.78055555555</v>
      </c>
      <c r="AJ1194" s="2" t="inlineStr"/>
    </row>
    <row r="1195">
      <c r="A1195" s="2" t="n">
        <v>1194</v>
      </c>
      <c r="B1195" s="2" t="inlineStr">
        <is>
          <t>1128C</t>
        </is>
      </c>
      <c r="C1195" s="3" t="n">
        <v>45967.98680555556</v>
      </c>
      <c r="D1195" s="2" t="inlineStr">
        <is>
          <t>Original</t>
        </is>
      </c>
      <c r="E1195" s="2" t="inlineStr">
        <is>
          <t>CH</t>
        </is>
      </c>
      <c r="F119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95" s="2" t="inlineStr">
        <is>
          <t>Art. 115.º-A (aditamento)</t>
        </is>
      </c>
      <c r="H1195" s="2" t="n"/>
      <c r="I1195" s="2" t="n"/>
      <c r="J1195" s="2" t="n"/>
      <c r="K1195" s="2" t="n"/>
      <c r="L1195" s="2" t="inlineStr">
        <is>
          <t>Artigo 115.º-A (Alteração ao Decreto-Lei n.º115/2018, de 21 de dezembro)</t>
        </is>
      </c>
      <c r="M1195" s="4" t="n"/>
      <c r="N1195" s="4" t="n"/>
      <c r="O1195" s="2" t="n"/>
      <c r="P1195" s="2" t="n"/>
      <c r="Q1195" s="2" t="n"/>
      <c r="R1195" s="2" t="n"/>
      <c r="S1195" s="2" t="inlineStr">
        <is>
          <t>Rejeitado(a) em Comissão</t>
        </is>
      </c>
      <c r="T1195" s="2" t="inlineStr">
        <is>
          <t>Rejeitada</t>
        </is>
      </c>
      <c r="U1195" s="2" t="inlineStr">
        <is>
          <t>Favor: CH, BE, PAN; Contra: PSD, CDS-PP; Abstenção: PS, IL, L, PCP</t>
        </is>
      </c>
      <c r="V1195" s="3" t="n">
        <v>45985</v>
      </c>
      <c r="W1195" s="2" t="inlineStr">
        <is>
          <t>AR: https://www.parlamento.pt/OrcamentoEstado/Paginas/DetalhePropostaAlteracao.aspx?BID=24369 PDF: https://app.parlamento.pt/webutils/docs/doc.pdf?path=6148523063484d364c793942556b356c6443397a6158526c63793959566b6c4a544556484c3039464c7a49774d6a59794d4449314d5441774f533951515338314d6a41345a544532595330324e57466b4c545132596d55744f5751304d4330314e6a4e6a4e5745345a574532597a45756347526d&amp;Fich=5208e16a-65ad-46be-9d40-563c5a8ea6c1.pdf&amp;Inline=true</t>
        </is>
      </c>
      <c r="X1195" s="2" t="inlineStr">
        <is>
          <t>Trabalho, Segurança Social e Inclusão</t>
        </is>
      </c>
      <c r="Y1195" s="2" t="inlineStr">
        <is>
          <t>Articulado</t>
        </is>
      </c>
      <c r="Z1195" s="2" t="inlineStr">
        <is>
          <t>Aditamento (Artigo PPL)</t>
        </is>
      </c>
      <c r="AA1195" s="2" t="inlineStr">
        <is>
          <t>Rejeitado(a) em Comissão</t>
        </is>
      </c>
      <c r="AB1195" s="2" t="inlineStr"/>
      <c r="AC1195" s="2" t="inlineStr"/>
      <c r="AD1195" s="2" t="inlineStr">
        <is>
          <t>1</t>
        </is>
      </c>
      <c r="AE1195" s="2" t="inlineStr">
        <is>
          <t>24369</t>
        </is>
      </c>
      <c r="AF1195" s="2" t="inlineStr">
        <is>
          <t>https://www.parlamento.pt/OrcamentoEstado/Paginas/DetalhePropostaAlteracao.aspx?BID=24369</t>
        </is>
      </c>
      <c r="AG1195" s="2" t="inlineStr">
        <is>
          <t>https://app.parlamento.pt/webutils/docs/doc.pdf?path=6148523063484d364c793942556b356c6443397a6158526c63793959566b6c4a544556484c3039464c7a49774d6a59794d4449314d5441774f533951515338314d6a41345a544532595330324e57466b4c545132596d55744f5751304d4330314e6a4e6a4e5745345a574532597a45756347526d&amp;Fich=5208e16a-65ad-46be-9d40-563c5a8ea6c1.pdf&amp;Inline=true</t>
        </is>
      </c>
      <c r="AH1195" s="3" t="n">
        <v>46321.77847222222</v>
      </c>
      <c r="AI1195" s="3" t="n">
        <v>46321.78055555555</v>
      </c>
      <c r="AJ1195" s="2" t="inlineStr"/>
    </row>
    <row r="1196">
      <c r="A1196" s="2" t="n">
        <v>1195</v>
      </c>
      <c r="B1196" s="2" t="inlineStr">
        <is>
          <t>1129C</t>
        </is>
      </c>
      <c r="C1196" s="3" t="n">
        <v>45967.98819444444</v>
      </c>
      <c r="D1196" s="2" t="inlineStr">
        <is>
          <t>Original</t>
        </is>
      </c>
      <c r="E1196" s="2" t="inlineStr">
        <is>
          <t>CH</t>
        </is>
      </c>
      <c r="F119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96" s="2" t="inlineStr">
        <is>
          <t>Art. 136.º-A (aditamento)</t>
        </is>
      </c>
      <c r="H1196" s="2" t="n"/>
      <c r="I1196" s="2" t="n"/>
      <c r="J1196" s="2" t="n"/>
      <c r="K1196" s="2" t="n"/>
      <c r="L1196" s="2" t="inlineStr">
        <is>
          <t>Artigo 136.º-A (Concluir a construção do IP3, com perfil de autoestrada, entre Santa Comba Dão e Coimbra)</t>
        </is>
      </c>
      <c r="M1196" s="4" t="n"/>
      <c r="N1196" s="4" t="n"/>
      <c r="O1196" s="2" t="n"/>
      <c r="P1196" s="2" t="n"/>
      <c r="Q1196" s="2" t="n"/>
      <c r="R1196" s="2" t="n"/>
      <c r="S1196" s="2" t="inlineStr">
        <is>
          <t>Aprovado(a) em Comissão</t>
        </is>
      </c>
      <c r="T1196" s="2" t="inlineStr">
        <is>
          <t>Aprovada</t>
        </is>
      </c>
      <c r="U1196" s="2" t="inlineStr">
        <is>
          <t>Favor: CH, PS, BE; Contra: PSD, CDS-PP; Abstenção: IL, L, PCP, PAN</t>
        </is>
      </c>
      <c r="V1196" s="3" t="n">
        <v>45987</v>
      </c>
      <c r="W1196" s="2" t="inlineStr">
        <is>
          <t>AR: https://www.parlamento.pt/OrcamentoEstado/Paginas/DetalhePropostaAlteracao.aspx?BID=24370 PDF: https://app.parlamento.pt/webutils/docs/doc.pdf?path=6148523063484d364c793942556b356c6443397a6158526c63793959566b6c4a544556484c3039464c7a49774d6a59794d4449314d5441774f533951515338335a4463305a4752684e79307a4e47566d4c5451794f474d74596a4d784e79307a597a59794d4751784f44686b4f5751756347526d&amp;Fich=7d74dda7-34ef-428c-b317-3c620d188d9d.pdf&amp;Inline=true</t>
        </is>
      </c>
      <c r="X1196" s="2" t="inlineStr">
        <is>
          <t>Infraestruturas, Mobilidade e Habitação</t>
        </is>
      </c>
      <c r="Y1196" s="2" t="inlineStr">
        <is>
          <t>Articulado</t>
        </is>
      </c>
      <c r="Z1196" s="2" t="inlineStr">
        <is>
          <t>Aditamento (Artigo PPL)</t>
        </is>
      </c>
      <c r="AA1196" s="2" t="inlineStr">
        <is>
          <t>Aprovado(a) em Comissão</t>
        </is>
      </c>
      <c r="AB1196" s="2" t="inlineStr"/>
      <c r="AC1196" s="2" t="inlineStr"/>
      <c r="AD1196" s="2" t="inlineStr">
        <is>
          <t>1</t>
        </is>
      </c>
      <c r="AE1196" s="2" t="inlineStr">
        <is>
          <t>24370</t>
        </is>
      </c>
      <c r="AF1196" s="2" t="inlineStr">
        <is>
          <t>https://www.parlamento.pt/OrcamentoEstado/Paginas/DetalhePropostaAlteracao.aspx?BID=24370</t>
        </is>
      </c>
      <c r="AG1196" s="2" t="inlineStr">
        <is>
          <t>https://app.parlamento.pt/webutils/docs/doc.pdf?path=6148523063484d364c793942556b356c6443397a6158526c63793959566b6c4a544556484c3039464c7a49774d6a59794d4449314d5441774f533951515338335a4463305a4752684e79307a4e47566d4c5451794f474d74596a4d784e79307a597a59794d4751784f44686b4f5751756347526d&amp;Fich=7d74dda7-34ef-428c-b317-3c620d188d9d.pdf&amp;Inline=true</t>
        </is>
      </c>
      <c r="AH1196" s="3" t="n">
        <v>46321.77847222222</v>
      </c>
      <c r="AI1196" s="3" t="n">
        <v>46321.78055555555</v>
      </c>
      <c r="AJ1196" s="2" t="inlineStr"/>
    </row>
    <row r="1197">
      <c r="A1197" s="2" t="n">
        <v>1196</v>
      </c>
      <c r="B1197" s="2" t="inlineStr">
        <is>
          <t>1130C</t>
        </is>
      </c>
      <c r="C1197" s="3" t="n">
        <v>45967.98888888889</v>
      </c>
      <c r="D1197" s="2" t="inlineStr">
        <is>
          <t>Original</t>
        </is>
      </c>
      <c r="E1197" s="2" t="inlineStr">
        <is>
          <t>CH</t>
        </is>
      </c>
      <c r="F119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97" s="2" t="inlineStr">
        <is>
          <t>Art. 116.º-A (aditamento)</t>
        </is>
      </c>
      <c r="H1197" s="2" t="n"/>
      <c r="I1197" s="2" t="n"/>
      <c r="J1197" s="2" t="n"/>
      <c r="K1197" s="2" t="n"/>
      <c r="L1197" s="2" t="inlineStr">
        <is>
          <t>Artigo 116.º-A (Execução do "Projeto Tejo")</t>
        </is>
      </c>
      <c r="M1197" s="4" t="n"/>
      <c r="N1197" s="4" t="n"/>
      <c r="O1197" s="2" t="n"/>
      <c r="P1197" s="2" t="n"/>
      <c r="Q1197" s="2" t="n"/>
      <c r="R1197" s="2" t="n"/>
      <c r="S1197" s="2" t="inlineStr">
        <is>
          <t>Rejeitado(a) em Comissão</t>
        </is>
      </c>
      <c r="T1197" s="2" t="inlineStr">
        <is>
          <t>Rejeitada</t>
        </is>
      </c>
      <c r="U1197" s="2" t="inlineStr">
        <is>
          <t>Favor: CH; Contra: PSD, PS, L, CDS-PP, BE, PAN; Abstenção: IL, PCP</t>
        </is>
      </c>
      <c r="V1197" s="3" t="n">
        <v>45985</v>
      </c>
      <c r="W1197" s="2" t="inlineStr">
        <is>
          <t>AR: https://www.parlamento.pt/OrcamentoEstado/Paginas/DetalhePropostaAlteracao.aspx?BID=24371 PDF: https://app.parlamento.pt/webutils/docs/doc.pdf?path=6148523063484d364c793942556b356c6443397a6158526c63793959566b6c4a544556484c3039464c7a49774d6a59794d4449314d5441774f5339515153387a5a6d526c5a444135596930334d44426d4c5451324e7a49744f446c6c4e4331694f4749314f54526a5a544d344e3251756347526d&amp;Fich=3fded09b-700f-4672-89e4-b8b594ce387d.pdf&amp;Inline=true</t>
        </is>
      </c>
      <c r="X1197" s="2" t="inlineStr">
        <is>
          <t>Ambiente e Energia</t>
        </is>
      </c>
      <c r="Y1197" s="2" t="inlineStr">
        <is>
          <t>Articulado</t>
        </is>
      </c>
      <c r="Z1197" s="2" t="inlineStr">
        <is>
          <t>Aditamento (Artigo PPL)</t>
        </is>
      </c>
      <c r="AA1197" s="2" t="inlineStr">
        <is>
          <t>Rejeitado(a) em Comissão</t>
        </is>
      </c>
      <c r="AB1197" s="2" t="inlineStr"/>
      <c r="AC1197" s="2" t="inlineStr"/>
      <c r="AD1197" s="2" t="inlineStr">
        <is>
          <t>1</t>
        </is>
      </c>
      <c r="AE1197" s="2" t="inlineStr">
        <is>
          <t>24371</t>
        </is>
      </c>
      <c r="AF1197" s="2" t="inlineStr">
        <is>
          <t>https://www.parlamento.pt/OrcamentoEstado/Paginas/DetalhePropostaAlteracao.aspx?BID=24371</t>
        </is>
      </c>
      <c r="AG1197" s="2" t="inlineStr">
        <is>
          <t>https://app.parlamento.pt/webutils/docs/doc.pdf?path=6148523063484d364c793942556b356c6443397a6158526c63793959566b6c4a544556484c3039464c7a49774d6a59794d4449314d5441774f5339515153387a5a6d526c5a444135596930334d44426d4c5451324e7a49744f446c6c4e4331694f4749314f54526a5a544d344e3251756347526d&amp;Fich=3fded09b-700f-4672-89e4-b8b594ce387d.pdf&amp;Inline=true</t>
        </is>
      </c>
      <c r="AH1197" s="3" t="n">
        <v>46321.77847222222</v>
      </c>
      <c r="AI1197" s="3" t="n">
        <v>46321.78055555555</v>
      </c>
      <c r="AJ1197" s="2" t="inlineStr"/>
    </row>
    <row r="1198">
      <c r="A1198" s="2" t="n">
        <v>1197</v>
      </c>
      <c r="B1198" s="2" t="inlineStr">
        <is>
          <t>1131C</t>
        </is>
      </c>
      <c r="C1198" s="3" t="n">
        <v>45967.98958333334</v>
      </c>
      <c r="D1198" s="2" t="inlineStr">
        <is>
          <t>Original</t>
        </is>
      </c>
      <c r="E1198" s="2" t="inlineStr">
        <is>
          <t>CH</t>
        </is>
      </c>
      <c r="F119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198" s="2" t="inlineStr">
        <is>
          <t>Art. 117.º-A (aditamento)</t>
        </is>
      </c>
      <c r="H1198" s="2" t="n"/>
      <c r="I1198" s="2" t="n"/>
      <c r="J1198" s="2" t="n"/>
      <c r="K1198" s="2" t="n"/>
      <c r="L1198" s="2" t="inlineStr">
        <is>
          <t>Artigo 117.º-A (Atualização do valor de financiamento dos contratos de patrocínio do Ensino Artístico Especializado)</t>
        </is>
      </c>
      <c r="M1198" s="4" t="n"/>
      <c r="N1198" s="4" t="n"/>
      <c r="O1198" s="2" t="n"/>
      <c r="P1198" s="2" t="n"/>
      <c r="Q1198" s="2" t="n"/>
      <c r="R1198" s="2" t="n"/>
      <c r="S1198" s="2" t="inlineStr">
        <is>
          <t>Rejeitado(a) em Comissão</t>
        </is>
      </c>
      <c r="T1198" s="2" t="inlineStr">
        <is>
          <t>Rejeitada</t>
        </is>
      </c>
      <c r="U1198" s="2" t="inlineStr">
        <is>
          <t>Favor: CH, IL, BE, PAN; Contra: PSD, CDS-PP; Abstenção: PS, L, PCP</t>
        </is>
      </c>
      <c r="V1198" s="3" t="n">
        <v>45985</v>
      </c>
      <c r="W1198" s="2" t="inlineStr">
        <is>
          <t>AR: https://www.parlamento.pt/OrcamentoEstado/Paginas/DetalhePropostaAlteracao.aspx?BID=24372 PDF: https://app.parlamento.pt/webutils/docs/doc.pdf?path=6148523063484d364c793942556b356c6443397a6158526c63793959566b6c4a544556484c3039464c7a49774d6a59794d4449314d5441774f5339515153396a595749334f546734596930334f575a6b4c545179596a4574595749354d5330305a6d4e685a5463795a5745304f5441756347526d&amp;Fich=cab7988b-79fd-42b1-ab91-4fcae72ea490.pdf&amp;Inline=true</t>
        </is>
      </c>
      <c r="X1198" s="2" t="inlineStr">
        <is>
          <t>Educação e Ciência</t>
        </is>
      </c>
      <c r="Y1198" s="2" t="inlineStr">
        <is>
          <t>Articulado</t>
        </is>
      </c>
      <c r="Z1198" s="2" t="inlineStr">
        <is>
          <t>Aditamento (Artigo PPL)</t>
        </is>
      </c>
      <c r="AA1198" s="2" t="inlineStr">
        <is>
          <t>Rejeitado(a) em Comissão</t>
        </is>
      </c>
      <c r="AB1198" s="2" t="inlineStr"/>
      <c r="AC1198" s="2" t="inlineStr"/>
      <c r="AD1198" s="2" t="inlineStr">
        <is>
          <t>1</t>
        </is>
      </c>
      <c r="AE1198" s="2" t="inlineStr">
        <is>
          <t>24372</t>
        </is>
      </c>
      <c r="AF1198" s="2" t="inlineStr">
        <is>
          <t>https://www.parlamento.pt/OrcamentoEstado/Paginas/DetalhePropostaAlteracao.aspx?BID=24372</t>
        </is>
      </c>
      <c r="AG1198" s="2" t="inlineStr">
        <is>
          <t>https://app.parlamento.pt/webutils/docs/doc.pdf?path=6148523063484d364c793942556b356c6443397a6158526c63793959566b6c4a544556484c3039464c7a49774d6a59794d4449314d5441774f5339515153396a595749334f546734596930334f575a6b4c545179596a4574595749354d5330305a6d4e685a5463795a5745304f5441756347526d&amp;Fich=cab7988b-79fd-42b1-ab91-4fcae72ea490.pdf&amp;Inline=true</t>
        </is>
      </c>
      <c r="AH1198" s="3" t="n">
        <v>46321.77847222222</v>
      </c>
      <c r="AI1198" s="3" t="n">
        <v>46321.78055555555</v>
      </c>
      <c r="AJ1198" s="2" t="inlineStr"/>
    </row>
    <row r="1199">
      <c r="A1199" s="2" t="n">
        <v>1198</v>
      </c>
      <c r="B1199" s="2" t="inlineStr">
        <is>
          <t>1132C</t>
        </is>
      </c>
      <c r="C1199" s="3" t="n">
        <v>45967.99236111111</v>
      </c>
      <c r="D1199" s="2" t="inlineStr">
        <is>
          <t>Original</t>
        </is>
      </c>
      <c r="E1199" s="2" t="inlineStr">
        <is>
          <t>JPP</t>
        </is>
      </c>
      <c r="F1199" s="2" t="inlineStr">
        <is>
          <t>Filipe Sousa</t>
        </is>
      </c>
      <c r="G1199" s="2" t="inlineStr">
        <is>
          <t>Art. 119.º-A (aditamento)</t>
        </is>
      </c>
      <c r="H1199" s="2" t="n"/>
      <c r="I1199" s="2" t="n"/>
      <c r="J1199" s="2" t="n"/>
      <c r="K1199" s="2" t="n"/>
      <c r="L1199" s="2" t="inlineStr">
        <is>
          <t>Artigo 119.º-A (Ajustamento da grelha horária da ligação aérea Madeira–Porto Santo no âmbito da OSP)</t>
        </is>
      </c>
      <c r="M1199" s="4" t="n"/>
      <c r="N1199" s="4" t="n"/>
      <c r="O1199" s="2" t="n"/>
      <c r="P1199" s="2" t="n"/>
      <c r="Q1199" s="2" t="n"/>
      <c r="R1199" s="2" t="n"/>
      <c r="S1199" s="2" t="inlineStr">
        <is>
          <t>Rejeitado(a) em Comissão</t>
        </is>
      </c>
      <c r="T1199" s="2" t="inlineStr">
        <is>
          <t>Rejeitada</t>
        </is>
      </c>
      <c r="U1199" s="2" t="inlineStr">
        <is>
          <t>Favor: CH, L, PCP, BE, PAN; Contra: PSD, CDS-PP; Abstenção: PS, IL</t>
        </is>
      </c>
      <c r="V1199" s="3" t="n">
        <v>45985</v>
      </c>
      <c r="W1199" s="2" t="inlineStr">
        <is>
          <t>AR: https://www.parlamento.pt/OrcamentoEstado/Paginas/DetalhePropostaAlteracao.aspx?BID=24373 PDF: https://app.parlamento.pt/webutils/docs/doc.pdf?path=6148523063484d364c793942556b356c6443397a6158526c63793959566b6c4a544556484c3039464c7a49774d6a59794d4449314d5441774f533951515338314d7a45774d6a67775a6930324e4745784c54526b4d545974596a49785a53316b4d5456684e6a637a4e4463344f5759756347526d&amp;Fich=5310280f-64a1-4d16-b21e-d15a6734789f.pdf&amp;Inline=true</t>
        </is>
      </c>
      <c r="X1199" s="2" t="inlineStr">
        <is>
          <t>Infraestruturas, Mobilidade e Habitação</t>
        </is>
      </c>
      <c r="Y1199" s="2" t="inlineStr">
        <is>
          <t>Articulado</t>
        </is>
      </c>
      <c r="Z1199" s="2" t="inlineStr">
        <is>
          <t>Aditamento (Artigo PPL)</t>
        </is>
      </c>
      <c r="AA1199" s="2" t="inlineStr">
        <is>
          <t>Rejeitado(a) em Comissão</t>
        </is>
      </c>
      <c r="AB1199" s="2" t="inlineStr"/>
      <c r="AC1199" s="2" t="inlineStr"/>
      <c r="AD1199" s="2" t="inlineStr">
        <is>
          <t>1</t>
        </is>
      </c>
      <c r="AE1199" s="2" t="inlineStr">
        <is>
          <t>24373</t>
        </is>
      </c>
      <c r="AF1199" s="2" t="inlineStr">
        <is>
          <t>https://www.parlamento.pt/OrcamentoEstado/Paginas/DetalhePropostaAlteracao.aspx?BID=24373</t>
        </is>
      </c>
      <c r="AG1199" s="2" t="inlineStr">
        <is>
          <t>https://app.parlamento.pt/webutils/docs/doc.pdf?path=6148523063484d364c793942556b356c6443397a6158526c63793959566b6c4a544556484c3039464c7a49774d6a59794d4449314d5441774f533951515338314d7a45774d6a67775a6930324e4745784c54526b4d545974596a49785a53316b4d5456684e6a637a4e4463344f5759756347526d&amp;Fich=5310280f-64a1-4d16-b21e-d15a6734789f.pdf&amp;Inline=true</t>
        </is>
      </c>
      <c r="AH1199" s="3" t="n">
        <v>46321.77847222222</v>
      </c>
      <c r="AI1199" s="3" t="n">
        <v>46321.78055555555</v>
      </c>
      <c r="AJ1199" s="2" t="inlineStr"/>
    </row>
    <row r="1200">
      <c r="A1200" s="2" t="n">
        <v>1199</v>
      </c>
      <c r="B1200" s="2" t="inlineStr">
        <is>
          <t>1133C</t>
        </is>
      </c>
      <c r="C1200" s="3" t="n">
        <v>45967.99375</v>
      </c>
      <c r="D1200" s="2" t="inlineStr">
        <is>
          <t>Original</t>
        </is>
      </c>
      <c r="E1200" s="2" t="inlineStr">
        <is>
          <t>CH</t>
        </is>
      </c>
      <c r="F120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00" s="2" t="inlineStr">
        <is>
          <t>Art. 136.º-A (aditamento)</t>
        </is>
      </c>
      <c r="H1200" s="2" t="n"/>
      <c r="I1200" s="2" t="n"/>
      <c r="J1200" s="2" t="n"/>
      <c r="K1200" s="2" t="n"/>
      <c r="L1200" s="2" t="inlineStr">
        <is>
          <t>Artigo 136.º-A (Conclusão do Itinerário Principal IP 8, entre Sines – Vila Verde de Ficalho)</t>
        </is>
      </c>
      <c r="M1200" s="4" t="n"/>
      <c r="N1200" s="4" t="n"/>
      <c r="O1200" s="2" t="n"/>
      <c r="P1200" s="2" t="n"/>
      <c r="Q1200" s="2" t="n"/>
      <c r="R1200" s="2" t="n"/>
      <c r="S1200" s="2" t="inlineStr">
        <is>
          <t>Rejeitado(a) em Comissão</t>
        </is>
      </c>
      <c r="T1200" s="2" t="inlineStr">
        <is>
          <t>Rejeitada</t>
        </is>
      </c>
      <c r="U1200" s="2" t="inlineStr">
        <is>
          <t>Favor: CH, BE; Contra: PSD, CDS-PP; Abstenção: PS, IL, L, PCP, PAN</t>
        </is>
      </c>
      <c r="V1200" s="3" t="n">
        <v>45987</v>
      </c>
      <c r="W1200" s="2" t="inlineStr">
        <is>
          <t>AR: https://www.parlamento.pt/OrcamentoEstado/Paginas/DetalhePropostaAlteracao.aspx?BID=24374 PDF: https://app.parlamento.pt/webutils/docs/doc.pdf?path=6148523063484d364c793942556b356c6443397a6158526c63793959566b6c4a544556484c3039464c7a49774d6a59794d4449314d5441774f5339515153387a4e4445774d5463324d53307a4f5455794c54526c4d474974596d49334d7930334f4455314e7a637a5a6a686a4e446b756347526d&amp;Fich=34101761-3952-4e0b-bb73-7855773f8c49.pdf&amp;Inline=true</t>
        </is>
      </c>
      <c r="X1200" s="2" t="inlineStr">
        <is>
          <t>Infraestruturas, Mobilidade e Habitação</t>
        </is>
      </c>
      <c r="Y1200" s="2" t="inlineStr">
        <is>
          <t>Articulado</t>
        </is>
      </c>
      <c r="Z1200" s="2" t="inlineStr">
        <is>
          <t>Aditamento (Artigo PPL)</t>
        </is>
      </c>
      <c r="AA1200" s="2" t="inlineStr">
        <is>
          <t>Rejeitado(a) em Comissão</t>
        </is>
      </c>
      <c r="AB1200" s="2" t="inlineStr"/>
      <c r="AC1200" s="2" t="inlineStr"/>
      <c r="AD1200" s="2" t="inlineStr">
        <is>
          <t>1</t>
        </is>
      </c>
      <c r="AE1200" s="2" t="inlineStr">
        <is>
          <t>24374</t>
        </is>
      </c>
      <c r="AF1200" s="2" t="inlineStr">
        <is>
          <t>https://www.parlamento.pt/OrcamentoEstado/Paginas/DetalhePropostaAlteracao.aspx?BID=24374</t>
        </is>
      </c>
      <c r="AG1200" s="2" t="inlineStr">
        <is>
          <t>https://app.parlamento.pt/webutils/docs/doc.pdf?path=6148523063484d364c793942556b356c6443397a6158526c63793959566b6c4a544556484c3039464c7a49774d6a59794d4449314d5441774f5339515153387a4e4445774d5463324d53307a4f5455794c54526c4d474974596d49334d7930334f4455314e7a637a5a6a686a4e446b756347526d&amp;Fich=34101761-3952-4e0b-bb73-7855773f8c49.pdf&amp;Inline=true</t>
        </is>
      </c>
      <c r="AH1200" s="3" t="n">
        <v>46321.77847222222</v>
      </c>
      <c r="AI1200" s="3" t="n">
        <v>46321.78055555555</v>
      </c>
      <c r="AJ1200" s="2" t="inlineStr"/>
    </row>
    <row r="1201">
      <c r="A1201" s="2" t="n">
        <v>1200</v>
      </c>
      <c r="B1201" s="2" t="inlineStr">
        <is>
          <t>1134C</t>
        </is>
      </c>
      <c r="C1201" s="3" t="n">
        <v>45967.99583333333</v>
      </c>
      <c r="D1201" s="2" t="inlineStr">
        <is>
          <t>Original</t>
        </is>
      </c>
      <c r="E1201" s="2" t="inlineStr">
        <is>
          <t>CH</t>
        </is>
      </c>
      <c r="F120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01" s="2" t="inlineStr">
        <is>
          <t>Art. 136.º-A (aditamento)</t>
        </is>
      </c>
      <c r="H1201" s="2" t="n"/>
      <c r="I1201" s="2" t="n"/>
      <c r="J1201" s="2" t="n"/>
      <c r="K1201" s="2" t="n"/>
      <c r="L1201" s="2" t="inlineStr">
        <is>
          <t>Artigo 136.º-A (Construção da ligação rodoviária do IC31 em perfil de autoestrada entre Alcains-Castelo Branco e Termas de Monfortinho)</t>
        </is>
      </c>
      <c r="M1201" s="4" t="n"/>
      <c r="N1201" s="4" t="n"/>
      <c r="O1201" s="2" t="n"/>
      <c r="P1201" s="2" t="n"/>
      <c r="Q1201" s="2" t="n"/>
      <c r="R1201" s="2" t="n"/>
      <c r="S1201" s="2" t="inlineStr">
        <is>
          <t>Aprovado(a) em Comissão</t>
        </is>
      </c>
      <c r="T1201" s="2" t="inlineStr">
        <is>
          <t>Aprovada</t>
        </is>
      </c>
      <c r="U1201" s="2" t="inlineStr">
        <is>
          <t>Favor: CH, PS, IL, BE; Contra: PSD, CDS-PP; Abstenção: L, PCP, PAN</t>
        </is>
      </c>
      <c r="V1201" s="3" t="n">
        <v>45987</v>
      </c>
      <c r="W1201" s="2" t="inlineStr">
        <is>
          <t>AR: https://www.parlamento.pt/OrcamentoEstado/Paginas/DetalhePropostaAlteracao.aspx?BID=24375 PDF: https://app.parlamento.pt/webutils/docs/doc.pdf?path=6148523063484d364c793942556b356c6443397a6158526c63793959566b6c4a544556484c3039464c7a49774d6a59794d4449314d5441774f5339515153396a4e6a64694e6d45334f5330314e574a694c54517a5a545974595451354d79316d4d6a6b784d6d51774d7a46684e324d756347526d&amp;Fich=c67b6a79-55bb-43e6-a493-f2912d031a7c.pdf&amp;Inline=true</t>
        </is>
      </c>
      <c r="X1201" s="2" t="inlineStr">
        <is>
          <t>Infraestruturas, Mobilidade e Habitação</t>
        </is>
      </c>
      <c r="Y1201" s="2" t="inlineStr">
        <is>
          <t>Articulado</t>
        </is>
      </c>
      <c r="Z1201" s="2" t="inlineStr">
        <is>
          <t>Aditamento (Artigo PPL)</t>
        </is>
      </c>
      <c r="AA1201" s="2" t="inlineStr">
        <is>
          <t>Aprovado(a) em Comissão</t>
        </is>
      </c>
      <c r="AB1201" s="2" t="inlineStr"/>
      <c r="AC1201" s="2" t="inlineStr"/>
      <c r="AD1201" s="2" t="inlineStr">
        <is>
          <t>1</t>
        </is>
      </c>
      <c r="AE1201" s="2" t="inlineStr">
        <is>
          <t>24375</t>
        </is>
      </c>
      <c r="AF1201" s="2" t="inlineStr">
        <is>
          <t>https://www.parlamento.pt/OrcamentoEstado/Paginas/DetalhePropostaAlteracao.aspx?BID=24375</t>
        </is>
      </c>
      <c r="AG1201" s="2" t="inlineStr">
        <is>
          <t>https://app.parlamento.pt/webutils/docs/doc.pdf?path=6148523063484d364c793942556b356c6443397a6158526c63793959566b6c4a544556484c3039464c7a49774d6a59794d4449314d5441774f5339515153396a4e6a64694e6d45334f5330314e574a694c54517a5a545974595451354d79316d4d6a6b784d6d51774d7a46684e324d756347526d&amp;Fich=c67b6a79-55bb-43e6-a493-f2912d031a7c.pdf&amp;Inline=true</t>
        </is>
      </c>
      <c r="AH1201" s="3" t="n">
        <v>46321.77847222222</v>
      </c>
      <c r="AI1201" s="3" t="n">
        <v>46321.78055555555</v>
      </c>
      <c r="AJ1201" s="2" t="inlineStr"/>
    </row>
    <row r="1202">
      <c r="A1202" s="2" t="n">
        <v>1201</v>
      </c>
      <c r="B1202" s="2" t="inlineStr">
        <is>
          <t>1135C</t>
        </is>
      </c>
      <c r="C1202" s="3" t="n">
        <v>45967.99652777778</v>
      </c>
      <c r="D1202" s="2" t="inlineStr">
        <is>
          <t>Original</t>
        </is>
      </c>
      <c r="E1202" s="2" t="inlineStr">
        <is>
          <t>CH</t>
        </is>
      </c>
      <c r="F120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02" s="2" t="inlineStr">
        <is>
          <t>Art. 118.º-A (aditamento)</t>
        </is>
      </c>
      <c r="H1202" s="2" t="n"/>
      <c r="I1202" s="2" t="n"/>
      <c r="J1202" s="2" t="n"/>
      <c r="K1202" s="2" t="n"/>
      <c r="L1202" s="2" t="inlineStr">
        <is>
          <t>Artigo 118.º-A (Alargamento da gratuitidade dos manuais escolares)</t>
        </is>
      </c>
      <c r="M1202" s="4" t="n"/>
      <c r="N1202" s="4" t="n"/>
      <c r="O1202" s="2" t="n"/>
      <c r="P1202" s="2" t="n"/>
      <c r="Q1202" s="2" t="n"/>
      <c r="R1202" s="2" t="n"/>
      <c r="S1202" s="2" t="inlineStr">
        <is>
          <t>Rejeitado(a) em Comissão</t>
        </is>
      </c>
      <c r="T1202" s="2" t="inlineStr">
        <is>
          <t>Rejeitada</t>
        </is>
      </c>
      <c r="U1202" s="2" t="inlineStr">
        <is>
          <t>Favor: CH, IL, PAN; Contra: PSD, PS, L, PCP, BE; Abstenção: CDS-PP</t>
        </is>
      </c>
      <c r="V1202" s="3" t="n">
        <v>45985</v>
      </c>
      <c r="W1202" s="2" t="inlineStr">
        <is>
          <t>AR: https://www.parlamento.pt/OrcamentoEstado/Paginas/DetalhePropostaAlteracao.aspx?BID=24376 PDF: https://app.parlamento.pt/webutils/docs/doc.pdf?path=6148523063484d364c793942556b356c6443397a6158526c63793959566b6c4a544556484c3039464c7a49774d6a59794d4449314d5441774f533951515338794d574d304e7a41774d69316b5a5463304c54526c5a6a4d74596a55324d6930334d6a42684e6a6b794e324d794e474d756347526d&amp;Fich=21c47002-de74-4ef3-b562-720a6927c24c.pdf&amp;Inline=true</t>
        </is>
      </c>
      <c r="X1202" s="2" t="inlineStr">
        <is>
          <t>Educação e Ciência</t>
        </is>
      </c>
      <c r="Y1202" s="2" t="inlineStr">
        <is>
          <t>Articulado</t>
        </is>
      </c>
      <c r="Z1202" s="2" t="inlineStr">
        <is>
          <t>Aditamento (Artigo PPL)</t>
        </is>
      </c>
      <c r="AA1202" s="2" t="inlineStr">
        <is>
          <t>Rejeitado(a) em Comissão</t>
        </is>
      </c>
      <c r="AB1202" s="2" t="inlineStr"/>
      <c r="AC1202" s="2" t="inlineStr"/>
      <c r="AD1202" s="2" t="inlineStr">
        <is>
          <t>1</t>
        </is>
      </c>
      <c r="AE1202" s="2" t="inlineStr">
        <is>
          <t>24376</t>
        </is>
      </c>
      <c r="AF1202" s="2" t="inlineStr">
        <is>
          <t>https://www.parlamento.pt/OrcamentoEstado/Paginas/DetalhePropostaAlteracao.aspx?BID=24376</t>
        </is>
      </c>
      <c r="AG1202" s="2" t="inlineStr">
        <is>
          <t>https://app.parlamento.pt/webutils/docs/doc.pdf?path=6148523063484d364c793942556b356c6443397a6158526c63793959566b6c4a544556484c3039464c7a49774d6a59794d4449314d5441774f533951515338794d574d304e7a41774d69316b5a5463304c54526c5a6a4d74596a55324d6930334d6a42684e6a6b794e324d794e474d756347526d&amp;Fich=21c47002-de74-4ef3-b562-720a6927c24c.pdf&amp;Inline=true</t>
        </is>
      </c>
      <c r="AH1202" s="3" t="n">
        <v>46321.77847222222</v>
      </c>
      <c r="AI1202" s="3" t="n">
        <v>46321.78055555555</v>
      </c>
      <c r="AJ1202" s="2" t="inlineStr"/>
    </row>
    <row r="1203">
      <c r="A1203" s="2" t="n">
        <v>1202</v>
      </c>
      <c r="B1203" s="2" t="inlineStr">
        <is>
          <t>1136C</t>
        </is>
      </c>
      <c r="C1203" s="3" t="n">
        <v>45967.99791666667</v>
      </c>
      <c r="D1203" s="2" t="inlineStr">
        <is>
          <t>Original</t>
        </is>
      </c>
      <c r="E1203" s="2" t="inlineStr">
        <is>
          <t>CH</t>
        </is>
      </c>
      <c r="F120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03" s="2" t="inlineStr">
        <is>
          <t>Art. 136.º-A (aditamento)</t>
        </is>
      </c>
      <c r="H1203" s="2" t="n"/>
      <c r="I1203" s="2" t="n"/>
      <c r="J1203" s="2" t="n"/>
      <c r="K1203" s="2" t="n"/>
      <c r="L1203" s="2" t="inlineStr">
        <is>
          <t>Artigo 136.º-A (Construção da variante de Odiáxere na EN125)</t>
        </is>
      </c>
      <c r="M1203" s="4" t="n"/>
      <c r="N1203" s="4" t="n"/>
      <c r="O1203" s="2" t="n"/>
      <c r="P1203" s="2" t="n"/>
      <c r="Q1203" s="2" t="n"/>
      <c r="R1203" s="2" t="n"/>
      <c r="S1203" s="2" t="inlineStr">
        <is>
          <t>Rejeitado(a) em Comissão</t>
        </is>
      </c>
      <c r="T1203" s="2" t="inlineStr">
        <is>
          <t>Rejeitada</t>
        </is>
      </c>
      <c r="U1203" s="2" t="inlineStr">
        <is>
          <t>Favor: CH, BE; Contra: PSD, CDS-PP; Abstenção: PS, IL, L, PCP, PAN</t>
        </is>
      </c>
      <c r="V1203" s="3" t="n">
        <v>45987</v>
      </c>
      <c r="W1203" s="2" t="inlineStr">
        <is>
          <t>AR: https://www.parlamento.pt/OrcamentoEstado/Paginas/DetalhePropostaAlteracao.aspx?BID=24377 PDF: https://app.parlamento.pt/webutils/docs/doc.pdf?path=6148523063484d364c793942556b356c6443397a6158526c63793959566b6c4a544556484c3039464c7a49774d6a59794d4449314d5441774f533951515338304d574a694f4463304d79307a4e6d5a694c5451355a444d74595452685a6930315a4455784e54466a596a677a5a5441756347526d&amp;Fich=41bb8743-36fb-49d3-a4af-5d5151cb83e0.pdf&amp;Inline=true</t>
        </is>
      </c>
      <c r="X1203" s="2" t="inlineStr">
        <is>
          <t>Infraestruturas, Mobilidade e Habitação</t>
        </is>
      </c>
      <c r="Y1203" s="2" t="inlineStr">
        <is>
          <t>Articulado</t>
        </is>
      </c>
      <c r="Z1203" s="2" t="inlineStr">
        <is>
          <t>Aditamento (Artigo PPL)</t>
        </is>
      </c>
      <c r="AA1203" s="2" t="inlineStr">
        <is>
          <t>Rejeitado(a) em Comissão</t>
        </is>
      </c>
      <c r="AB1203" s="2" t="inlineStr"/>
      <c r="AC1203" s="2" t="inlineStr"/>
      <c r="AD1203" s="2" t="inlineStr">
        <is>
          <t>1</t>
        </is>
      </c>
      <c r="AE1203" s="2" t="inlineStr">
        <is>
          <t>24377</t>
        </is>
      </c>
      <c r="AF1203" s="2" t="inlineStr">
        <is>
          <t>https://www.parlamento.pt/OrcamentoEstado/Paginas/DetalhePropostaAlteracao.aspx?BID=24377</t>
        </is>
      </c>
      <c r="AG1203" s="2" t="inlineStr">
        <is>
          <t>https://app.parlamento.pt/webutils/docs/doc.pdf?path=6148523063484d364c793942556b356c6443397a6158526c63793959566b6c4a544556484c3039464c7a49774d6a59794d4449314d5441774f533951515338304d574a694f4463304d79307a4e6d5a694c5451355a444d74595452685a6930315a4455784e54466a596a677a5a5441756347526d&amp;Fich=41bb8743-36fb-49d3-a4af-5d5151cb83e0.pdf&amp;Inline=true</t>
        </is>
      </c>
      <c r="AH1203" s="3" t="n">
        <v>46321.77847222222</v>
      </c>
      <c r="AI1203" s="3" t="n">
        <v>46321.78055555555</v>
      </c>
      <c r="AJ1203" s="2" t="inlineStr"/>
    </row>
    <row r="1204">
      <c r="A1204" s="2" t="n">
        <v>1203</v>
      </c>
      <c r="B1204" s="2" t="inlineStr">
        <is>
          <t>1137C</t>
        </is>
      </c>
      <c r="C1204" s="3" t="n">
        <v>45967.99791666667</v>
      </c>
      <c r="D1204" s="2" t="inlineStr">
        <is>
          <t>Original</t>
        </is>
      </c>
      <c r="E1204" s="2" t="inlineStr">
        <is>
          <t>CH</t>
        </is>
      </c>
      <c r="F120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04" s="2" t="inlineStr">
        <is>
          <t>Art. 118.º-A (aditamento)</t>
        </is>
      </c>
      <c r="H1204" s="2" t="n"/>
      <c r="I1204" s="2" t="n"/>
      <c r="J1204" s="2" t="n"/>
      <c r="K1204" s="2" t="n"/>
      <c r="L1204" s="2" t="inlineStr">
        <is>
          <t>Artigo 118.º-A (Criação de uma rede de acesso a apoio psicológico para docentes)</t>
        </is>
      </c>
      <c r="M1204" s="4" t="n"/>
      <c r="N1204" s="4" t="n"/>
      <c r="O1204" s="2" t="n"/>
      <c r="P1204" s="2" t="n"/>
      <c r="Q1204" s="2" t="n"/>
      <c r="R1204" s="2" t="n"/>
      <c r="S1204" s="2" t="inlineStr">
        <is>
          <t>Rejeitado(a) em Comissão</t>
        </is>
      </c>
      <c r="T1204" s="2" t="inlineStr">
        <is>
          <t>Rejeitada</t>
        </is>
      </c>
      <c r="U1204" s="2" t="inlineStr">
        <is>
          <t>Favor: CH, IL, BE, PAN; Contra: PSD, CDS-PP; Abstenção: PS, L, PCP</t>
        </is>
      </c>
      <c r="V1204" s="3" t="n">
        <v>45985</v>
      </c>
      <c r="W1204" s="2" t="inlineStr">
        <is>
          <t>AR: https://www.parlamento.pt/OrcamentoEstado/Paginas/DetalhePropostaAlteracao.aspx?BID=24378 PDF: https://app.parlamento.pt/webutils/docs/doc.pdf?path=6148523063484d364c793942556b356c6443397a6158526c63793959566b6c4a544556484c3039464c7a49774d6a59794d4449314d5441774f533951515338344d7a4d324e4455344d5330774d7a566c4c54526c4d3245744f545533595330355a4451355a4752694e324932596a59756347526d&amp;Fich=83364581-035e-4e3a-957a-9d49ddb7b6b6.pdf&amp;Inline=true</t>
        </is>
      </c>
      <c r="X1204" s="2" t="inlineStr">
        <is>
          <t>Educação e Ciência</t>
        </is>
      </c>
      <c r="Y1204" s="2" t="inlineStr">
        <is>
          <t>Articulado</t>
        </is>
      </c>
      <c r="Z1204" s="2" t="inlineStr">
        <is>
          <t>Aditamento (Artigo PPL)</t>
        </is>
      </c>
      <c r="AA1204" s="2" t="inlineStr">
        <is>
          <t>Rejeitado(a) em Comissão</t>
        </is>
      </c>
      <c r="AB1204" s="2" t="inlineStr"/>
      <c r="AC1204" s="2" t="inlineStr"/>
      <c r="AD1204" s="2" t="inlineStr">
        <is>
          <t>1</t>
        </is>
      </c>
      <c r="AE1204" s="2" t="inlineStr">
        <is>
          <t>24378</t>
        </is>
      </c>
      <c r="AF1204" s="2" t="inlineStr">
        <is>
          <t>https://www.parlamento.pt/OrcamentoEstado/Paginas/DetalhePropostaAlteracao.aspx?BID=24378</t>
        </is>
      </c>
      <c r="AG1204" s="2" t="inlineStr">
        <is>
          <t>https://app.parlamento.pt/webutils/docs/doc.pdf?path=6148523063484d364c793942556b356c6443397a6158526c63793959566b6c4a544556484c3039464c7a49774d6a59794d4449314d5441774f533951515338344d7a4d324e4455344d5330774d7a566c4c54526c4d3245744f545533595330355a4451355a4752694e324932596a59756347526d&amp;Fich=83364581-035e-4e3a-957a-9d49ddb7b6b6.pdf&amp;Inline=true</t>
        </is>
      </c>
      <c r="AH1204" s="3" t="n">
        <v>46321.77847222222</v>
      </c>
      <c r="AI1204" s="3" t="n">
        <v>46321.78055555555</v>
      </c>
      <c r="AJ1204" s="2" t="inlineStr"/>
    </row>
    <row r="1205">
      <c r="A1205" s="2" t="n">
        <v>1204</v>
      </c>
      <c r="B1205" s="2" t="inlineStr">
        <is>
          <t>1138C</t>
        </is>
      </c>
      <c r="C1205" s="3" t="n">
        <v>45967.99930555555</v>
      </c>
      <c r="D1205" s="2" t="inlineStr">
        <is>
          <t>Original</t>
        </is>
      </c>
      <c r="E1205" s="2" t="inlineStr">
        <is>
          <t>CH</t>
        </is>
      </c>
      <c r="F120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05" s="2" t="inlineStr">
        <is>
          <t>Art. 136.º-A (aditamento)</t>
        </is>
      </c>
      <c r="H1205" s="2" t="n"/>
      <c r="I1205" s="2" t="n"/>
      <c r="J1205" s="2" t="n"/>
      <c r="K1205" s="2" t="n"/>
      <c r="L1205" s="2" t="inlineStr">
        <is>
          <t>Artigo 136.º-A (Construção da variante ferroviária de Santarém)</t>
        </is>
      </c>
      <c r="M1205" s="4" t="n"/>
      <c r="N1205" s="4" t="n"/>
      <c r="O1205" s="2" t="n"/>
      <c r="P1205" s="2" t="n"/>
      <c r="Q1205" s="2" t="n"/>
      <c r="R1205" s="2" t="n"/>
      <c r="S1205" s="2" t="inlineStr">
        <is>
          <t>Rejeitado(a) em Comissão</t>
        </is>
      </c>
      <c r="T1205" s="2" t="inlineStr">
        <is>
          <t>Rejeitada</t>
        </is>
      </c>
      <c r="U1205" s="2" t="inlineStr">
        <is>
          <t>Favor: CH, BE; Contra: PSD, CDS-PP; Abstenção: PS, IL, L, PCP, PAN</t>
        </is>
      </c>
      <c r="V1205" s="3" t="n">
        <v>45987</v>
      </c>
      <c r="W1205" s="2" t="inlineStr">
        <is>
          <t>AR: https://www.parlamento.pt/OrcamentoEstado/Paginas/DetalhePropostaAlteracao.aspx?BID=24379 PDF: https://app.parlamento.pt/webutils/docs/doc.pdf?path=6148523063484d364c793942556b356c6443397a6158526c63793959566b6c4a544556484c3039464c7a49774d6a59794d4449314d5441774f533951515339684f54466c5a5746684e53316c5a44466b4c5451354e6a6374596a4d354d79303559325a6a593259304e44686d595441756347526d&amp;Fich=a91eeaa5-ed1d-4967-b393-9cfccf448fa0.pdf&amp;Inline=true</t>
        </is>
      </c>
      <c r="X1205" s="2" t="inlineStr">
        <is>
          <t>Infraestruturas, Mobilidade e Habitação</t>
        </is>
      </c>
      <c r="Y1205" s="2" t="inlineStr">
        <is>
          <t>Articulado</t>
        </is>
      </c>
      <c r="Z1205" s="2" t="inlineStr">
        <is>
          <t>Aditamento (Artigo PPL)</t>
        </is>
      </c>
      <c r="AA1205" s="2" t="inlineStr">
        <is>
          <t>Rejeitado(a) em Comissão</t>
        </is>
      </c>
      <c r="AB1205" s="2" t="inlineStr"/>
      <c r="AC1205" s="2" t="inlineStr"/>
      <c r="AD1205" s="2" t="inlineStr">
        <is>
          <t>1</t>
        </is>
      </c>
      <c r="AE1205" s="2" t="inlineStr">
        <is>
          <t>24379</t>
        </is>
      </c>
      <c r="AF1205" s="2" t="inlineStr">
        <is>
          <t>https://www.parlamento.pt/OrcamentoEstado/Paginas/DetalhePropostaAlteracao.aspx?BID=24379</t>
        </is>
      </c>
      <c r="AG1205" s="2" t="inlineStr">
        <is>
          <t>https://app.parlamento.pt/webutils/docs/doc.pdf?path=6148523063484d364c793942556b356c6443397a6158526c63793959566b6c4a544556484c3039464c7a49774d6a59794d4449314d5441774f533951515339684f54466c5a5746684e53316c5a44466b4c5451354e6a6374596a4d354d79303559325a6a593259304e44686d595441756347526d&amp;Fich=a91eeaa5-ed1d-4967-b393-9cfccf448fa0.pdf&amp;Inline=true</t>
        </is>
      </c>
      <c r="AH1205" s="3" t="n">
        <v>46321.77847222222</v>
      </c>
      <c r="AI1205" s="3" t="n">
        <v>46321.78055555555</v>
      </c>
      <c r="AJ1205" s="2" t="inlineStr"/>
    </row>
    <row r="1206">
      <c r="A1206" s="2" t="n">
        <v>1205</v>
      </c>
      <c r="B1206" s="2" t="inlineStr">
        <is>
          <t>1139C</t>
        </is>
      </c>
      <c r="C1206" s="3" t="n">
        <v>45968.00069444445</v>
      </c>
      <c r="D1206" s="2" t="inlineStr">
        <is>
          <t>Original</t>
        </is>
      </c>
      <c r="E1206" s="2" t="inlineStr">
        <is>
          <t>CH</t>
        </is>
      </c>
      <c r="F120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06" s="2" t="inlineStr">
        <is>
          <t>Art. 136.º-A (aditamento)</t>
        </is>
      </c>
      <c r="H1206" s="2" t="n"/>
      <c r="I1206" s="2" t="n"/>
      <c r="J1206" s="2" t="n"/>
      <c r="K1206" s="2" t="n"/>
      <c r="L1206" s="2" t="inlineStr">
        <is>
          <t>Artigo 136.º-A (Construção das variantes para E.N. 101 e E.N. 205)</t>
        </is>
      </c>
      <c r="M1206" s="4" t="n"/>
      <c r="N1206" s="4" t="n"/>
      <c r="O1206" s="2" t="n"/>
      <c r="P1206" s="2" t="n"/>
      <c r="Q1206" s="2" t="n"/>
      <c r="R1206" s="2" t="n"/>
      <c r="S1206" s="2" t="inlineStr">
        <is>
          <t>Rejeitado(a) em Comissão</t>
        </is>
      </c>
      <c r="T1206" s="2" t="inlineStr">
        <is>
          <t>Rejeitada</t>
        </is>
      </c>
      <c r="U1206" s="2" t="inlineStr">
        <is>
          <t>Favor: CH, BE; Contra: PSD, CDS-PP; Abstenção: PS, IL, L, PCP, PAN</t>
        </is>
      </c>
      <c r="V1206" s="3" t="n">
        <v>45987</v>
      </c>
      <c r="W1206" s="2" t="inlineStr">
        <is>
          <t>AR: https://www.parlamento.pt/OrcamentoEstado/Paginas/DetalhePropostaAlteracao.aspx?BID=24380 PDF: https://app.parlamento.pt/webutils/docs/doc.pdf?path=6148523063484d364c793942556b356c6443397a6158526c63793959566b6c4a544556484c3039464c7a49774d6a59794d4449314d5441774f533951515338775a6a4d794e546730597930774d6a52694c5451314d57597459574d334f53307a4f5449334e5459314d546c69596a49756347526d&amp;Fich=0f32584c-024b-451f-ac79-392756519bb2.pdf&amp;Inline=true</t>
        </is>
      </c>
      <c r="X1206" s="2" t="inlineStr">
        <is>
          <t>Infraestruturas, Mobilidade e Habitação</t>
        </is>
      </c>
      <c r="Y1206" s="2" t="inlineStr">
        <is>
          <t>Articulado</t>
        </is>
      </c>
      <c r="Z1206" s="2" t="inlineStr">
        <is>
          <t>Aditamento (Artigo PPL)</t>
        </is>
      </c>
      <c r="AA1206" s="2" t="inlineStr">
        <is>
          <t>Rejeitado(a) em Comissão</t>
        </is>
      </c>
      <c r="AB1206" s="2" t="inlineStr"/>
      <c r="AC1206" s="2" t="inlineStr"/>
      <c r="AD1206" s="2" t="inlineStr">
        <is>
          <t>1</t>
        </is>
      </c>
      <c r="AE1206" s="2" t="inlineStr">
        <is>
          <t>24380</t>
        </is>
      </c>
      <c r="AF1206" s="2" t="inlineStr">
        <is>
          <t>https://www.parlamento.pt/OrcamentoEstado/Paginas/DetalhePropostaAlteracao.aspx?BID=24380</t>
        </is>
      </c>
      <c r="AG1206" s="2" t="inlineStr">
        <is>
          <t>https://app.parlamento.pt/webutils/docs/doc.pdf?path=6148523063484d364c793942556b356c6443397a6158526c63793959566b6c4a544556484c3039464c7a49774d6a59794d4449314d5441774f533951515338775a6a4d794e546730597930774d6a52694c5451314d57597459574d334f53307a4f5449334e5459314d546c69596a49756347526d&amp;Fich=0f32584c-024b-451f-ac79-392756519bb2.pdf&amp;Inline=true</t>
        </is>
      </c>
      <c r="AH1206" s="3" t="n">
        <v>46321.77847222222</v>
      </c>
      <c r="AI1206" s="3" t="n">
        <v>46321.78055555555</v>
      </c>
      <c r="AJ1206" s="2" t="inlineStr"/>
    </row>
    <row r="1207">
      <c r="A1207" s="2" t="n">
        <v>1206</v>
      </c>
      <c r="B1207" s="2" t="inlineStr">
        <is>
          <t>1140C</t>
        </is>
      </c>
      <c r="C1207" s="3" t="n">
        <v>45968.00138888889</v>
      </c>
      <c r="D1207" s="2" t="inlineStr">
        <is>
          <t>Original</t>
        </is>
      </c>
      <c r="E1207" s="2" t="inlineStr">
        <is>
          <t>CH</t>
        </is>
      </c>
      <c r="F120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07" s="2" t="inlineStr">
        <is>
          <t>Art. 119.º-A (aditamento)</t>
        </is>
      </c>
      <c r="H1207" s="2" t="n"/>
      <c r="I1207" s="2" t="n"/>
      <c r="J1207" s="2" t="n"/>
      <c r="K1207" s="2" t="n"/>
      <c r="L1207" s="2" t="inlineStr">
        <is>
          <t>Artigo 119.º-A (Reforço da Rede Pública de Centros de Procriação Medicamente Assistida)</t>
        </is>
      </c>
      <c r="M1207" s="4" t="n"/>
      <c r="N1207" s="4" t="n"/>
      <c r="O1207" s="2" t="n"/>
      <c r="P1207" s="2" t="n"/>
      <c r="Q1207" s="2" t="n"/>
      <c r="R1207" s="2" t="n"/>
      <c r="S1207" s="2" t="inlineStr">
        <is>
          <t>Rejeitado(a) em Comissão</t>
        </is>
      </c>
      <c r="T1207" s="2" t="inlineStr">
        <is>
          <t>Rejeitada</t>
        </is>
      </c>
      <c r="U1207" s="2" t="inlineStr">
        <is>
          <t>Favor: CH, BE, PAN; Contra: PSD, CDS-PP; Abstenção: PS, IL, L, PCP</t>
        </is>
      </c>
      <c r="V1207" s="3" t="n">
        <v>45985</v>
      </c>
      <c r="W1207" s="2" t="inlineStr">
        <is>
          <t>AR: https://www.parlamento.pt/OrcamentoEstado/Paginas/DetalhePropostaAlteracao.aspx?BID=24381 PDF: https://app.parlamento.pt/webutils/docs/doc.pdf?path=6148523063484d364c793942556b356c6443397a6158526c63793959566b6c4a544556484c3039464c7a49774d6a59794d4449314d5441774f533951515338354d6a51784e6a63344d5330304f4467774c5451334f474d74596d5a684f5330775a544a6c4e7a67304d57566c4e574d756347526d&amp;Fich=92416781-4880-478c-bfa9-0e2e7841ee5c.pdf&amp;Inline=true</t>
        </is>
      </c>
      <c r="X1207" s="2" t="inlineStr">
        <is>
          <t>Saúde</t>
        </is>
      </c>
      <c r="Y1207" s="2" t="inlineStr">
        <is>
          <t>Articulado</t>
        </is>
      </c>
      <c r="Z1207" s="2" t="inlineStr">
        <is>
          <t>Aditamento (Artigo PPL)</t>
        </is>
      </c>
      <c r="AA1207" s="2" t="inlineStr">
        <is>
          <t>Rejeitado(a) em Comissão</t>
        </is>
      </c>
      <c r="AB1207" s="2" t="inlineStr"/>
      <c r="AC1207" s="2" t="inlineStr"/>
      <c r="AD1207" s="2" t="inlineStr">
        <is>
          <t>1</t>
        </is>
      </c>
      <c r="AE1207" s="2" t="inlineStr">
        <is>
          <t>24381</t>
        </is>
      </c>
      <c r="AF1207" s="2" t="inlineStr">
        <is>
          <t>https://www.parlamento.pt/OrcamentoEstado/Paginas/DetalhePropostaAlteracao.aspx?BID=24381</t>
        </is>
      </c>
      <c r="AG1207" s="2" t="inlineStr">
        <is>
          <t>https://app.parlamento.pt/webutils/docs/doc.pdf?path=6148523063484d364c793942556b356c6443397a6158526c63793959566b6c4a544556484c3039464c7a49774d6a59794d4449314d5441774f533951515338354d6a51784e6a63344d5330304f4467774c5451334f474d74596d5a684f5330775a544a6c4e7a67304d57566c4e574d756347526d&amp;Fich=92416781-4880-478c-bfa9-0e2e7841ee5c.pdf&amp;Inline=true</t>
        </is>
      </c>
      <c r="AH1207" s="3" t="n">
        <v>46321.77847222222</v>
      </c>
      <c r="AI1207" s="3" t="n">
        <v>46321.78055555555</v>
      </c>
      <c r="AJ1207" s="2" t="inlineStr"/>
    </row>
    <row r="1208">
      <c r="A1208" s="2" t="n">
        <v>1207</v>
      </c>
      <c r="B1208" s="2" t="inlineStr">
        <is>
          <t>1141C</t>
        </is>
      </c>
      <c r="C1208" s="3" t="n">
        <v>45968.00277777778</v>
      </c>
      <c r="D1208" s="2" t="inlineStr">
        <is>
          <t>Original</t>
        </is>
      </c>
      <c r="E1208" s="2" t="inlineStr">
        <is>
          <t>CH</t>
        </is>
      </c>
      <c r="F120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08" s="2" t="inlineStr">
        <is>
          <t>Art. 119.º-A (aditamento)</t>
        </is>
      </c>
      <c r="H1208" s="2" t="n"/>
      <c r="I1208" s="2" t="n"/>
      <c r="J1208" s="2" t="n"/>
      <c r="K1208" s="2" t="n"/>
      <c r="L1208" s="2" t="inlineStr">
        <is>
          <t>Artigo 119.º-A (Curso Integral de Medicina no Algarve)</t>
        </is>
      </c>
      <c r="M1208" s="4" t="n"/>
      <c r="N1208" s="4" t="n"/>
      <c r="O1208" s="2" t="n"/>
      <c r="P1208" s="2" t="n"/>
      <c r="Q1208" s="2" t="n"/>
      <c r="R1208" s="2" t="n"/>
      <c r="S1208" s="2" t="inlineStr">
        <is>
          <t>Rejeitado(a) em Comissão</t>
        </is>
      </c>
      <c r="T1208" s="2" t="inlineStr">
        <is>
          <t>Rejeitada</t>
        </is>
      </c>
      <c r="U1208" s="2" t="inlineStr">
        <is>
          <t>Favor: CH, IL, BE, PAN; Contra: PSD, PS, CDS-PP; Abstenção: L, PCP</t>
        </is>
      </c>
      <c r="V1208" s="3" t="n">
        <v>45985</v>
      </c>
      <c r="W1208" s="2" t="inlineStr">
        <is>
          <t>AR: https://www.parlamento.pt/OrcamentoEstado/Paginas/DetalhePropostaAlteracao.aspx?BID=24382 PDF: https://app.parlamento.pt/webutils/docs/doc.pdf?path=6148523063484d364c793942556b356c6443397a6158526c63793959566b6c4a544556484c3039464c7a49774d6a59794d4449314d5441774f533951515338354d325930597a4e6d4e793031597a5a6a4c54526d4e3249744f54686d4d79316c4d446b325a57526d4d5449305a6a41756347526d&amp;Fich=93f4c3f7-5c6c-4f7b-98f3-e096edf124f0.pdf&amp;Inline=true</t>
        </is>
      </c>
      <c r="X1208" s="2" t="inlineStr">
        <is>
          <t>Educação e Ciência</t>
        </is>
      </c>
      <c r="Y1208" s="2" t="inlineStr">
        <is>
          <t>Articulado</t>
        </is>
      </c>
      <c r="Z1208" s="2" t="inlineStr">
        <is>
          <t>Aditamento (Artigo PPL)</t>
        </is>
      </c>
      <c r="AA1208" s="2" t="inlineStr">
        <is>
          <t>Rejeitado(a) em Comissão</t>
        </is>
      </c>
      <c r="AB1208" s="2" t="inlineStr"/>
      <c r="AC1208" s="2" t="inlineStr"/>
      <c r="AD1208" s="2" t="inlineStr">
        <is>
          <t>1</t>
        </is>
      </c>
      <c r="AE1208" s="2" t="inlineStr">
        <is>
          <t>24382</t>
        </is>
      </c>
      <c r="AF1208" s="2" t="inlineStr">
        <is>
          <t>https://www.parlamento.pt/OrcamentoEstado/Paginas/DetalhePropostaAlteracao.aspx?BID=24382</t>
        </is>
      </c>
      <c r="AG1208" s="2" t="inlineStr">
        <is>
          <t>https://app.parlamento.pt/webutils/docs/doc.pdf?path=6148523063484d364c793942556b356c6443397a6158526c63793959566b6c4a544556484c3039464c7a49774d6a59794d4449314d5441774f533951515338354d325930597a4e6d4e793031597a5a6a4c54526d4e3249744f54686d4d79316c4d446b325a57526d4d5449305a6a41756347526d&amp;Fich=93f4c3f7-5c6c-4f7b-98f3-e096edf124f0.pdf&amp;Inline=true</t>
        </is>
      </c>
      <c r="AH1208" s="3" t="n">
        <v>46321.77847222222</v>
      </c>
      <c r="AI1208" s="3" t="n">
        <v>46321.78055555555</v>
      </c>
      <c r="AJ1208" s="2" t="inlineStr"/>
    </row>
    <row r="1209">
      <c r="A1209" s="2" t="n">
        <v>1208</v>
      </c>
      <c r="B1209" s="2" t="inlineStr">
        <is>
          <t>1142C</t>
        </is>
      </c>
      <c r="C1209" s="3" t="n">
        <v>45968.00277777778</v>
      </c>
      <c r="D1209" s="2" t="inlineStr">
        <is>
          <t>Original</t>
        </is>
      </c>
      <c r="E1209" s="2" t="inlineStr">
        <is>
          <t>CH</t>
        </is>
      </c>
      <c r="F120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09" s="2" t="inlineStr">
        <is>
          <t>Art. 136.º-A (aditamento)</t>
        </is>
      </c>
      <c r="H1209" s="2" t="n"/>
      <c r="I1209" s="2" t="n"/>
      <c r="J1209" s="2" t="n"/>
      <c r="K1209" s="2" t="n"/>
      <c r="L1209" s="2" t="inlineStr">
        <is>
          <t>Artigo 136.º-A (Construção de uma variante que ligue Benavente e Samora Correia à EN118 e à EN10)</t>
        </is>
      </c>
      <c r="M1209" s="4" t="n"/>
      <c r="N1209" s="4" t="n"/>
      <c r="O1209" s="2" t="n"/>
      <c r="P1209" s="2" t="n"/>
      <c r="Q1209" s="2" t="n"/>
      <c r="R1209" s="2" t="n"/>
      <c r="S1209" s="2" t="inlineStr">
        <is>
          <t>Rejeitado(a) em Comissão</t>
        </is>
      </c>
      <c r="T1209" s="2" t="inlineStr">
        <is>
          <t>Rejeitada</t>
        </is>
      </c>
      <c r="U1209" s="2" t="inlineStr">
        <is>
          <t>Favor: CH, BE; Contra: PSD, CDS-PP; Abstenção: PS, IL, L, PCP, PAN</t>
        </is>
      </c>
      <c r="V1209" s="3" t="n">
        <v>45987</v>
      </c>
      <c r="W1209" s="2" t="inlineStr">
        <is>
          <t>AR: https://www.parlamento.pt/OrcamentoEstado/Paginas/DetalhePropostaAlteracao.aspx?BID=24383 PDF: https://app.parlamento.pt/webutils/docs/doc.pdf?path=6148523063484d364c793942556b356c6443397a6158526c63793959566b6c4a544556484c3039464c7a49774d6a59794d4449314d5441774f533951515338774d7a426d5a44466a597930334e6d5a684c5452685a6d4d74596a49774f433078596a59344e7a4a6d595459795a6d51756347526d&amp;Fich=030fd1cc-76fa-4afc-b208-1b6872fa62fd.pdf&amp;Inline=true</t>
        </is>
      </c>
      <c r="X1209" s="2" t="inlineStr">
        <is>
          <t>Infraestruturas, Mobilidade e Habitação</t>
        </is>
      </c>
      <c r="Y1209" s="2" t="inlineStr">
        <is>
          <t>Articulado</t>
        </is>
      </c>
      <c r="Z1209" s="2" t="inlineStr">
        <is>
          <t>Aditamento (Artigo PPL)</t>
        </is>
      </c>
      <c r="AA1209" s="2" t="inlineStr">
        <is>
          <t>Rejeitado(a) em Comissão</t>
        </is>
      </c>
      <c r="AB1209" s="2" t="inlineStr"/>
      <c r="AC1209" s="2" t="inlineStr"/>
      <c r="AD1209" s="2" t="inlineStr">
        <is>
          <t>1</t>
        </is>
      </c>
      <c r="AE1209" s="2" t="inlineStr">
        <is>
          <t>24383</t>
        </is>
      </c>
      <c r="AF1209" s="2" t="inlineStr">
        <is>
          <t>https://www.parlamento.pt/OrcamentoEstado/Paginas/DetalhePropostaAlteracao.aspx?BID=24383</t>
        </is>
      </c>
      <c r="AG1209" s="2" t="inlineStr">
        <is>
          <t>https://app.parlamento.pt/webutils/docs/doc.pdf?path=6148523063484d364c793942556b356c6443397a6158526c63793959566b6c4a544556484c3039464c7a49774d6a59794d4449314d5441774f533951515338774d7a426d5a44466a597930334e6d5a684c5452685a6d4d74596a49774f433078596a59344e7a4a6d595459795a6d51756347526d&amp;Fich=030fd1cc-76fa-4afc-b208-1b6872fa62fd.pdf&amp;Inline=true</t>
        </is>
      </c>
      <c r="AH1209" s="3" t="n">
        <v>46321.77847222222</v>
      </c>
      <c r="AI1209" s="3" t="n">
        <v>46321.78055555555</v>
      </c>
      <c r="AJ1209" s="2" t="inlineStr"/>
    </row>
    <row r="1210">
      <c r="A1210" s="2" t="n">
        <v>1209</v>
      </c>
      <c r="B1210" s="2" t="inlineStr">
        <is>
          <t>1143C</t>
        </is>
      </c>
      <c r="C1210" s="3" t="n">
        <v>45968.00347222222</v>
      </c>
      <c r="D1210" s="2" t="inlineStr">
        <is>
          <t>Original</t>
        </is>
      </c>
      <c r="E1210" s="2" t="inlineStr">
        <is>
          <t>CH</t>
        </is>
      </c>
      <c r="F121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10" s="2" t="inlineStr">
        <is>
          <t>Art. 119.º-A (aditamento)</t>
        </is>
      </c>
      <c r="H1210" s="2" t="n"/>
      <c r="I1210" s="2" t="n"/>
      <c r="J1210" s="2" t="n"/>
      <c r="K1210" s="2" t="n"/>
      <c r="L1210" s="2" t="inlineStr">
        <is>
          <t>Artigo 119.º-A (Cheques psicólogo e nutricionista)</t>
        </is>
      </c>
      <c r="M1210" s="4" t="n"/>
      <c r="N1210" s="4" t="n"/>
      <c r="O1210" s="2" t="n"/>
      <c r="P1210" s="2" t="n"/>
      <c r="Q1210" s="2" t="n"/>
      <c r="R1210" s="2" t="n"/>
      <c r="S1210" s="2" t="inlineStr">
        <is>
          <t>Rejeitado(a) em Comissão</t>
        </is>
      </c>
      <c r="T1210" s="2" t="inlineStr">
        <is>
          <t>Rejeitada</t>
        </is>
      </c>
      <c r="U1210" s="2" t="inlineStr">
        <is>
          <t>Favor: CH, IL, PAN; Contra: PSD, PCP, CDS-PP, BE; Abstenção: PS, L</t>
        </is>
      </c>
      <c r="V1210" s="3" t="n">
        <v>45985</v>
      </c>
      <c r="W1210" s="2" t="inlineStr">
        <is>
          <t>AR: https://www.parlamento.pt/OrcamentoEstado/Paginas/DetalhePropostaAlteracao.aspx?BID=24384 PDF: https://app.parlamento.pt/webutils/docs/doc.pdf?path=6148523063484d364c793942556b356c6443397a6158526c63793959566b6c4a544556484c3039464c7a49774d6a59794d4449314d5441774f53395151533833595459314e7a5534597930794d7a6b314c545178596a41744f44417a4e43307a4e6d466a4e444e685957466a5a6a63756347526d&amp;Fich=7a65758c-2395-41b0-8034-36ac43aaacf7.pdf&amp;Inline=true</t>
        </is>
      </c>
      <c r="X1210" s="2" t="inlineStr">
        <is>
          <t>Saúde</t>
        </is>
      </c>
      <c r="Y1210" s="2" t="inlineStr">
        <is>
          <t>Articulado</t>
        </is>
      </c>
      <c r="Z1210" s="2" t="inlineStr">
        <is>
          <t>Aditamento (Artigo PPL)</t>
        </is>
      </c>
      <c r="AA1210" s="2" t="inlineStr">
        <is>
          <t>Rejeitado(a) em Comissão</t>
        </is>
      </c>
      <c r="AB1210" s="2" t="inlineStr"/>
      <c r="AC1210" s="2" t="inlineStr"/>
      <c r="AD1210" s="2" t="inlineStr">
        <is>
          <t>1</t>
        </is>
      </c>
      <c r="AE1210" s="2" t="inlineStr">
        <is>
          <t>24384</t>
        </is>
      </c>
      <c r="AF1210" s="2" t="inlineStr">
        <is>
          <t>https://www.parlamento.pt/OrcamentoEstado/Paginas/DetalhePropostaAlteracao.aspx?BID=24384</t>
        </is>
      </c>
      <c r="AG1210" s="2" t="inlineStr">
        <is>
          <t>https://app.parlamento.pt/webutils/docs/doc.pdf?path=6148523063484d364c793942556b356c6443397a6158526c63793959566b6c4a544556484c3039464c7a49774d6a59794d4449314d5441774f53395151533833595459314e7a5534597930794d7a6b314c545178596a41744f44417a4e43307a4e6d466a4e444e685957466a5a6a63756347526d&amp;Fich=7a65758c-2395-41b0-8034-36ac43aaacf7.pdf&amp;Inline=true</t>
        </is>
      </c>
      <c r="AH1210" s="3" t="n">
        <v>46321.77847222222</v>
      </c>
      <c r="AI1210" s="3" t="n">
        <v>46321.78055555555</v>
      </c>
      <c r="AJ1210" s="2" t="inlineStr"/>
    </row>
    <row r="1211">
      <c r="A1211" s="2" t="n">
        <v>1210</v>
      </c>
      <c r="B1211" s="2" t="inlineStr">
        <is>
          <t>1144C</t>
        </is>
      </c>
      <c r="C1211" s="3" t="n">
        <v>45968.00486111111</v>
      </c>
      <c r="D1211" s="2" t="inlineStr">
        <is>
          <t>Original</t>
        </is>
      </c>
      <c r="E1211" s="2" t="inlineStr">
        <is>
          <t>CH</t>
        </is>
      </c>
      <c r="F121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11" s="2" t="inlineStr">
        <is>
          <t>Art. 136.º-A (aditamento)</t>
        </is>
      </c>
      <c r="H1211" s="2" t="n"/>
      <c r="I1211" s="2" t="n"/>
      <c r="J1211" s="2" t="n"/>
      <c r="K1211" s="2" t="n"/>
      <c r="L1211" s="2" t="inlineStr">
        <is>
          <t>Artigo 136.º-A (Construção do IC 4 entre Bensafrim e Sines)</t>
        </is>
      </c>
      <c r="M1211" s="4" t="n"/>
      <c r="N1211" s="4" t="n"/>
      <c r="O1211" s="2" t="n"/>
      <c r="P1211" s="2" t="n"/>
      <c r="Q1211" s="2" t="n"/>
      <c r="R1211" s="2" t="n"/>
      <c r="S1211" s="2" t="inlineStr">
        <is>
          <t>Rejeitado(a) em Comissão</t>
        </is>
      </c>
      <c r="T1211" s="2" t="inlineStr">
        <is>
          <t>Rejeitada</t>
        </is>
      </c>
      <c r="U1211" s="2" t="inlineStr">
        <is>
          <t>Favor: CH, BE; Contra: PSD, CDS-PP; Abstenção: PS, IL, L, PCP, PAN</t>
        </is>
      </c>
      <c r="V1211" s="3" t="n">
        <v>45987</v>
      </c>
      <c r="W1211" s="2" t="inlineStr">
        <is>
          <t>AR: https://www.parlamento.pt/OrcamentoEstado/Paginas/DetalhePropostaAlteracao.aspx?BID=24385 PDF: https://app.parlamento.pt/webutils/docs/doc.pdf?path=6148523063484d364c793942556b356c6443397a6158526c63793959566b6c4a544556484c3039464c7a49774d6a59794d4449314d5441774f533951515338785a575579597a67785a5330344d7a46684c5451795a4745744f4455334d7931694f4463774e6a4d344e6a4178596a51756347526d&amp;Fich=1ee2c81e-831a-42da-8573-b870638601b4.pdf&amp;Inline=true</t>
        </is>
      </c>
      <c r="X1211" s="2" t="inlineStr">
        <is>
          <t>Infraestruturas, Mobilidade e Habitação</t>
        </is>
      </c>
      <c r="Y1211" s="2" t="inlineStr">
        <is>
          <t>Articulado</t>
        </is>
      </c>
      <c r="Z1211" s="2" t="inlineStr">
        <is>
          <t>Aditamento (Artigo PPL)</t>
        </is>
      </c>
      <c r="AA1211" s="2" t="inlineStr">
        <is>
          <t>Rejeitado(a) em Comissão</t>
        </is>
      </c>
      <c r="AB1211" s="2" t="inlineStr"/>
      <c r="AC1211" s="2" t="inlineStr"/>
      <c r="AD1211" s="2" t="inlineStr">
        <is>
          <t>1</t>
        </is>
      </c>
      <c r="AE1211" s="2" t="inlineStr">
        <is>
          <t>24385</t>
        </is>
      </c>
      <c r="AF1211" s="2" t="inlineStr">
        <is>
          <t>https://www.parlamento.pt/OrcamentoEstado/Paginas/DetalhePropostaAlteracao.aspx?BID=24385</t>
        </is>
      </c>
      <c r="AG1211" s="2" t="inlineStr">
        <is>
          <t>https://app.parlamento.pt/webutils/docs/doc.pdf?path=6148523063484d364c793942556b356c6443397a6158526c63793959566b6c4a544556484c3039464c7a49774d6a59794d4449314d5441774f533951515338785a575579597a67785a5330344d7a46684c5451795a4745744f4455334d7931694f4463774e6a4d344e6a4178596a51756347526d&amp;Fich=1ee2c81e-831a-42da-8573-b870638601b4.pdf&amp;Inline=true</t>
        </is>
      </c>
      <c r="AH1211" s="3" t="n">
        <v>46321.77847222222</v>
      </c>
      <c r="AI1211" s="3" t="n">
        <v>46321.78055555555</v>
      </c>
      <c r="AJ1211" s="2" t="inlineStr"/>
    </row>
    <row r="1212">
      <c r="A1212" s="2" t="n">
        <v>1211</v>
      </c>
      <c r="B1212" s="2" t="inlineStr">
        <is>
          <t>1145C</t>
        </is>
      </c>
      <c r="C1212" s="3" t="n">
        <v>45968.00486111111</v>
      </c>
      <c r="D1212" s="2" t="inlineStr">
        <is>
          <t>Original</t>
        </is>
      </c>
      <c r="E1212" s="2" t="inlineStr">
        <is>
          <t>CH</t>
        </is>
      </c>
      <c r="F121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12" s="2" t="inlineStr">
        <is>
          <t>Art. 119.º-A (aditamento)</t>
        </is>
      </c>
      <c r="H1212" s="2" t="n"/>
      <c r="I1212" s="2" t="n"/>
      <c r="J1212" s="2" t="n"/>
      <c r="K1212" s="2" t="n"/>
      <c r="L1212" s="2" t="inlineStr">
        <is>
          <t>Artigo 119.º-A (Reclassificação da Unidade Local de Saúde de Vila Nova de Gaia e Espinho no grupo “E” das unidades hospitalares nacionais)</t>
        </is>
      </c>
      <c r="M1212" s="4" t="n"/>
      <c r="N1212" s="4" t="n"/>
      <c r="O1212" s="2" t="n"/>
      <c r="P1212" s="2" t="n"/>
      <c r="Q1212" s="2" t="n"/>
      <c r="R1212" s="2" t="n"/>
      <c r="S1212" s="2" t="inlineStr">
        <is>
          <t>Rejeitado(a) em Comissão</t>
        </is>
      </c>
      <c r="T1212" s="2" t="inlineStr">
        <is>
          <t>Rejeitada</t>
        </is>
      </c>
      <c r="U1212" s="2" t="inlineStr">
        <is>
          <t>Favor: CH, BE, PAN; Contra: PSD, IL, L, CDS-PP; Abstenção: PS, PCP</t>
        </is>
      </c>
      <c r="V1212" s="3" t="n">
        <v>45985</v>
      </c>
      <c r="W1212" s="2" t="inlineStr">
        <is>
          <t>AR: https://www.parlamento.pt/OrcamentoEstado/Paginas/DetalhePropostaAlteracao.aspx?BID=24386 PDF: https://app.parlamento.pt/webutils/docs/doc.pdf?path=6148523063484d364c793942556b356c6443397a6158526c63793959566b6c4a544556484c3039464c7a49774d6a59794d4449314d5441774f533951515338774e6d51784f5759314e43307a5a6d4a6b4c5451324e474974596a59334f533079596a646d4d574a69597a646a4d4445756347526d&amp;Fich=06d19f54-3fbd-464b-b679-2b7f1bbc7c01.pdf&amp;Inline=true</t>
        </is>
      </c>
      <c r="X1212" s="2" t="inlineStr">
        <is>
          <t>Saúde</t>
        </is>
      </c>
      <c r="Y1212" s="2" t="inlineStr">
        <is>
          <t>Articulado</t>
        </is>
      </c>
      <c r="Z1212" s="2" t="inlineStr">
        <is>
          <t>Aditamento (Artigo PPL)</t>
        </is>
      </c>
      <c r="AA1212" s="2" t="inlineStr">
        <is>
          <t>Rejeitado(a) em Comissão</t>
        </is>
      </c>
      <c r="AB1212" s="2" t="inlineStr"/>
      <c r="AC1212" s="2" t="inlineStr"/>
      <c r="AD1212" s="2" t="inlineStr">
        <is>
          <t>1</t>
        </is>
      </c>
      <c r="AE1212" s="2" t="inlineStr">
        <is>
          <t>24386</t>
        </is>
      </c>
      <c r="AF1212" s="2" t="inlineStr">
        <is>
          <t>https://www.parlamento.pt/OrcamentoEstado/Paginas/DetalhePropostaAlteracao.aspx?BID=24386</t>
        </is>
      </c>
      <c r="AG1212" s="2" t="inlineStr">
        <is>
          <t>https://app.parlamento.pt/webutils/docs/doc.pdf?path=6148523063484d364c793942556b356c6443397a6158526c63793959566b6c4a544556484c3039464c7a49774d6a59794d4449314d5441774f533951515338774e6d51784f5759314e43307a5a6d4a6b4c5451324e474974596a59334f533079596a646d4d574a69597a646a4d4445756347526d&amp;Fich=06d19f54-3fbd-464b-b679-2b7f1bbc7c01.pdf&amp;Inline=true</t>
        </is>
      </c>
      <c r="AH1212" s="3" t="n">
        <v>46321.77847222222</v>
      </c>
      <c r="AI1212" s="3" t="n">
        <v>46321.78055555555</v>
      </c>
      <c r="AJ1212" s="2" t="inlineStr"/>
    </row>
    <row r="1213">
      <c r="A1213" s="2" t="n">
        <v>1212</v>
      </c>
      <c r="B1213" s="2" t="inlineStr">
        <is>
          <t>1146C</t>
        </is>
      </c>
      <c r="C1213" s="3" t="n">
        <v>45968.00555555556</v>
      </c>
      <c r="D1213" s="2" t="inlineStr">
        <is>
          <t>Original</t>
        </is>
      </c>
      <c r="E1213" s="2" t="inlineStr">
        <is>
          <t>CH</t>
        </is>
      </c>
      <c r="F121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13" s="2" t="inlineStr">
        <is>
          <t>Art. 119.º-A (aditamento)</t>
        </is>
      </c>
      <c r="H1213" s="2" t="n"/>
      <c r="I1213" s="2" t="n"/>
      <c r="J1213" s="2" t="n"/>
      <c r="K1213" s="2" t="n"/>
      <c r="L1213" s="2" t="inlineStr">
        <is>
          <t>Artigo 119.º-A (Revisão da Tabela de preços aplicáveis às unidades que integram a Rede Nacional de Cuidados Continuados Integrados (RNCCI))</t>
        </is>
      </c>
      <c r="M1213" s="4" t="n"/>
      <c r="N1213" s="4" t="n"/>
      <c r="O1213" s="2" t="n"/>
      <c r="P1213" s="2" t="n"/>
      <c r="Q1213" s="2" t="n"/>
      <c r="R1213" s="2" t="n"/>
      <c r="S1213" s="2" t="inlineStr">
        <is>
          <t>Rejeitado(a) em Comissão</t>
        </is>
      </c>
      <c r="T1213" s="2" t="inlineStr">
        <is>
          <t>Rejeitada</t>
        </is>
      </c>
      <c r="U1213" s="2" t="inlineStr">
        <is>
          <t>Favor: CH, PAN; Contra: PSD, IL; Abstenção: PS, L, PCP, CDS-PP, BE</t>
        </is>
      </c>
      <c r="V1213" s="3" t="n">
        <v>45985</v>
      </c>
      <c r="W1213" s="2" t="inlineStr">
        <is>
          <t>AR: https://www.parlamento.pt/OrcamentoEstado/Paginas/DetalhePropostaAlteracao.aspx?BID=24387 PDF: https://app.parlamento.pt/webutils/docs/doc.pdf?path=6148523063484d364c793942556b356c6443397a6158526c63793959566b6c4a544556484c3039464c7a49774d6a59794d4449314d5441774f533951515338774e6d59354e5445324d5330304e44646d4c545131595445744f4441344e79316b595755334f5759304d4756684e474d756347526d&amp;Fich=06f95161-447f-45a1-8087-dae79f40ea4c.pdf&amp;Inline=true</t>
        </is>
      </c>
      <c r="X1213" s="2" t="inlineStr">
        <is>
          <t>Saúde</t>
        </is>
      </c>
      <c r="Y1213" s="2" t="inlineStr">
        <is>
          <t>Articulado</t>
        </is>
      </c>
      <c r="Z1213" s="2" t="inlineStr">
        <is>
          <t>Aditamento (Artigo PPL)</t>
        </is>
      </c>
      <c r="AA1213" s="2" t="inlineStr">
        <is>
          <t>Rejeitado(a) em Comissão</t>
        </is>
      </c>
      <c r="AB1213" s="2" t="inlineStr"/>
      <c r="AC1213" s="2" t="inlineStr"/>
      <c r="AD1213" s="2" t="inlineStr">
        <is>
          <t>1</t>
        </is>
      </c>
      <c r="AE1213" s="2" t="inlineStr">
        <is>
          <t>24387</t>
        </is>
      </c>
      <c r="AF1213" s="2" t="inlineStr">
        <is>
          <t>https://www.parlamento.pt/OrcamentoEstado/Paginas/DetalhePropostaAlteracao.aspx?BID=24387</t>
        </is>
      </c>
      <c r="AG1213" s="2" t="inlineStr">
        <is>
          <t>https://app.parlamento.pt/webutils/docs/doc.pdf?path=6148523063484d364c793942556b356c6443397a6158526c63793959566b6c4a544556484c3039464c7a49774d6a59794d4449314d5441774f533951515338774e6d59354e5445324d5330304e44646d4c545131595445744f4441344e79316b595755334f5759304d4756684e474d756347526d&amp;Fich=06f95161-447f-45a1-8087-dae79f40ea4c.pdf&amp;Inline=true</t>
        </is>
      </c>
      <c r="AH1213" s="3" t="n">
        <v>46321.77847222222</v>
      </c>
      <c r="AI1213" s="3" t="n">
        <v>46321.78055555555</v>
      </c>
      <c r="AJ1213" s="2" t="inlineStr"/>
    </row>
    <row r="1214">
      <c r="A1214" s="2" t="n">
        <v>1213</v>
      </c>
      <c r="B1214" s="2" t="inlineStr">
        <is>
          <t>1147C</t>
        </is>
      </c>
      <c r="C1214" s="3" t="n">
        <v>45968.00625</v>
      </c>
      <c r="D1214" s="2" t="inlineStr">
        <is>
          <t>Retirada</t>
        </is>
      </c>
      <c r="E1214" s="2" t="inlineStr">
        <is>
          <t>CH</t>
        </is>
      </c>
      <c r="F121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14" s="2" t="inlineStr">
        <is>
          <t>Art. 136.º-A (aditamento)</t>
        </is>
      </c>
      <c r="H1214" s="2" t="n"/>
      <c r="I1214" s="2" t="n"/>
      <c r="J1214" s="2" t="n"/>
      <c r="K1214" s="2" t="n"/>
      <c r="L1214" s="2" t="inlineStr">
        <is>
          <t>Artigo 136.º-A (Construção do IC31 entre Castelo Branco e Termas de Monfortinho)</t>
        </is>
      </c>
      <c r="M1214" s="4" t="n"/>
      <c r="N1214" s="4" t="n"/>
      <c r="O1214" s="2" t="n"/>
      <c r="P1214" s="2" t="n"/>
      <c r="Q1214" s="2" t="n"/>
      <c r="R1214" s="2" t="n"/>
      <c r="S1214" s="2" t="inlineStr">
        <is>
          <t>Retirado(a)</t>
        </is>
      </c>
      <c r="T1214" s="2" t="inlineStr">
        <is>
          <t>Retirada</t>
        </is>
      </c>
      <c r="U1214" s="2" t="inlineStr"/>
      <c r="V1214" s="3" t="n"/>
      <c r="W1214" s="2" t="inlineStr">
        <is>
          <t>AR: https://www.parlamento.pt/OrcamentoEstado/Paginas/DetalhePropostaAlteracao.aspx?BID=24388 PDF: https://app.parlamento.pt/webutils/docs/doc.pdf?path=6148523063484d364c793942556b356c6443397a6158526c63793959566b6c4a544556484c3039464c7a49774d6a59794d4449314d5441774f533951515338304f5755344e6a51314d79316c4e7a68684c54526b4d6a557459544978595330324e6a55304e6d59324e54566d4d3251756347526d&amp;Fich=49e86453-e78a-4d25-a21a-66546f655f3d.pdf&amp;Inline=true</t>
        </is>
      </c>
      <c r="X1214" s="2" t="inlineStr">
        <is>
          <t>Infraestruturas, Mobilidade e Habitação</t>
        </is>
      </c>
      <c r="Y1214" s="2" t="inlineStr">
        <is>
          <t>Articulado</t>
        </is>
      </c>
      <c r="Z1214" s="2" t="inlineStr">
        <is>
          <t>Aditamento (Artigo PPL)</t>
        </is>
      </c>
      <c r="AA1214" s="2" t="inlineStr">
        <is>
          <t>Retirado(a)</t>
        </is>
      </c>
      <c r="AB1214" s="2" t="inlineStr"/>
      <c r="AC1214" s="2" t="inlineStr"/>
      <c r="AD1214" s="2" t="inlineStr">
        <is>
          <t>0</t>
        </is>
      </c>
      <c r="AE1214" s="2" t="inlineStr">
        <is>
          <t>24388</t>
        </is>
      </c>
      <c r="AF1214" s="2" t="inlineStr">
        <is>
          <t>https://www.parlamento.pt/OrcamentoEstado/Paginas/DetalhePropostaAlteracao.aspx?BID=24388</t>
        </is>
      </c>
      <c r="AG1214" s="2" t="inlineStr">
        <is>
          <t>https://app.parlamento.pt/webutils/docs/doc.pdf?path=6148523063484d364c793942556b356c6443397a6158526c63793959566b6c4a544556484c3039464c7a49774d6a59794d4449314d5441774f533951515338304f5755344e6a51314d79316c4e7a68684c54526b4d6a557459544978595330324e6a55304e6d59324e54566d4d3251756347526d&amp;Fich=49e86453-e78a-4d25-a21a-66546f655f3d.pdf&amp;Inline=true</t>
        </is>
      </c>
      <c r="AH1214" s="3" t="n">
        <v>46321.77847222222</v>
      </c>
      <c r="AI1214" s="3" t="n">
        <v>46321.78055555555</v>
      </c>
      <c r="AJ1214" s="2" t="inlineStr"/>
    </row>
    <row r="1215">
      <c r="A1215" s="2" t="n">
        <v>1214</v>
      </c>
      <c r="B1215" s="2" t="inlineStr">
        <is>
          <t>1148C</t>
        </is>
      </c>
      <c r="C1215" s="3" t="n">
        <v>45968.00625</v>
      </c>
      <c r="D1215" s="2" t="inlineStr">
        <is>
          <t>Original</t>
        </is>
      </c>
      <c r="E1215" s="2" t="inlineStr">
        <is>
          <t>CH</t>
        </is>
      </c>
      <c r="F121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15" s="2" t="inlineStr">
        <is>
          <t>Art. 119.º-A (aditamento)</t>
        </is>
      </c>
      <c r="H1215" s="2" t="n"/>
      <c r="I1215" s="2" t="n"/>
      <c r="J1215" s="2" t="n"/>
      <c r="K1215" s="2" t="n"/>
      <c r="L1215" s="2" t="inlineStr">
        <is>
          <t>Artigo 119.º-A (Introdução do SClínico no Hospital Prisional São João de Deus)</t>
        </is>
      </c>
      <c r="M1215" s="4" t="n"/>
      <c r="N1215" s="4" t="n"/>
      <c r="O1215" s="2" t="n"/>
      <c r="P1215" s="2" t="n"/>
      <c r="Q1215" s="2" t="n"/>
      <c r="R1215" s="2" t="n"/>
      <c r="S1215" s="2" t="inlineStr">
        <is>
          <t>Rejeitado(a) em Comissão</t>
        </is>
      </c>
      <c r="T1215" s="2" t="inlineStr">
        <is>
          <t>Rejeitada</t>
        </is>
      </c>
      <c r="U1215" s="2" t="inlineStr">
        <is>
          <t>Favor: CH, BE, PAN; Contra: PSD, CDS-PP; Abstenção: PS, IL, L, PCP</t>
        </is>
      </c>
      <c r="V1215" s="3" t="n">
        <v>45985</v>
      </c>
      <c r="W1215" s="2" t="inlineStr">
        <is>
          <t>AR: https://www.parlamento.pt/OrcamentoEstado/Paginas/DetalhePropostaAlteracao.aspx?BID=24389 PDF: https://app.parlamento.pt/webutils/docs/doc.pdf?path=6148523063484d364c793942556b356c6443397a6158526c63793959566b6c4a544556484c3039464c7a49774d6a59794d4449314d5441774f533951515338344e7a526b4f5745794f5331695a6a6c6b4c5451784d7a5174595452684d79307a4f544a6a4d446b345a6d4533595467756347526d&amp;Fich=874d9a29-bf9d-4134-a4a3-392c098fa7a8.pdf&amp;Inline=true</t>
        </is>
      </c>
      <c r="X1215" s="2" t="inlineStr">
        <is>
          <t>Saúde</t>
        </is>
      </c>
      <c r="Y1215" s="2" t="inlineStr">
        <is>
          <t>Articulado</t>
        </is>
      </c>
      <c r="Z1215" s="2" t="inlineStr">
        <is>
          <t>Aditamento (Artigo PPL)</t>
        </is>
      </c>
      <c r="AA1215" s="2" t="inlineStr">
        <is>
          <t>Rejeitado(a) em Comissão</t>
        </is>
      </c>
      <c r="AB1215" s="2" t="inlineStr"/>
      <c r="AC1215" s="2" t="inlineStr"/>
      <c r="AD1215" s="2" t="inlineStr">
        <is>
          <t>1</t>
        </is>
      </c>
      <c r="AE1215" s="2" t="inlineStr">
        <is>
          <t>24389</t>
        </is>
      </c>
      <c r="AF1215" s="2" t="inlineStr">
        <is>
          <t>https://www.parlamento.pt/OrcamentoEstado/Paginas/DetalhePropostaAlteracao.aspx?BID=24389</t>
        </is>
      </c>
      <c r="AG1215" s="2" t="inlineStr">
        <is>
          <t>https://app.parlamento.pt/webutils/docs/doc.pdf?path=6148523063484d364c793942556b356c6443397a6158526c63793959566b6c4a544556484c3039464c7a49774d6a59794d4449314d5441774f533951515338344e7a526b4f5745794f5331695a6a6c6b4c5451784d7a5174595452684d79307a4f544a6a4d446b345a6d4533595467756347526d&amp;Fich=874d9a29-bf9d-4134-a4a3-392c098fa7a8.pdf&amp;Inline=true</t>
        </is>
      </c>
      <c r="AH1215" s="3" t="n">
        <v>46321.77847222222</v>
      </c>
      <c r="AI1215" s="3" t="n">
        <v>46321.78055555555</v>
      </c>
      <c r="AJ1215" s="2" t="inlineStr"/>
    </row>
    <row r="1216">
      <c r="A1216" s="2" t="n">
        <v>1215</v>
      </c>
      <c r="B1216" s="2" t="inlineStr">
        <is>
          <t>1149C</t>
        </is>
      </c>
      <c r="C1216" s="3" t="n">
        <v>45968.00763888889</v>
      </c>
      <c r="D1216" s="2" t="inlineStr">
        <is>
          <t>Original</t>
        </is>
      </c>
      <c r="E1216" s="2" t="inlineStr">
        <is>
          <t>CH</t>
        </is>
      </c>
      <c r="F121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16" s="2" t="inlineStr">
        <is>
          <t>Art. 136.º-A (aditamento)</t>
        </is>
      </c>
      <c r="H1216" s="2" t="n"/>
      <c r="I1216" s="2" t="n"/>
      <c r="J1216" s="2" t="n"/>
      <c r="K1216" s="2" t="n"/>
      <c r="L1216" s="2" t="inlineStr">
        <is>
          <t>Artigo 136.º-A (Construção do Pólo Tecnológico Rural em Baião)</t>
        </is>
      </c>
      <c r="M1216" s="4" t="n"/>
      <c r="N1216" s="4" t="n"/>
      <c r="O1216" s="2" t="n"/>
      <c r="P1216" s="2" t="n"/>
      <c r="Q1216" s="2" t="n"/>
      <c r="R1216" s="2" t="n"/>
      <c r="S1216" s="2" t="inlineStr">
        <is>
          <t>Rejeitado(a) em Comissão</t>
        </is>
      </c>
      <c r="T1216" s="2" t="inlineStr">
        <is>
          <t>Rejeitada</t>
        </is>
      </c>
      <c r="U1216" s="2" t="inlineStr">
        <is>
          <t>Favor: CH, BE; Contra: PSD, CDS-PP; Abstenção: PS, IL, L, PCP, PAN</t>
        </is>
      </c>
      <c r="V1216" s="3" t="n">
        <v>45987</v>
      </c>
      <c r="W1216" s="2" t="inlineStr">
        <is>
          <t>AR: https://www.parlamento.pt/OrcamentoEstado/Paginas/DetalhePropostaAlteracao.aspx?BID=24390 PDF: https://app.parlamento.pt/webutils/docs/doc.pdf?path=6148523063484d364c793942556b356c6443397a6158526c63793959566b6c4a544556484c3039464c7a49774d6a59794d4449314d5441774f533951515338315a6a566d597a68684e79316b5a44566c4c5451775a6d49744f4455785979316b596a55354f474978597a557a4d6d4d756347526d&amp;Fich=5f5fc8a7-dd5e-40fb-851c-db598b1c532c.pdf&amp;Inline=true</t>
        </is>
      </c>
      <c r="X1216" s="2" t="inlineStr">
        <is>
          <t>Infraestruturas, Mobilidade e Habitação</t>
        </is>
      </c>
      <c r="Y1216" s="2" t="inlineStr">
        <is>
          <t>Articulado</t>
        </is>
      </c>
      <c r="Z1216" s="2" t="inlineStr">
        <is>
          <t>Aditamento (Artigo PPL)</t>
        </is>
      </c>
      <c r="AA1216" s="2" t="inlineStr">
        <is>
          <t>Rejeitado(a) em Comissão</t>
        </is>
      </c>
      <c r="AB1216" s="2" t="inlineStr"/>
      <c r="AC1216" s="2" t="inlineStr"/>
      <c r="AD1216" s="2" t="inlineStr">
        <is>
          <t>1</t>
        </is>
      </c>
      <c r="AE1216" s="2" t="inlineStr">
        <is>
          <t>24390</t>
        </is>
      </c>
      <c r="AF1216" s="2" t="inlineStr">
        <is>
          <t>https://www.parlamento.pt/OrcamentoEstado/Paginas/DetalhePropostaAlteracao.aspx?BID=24390</t>
        </is>
      </c>
      <c r="AG1216" s="2" t="inlineStr">
        <is>
          <t>https://app.parlamento.pt/webutils/docs/doc.pdf?path=6148523063484d364c793942556b356c6443397a6158526c63793959566b6c4a544556484c3039464c7a49774d6a59794d4449314d5441774f533951515338315a6a566d597a68684e79316b5a44566c4c5451775a6d49744f4455785979316b596a55354f474978597a557a4d6d4d756347526d&amp;Fich=5f5fc8a7-dd5e-40fb-851c-db598b1c532c.pdf&amp;Inline=true</t>
        </is>
      </c>
      <c r="AH1216" s="3" t="n">
        <v>46321.77847222222</v>
      </c>
      <c r="AI1216" s="3" t="n">
        <v>46321.78055555555</v>
      </c>
      <c r="AJ1216" s="2" t="inlineStr"/>
    </row>
    <row r="1217">
      <c r="A1217" s="2" t="n">
        <v>1216</v>
      </c>
      <c r="B1217" s="2" t="inlineStr">
        <is>
          <t>1150C</t>
        </is>
      </c>
      <c r="C1217" s="3" t="n">
        <v>45968.00972222222</v>
      </c>
      <c r="D1217" s="2" t="inlineStr">
        <is>
          <t>Original</t>
        </is>
      </c>
      <c r="E1217" s="2" t="inlineStr">
        <is>
          <t>CH</t>
        </is>
      </c>
      <c r="F121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17" s="2" t="inlineStr">
        <is>
          <t>Art. 121.º-A (aditamento)</t>
        </is>
      </c>
      <c r="H1217" s="2" t="n"/>
      <c r="I1217" s="2" t="n"/>
      <c r="J1217" s="2" t="n"/>
      <c r="K1217" s="2" t="n"/>
      <c r="L1217" s="2" t="inlineStr">
        <is>
          <t>Artigo 121.º-A (Comparticipação de medicamentos de desabituação tabágica)</t>
        </is>
      </c>
      <c r="M1217" s="4" t="n"/>
      <c r="N1217" s="4" t="n"/>
      <c r="O1217" s="2" t="n"/>
      <c r="P1217" s="2" t="n"/>
      <c r="Q1217" s="2" t="n"/>
      <c r="R1217" s="2" t="n"/>
      <c r="S1217" s="2" t="inlineStr">
        <is>
          <t>Rejeitado(a) em Comissão</t>
        </is>
      </c>
      <c r="T1217" s="2" t="inlineStr">
        <is>
          <t>Rejeitada</t>
        </is>
      </c>
      <c r="U1217" s="2" t="inlineStr">
        <is>
          <t>Favor: CH, IL, BE, PAN; Contra: PSD, CDS-PP; Abstenção: PS, L, PCP</t>
        </is>
      </c>
      <c r="V1217" s="3" t="n">
        <v>45985</v>
      </c>
      <c r="W1217" s="2" t="inlineStr">
        <is>
          <t>AR: https://www.parlamento.pt/OrcamentoEstado/Paginas/DetalhePropostaAlteracao.aspx?BID=24391 PDF: https://app.parlamento.pt/webutils/docs/doc.pdf?path=6148523063484d364c793942556b356c6443397a6158526c63793959566b6c4a544556484c3039464c7a49774d6a59794d4449314d5441774f53395151533833595459324e474d354e5330324d4446694c54526b4e7a6374595456695a6930344d5468684d6d5a6c5a6d45355a4745756347526d&amp;Fich=7a664c95-601b-4d77-a5bf-818a2fefa9da.pdf&amp;Inline=true</t>
        </is>
      </c>
      <c r="X1217" s="2" t="inlineStr">
        <is>
          <t>Saúde</t>
        </is>
      </c>
      <c r="Y1217" s="2" t="inlineStr">
        <is>
          <t>Articulado</t>
        </is>
      </c>
      <c r="Z1217" s="2" t="inlineStr">
        <is>
          <t>Aditamento (Artigo PPL)</t>
        </is>
      </c>
      <c r="AA1217" s="2" t="inlineStr">
        <is>
          <t>Rejeitado(a) em Comissão</t>
        </is>
      </c>
      <c r="AB1217" s="2" t="inlineStr"/>
      <c r="AC1217" s="2" t="inlineStr"/>
      <c r="AD1217" s="2" t="inlineStr">
        <is>
          <t>1</t>
        </is>
      </c>
      <c r="AE1217" s="2" t="inlineStr">
        <is>
          <t>24391</t>
        </is>
      </c>
      <c r="AF1217" s="2" t="inlineStr">
        <is>
          <t>https://www.parlamento.pt/OrcamentoEstado/Paginas/DetalhePropostaAlteracao.aspx?BID=24391</t>
        </is>
      </c>
      <c r="AG1217" s="2" t="inlineStr">
        <is>
          <t>https://app.parlamento.pt/webutils/docs/doc.pdf?path=6148523063484d364c793942556b356c6443397a6158526c63793959566b6c4a544556484c3039464c7a49774d6a59794d4449314d5441774f53395151533833595459324e474d354e5330324d4446694c54526b4e7a6374595456695a6930344d5468684d6d5a6c5a6d45355a4745756347526d&amp;Fich=7a664c95-601b-4d77-a5bf-818a2fefa9da.pdf&amp;Inline=true</t>
        </is>
      </c>
      <c r="AH1217" s="3" t="n">
        <v>46321.77847222222</v>
      </c>
      <c r="AI1217" s="3" t="n">
        <v>46321.78055555555</v>
      </c>
      <c r="AJ1217" s="2" t="inlineStr"/>
    </row>
    <row r="1218">
      <c r="A1218" s="2" t="n">
        <v>1217</v>
      </c>
      <c r="B1218" s="2" t="inlineStr">
        <is>
          <t>1151C</t>
        </is>
      </c>
      <c r="C1218" s="3" t="n">
        <v>45968.01041666666</v>
      </c>
      <c r="D1218" s="2" t="inlineStr">
        <is>
          <t>Original</t>
        </is>
      </c>
      <c r="E1218" s="2" t="inlineStr">
        <is>
          <t>CH</t>
        </is>
      </c>
      <c r="F121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18" s="2" t="inlineStr">
        <is>
          <t>Art. 121.º-A (aditamento)</t>
        </is>
      </c>
      <c r="H1218" s="2" t="n"/>
      <c r="I1218" s="2" t="n"/>
      <c r="J1218" s="2" t="n"/>
      <c r="K1218" s="2" t="n"/>
      <c r="L1218" s="2" t="inlineStr">
        <is>
          <t>Artigo 121.º-A (Reposição da comparticipação do tratamento de imunoterapia específica com alergénios (vacina antialérgica))</t>
        </is>
      </c>
      <c r="M1218" s="4" t="n"/>
      <c r="N1218" s="4" t="n"/>
      <c r="O1218" s="2" t="n"/>
      <c r="P1218" s="2" t="n"/>
      <c r="Q1218" s="2" t="n"/>
      <c r="R1218" s="2" t="n"/>
      <c r="S1218" s="2" t="inlineStr">
        <is>
          <t>Rejeitado(a) em Comissão</t>
        </is>
      </c>
      <c r="T1218" s="2" t="inlineStr">
        <is>
          <t>Rejeitada</t>
        </is>
      </c>
      <c r="U1218" s="2" t="inlineStr">
        <is>
          <t>Favor: CH, IL, BE, PAN; Contra: PSD, CDS-PP; Abstenção: PS, L, PCP</t>
        </is>
      </c>
      <c r="V1218" s="3" t="n">
        <v>45985</v>
      </c>
      <c r="W1218" s="2" t="inlineStr">
        <is>
          <t>AR: https://www.parlamento.pt/OrcamentoEstado/Paginas/DetalhePropostaAlteracao.aspx?BID=24392 PDF: https://app.parlamento.pt/webutils/docs/doc.pdf?path=6148523063484d364c793942556b356c6443397a6158526c63793959566b6c4a544556484c3039464c7a49774d6a59794d4449314d5441774f5339515153396c4e445a695a6d517a4f4330304d4746694c54526a596a41744f5451314e4330314e32466b596d55334f545a694e6d55756347526d&amp;Fich=e46bfd38-40ab-4cb0-9454-57adbe796b6e.pdf&amp;Inline=true</t>
        </is>
      </c>
      <c r="X1218" s="2" t="inlineStr">
        <is>
          <t>Saúde</t>
        </is>
      </c>
      <c r="Y1218" s="2" t="inlineStr">
        <is>
          <t>Articulado</t>
        </is>
      </c>
      <c r="Z1218" s="2" t="inlineStr">
        <is>
          <t>Aditamento (Artigo PPL)</t>
        </is>
      </c>
      <c r="AA1218" s="2" t="inlineStr">
        <is>
          <t>Rejeitado(a) em Comissão</t>
        </is>
      </c>
      <c r="AB1218" s="2" t="inlineStr"/>
      <c r="AC1218" s="2" t="inlineStr"/>
      <c r="AD1218" s="2" t="inlineStr">
        <is>
          <t>1</t>
        </is>
      </c>
      <c r="AE1218" s="2" t="inlineStr">
        <is>
          <t>24392</t>
        </is>
      </c>
      <c r="AF1218" s="2" t="inlineStr">
        <is>
          <t>https://www.parlamento.pt/OrcamentoEstado/Paginas/DetalhePropostaAlteracao.aspx?BID=24392</t>
        </is>
      </c>
      <c r="AG1218" s="2" t="inlineStr">
        <is>
          <t>https://app.parlamento.pt/webutils/docs/doc.pdf?path=6148523063484d364c793942556b356c6443397a6158526c63793959566b6c4a544556484c3039464c7a49774d6a59794d4449314d5441774f5339515153396c4e445a695a6d517a4f4330304d4746694c54526a596a41744f5451314e4330314e32466b596d55334f545a694e6d55756347526d&amp;Fich=e46bfd38-40ab-4cb0-9454-57adbe796b6e.pdf&amp;Inline=true</t>
        </is>
      </c>
      <c r="AH1218" s="3" t="n">
        <v>46321.77847222222</v>
      </c>
      <c r="AI1218" s="3" t="n">
        <v>46321.78055555555</v>
      </c>
      <c r="AJ1218" s="2" t="inlineStr"/>
    </row>
    <row r="1219">
      <c r="A1219" s="2" t="n">
        <v>1218</v>
      </c>
      <c r="B1219" s="2" t="inlineStr">
        <is>
          <t>1152C</t>
        </is>
      </c>
      <c r="C1219" s="3" t="n">
        <v>45968.01041666666</v>
      </c>
      <c r="D1219" s="2" t="inlineStr">
        <is>
          <t>Original</t>
        </is>
      </c>
      <c r="E1219" s="2" t="inlineStr">
        <is>
          <t>CH</t>
        </is>
      </c>
      <c r="F121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19" s="2" t="inlineStr">
        <is>
          <t>Art. 136.º-A (aditamento)</t>
        </is>
      </c>
      <c r="H1219" s="2" t="n"/>
      <c r="I1219" s="2" t="n"/>
      <c r="J1219" s="2" t="n"/>
      <c r="K1219" s="2" t="n"/>
      <c r="L1219" s="2" t="inlineStr">
        <is>
          <t>Artigo 136.º-A (Alteração ao Decreto-Lei n.º 10/2015, de 16 de janeiro)</t>
        </is>
      </c>
      <c r="M1219" s="4" t="n"/>
      <c r="N1219" s="4" t="n"/>
      <c r="O1219" s="2" t="n"/>
      <c r="P1219" s="2" t="n"/>
      <c r="Q1219" s="2" t="n"/>
      <c r="R1219" s="2" t="n"/>
      <c r="S1219" s="2" t="inlineStr">
        <is>
          <t>Rejeitado(a) em Comissão</t>
        </is>
      </c>
      <c r="T1219" s="2" t="inlineStr">
        <is>
          <t>Rejeitada</t>
        </is>
      </c>
      <c r="U1219" s="2" t="inlineStr">
        <is>
          <t>Favor: CH, BE; Contra: PSD, PS, CDS-PP, PAN; Abstenção: IL, L, PCP</t>
        </is>
      </c>
      <c r="V1219" s="3" t="n">
        <v>45987</v>
      </c>
      <c r="W1219" s="2" t="inlineStr">
        <is>
          <t>AR: https://www.parlamento.pt/OrcamentoEstado/Paginas/DetalhePropostaAlteracao.aspx?BID=24393 PDF: https://app.parlamento.pt/webutils/docs/doc.pdf?path=6148523063484d364c793942556b356c6443397a6158526c63793959566b6c4a544556484c3039464c7a49774d6a59794d4449314d5441774f53395151533830595445354d324d784e7931684e3249794c54526859544574595467785a5330335a5755314e5467315954677a4d6a67756347526d&amp;Fich=4a193c17-a7b2-4aa1-a81e-7ee5585a8328.pdf&amp;Inline=true</t>
        </is>
      </c>
      <c r="X1219" s="2" t="inlineStr">
        <is>
          <t>Reforma do Estado e Poder Local</t>
        </is>
      </c>
      <c r="Y1219" s="2" t="inlineStr">
        <is>
          <t>Articulado</t>
        </is>
      </c>
      <c r="Z1219" s="2" t="inlineStr">
        <is>
          <t>Aditamento (Artigo PPL)</t>
        </is>
      </c>
      <c r="AA1219" s="2" t="inlineStr">
        <is>
          <t>Rejeitado(a) em Comissão</t>
        </is>
      </c>
      <c r="AB1219" s="2" t="inlineStr"/>
      <c r="AC1219" s="2" t="inlineStr"/>
      <c r="AD1219" s="2" t="inlineStr">
        <is>
          <t>1</t>
        </is>
      </c>
      <c r="AE1219" s="2" t="inlineStr">
        <is>
          <t>24393</t>
        </is>
      </c>
      <c r="AF1219" s="2" t="inlineStr">
        <is>
          <t>https://www.parlamento.pt/OrcamentoEstado/Paginas/DetalhePropostaAlteracao.aspx?BID=24393</t>
        </is>
      </c>
      <c r="AG1219" s="2" t="inlineStr">
        <is>
          <t>https://app.parlamento.pt/webutils/docs/doc.pdf?path=6148523063484d364c793942556b356c6443397a6158526c63793959566b6c4a544556484c3039464c7a49774d6a59794d4449314d5441774f53395151533830595445354d324d784e7931684e3249794c54526859544574595467785a5330335a5755314e5467315954677a4d6a67756347526d&amp;Fich=4a193c17-a7b2-4aa1-a81e-7ee5585a8328.pdf&amp;Inline=true</t>
        </is>
      </c>
      <c r="AH1219" s="3" t="n">
        <v>46321.77847222222</v>
      </c>
      <c r="AI1219" s="3" t="n">
        <v>46321.78055555555</v>
      </c>
      <c r="AJ1219" s="2" t="inlineStr"/>
    </row>
    <row r="1220">
      <c r="A1220" s="2" t="n">
        <v>1219</v>
      </c>
      <c r="B1220" s="2" t="inlineStr">
        <is>
          <t>1153C</t>
        </is>
      </c>
      <c r="C1220" s="3" t="n">
        <v>45968.01111111111</v>
      </c>
      <c r="D1220" s="2" t="inlineStr">
        <is>
          <t>Original</t>
        </is>
      </c>
      <c r="E1220" s="2" t="inlineStr">
        <is>
          <t>CH</t>
        </is>
      </c>
      <c r="F122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20" s="2" t="inlineStr">
        <is>
          <t>Art. 123.º-A (aditamento)</t>
        </is>
      </c>
      <c r="H1220" s="2" t="n"/>
      <c r="I1220" s="2" t="n"/>
      <c r="J1220" s="2" t="n"/>
      <c r="K1220" s="2" t="n"/>
      <c r="L1220" s="2" t="inlineStr">
        <is>
          <t>Artigo 123.º-A (Expansão da rede de Metro Sul do Tejo à Cruz do Pau)</t>
        </is>
      </c>
      <c r="M1220" s="4" t="n"/>
      <c r="N1220" s="4" t="n"/>
      <c r="O1220" s="2" t="n"/>
      <c r="P1220" s="2" t="n"/>
      <c r="Q1220" s="2" t="n"/>
      <c r="R1220" s="2" t="n"/>
      <c r="S1220" s="2" t="inlineStr">
        <is>
          <t>Rejeitado(a) em Comissão</t>
        </is>
      </c>
      <c r="T1220" s="2" t="inlineStr">
        <is>
          <t>Rejeitada</t>
        </is>
      </c>
      <c r="U1220" s="2" t="inlineStr">
        <is>
          <t>Favor: CH, BE, PAN; Contra: PSD, CDS-PP; Abstenção: PS, IL, L, PCP</t>
        </is>
      </c>
      <c r="V1220" s="3" t="n">
        <v>45985</v>
      </c>
      <c r="W1220" s="2" t="inlineStr">
        <is>
          <t>AR: https://www.parlamento.pt/OrcamentoEstado/Paginas/DetalhePropostaAlteracao.aspx?BID=24394 PDF: https://app.parlamento.pt/webutils/docs/doc.pdf?path=6148523063484d364c793942556b356c6443397a6158526c63793959566b6c4a544556484c3039464c7a49774d6a59794d4449314d5441774f533951515338314e44493159544d7a5a69316a4e6a51794c54517a4d44517459574d314f43307a4e4455325a57566a4f444d304e6a41756347526d&amp;Fich=5425a33f-c642-4304-ac58-3456eec83460.pdf&amp;Inline=true</t>
        </is>
      </c>
      <c r="X1220" s="2" t="inlineStr">
        <is>
          <t>Infraestruturas, Mobilidade e Habitação</t>
        </is>
      </c>
      <c r="Y1220" s="2" t="inlineStr">
        <is>
          <t>Articulado</t>
        </is>
      </c>
      <c r="Z1220" s="2" t="inlineStr">
        <is>
          <t>Aditamento (Artigo PPL)</t>
        </is>
      </c>
      <c r="AA1220" s="2" t="inlineStr">
        <is>
          <t>Rejeitado(a) em Comissão</t>
        </is>
      </c>
      <c r="AB1220" s="2" t="inlineStr"/>
      <c r="AC1220" s="2" t="inlineStr"/>
      <c r="AD1220" s="2" t="inlineStr">
        <is>
          <t>1</t>
        </is>
      </c>
      <c r="AE1220" s="2" t="inlineStr">
        <is>
          <t>24394</t>
        </is>
      </c>
      <c r="AF1220" s="2" t="inlineStr">
        <is>
          <t>https://www.parlamento.pt/OrcamentoEstado/Paginas/DetalhePropostaAlteracao.aspx?BID=24394</t>
        </is>
      </c>
      <c r="AG1220" s="2" t="inlineStr">
        <is>
          <t>https://app.parlamento.pt/webutils/docs/doc.pdf?path=6148523063484d364c793942556b356c6443397a6158526c63793959566b6c4a544556484c3039464c7a49774d6a59794d4449314d5441774f533951515338314e44493159544d7a5a69316a4e6a51794c54517a4d44517459574d314f43307a4e4455325a57566a4f444d304e6a41756347526d&amp;Fich=5425a33f-c642-4304-ac58-3456eec83460.pdf&amp;Inline=true</t>
        </is>
      </c>
      <c r="AH1220" s="3" t="n">
        <v>46321.77847222222</v>
      </c>
      <c r="AI1220" s="3" t="n">
        <v>46321.78055555555</v>
      </c>
      <c r="AJ1220" s="2" t="inlineStr"/>
    </row>
    <row r="1221">
      <c r="A1221" s="2" t="n">
        <v>1220</v>
      </c>
      <c r="B1221" s="2" t="inlineStr">
        <is>
          <t>1154C</t>
        </is>
      </c>
      <c r="C1221" s="3" t="n">
        <v>45968.01180555556</v>
      </c>
      <c r="D1221" s="2" t="inlineStr">
        <is>
          <t>Original</t>
        </is>
      </c>
      <c r="E1221" s="2" t="inlineStr">
        <is>
          <t>CH</t>
        </is>
      </c>
      <c r="F122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21" s="2" t="inlineStr">
        <is>
          <t>Art. 123.º-A (aditamento)</t>
        </is>
      </c>
      <c r="H1221" s="2" t="n"/>
      <c r="I1221" s="2" t="n"/>
      <c r="J1221" s="2" t="n"/>
      <c r="K1221" s="2" t="n"/>
      <c r="L1221" s="2" t="inlineStr">
        <is>
          <t>Artigo 123.º-A (Expansão da rede de Metro Sul do Tejo à Costa da Caparica)</t>
        </is>
      </c>
      <c r="M1221" s="4" t="n"/>
      <c r="N1221" s="4" t="n"/>
      <c r="O1221" s="2" t="n"/>
      <c r="P1221" s="2" t="n"/>
      <c r="Q1221" s="2" t="n"/>
      <c r="R1221" s="2" t="n"/>
      <c r="S1221" s="2" t="inlineStr">
        <is>
          <t>Rejeitado(a) em Comissão</t>
        </is>
      </c>
      <c r="T1221" s="2" t="inlineStr">
        <is>
          <t>Rejeitada</t>
        </is>
      </c>
      <c r="U1221" s="2" t="inlineStr">
        <is>
          <t>Favor: CH, BE, PAN; Contra: PSD, CDS-PP; Abstenção: PS, IL, L, PCP</t>
        </is>
      </c>
      <c r="V1221" s="3" t="n">
        <v>45985</v>
      </c>
      <c r="W1221" s="2" t="inlineStr">
        <is>
          <t>AR: https://www.parlamento.pt/OrcamentoEstado/Paginas/DetalhePropostaAlteracao.aspx?BID=24395 PDF: https://app.parlamento.pt/webutils/docs/doc.pdf?path=6148523063484d364c793942556b356c6443397a6158526c63793959566b6c4a544556484c3039464c7a49774d6a59794d4449314d5441774f53395151533835595755785a6a5a6c5a43316a4d4446684c54526c4d7a63744f475268596930304e7a5134596d45335a44646b59544d756347526d&amp;Fich=9ae1f6ed-c01a-4e37-8dab-4748ba7d7da3.pdf&amp;Inline=true</t>
        </is>
      </c>
      <c r="X1221" s="2" t="inlineStr">
        <is>
          <t>Infraestruturas, Mobilidade e Habitação</t>
        </is>
      </c>
      <c r="Y1221" s="2" t="inlineStr">
        <is>
          <t>Articulado</t>
        </is>
      </c>
      <c r="Z1221" s="2" t="inlineStr">
        <is>
          <t>Aditamento (Artigo PPL)</t>
        </is>
      </c>
      <c r="AA1221" s="2" t="inlineStr">
        <is>
          <t>Rejeitado(a) em Comissão</t>
        </is>
      </c>
      <c r="AB1221" s="2" t="inlineStr"/>
      <c r="AC1221" s="2" t="inlineStr"/>
      <c r="AD1221" s="2" t="inlineStr">
        <is>
          <t>1</t>
        </is>
      </c>
      <c r="AE1221" s="2" t="inlineStr">
        <is>
          <t>24395</t>
        </is>
      </c>
      <c r="AF1221" s="2" t="inlineStr">
        <is>
          <t>https://www.parlamento.pt/OrcamentoEstado/Paginas/DetalhePropostaAlteracao.aspx?BID=24395</t>
        </is>
      </c>
      <c r="AG1221" s="2" t="inlineStr">
        <is>
          <t>https://app.parlamento.pt/webutils/docs/doc.pdf?path=6148523063484d364c793942556b356c6443397a6158526c63793959566b6c4a544556484c3039464c7a49774d6a59794d4449314d5441774f53395151533835595755785a6a5a6c5a43316a4d4446684c54526c4d7a63744f475268596930304e7a5134596d45335a44646b59544d756347526d&amp;Fich=9ae1f6ed-c01a-4e37-8dab-4748ba7d7da3.pdf&amp;Inline=true</t>
        </is>
      </c>
      <c r="AH1221" s="3" t="n">
        <v>46321.77847222222</v>
      </c>
      <c r="AI1221" s="3" t="n">
        <v>46321.78055555555</v>
      </c>
      <c r="AJ1221" s="2" t="inlineStr"/>
    </row>
    <row r="1222">
      <c r="A1222" s="2" t="n">
        <v>1221</v>
      </c>
      <c r="B1222" s="2" t="inlineStr">
        <is>
          <t>1155C</t>
        </is>
      </c>
      <c r="C1222" s="3" t="n">
        <v>45968.0125</v>
      </c>
      <c r="D1222" s="2" t="inlineStr">
        <is>
          <t>Original</t>
        </is>
      </c>
      <c r="E1222" s="2" t="inlineStr">
        <is>
          <t>CH</t>
        </is>
      </c>
      <c r="F122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22" s="2" t="inlineStr">
        <is>
          <t>Art. 136.º-A (aditamento)</t>
        </is>
      </c>
      <c r="H1222" s="2" t="n"/>
      <c r="I1222" s="2" t="n"/>
      <c r="J1222" s="2" t="n"/>
      <c r="K1222" s="2" t="n"/>
      <c r="L1222" s="2" t="inlineStr">
        <is>
          <t>Artigo 136.º-A (Criação dos tribunais administrativos de Santarém e Viana do Castelo)</t>
        </is>
      </c>
      <c r="M1222" s="4" t="n"/>
      <c r="N1222" s="4" t="n"/>
      <c r="O1222" s="2" t="n"/>
      <c r="P1222" s="2" t="n"/>
      <c r="Q1222" s="2" t="n"/>
      <c r="R1222" s="2" t="n"/>
      <c r="S1222" s="2" t="inlineStr">
        <is>
          <t>Rejeitado(a) em Comissão</t>
        </is>
      </c>
      <c r="T1222" s="2" t="inlineStr">
        <is>
          <t>Rejeitada</t>
        </is>
      </c>
      <c r="U1222" s="2" t="inlineStr">
        <is>
          <t>Favor: CH, IL, PAN; Contra: PSD, CDS-PP; Abstenção: PS, L, PCP, BE</t>
        </is>
      </c>
      <c r="V1222" s="3" t="n">
        <v>45987</v>
      </c>
      <c r="W1222" s="2" t="inlineStr">
        <is>
          <t>AR: https://www.parlamento.pt/OrcamentoEstado/Paginas/DetalhePropostaAlteracao.aspx?BID=24396 PDF: https://app.parlamento.pt/webutils/docs/doc.pdf?path=6148523063484d364c793942556b356c6443397a6158526c63793959566b6c4a544556484c3039464c7a49774d6a59794d4449314d5441774f533951515338304d7a6b7a5a4467304f4330345a575a6d4c5451315a6d51744f4463795a4330354d7a59345a6d55775a574d314e4749756347526d&amp;Fich=4393d848-8eff-45fd-872d-9368fe0ec54b.pdf&amp;Inline=true</t>
        </is>
      </c>
      <c r="X1222" s="2" t="inlineStr">
        <is>
          <t>Assuntos Constitucionais, Direitos, Liberdades e Garantias</t>
        </is>
      </c>
      <c r="Y1222" s="2" t="inlineStr">
        <is>
          <t>Articulado</t>
        </is>
      </c>
      <c r="Z1222" s="2" t="inlineStr">
        <is>
          <t>Aditamento (Artigo PPL)</t>
        </is>
      </c>
      <c r="AA1222" s="2" t="inlineStr">
        <is>
          <t>Rejeitado(a) em Comissão</t>
        </is>
      </c>
      <c r="AB1222" s="2" t="inlineStr"/>
      <c r="AC1222" s="2" t="inlineStr"/>
      <c r="AD1222" s="2" t="inlineStr">
        <is>
          <t>1</t>
        </is>
      </c>
      <c r="AE1222" s="2" t="inlineStr">
        <is>
          <t>24396</t>
        </is>
      </c>
      <c r="AF1222" s="2" t="inlineStr">
        <is>
          <t>https://www.parlamento.pt/OrcamentoEstado/Paginas/DetalhePropostaAlteracao.aspx?BID=24396</t>
        </is>
      </c>
      <c r="AG1222" s="2" t="inlineStr">
        <is>
          <t>https://app.parlamento.pt/webutils/docs/doc.pdf?path=6148523063484d364c793942556b356c6443397a6158526c63793959566b6c4a544556484c3039464c7a49774d6a59794d4449314d5441774f533951515338304d7a6b7a5a4467304f4330345a575a6d4c5451315a6d51744f4463795a4330354d7a59345a6d55775a574d314e4749756347526d&amp;Fich=4393d848-8eff-45fd-872d-9368fe0ec54b.pdf&amp;Inline=true</t>
        </is>
      </c>
      <c r="AH1222" s="3" t="n">
        <v>46321.77847222222</v>
      </c>
      <c r="AI1222" s="3" t="n">
        <v>46321.78055555555</v>
      </c>
      <c r="AJ1222" s="2" t="inlineStr"/>
    </row>
    <row r="1223">
      <c r="A1223" s="2" t="n">
        <v>1222</v>
      </c>
      <c r="B1223" s="2" t="inlineStr">
        <is>
          <t>1156C</t>
        </is>
      </c>
      <c r="C1223" s="3" t="n">
        <v>45968.01458333333</v>
      </c>
      <c r="D1223" s="2" t="inlineStr">
        <is>
          <t>Original</t>
        </is>
      </c>
      <c r="E1223" s="2" t="inlineStr">
        <is>
          <t>CH</t>
        </is>
      </c>
      <c r="F122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23" s="2" t="inlineStr">
        <is>
          <t>Art. 136.º-A (aditamento)</t>
        </is>
      </c>
      <c r="H1223" s="2" t="n"/>
      <c r="I1223" s="2" t="n"/>
      <c r="J1223" s="2" t="n"/>
      <c r="K1223" s="2" t="n"/>
      <c r="L1223" s="2" t="inlineStr">
        <is>
          <t>Artigo 136.º-A (Sistemas Locais de Saúde (SLS))</t>
        </is>
      </c>
      <c r="M1223" s="4" t="n"/>
      <c r="N1223" s="4" t="n"/>
      <c r="O1223" s="2" t="n"/>
      <c r="P1223" s="2" t="n"/>
      <c r="Q1223" s="2" t="n"/>
      <c r="R1223" s="2" t="n"/>
      <c r="S1223" s="2" t="inlineStr">
        <is>
          <t>Rejeitado(a) em Comissão</t>
        </is>
      </c>
      <c r="T1223" s="2" t="inlineStr">
        <is>
          <t>Rejeitada</t>
        </is>
      </c>
      <c r="U1223" s="2" t="inlineStr">
        <is>
          <t>Favor: CH, BE, PAN; Contra: PSD, L, PCP, CDS-PP; Abstenção: PS, IL</t>
        </is>
      </c>
      <c r="V1223" s="3" t="n">
        <v>45987</v>
      </c>
      <c r="W1223" s="2" t="inlineStr">
        <is>
          <t>AR: https://www.parlamento.pt/OrcamentoEstado/Paginas/DetalhePropostaAlteracao.aspx?BID=24397 PDF: https://app.parlamento.pt/webutils/docs/doc.pdf?path=6148523063484d364c793942556b356c6443397a6158526c63793959566b6c4a544556484c3039464c7a49774d6a59794d4449314d5441774f533951515338794d5467774d446c68595330354e4751344c5452685a544d744f5459794e693079593245334e6a59345a54466b4f446b756347526d&amp;Fich=218009aa-94d8-4ae3-9626-2ca7668e1d89.pdf&amp;Inline=true</t>
        </is>
      </c>
      <c r="X1223" s="2" t="inlineStr">
        <is>
          <t>Saúde</t>
        </is>
      </c>
      <c r="Y1223" s="2" t="inlineStr">
        <is>
          <t>Articulado</t>
        </is>
      </c>
      <c r="Z1223" s="2" t="inlineStr">
        <is>
          <t>Aditamento (Artigo PPL)</t>
        </is>
      </c>
      <c r="AA1223" s="2" t="inlineStr">
        <is>
          <t>Rejeitado(a) em Comissão</t>
        </is>
      </c>
      <c r="AB1223" s="2" t="inlineStr"/>
      <c r="AC1223" s="2" t="inlineStr"/>
      <c r="AD1223" s="2" t="inlineStr">
        <is>
          <t>1</t>
        </is>
      </c>
      <c r="AE1223" s="2" t="inlineStr">
        <is>
          <t>24397</t>
        </is>
      </c>
      <c r="AF1223" s="2" t="inlineStr">
        <is>
          <t>https://www.parlamento.pt/OrcamentoEstado/Paginas/DetalhePropostaAlteracao.aspx?BID=24397</t>
        </is>
      </c>
      <c r="AG1223" s="2" t="inlineStr">
        <is>
          <t>https://app.parlamento.pt/webutils/docs/doc.pdf?path=6148523063484d364c793942556b356c6443397a6158526c63793959566b6c4a544556484c3039464c7a49774d6a59794d4449314d5441774f533951515338794d5467774d446c68595330354e4751344c5452685a544d744f5459794e693079593245334e6a59345a54466b4f446b756347526d&amp;Fich=218009aa-94d8-4ae3-9626-2ca7668e1d89.pdf&amp;Inline=true</t>
        </is>
      </c>
      <c r="AH1223" s="3" t="n">
        <v>46321.77847222222</v>
      </c>
      <c r="AI1223" s="3" t="n">
        <v>46321.78055555555</v>
      </c>
      <c r="AJ1223" s="2" t="inlineStr"/>
    </row>
    <row r="1224">
      <c r="A1224" s="2" t="n">
        <v>1223</v>
      </c>
      <c r="B1224" s="2" t="inlineStr">
        <is>
          <t>1157C</t>
        </is>
      </c>
      <c r="C1224" s="3" t="n">
        <v>45968.01458333333</v>
      </c>
      <c r="D1224" s="2" t="inlineStr">
        <is>
          <t>Original</t>
        </is>
      </c>
      <c r="E1224" s="2" t="inlineStr">
        <is>
          <t>CH</t>
        </is>
      </c>
      <c r="F122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24" s="2" t="inlineStr">
        <is>
          <t>Art. 126.º-A (aditamento)</t>
        </is>
      </c>
      <c r="H1224" s="2" t="n"/>
      <c r="I1224" s="2" t="n"/>
      <c r="J1224" s="2" t="n"/>
      <c r="K1224" s="2" t="n"/>
      <c r="L1224" s="2" t="inlineStr">
        <is>
          <t>Artigo 126.º-A (Programa Nacional de Microturbinas Eólicas Domésticas)</t>
        </is>
      </c>
      <c r="M1224" s="4" t="n"/>
      <c r="N1224" s="4" t="n"/>
      <c r="O1224" s="2" t="n"/>
      <c r="P1224" s="2" t="n"/>
      <c r="Q1224" s="2" t="n"/>
      <c r="R1224" s="2" t="n"/>
      <c r="S1224" s="2" t="inlineStr">
        <is>
          <t>Rejeitado(a) em Comissão</t>
        </is>
      </c>
      <c r="T1224" s="2" t="inlineStr">
        <is>
          <t>Rejeitada</t>
        </is>
      </c>
      <c r="U1224" s="2" t="inlineStr">
        <is>
          <t>Favor: CH, PAN; Contra: PSD, IL, CDS-PP, BE; Abstenção: PS, L, PCP</t>
        </is>
      </c>
      <c r="V1224" s="3" t="n">
        <v>45985</v>
      </c>
      <c r="W1224" s="2" t="inlineStr">
        <is>
          <t>AR: https://www.parlamento.pt/OrcamentoEstado/Paginas/DetalhePropostaAlteracao.aspx?BID=24398 PDF: https://app.parlamento.pt/webutils/docs/doc.pdf?path=6148523063484d364c793942556b356c6443397a6158526c63793959566b6c4a544556484c3039464c7a49774d6a59794d4449314d5441774f5339515153396a4f5751774d32497a4f4331685a5441784c545132596a45744f4755315a5330305a6a42684f444534597a6b305a4441756347526d&amp;Fich=c9d03b38-ae01-46b1-8e5e-4f0a818c94d0.pdf&amp;Inline=true</t>
        </is>
      </c>
      <c r="X1224" s="2" t="inlineStr">
        <is>
          <t>Ambiente e Energia</t>
        </is>
      </c>
      <c r="Y1224" s="2" t="inlineStr">
        <is>
          <t>Articulado</t>
        </is>
      </c>
      <c r="Z1224" s="2" t="inlineStr">
        <is>
          <t>Aditamento (Artigo PPL)</t>
        </is>
      </c>
      <c r="AA1224" s="2" t="inlineStr">
        <is>
          <t>Rejeitado(a) em Comissão</t>
        </is>
      </c>
      <c r="AB1224" s="2" t="inlineStr"/>
      <c r="AC1224" s="2" t="inlineStr"/>
      <c r="AD1224" s="2" t="inlineStr">
        <is>
          <t>1</t>
        </is>
      </c>
      <c r="AE1224" s="2" t="inlineStr">
        <is>
          <t>24398</t>
        </is>
      </c>
      <c r="AF1224" s="2" t="inlineStr">
        <is>
          <t>https://www.parlamento.pt/OrcamentoEstado/Paginas/DetalhePropostaAlteracao.aspx?BID=24398</t>
        </is>
      </c>
      <c r="AG1224" s="2" t="inlineStr">
        <is>
          <t>https://app.parlamento.pt/webutils/docs/doc.pdf?path=6148523063484d364c793942556b356c6443397a6158526c63793959566b6c4a544556484c3039464c7a49774d6a59794d4449314d5441774f5339515153396a4f5751774d32497a4f4331685a5441784c545132596a45744f4755315a5330305a6a42684f444534597a6b305a4441756347526d&amp;Fich=c9d03b38-ae01-46b1-8e5e-4f0a818c94d0.pdf&amp;Inline=true</t>
        </is>
      </c>
      <c r="AH1224" s="3" t="n">
        <v>46321.77847222222</v>
      </c>
      <c r="AI1224" s="3" t="n">
        <v>46321.78055555555</v>
      </c>
      <c r="AJ1224" s="2" t="inlineStr"/>
    </row>
    <row r="1225">
      <c r="A1225" s="2" t="n">
        <v>1224</v>
      </c>
      <c r="B1225" s="2" t="inlineStr">
        <is>
          <t>1158C</t>
        </is>
      </c>
      <c r="C1225" s="3" t="n">
        <v>45968.01597222222</v>
      </c>
      <c r="D1225" s="2" t="inlineStr">
        <is>
          <t>Original</t>
        </is>
      </c>
      <c r="E1225" s="2" t="inlineStr">
        <is>
          <t>CH</t>
        </is>
      </c>
      <c r="F122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25" s="2" t="inlineStr">
        <is>
          <t>Art. 126.º-A (aditamento)</t>
        </is>
      </c>
      <c r="H1225" s="2" t="n"/>
      <c r="I1225" s="2" t="n"/>
      <c r="J1225" s="2" t="n"/>
      <c r="K1225" s="2" t="n"/>
      <c r="L1225" s="2" t="inlineStr">
        <is>
          <t>Artigo 126.º-A (Reparação da Barragem da Póvoa e Meadas)</t>
        </is>
      </c>
      <c r="M1225" s="4" t="n"/>
      <c r="N1225" s="4" t="n"/>
      <c r="O1225" s="2" t="n"/>
      <c r="P1225" s="2" t="n"/>
      <c r="Q1225" s="2" t="n"/>
      <c r="R1225" s="2" t="n"/>
      <c r="S1225" s="2" t="inlineStr">
        <is>
          <t>Rejeitado(a) em Comissão</t>
        </is>
      </c>
      <c r="T1225" s="2" t="inlineStr">
        <is>
          <t>Rejeitada</t>
        </is>
      </c>
      <c r="U1225" s="2" t="inlineStr">
        <is>
          <t>Favor: CH, IL, PAN; Contra: PSD, CDS-PP; Abstenção: PS, L, PCP, BE</t>
        </is>
      </c>
      <c r="V1225" s="3" t="n">
        <v>45985</v>
      </c>
      <c r="W1225" s="2" t="inlineStr">
        <is>
          <t>AR: https://www.parlamento.pt/OrcamentoEstado/Paginas/DetalhePropostaAlteracao.aspx?BID=24399 PDF: https://app.parlamento.pt/webutils/docs/doc.pdf?path=6148523063484d364c793942556b356c6443397a6158526c63793959566b6c4a544556484c3039464c7a49774d6a59794d4449314d5441774f533951515338784e445a6d595751345a6931685a4459774c54517a4e5749744f54686c4f4330795a544d3059546c684f54466b593245756347526d&amp;Fich=146fad8f-ad60-435b-98e8-2e34a9a91dca.pdf&amp;Inline=true</t>
        </is>
      </c>
      <c r="X1225" s="2" t="inlineStr">
        <is>
          <t>Ambiente e Energia</t>
        </is>
      </c>
      <c r="Y1225" s="2" t="inlineStr">
        <is>
          <t>Articulado</t>
        </is>
      </c>
      <c r="Z1225" s="2" t="inlineStr">
        <is>
          <t>Aditamento (Artigo PPL)</t>
        </is>
      </c>
      <c r="AA1225" s="2" t="inlineStr">
        <is>
          <t>Rejeitado(a) em Comissão</t>
        </is>
      </c>
      <c r="AB1225" s="2" t="inlineStr"/>
      <c r="AC1225" s="2" t="inlineStr"/>
      <c r="AD1225" s="2" t="inlineStr">
        <is>
          <t>1</t>
        </is>
      </c>
      <c r="AE1225" s="2" t="inlineStr">
        <is>
          <t>24399</t>
        </is>
      </c>
      <c r="AF1225" s="2" t="inlineStr">
        <is>
          <t>https://www.parlamento.pt/OrcamentoEstado/Paginas/DetalhePropostaAlteracao.aspx?BID=24399</t>
        </is>
      </c>
      <c r="AG1225" s="2" t="inlineStr">
        <is>
          <t>https://app.parlamento.pt/webutils/docs/doc.pdf?path=6148523063484d364c793942556b356c6443397a6158526c63793959566b6c4a544556484c3039464c7a49774d6a59794d4449314d5441774f533951515338784e445a6d595751345a6931685a4459774c54517a4e5749744f54686c4f4330795a544d3059546c684f54466b593245756347526d&amp;Fich=146fad8f-ad60-435b-98e8-2e34a9a91dca.pdf&amp;Inline=true</t>
        </is>
      </c>
      <c r="AH1225" s="3" t="n">
        <v>46321.77847222222</v>
      </c>
      <c r="AI1225" s="3" t="n">
        <v>46321.78055555555</v>
      </c>
      <c r="AJ1225" s="2" t="inlineStr"/>
    </row>
    <row r="1226">
      <c r="A1226" s="2" t="n">
        <v>1225</v>
      </c>
      <c r="B1226" s="2" t="inlineStr">
        <is>
          <t>1159C</t>
        </is>
      </c>
      <c r="C1226" s="3" t="n">
        <v>45968.01597222222</v>
      </c>
      <c r="D1226" s="2" t="inlineStr">
        <is>
          <t>Original</t>
        </is>
      </c>
      <c r="E1226" s="2" t="inlineStr">
        <is>
          <t>CH</t>
        </is>
      </c>
      <c r="F122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26" s="2" t="inlineStr">
        <is>
          <t>Art. 136.º-A (aditamento)</t>
        </is>
      </c>
      <c r="H1226" s="2" t="n"/>
      <c r="I1226" s="2" t="n"/>
      <c r="J1226" s="2" t="n"/>
      <c r="K1226" s="2" t="n"/>
      <c r="L1226" s="2" t="inlineStr">
        <is>
          <t>Artigo 136.º-A (Alteração ao Decreto-Lei n.º 4/2017, de 6 de janeiro)</t>
        </is>
      </c>
      <c r="M1226" s="4" t="n"/>
      <c r="N1226" s="4" t="n"/>
      <c r="O1226" s="2" t="n"/>
      <c r="P1226" s="2" t="n"/>
      <c r="Q1226" s="2" t="n"/>
      <c r="R1226" s="2" t="n"/>
      <c r="S1226" s="2" t="inlineStr">
        <is>
          <t>Rejeitado(a) em Comissão</t>
        </is>
      </c>
      <c r="T1226" s="2" t="inlineStr">
        <is>
          <t>Rejeitada</t>
        </is>
      </c>
      <c r="U1226" s="2" t="inlineStr">
        <is>
          <t>Favor: CH, BE, PAN; Contra: PSD, PS, IL, CDS-PP; Abstenção: L, PCP</t>
        </is>
      </c>
      <c r="V1226" s="3" t="n">
        <v>45987</v>
      </c>
      <c r="W1226" s="2" t="inlineStr">
        <is>
          <t>AR: https://www.parlamento.pt/OrcamentoEstado/Paginas/DetalhePropostaAlteracao.aspx?BID=24400 PDF: https://app.parlamento.pt/webutils/docs/doc.pdf?path=6148523063484d364c793942556b356c6443397a6158526c63793959566b6c4a544556484c3039464c7a49774d6a59794d4449314d5441774f5339515153387a5a574534597a566c4e79316c4e7a646c4c545131596d55744f4751354f53307a4e7a55324e7a557a593249774d6a49756347526d&amp;Fich=3ea8c5e7-e77e-45be-8d99-3756753cb022.pdf&amp;Inline=true</t>
        </is>
      </c>
      <c r="X1226" s="2" t="inlineStr">
        <is>
          <t>Assuntos Constitucionais, Direitos, Liberdades e Garantias</t>
        </is>
      </c>
      <c r="Y1226" s="2" t="inlineStr">
        <is>
          <t>Articulado</t>
        </is>
      </c>
      <c r="Z1226" s="2" t="inlineStr">
        <is>
          <t>Aditamento (Artigo PPL)</t>
        </is>
      </c>
      <c r="AA1226" s="2" t="inlineStr">
        <is>
          <t>Rejeitado(a) em Comissão</t>
        </is>
      </c>
      <c r="AB1226" s="2" t="inlineStr"/>
      <c r="AC1226" s="2" t="inlineStr"/>
      <c r="AD1226" s="2" t="inlineStr">
        <is>
          <t>1</t>
        </is>
      </c>
      <c r="AE1226" s="2" t="inlineStr">
        <is>
          <t>24400</t>
        </is>
      </c>
      <c r="AF1226" s="2" t="inlineStr">
        <is>
          <t>https://www.parlamento.pt/OrcamentoEstado/Paginas/DetalhePropostaAlteracao.aspx?BID=24400</t>
        </is>
      </c>
      <c r="AG1226" s="2" t="inlineStr">
        <is>
          <t>https://app.parlamento.pt/webutils/docs/doc.pdf?path=6148523063484d364c793942556b356c6443397a6158526c63793959566b6c4a544556484c3039464c7a49774d6a59794d4449314d5441774f5339515153387a5a574534597a566c4e79316c4e7a646c4c545131596d55744f4751354f53307a4e7a55324e7a557a593249774d6a49756347526d&amp;Fich=3ea8c5e7-e77e-45be-8d99-3756753cb022.pdf&amp;Inline=true</t>
        </is>
      </c>
      <c r="AH1226" s="3" t="n">
        <v>46321.77847222222</v>
      </c>
      <c r="AI1226" s="3" t="n">
        <v>46321.78055555555</v>
      </c>
      <c r="AJ1226" s="2" t="inlineStr"/>
    </row>
    <row r="1227">
      <c r="A1227" s="2" t="n">
        <v>1226</v>
      </c>
      <c r="B1227" s="2" t="inlineStr">
        <is>
          <t>1160C</t>
        </is>
      </c>
      <c r="C1227" s="3" t="n">
        <v>45968.01666666667</v>
      </c>
      <c r="D1227" s="2" t="inlineStr">
        <is>
          <t>Original</t>
        </is>
      </c>
      <c r="E1227" s="2" t="inlineStr">
        <is>
          <t>CH</t>
        </is>
      </c>
      <c r="F122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27" s="2" t="inlineStr">
        <is>
          <t>Art. 126.º-A (aditamento)</t>
        </is>
      </c>
      <c r="H1227" s="2" t="n"/>
      <c r="I1227" s="2" t="n"/>
      <c r="J1227" s="2" t="n"/>
      <c r="K1227" s="2" t="n"/>
      <c r="L1227" s="2" t="inlineStr">
        <is>
          <t>Artigo 126.º-A (Incentivo para Culturas de Absorção de Carbono)</t>
        </is>
      </c>
      <c r="M1227" s="4" t="n"/>
      <c r="N1227" s="4" t="n"/>
      <c r="O1227" s="2" t="n"/>
      <c r="P1227" s="2" t="n"/>
      <c r="Q1227" s="2" t="n"/>
      <c r="R1227" s="2" t="n"/>
      <c r="S1227" s="2" t="inlineStr">
        <is>
          <t>Rejeitado(a) em Comissão</t>
        </is>
      </c>
      <c r="T1227" s="2" t="inlineStr">
        <is>
          <t>Rejeitada</t>
        </is>
      </c>
      <c r="U1227" s="2" t="inlineStr">
        <is>
          <t>Favor: CH, PAN; Contra: PSD, IL, PCP, CDS-PP, BE; Abstenção: PS, L</t>
        </is>
      </c>
      <c r="V1227" s="3" t="n">
        <v>45985</v>
      </c>
      <c r="W1227" s="2" t="inlineStr">
        <is>
          <t>AR: https://www.parlamento.pt/OrcamentoEstado/Paginas/DetalhePropostaAlteracao.aspx?BID=24401 PDF: https://app.parlamento.pt/webutils/docs/doc.pdf?path=6148523063484d364c793942556b356c6443397a6158526c63793959566b6c4a544556484c3039464c7a49774d6a59794d4449314d5441774f53395151533878593245324f47597a596930354e7a49784c54526c4d5441744f4751324e43316b4d7a63324e5441794f47566d4e4759756347526d&amp;Fich=1ca68f3b-9721-4e10-8d64-d3765028ef4f.pdf&amp;Inline=true</t>
        </is>
      </c>
      <c r="X1227" s="2" t="inlineStr">
        <is>
          <t>Ambiente e Energia</t>
        </is>
      </c>
      <c r="Y1227" s="2" t="inlineStr">
        <is>
          <t>Articulado</t>
        </is>
      </c>
      <c r="Z1227" s="2" t="inlineStr">
        <is>
          <t>Aditamento (Artigo PPL)</t>
        </is>
      </c>
      <c r="AA1227" s="2" t="inlineStr">
        <is>
          <t>Rejeitado(a) em Comissão</t>
        </is>
      </c>
      <c r="AB1227" s="2" t="inlineStr"/>
      <c r="AC1227" s="2" t="inlineStr"/>
      <c r="AD1227" s="2" t="inlineStr">
        <is>
          <t>1</t>
        </is>
      </c>
      <c r="AE1227" s="2" t="inlineStr">
        <is>
          <t>24401</t>
        </is>
      </c>
      <c r="AF1227" s="2" t="inlineStr">
        <is>
          <t>https://www.parlamento.pt/OrcamentoEstado/Paginas/DetalhePropostaAlteracao.aspx?BID=24401</t>
        </is>
      </c>
      <c r="AG1227" s="2" t="inlineStr">
        <is>
          <t>https://app.parlamento.pt/webutils/docs/doc.pdf?path=6148523063484d364c793942556b356c6443397a6158526c63793959566b6c4a544556484c3039464c7a49774d6a59794d4449314d5441774f53395151533878593245324f47597a596930354e7a49784c54526c4d5441744f4751324e43316b4d7a63324e5441794f47566d4e4759756347526d&amp;Fich=1ca68f3b-9721-4e10-8d64-d3765028ef4f.pdf&amp;Inline=true</t>
        </is>
      </c>
      <c r="AH1227" s="3" t="n">
        <v>46321.77847222222</v>
      </c>
      <c r="AI1227" s="3" t="n">
        <v>46321.78055555555</v>
      </c>
      <c r="AJ1227" s="2" t="inlineStr"/>
    </row>
    <row r="1228">
      <c r="A1228" s="2" t="n">
        <v>1227</v>
      </c>
      <c r="B1228" s="2" t="inlineStr">
        <is>
          <t>1161C</t>
        </is>
      </c>
      <c r="C1228" s="3" t="n">
        <v>45968.01736111111</v>
      </c>
      <c r="D1228" s="2" t="inlineStr">
        <is>
          <t>Original</t>
        </is>
      </c>
      <c r="E1228" s="2" t="inlineStr">
        <is>
          <t>CH</t>
        </is>
      </c>
      <c r="F122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28" s="2" t="inlineStr">
        <is>
          <t>Art. 126.º-A (aditamento)</t>
        </is>
      </c>
      <c r="H1228" s="2" t="n"/>
      <c r="I1228" s="2" t="n"/>
      <c r="J1228" s="2" t="n"/>
      <c r="K1228" s="2" t="n"/>
      <c r="L1228" s="2" t="inlineStr">
        <is>
          <t>Artigo 126.º-A (Instalação de Contentores para Lixo Marinho nos Portos e Barras de Portugal)</t>
        </is>
      </c>
      <c r="M1228" s="4" t="n"/>
      <c r="N1228" s="4" t="n"/>
      <c r="O1228" s="2" t="n"/>
      <c r="P1228" s="2" t="n"/>
      <c r="Q1228" s="2" t="n"/>
      <c r="R1228" s="2" t="n"/>
      <c r="S1228" s="2" t="inlineStr">
        <is>
          <t>Rejeitado(a) em Comissão</t>
        </is>
      </c>
      <c r="T1228" s="2" t="inlineStr">
        <is>
          <t>Rejeitada</t>
        </is>
      </c>
      <c r="U1228" s="2" t="inlineStr">
        <is>
          <t>Favor: CH, IL, BE, PAN; Contra: PSD, CDS-PP; Abstenção: PS, L, PCP</t>
        </is>
      </c>
      <c r="V1228" s="3" t="n">
        <v>45985</v>
      </c>
      <c r="W1228" s="2" t="inlineStr">
        <is>
          <t>AR: https://www.parlamento.pt/OrcamentoEstado/Paginas/DetalhePropostaAlteracao.aspx?BID=24402 PDF: https://app.parlamento.pt/webutils/docs/doc.pdf?path=6148523063484d364c793942556b356c6443397a6158526c63793959566b6c4a544556484c3039464c7a49774d6a59794d4449314d5441774f533951515338304e6d566a4e7a45334d433035595467784c5451334d6a51744f4463335a533168596d45354d545a6c5a6d51354d6a55756347526d&amp;Fich=46ec7170-9a81-4724-877e-aba916efd925.pdf&amp;Inline=true</t>
        </is>
      </c>
      <c r="X1228" s="2" t="inlineStr">
        <is>
          <t>Ambiente e Energia</t>
        </is>
      </c>
      <c r="Y1228" s="2" t="inlineStr">
        <is>
          <t>Articulado</t>
        </is>
      </c>
      <c r="Z1228" s="2" t="inlineStr">
        <is>
          <t>Aditamento (Artigo PPL)</t>
        </is>
      </c>
      <c r="AA1228" s="2" t="inlineStr">
        <is>
          <t>Rejeitado(a) em Comissão</t>
        </is>
      </c>
      <c r="AB1228" s="2" t="inlineStr"/>
      <c r="AC1228" s="2" t="inlineStr"/>
      <c r="AD1228" s="2" t="inlineStr">
        <is>
          <t>1</t>
        </is>
      </c>
      <c r="AE1228" s="2" t="inlineStr">
        <is>
          <t>24402</t>
        </is>
      </c>
      <c r="AF1228" s="2" t="inlineStr">
        <is>
          <t>https://www.parlamento.pt/OrcamentoEstado/Paginas/DetalhePropostaAlteracao.aspx?BID=24402</t>
        </is>
      </c>
      <c r="AG1228" s="2" t="inlineStr">
        <is>
          <t>https://app.parlamento.pt/webutils/docs/doc.pdf?path=6148523063484d364c793942556b356c6443397a6158526c63793959566b6c4a544556484c3039464c7a49774d6a59794d4449314d5441774f533951515338304e6d566a4e7a45334d433035595467784c5451334d6a51744f4463335a533168596d45354d545a6c5a6d51354d6a55756347526d&amp;Fich=46ec7170-9a81-4724-877e-aba916efd925.pdf&amp;Inline=true</t>
        </is>
      </c>
      <c r="AH1228" s="3" t="n">
        <v>46321.77847222222</v>
      </c>
      <c r="AI1228" s="3" t="n">
        <v>46321.78055555555</v>
      </c>
      <c r="AJ1228" s="2" t="inlineStr"/>
    </row>
    <row r="1229">
      <c r="A1229" s="2" t="n">
        <v>1228</v>
      </c>
      <c r="B1229" s="2" t="inlineStr">
        <is>
          <t>1162C</t>
        </is>
      </c>
      <c r="C1229" s="3" t="n">
        <v>45968.01875</v>
      </c>
      <c r="D1229" s="2" t="inlineStr">
        <is>
          <t>Original</t>
        </is>
      </c>
      <c r="E1229" s="2" t="inlineStr">
        <is>
          <t>CH</t>
        </is>
      </c>
      <c r="F122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29" s="2" t="inlineStr">
        <is>
          <t>Art. 126.º-A (aditamento)</t>
        </is>
      </c>
      <c r="H1229" s="2" t="n"/>
      <c r="I1229" s="2" t="n"/>
      <c r="J1229" s="2" t="n"/>
      <c r="K1229" s="2" t="n"/>
      <c r="L1229" s="2" t="inlineStr">
        <is>
          <t>Artigo 126.º-A (Intervenção Urgente nos Edifícios do ICNF)</t>
        </is>
      </c>
      <c r="M1229" s="4" t="n"/>
      <c r="N1229" s="4" t="n"/>
      <c r="O1229" s="2" t="n"/>
      <c r="P1229" s="2" t="n"/>
      <c r="Q1229" s="2" t="n"/>
      <c r="R1229" s="2" t="n"/>
      <c r="S1229" s="2" t="inlineStr">
        <is>
          <t>Rejeitado(a) em Comissão</t>
        </is>
      </c>
      <c r="T1229" s="2" t="inlineStr">
        <is>
          <t>Rejeitada</t>
        </is>
      </c>
      <c r="U1229" s="2" t="inlineStr">
        <is>
          <t>Favor: CH, BE, PAN; Contra: PSD, CDS-PP; Abstenção: PS, IL, L, PCP</t>
        </is>
      </c>
      <c r="V1229" s="3" t="n">
        <v>45985</v>
      </c>
      <c r="W1229" s="2" t="inlineStr">
        <is>
          <t>AR: https://www.parlamento.pt/OrcamentoEstado/Paginas/DetalhePropostaAlteracao.aspx?BID=24403 PDF: https://app.parlamento.pt/webutils/docs/doc.pdf?path=6148523063484d364c793942556b356c6443397a6158526c63793959566b6c4a544556484c3039464c7a49774d6a59794d4449314d5441774f5339515153387a4e4749334d44646c596930354d7a4e694c5452684d6a4d744f5745325a693031596d5a684e325a6c4e7a63314e3245756347526d&amp;Fich=34b707eb-933b-4a23-9a6f-5bfa7fe7757a.pdf&amp;Inline=true</t>
        </is>
      </c>
      <c r="X1229" s="2" t="inlineStr">
        <is>
          <t>Ambiente e Energia</t>
        </is>
      </c>
      <c r="Y1229" s="2" t="inlineStr">
        <is>
          <t>Articulado</t>
        </is>
      </c>
      <c r="Z1229" s="2" t="inlineStr">
        <is>
          <t>Aditamento (Artigo PPL)</t>
        </is>
      </c>
      <c r="AA1229" s="2" t="inlineStr">
        <is>
          <t>Rejeitado(a) em Comissão</t>
        </is>
      </c>
      <c r="AB1229" s="2" t="inlineStr"/>
      <c r="AC1229" s="2" t="inlineStr"/>
      <c r="AD1229" s="2" t="inlineStr">
        <is>
          <t>1</t>
        </is>
      </c>
      <c r="AE1229" s="2" t="inlineStr">
        <is>
          <t>24403</t>
        </is>
      </c>
      <c r="AF1229" s="2" t="inlineStr">
        <is>
          <t>https://www.parlamento.pt/OrcamentoEstado/Paginas/DetalhePropostaAlteracao.aspx?BID=24403</t>
        </is>
      </c>
      <c r="AG1229" s="2" t="inlineStr">
        <is>
          <t>https://app.parlamento.pt/webutils/docs/doc.pdf?path=6148523063484d364c793942556b356c6443397a6158526c63793959566b6c4a544556484c3039464c7a49774d6a59794d4449314d5441774f5339515153387a4e4749334d44646c596930354d7a4e694c5452684d6a4d744f5745325a693031596d5a684e325a6c4e7a63314e3245756347526d&amp;Fich=34b707eb-933b-4a23-9a6f-5bfa7fe7757a.pdf&amp;Inline=true</t>
        </is>
      </c>
      <c r="AH1229" s="3" t="n">
        <v>46321.77847222222</v>
      </c>
      <c r="AI1229" s="3" t="n">
        <v>46321.78055555555</v>
      </c>
      <c r="AJ1229" s="2" t="inlineStr"/>
    </row>
    <row r="1230">
      <c r="A1230" s="2" t="n">
        <v>1229</v>
      </c>
      <c r="B1230" s="2" t="inlineStr">
        <is>
          <t>1163C</t>
        </is>
      </c>
      <c r="C1230" s="3" t="n">
        <v>45968.02013888889</v>
      </c>
      <c r="D1230" s="2" t="inlineStr">
        <is>
          <t>Original</t>
        </is>
      </c>
      <c r="E1230" s="2" t="inlineStr">
        <is>
          <t>CH</t>
        </is>
      </c>
      <c r="F123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30" s="2" t="inlineStr">
        <is>
          <t>Art. 126.º-A (aditamento)</t>
        </is>
      </c>
      <c r="H1230" s="2" t="n"/>
      <c r="I1230" s="2" t="n"/>
      <c r="J1230" s="2" t="n"/>
      <c r="K1230" s="2" t="n"/>
      <c r="L1230" s="2" t="inlineStr">
        <is>
          <t>Artigo 126.º-A (Produção e Consumo Energético Integrado em Parques Industriais)</t>
        </is>
      </c>
      <c r="M1230" s="4" t="n"/>
      <c r="N1230" s="4" t="n"/>
      <c r="O1230" s="2" t="n"/>
      <c r="P1230" s="2" t="n"/>
      <c r="Q1230" s="2" t="n"/>
      <c r="R1230" s="2" t="n"/>
      <c r="S1230" s="2" t="inlineStr">
        <is>
          <t>Rejeitado(a) em Comissão</t>
        </is>
      </c>
      <c r="T1230" s="2" t="inlineStr">
        <is>
          <t>Rejeitada</t>
        </is>
      </c>
      <c r="U1230" s="2" t="inlineStr">
        <is>
          <t>Favor: CH, PAN; Contra: PSD, IL, CDS-PP; Abstenção: PS, L, PCP, BE</t>
        </is>
      </c>
      <c r="V1230" s="3" t="n">
        <v>45985</v>
      </c>
      <c r="W1230" s="2" t="inlineStr">
        <is>
          <t>AR: https://www.parlamento.pt/OrcamentoEstado/Paginas/DetalhePropostaAlteracao.aspx?BID=24404 PDF: https://app.parlamento.pt/webutils/docs/doc.pdf?path=6148523063484d364c793942556b356c6443397a6158526c63793959566b6c4a544556484c3039464c7a49774d6a59794d4449314d5441774f5339515153396d5954686d4d445a694d6930354e47517a4c5451774e7a51744f57566d4f5330345a6d59355a5459304f445930597a59756347526d&amp;Fich=fa8f06b2-94d3-4074-9ef9-8ff9e64864c6.pdf&amp;Inline=true</t>
        </is>
      </c>
      <c r="X1230" s="2" t="inlineStr">
        <is>
          <t>Ambiente e Energia</t>
        </is>
      </c>
      <c r="Y1230" s="2" t="inlineStr">
        <is>
          <t>Articulado</t>
        </is>
      </c>
      <c r="Z1230" s="2" t="inlineStr">
        <is>
          <t>Aditamento (Artigo PPL)</t>
        </is>
      </c>
      <c r="AA1230" s="2" t="inlineStr">
        <is>
          <t>Rejeitado(a) em Comissão</t>
        </is>
      </c>
      <c r="AB1230" s="2" t="inlineStr"/>
      <c r="AC1230" s="2" t="inlineStr"/>
      <c r="AD1230" s="2" t="inlineStr">
        <is>
          <t>1</t>
        </is>
      </c>
      <c r="AE1230" s="2" t="inlineStr">
        <is>
          <t>24404</t>
        </is>
      </c>
      <c r="AF1230" s="2" t="inlineStr">
        <is>
          <t>https://www.parlamento.pt/OrcamentoEstado/Paginas/DetalhePropostaAlteracao.aspx?BID=24404</t>
        </is>
      </c>
      <c r="AG1230" s="2" t="inlineStr">
        <is>
          <t>https://app.parlamento.pt/webutils/docs/doc.pdf?path=6148523063484d364c793942556b356c6443397a6158526c63793959566b6c4a544556484c3039464c7a49774d6a59794d4449314d5441774f5339515153396d5954686d4d445a694d6930354e47517a4c5451774e7a51744f57566d4f5330345a6d59355a5459304f445930597a59756347526d&amp;Fich=fa8f06b2-94d3-4074-9ef9-8ff9e64864c6.pdf&amp;Inline=true</t>
        </is>
      </c>
      <c r="AH1230" s="3" t="n">
        <v>46321.77847222222</v>
      </c>
      <c r="AI1230" s="3" t="n">
        <v>46321.78055555555</v>
      </c>
      <c r="AJ1230" s="2" t="inlineStr"/>
    </row>
    <row r="1231">
      <c r="A1231" s="2" t="n">
        <v>1230</v>
      </c>
      <c r="B1231" s="2" t="inlineStr">
        <is>
          <t>1164C</t>
        </is>
      </c>
      <c r="C1231" s="3" t="n">
        <v>45968.02222222222</v>
      </c>
      <c r="D1231" s="2" t="inlineStr">
        <is>
          <t>Original</t>
        </is>
      </c>
      <c r="E1231" s="2" t="inlineStr">
        <is>
          <t>CH</t>
        </is>
      </c>
      <c r="F123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31" s="2" t="inlineStr">
        <is>
          <t>Art. 71.º-A (aditamento)</t>
        </is>
      </c>
      <c r="H1231" s="2" t="n"/>
      <c r="I1231" s="2" t="n"/>
      <c r="J1231" s="2" t="n"/>
      <c r="K1231" s="2" t="n"/>
      <c r="L1231" s="2" t="inlineStr">
        <is>
          <t>Artigo 71.º-A (Desenvolvimento de uma estratégia integrada de informação, consciencialização e apoio às mulheres em menopausa)</t>
        </is>
      </c>
      <c r="M1231" s="4" t="n"/>
      <c r="N1231" s="4" t="n"/>
      <c r="O1231" s="2" t="n"/>
      <c r="P1231" s="2" t="n"/>
      <c r="Q1231" s="2" t="n"/>
      <c r="R1231" s="2" t="n"/>
      <c r="S1231" s="2" t="inlineStr">
        <is>
          <t>Rejeitado(a) em Comissão</t>
        </is>
      </c>
      <c r="T1231" s="2" t="inlineStr">
        <is>
          <t>Rejeitada</t>
        </is>
      </c>
      <c r="U1231" s="2" t="inlineStr">
        <is>
          <t>Favor: CH, IL, BE, PAN; Contra: PSD, CDS-PP; Abstenção: PS, L, PCP</t>
        </is>
      </c>
      <c r="V1231" s="3" t="n">
        <v>45982</v>
      </c>
      <c r="W1231" s="2" t="inlineStr">
        <is>
          <t>AR: https://www.parlamento.pt/OrcamentoEstado/Paginas/DetalhePropostaAlteracao.aspx?BID=24405 PDF: https://app.parlamento.pt/webutils/docs/doc.pdf?path=6148523063484d364c793942556b356c6443397a6158526c63793959566b6c4a544556484c3039464c7a49774d6a59794d4449314d5441774f533951515338304e6a59354e4464694e7931695a54686c4c54517a596d59744f5751794d4330354f5464694e7a466d4e5451795a5463756347526d&amp;Fich=466947b7-be8e-43bf-9d20-997b71f542e7.pdf&amp;Inline=true</t>
        </is>
      </c>
      <c r="X1231" s="2" t="inlineStr">
        <is>
          <t>Saúde</t>
        </is>
      </c>
      <c r="Y1231" s="2" t="inlineStr">
        <is>
          <t>Articulado</t>
        </is>
      </c>
      <c r="Z1231" s="2" t="inlineStr">
        <is>
          <t>Aditamento (Artigo PPL)</t>
        </is>
      </c>
      <c r="AA1231" s="2" t="inlineStr">
        <is>
          <t>Rejeitado(a) em Comissão</t>
        </is>
      </c>
      <c r="AB1231" s="2" t="inlineStr"/>
      <c r="AC1231" s="2" t="inlineStr"/>
      <c r="AD1231" s="2" t="inlineStr">
        <is>
          <t>1</t>
        </is>
      </c>
      <c r="AE1231" s="2" t="inlineStr">
        <is>
          <t>24405</t>
        </is>
      </c>
      <c r="AF1231" s="2" t="inlineStr">
        <is>
          <t>https://www.parlamento.pt/OrcamentoEstado/Paginas/DetalhePropostaAlteracao.aspx?BID=24405</t>
        </is>
      </c>
      <c r="AG1231" s="2" t="inlineStr">
        <is>
          <t>https://app.parlamento.pt/webutils/docs/doc.pdf?path=6148523063484d364c793942556b356c6443397a6158526c63793959566b6c4a544556484c3039464c7a49774d6a59794d4449314d5441774f533951515338304e6a59354e4464694e7931695a54686c4c54517a596d59744f5751794d4330354f5464694e7a466d4e5451795a5463756347526d&amp;Fich=466947b7-be8e-43bf-9d20-997b71f542e7.pdf&amp;Inline=true</t>
        </is>
      </c>
      <c r="AH1231" s="3" t="n">
        <v>46321.77847222222</v>
      </c>
      <c r="AI1231" s="3" t="n">
        <v>46321.78055555555</v>
      </c>
      <c r="AJ1231" s="2" t="inlineStr"/>
    </row>
    <row r="1232">
      <c r="A1232" s="2" t="n">
        <v>1231</v>
      </c>
      <c r="B1232" s="2" t="inlineStr">
        <is>
          <t>1165C</t>
        </is>
      </c>
      <c r="C1232" s="3" t="n">
        <v>45968.02361111111</v>
      </c>
      <c r="D1232" s="2" t="inlineStr">
        <is>
          <t>Original</t>
        </is>
      </c>
      <c r="E1232" s="2" t="inlineStr">
        <is>
          <t>CH</t>
        </is>
      </c>
      <c r="F123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32" s="2" t="inlineStr">
        <is>
          <t>Art. 136.º-A (aditamento)</t>
        </is>
      </c>
      <c r="H1232" s="2" t="n"/>
      <c r="I1232" s="2" t="n"/>
      <c r="J1232" s="2" t="n"/>
      <c r="K1232" s="2" t="n"/>
      <c r="L1232" s="2" t="inlineStr">
        <is>
          <t>Artigo 136.º-A (Estimular a exportação e o comércio internacional)</t>
        </is>
      </c>
      <c r="M1232" s="4" t="n"/>
      <c r="N1232" s="4" t="n"/>
      <c r="O1232" s="2" t="n"/>
      <c r="P1232" s="2" t="n"/>
      <c r="Q1232" s="2" t="n"/>
      <c r="R1232" s="2" t="n"/>
      <c r="S1232" s="2" t="inlineStr">
        <is>
          <t>Rejeitado(a) em Comissão</t>
        </is>
      </c>
      <c r="T1232" s="2" t="inlineStr">
        <is>
          <t>Rejeitada</t>
        </is>
      </c>
      <c r="U1232" s="2" t="inlineStr">
        <is>
          <t>Favor: CH; Contra: PSD, IL, L, CDS-PP; Abstenção: PS, PCP, BE, PAN</t>
        </is>
      </c>
      <c r="V1232" s="3" t="n">
        <v>45987</v>
      </c>
      <c r="W1232" s="2" t="inlineStr">
        <is>
          <t>AR: https://www.parlamento.pt/OrcamentoEstado/Paginas/DetalhePropostaAlteracao.aspx?BID=24406 PDF: https://app.parlamento.pt/webutils/docs/doc.pdf?path=6148523063484d364c793942556b356c6443397a6158526c63793959566b6c4a544556484c3039464c7a49774d6a59794d4449314d5441774f5339515153396b4d47453559546b33597930334f546b7a4c54526b4d7a51745954517a4e7931684e4759334d4751344e6d49774f4459756347526d&amp;Fich=d0a9a97c-7993-4d34-a437-a4f70d86b086.pdf&amp;Inline=true</t>
        </is>
      </c>
      <c r="X1232" s="2" t="inlineStr">
        <is>
          <t>Comissão de Economia e Coesão Territorial</t>
        </is>
      </c>
      <c r="Y1232" s="2" t="inlineStr">
        <is>
          <t>Articulado</t>
        </is>
      </c>
      <c r="Z1232" s="2" t="inlineStr">
        <is>
          <t>Aditamento (Artigo PPL)</t>
        </is>
      </c>
      <c r="AA1232" s="2" t="inlineStr">
        <is>
          <t>Rejeitado(a) em Comissão</t>
        </is>
      </c>
      <c r="AB1232" s="2" t="inlineStr"/>
      <c r="AC1232" s="2" t="inlineStr"/>
      <c r="AD1232" s="2" t="inlineStr">
        <is>
          <t>1</t>
        </is>
      </c>
      <c r="AE1232" s="2" t="inlineStr">
        <is>
          <t>24406</t>
        </is>
      </c>
      <c r="AF1232" s="2" t="inlineStr">
        <is>
          <t>https://www.parlamento.pt/OrcamentoEstado/Paginas/DetalhePropostaAlteracao.aspx?BID=24406</t>
        </is>
      </c>
      <c r="AG1232" s="2" t="inlineStr">
        <is>
          <t>https://app.parlamento.pt/webutils/docs/doc.pdf?path=6148523063484d364c793942556b356c6443397a6158526c63793959566b6c4a544556484c3039464c7a49774d6a59794d4449314d5441774f5339515153396b4d47453559546b33597930334f546b7a4c54526b4d7a51745954517a4e7931684e4759334d4751344e6d49774f4459756347526d&amp;Fich=d0a9a97c-7993-4d34-a437-a4f70d86b086.pdf&amp;Inline=true</t>
        </is>
      </c>
      <c r="AH1232" s="3" t="n">
        <v>46321.77847222222</v>
      </c>
      <c r="AI1232" s="3" t="n">
        <v>46321.78055555555</v>
      </c>
      <c r="AJ1232" s="2" t="inlineStr"/>
    </row>
    <row r="1233">
      <c r="A1233" s="2" t="n">
        <v>1232</v>
      </c>
      <c r="B1233" s="2" t="inlineStr">
        <is>
          <t>1166C</t>
        </is>
      </c>
      <c r="C1233" s="3" t="n">
        <v>45968.02430555555</v>
      </c>
      <c r="D1233" s="2" t="inlineStr">
        <is>
          <t>Original</t>
        </is>
      </c>
      <c r="E1233" s="2" t="inlineStr">
        <is>
          <t>CH</t>
        </is>
      </c>
      <c r="F123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33" s="2" t="inlineStr">
        <is>
          <t>Art. 126.º-A (aditamento)</t>
        </is>
      </c>
      <c r="H1233" s="2" t="n"/>
      <c r="I1233" s="2" t="n"/>
      <c r="J1233" s="2" t="n"/>
      <c r="K1233" s="2" t="n"/>
      <c r="L1233" s="2" t="inlineStr">
        <is>
          <t>Artigo 126.º-A (Plano Estratégico para Captação e Produção Eólica Urbana)</t>
        </is>
      </c>
      <c r="M1233" s="4" t="n"/>
      <c r="N1233" s="4" t="n"/>
      <c r="O1233" s="2" t="n"/>
      <c r="P1233" s="2" t="n"/>
      <c r="Q1233" s="2" t="n"/>
      <c r="R1233" s="2" t="n"/>
      <c r="S1233" s="2" t="inlineStr">
        <is>
          <t>Rejeitado(a) em Comissão</t>
        </is>
      </c>
      <c r="T1233" s="2" t="inlineStr">
        <is>
          <t>Rejeitada</t>
        </is>
      </c>
      <c r="U1233" s="2" t="inlineStr">
        <is>
          <t>Favor: CH, PAN; Contra: PSD, IL, CDS-PP; Abstenção: PS, L, PCP, BE</t>
        </is>
      </c>
      <c r="V1233" s="3" t="n">
        <v>45985</v>
      </c>
      <c r="W1233" s="2" t="inlineStr">
        <is>
          <t>AR: https://www.parlamento.pt/OrcamentoEstado/Paginas/DetalhePropostaAlteracao.aspx?BID=24407 PDF: https://app.parlamento.pt/webutils/docs/doc.pdf?path=6148523063484d364c793942556b356c6443397a6158526c63793959566b6c4a544556484c3039464c7a49774d6a59794d4449314d5441774f5339515153396b4f446778596a4533597930784e5464694c5451774e544974595759345953316d5a544935595751775a545669596d49756347526d&amp;Fich=d881b17c-157b-4052-af8a-fe29ad0e5bbb.pdf&amp;Inline=true</t>
        </is>
      </c>
      <c r="X1233" s="2" t="inlineStr">
        <is>
          <t>Ambiente e Energia</t>
        </is>
      </c>
      <c r="Y1233" s="2" t="inlineStr">
        <is>
          <t>Articulado</t>
        </is>
      </c>
      <c r="Z1233" s="2" t="inlineStr">
        <is>
          <t>Aditamento (Artigo PPL)</t>
        </is>
      </c>
      <c r="AA1233" s="2" t="inlineStr">
        <is>
          <t>Rejeitado(a) em Comissão</t>
        </is>
      </c>
      <c r="AB1233" s="2" t="inlineStr"/>
      <c r="AC1233" s="2" t="inlineStr"/>
      <c r="AD1233" s="2" t="inlineStr">
        <is>
          <t>1</t>
        </is>
      </c>
      <c r="AE1233" s="2" t="inlineStr">
        <is>
          <t>24407</t>
        </is>
      </c>
      <c r="AF1233" s="2" t="inlineStr">
        <is>
          <t>https://www.parlamento.pt/OrcamentoEstado/Paginas/DetalhePropostaAlteracao.aspx?BID=24407</t>
        </is>
      </c>
      <c r="AG1233" s="2" t="inlineStr">
        <is>
          <t>https://app.parlamento.pt/webutils/docs/doc.pdf?path=6148523063484d364c793942556b356c6443397a6158526c63793959566b6c4a544556484c3039464c7a49774d6a59794d4449314d5441774f5339515153396b4f446778596a4533597930784e5464694c5451774e544974595759345953316d5a544935595751775a545669596d49756347526d&amp;Fich=d881b17c-157b-4052-af8a-fe29ad0e5bbb.pdf&amp;Inline=true</t>
        </is>
      </c>
      <c r="AH1233" s="3" t="n">
        <v>46321.77847222222</v>
      </c>
      <c r="AI1233" s="3" t="n">
        <v>46321.78055555555</v>
      </c>
      <c r="AJ1233" s="2" t="inlineStr"/>
    </row>
    <row r="1234">
      <c r="A1234" s="2" t="n">
        <v>1233</v>
      </c>
      <c r="B1234" s="2" t="inlineStr">
        <is>
          <t>1167C</t>
        </is>
      </c>
      <c r="C1234" s="3" t="n">
        <v>45968.02569444444</v>
      </c>
      <c r="D1234" s="2" t="inlineStr">
        <is>
          <t>Original</t>
        </is>
      </c>
      <c r="E1234" s="2" t="inlineStr">
        <is>
          <t>CH</t>
        </is>
      </c>
      <c r="F123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34" s="2" t="inlineStr">
        <is>
          <t>Art. 126.º-A (aditamento)</t>
        </is>
      </c>
      <c r="H1234" s="2" t="n"/>
      <c r="I1234" s="2" t="n"/>
      <c r="J1234" s="2" t="n"/>
      <c r="K1234" s="2" t="n"/>
      <c r="L1234" s="2" t="inlineStr">
        <is>
          <t>Artigo 126.º-A (Programa Nacional de Parcerias para a Mobilidade Elétrica Partilhada)</t>
        </is>
      </c>
      <c r="M1234" s="4" t="n"/>
      <c r="N1234" s="4" t="n"/>
      <c r="O1234" s="2" t="n"/>
      <c r="P1234" s="2" t="n"/>
      <c r="Q1234" s="2" t="n"/>
      <c r="R1234" s="2" t="n"/>
      <c r="S1234" s="2" t="inlineStr">
        <is>
          <t>Rejeitado(a) em Comissão</t>
        </is>
      </c>
      <c r="T1234" s="2" t="inlineStr">
        <is>
          <t>Rejeitada</t>
        </is>
      </c>
      <c r="U1234" s="2" t="inlineStr">
        <is>
          <t>Favor: CH, PAN; Contra: PSD, IL, PCP, CDS-PP, BE; Abstenção: PS, L</t>
        </is>
      </c>
      <c r="V1234" s="3" t="n">
        <v>45985</v>
      </c>
      <c r="W1234" s="2" t="inlineStr">
        <is>
          <t>AR: https://www.parlamento.pt/OrcamentoEstado/Paginas/DetalhePropostaAlteracao.aspx?BID=24408 PDF: https://app.parlamento.pt/webutils/docs/doc.pdf?path=6148523063484d364c793942556b356c6443397a6158526c63793959566b6c4a544556484c3039464c7a49774d6a59794d4449314d5441774f533951515338314d7a45314d6a5932597930784e7a6c6d4c5451344d6a41744f4467314e43316c4e3249334e6a41774e324930597a63756347526d&amp;Fich=5315266c-179f-4820-8854-e7b76007b4c7.pdf&amp;Inline=true</t>
        </is>
      </c>
      <c r="X1234" s="2" t="inlineStr">
        <is>
          <t>Ambiente e Energia</t>
        </is>
      </c>
      <c r="Y1234" s="2" t="inlineStr">
        <is>
          <t>Articulado</t>
        </is>
      </c>
      <c r="Z1234" s="2" t="inlineStr">
        <is>
          <t>Aditamento (Artigo PPL)</t>
        </is>
      </c>
      <c r="AA1234" s="2" t="inlineStr">
        <is>
          <t>Rejeitado(a) em Comissão</t>
        </is>
      </c>
      <c r="AB1234" s="2" t="inlineStr"/>
      <c r="AC1234" s="2" t="inlineStr"/>
      <c r="AD1234" s="2" t="inlineStr">
        <is>
          <t>1</t>
        </is>
      </c>
      <c r="AE1234" s="2" t="inlineStr">
        <is>
          <t>24408</t>
        </is>
      </c>
      <c r="AF1234" s="2" t="inlineStr">
        <is>
          <t>https://www.parlamento.pt/OrcamentoEstado/Paginas/DetalhePropostaAlteracao.aspx?BID=24408</t>
        </is>
      </c>
      <c r="AG1234" s="2" t="inlineStr">
        <is>
          <t>https://app.parlamento.pt/webutils/docs/doc.pdf?path=6148523063484d364c793942556b356c6443397a6158526c63793959566b6c4a544556484c3039464c7a49774d6a59794d4449314d5441774f533951515338314d7a45314d6a5932597930784e7a6c6d4c5451344d6a41744f4467314e43316c4e3249334e6a41774e324930597a63756347526d&amp;Fich=5315266c-179f-4820-8854-e7b76007b4c7.pdf&amp;Inline=true</t>
        </is>
      </c>
      <c r="AH1234" s="3" t="n">
        <v>46321.77847222222</v>
      </c>
      <c r="AI1234" s="3" t="n">
        <v>46321.78055555555</v>
      </c>
      <c r="AJ1234" s="2" t="inlineStr"/>
    </row>
    <row r="1235">
      <c r="A1235" s="2" t="n">
        <v>1234</v>
      </c>
      <c r="B1235" s="2" t="inlineStr">
        <is>
          <t>1168C</t>
        </is>
      </c>
      <c r="C1235" s="3" t="n">
        <v>45968.02569444444</v>
      </c>
      <c r="D1235" s="2" t="inlineStr">
        <is>
          <t>Original</t>
        </is>
      </c>
      <c r="E1235" s="2" t="inlineStr">
        <is>
          <t>CH</t>
        </is>
      </c>
      <c r="F123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35" s="2" t="inlineStr">
        <is>
          <t>Art. 136.º-A (aditamento)</t>
        </is>
      </c>
      <c r="H1235" s="2" t="n"/>
      <c r="I1235" s="2" t="n"/>
      <c r="J1235" s="2" t="n"/>
      <c r="K1235" s="2" t="n"/>
      <c r="L1235" s="2" t="inlineStr">
        <is>
          <t>Artigo 136.º-A (Estudo técnico-económico relativo à continuação da A22 (Via do Infante) entre Lagos e Sines, com a denominação de IC4)</t>
        </is>
      </c>
      <c r="M1235" s="4" t="n"/>
      <c r="N1235" s="4" t="n"/>
      <c r="O1235" s="2" t="n"/>
      <c r="P1235" s="2" t="n"/>
      <c r="Q1235" s="2" t="n"/>
      <c r="R1235" s="2" t="n"/>
      <c r="S1235" s="2" t="inlineStr">
        <is>
          <t>Rejeitado(a) em Comissão</t>
        </is>
      </c>
      <c r="T1235" s="2" t="inlineStr">
        <is>
          <t>Rejeitada</t>
        </is>
      </c>
      <c r="U1235" s="2" t="inlineStr">
        <is>
          <t>Favor: CH, IL, BE; Contra: PSD, CDS-PP; Abstenção: PS, L, PCP, PAN</t>
        </is>
      </c>
      <c r="V1235" s="3" t="n">
        <v>45987</v>
      </c>
      <c r="W1235" s="2" t="inlineStr">
        <is>
          <t>AR: https://www.parlamento.pt/OrcamentoEstado/Paginas/DetalhePropostaAlteracao.aspx?BID=24409 PDF: https://app.parlamento.pt/webutils/docs/doc.pdf?path=6148523063484d364c793942556b356c6443397a6158526c63793959566b6c4a544556484c3039464c7a49774d6a59794d4449314d5441774f533951515338775a6a46684f545a694f5331695a4756684c5451304e474974595449354f4330785a5751345a5459334e6a55344d4449756347526d&amp;Fich=0f1a96b9-bdea-444b-a298-1ed8e6765802.pdf&amp;Inline=true</t>
        </is>
      </c>
      <c r="X1235" s="2" t="inlineStr">
        <is>
          <t>Infraestruturas, Mobilidade e Habitação</t>
        </is>
      </c>
      <c r="Y1235" s="2" t="inlineStr">
        <is>
          <t>Articulado</t>
        </is>
      </c>
      <c r="Z1235" s="2" t="inlineStr">
        <is>
          <t>Aditamento (Artigo PPL)</t>
        </is>
      </c>
      <c r="AA1235" s="2" t="inlineStr">
        <is>
          <t>Rejeitado(a) em Comissão</t>
        </is>
      </c>
      <c r="AB1235" s="2" t="inlineStr"/>
      <c r="AC1235" s="2" t="inlineStr"/>
      <c r="AD1235" s="2" t="inlineStr">
        <is>
          <t>1</t>
        </is>
      </c>
      <c r="AE1235" s="2" t="inlineStr">
        <is>
          <t>24409</t>
        </is>
      </c>
      <c r="AF1235" s="2" t="inlineStr">
        <is>
          <t>https://www.parlamento.pt/OrcamentoEstado/Paginas/DetalhePropostaAlteracao.aspx?BID=24409</t>
        </is>
      </c>
      <c r="AG1235" s="2" t="inlineStr">
        <is>
          <t>https://app.parlamento.pt/webutils/docs/doc.pdf?path=6148523063484d364c793942556b356c6443397a6158526c63793959566b6c4a544556484c3039464c7a49774d6a59794d4449314d5441774f533951515338775a6a46684f545a694f5331695a4756684c5451304e474974595449354f4330785a5751345a5459334e6a55344d4449756347526d&amp;Fich=0f1a96b9-bdea-444b-a298-1ed8e6765802.pdf&amp;Inline=true</t>
        </is>
      </c>
      <c r="AH1235" s="3" t="n">
        <v>46321.77847222222</v>
      </c>
      <c r="AI1235" s="3" t="n">
        <v>46321.78055555555</v>
      </c>
      <c r="AJ1235" s="2" t="inlineStr"/>
    </row>
    <row r="1236">
      <c r="A1236" s="2" t="n">
        <v>1235</v>
      </c>
      <c r="B1236" s="2" t="inlineStr">
        <is>
          <t>1169C</t>
        </is>
      </c>
      <c r="C1236" s="3" t="n">
        <v>45968.02638888889</v>
      </c>
      <c r="D1236" s="2" t="inlineStr">
        <is>
          <t>Original</t>
        </is>
      </c>
      <c r="E1236" s="2" t="inlineStr">
        <is>
          <t>CH</t>
        </is>
      </c>
      <c r="F123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36" s="2" t="inlineStr">
        <is>
          <t>Art. 126.º-A (aditamento)</t>
        </is>
      </c>
      <c r="H1236" s="2" t="n"/>
      <c r="I1236" s="2" t="n"/>
      <c r="J1236" s="2" t="n"/>
      <c r="K1236" s="2" t="n"/>
      <c r="L1236" s="2" t="inlineStr">
        <is>
          <t>Artigo 126.º-A (Recuperação e valorização de minerais em resíduos eletrónicos)</t>
        </is>
      </c>
      <c r="M1236" s="4" t="n"/>
      <c r="N1236" s="4" t="n"/>
      <c r="O1236" s="2" t="n"/>
      <c r="P1236" s="2" t="n"/>
      <c r="Q1236" s="2" t="n"/>
      <c r="R1236" s="2" t="n"/>
      <c r="S1236" s="2" t="inlineStr">
        <is>
          <t>Rejeitado(a) em Comissão</t>
        </is>
      </c>
      <c r="T1236" s="2" t="inlineStr">
        <is>
          <t>Rejeitada</t>
        </is>
      </c>
      <c r="U1236" s="2" t="inlineStr">
        <is>
          <t>Favor: CH, PAN; Contra: PSD, IL, CDS-PP, BE; Abstenção: PS, L, PCP</t>
        </is>
      </c>
      <c r="V1236" s="3" t="n">
        <v>45985</v>
      </c>
      <c r="W1236" s="2" t="inlineStr">
        <is>
          <t>AR: https://www.parlamento.pt/OrcamentoEstado/Paginas/DetalhePropostaAlteracao.aspx?BID=24410 PDF: https://app.parlamento.pt/webutils/docs/doc.pdf?path=6148523063484d364c793942556b356c6443397a6158526c63793959566b6c4a544556484c3039464c7a49774d6a59794d4449314d5441774f5339515153396b4e6a497859544d314d6931685a4755354c54526b4f5451744f446c6c4e5331684f475533597a4e6b595749304f4441756347526d&amp;Fich=d621a352-ade9-4d94-89e5-a8e7c3dab480.pdf&amp;Inline=true</t>
        </is>
      </c>
      <c r="X1236" s="2" t="inlineStr">
        <is>
          <t>Ambiente e Energia</t>
        </is>
      </c>
      <c r="Y1236" s="2" t="inlineStr">
        <is>
          <t>Articulado</t>
        </is>
      </c>
      <c r="Z1236" s="2" t="inlineStr">
        <is>
          <t>Aditamento (Artigo PPL)</t>
        </is>
      </c>
      <c r="AA1236" s="2" t="inlineStr">
        <is>
          <t>Rejeitado(a) em Comissão</t>
        </is>
      </c>
      <c r="AB1236" s="2" t="inlineStr"/>
      <c r="AC1236" s="2" t="inlineStr"/>
      <c r="AD1236" s="2" t="inlineStr">
        <is>
          <t>1</t>
        </is>
      </c>
      <c r="AE1236" s="2" t="inlineStr">
        <is>
          <t>24410</t>
        </is>
      </c>
      <c r="AF1236" s="2" t="inlineStr">
        <is>
          <t>https://www.parlamento.pt/OrcamentoEstado/Paginas/DetalhePropostaAlteracao.aspx?BID=24410</t>
        </is>
      </c>
      <c r="AG1236" s="2" t="inlineStr">
        <is>
          <t>https://app.parlamento.pt/webutils/docs/doc.pdf?path=6148523063484d364c793942556b356c6443397a6158526c63793959566b6c4a544556484c3039464c7a49774d6a59794d4449314d5441774f5339515153396b4e6a497859544d314d6931685a4755354c54526b4f5451744f446c6c4e5331684f475533597a4e6b595749304f4441756347526d&amp;Fich=d621a352-ade9-4d94-89e5-a8e7c3dab480.pdf&amp;Inline=true</t>
        </is>
      </c>
      <c r="AH1236" s="3" t="n">
        <v>46321.77847222222</v>
      </c>
      <c r="AI1236" s="3" t="n">
        <v>46321.78055555555</v>
      </c>
      <c r="AJ1236" s="2" t="inlineStr"/>
    </row>
    <row r="1237">
      <c r="A1237" s="2" t="n">
        <v>1236</v>
      </c>
      <c r="B1237" s="2" t="inlineStr">
        <is>
          <t>1170C</t>
        </is>
      </c>
      <c r="C1237" s="3" t="n">
        <v>45968.02916666667</v>
      </c>
      <c r="D1237" s="2" t="inlineStr">
        <is>
          <t>Original</t>
        </is>
      </c>
      <c r="E1237" s="2" t="inlineStr">
        <is>
          <t>CH</t>
        </is>
      </c>
      <c r="F123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37" s="2" t="inlineStr">
        <is>
          <t>Art. 126.º-A (aditamento)</t>
        </is>
      </c>
      <c r="H1237" s="2" t="n"/>
      <c r="I1237" s="2" t="n"/>
      <c r="J1237" s="2" t="n"/>
      <c r="K1237" s="2" t="n"/>
      <c r="L1237" s="2" t="inlineStr">
        <is>
          <t>Artigo 126.º-A (Programa de apoio à produção de energia hídrica em propriedades rurais)</t>
        </is>
      </c>
      <c r="M1237" s="4" t="n"/>
      <c r="N1237" s="4" t="n"/>
      <c r="O1237" s="2" t="n"/>
      <c r="P1237" s="2" t="n"/>
      <c r="Q1237" s="2" t="n"/>
      <c r="R1237" s="2" t="n"/>
      <c r="S1237" s="2" t="inlineStr">
        <is>
          <t>Rejeitado(a) em Comissão</t>
        </is>
      </c>
      <c r="T1237" s="2" t="inlineStr">
        <is>
          <t>Rejeitada</t>
        </is>
      </c>
      <c r="U1237" s="2" t="inlineStr">
        <is>
          <t>Favor: CH, PAN; Contra: PSD, IL, L, CDS-PP, BE; Abstenção: PS, PCP</t>
        </is>
      </c>
      <c r="V1237" s="3" t="n">
        <v>45985</v>
      </c>
      <c r="W1237" s="2" t="inlineStr">
        <is>
          <t>AR: https://www.parlamento.pt/OrcamentoEstado/Paginas/DetalhePropostaAlteracao.aspx?BID=24411 PDF: https://app.parlamento.pt/webutils/docs/doc.pdf?path=6148523063484d364c793942556b356c6443397a6158526c63793959566b6c4a544556484c3039464c7a49774d6a59794d4449314d5441774f53395151533835596d4e6b4d5749314e7930304e546c684c5452684e4459744f44526b4d7930345a44686a5a6d466d4e54566d4d6a63756347526d&amp;Fich=9bcd1b57-459a-4a46-84d3-8d8cfaf55f27.pdf&amp;Inline=true</t>
        </is>
      </c>
      <c r="X1237" s="2" t="inlineStr">
        <is>
          <t>Ambiente e Energia</t>
        </is>
      </c>
      <c r="Y1237" s="2" t="inlineStr">
        <is>
          <t>Articulado</t>
        </is>
      </c>
      <c r="Z1237" s="2" t="inlineStr">
        <is>
          <t>Aditamento (Artigo PPL)</t>
        </is>
      </c>
      <c r="AA1237" s="2" t="inlineStr">
        <is>
          <t>Rejeitado(a) em Comissão</t>
        </is>
      </c>
      <c r="AB1237" s="2" t="inlineStr"/>
      <c r="AC1237" s="2" t="inlineStr"/>
      <c r="AD1237" s="2" t="inlineStr">
        <is>
          <t>1</t>
        </is>
      </c>
      <c r="AE1237" s="2" t="inlineStr">
        <is>
          <t>24411</t>
        </is>
      </c>
      <c r="AF1237" s="2" t="inlineStr">
        <is>
          <t>https://www.parlamento.pt/OrcamentoEstado/Paginas/DetalhePropostaAlteracao.aspx?BID=24411</t>
        </is>
      </c>
      <c r="AG1237" s="2" t="inlineStr">
        <is>
          <t>https://app.parlamento.pt/webutils/docs/doc.pdf?path=6148523063484d364c793942556b356c6443397a6158526c63793959566b6c4a544556484c3039464c7a49774d6a59794d4449314d5441774f53395151533835596d4e6b4d5749314e7930304e546c684c5452684e4459744f44526b4d7930345a44686a5a6d466d4e54566d4d6a63756347526d&amp;Fich=9bcd1b57-459a-4a46-84d3-8d8cfaf55f27.pdf&amp;Inline=true</t>
        </is>
      </c>
      <c r="AH1237" s="3" t="n">
        <v>46321.77847222222</v>
      </c>
      <c r="AI1237" s="3" t="n">
        <v>46321.78055555555</v>
      </c>
      <c r="AJ1237" s="2" t="inlineStr"/>
    </row>
    <row r="1238">
      <c r="A1238" s="2" t="n">
        <v>1237</v>
      </c>
      <c r="B1238" s="2" t="inlineStr">
        <is>
          <t>1171C</t>
        </is>
      </c>
      <c r="C1238" s="3" t="n">
        <v>45968.02916666667</v>
      </c>
      <c r="D1238" s="2" t="inlineStr">
        <is>
          <t>Original</t>
        </is>
      </c>
      <c r="E1238" s="2" t="inlineStr">
        <is>
          <t>CH</t>
        </is>
      </c>
      <c r="F123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38" s="2" t="inlineStr">
        <is>
          <t>Art. 136.º-A (aditamento)</t>
        </is>
      </c>
      <c r="H1238" s="2" t="n"/>
      <c r="I1238" s="2" t="n"/>
      <c r="J1238" s="2" t="n"/>
      <c r="K1238" s="2" t="n"/>
      <c r="L1238" s="2" t="inlineStr">
        <is>
          <t>Artigo 136.º-A (Alteração ao Decreto-lei n.º 33/2019, de 4 de março)</t>
        </is>
      </c>
      <c r="M1238" s="4" t="n"/>
      <c r="N1238" s="4" t="n"/>
      <c r="O1238" s="2" t="n"/>
      <c r="P1238" s="2" t="n"/>
      <c r="Q1238" s="2" t="n"/>
      <c r="R1238" s="2" t="n"/>
      <c r="S1238" s="2" t="inlineStr">
        <is>
          <t>Rejeitado(a) em Comissão</t>
        </is>
      </c>
      <c r="T1238" s="2" t="inlineStr">
        <is>
          <t>Rejeitada</t>
        </is>
      </c>
      <c r="U1238" s="2" t="inlineStr">
        <is>
          <t>Favor: CH, BE; Contra: PSD, L, PCP, CDS-PP; Abstenção: PS, IL, PAN</t>
        </is>
      </c>
      <c r="V1238" s="3" t="n">
        <v>45987</v>
      </c>
      <c r="W1238" s="2" t="inlineStr">
        <is>
          <t>AR: https://www.parlamento.pt/OrcamentoEstado/Paginas/DetalhePropostaAlteracao.aspx?BID=24412 PDF: https://app.parlamento.pt/webutils/docs/doc.pdf?path=6148523063484d364c793942556b356c6443397a6158526c63793959566b6c4a544556484c3039464c7a49774d6a59794d4449314d5441774f533951515338344d474a6c4e5745334d5330325a47597a4c54513159546774596d526d5a6930794d6d5a6d5a4451334d3255334e5459756347526d&amp;Fich=80be5a71-6df3-45a8-bdff-22ffd473e756.pdf&amp;Inline=true</t>
        </is>
      </c>
      <c r="X1238" s="2" t="inlineStr">
        <is>
          <t>Educação e Ciência</t>
        </is>
      </c>
      <c r="Y1238" s="2" t="inlineStr">
        <is>
          <t>Articulado</t>
        </is>
      </c>
      <c r="Z1238" s="2" t="inlineStr">
        <is>
          <t>Aditamento (Artigo PPL)</t>
        </is>
      </c>
      <c r="AA1238" s="2" t="inlineStr">
        <is>
          <t>Rejeitado(a) em Comissão</t>
        </is>
      </c>
      <c r="AB1238" s="2" t="inlineStr"/>
      <c r="AC1238" s="2" t="inlineStr"/>
      <c r="AD1238" s="2" t="inlineStr">
        <is>
          <t>1</t>
        </is>
      </c>
      <c r="AE1238" s="2" t="inlineStr">
        <is>
          <t>24412</t>
        </is>
      </c>
      <c r="AF1238" s="2" t="inlineStr">
        <is>
          <t>https://www.parlamento.pt/OrcamentoEstado/Paginas/DetalhePropostaAlteracao.aspx?BID=24412</t>
        </is>
      </c>
      <c r="AG1238" s="2" t="inlineStr">
        <is>
          <t>https://app.parlamento.pt/webutils/docs/doc.pdf?path=6148523063484d364c793942556b356c6443397a6158526c63793959566b6c4a544556484c3039464c7a49774d6a59794d4449314d5441774f533951515338344d474a6c4e5745334d5330325a47597a4c54513159546774596d526d5a6930794d6d5a6d5a4451334d3255334e5459756347526d&amp;Fich=80be5a71-6df3-45a8-bdff-22ffd473e756.pdf&amp;Inline=true</t>
        </is>
      </c>
      <c r="AH1238" s="3" t="n">
        <v>46321.77847222222</v>
      </c>
      <c r="AI1238" s="3" t="n">
        <v>46321.78055555555</v>
      </c>
      <c r="AJ1238" s="2" t="inlineStr"/>
    </row>
    <row r="1239">
      <c r="A1239" s="2" t="n">
        <v>1238</v>
      </c>
      <c r="B1239" s="2" t="inlineStr">
        <is>
          <t>1172C</t>
        </is>
      </c>
      <c r="C1239" s="3" t="n">
        <v>45968.02986111111</v>
      </c>
      <c r="D1239" s="2" t="inlineStr">
        <is>
          <t>Original</t>
        </is>
      </c>
      <c r="E1239" s="2" t="inlineStr">
        <is>
          <t>CH</t>
        </is>
      </c>
      <c r="F123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39" s="2" t="inlineStr">
        <is>
          <t>Art. 128.º-A (aditamento)</t>
        </is>
      </c>
      <c r="H1239" s="2" t="n"/>
      <c r="I1239" s="2" t="n"/>
      <c r="J1239" s="2" t="n"/>
      <c r="K1239" s="2" t="n"/>
      <c r="L1239" s="2" t="inlineStr">
        <is>
          <t>Artigo 128.º-A (Regime geral de taxas específicas para o desenvolvimento da atividade agrária)</t>
        </is>
      </c>
      <c r="M1239" s="4" t="n"/>
      <c r="N1239" s="4" t="n"/>
      <c r="O1239" s="2" t="n"/>
      <c r="P1239" s="2" t="n"/>
      <c r="Q1239" s="2" t="n"/>
      <c r="R1239" s="2" t="n"/>
      <c r="S1239" s="2" t="inlineStr">
        <is>
          <t>Rejeitado(a) em Comissão</t>
        </is>
      </c>
      <c r="T1239" s="2" t="inlineStr">
        <is>
          <t>Rejeitada</t>
        </is>
      </c>
      <c r="U1239" s="2" t="inlineStr">
        <is>
          <t>Favor: CH, IL, BE; Contra: PSD, CDS-PP, PAN; Abstenção: PS, L, PCP</t>
        </is>
      </c>
      <c r="V1239" s="3" t="n">
        <v>45985</v>
      </c>
      <c r="W1239" s="2" t="inlineStr">
        <is>
          <t>AR: https://www.parlamento.pt/OrcamentoEstado/Paginas/DetalhePropostaAlteracao.aspx?BID=24413 PDF: https://app.parlamento.pt/webutils/docs/doc.pdf?path=6148523063484d364c793942556b356c6443397a6158526c63793959566b6c4a544556484c3039464c7a49774d6a59794d4449314d5441774f5339515153387a4f4459774e7a67354d4330315a444a6d4c545177597a5974596a497a5a6930344f57566b596a497a4d54526a5a544d756347526d&amp;Fich=38607890-5d2f-40c6-b23f-89edb2314ce3.pdf&amp;Inline=true</t>
        </is>
      </c>
      <c r="X1239" s="2" t="inlineStr">
        <is>
          <t>Agricultura e Pescas</t>
        </is>
      </c>
      <c r="Y1239" s="2" t="inlineStr">
        <is>
          <t>Articulado</t>
        </is>
      </c>
      <c r="Z1239" s="2" t="inlineStr">
        <is>
          <t>Aditamento (Artigo PPL)</t>
        </is>
      </c>
      <c r="AA1239" s="2" t="inlineStr">
        <is>
          <t>Rejeitado(a) em Comissão</t>
        </is>
      </c>
      <c r="AB1239" s="2" t="inlineStr"/>
      <c r="AC1239" s="2" t="inlineStr"/>
      <c r="AD1239" s="2" t="inlineStr">
        <is>
          <t>1</t>
        </is>
      </c>
      <c r="AE1239" s="2" t="inlineStr">
        <is>
          <t>24413</t>
        </is>
      </c>
      <c r="AF1239" s="2" t="inlineStr">
        <is>
          <t>https://www.parlamento.pt/OrcamentoEstado/Paginas/DetalhePropostaAlteracao.aspx?BID=24413</t>
        </is>
      </c>
      <c r="AG1239" s="2" t="inlineStr">
        <is>
          <t>https://app.parlamento.pt/webutils/docs/doc.pdf?path=6148523063484d364c793942556b356c6443397a6158526c63793959566b6c4a544556484c3039464c7a49774d6a59794d4449314d5441774f5339515153387a4f4459774e7a67354d4330315a444a6d4c545177597a5974596a497a5a6930344f57566b596a497a4d54526a5a544d756347526d&amp;Fich=38607890-5d2f-40c6-b23f-89edb2314ce3.pdf&amp;Inline=true</t>
        </is>
      </c>
      <c r="AH1239" s="3" t="n">
        <v>46321.77847222222</v>
      </c>
      <c r="AI1239" s="3" t="n">
        <v>46321.78055555555</v>
      </c>
      <c r="AJ1239" s="2" t="inlineStr"/>
    </row>
    <row r="1240">
      <c r="A1240" s="2" t="n">
        <v>1239</v>
      </c>
      <c r="B1240" s="2" t="inlineStr">
        <is>
          <t>1173C</t>
        </is>
      </c>
      <c r="C1240" s="3" t="n">
        <v>45968.03125</v>
      </c>
      <c r="D1240" s="2" t="inlineStr">
        <is>
          <t>Original</t>
        </is>
      </c>
      <c r="E1240" s="2" t="inlineStr">
        <is>
          <t>CH</t>
        </is>
      </c>
      <c r="F124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40" s="2" t="inlineStr">
        <is>
          <t>Art. 136.º-A (aditamento)</t>
        </is>
      </c>
      <c r="H1240" s="2" t="n"/>
      <c r="I1240" s="2" t="n"/>
      <c r="J1240" s="2" t="n"/>
      <c r="K1240" s="2" t="n"/>
      <c r="L1240" s="2" t="inlineStr">
        <is>
          <t>Artigo 136.º-A (Fundo para Habitação Acessível em Regime de Parceria)</t>
        </is>
      </c>
      <c r="M1240" s="4" t="n"/>
      <c r="N1240" s="4" t="n"/>
      <c r="O1240" s="2" t="n"/>
      <c r="P1240" s="2" t="n"/>
      <c r="Q1240" s="2" t="n"/>
      <c r="R1240" s="2" t="n"/>
      <c r="S1240" s="2" t="inlineStr">
        <is>
          <t>Rejeitado(a) em Comissão</t>
        </is>
      </c>
      <c r="T1240" s="2" t="inlineStr">
        <is>
          <t>Rejeitada</t>
        </is>
      </c>
      <c r="U1240" s="2" t="inlineStr">
        <is>
          <t>Favor: CH; Contra: PSD, L, PCP, CDS-PP, BE; Abstenção: PS, IL, PAN</t>
        </is>
      </c>
      <c r="V1240" s="3" t="n">
        <v>45987</v>
      </c>
      <c r="W1240" s="2" t="inlineStr">
        <is>
          <t>AR: https://www.parlamento.pt/OrcamentoEstado/Paginas/DetalhePropostaAlteracao.aspx?BID=24414 PDF: https://app.parlamento.pt/webutils/docs/doc.pdf?path=6148523063484d364c793942556b356c6443397a6158526c63793959566b6c4a544556484c3039464c7a49774d6a59794d4449314d5441774f533951515338314e544177596a686c4e4331695a5759334c5451774e574574596a55304f5330314d57526a4e5441304e7a4e684d4467756347526d&amp;Fich=5500b8e4-bef7-405a-b549-51dc50473a08.pdf&amp;Inline=true</t>
        </is>
      </c>
      <c r="X1240" s="2" t="inlineStr">
        <is>
          <t>Infraestruturas, Mobilidade e Habitação</t>
        </is>
      </c>
      <c r="Y1240" s="2" t="inlineStr">
        <is>
          <t>Articulado</t>
        </is>
      </c>
      <c r="Z1240" s="2" t="inlineStr">
        <is>
          <t>Aditamento (Artigo PPL)</t>
        </is>
      </c>
      <c r="AA1240" s="2" t="inlineStr">
        <is>
          <t>Rejeitado(a) em Comissão</t>
        </is>
      </c>
      <c r="AB1240" s="2" t="inlineStr"/>
      <c r="AC1240" s="2" t="inlineStr"/>
      <c r="AD1240" s="2" t="inlineStr">
        <is>
          <t>1</t>
        </is>
      </c>
      <c r="AE1240" s="2" t="inlineStr">
        <is>
          <t>24414</t>
        </is>
      </c>
      <c r="AF1240" s="2" t="inlineStr">
        <is>
          <t>https://www.parlamento.pt/OrcamentoEstado/Paginas/DetalhePropostaAlteracao.aspx?BID=24414</t>
        </is>
      </c>
      <c r="AG1240" s="2" t="inlineStr">
        <is>
          <t>https://app.parlamento.pt/webutils/docs/doc.pdf?path=6148523063484d364c793942556b356c6443397a6158526c63793959566b6c4a544556484c3039464c7a49774d6a59794d4449314d5441774f533951515338314e544177596a686c4e4331695a5759334c5451774e574574596a55304f5330314d57526a4e5441304e7a4e684d4467756347526d&amp;Fich=5500b8e4-bef7-405a-b549-51dc50473a08.pdf&amp;Inline=true</t>
        </is>
      </c>
      <c r="AH1240" s="3" t="n">
        <v>46321.77847222222</v>
      </c>
      <c r="AI1240" s="3" t="n">
        <v>46321.78055555555</v>
      </c>
      <c r="AJ1240" s="2" t="inlineStr"/>
    </row>
    <row r="1241">
      <c r="A1241" s="2" t="n">
        <v>1240</v>
      </c>
      <c r="B1241" s="2" t="inlineStr">
        <is>
          <t>1174C</t>
        </is>
      </c>
      <c r="C1241" s="3" t="n">
        <v>45968.03263888889</v>
      </c>
      <c r="D1241" s="2" t="inlineStr">
        <is>
          <t>Original</t>
        </is>
      </c>
      <c r="E1241" s="2" t="inlineStr">
        <is>
          <t>CH</t>
        </is>
      </c>
      <c r="F124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41" s="2" t="inlineStr">
        <is>
          <t>Art. 136.º-A (aditamento)</t>
        </is>
      </c>
      <c r="H1241" s="2" t="n"/>
      <c r="I1241" s="2" t="n"/>
      <c r="J1241" s="2" t="n"/>
      <c r="K1241" s="2" t="n"/>
      <c r="L1241" s="2" t="inlineStr">
        <is>
          <t>Artigo 136.º-A (Incentivo à mobilidade elétrica em territórios de baixa densidade e com maiores índices de GEE, por via do Fundo Ambiental)</t>
        </is>
      </c>
      <c r="M1241" s="4" t="n"/>
      <c r="N1241" s="4" t="n"/>
      <c r="O1241" s="2" t="n"/>
      <c r="P1241" s="2" t="n"/>
      <c r="Q1241" s="2" t="n"/>
      <c r="R1241" s="2" t="n"/>
      <c r="S1241" s="2" t="inlineStr">
        <is>
          <t>Rejeitado(a) em Comissão</t>
        </is>
      </c>
      <c r="T1241" s="2" t="inlineStr">
        <is>
          <t>Rejeitada</t>
        </is>
      </c>
      <c r="U1241" s="2" t="inlineStr">
        <is>
          <t>Favor: CH, IL, BE, PAN; Contra: PSD, PCP, CDS-PP; Abstenção: PS, L</t>
        </is>
      </c>
      <c r="V1241" s="3" t="n">
        <v>45987</v>
      </c>
      <c r="W1241" s="2" t="inlineStr">
        <is>
          <t>AR: https://www.parlamento.pt/OrcamentoEstado/Paginas/DetalhePropostaAlteracao.aspx?BID=24415 PDF: https://app.parlamento.pt/webutils/docs/doc.pdf?path=6148523063484d364c793942556b356c6443397a6158526c63793959566b6c4a544556484c3039464c7a49774d6a59794d4449314d5441774f533951515338334d6a68695a4459344e4330304d7a4a6d4c5451354d4449744f54497a5a5330784e54526d4e4749315a575a6d4f4463756347526d&amp;Fich=728bd684-432f-4902-923e-154f4b5eff87.pdf&amp;Inline=true</t>
        </is>
      </c>
      <c r="X1241" s="2" t="inlineStr">
        <is>
          <t>Ambiente e Energia</t>
        </is>
      </c>
      <c r="Y1241" s="2" t="inlineStr">
        <is>
          <t>Articulado</t>
        </is>
      </c>
      <c r="Z1241" s="2" t="inlineStr">
        <is>
          <t>Aditamento (Artigo PPL)</t>
        </is>
      </c>
      <c r="AA1241" s="2" t="inlineStr">
        <is>
          <t>Rejeitado(a) em Comissão</t>
        </is>
      </c>
      <c r="AB1241" s="2" t="inlineStr"/>
      <c r="AC1241" s="2" t="inlineStr"/>
      <c r="AD1241" s="2" t="inlineStr">
        <is>
          <t>1</t>
        </is>
      </c>
      <c r="AE1241" s="2" t="inlineStr">
        <is>
          <t>24415</t>
        </is>
      </c>
      <c r="AF1241" s="2" t="inlineStr">
        <is>
          <t>https://www.parlamento.pt/OrcamentoEstado/Paginas/DetalhePropostaAlteracao.aspx?BID=24415</t>
        </is>
      </c>
      <c r="AG1241" s="2" t="inlineStr">
        <is>
          <t>https://app.parlamento.pt/webutils/docs/doc.pdf?path=6148523063484d364c793942556b356c6443397a6158526c63793959566b6c4a544556484c3039464c7a49774d6a59794d4449314d5441774f533951515338334d6a68695a4459344e4330304d7a4a6d4c5451354d4449744f54497a5a5330784e54526d4e4749315a575a6d4f4463756347526d&amp;Fich=728bd684-432f-4902-923e-154f4b5eff87.pdf&amp;Inline=true</t>
        </is>
      </c>
      <c r="AH1241" s="3" t="n">
        <v>46321.77847222222</v>
      </c>
      <c r="AI1241" s="3" t="n">
        <v>46321.78055555555</v>
      </c>
      <c r="AJ1241" s="2" t="inlineStr"/>
    </row>
    <row r="1242">
      <c r="A1242" s="2" t="n">
        <v>1241</v>
      </c>
      <c r="B1242" s="2" t="inlineStr">
        <is>
          <t>1175C</t>
        </is>
      </c>
      <c r="C1242" s="3" t="n">
        <v>45968.03402777778</v>
      </c>
      <c r="D1242" s="2" t="inlineStr">
        <is>
          <t>Original</t>
        </is>
      </c>
      <c r="E1242" s="2" t="inlineStr">
        <is>
          <t>CH</t>
        </is>
      </c>
      <c r="F124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42" s="2" t="inlineStr">
        <is>
          <t>Art. 136.º-A (aditamento)</t>
        </is>
      </c>
      <c r="H1242" s="2" t="n"/>
      <c r="I1242" s="2" t="n"/>
      <c r="J1242" s="2" t="n"/>
      <c r="K1242" s="2" t="n"/>
      <c r="L1242" s="2" t="inlineStr">
        <is>
          <t>Artigo 136.º-A (Lançamento da obra do IC6 entre Tábua e o nó de Folhadosa)</t>
        </is>
      </c>
      <c r="M1242" s="4" t="n"/>
      <c r="N1242" s="4" t="n"/>
      <c r="O1242" s="2" t="n"/>
      <c r="P1242" s="2" t="n"/>
      <c r="Q1242" s="2" t="n"/>
      <c r="R1242" s="2" t="n"/>
      <c r="S1242" s="2" t="inlineStr">
        <is>
          <t>Aprovado(a) em Comissão</t>
        </is>
      </c>
      <c r="T1242" s="2" t="inlineStr">
        <is>
          <t>Aprovada</t>
        </is>
      </c>
      <c r="U1242" s="2" t="inlineStr">
        <is>
          <t>Favor: CH, PS, IL, BE; Contra: PSD, CDS-PP; Abstenção: L, PCP, PAN</t>
        </is>
      </c>
      <c r="V1242" s="3" t="n">
        <v>45987</v>
      </c>
      <c r="W1242" s="2" t="inlineStr">
        <is>
          <t>AR: https://www.parlamento.pt/OrcamentoEstado/Paginas/DetalhePropostaAlteracao.aspx?BID=24416 PDF: https://app.parlamento.pt/webutils/docs/doc.pdf?path=6148523063484d364c793942556b356c6443397a6158526c63793959566b6c4a544556484c3039464c7a49774d6a59794d4449314d5441774f533951515338354d4759794d7a686a4d69316a4e5463314c5451304e7a4d7459574d7a4d43316c4f545179595759335a6a466a4e3259756347526d&amp;Fich=90f238c2-c575-4473-ac30-e942af7f1c7f.pdf&amp;Inline=true</t>
        </is>
      </c>
      <c r="X1242" s="2" t="inlineStr">
        <is>
          <t>Infraestruturas, Mobilidade e Habitação</t>
        </is>
      </c>
      <c r="Y1242" s="2" t="inlineStr">
        <is>
          <t>Articulado</t>
        </is>
      </c>
      <c r="Z1242" s="2" t="inlineStr">
        <is>
          <t>Aditamento (Artigo PPL)</t>
        </is>
      </c>
      <c r="AA1242" s="2" t="inlineStr">
        <is>
          <t>Aprovado(a) em Comissão</t>
        </is>
      </c>
      <c r="AB1242" s="2" t="inlineStr"/>
      <c r="AC1242" s="2" t="inlineStr"/>
      <c r="AD1242" s="2" t="inlineStr">
        <is>
          <t>1</t>
        </is>
      </c>
      <c r="AE1242" s="2" t="inlineStr">
        <is>
          <t>24416</t>
        </is>
      </c>
      <c r="AF1242" s="2" t="inlineStr">
        <is>
          <t>https://www.parlamento.pt/OrcamentoEstado/Paginas/DetalhePropostaAlteracao.aspx?BID=24416</t>
        </is>
      </c>
      <c r="AG1242" s="2" t="inlineStr">
        <is>
          <t>https://app.parlamento.pt/webutils/docs/doc.pdf?path=6148523063484d364c793942556b356c6443397a6158526c63793959566b6c4a544556484c3039464c7a49774d6a59794d4449314d5441774f533951515338354d4759794d7a686a4d69316a4e5463314c5451304e7a4d7459574d7a4d43316c4f545179595759335a6a466a4e3259756347526d&amp;Fich=90f238c2-c575-4473-ac30-e942af7f1c7f.pdf&amp;Inline=true</t>
        </is>
      </c>
      <c r="AH1242" s="3" t="n">
        <v>46321.77847222222</v>
      </c>
      <c r="AI1242" s="3" t="n">
        <v>46321.78055555555</v>
      </c>
      <c r="AJ1242" s="2" t="inlineStr"/>
    </row>
    <row r="1243">
      <c r="A1243" s="2" t="n">
        <v>1242</v>
      </c>
      <c r="B1243" s="2" t="inlineStr">
        <is>
          <t>1176C</t>
        </is>
      </c>
      <c r="C1243" s="3" t="n">
        <v>45968.03541666667</v>
      </c>
      <c r="D1243" s="2" t="inlineStr">
        <is>
          <t>Original</t>
        </is>
      </c>
      <c r="E1243" s="2" t="inlineStr">
        <is>
          <t>CH</t>
        </is>
      </c>
      <c r="F124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43" s="2" t="inlineStr">
        <is>
          <t>Art. 136.º-A (aditamento)</t>
        </is>
      </c>
      <c r="H1243" s="2" t="n"/>
      <c r="I1243" s="2" t="n"/>
      <c r="J1243" s="2" t="n"/>
      <c r="K1243" s="2" t="n"/>
      <c r="L1243" s="2" t="inlineStr">
        <is>
          <t>Artigo 136.º-A (Programa Nacional de Produção de Matérias-Primas para Biocombustíveis)</t>
        </is>
      </c>
      <c r="M1243" s="4" t="n"/>
      <c r="N1243" s="4" t="n"/>
      <c r="O1243" s="2" t="n"/>
      <c r="P1243" s="2" t="n"/>
      <c r="Q1243" s="2" t="n"/>
      <c r="R1243" s="2" t="n"/>
      <c r="S1243" s="2" t="inlineStr">
        <is>
          <t>Rejeitado(a) em Comissão</t>
        </is>
      </c>
      <c r="T1243" s="2" t="inlineStr">
        <is>
          <t>Rejeitada</t>
        </is>
      </c>
      <c r="U1243" s="2" t="inlineStr">
        <is>
          <t>Favor: CH; Contra: PSD, IL, L, PCP, CDS-PP; Abstenção: PS, BE, PAN</t>
        </is>
      </c>
      <c r="V1243" s="3" t="n">
        <v>45987</v>
      </c>
      <c r="W1243" s="2" t="inlineStr">
        <is>
          <t>AR: https://www.parlamento.pt/OrcamentoEstado/Paginas/DetalhePropostaAlteracao.aspx?BID=24417 PDF: https://app.parlamento.pt/webutils/docs/doc.pdf?path=6148523063484d364c793942556b356c6443397a6158526c63793959566b6c4a544556484c3039464c7a49774d6a59794d4449314d5441774f533951515338304d54466d4e7a67784d5330334f57497a4c5451304d7a59744f5451775a5330785a574e68597a55304f5459325a6a63756347526d&amp;Fich=411f7811-79b3-4436-940e-1ecac54966f7.pdf&amp;Inline=true</t>
        </is>
      </c>
      <c r="X1243" s="2" t="inlineStr">
        <is>
          <t>Ambiente e Energia</t>
        </is>
      </c>
      <c r="Y1243" s="2" t="inlineStr">
        <is>
          <t>Articulado</t>
        </is>
      </c>
      <c r="Z1243" s="2" t="inlineStr">
        <is>
          <t>Aditamento (Artigo PPL)</t>
        </is>
      </c>
      <c r="AA1243" s="2" t="inlineStr">
        <is>
          <t>Rejeitado(a) em Comissão</t>
        </is>
      </c>
      <c r="AB1243" s="2" t="inlineStr"/>
      <c r="AC1243" s="2" t="inlineStr"/>
      <c r="AD1243" s="2" t="inlineStr">
        <is>
          <t>1</t>
        </is>
      </c>
      <c r="AE1243" s="2" t="inlineStr">
        <is>
          <t>24417</t>
        </is>
      </c>
      <c r="AF1243" s="2" t="inlineStr">
        <is>
          <t>https://www.parlamento.pt/OrcamentoEstado/Paginas/DetalhePropostaAlteracao.aspx?BID=24417</t>
        </is>
      </c>
      <c r="AG1243" s="2" t="inlineStr">
        <is>
          <t>https://app.parlamento.pt/webutils/docs/doc.pdf?path=6148523063484d364c793942556b356c6443397a6158526c63793959566b6c4a544556484c3039464c7a49774d6a59794d4449314d5441774f533951515338304d54466d4e7a67784d5330334f57497a4c5451304d7a59744f5451775a5330785a574e68597a55304f5459325a6a63756347526d&amp;Fich=411f7811-79b3-4436-940e-1ecac54966f7.pdf&amp;Inline=true</t>
        </is>
      </c>
      <c r="AH1243" s="3" t="n">
        <v>46321.77847222222</v>
      </c>
      <c r="AI1243" s="3" t="n">
        <v>46321.78055555555</v>
      </c>
      <c r="AJ1243" s="2" t="inlineStr"/>
    </row>
    <row r="1244">
      <c r="A1244" s="2" t="n">
        <v>1243</v>
      </c>
      <c r="B1244" s="2" t="inlineStr">
        <is>
          <t>1177C</t>
        </is>
      </c>
      <c r="C1244" s="3" t="n">
        <v>45968.03680555556</v>
      </c>
      <c r="D1244" s="2" t="inlineStr">
        <is>
          <t>Original</t>
        </is>
      </c>
      <c r="E1244" s="2" t="inlineStr">
        <is>
          <t>CH</t>
        </is>
      </c>
      <c r="F124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44" s="2" t="inlineStr">
        <is>
          <t>Art. 136.º-A (aditamento)</t>
        </is>
      </c>
      <c r="H1244" s="2" t="n"/>
      <c r="I1244" s="2" t="n"/>
      <c r="J1244" s="2" t="n"/>
      <c r="K1244" s="2" t="n"/>
      <c r="L1244" s="2" t="inlineStr">
        <is>
          <t>Artigo 136.º-A (Aprofundamento e alargamento do canal de navegação do Porto de Cruzeiros em Portimão)</t>
        </is>
      </c>
      <c r="M1244" s="4" t="n"/>
      <c r="N1244" s="4" t="n"/>
      <c r="O1244" s="2" t="n"/>
      <c r="P1244" s="2" t="n"/>
      <c r="Q1244" s="2" t="n"/>
      <c r="R1244" s="2" t="n"/>
      <c r="S1244" s="2" t="inlineStr">
        <is>
          <t>Rejeitado(a) em Comissão</t>
        </is>
      </c>
      <c r="T1244" s="2" t="inlineStr">
        <is>
          <t>Rejeitada</t>
        </is>
      </c>
      <c r="U1244" s="2" t="inlineStr">
        <is>
          <t>Favor: CH; Contra: PSD, IL, L, CDS-PP, BE, PAN; Abstenção: PS, PCP</t>
        </is>
      </c>
      <c r="V1244" s="3" t="n">
        <v>45987</v>
      </c>
      <c r="W1244" s="2" t="inlineStr">
        <is>
          <t>AR: https://www.parlamento.pt/OrcamentoEstado/Paginas/DetalhePropostaAlteracao.aspx?BID=24418 PDF: https://app.parlamento.pt/webutils/docs/doc.pdf?path=6148523063484d364c793942556b356c6443397a6158526c63793959566b6c4a544556484c3039464c7a49774d6a59794d4449314d5441774f533951515338304e6a51785a5441785a6930325a6d566a4c54526959324574595459344d79316c4e475a694e6a41324d54646d4d7a6b756347526d&amp;Fich=4641e01f-6fec-4bca-a683-e4fb60617f39.pdf&amp;Inline=true</t>
        </is>
      </c>
      <c r="X1244" s="2" t="inlineStr">
        <is>
          <t>Infraestruturas, Mobilidade e Habitação</t>
        </is>
      </c>
      <c r="Y1244" s="2" t="inlineStr">
        <is>
          <t>Articulado</t>
        </is>
      </c>
      <c r="Z1244" s="2" t="inlineStr">
        <is>
          <t>Aditamento (Artigo PPL)</t>
        </is>
      </c>
      <c r="AA1244" s="2" t="inlineStr">
        <is>
          <t>Rejeitado(a) em Comissão</t>
        </is>
      </c>
      <c r="AB1244" s="2" t="inlineStr"/>
      <c r="AC1244" s="2" t="inlineStr"/>
      <c r="AD1244" s="2" t="inlineStr">
        <is>
          <t>1</t>
        </is>
      </c>
      <c r="AE1244" s="2" t="inlineStr">
        <is>
          <t>24418</t>
        </is>
      </c>
      <c r="AF1244" s="2" t="inlineStr">
        <is>
          <t>https://www.parlamento.pt/OrcamentoEstado/Paginas/DetalhePropostaAlteracao.aspx?BID=24418</t>
        </is>
      </c>
      <c r="AG1244" s="2" t="inlineStr">
        <is>
          <t>https://app.parlamento.pt/webutils/docs/doc.pdf?path=6148523063484d364c793942556b356c6443397a6158526c63793959566b6c4a544556484c3039464c7a49774d6a59794d4449314d5441774f533951515338304e6a51785a5441785a6930325a6d566a4c54526959324574595459344d79316c4e475a694e6a41324d54646d4d7a6b756347526d&amp;Fich=4641e01f-6fec-4bca-a683-e4fb60617f39.pdf&amp;Inline=true</t>
        </is>
      </c>
      <c r="AH1244" s="3" t="n">
        <v>46321.77847222222</v>
      </c>
      <c r="AI1244" s="3" t="n">
        <v>46321.78055555555</v>
      </c>
      <c r="AJ1244" s="2" t="inlineStr"/>
    </row>
    <row r="1245">
      <c r="A1245" s="2" t="n">
        <v>1244</v>
      </c>
      <c r="B1245" s="2" t="inlineStr">
        <is>
          <t>1178C</t>
        </is>
      </c>
      <c r="C1245" s="3" t="n">
        <v>45968.03680555556</v>
      </c>
      <c r="D1245" s="2" t="inlineStr">
        <is>
          <t>Original</t>
        </is>
      </c>
      <c r="E1245" s="2" t="inlineStr">
        <is>
          <t>CH</t>
        </is>
      </c>
      <c r="F124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45" s="2" t="inlineStr">
        <is>
          <t>Art. 136.º-A (aditamento)</t>
        </is>
      </c>
      <c r="H1245" s="2" t="n"/>
      <c r="I1245" s="2" t="n"/>
      <c r="J1245" s="2" t="n"/>
      <c r="K1245" s="2" t="n"/>
      <c r="L1245" s="2" t="inlineStr">
        <is>
          <t>Artigo 136.º-A (Programa de intervenção urgente nas ETAR’s de Ossela e Salgueiro)</t>
        </is>
      </c>
      <c r="M1245" s="4" t="n"/>
      <c r="N1245" s="4" t="n"/>
      <c r="O1245" s="2" t="n"/>
      <c r="P1245" s="2" t="n"/>
      <c r="Q1245" s="2" t="n"/>
      <c r="R1245" s="2" t="n"/>
      <c r="S1245" s="2" t="inlineStr">
        <is>
          <t>Rejeitado(a) em Comissão</t>
        </is>
      </c>
      <c r="T1245" s="2" t="inlineStr">
        <is>
          <t>Rejeitada</t>
        </is>
      </c>
      <c r="U1245" s="2" t="inlineStr">
        <is>
          <t>Favor: CH, BE, PAN; Contra: PSD, CDS-PP; Abstenção: PS, IL, L, PCP</t>
        </is>
      </c>
      <c r="V1245" s="3" t="n">
        <v>45987</v>
      </c>
      <c r="W1245" s="2" t="inlineStr">
        <is>
          <t>AR: https://www.parlamento.pt/OrcamentoEstado/Paginas/DetalhePropostaAlteracao.aspx?BID=24419 PDF: https://app.parlamento.pt/webutils/docs/doc.pdf?path=6148523063484d364c793942556b356c6443397a6158526c63793959566b6c4a544556484c3039464c7a49774d6a59794d4449314d5441774f533951515338324e325934595449304d7931694e3255784c54526c595445744f5467315a69307a4e4749774d4455785a6a59344d5445756347526d&amp;Fich=67f8a243-b7e1-4ea1-985f-34b0051f6811.pdf&amp;Inline=true</t>
        </is>
      </c>
      <c r="X1245" s="2" t="inlineStr">
        <is>
          <t>Reforma do Estado e Poder Local</t>
        </is>
      </c>
      <c r="Y1245" s="2" t="inlineStr">
        <is>
          <t>Articulado</t>
        </is>
      </c>
      <c r="Z1245" s="2" t="inlineStr">
        <is>
          <t>Aditamento (Artigo PPL)</t>
        </is>
      </c>
      <c r="AA1245" s="2" t="inlineStr">
        <is>
          <t>Rejeitado(a) em Comissão</t>
        </is>
      </c>
      <c r="AB1245" s="2" t="inlineStr"/>
      <c r="AC1245" s="2" t="inlineStr"/>
      <c r="AD1245" s="2" t="inlineStr">
        <is>
          <t>1</t>
        </is>
      </c>
      <c r="AE1245" s="2" t="inlineStr">
        <is>
          <t>24419</t>
        </is>
      </c>
      <c r="AF1245" s="2" t="inlineStr">
        <is>
          <t>https://www.parlamento.pt/OrcamentoEstado/Paginas/DetalhePropostaAlteracao.aspx?BID=24419</t>
        </is>
      </c>
      <c r="AG1245" s="2" t="inlineStr">
        <is>
          <t>https://app.parlamento.pt/webutils/docs/doc.pdf?path=6148523063484d364c793942556b356c6443397a6158526c63793959566b6c4a544556484c3039464c7a49774d6a59794d4449314d5441774f533951515338324e325934595449304d7931694e3255784c54526c595445744f5467315a69307a4e4749774d4455785a6a59344d5445756347526d&amp;Fich=67f8a243-b7e1-4ea1-985f-34b0051f6811.pdf&amp;Inline=true</t>
        </is>
      </c>
      <c r="AH1245" s="3" t="n">
        <v>46321.77847222222</v>
      </c>
      <c r="AI1245" s="3" t="n">
        <v>46321.78055555555</v>
      </c>
      <c r="AJ1245" s="2" t="inlineStr"/>
    </row>
    <row r="1246">
      <c r="A1246" s="2" t="n">
        <v>1245</v>
      </c>
      <c r="B1246" s="2" t="inlineStr">
        <is>
          <t>1179C</t>
        </is>
      </c>
      <c r="C1246" s="3" t="n">
        <v>45968.03819444445</v>
      </c>
      <c r="D1246" s="2" t="inlineStr">
        <is>
          <t>Original</t>
        </is>
      </c>
      <c r="E1246" s="2" t="inlineStr">
        <is>
          <t>CH</t>
        </is>
      </c>
      <c r="F124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46" s="2" t="inlineStr">
        <is>
          <t>Art. 136.º-A (aditamento)</t>
        </is>
      </c>
      <c r="H1246" s="2" t="n"/>
      <c r="I1246" s="2" t="n"/>
      <c r="J1246" s="2" t="n"/>
      <c r="K1246" s="2" t="n"/>
      <c r="L1246" s="2" t="inlineStr">
        <is>
          <t>Artigo 136.º-A (Criação de um novo Plano Nacional de Ciência e Tecnologia, visando impulsionar a inovação e o crescimento económico)</t>
        </is>
      </c>
      <c r="M1246" s="4" t="n"/>
      <c r="N1246" s="4" t="n"/>
      <c r="O1246" s="2" t="n"/>
      <c r="P1246" s="2" t="n"/>
      <c r="Q1246" s="2" t="n"/>
      <c r="R1246" s="2" t="n"/>
      <c r="S1246" s="2" t="inlineStr">
        <is>
          <t>Rejeitado(a) em Comissão</t>
        </is>
      </c>
      <c r="T1246" s="2" t="inlineStr">
        <is>
          <t>Rejeitada</t>
        </is>
      </c>
      <c r="U1246" s="2" t="inlineStr">
        <is>
          <t>Favor: CH; Contra: PSD, CDS-PP, BE; Abstenção: PS, IL, L, PCP, PAN</t>
        </is>
      </c>
      <c r="V1246" s="3" t="n">
        <v>45987</v>
      </c>
      <c r="W1246" s="2" t="inlineStr">
        <is>
          <t>AR: https://www.parlamento.pt/OrcamentoEstado/Paginas/DetalhePropostaAlteracao.aspx?BID=24420 PDF: https://app.parlamento.pt/webutils/docs/doc.pdf?path=6148523063484d364c793942556b356c6443397a6158526c63793959566b6c4a544556484c3039464c7a49774d6a59794d4449314d5441774f5339515153396d4e7a526b5a57557a596930795a5749794c5451305a4449744f4463344f4330784d7a566a4e324935597a466d4d5749756347526d&amp;Fich=f74dee3b-2eb2-44d2-8788-135c7b9c1f1b.pdf&amp;Inline=true</t>
        </is>
      </c>
      <c r="X1246" s="2" t="inlineStr">
        <is>
          <t>Educação e Ciência</t>
        </is>
      </c>
      <c r="Y1246" s="2" t="inlineStr">
        <is>
          <t>Articulado</t>
        </is>
      </c>
      <c r="Z1246" s="2" t="inlineStr">
        <is>
          <t>Aditamento (Artigo PPL)</t>
        </is>
      </c>
      <c r="AA1246" s="2" t="inlineStr">
        <is>
          <t>Rejeitado(a) em Comissão</t>
        </is>
      </c>
      <c r="AB1246" s="2" t="inlineStr"/>
      <c r="AC1246" s="2" t="inlineStr"/>
      <c r="AD1246" s="2" t="inlineStr">
        <is>
          <t>1</t>
        </is>
      </c>
      <c r="AE1246" s="2" t="inlineStr">
        <is>
          <t>24420</t>
        </is>
      </c>
      <c r="AF1246" s="2" t="inlineStr">
        <is>
          <t>https://www.parlamento.pt/OrcamentoEstado/Paginas/DetalhePropostaAlteracao.aspx?BID=24420</t>
        </is>
      </c>
      <c r="AG1246" s="2" t="inlineStr">
        <is>
          <t>https://app.parlamento.pt/webutils/docs/doc.pdf?path=6148523063484d364c793942556b356c6443397a6158526c63793959566b6c4a544556484c3039464c7a49774d6a59794d4449314d5441774f5339515153396d4e7a526b5a57557a596930795a5749794c5451305a4449744f4463344f4330784d7a566a4e324935597a466d4d5749756347526d&amp;Fich=f74dee3b-2eb2-44d2-8788-135c7b9c1f1b.pdf&amp;Inline=true</t>
        </is>
      </c>
      <c r="AH1246" s="3" t="n">
        <v>46321.77847222222</v>
      </c>
      <c r="AI1246" s="3" t="n">
        <v>46321.78055555555</v>
      </c>
      <c r="AJ1246" s="2" t="inlineStr"/>
    </row>
    <row r="1247">
      <c r="A1247" s="2" t="n">
        <v>1246</v>
      </c>
      <c r="B1247" s="2" t="inlineStr">
        <is>
          <t>1180C</t>
        </is>
      </c>
      <c r="C1247" s="3" t="n">
        <v>45968.03888888889</v>
      </c>
      <c r="D1247" s="2" t="inlineStr">
        <is>
          <t>Original</t>
        </is>
      </c>
      <c r="E1247" s="2" t="inlineStr">
        <is>
          <t>CH</t>
        </is>
      </c>
      <c r="F124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47" s="2" t="inlineStr">
        <is>
          <t>Art. 136.º-A (aditamento)</t>
        </is>
      </c>
      <c r="H1247" s="2" t="n"/>
      <c r="I1247" s="2" t="n"/>
      <c r="J1247" s="2" t="n"/>
      <c r="K1247" s="2" t="n"/>
      <c r="L1247" s="2" t="inlineStr">
        <is>
          <t>Artigo 136.º-A (Programa para a Substituição de Materiais de Esferovite nas Artes de Pesca)</t>
        </is>
      </c>
      <c r="M1247" s="4" t="n"/>
      <c r="N1247" s="4" t="n"/>
      <c r="O1247" s="2" t="n"/>
      <c r="P1247" s="2" t="n"/>
      <c r="Q1247" s="2" t="n"/>
      <c r="R1247" s="2" t="n"/>
      <c r="S1247" s="2" t="inlineStr">
        <is>
          <t>Rejeitado(a) em Comissão</t>
        </is>
      </c>
      <c r="T1247" s="2" t="inlineStr">
        <is>
          <t>Rejeitada</t>
        </is>
      </c>
      <c r="U1247" s="2" t="inlineStr">
        <is>
          <t>Favor: CH, BE, PAN; Contra: PSD, CDS-PP; Abstenção: PS, IL, L, PCP</t>
        </is>
      </c>
      <c r="V1247" s="3" t="n">
        <v>45987</v>
      </c>
      <c r="W1247" s="2" t="inlineStr">
        <is>
          <t>AR: https://www.parlamento.pt/OrcamentoEstado/Paginas/DetalhePropostaAlteracao.aspx?BID=24421 PDF: https://app.parlamento.pt/webutils/docs/doc.pdf?path=6148523063484d364c793942556b356c6443397a6158526c63793959566b6c4a544556484c3039464c7a49774d6a59794d4449314d5441774f5339515153396c4d5445304e6d4a6d4e5330304d4751354c54526c4d324574596a67345a4330314f5459344f57566c4e7a45344d6a45756347526d&amp;Fich=e1146bf5-40d9-4e3a-b88d-59689ee71821.pdf&amp;Inline=true</t>
        </is>
      </c>
      <c r="X1247" s="2" t="inlineStr">
        <is>
          <t>Agricultura e Pescas</t>
        </is>
      </c>
      <c r="Y1247" s="2" t="inlineStr">
        <is>
          <t>Articulado</t>
        </is>
      </c>
      <c r="Z1247" s="2" t="inlineStr">
        <is>
          <t>Aditamento (Artigo PPL)</t>
        </is>
      </c>
      <c r="AA1247" s="2" t="inlineStr">
        <is>
          <t>Rejeitado(a) em Comissão</t>
        </is>
      </c>
      <c r="AB1247" s="2" t="inlineStr"/>
      <c r="AC1247" s="2" t="inlineStr"/>
      <c r="AD1247" s="2" t="inlineStr">
        <is>
          <t>1</t>
        </is>
      </c>
      <c r="AE1247" s="2" t="inlineStr">
        <is>
          <t>24421</t>
        </is>
      </c>
      <c r="AF1247" s="2" t="inlineStr">
        <is>
          <t>https://www.parlamento.pt/OrcamentoEstado/Paginas/DetalhePropostaAlteracao.aspx?BID=24421</t>
        </is>
      </c>
      <c r="AG1247" s="2" t="inlineStr">
        <is>
          <t>https://app.parlamento.pt/webutils/docs/doc.pdf?path=6148523063484d364c793942556b356c6443397a6158526c63793959566b6c4a544556484c3039464c7a49774d6a59794d4449314d5441774f5339515153396c4d5445304e6d4a6d4e5330304d4751354c54526c4d324574596a67345a4330314f5459344f57566c4e7a45344d6a45756347526d&amp;Fich=e1146bf5-40d9-4e3a-b88d-59689ee71821.pdf&amp;Inline=true</t>
        </is>
      </c>
      <c r="AH1247" s="3" t="n">
        <v>46321.77847222222</v>
      </c>
      <c r="AI1247" s="3" t="n">
        <v>46321.78055555555</v>
      </c>
      <c r="AJ1247" s="2" t="inlineStr"/>
    </row>
    <row r="1248">
      <c r="A1248" s="2" t="n">
        <v>1247</v>
      </c>
      <c r="B1248" s="2" t="inlineStr">
        <is>
          <t>1181C</t>
        </is>
      </c>
      <c r="C1248" s="3" t="n">
        <v>45968.03888888889</v>
      </c>
      <c r="D1248" s="2" t="inlineStr">
        <is>
          <t>Original</t>
        </is>
      </c>
      <c r="E1248" s="2" t="inlineStr">
        <is>
          <t>CH</t>
        </is>
      </c>
      <c r="F124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48" s="2" t="inlineStr">
        <is>
          <t>Art. 136.º-A (aditamento)</t>
        </is>
      </c>
      <c r="H1248" s="2" t="n"/>
      <c r="I1248" s="2" t="n"/>
      <c r="J1248" s="2" t="n"/>
      <c r="K1248" s="2" t="n"/>
      <c r="L1248" s="2" t="inlineStr">
        <is>
          <t>Artigo 136.º-A (Criação do projeto do Simplex Municipal)</t>
        </is>
      </c>
      <c r="M1248" s="4" t="n"/>
      <c r="N1248" s="4" t="n"/>
      <c r="O1248" s="2" t="n"/>
      <c r="P1248" s="2" t="n"/>
      <c r="Q1248" s="2" t="n"/>
      <c r="R1248" s="2" t="n"/>
      <c r="S1248" s="2" t="inlineStr">
        <is>
          <t>Rejeitado(a) em Comissão</t>
        </is>
      </c>
      <c r="T1248" s="2" t="inlineStr">
        <is>
          <t>Rejeitada</t>
        </is>
      </c>
      <c r="U1248" s="2" t="inlineStr">
        <is>
          <t>Favor: CH, IL, BE; Contra: PSD, PS, PCP, CDS-PP, PAN; Abstenção: L</t>
        </is>
      </c>
      <c r="V1248" s="3" t="n">
        <v>45987</v>
      </c>
      <c r="W1248" s="2" t="inlineStr">
        <is>
          <t>AR: https://www.parlamento.pt/OrcamentoEstado/Paginas/DetalhePropostaAlteracao.aspx?BID=24422 PDF: https://app.parlamento.pt/webutils/docs/doc.pdf?path=6148523063484d364c793942556b356c6443397a6158526c63793959566b6c4a544556484c3039464c7a49774d6a59794d4449314d5441774f5339515153396d4e7a67774d6a67344f4330354f47566c4c5451304e544d744f4467785969316a59325135596d4d354f544e6c5a5451756347526d&amp;Fich=f7802888-98ee-4453-881b-ccd9bc993ee4.pdf&amp;Inline=true</t>
        </is>
      </c>
      <c r="X1248" s="2" t="inlineStr">
        <is>
          <t>Reforma do Estado e Poder Local</t>
        </is>
      </c>
      <c r="Y1248" s="2" t="inlineStr">
        <is>
          <t>Articulado</t>
        </is>
      </c>
      <c r="Z1248" s="2" t="inlineStr">
        <is>
          <t>Aditamento (Artigo PPL)</t>
        </is>
      </c>
      <c r="AA1248" s="2" t="inlineStr">
        <is>
          <t>Rejeitado(a) em Comissão</t>
        </is>
      </c>
      <c r="AB1248" s="2" t="inlineStr"/>
      <c r="AC1248" s="2" t="inlineStr"/>
      <c r="AD1248" s="2" t="inlineStr">
        <is>
          <t>1</t>
        </is>
      </c>
      <c r="AE1248" s="2" t="inlineStr">
        <is>
          <t>24422</t>
        </is>
      </c>
      <c r="AF1248" s="2" t="inlineStr">
        <is>
          <t>https://www.parlamento.pt/OrcamentoEstado/Paginas/DetalhePropostaAlteracao.aspx?BID=24422</t>
        </is>
      </c>
      <c r="AG1248" s="2" t="inlineStr">
        <is>
          <t>https://app.parlamento.pt/webutils/docs/doc.pdf?path=6148523063484d364c793942556b356c6443397a6158526c63793959566b6c4a544556484c3039464c7a49774d6a59794d4449314d5441774f5339515153396d4e7a67774d6a67344f4330354f47566c4c5451304e544d744f4467785969316a59325135596d4d354f544e6c5a5451756347526d&amp;Fich=f7802888-98ee-4453-881b-ccd9bc993ee4.pdf&amp;Inline=true</t>
        </is>
      </c>
      <c r="AH1248" s="3" t="n">
        <v>46321.77847222222</v>
      </c>
      <c r="AI1248" s="3" t="n">
        <v>46321.78055555555</v>
      </c>
      <c r="AJ1248" s="2" t="inlineStr"/>
    </row>
    <row r="1249">
      <c r="A1249" s="2" t="n">
        <v>1248</v>
      </c>
      <c r="B1249" s="2" t="inlineStr">
        <is>
          <t>1182C</t>
        </is>
      </c>
      <c r="C1249" s="3" t="n">
        <v>45968.04027777778</v>
      </c>
      <c r="D1249" s="2" t="inlineStr">
        <is>
          <t>Original</t>
        </is>
      </c>
      <c r="E1249" s="2" t="inlineStr">
        <is>
          <t>CH</t>
        </is>
      </c>
      <c r="F124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49" s="2" t="inlineStr">
        <is>
          <t>Art. 136.º-A (aditamento)</t>
        </is>
      </c>
      <c r="H1249" s="2" t="n"/>
      <c r="I1249" s="2" t="n"/>
      <c r="J1249" s="2" t="n"/>
      <c r="K1249" s="2" t="n"/>
      <c r="L1249" s="2" t="inlineStr">
        <is>
          <t>Artigo 136.º-A (Campanha nacional de combate à pirataria de publicações jornalísticas)</t>
        </is>
      </c>
      <c r="M1249" s="4" t="n"/>
      <c r="N1249" s="4" t="n"/>
      <c r="O1249" s="2" t="n"/>
      <c r="P1249" s="2" t="n"/>
      <c r="Q1249" s="2" t="n"/>
      <c r="R1249" s="2" t="n"/>
      <c r="S1249" s="2" t="inlineStr">
        <is>
          <t>Rejeitado(a) em Comissão</t>
        </is>
      </c>
      <c r="T1249" s="2" t="inlineStr">
        <is>
          <t>Rejeitada</t>
        </is>
      </c>
      <c r="U1249" s="2" t="inlineStr">
        <is>
          <t>Favor: CH, IL, PAN; Contra: PSD, CDS-PP; Abstenção: PS, L, PCP, BE</t>
        </is>
      </c>
      <c r="V1249" s="3" t="n">
        <v>45987</v>
      </c>
      <c r="W1249" s="2" t="inlineStr">
        <is>
          <t>AR: https://www.parlamento.pt/OrcamentoEstado/Paginas/DetalhePropostaAlteracao.aspx?BID=24423 PDF: https://app.parlamento.pt/webutils/docs/doc.pdf?path=6148523063484d364c793942556b356c6443397a6158526c63793959566b6c4a544556484c3039464c7a49774d6a59794d4449314d5441774f533951515338334d4446694e546c68595330334e6a426d4c5452695a6d5574595459305a4330795a57466c5a6a426c4e5449784e5467756347526d&amp;Fich=701b59aa-760f-4bfe-a64d-2eaef0e52158.pdf&amp;Inline=true</t>
        </is>
      </c>
      <c r="X1249" s="2" t="inlineStr">
        <is>
          <t>Assuntos Constitucionais, Direitos, Liberdades e Garantias</t>
        </is>
      </c>
      <c r="Y1249" s="2" t="inlineStr">
        <is>
          <t>Articulado</t>
        </is>
      </c>
      <c r="Z1249" s="2" t="inlineStr">
        <is>
          <t>Aditamento (Artigo PPL)</t>
        </is>
      </c>
      <c r="AA1249" s="2" t="inlineStr">
        <is>
          <t>Rejeitado(a) em Comissão</t>
        </is>
      </c>
      <c r="AB1249" s="2" t="inlineStr"/>
      <c r="AC1249" s="2" t="inlineStr"/>
      <c r="AD1249" s="2" t="inlineStr">
        <is>
          <t>1</t>
        </is>
      </c>
      <c r="AE1249" s="2" t="inlineStr">
        <is>
          <t>24423</t>
        </is>
      </c>
      <c r="AF1249" s="2" t="inlineStr">
        <is>
          <t>https://www.parlamento.pt/OrcamentoEstado/Paginas/DetalhePropostaAlteracao.aspx?BID=24423</t>
        </is>
      </c>
      <c r="AG1249" s="2" t="inlineStr">
        <is>
          <t>https://app.parlamento.pt/webutils/docs/doc.pdf?path=6148523063484d364c793942556b356c6443397a6158526c63793959566b6c4a544556484c3039464c7a49774d6a59794d4449314d5441774f533951515338334d4446694e546c68595330334e6a426d4c5452695a6d5574595459305a4330795a57466c5a6a426c4e5449784e5467756347526d&amp;Fich=701b59aa-760f-4bfe-a64d-2eaef0e52158.pdf&amp;Inline=true</t>
        </is>
      </c>
      <c r="AH1249" s="3" t="n">
        <v>46321.77847222222</v>
      </c>
      <c r="AI1249" s="3" t="n">
        <v>46321.78055555555</v>
      </c>
      <c r="AJ1249" s="2" t="inlineStr"/>
    </row>
    <row r="1250">
      <c r="A1250" s="2" t="n">
        <v>1249</v>
      </c>
      <c r="B1250" s="2" t="inlineStr">
        <is>
          <t>1183C</t>
        </is>
      </c>
      <c r="C1250" s="3" t="n">
        <v>45968.04097222222</v>
      </c>
      <c r="D1250" s="2" t="inlineStr">
        <is>
          <t>Original</t>
        </is>
      </c>
      <c r="E1250" s="2" t="inlineStr">
        <is>
          <t>CH</t>
        </is>
      </c>
      <c r="F125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50" s="2" t="inlineStr">
        <is>
          <t>Art. 136.º-A (aditamento)</t>
        </is>
      </c>
      <c r="H1250" s="2" t="n"/>
      <c r="I1250" s="2" t="n"/>
      <c r="J1250" s="2" t="n"/>
      <c r="K1250" s="2" t="n"/>
      <c r="L1250" s="2" t="inlineStr">
        <is>
          <t>Artigo 136.º-A (Projetos em parques industriais para a produção e consumo de energia num sistema integrado, que perspetive a valorização económica das empresas)</t>
        </is>
      </c>
      <c r="M1250" s="4" t="n"/>
      <c r="N1250" s="4" t="n"/>
      <c r="O1250" s="2" t="n"/>
      <c r="P1250" s="2" t="n"/>
      <c r="Q1250" s="2" t="n"/>
      <c r="R1250" s="2" t="n"/>
      <c r="S1250" s="2" t="inlineStr">
        <is>
          <t>Rejeitado(a) em Comissão</t>
        </is>
      </c>
      <c r="T1250" s="2" t="inlineStr">
        <is>
          <t>Rejeitada</t>
        </is>
      </c>
      <c r="U1250" s="2" t="inlineStr">
        <is>
          <t>Favor: CH, BE; Contra: PSD, IL, CDS-PP, PAN; Abstenção: PS, L, PCP</t>
        </is>
      </c>
      <c r="V1250" s="3" t="n">
        <v>45987</v>
      </c>
      <c r="W1250" s="2" t="inlineStr">
        <is>
          <t>AR: https://www.parlamento.pt/OrcamentoEstado/Paginas/DetalhePropostaAlteracao.aspx?BID=24424 PDF: https://app.parlamento.pt/webutils/docs/doc.pdf?path=6148523063484d364c793942556b356c6443397a6158526c63793959566b6c4a544556484c3039464c7a49774d6a59794d4449314d5441774f53395151533879596a41314e6a686b4e5330324f5745354c5451335a5745744f54566b4d5331694e4445305a5749795a5449794f5467756347526d&amp;Fich=2b0568d5-69a9-47ea-95d1-b414eb2e2298.pdf&amp;Inline=true</t>
        </is>
      </c>
      <c r="X1250" s="2" t="inlineStr">
        <is>
          <t>Ambiente e Energia</t>
        </is>
      </c>
      <c r="Y1250" s="2" t="inlineStr">
        <is>
          <t>Articulado</t>
        </is>
      </c>
      <c r="Z1250" s="2" t="inlineStr">
        <is>
          <t>Aditamento (Artigo PPL)</t>
        </is>
      </c>
      <c r="AA1250" s="2" t="inlineStr">
        <is>
          <t>Rejeitado(a) em Comissão</t>
        </is>
      </c>
      <c r="AB1250" s="2" t="inlineStr"/>
      <c r="AC1250" s="2" t="inlineStr"/>
      <c r="AD1250" s="2" t="inlineStr">
        <is>
          <t>1</t>
        </is>
      </c>
      <c r="AE1250" s="2" t="inlineStr">
        <is>
          <t>24424</t>
        </is>
      </c>
      <c r="AF1250" s="2" t="inlineStr">
        <is>
          <t>https://www.parlamento.pt/OrcamentoEstado/Paginas/DetalhePropostaAlteracao.aspx?BID=24424</t>
        </is>
      </c>
      <c r="AG1250" s="2" t="inlineStr">
        <is>
          <t>https://app.parlamento.pt/webutils/docs/doc.pdf?path=6148523063484d364c793942556b356c6443397a6158526c63793959566b6c4a544556484c3039464c7a49774d6a59794d4449314d5441774f53395151533879596a41314e6a686b4e5330324f5745354c5451335a5745744f54566b4d5331694e4445305a5749795a5449794f5467756347526d&amp;Fich=2b0568d5-69a9-47ea-95d1-b414eb2e2298.pdf&amp;Inline=true</t>
        </is>
      </c>
      <c r="AH1250" s="3" t="n">
        <v>46321.77847222222</v>
      </c>
      <c r="AI1250" s="3" t="n">
        <v>46321.78055555555</v>
      </c>
      <c r="AJ1250" s="2" t="inlineStr"/>
    </row>
    <row r="1251">
      <c r="A1251" s="2" t="n">
        <v>1250</v>
      </c>
      <c r="B1251" s="2" t="inlineStr">
        <is>
          <t>1184C</t>
        </is>
      </c>
      <c r="C1251" s="3" t="n">
        <v>45968.04166666666</v>
      </c>
      <c r="D1251" s="2" t="inlineStr">
        <is>
          <t>Original</t>
        </is>
      </c>
      <c r="E1251" s="2" t="inlineStr">
        <is>
          <t>CH</t>
        </is>
      </c>
      <c r="F125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51" s="2" t="inlineStr">
        <is>
          <t>Art. 136.º-A (aditamento)</t>
        </is>
      </c>
      <c r="H1251" s="2" t="n"/>
      <c r="I1251" s="2" t="n"/>
      <c r="J1251" s="2" t="n"/>
      <c r="K1251" s="2" t="n"/>
      <c r="L1251" s="2" t="inlineStr">
        <is>
          <t>Artigo 136.º-A (Alteração ao Decreto-Lei n.º 308/2007, de 3 de setembro)</t>
        </is>
      </c>
      <c r="M1251" s="4" t="n"/>
      <c r="N1251" s="4" t="n"/>
      <c r="O1251" s="2" t="n"/>
      <c r="P1251" s="2" t="n"/>
      <c r="Q1251" s="2" t="n"/>
      <c r="R1251" s="2" t="n"/>
      <c r="S1251" s="2" t="inlineStr">
        <is>
          <t>Rejeitado(a) em Comissão</t>
        </is>
      </c>
      <c r="T1251" s="2" t="inlineStr">
        <is>
          <t>Rejeitada</t>
        </is>
      </c>
      <c r="U1251" s="2" t="inlineStr">
        <is>
          <t>Favor: CH, BE, PAN; Contra: PSD, CDS-PP; Abstenção: PS, IL, L, PCP</t>
        </is>
      </c>
      <c r="V1251" s="3" t="n">
        <v>45987</v>
      </c>
      <c r="W1251" s="2" t="inlineStr">
        <is>
          <t>AR: https://www.parlamento.pt/OrcamentoEstado/Paginas/DetalhePropostaAlteracao.aspx?BID=24425 PDF: https://app.parlamento.pt/webutils/docs/doc.pdf?path=6148523063484d364c793942556b356c6443397a6158526c63793959566b6c4a544556484c3039464c7a49774d6a59794d4449314d5441774f5339515153396a5a444e6c4e6a4d334e43316d4d6a426b4c5451334e6a45744f544d774d4330304e6d5a6b4d44566d4d325531595463756347526d&amp;Fich=cd3e6374-f20d-4761-9300-46fd05f3e5a7.pdf&amp;Inline=true</t>
        </is>
      </c>
      <c r="X1251" s="2" t="inlineStr">
        <is>
          <t>Cultura, Comunicação, Juventude e Desporto; Infraestruturas, Mobilidade e Habitação</t>
        </is>
      </c>
      <c r="Y1251" s="2" t="inlineStr">
        <is>
          <t>Articulado</t>
        </is>
      </c>
      <c r="Z1251" s="2" t="inlineStr">
        <is>
          <t>Aditamento (Artigo PPL)</t>
        </is>
      </c>
      <c r="AA1251" s="2" t="inlineStr">
        <is>
          <t>Rejeitado(a) em Comissão</t>
        </is>
      </c>
      <c r="AB1251" s="2" t="inlineStr"/>
      <c r="AC1251" s="2" t="inlineStr"/>
      <c r="AD1251" s="2" t="inlineStr">
        <is>
          <t>1</t>
        </is>
      </c>
      <c r="AE1251" s="2" t="inlineStr">
        <is>
          <t>24425</t>
        </is>
      </c>
      <c r="AF1251" s="2" t="inlineStr">
        <is>
          <t>https://www.parlamento.pt/OrcamentoEstado/Paginas/DetalhePropostaAlteracao.aspx?BID=24425</t>
        </is>
      </c>
      <c r="AG1251" s="2" t="inlineStr">
        <is>
          <t>https://app.parlamento.pt/webutils/docs/doc.pdf?path=6148523063484d364c793942556b356c6443397a6158526c63793959566b6c4a544556484c3039464c7a49774d6a59794d4449314d5441774f5339515153396a5a444e6c4e6a4d334e43316d4d6a426b4c5451334e6a45744f544d774d4330304e6d5a6b4d44566d4d325531595463756347526d&amp;Fich=cd3e6374-f20d-4761-9300-46fd05f3e5a7.pdf&amp;Inline=true</t>
        </is>
      </c>
      <c r="AH1251" s="3" t="n">
        <v>46321.77847222222</v>
      </c>
      <c r="AI1251" s="3" t="n">
        <v>46321.78055555555</v>
      </c>
      <c r="AJ1251" s="2" t="inlineStr"/>
    </row>
    <row r="1252">
      <c r="A1252" s="2" t="n">
        <v>1251</v>
      </c>
      <c r="B1252" s="2" t="inlineStr">
        <is>
          <t>1185C</t>
        </is>
      </c>
      <c r="C1252" s="3" t="n">
        <v>45968.04305555556</v>
      </c>
      <c r="D1252" s="2" t="inlineStr">
        <is>
          <t>Original</t>
        </is>
      </c>
      <c r="E1252" s="2" t="inlineStr">
        <is>
          <t>CH</t>
        </is>
      </c>
      <c r="F125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52" s="2" t="inlineStr">
        <is>
          <t>Art. 136.º-A (aditamento)</t>
        </is>
      </c>
      <c r="H1252" s="2" t="n"/>
      <c r="I1252" s="2" t="n"/>
      <c r="J1252" s="2" t="n"/>
      <c r="K1252" s="2" t="n"/>
      <c r="L1252" s="2" t="inlineStr">
        <is>
          <t>Artigo 136.º-A (Reabertura e Modernização do Serviço de Urgência 24 Horas no Hospital Visconde de Salreu (Estarreja))</t>
        </is>
      </c>
      <c r="M1252" s="4" t="n"/>
      <c r="N1252" s="4" t="n"/>
      <c r="O1252" s="2" t="n"/>
      <c r="P1252" s="2" t="n"/>
      <c r="Q1252" s="2" t="n"/>
      <c r="R1252" s="2" t="n"/>
      <c r="S1252" s="2" t="inlineStr">
        <is>
          <t>Rejeitado(a) em Comissão</t>
        </is>
      </c>
      <c r="T1252" s="2" t="inlineStr">
        <is>
          <t>Rejeitada</t>
        </is>
      </c>
      <c r="U1252" s="2" t="inlineStr">
        <is>
          <t>Favor: CH, BE, PAN; Contra: PSD, CDS-PP; Abstenção: PS, IL, L, PCP</t>
        </is>
      </c>
      <c r="V1252" s="3" t="n">
        <v>45987</v>
      </c>
      <c r="W1252" s="2" t="inlineStr">
        <is>
          <t>AR: https://www.parlamento.pt/OrcamentoEstado/Paginas/DetalhePropostaAlteracao.aspx?BID=24426 PDF: https://app.parlamento.pt/webutils/docs/doc.pdf?path=6148523063484d364c793942556b356c6443397a6158526c63793959566b6c4a544556484c3039464c7a49774d6a59794d4449314d5441774f53395151533833595459334f54526c4e4330315a4459304c5451324e325174596a5a6d4e69316a5a6a52695a574a6c4e6d51774d7a45756347526d&amp;Fich=7a6794e4-5d64-467d-b6f6-cf4bebe6d031.pdf&amp;Inline=true</t>
        </is>
      </c>
      <c r="X1252" s="2" t="inlineStr">
        <is>
          <t>Saúde</t>
        </is>
      </c>
      <c r="Y1252" s="2" t="inlineStr">
        <is>
          <t>Articulado</t>
        </is>
      </c>
      <c r="Z1252" s="2" t="inlineStr">
        <is>
          <t>Aditamento (Artigo PPL)</t>
        </is>
      </c>
      <c r="AA1252" s="2" t="inlineStr">
        <is>
          <t>Rejeitado(a) em Comissão</t>
        </is>
      </c>
      <c r="AB1252" s="2" t="inlineStr"/>
      <c r="AC1252" s="2" t="inlineStr"/>
      <c r="AD1252" s="2" t="inlineStr">
        <is>
          <t>1</t>
        </is>
      </c>
      <c r="AE1252" s="2" t="inlineStr">
        <is>
          <t>24426</t>
        </is>
      </c>
      <c r="AF1252" s="2" t="inlineStr">
        <is>
          <t>https://www.parlamento.pt/OrcamentoEstado/Paginas/DetalhePropostaAlteracao.aspx?BID=24426</t>
        </is>
      </c>
      <c r="AG1252" s="2" t="inlineStr">
        <is>
          <t>https://app.parlamento.pt/webutils/docs/doc.pdf?path=6148523063484d364c793942556b356c6443397a6158526c63793959566b6c4a544556484c3039464c7a49774d6a59794d4449314d5441774f53395151533833595459334f54526c4e4330315a4459304c5451324e325174596a5a6d4e69316a5a6a52695a574a6c4e6d51774d7a45756347526d&amp;Fich=7a6794e4-5d64-467d-b6f6-cf4bebe6d031.pdf&amp;Inline=true</t>
        </is>
      </c>
      <c r="AH1252" s="3" t="n">
        <v>46321.77847222222</v>
      </c>
      <c r="AI1252" s="3" t="n">
        <v>46321.78055555555</v>
      </c>
      <c r="AJ1252" s="2" t="inlineStr"/>
    </row>
    <row r="1253">
      <c r="A1253" s="2" t="n">
        <v>1252</v>
      </c>
      <c r="B1253" s="2" t="inlineStr">
        <is>
          <t>1186C</t>
        </is>
      </c>
      <c r="C1253" s="3" t="n">
        <v>45968.04513888889</v>
      </c>
      <c r="D1253" s="2" t="inlineStr">
        <is>
          <t>Original</t>
        </is>
      </c>
      <c r="E1253" s="2" t="inlineStr">
        <is>
          <t>CH</t>
        </is>
      </c>
      <c r="F125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53" s="2" t="inlineStr">
        <is>
          <t>Art. 136.º-A (aditamento)</t>
        </is>
      </c>
      <c r="H1253" s="2" t="n"/>
      <c r="I1253" s="2" t="n"/>
      <c r="J1253" s="2" t="n"/>
      <c r="K1253" s="2" t="n"/>
      <c r="L1253" s="2" t="inlineStr">
        <is>
          <t>Artigo 136.º-A (Reconhecimento de profissão de desgaste rápido para os sapadores florestais)</t>
        </is>
      </c>
      <c r="M1253" s="4" t="n"/>
      <c r="N1253" s="4" t="n"/>
      <c r="O1253" s="2" t="n"/>
      <c r="P1253" s="2" t="n"/>
      <c r="Q1253" s="2" t="n"/>
      <c r="R1253" s="2" t="n"/>
      <c r="S1253" s="2" t="inlineStr">
        <is>
          <t>Rejeitado(a) em Comissão</t>
        </is>
      </c>
      <c r="T1253" s="2" t="inlineStr">
        <is>
          <t>Rejeitada</t>
        </is>
      </c>
      <c r="U1253" s="2" t="inlineStr">
        <is>
          <t>Favor: CH, BE, PAN; Contra: PSD, IL, CDS-PP; Abstenção: PS, L, PCP</t>
        </is>
      </c>
      <c r="V1253" s="3" t="n">
        <v>45987</v>
      </c>
      <c r="W1253" s="2" t="inlineStr">
        <is>
          <t>AR: https://www.parlamento.pt/OrcamentoEstado/Paginas/DetalhePropostaAlteracao.aspx?BID=24427 PDF: https://app.parlamento.pt/webutils/docs/doc.pdf?path=6148523063484d364c793942556b356c6443397a6158526c63793959566b6c4a544556484c3039464c7a49774d6a59794d4449314d5441774f533951515338324d544a6a4f5756694e6930304f5455334c5452694e3251744f5459325a5330314d3245774f4759344d6d4d325a4751756347526d&amp;Fich=612c9eb6-4957-4b7d-966e-53a08f82c6dd.pdf&amp;Inline=true</t>
        </is>
      </c>
      <c r="X1253" s="2" t="inlineStr">
        <is>
          <t>Assuntos Constitucionais, Direitos, Liberdades e Garantias</t>
        </is>
      </c>
      <c r="Y1253" s="2" t="inlineStr">
        <is>
          <t>Articulado</t>
        </is>
      </c>
      <c r="Z1253" s="2" t="inlineStr">
        <is>
          <t>Aditamento (Artigo PPL)</t>
        </is>
      </c>
      <c r="AA1253" s="2" t="inlineStr">
        <is>
          <t>Rejeitado(a) em Comissão</t>
        </is>
      </c>
      <c r="AB1253" s="2" t="inlineStr"/>
      <c r="AC1253" s="2" t="inlineStr"/>
      <c r="AD1253" s="2" t="inlineStr">
        <is>
          <t>1</t>
        </is>
      </c>
      <c r="AE1253" s="2" t="inlineStr">
        <is>
          <t>24427</t>
        </is>
      </c>
      <c r="AF1253" s="2" t="inlineStr">
        <is>
          <t>https://www.parlamento.pt/OrcamentoEstado/Paginas/DetalhePropostaAlteracao.aspx?BID=24427</t>
        </is>
      </c>
      <c r="AG1253" s="2" t="inlineStr">
        <is>
          <t>https://app.parlamento.pt/webutils/docs/doc.pdf?path=6148523063484d364c793942556b356c6443397a6158526c63793959566b6c4a544556484c3039464c7a49774d6a59794d4449314d5441774f533951515338324d544a6a4f5756694e6930304f5455334c5452694e3251744f5459325a5330314d3245774f4759344d6d4d325a4751756347526d&amp;Fich=612c9eb6-4957-4b7d-966e-53a08f82c6dd.pdf&amp;Inline=true</t>
        </is>
      </c>
      <c r="AH1253" s="3" t="n">
        <v>46321.77847222222</v>
      </c>
      <c r="AI1253" s="3" t="n">
        <v>46321.78055555555</v>
      </c>
      <c r="AJ1253" s="2" t="inlineStr"/>
    </row>
    <row r="1254">
      <c r="A1254" s="2" t="n">
        <v>1253</v>
      </c>
      <c r="B1254" s="2" t="inlineStr">
        <is>
          <t>1187C-1</t>
        </is>
      </c>
      <c r="C1254" s="3" t="n">
        <v>45968.04583333333</v>
      </c>
      <c r="D1254" s="2" t="inlineStr">
        <is>
          <t>Original</t>
        </is>
      </c>
      <c r="E1254" s="2" t="inlineStr">
        <is>
          <t>CH</t>
        </is>
      </c>
      <c r="F125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54" s="2" t="inlineStr">
        <is>
          <t>Art. 136.º-A (aditamento)</t>
        </is>
      </c>
      <c r="H1254" s="2" t="n"/>
      <c r="I1254" s="2" t="n"/>
      <c r="J1254" s="2" t="n"/>
      <c r="K1254" s="2" t="n"/>
      <c r="L1254" s="2" t="inlineStr">
        <is>
          <t>Artigo 136.º-A (Alteração ao Decreto-Lei n.º 243/2015, de 19 de outubro)</t>
        </is>
      </c>
      <c r="M1254" s="4" t="n"/>
      <c r="N1254" s="4" t="n"/>
      <c r="O1254" s="2" t="n"/>
      <c r="P1254" s="2" t="n"/>
      <c r="Q1254" s="2" t="n"/>
      <c r="R1254" s="2" t="n"/>
      <c r="S1254" s="2" t="inlineStr">
        <is>
          <t>Rejeitado(a) em Comissão</t>
        </is>
      </c>
      <c r="T1254" s="2" t="inlineStr">
        <is>
          <t>Rejeitada</t>
        </is>
      </c>
      <c r="U1254" s="2" t="inlineStr">
        <is>
          <t>Favor: CH, BE, PAN; Contra: PSD, PS, IL, CDS-PP; Abstenção: L, PCP</t>
        </is>
      </c>
      <c r="V1254" s="3" t="n">
        <v>45987</v>
      </c>
      <c r="W1254" s="2" t="inlineStr">
        <is>
          <t>AR: https://www.parlamento.pt/OrcamentoEstado/Paginas/DetalhePropostaAlteracao.aspx?BID=24428 PDF: https://app.parlamento.pt/webutils/docs/doc.pdf?path=6148523063484d364c793942556b356c6443397a6158526c63793959566b6c4a544556484c3039464c7a49774d6a59794d4449314d5441774f5339515153387a593245314e7a6b314f4330794d5459784c5451334e7a41744f574d314e7931684e5455314d444a6d5a546330595449756347526d&amp;Fich=3ca57958-2161-4770-9c57-a55502fe74a2.pdf&amp;Inline=true</t>
        </is>
      </c>
      <c r="X1254" s="2" t="inlineStr">
        <is>
          <t>Assuntos Constitucionais, Direitos, Liberdades e Garantias</t>
        </is>
      </c>
      <c r="Y1254" s="2" t="inlineStr">
        <is>
          <t>Articulado</t>
        </is>
      </c>
      <c r="Z1254" s="2" t="inlineStr">
        <is>
          <t>Aditamento (Artigo PPL)</t>
        </is>
      </c>
      <c r="AA1254" s="2" t="inlineStr">
        <is>
          <t>Rejeitado(a) em Comissão</t>
        </is>
      </c>
      <c r="AB1254" s="2" t="inlineStr"/>
      <c r="AC1254" s="2" t="inlineStr">
        <is>
          <t>1</t>
        </is>
      </c>
      <c r="AD1254" s="2" t="inlineStr">
        <is>
          <t>1</t>
        </is>
      </c>
      <c r="AE1254" s="2" t="inlineStr">
        <is>
          <t>24428</t>
        </is>
      </c>
      <c r="AF1254" s="2" t="inlineStr">
        <is>
          <t>https://www.parlamento.pt/OrcamentoEstado/Paginas/DetalhePropostaAlteracao.aspx?BID=24428</t>
        </is>
      </c>
      <c r="AG1254" s="2" t="inlineStr">
        <is>
          <t>https://app.parlamento.pt/webutils/docs/doc.pdf?path=6148523063484d364c793942556b356c6443397a6158526c63793959566b6c4a544556484c3039464c7a49774d6a59794d4449314d5441774f5339515153387a593245314e7a6b314f4330794d5459784c5451334e7a41744f574d314e7931684e5455314d444a6d5a546330595449756347526d&amp;Fich=3ca57958-2161-4770-9c57-a55502fe74a2.pdf&amp;Inline=true</t>
        </is>
      </c>
      <c r="AH1254" s="3" t="n">
        <v>46321.77847222222</v>
      </c>
      <c r="AI1254" s="3" t="n">
        <v>46321.78055555555</v>
      </c>
      <c r="AJ1254" s="2" t="inlineStr"/>
    </row>
    <row r="1255">
      <c r="A1255" s="2" t="n">
        <v>1254</v>
      </c>
      <c r="B1255" s="2" t="inlineStr">
        <is>
          <t>1187C-2</t>
        </is>
      </c>
      <c r="C1255" s="3" t="n">
        <v>45968.04583333333</v>
      </c>
      <c r="D1255" s="2" t="inlineStr">
        <is>
          <t>Original</t>
        </is>
      </c>
      <c r="E1255" s="2" t="inlineStr">
        <is>
          <t>CH</t>
        </is>
      </c>
      <c r="F125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55" s="2" t="inlineStr">
        <is>
          <t>Art. 136.º-B (aditamento)</t>
        </is>
      </c>
      <c r="H1255" s="2" t="n"/>
      <c r="I1255" s="2" t="n"/>
      <c r="J1255" s="2" t="n"/>
      <c r="K1255" s="2" t="n"/>
      <c r="L1255" s="2" t="inlineStr">
        <is>
          <t>Artigo 136.º-B (Alteração ao Decreto-Lei n.º 243/2015, de 19 de outubro)</t>
        </is>
      </c>
      <c r="M1255" s="4" t="n"/>
      <c r="N1255" s="4" t="n"/>
      <c r="O1255" s="2" t="n"/>
      <c r="P1255" s="2" t="n"/>
      <c r="Q1255" s="2" t="n"/>
      <c r="R1255" s="2" t="n"/>
      <c r="S1255" s="2" t="inlineStr">
        <is>
          <t>Rejeitado(a) em Comissão</t>
        </is>
      </c>
      <c r="T1255" s="2" t="inlineStr">
        <is>
          <t>Rejeitada</t>
        </is>
      </c>
      <c r="U1255" s="2" t="inlineStr">
        <is>
          <t>Favor: CH, BE, PAN; Contra: PSD, PS, IL, CDS-PP; Abstenção: L, PCP</t>
        </is>
      </c>
      <c r="V1255" s="3" t="n">
        <v>45987</v>
      </c>
      <c r="W1255" s="2" t="inlineStr">
        <is>
          <t>AR: https://www.parlamento.pt/OrcamentoEstado/Paginas/DetalhePropostaAlteracao.aspx?BID=25101 PDF: https://app.parlamento.pt/webutils/docs/doc.pdf?path=6148523063484d364c793942556b356c6443397a6158526c63793959566b6c4a544556484c3039464c7a49774d6a59794d4449314d5441774f533951515338775a6a4d794d6a426b4e69316c4e5745324c5451334d6d49744f4463324e4330314f544e685a6a497a4e6a51315a5449756347526d&amp;Fich=0f3220d6-e5a6-472b-8764-593af23645e2.pdf&amp;Inline=true</t>
        </is>
      </c>
      <c r="X1255" s="2" t="inlineStr">
        <is>
          <t>Assuntos Constitucionais, Direitos, Liberdades e Garantias</t>
        </is>
      </c>
      <c r="Y1255" s="2" t="inlineStr">
        <is>
          <t>Articulado</t>
        </is>
      </c>
      <c r="Z1255" s="2" t="inlineStr">
        <is>
          <t>Aditamento (Artigo PPL)</t>
        </is>
      </c>
      <c r="AA1255" s="2" t="inlineStr">
        <is>
          <t>Rejeitado(a) em Comissão</t>
        </is>
      </c>
      <c r="AB1255" s="2" t="inlineStr"/>
      <c r="AC1255" s="2" t="inlineStr">
        <is>
          <t>2</t>
        </is>
      </c>
      <c r="AD1255" s="2" t="inlineStr">
        <is>
          <t>1</t>
        </is>
      </c>
      <c r="AE1255" s="2" t="inlineStr">
        <is>
          <t>25101</t>
        </is>
      </c>
      <c r="AF1255" s="2" t="inlineStr">
        <is>
          <t>https://www.parlamento.pt/OrcamentoEstado/Paginas/DetalhePropostaAlteracao.aspx?BID=25101</t>
        </is>
      </c>
      <c r="AG1255" s="2" t="inlineStr">
        <is>
          <t>https://app.parlamento.pt/webutils/docs/doc.pdf?path=6148523063484d364c793942556b356c6443397a6158526c63793959566b6c4a544556484c3039464c7a49774d6a59794d4449314d5441774f533951515338775a6a4d794d6a426b4e69316c4e5745324c5451334d6d49744f4463324e4330314f544e685a6a497a4e6a51315a5449756347526d&amp;Fich=0f3220d6-e5a6-472b-8764-593af23645e2.pdf&amp;Inline=true</t>
        </is>
      </c>
      <c r="AH1255" s="3" t="n">
        <v>46321.77847222222</v>
      </c>
      <c r="AI1255" s="3" t="n">
        <v>46321.78055555555</v>
      </c>
      <c r="AJ1255" s="2" t="inlineStr"/>
    </row>
    <row r="1256">
      <c r="A1256" s="2" t="n">
        <v>1255</v>
      </c>
      <c r="B1256" s="2" t="inlineStr">
        <is>
          <t>1187C-3</t>
        </is>
      </c>
      <c r="C1256" s="3" t="n">
        <v>45968.04583333333</v>
      </c>
      <c r="D1256" s="2" t="inlineStr">
        <is>
          <t>Original</t>
        </is>
      </c>
      <c r="E1256" s="2" t="inlineStr">
        <is>
          <t>CH</t>
        </is>
      </c>
      <c r="F125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56" s="2" t="inlineStr">
        <is>
          <t>Art. 136.º-D (aditamento)</t>
        </is>
      </c>
      <c r="H1256" s="2" t="n"/>
      <c r="I1256" s="2" t="n"/>
      <c r="J1256" s="2" t="n"/>
      <c r="K1256" s="2" t="n"/>
      <c r="L1256" s="2" t="inlineStr">
        <is>
          <t>Artigo 136.º-D (Alteração ao Decreto-Lei n.º 138/2019, de 13 de setembro)</t>
        </is>
      </c>
      <c r="M1256" s="4" t="n"/>
      <c r="N1256" s="4" t="n"/>
      <c r="O1256" s="2" t="n"/>
      <c r="P1256" s="2" t="n"/>
      <c r="Q1256" s="2" t="n"/>
      <c r="R1256" s="2" t="n"/>
      <c r="S1256" s="2" t="inlineStr">
        <is>
          <t>Rejeitado(a) em Comissão</t>
        </is>
      </c>
      <c r="T1256" s="2" t="inlineStr">
        <is>
          <t>Rejeitada</t>
        </is>
      </c>
      <c r="U1256" s="2" t="inlineStr">
        <is>
          <t>Favor: CH, BE, PAN; Contra: PSD, PS, IL, CDS-PP; Abstenção: L, PCP</t>
        </is>
      </c>
      <c r="V1256" s="3" t="n">
        <v>45987</v>
      </c>
      <c r="W1256" s="2" t="inlineStr">
        <is>
          <t>AR: https://www.parlamento.pt/OrcamentoEstado/Paginas/DetalhePropostaAlteracao.aspx?BID=25103 PDF: https://app.parlamento.pt/webutils/docs/doc.pdf?path=6148523063484d364c793942556b356c6443397a6158526c63793959566b6c4a544556484c3039464c7a49774d6a59794d4449314d5441774f533951515338344f574d774e6a41334d69316a4e7a526c4c5452684d6a45744f4445304e4331684f47597a596a4934596a466c4d4463756347526d&amp;Fich=89c06072-c74e-4a21-8144-a8f3b28b1e07.pdf&amp;Inline=true</t>
        </is>
      </c>
      <c r="X1256" s="2" t="inlineStr">
        <is>
          <t>Assuntos Constitucionais, Direitos, Liberdades e Garantias</t>
        </is>
      </c>
      <c r="Y1256" s="2" t="inlineStr">
        <is>
          <t>Articulado</t>
        </is>
      </c>
      <c r="Z1256" s="2" t="inlineStr">
        <is>
          <t>Aditamento (Artigo PPL)</t>
        </is>
      </c>
      <c r="AA1256" s="2" t="inlineStr">
        <is>
          <t>Rejeitado(a) em Comissão</t>
        </is>
      </c>
      <c r="AB1256" s="2" t="inlineStr"/>
      <c r="AC1256" s="2" t="inlineStr">
        <is>
          <t>3</t>
        </is>
      </c>
      <c r="AD1256" s="2" t="inlineStr">
        <is>
          <t>1</t>
        </is>
      </c>
      <c r="AE1256" s="2" t="inlineStr">
        <is>
          <t>25103</t>
        </is>
      </c>
      <c r="AF1256" s="2" t="inlineStr">
        <is>
          <t>https://www.parlamento.pt/OrcamentoEstado/Paginas/DetalhePropostaAlteracao.aspx?BID=25103</t>
        </is>
      </c>
      <c r="AG1256" s="2" t="inlineStr">
        <is>
          <t>https://app.parlamento.pt/webutils/docs/doc.pdf?path=6148523063484d364c793942556b356c6443397a6158526c63793959566b6c4a544556484c3039464c7a49774d6a59794d4449314d5441774f533951515338344f574d774e6a41334d69316a4e7a526c4c5452684d6a45744f4445304e4331684f47597a596a4934596a466c4d4463756347526d&amp;Fich=89c06072-c74e-4a21-8144-a8f3b28b1e07.pdf&amp;Inline=true</t>
        </is>
      </c>
      <c r="AH1256" s="3" t="n">
        <v>46321.77847222222</v>
      </c>
      <c r="AI1256" s="3" t="n">
        <v>46321.78055555555</v>
      </c>
      <c r="AJ1256" s="2" t="inlineStr"/>
    </row>
    <row r="1257">
      <c r="A1257" s="2" t="n">
        <v>1256</v>
      </c>
      <c r="B1257" s="2" t="inlineStr">
        <is>
          <t>1187C-4</t>
        </is>
      </c>
      <c r="C1257" s="3" t="n">
        <v>45968.04583333333</v>
      </c>
      <c r="D1257" s="2" t="inlineStr">
        <is>
          <t>Original</t>
        </is>
      </c>
      <c r="E1257" s="2" t="inlineStr">
        <is>
          <t>CH</t>
        </is>
      </c>
      <c r="F125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57" s="2" t="inlineStr">
        <is>
          <t>Art. 136.º-C (aditamento)</t>
        </is>
      </c>
      <c r="H1257" s="2" t="n"/>
      <c r="I1257" s="2" t="n"/>
      <c r="J1257" s="2" t="n"/>
      <c r="K1257" s="2" t="n"/>
      <c r="L1257" s="2" t="inlineStr">
        <is>
          <t>Artigo 136.º-C (Alteração ao Decreto-Lei n.º 3/2017, de 6 de janeiro)</t>
        </is>
      </c>
      <c r="M1257" s="4" t="n"/>
      <c r="N1257" s="4" t="n"/>
      <c r="O1257" s="2" t="n"/>
      <c r="P1257" s="2" t="n"/>
      <c r="Q1257" s="2" t="n"/>
      <c r="R1257" s="2" t="n"/>
      <c r="S1257" s="2" t="inlineStr">
        <is>
          <t>Rejeitado(a) em Comissão</t>
        </is>
      </c>
      <c r="T1257" s="2" t="inlineStr">
        <is>
          <t>Rejeitada</t>
        </is>
      </c>
      <c r="U1257" s="2" t="inlineStr">
        <is>
          <t>Favor: CH, BE, PAN; Contra: PSD, PS, IL, CDS-PP; Abstenção: L, PCP</t>
        </is>
      </c>
      <c r="V1257" s="3" t="n">
        <v>45987</v>
      </c>
      <c r="W1257" s="2" t="inlineStr">
        <is>
          <t>AR: https://www.parlamento.pt/OrcamentoEstado/Paginas/DetalhePropostaAlteracao.aspx?BID=25109 PDF: https://app.parlamento.pt/webutils/docs/doc.pdf?path=6148523063484d364c793942556b356c6443397a6158526c63793959566b6c4a544556484c3039464c7a49774d6a59794d4449314d5441774f5339515153396d4e325178596a67795979316b5a475a6d4c5451795954557459544a6c4f533078595442684e54426a5954526a596d59756347526d&amp;Fich=f7d1b82c-ddff-42a5-a2e9-1a0a50ca4cbf.pdf&amp;Inline=true</t>
        </is>
      </c>
      <c r="X1257" s="2" t="inlineStr">
        <is>
          <t>Assuntos Constitucionais, Direitos, Liberdades e Garantias</t>
        </is>
      </c>
      <c r="Y1257" s="2" t="inlineStr">
        <is>
          <t>Articulado</t>
        </is>
      </c>
      <c r="Z1257" s="2" t="inlineStr">
        <is>
          <t>Aditamento (Artigo PPL)</t>
        </is>
      </c>
      <c r="AA1257" s="2" t="inlineStr">
        <is>
          <t>Rejeitado(a) em Comissão</t>
        </is>
      </c>
      <c r="AB1257" s="2" t="inlineStr"/>
      <c r="AC1257" s="2" t="inlineStr">
        <is>
          <t>4</t>
        </is>
      </c>
      <c r="AD1257" s="2" t="inlineStr">
        <is>
          <t>1</t>
        </is>
      </c>
      <c r="AE1257" s="2" t="inlineStr">
        <is>
          <t>25109</t>
        </is>
      </c>
      <c r="AF1257" s="2" t="inlineStr">
        <is>
          <t>https://www.parlamento.pt/OrcamentoEstado/Paginas/DetalhePropostaAlteracao.aspx?BID=25109</t>
        </is>
      </c>
      <c r="AG1257" s="2" t="inlineStr">
        <is>
          <t>https://app.parlamento.pt/webutils/docs/doc.pdf?path=6148523063484d364c793942556b356c6443397a6158526c63793959566b6c4a544556484c3039464c7a49774d6a59794d4449314d5441774f5339515153396d4e325178596a67795979316b5a475a6d4c5451795954557459544a6c4f533078595442684e54426a5954526a596d59756347526d&amp;Fich=f7d1b82c-ddff-42a5-a2e9-1a0a50ca4cbf.pdf&amp;Inline=true</t>
        </is>
      </c>
      <c r="AH1257" s="3" t="n">
        <v>46321.77847222222</v>
      </c>
      <c r="AI1257" s="3" t="n">
        <v>46321.78055555555</v>
      </c>
      <c r="AJ1257" s="2" t="inlineStr"/>
    </row>
    <row r="1258">
      <c r="A1258" s="2" t="n">
        <v>1257</v>
      </c>
      <c r="B1258" s="2" t="inlineStr">
        <is>
          <t>1188C</t>
        </is>
      </c>
      <c r="C1258" s="3" t="n">
        <v>45968.04652777778</v>
      </c>
      <c r="D1258" s="2" t="inlineStr">
        <is>
          <t>Original</t>
        </is>
      </c>
      <c r="E1258" s="2" t="inlineStr">
        <is>
          <t>CH</t>
        </is>
      </c>
      <c r="F125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58" s="2" t="inlineStr">
        <is>
          <t>Art. 136.º-A (aditamento)</t>
        </is>
      </c>
      <c r="H1258" s="2" t="n"/>
      <c r="I1258" s="2" t="n"/>
      <c r="J1258" s="2" t="n"/>
      <c r="K1258" s="2" t="n"/>
      <c r="L1258" s="2" t="inlineStr">
        <is>
          <t>Artigo 136.º-A (Construção da nova Esquadra da PSP em Loures)</t>
        </is>
      </c>
      <c r="M1258" s="4" t="n"/>
      <c r="N1258" s="4" t="n"/>
      <c r="O1258" s="2" t="n"/>
      <c r="P1258" s="2" t="n"/>
      <c r="Q1258" s="2" t="n"/>
      <c r="R1258" s="2" t="n"/>
      <c r="S1258" s="2" t="inlineStr">
        <is>
          <t>Rejeitado(a) em Comissão</t>
        </is>
      </c>
      <c r="T1258" s="2" t="inlineStr">
        <is>
          <t>Rejeitada</t>
        </is>
      </c>
      <c r="U1258" s="2" t="inlineStr">
        <is>
          <t>Favor: CH, IL, BE, PAN; Contra: PSD, CDS-PP; Abstenção: PS, L, PCP</t>
        </is>
      </c>
      <c r="V1258" s="3" t="n">
        <v>45987</v>
      </c>
      <c r="W1258" s="2" t="inlineStr">
        <is>
          <t>AR: https://www.parlamento.pt/OrcamentoEstado/Paginas/DetalhePropostaAlteracao.aspx?BID=24429 PDF: https://app.parlamento.pt/webutils/docs/doc.pdf?path=6148523063484d364c793942556b356c6443397a6158526c63793959566b6c4a544556484c3039464c7a49774d6a59794d4449314d5441774f533951515338794f546c6b4e5759315a4330314f444d324c5451344f54517459546b344f5330774e5455794e6a67344e5441345a5467756347526d&amp;Fich=299d5f5d-5836-4894-a989-0552688508e8.pdf&amp;Inline=true</t>
        </is>
      </c>
      <c r="X1258" s="2" t="inlineStr">
        <is>
          <t>Assuntos Constitucionais, Direitos, Liberdades e Garantias</t>
        </is>
      </c>
      <c r="Y1258" s="2" t="inlineStr">
        <is>
          <t>Articulado</t>
        </is>
      </c>
      <c r="Z1258" s="2" t="inlineStr">
        <is>
          <t>Aditamento (Artigo PPL)</t>
        </is>
      </c>
      <c r="AA1258" s="2" t="inlineStr">
        <is>
          <t>Rejeitado(a) em Comissão</t>
        </is>
      </c>
      <c r="AB1258" s="2" t="inlineStr"/>
      <c r="AC1258" s="2" t="inlineStr"/>
      <c r="AD1258" s="2" t="inlineStr">
        <is>
          <t>1</t>
        </is>
      </c>
      <c r="AE1258" s="2" t="inlineStr">
        <is>
          <t>24429</t>
        </is>
      </c>
      <c r="AF1258" s="2" t="inlineStr">
        <is>
          <t>https://www.parlamento.pt/OrcamentoEstado/Paginas/DetalhePropostaAlteracao.aspx?BID=24429</t>
        </is>
      </c>
      <c r="AG1258" s="2" t="inlineStr">
        <is>
          <t>https://app.parlamento.pt/webutils/docs/doc.pdf?path=6148523063484d364c793942556b356c6443397a6158526c63793959566b6c4a544556484c3039464c7a49774d6a59794d4449314d5441774f533951515338794f546c6b4e5759315a4330314f444d324c5451344f54517459546b344f5330774e5455794e6a67344e5441345a5467756347526d&amp;Fich=299d5f5d-5836-4894-a989-0552688508e8.pdf&amp;Inline=true</t>
        </is>
      </c>
      <c r="AH1258" s="3" t="n">
        <v>46321.77847222222</v>
      </c>
      <c r="AI1258" s="3" t="n">
        <v>46321.78055555555</v>
      </c>
      <c r="AJ1258" s="2" t="inlineStr"/>
    </row>
    <row r="1259">
      <c r="A1259" s="2" t="n">
        <v>1258</v>
      </c>
      <c r="B1259" s="2" t="inlineStr">
        <is>
          <t>1189C</t>
        </is>
      </c>
      <c r="C1259" s="3" t="n">
        <v>45968.04722222222</v>
      </c>
      <c r="D1259" s="2" t="inlineStr">
        <is>
          <t>Original</t>
        </is>
      </c>
      <c r="E1259" s="2" t="inlineStr">
        <is>
          <t>CH</t>
        </is>
      </c>
      <c r="F125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59" s="2" t="inlineStr">
        <is>
          <t>Art. 136.º-A (aditamento)</t>
        </is>
      </c>
      <c r="H1259" s="2" t="n"/>
      <c r="I1259" s="2" t="n"/>
      <c r="J1259" s="2" t="n"/>
      <c r="K1259" s="2" t="n"/>
      <c r="L1259" s="2" t="inlineStr">
        <is>
          <t>Artigo 136.º-A (Reestruturação do sistema de portagens na área metropolitana do Porto)</t>
        </is>
      </c>
      <c r="M1259" s="4" t="n"/>
      <c r="N1259" s="4" t="n"/>
      <c r="O1259" s="2" t="n"/>
      <c r="P1259" s="2" t="n"/>
      <c r="Q1259" s="2" t="n"/>
      <c r="R1259" s="2" t="n"/>
      <c r="S1259" s="2" t="inlineStr">
        <is>
          <t>Rejeitado(a) em Comissão</t>
        </is>
      </c>
      <c r="T1259" s="2" t="inlineStr">
        <is>
          <t>Rejeitada</t>
        </is>
      </c>
      <c r="U1259" s="2" t="inlineStr">
        <is>
          <t>Favor: CH, BE; Contra: PSD, PCP, CDS-PP; Abstenção: PS, IL, L, PAN</t>
        </is>
      </c>
      <c r="V1259" s="3" t="n">
        <v>45987</v>
      </c>
      <c r="W1259" s="2" t="inlineStr">
        <is>
          <t>AR: https://www.parlamento.pt/OrcamentoEstado/Paginas/DetalhePropostaAlteracao.aspx?BID=24430 PDF: https://app.parlamento.pt/webutils/docs/doc.pdf?path=6148523063484d364c793942556b356c6443397a6158526c63793959566b6c4a544556484c3039464c7a49774d6a59794d4449314d5441774f533951515338775a6a67304f44677a5a4330794e5755774c54517959546b7459544a6c4f4330304e574e6c59324d305a4463774d5455756347526d&amp;Fich=0f84883d-25e0-42a9-a2e8-45cecc4d7015.pdf&amp;Inline=true</t>
        </is>
      </c>
      <c r="X1259" s="2" t="inlineStr">
        <is>
          <t>Infraestruturas, Mobilidade e Habitação</t>
        </is>
      </c>
      <c r="Y1259" s="2" t="inlineStr">
        <is>
          <t>Articulado</t>
        </is>
      </c>
      <c r="Z1259" s="2" t="inlineStr">
        <is>
          <t>Aditamento (Artigo PPL)</t>
        </is>
      </c>
      <c r="AA1259" s="2" t="inlineStr">
        <is>
          <t>Rejeitado(a) em Comissão</t>
        </is>
      </c>
      <c r="AB1259" s="2" t="inlineStr"/>
      <c r="AC1259" s="2" t="inlineStr"/>
      <c r="AD1259" s="2" t="inlineStr">
        <is>
          <t>1</t>
        </is>
      </c>
      <c r="AE1259" s="2" t="inlineStr">
        <is>
          <t>24430</t>
        </is>
      </c>
      <c r="AF1259" s="2" t="inlineStr">
        <is>
          <t>https://www.parlamento.pt/OrcamentoEstado/Paginas/DetalhePropostaAlteracao.aspx?BID=24430</t>
        </is>
      </c>
      <c r="AG1259" s="2" t="inlineStr">
        <is>
          <t>https://app.parlamento.pt/webutils/docs/doc.pdf?path=6148523063484d364c793942556b356c6443397a6158526c63793959566b6c4a544556484c3039464c7a49774d6a59794d4449314d5441774f533951515338775a6a67304f44677a5a4330794e5755774c54517959546b7459544a6c4f4330304e574e6c59324d305a4463774d5455756347526d&amp;Fich=0f84883d-25e0-42a9-a2e8-45cecc4d7015.pdf&amp;Inline=true</t>
        </is>
      </c>
      <c r="AH1259" s="3" t="n">
        <v>46321.77847222222</v>
      </c>
      <c r="AI1259" s="3" t="n">
        <v>46321.78055555555</v>
      </c>
      <c r="AJ1259" s="2" t="inlineStr"/>
    </row>
    <row r="1260">
      <c r="A1260" s="2" t="n">
        <v>1259</v>
      </c>
      <c r="B1260" s="2" t="inlineStr">
        <is>
          <t>1190C</t>
        </is>
      </c>
      <c r="C1260" s="3" t="n">
        <v>45968.04722222222</v>
      </c>
      <c r="D1260" s="2" t="inlineStr">
        <is>
          <t>Original</t>
        </is>
      </c>
      <c r="E1260" s="2" t="inlineStr">
        <is>
          <t>CH</t>
        </is>
      </c>
      <c r="F126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60" s="2" t="inlineStr">
        <is>
          <t>Art. 136.º-A (aditamento)</t>
        </is>
      </c>
      <c r="H1260" s="2" t="n"/>
      <c r="I1260" s="2" t="n"/>
      <c r="J1260" s="2" t="n"/>
      <c r="K1260" s="2" t="n"/>
      <c r="L1260" s="2" t="inlineStr">
        <is>
          <t>Artigo 136.º-A (Criação de Centros de Prevenção e Apoio à Saída do Sistema de Prostituição)</t>
        </is>
      </c>
      <c r="M1260" s="4" t="n"/>
      <c r="N1260" s="4" t="n"/>
      <c r="O1260" s="2" t="n"/>
      <c r="P1260" s="2" t="n"/>
      <c r="Q1260" s="2" t="n"/>
      <c r="R1260" s="2" t="n"/>
      <c r="S1260" s="2" t="inlineStr">
        <is>
          <t>Rejeitado(a) em Comissão</t>
        </is>
      </c>
      <c r="T1260" s="2" t="inlineStr">
        <is>
          <t>Rejeitada</t>
        </is>
      </c>
      <c r="U1260" s="2" t="inlineStr">
        <is>
          <t>Favor: CH, PAN; Contra: PSD, L, CDS-PP, BE; Abstenção: PS, IL, PCP</t>
        </is>
      </c>
      <c r="V1260" s="3" t="n">
        <v>45987</v>
      </c>
      <c r="W1260" s="2" t="inlineStr">
        <is>
          <t>AR: https://www.parlamento.pt/OrcamentoEstado/Paginas/DetalhePropostaAlteracao.aspx?BID=24431 PDF: https://app.parlamento.pt/webutils/docs/doc.pdf?path=6148523063484d364c793942556b356c6443397a6158526c63793959566b6c4a544556484c3039464c7a49774d6a59794d4449314d5441774f533951515338354d444d355a4463784d533034596a41324c54526b4e4745745954426d4e6930774e44426a4d4755774e3249334f544d756347526d&amp;Fich=9039d711-8b06-4d4a-a0f6-040c0e07b793.pdf&amp;Inline=true</t>
        </is>
      </c>
      <c r="X1260" s="2" t="inlineStr">
        <is>
          <t>Assuntos Constitucionais, Direitos, Liberdades e Garantias</t>
        </is>
      </c>
      <c r="Y1260" s="2" t="inlineStr">
        <is>
          <t>Articulado</t>
        </is>
      </c>
      <c r="Z1260" s="2" t="inlineStr">
        <is>
          <t>Aditamento (Artigo PPL)</t>
        </is>
      </c>
      <c r="AA1260" s="2" t="inlineStr">
        <is>
          <t>Rejeitado(a) em Comissão</t>
        </is>
      </c>
      <c r="AB1260" s="2" t="inlineStr"/>
      <c r="AC1260" s="2" t="inlineStr"/>
      <c r="AD1260" s="2" t="inlineStr">
        <is>
          <t>1</t>
        </is>
      </c>
      <c r="AE1260" s="2" t="inlineStr">
        <is>
          <t>24431</t>
        </is>
      </c>
      <c r="AF1260" s="2" t="inlineStr">
        <is>
          <t>https://www.parlamento.pt/OrcamentoEstado/Paginas/DetalhePropostaAlteracao.aspx?BID=24431</t>
        </is>
      </c>
      <c r="AG1260" s="2" t="inlineStr">
        <is>
          <t>https://app.parlamento.pt/webutils/docs/doc.pdf?path=6148523063484d364c793942556b356c6443397a6158526c63793959566b6c4a544556484c3039464c7a49774d6a59794d4449314d5441774f533951515338354d444d355a4463784d533034596a41324c54526b4e4745745954426d4e6930774e44426a4d4755774e3249334f544d756347526d&amp;Fich=9039d711-8b06-4d4a-a0f6-040c0e07b793.pdf&amp;Inline=true</t>
        </is>
      </c>
      <c r="AH1260" s="3" t="n">
        <v>46321.77847222222</v>
      </c>
      <c r="AI1260" s="3" t="n">
        <v>46321.78055555555</v>
      </c>
      <c r="AJ1260" s="2" t="inlineStr"/>
    </row>
    <row r="1261">
      <c r="A1261" s="2" t="n">
        <v>1260</v>
      </c>
      <c r="B1261" s="2" t="inlineStr">
        <is>
          <t>1191C</t>
        </is>
      </c>
      <c r="C1261" s="3" t="n">
        <v>45968.04791666667</v>
      </c>
      <c r="D1261" s="2" t="inlineStr">
        <is>
          <t>Original</t>
        </is>
      </c>
      <c r="E1261" s="2" t="inlineStr">
        <is>
          <t>CH</t>
        </is>
      </c>
      <c r="F126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61" s="2" t="inlineStr">
        <is>
          <t>Art. 136.º-A (aditamento)</t>
        </is>
      </c>
      <c r="H1261" s="2" t="n"/>
      <c r="I1261" s="2" t="n"/>
      <c r="J1261" s="2" t="n"/>
      <c r="K1261" s="2" t="n"/>
      <c r="L1261" s="2" t="inlineStr">
        <is>
          <t>Artigo 136.º-A (Reforço ao combate à corrupção, fraude e criminalidade económico-financeira no âmbito do Sistema de Gestão Antissuborno)</t>
        </is>
      </c>
      <c r="M1261" s="4" t="n"/>
      <c r="N1261" s="4" t="n"/>
      <c r="O1261" s="2" t="n"/>
      <c r="P1261" s="2" t="n"/>
      <c r="Q1261" s="2" t="n"/>
      <c r="R1261" s="2" t="n"/>
      <c r="S1261" s="2" t="inlineStr">
        <is>
          <t>Rejeitado(a) em Comissão</t>
        </is>
      </c>
      <c r="T1261" s="2" t="inlineStr">
        <is>
          <t>Rejeitada</t>
        </is>
      </c>
      <c r="U1261" s="2" t="inlineStr">
        <is>
          <t>Favor: CH, IL, BE, PAN; Contra: PSD, PS, CDS-PP; Abstenção: L, PCP</t>
        </is>
      </c>
      <c r="V1261" s="3" t="n">
        <v>45987</v>
      </c>
      <c r="W1261" s="2" t="inlineStr">
        <is>
          <t>AR: https://www.parlamento.pt/OrcamentoEstado/Paginas/DetalhePropostaAlteracao.aspx?BID=24432 PDF: https://app.parlamento.pt/webutils/docs/doc.pdf?path=6148523063484d364c793942556b356c6443397a6158526c63793959566b6c4a544556484c3039464c7a49774d6a59794d4449314d5441774f533951515338304d4451794e325135595330304e5455794c5451785a4749744f445a6d595330335a4752685a444e6b4d4467325a5455756347526d&amp;Fich=40427d9a-4552-41db-86fa-7ddad3d086e5.pdf&amp;Inline=true</t>
        </is>
      </c>
      <c r="X1261" s="2" t="inlineStr">
        <is>
          <t>Assuntos Constitucionais, Direitos, Liberdades e Garantias</t>
        </is>
      </c>
      <c r="Y1261" s="2" t="inlineStr">
        <is>
          <t>Articulado</t>
        </is>
      </c>
      <c r="Z1261" s="2" t="inlineStr">
        <is>
          <t>Aditamento (Artigo PPL)</t>
        </is>
      </c>
      <c r="AA1261" s="2" t="inlineStr">
        <is>
          <t>Rejeitado(a) em Comissão</t>
        </is>
      </c>
      <c r="AB1261" s="2" t="inlineStr"/>
      <c r="AC1261" s="2" t="inlineStr"/>
      <c r="AD1261" s="2" t="inlineStr">
        <is>
          <t>1</t>
        </is>
      </c>
      <c r="AE1261" s="2" t="inlineStr">
        <is>
          <t>24432</t>
        </is>
      </c>
      <c r="AF1261" s="2" t="inlineStr">
        <is>
          <t>https://www.parlamento.pt/OrcamentoEstado/Paginas/DetalhePropostaAlteracao.aspx?BID=24432</t>
        </is>
      </c>
      <c r="AG1261" s="2" t="inlineStr">
        <is>
          <t>https://app.parlamento.pt/webutils/docs/doc.pdf?path=6148523063484d364c793942556b356c6443397a6158526c63793959566b6c4a544556484c3039464c7a49774d6a59794d4449314d5441774f533951515338304d4451794e325135595330304e5455794c5451785a4749744f445a6d595330335a4752685a444e6b4d4467325a5455756347526d&amp;Fich=40427d9a-4552-41db-86fa-7ddad3d086e5.pdf&amp;Inline=true</t>
        </is>
      </c>
      <c r="AH1261" s="3" t="n">
        <v>46321.77847222222</v>
      </c>
      <c r="AI1261" s="3" t="n">
        <v>46321.78055555555</v>
      </c>
      <c r="AJ1261" s="2" t="inlineStr"/>
    </row>
    <row r="1262">
      <c r="A1262" s="2" t="n">
        <v>1261</v>
      </c>
      <c r="B1262" s="2" t="inlineStr">
        <is>
          <t>1192C</t>
        </is>
      </c>
      <c r="C1262" s="3" t="n">
        <v>45968.04861111111</v>
      </c>
      <c r="D1262" s="2" t="inlineStr">
        <is>
          <t>Original</t>
        </is>
      </c>
      <c r="E1262" s="2" t="inlineStr">
        <is>
          <t>CH</t>
        </is>
      </c>
      <c r="F126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62" s="2" t="inlineStr">
        <is>
          <t>Art. 136.º-A (aditamento)</t>
        </is>
      </c>
      <c r="H1262" s="2" t="n"/>
      <c r="I1262" s="2" t="n"/>
      <c r="J1262" s="2" t="n"/>
      <c r="K1262" s="2" t="n"/>
      <c r="L1262" s="2" t="inlineStr">
        <is>
          <t>Artigo 136.º-A (Alteração à Lei n.º 62/2007, de 10 de setembro)</t>
        </is>
      </c>
      <c r="M1262" s="4" t="n"/>
      <c r="N1262" s="4" t="n"/>
      <c r="O1262" s="2" t="n"/>
      <c r="P1262" s="2" t="n"/>
      <c r="Q1262" s="2" t="n"/>
      <c r="R1262" s="2" t="n"/>
      <c r="S1262" s="2" t="inlineStr">
        <is>
          <t>Rejeitado(a) em Comissão</t>
        </is>
      </c>
      <c r="T1262" s="2" t="inlineStr">
        <is>
          <t>Rejeitada</t>
        </is>
      </c>
      <c r="U1262" s="2" t="inlineStr">
        <is>
          <t>Favor: CH, BE, PAN; Contra: PSD, CDS-PP; Abstenção: PS, IL, L, PCP</t>
        </is>
      </c>
      <c r="V1262" s="3" t="n">
        <v>45987</v>
      </c>
      <c r="W1262" s="2" t="inlineStr">
        <is>
          <t>AR: https://www.parlamento.pt/OrcamentoEstado/Paginas/DetalhePropostaAlteracao.aspx?BID=24433 PDF: https://app.parlamento.pt/webutils/docs/doc.pdf?path=6148523063484d364c793942556b356c6443397a6158526c63793959566b6c4a544556484c3039464c7a49774d6a59794d4449314d5441774f533951515338335a6d59344e6a59325a69316b5a4463354c5451304d6a6374596a63334d4330344d6a686d4f4749334f54566d4f446b756347526d&amp;Fich=7ff8666f-dd79-4427-b770-828f8b795f89.pdf&amp;Inline=true</t>
        </is>
      </c>
      <c r="X1262" s="2" t="inlineStr">
        <is>
          <t>Assuntos Constitucionais, Direitos, Liberdades e Garantias</t>
        </is>
      </c>
      <c r="Y1262" s="2" t="inlineStr">
        <is>
          <t>Articulado</t>
        </is>
      </c>
      <c r="Z1262" s="2" t="inlineStr">
        <is>
          <t>Aditamento (Artigo PPL)</t>
        </is>
      </c>
      <c r="AA1262" s="2" t="inlineStr">
        <is>
          <t>Rejeitado(a) em Comissão</t>
        </is>
      </c>
      <c r="AB1262" s="2" t="inlineStr"/>
      <c r="AC1262" s="2" t="inlineStr"/>
      <c r="AD1262" s="2" t="inlineStr">
        <is>
          <t>1</t>
        </is>
      </c>
      <c r="AE1262" s="2" t="inlineStr">
        <is>
          <t>24433</t>
        </is>
      </c>
      <c r="AF1262" s="2" t="inlineStr">
        <is>
          <t>https://www.parlamento.pt/OrcamentoEstado/Paginas/DetalhePropostaAlteracao.aspx?BID=24433</t>
        </is>
      </c>
      <c r="AG1262" s="2" t="inlineStr">
        <is>
          <t>https://app.parlamento.pt/webutils/docs/doc.pdf?path=6148523063484d364c793942556b356c6443397a6158526c63793959566b6c4a544556484c3039464c7a49774d6a59794d4449314d5441774f533951515338335a6d59344e6a59325a69316b5a4463354c5451304d6a6374596a63334d4330344d6a686d4f4749334f54566d4f446b756347526d&amp;Fich=7ff8666f-dd79-4427-b770-828f8b795f89.pdf&amp;Inline=true</t>
        </is>
      </c>
      <c r="AH1262" s="3" t="n">
        <v>46321.77847222222</v>
      </c>
      <c r="AI1262" s="3" t="n">
        <v>46321.78055555555</v>
      </c>
      <c r="AJ1262" s="2" t="inlineStr"/>
    </row>
    <row r="1263">
      <c r="A1263" s="2" t="n">
        <v>1262</v>
      </c>
      <c r="B1263" s="2" t="inlineStr">
        <is>
          <t>1193C</t>
        </is>
      </c>
      <c r="C1263" s="3" t="n">
        <v>45968.04861111111</v>
      </c>
      <c r="D1263" s="2" t="inlineStr">
        <is>
          <t>Original</t>
        </is>
      </c>
      <c r="E1263" s="2" t="inlineStr">
        <is>
          <t>CH</t>
        </is>
      </c>
      <c r="F126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63" s="2" t="inlineStr">
        <is>
          <t>Art. 136.º-A (aditamento)</t>
        </is>
      </c>
      <c r="H1263" s="2" t="n"/>
      <c r="I1263" s="2" t="n"/>
      <c r="J1263" s="2" t="n"/>
      <c r="K1263" s="2" t="n"/>
      <c r="L1263" s="2" t="inlineStr">
        <is>
          <t>Artigo 136.º-A (Reparação do dique que está a inundar o mouchão da Póvoa de Santa Iria)</t>
        </is>
      </c>
      <c r="M1263" s="4" t="n"/>
      <c r="N1263" s="4" t="n"/>
      <c r="O1263" s="2" t="n"/>
      <c r="P1263" s="2" t="n"/>
      <c r="Q1263" s="2" t="n"/>
      <c r="R1263" s="2" t="n"/>
      <c r="S1263" s="2" t="inlineStr">
        <is>
          <t>Rejeitado(a) em Comissão</t>
        </is>
      </c>
      <c r="T1263" s="2" t="inlineStr">
        <is>
          <t>Rejeitada</t>
        </is>
      </c>
      <c r="U1263" s="2" t="inlineStr">
        <is>
          <t>Favor: CH, IL, BE; Contra: PSD, CDS-PP; Abstenção: PS, L, PCP, PAN</t>
        </is>
      </c>
      <c r="V1263" s="3" t="n">
        <v>45987</v>
      </c>
      <c r="W1263" s="2" t="inlineStr">
        <is>
          <t>AR: https://www.parlamento.pt/OrcamentoEstado/Paginas/DetalhePropostaAlteracao.aspx?BID=24434 PDF: https://app.parlamento.pt/webutils/docs/doc.pdf?path=6148523063484d364c793942556b356c6443397a6158526c63793959566b6c4a544556484c3039464c7a49774d6a59794d4449314d5441774f533951515339684d44566d4e4751334d5331684e4745354c5451304e6a5574595449344d7930324e6d5133597a4d354e7a59355a4449756347526d&amp;Fich=a05f4d71-a4a9-4465-a283-66d7c39769d2.pdf&amp;Inline=true</t>
        </is>
      </c>
      <c r="X1263" s="2" t="inlineStr">
        <is>
          <t>Reforma do Estado e Poder Local</t>
        </is>
      </c>
      <c r="Y1263" s="2" t="inlineStr">
        <is>
          <t>Articulado</t>
        </is>
      </c>
      <c r="Z1263" s="2" t="inlineStr">
        <is>
          <t>Aditamento (Artigo PPL)</t>
        </is>
      </c>
      <c r="AA1263" s="2" t="inlineStr">
        <is>
          <t>Rejeitado(a) em Comissão</t>
        </is>
      </c>
      <c r="AB1263" s="2" t="inlineStr"/>
      <c r="AC1263" s="2" t="inlineStr"/>
      <c r="AD1263" s="2" t="inlineStr">
        <is>
          <t>1</t>
        </is>
      </c>
      <c r="AE1263" s="2" t="inlineStr">
        <is>
          <t>24434</t>
        </is>
      </c>
      <c r="AF1263" s="2" t="inlineStr">
        <is>
          <t>https://www.parlamento.pt/OrcamentoEstado/Paginas/DetalhePropostaAlteracao.aspx?BID=24434</t>
        </is>
      </c>
      <c r="AG1263" s="2" t="inlineStr">
        <is>
          <t>https://app.parlamento.pt/webutils/docs/doc.pdf?path=6148523063484d364c793942556b356c6443397a6158526c63793959566b6c4a544556484c3039464c7a49774d6a59794d4449314d5441774f533951515339684d44566d4e4751334d5331684e4745354c5451304e6a5574595449344d7930324e6d5133597a4d354e7a59355a4449756347526d&amp;Fich=a05f4d71-a4a9-4465-a283-66d7c39769d2.pdf&amp;Inline=true</t>
        </is>
      </c>
      <c r="AH1263" s="3" t="n">
        <v>46321.77847222222</v>
      </c>
      <c r="AI1263" s="3" t="n">
        <v>46321.78055555555</v>
      </c>
      <c r="AJ1263" s="2" t="inlineStr"/>
    </row>
    <row r="1264">
      <c r="A1264" s="2" t="n">
        <v>1263</v>
      </c>
      <c r="B1264" s="2" t="inlineStr">
        <is>
          <t>1194C</t>
        </is>
      </c>
      <c r="C1264" s="3" t="n">
        <v>45968.04930555556</v>
      </c>
      <c r="D1264" s="2" t="inlineStr">
        <is>
          <t>Original</t>
        </is>
      </c>
      <c r="E1264" s="2" t="inlineStr">
        <is>
          <t>CH</t>
        </is>
      </c>
      <c r="F126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64" s="2" t="inlineStr">
        <is>
          <t>Art. 136.º-A (aditamento)</t>
        </is>
      </c>
      <c r="H1264" s="2" t="n"/>
      <c r="I1264" s="2" t="n"/>
      <c r="J1264" s="2" t="n"/>
      <c r="K1264" s="2" t="n"/>
      <c r="L1264" s="2" t="inlineStr">
        <is>
          <t>Artigo 136.º-A (Alterações às normas de emissão de atestados de residência)</t>
        </is>
      </c>
      <c r="M1264" s="4" t="n"/>
      <c r="N1264" s="4" t="n"/>
      <c r="O1264" s="2" t="n"/>
      <c r="P1264" s="2" t="n"/>
      <c r="Q1264" s="2" t="n"/>
      <c r="R1264" s="2" t="n"/>
      <c r="S1264" s="2" t="inlineStr">
        <is>
          <t>Aprovado(a) Parcialmente em Comissão</t>
        </is>
      </c>
      <c r="T1264" s="2" t="inlineStr">
        <is>
          <t>Aprovada parcialmente</t>
        </is>
      </c>
      <c r="U1264" s="2" t="inlineStr">
        <is>
          <t>Favor: CH, CDS-PP; Contra: PSD, PS, L, PCP, BE, PAN; Abstenção: IL</t>
        </is>
      </c>
      <c r="V1264" s="3" t="n">
        <v>45987</v>
      </c>
      <c r="W1264" s="2" t="inlineStr">
        <is>
          <t>AR: https://www.parlamento.pt/OrcamentoEstado/Paginas/DetalhePropostaAlteracao.aspx?BID=24435 PDF: https://app.parlamento.pt/webutils/docs/doc.pdf?path=6148523063484d364c793942556b356c6443397a6158526c63793959566b6c4a544556484c3039464c7a49774d6a59794d4449314d5441774f533951515339684e7a49334d4463305a4331695a6a55304c54526a4d546374596d46685a53316c5a47566d4e446b325a5445354f4451756347526d&amp;Fich=a727074d-bf54-4c17-baae-edef496e1984.pdf&amp;Inline=true</t>
        </is>
      </c>
      <c r="X1264" s="2" t="inlineStr">
        <is>
          <t>Assuntos Constitucionais, Direitos, Liberdades e Garantias</t>
        </is>
      </c>
      <c r="Y1264" s="2" t="inlineStr">
        <is>
          <t>Articulado</t>
        </is>
      </c>
      <c r="Z1264" s="2" t="inlineStr">
        <is>
          <t>Aditamento (Artigo PPL)</t>
        </is>
      </c>
      <c r="AA1264" s="2" t="inlineStr">
        <is>
          <t>Aprovado(a) Parcialmente em Comissão</t>
        </is>
      </c>
      <c r="AB1264" s="2" t="inlineStr"/>
      <c r="AC1264" s="2" t="inlineStr"/>
      <c r="AD1264" s="2" t="inlineStr">
        <is>
          <t>1</t>
        </is>
      </c>
      <c r="AE1264" s="2" t="inlineStr">
        <is>
          <t>24435</t>
        </is>
      </c>
      <c r="AF1264" s="2" t="inlineStr">
        <is>
          <t>https://www.parlamento.pt/OrcamentoEstado/Paginas/DetalhePropostaAlteracao.aspx?BID=24435</t>
        </is>
      </c>
      <c r="AG1264" s="2" t="inlineStr">
        <is>
          <t>https://app.parlamento.pt/webutils/docs/doc.pdf?path=6148523063484d364c793942556b356c6443397a6158526c63793959566b6c4a544556484c3039464c7a49774d6a59794d4449314d5441774f533951515339684e7a49334d4463305a4331695a6a55304c54526a4d546374596d46685a53316c5a47566d4e446b325a5445354f4451756347526d&amp;Fich=a727074d-bf54-4c17-baae-edef496e1984.pdf&amp;Inline=true</t>
        </is>
      </c>
      <c r="AH1264" s="3" t="n">
        <v>46321.77847222222</v>
      </c>
      <c r="AI1264" s="3" t="n">
        <v>46321.78055555555</v>
      </c>
      <c r="AJ1264" s="2" t="inlineStr"/>
    </row>
    <row r="1265">
      <c r="A1265" s="2" t="n">
        <v>1264</v>
      </c>
      <c r="B1265" s="2" t="inlineStr">
        <is>
          <t>1195C</t>
        </is>
      </c>
      <c r="C1265" s="3" t="n">
        <v>45968.05</v>
      </c>
      <c r="D1265" s="2" t="inlineStr">
        <is>
          <t>Original</t>
        </is>
      </c>
      <c r="E1265" s="2" t="inlineStr">
        <is>
          <t>CH</t>
        </is>
      </c>
      <c r="F126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65" s="2" t="inlineStr">
        <is>
          <t>Art. 136.º-A (aditamento)</t>
        </is>
      </c>
      <c r="H1265" s="2" t="n"/>
      <c r="I1265" s="2" t="n"/>
      <c r="J1265" s="2" t="n"/>
      <c r="K1265" s="2" t="n"/>
      <c r="L1265" s="2" t="inlineStr">
        <is>
          <t>Artigo 136.º-A (Construção estabelecimento prisional de S. Miguel)</t>
        </is>
      </c>
      <c r="M1265" s="4" t="n"/>
      <c r="N1265" s="4" t="n"/>
      <c r="O1265" s="2" t="n"/>
      <c r="P1265" s="2" t="n"/>
      <c r="Q1265" s="2" t="n"/>
      <c r="R1265" s="2" t="n"/>
      <c r="S1265" s="2" t="inlineStr">
        <is>
          <t>Rejeitado(a) em Comissão</t>
        </is>
      </c>
      <c r="T1265" s="2" t="inlineStr">
        <is>
          <t>Rejeitada</t>
        </is>
      </c>
      <c r="U1265" s="2" t="inlineStr">
        <is>
          <t>Favor: CH, IL, BE, PAN; Contra: PSD, CDS-PP; Abstenção: PS, L, PCP</t>
        </is>
      </c>
      <c r="V1265" s="3" t="n">
        <v>45987</v>
      </c>
      <c r="W1265" s="2" t="inlineStr">
        <is>
          <t>AR: https://www.parlamento.pt/OrcamentoEstado/Paginas/DetalhePropostaAlteracao.aspx?BID=24436 PDF: https://app.parlamento.pt/webutils/docs/doc.pdf?path=6148523063484d364c793942556b356c6443397a6158526c63793959566b6c4a544556484c3039464c7a49774d6a59794d4449314d5441774f533951515338794f575a6a595745314d5330794e5449794c5451354e5449744f444a694e433034595441314e4445314e446c684e5759756347526d&amp;Fich=29fcaa51-2522-4952-82b4-8a0541549a5f.pdf&amp;Inline=true</t>
        </is>
      </c>
      <c r="X1265" s="2" t="inlineStr">
        <is>
          <t>Assuntos Constitucionais, Direitos, Liberdades e Garantias</t>
        </is>
      </c>
      <c r="Y1265" s="2" t="inlineStr">
        <is>
          <t>Articulado</t>
        </is>
      </c>
      <c r="Z1265" s="2" t="inlineStr">
        <is>
          <t>Aditamento (Artigo PPL)</t>
        </is>
      </c>
      <c r="AA1265" s="2" t="inlineStr">
        <is>
          <t>Rejeitado(a) em Comissão</t>
        </is>
      </c>
      <c r="AB1265" s="2" t="inlineStr"/>
      <c r="AC1265" s="2" t="inlineStr"/>
      <c r="AD1265" s="2" t="inlineStr">
        <is>
          <t>1</t>
        </is>
      </c>
      <c r="AE1265" s="2" t="inlineStr">
        <is>
          <t>24436</t>
        </is>
      </c>
      <c r="AF1265" s="2" t="inlineStr">
        <is>
          <t>https://www.parlamento.pt/OrcamentoEstado/Paginas/DetalhePropostaAlteracao.aspx?BID=24436</t>
        </is>
      </c>
      <c r="AG1265" s="2" t="inlineStr">
        <is>
          <t>https://app.parlamento.pt/webutils/docs/doc.pdf?path=6148523063484d364c793942556b356c6443397a6158526c63793959566b6c4a544556484c3039464c7a49774d6a59794d4449314d5441774f533951515338794f575a6a595745314d5330794e5449794c5451354e5449744f444a694e433034595441314e4445314e446c684e5759756347526d&amp;Fich=29fcaa51-2522-4952-82b4-8a0541549a5f.pdf&amp;Inline=true</t>
        </is>
      </c>
      <c r="AH1265" s="3" t="n">
        <v>46321.77847222222</v>
      </c>
      <c r="AI1265" s="3" t="n">
        <v>46321.78055555555</v>
      </c>
      <c r="AJ1265" s="2" t="inlineStr"/>
    </row>
    <row r="1266">
      <c r="A1266" s="2" t="n">
        <v>1265</v>
      </c>
      <c r="B1266" s="2" t="inlineStr">
        <is>
          <t>1196C</t>
        </is>
      </c>
      <c r="C1266" s="3" t="n">
        <v>45968.05069444444</v>
      </c>
      <c r="D1266" s="2" t="inlineStr">
        <is>
          <t>Original</t>
        </is>
      </c>
      <c r="E1266" s="2" t="inlineStr">
        <is>
          <t>CH</t>
        </is>
      </c>
      <c r="F126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66" s="2" t="inlineStr">
        <is>
          <t>Art. 136.º-A (aditamento)</t>
        </is>
      </c>
      <c r="H1266" s="2" t="n"/>
      <c r="I1266" s="2" t="n"/>
      <c r="J1266" s="2" t="n"/>
      <c r="K1266" s="2" t="n"/>
      <c r="L1266" s="2" t="inlineStr">
        <is>
          <t>Artigo 136.º-A (Reforço do combate à corrupção, à fraude e à criminalidade econômico-financeira)</t>
        </is>
      </c>
      <c r="M1266" s="4" t="n"/>
      <c r="N1266" s="4" t="n"/>
      <c r="O1266" s="2" t="n"/>
      <c r="P1266" s="2" t="n"/>
      <c r="Q1266" s="2" t="n"/>
      <c r="R1266" s="2" t="n"/>
      <c r="S1266" s="2" t="inlineStr">
        <is>
          <t>Rejeitado(a) em Comissão</t>
        </is>
      </c>
      <c r="T1266" s="2" t="inlineStr">
        <is>
          <t>Rejeitada</t>
        </is>
      </c>
      <c r="U1266" s="2" t="inlineStr">
        <is>
          <t>Favor: CH, IL, BE, PAN; Contra: PSD, PS, CDS-PP; Abstenção: L, PCP</t>
        </is>
      </c>
      <c r="V1266" s="3" t="n">
        <v>45987</v>
      </c>
      <c r="W1266" s="2" t="inlineStr">
        <is>
          <t>AR: https://www.parlamento.pt/OrcamentoEstado/Paginas/DetalhePropostaAlteracao.aspx?BID=24437 PDF: https://app.parlamento.pt/webutils/docs/doc.pdf?path=6148523063484d364c793942556b356c6443397a6158526c63793959566b6c4a544556484c3039464c7a49774d6a59794d4449314d5441774f533951515339694e6d5932593245334d5330345a6d45324c545269596a4d744f546b345a43307a5a57513059324932596d4e6b5a474d756347526d&amp;Fich=b6f6ca71-8fa6-4bb3-998d-3ed4cb6bcddc.pdf&amp;Inline=true</t>
        </is>
      </c>
      <c r="X1266" s="2" t="inlineStr">
        <is>
          <t>Assuntos Constitucionais, Direitos, Liberdades e Garantias</t>
        </is>
      </c>
      <c r="Y1266" s="2" t="inlineStr">
        <is>
          <t>Articulado</t>
        </is>
      </c>
      <c r="Z1266" s="2" t="inlineStr">
        <is>
          <t>Aditamento (Artigo PPL)</t>
        </is>
      </c>
      <c r="AA1266" s="2" t="inlineStr">
        <is>
          <t>Rejeitado(a) em Comissão</t>
        </is>
      </c>
      <c r="AB1266" s="2" t="inlineStr"/>
      <c r="AC1266" s="2" t="inlineStr"/>
      <c r="AD1266" s="2" t="inlineStr">
        <is>
          <t>1</t>
        </is>
      </c>
      <c r="AE1266" s="2" t="inlineStr">
        <is>
          <t>24437</t>
        </is>
      </c>
      <c r="AF1266" s="2" t="inlineStr">
        <is>
          <t>https://www.parlamento.pt/OrcamentoEstado/Paginas/DetalhePropostaAlteracao.aspx?BID=24437</t>
        </is>
      </c>
      <c r="AG1266" s="2" t="inlineStr">
        <is>
          <t>https://app.parlamento.pt/webutils/docs/doc.pdf?path=6148523063484d364c793942556b356c6443397a6158526c63793959566b6c4a544556484c3039464c7a49774d6a59794d4449314d5441774f533951515339694e6d5932593245334d5330345a6d45324c545269596a4d744f546b345a43307a5a57513059324932596d4e6b5a474d756347526d&amp;Fich=b6f6ca71-8fa6-4bb3-998d-3ed4cb6bcddc.pdf&amp;Inline=true</t>
        </is>
      </c>
      <c r="AH1266" s="3" t="n">
        <v>46321.77847222222</v>
      </c>
      <c r="AI1266" s="3" t="n">
        <v>46321.78055555555</v>
      </c>
      <c r="AJ1266" s="2" t="inlineStr"/>
    </row>
    <row r="1267">
      <c r="A1267" s="2" t="n">
        <v>1266</v>
      </c>
      <c r="B1267" s="2" t="inlineStr">
        <is>
          <t>1197C</t>
        </is>
      </c>
      <c r="C1267" s="3" t="n">
        <v>45968.05069444444</v>
      </c>
      <c r="D1267" s="2" t="inlineStr">
        <is>
          <t>Original</t>
        </is>
      </c>
      <c r="E1267" s="2" t="inlineStr">
        <is>
          <t>CH</t>
        </is>
      </c>
      <c r="F126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67" s="2" t="inlineStr">
        <is>
          <t>Art. 136.º-A (aditamento)</t>
        </is>
      </c>
      <c r="H1267" s="2" t="n"/>
      <c r="I1267" s="2" t="n"/>
      <c r="J1267" s="2" t="n"/>
      <c r="K1267" s="2" t="n"/>
      <c r="L1267" s="2" t="inlineStr">
        <is>
          <t>Artigo 136.º-A (Tarifa Familiar de Água)</t>
        </is>
      </c>
      <c r="M1267" s="4" t="n"/>
      <c r="N1267" s="4" t="n"/>
      <c r="O1267" s="2" t="n"/>
      <c r="P1267" s="2" t="n"/>
      <c r="Q1267" s="2" t="n"/>
      <c r="R1267" s="2" t="n"/>
      <c r="S1267" s="2" t="inlineStr">
        <is>
          <t>Rejeitado(a) em Comissão</t>
        </is>
      </c>
      <c r="T1267" s="2" t="inlineStr">
        <is>
          <t>Rejeitada</t>
        </is>
      </c>
      <c r="U1267" s="2" t="inlineStr">
        <is>
          <t>Favor: CH, BE, PAN; Contra: PSD, PS, IL, PCP, CDS-PP; Abstenção: L</t>
        </is>
      </c>
      <c r="V1267" s="3" t="n">
        <v>45987</v>
      </c>
      <c r="W1267" s="2" t="inlineStr">
        <is>
          <t>AR: https://www.parlamento.pt/OrcamentoEstado/Paginas/DetalhePropostaAlteracao.aspx?BID=24438 PDF: https://app.parlamento.pt/webutils/docs/doc.pdf?path=6148523063484d364c793942556b356c6443397a6158526c63793959566b6c4a544556484c3039464c7a49774d6a59794d4449314d5441774f533951515338354e446c6c4d446c6d4f43316c5a6a426b4c5452694f544974596a67324e7930794e6d51334e6a5a6b4f54686d597a4d756347526d&amp;Fich=949e09f8-ef0d-4b92-b867-26d766d98fc3.pdf&amp;Inline=true</t>
        </is>
      </c>
      <c r="X1267" s="2" t="inlineStr">
        <is>
          <t>Ambiente e Energia</t>
        </is>
      </c>
      <c r="Y1267" s="2" t="inlineStr">
        <is>
          <t>Articulado</t>
        </is>
      </c>
      <c r="Z1267" s="2" t="inlineStr">
        <is>
          <t>Aditamento (Artigo PPL)</t>
        </is>
      </c>
      <c r="AA1267" s="2" t="inlineStr">
        <is>
          <t>Rejeitado(a) em Comissão</t>
        </is>
      </c>
      <c r="AB1267" s="2" t="inlineStr"/>
      <c r="AC1267" s="2" t="inlineStr"/>
      <c r="AD1267" s="2" t="inlineStr">
        <is>
          <t>1</t>
        </is>
      </c>
      <c r="AE1267" s="2" t="inlineStr">
        <is>
          <t>24438</t>
        </is>
      </c>
      <c r="AF1267" s="2" t="inlineStr">
        <is>
          <t>https://www.parlamento.pt/OrcamentoEstado/Paginas/DetalhePropostaAlteracao.aspx?BID=24438</t>
        </is>
      </c>
      <c r="AG1267" s="2" t="inlineStr">
        <is>
          <t>https://app.parlamento.pt/webutils/docs/doc.pdf?path=6148523063484d364c793942556b356c6443397a6158526c63793959566b6c4a544556484c3039464c7a49774d6a59794d4449314d5441774f533951515338354e446c6c4d446c6d4f43316c5a6a426b4c5452694f544974596a67324e7930794e6d51334e6a5a6b4f54686d597a4d756347526d&amp;Fich=949e09f8-ef0d-4b92-b867-26d766d98fc3.pdf&amp;Inline=true</t>
        </is>
      </c>
      <c r="AH1267" s="3" t="n">
        <v>46321.77847222222</v>
      </c>
      <c r="AI1267" s="3" t="n">
        <v>46321.78055555555</v>
      </c>
      <c r="AJ1267" s="2" t="inlineStr"/>
    </row>
    <row r="1268">
      <c r="A1268" s="2" t="n">
        <v>1267</v>
      </c>
      <c r="B1268" s="2" t="inlineStr">
        <is>
          <t>1198C</t>
        </is>
      </c>
      <c r="C1268" s="3" t="n">
        <v>45968.05138888889</v>
      </c>
      <c r="D1268" s="2" t="inlineStr">
        <is>
          <t>Original</t>
        </is>
      </c>
      <c r="E1268" s="2" t="inlineStr">
        <is>
          <t>CH</t>
        </is>
      </c>
      <c r="F126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68" s="2" t="inlineStr">
        <is>
          <t>Art. 136.º-A (aditamento)</t>
        </is>
      </c>
      <c r="H1268" s="2" t="n"/>
      <c r="I1268" s="2" t="n"/>
      <c r="J1268" s="2" t="n"/>
      <c r="K1268" s="2" t="n"/>
      <c r="L1268" s="2" t="inlineStr">
        <is>
          <t>Artigo 136.º-A (Suplemento de fixação do Corpo da Guarda Prisional)</t>
        </is>
      </c>
      <c r="M1268" s="4" t="n"/>
      <c r="N1268" s="4" t="n"/>
      <c r="O1268" s="2" t="n"/>
      <c r="P1268" s="2" t="n"/>
      <c r="Q1268" s="2" t="n"/>
      <c r="R1268" s="2" t="n"/>
      <c r="S1268" s="2" t="inlineStr">
        <is>
          <t>Rejeitado(a) em Comissão</t>
        </is>
      </c>
      <c r="T1268" s="2" t="inlineStr">
        <is>
          <t>Rejeitada</t>
        </is>
      </c>
      <c r="U1268" s="2" t="inlineStr">
        <is>
          <t>Favor: CH, BE, PAN; Contra: PSD, IL, CDS-PP; Abstenção: PS, L, PCP</t>
        </is>
      </c>
      <c r="V1268" s="3" t="n">
        <v>45987</v>
      </c>
      <c r="W1268" s="2" t="inlineStr">
        <is>
          <t>AR: https://www.parlamento.pt/OrcamentoEstado/Paginas/DetalhePropostaAlteracao.aspx?BID=24439 PDF: https://app.parlamento.pt/webutils/docs/doc.pdf?path=6148523063484d364c793942556b356c6443397a6158526c63793959566b6c4a544556484c3039464c7a49774d6a59794d4449314d5441774f533951515338304d47526b4e6d5135597930314f4455794c54526b4f5759744f54466c4f43316a5a5445784e3259334f444d795a5749756347526d&amp;Fich=40dd6d9c-5852-4d9f-91e8-ce117f7832eb.pdf&amp;Inline=true</t>
        </is>
      </c>
      <c r="X1268" s="2" t="inlineStr">
        <is>
          <t>Assuntos Constitucionais, Direitos, Liberdades e Garantias</t>
        </is>
      </c>
      <c r="Y1268" s="2" t="inlineStr">
        <is>
          <t>Articulado</t>
        </is>
      </c>
      <c r="Z1268" s="2" t="inlineStr">
        <is>
          <t>Aditamento (Artigo PPL)</t>
        </is>
      </c>
      <c r="AA1268" s="2" t="inlineStr">
        <is>
          <t>Rejeitado(a) em Comissão</t>
        </is>
      </c>
      <c r="AB1268" s="2" t="inlineStr"/>
      <c r="AC1268" s="2" t="inlineStr"/>
      <c r="AD1268" s="2" t="inlineStr">
        <is>
          <t>1</t>
        </is>
      </c>
      <c r="AE1268" s="2" t="inlineStr">
        <is>
          <t>24439</t>
        </is>
      </c>
      <c r="AF1268" s="2" t="inlineStr">
        <is>
          <t>https://www.parlamento.pt/OrcamentoEstado/Paginas/DetalhePropostaAlteracao.aspx?BID=24439</t>
        </is>
      </c>
      <c r="AG1268" s="2" t="inlineStr">
        <is>
          <t>https://app.parlamento.pt/webutils/docs/doc.pdf?path=6148523063484d364c793942556b356c6443397a6158526c63793959566b6c4a544556484c3039464c7a49774d6a59794d4449314d5441774f533951515338304d47526b4e6d5135597930314f4455794c54526b4f5759744f54466c4f43316a5a5445784e3259334f444d795a5749756347526d&amp;Fich=40dd6d9c-5852-4d9f-91e8-ce117f7832eb.pdf&amp;Inline=true</t>
        </is>
      </c>
      <c r="AH1268" s="3" t="n">
        <v>46321.77847222222</v>
      </c>
      <c r="AI1268" s="3" t="n">
        <v>46321.78055555555</v>
      </c>
      <c r="AJ1268" s="2" t="inlineStr"/>
    </row>
    <row r="1269">
      <c r="A1269" s="2" t="n">
        <v>1268</v>
      </c>
      <c r="B1269" s="2" t="inlineStr">
        <is>
          <t>1199C</t>
        </is>
      </c>
      <c r="C1269" s="3" t="n">
        <v>45968.05833333333</v>
      </c>
      <c r="D1269" s="2" t="inlineStr">
        <is>
          <t>Original</t>
        </is>
      </c>
      <c r="E1269" s="2" t="inlineStr">
        <is>
          <t>CH</t>
        </is>
      </c>
      <c r="F126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69" s="2" t="inlineStr">
        <is>
          <t>Art. 136.º-A (aditamento)</t>
        </is>
      </c>
      <c r="H1269" s="2" t="n"/>
      <c r="I1269" s="2" t="n"/>
      <c r="J1269" s="2" t="n"/>
      <c r="K1269" s="2" t="n"/>
      <c r="L1269" s="2" t="inlineStr">
        <is>
          <t>Artigo 136.º-A (Construção de escola secundária em Azeitão)</t>
        </is>
      </c>
      <c r="M1269" s="4" t="n"/>
      <c r="N1269" s="4" t="n"/>
      <c r="O1269" s="2" t="n"/>
      <c r="P1269" s="2" t="n"/>
      <c r="Q1269" s="2" t="n"/>
      <c r="R1269" s="2" t="n"/>
      <c r="S1269" s="2" t="inlineStr">
        <is>
          <t>Rejeitado(a) em Comissão</t>
        </is>
      </c>
      <c r="T1269" s="2" t="inlineStr">
        <is>
          <t>Rejeitada</t>
        </is>
      </c>
      <c r="U1269" s="2" t="inlineStr">
        <is>
          <t>Favor: CH, IL, BE, PAN; Contra: PSD, CDS-PP; Abstenção: PS, L, PCP</t>
        </is>
      </c>
      <c r="V1269" s="3" t="n">
        <v>45987</v>
      </c>
      <c r="W1269" s="2" t="inlineStr">
        <is>
          <t>AR: https://www.parlamento.pt/OrcamentoEstado/Paginas/DetalhePropostaAlteracao.aspx?BID=24440 PDF: https://app.parlamento.pt/webutils/docs/doc.pdf?path=6148523063484d364c793942556b356c6443397a6158526c63793959566b6c4a544556484c3039464c7a49774d6a59794d4449314d5441774f5339515153396b4d444d32596d466a5a5330324f4459304c5451324e5451744f5459314e533078596a517a4d44686d4e475269593255756347526d&amp;Fich=d036bace-6864-4654-9655-1b4308f4dbce.pdf&amp;Inline=true</t>
        </is>
      </c>
      <c r="X1269" s="2" t="inlineStr">
        <is>
          <t>Educação e Ciência</t>
        </is>
      </c>
      <c r="Y1269" s="2" t="inlineStr">
        <is>
          <t>Articulado</t>
        </is>
      </c>
      <c r="Z1269" s="2" t="inlineStr">
        <is>
          <t>Aditamento (Artigo PPL)</t>
        </is>
      </c>
      <c r="AA1269" s="2" t="inlineStr">
        <is>
          <t>Rejeitado(a) em Comissão</t>
        </is>
      </c>
      <c r="AB1269" s="2" t="inlineStr"/>
      <c r="AC1269" s="2" t="inlineStr"/>
      <c r="AD1269" s="2" t="inlineStr">
        <is>
          <t>1</t>
        </is>
      </c>
      <c r="AE1269" s="2" t="inlineStr">
        <is>
          <t>24440</t>
        </is>
      </c>
      <c r="AF1269" s="2" t="inlineStr">
        <is>
          <t>https://www.parlamento.pt/OrcamentoEstado/Paginas/DetalhePropostaAlteracao.aspx?BID=24440</t>
        </is>
      </c>
      <c r="AG1269" s="2" t="inlineStr">
        <is>
          <t>https://app.parlamento.pt/webutils/docs/doc.pdf?path=6148523063484d364c793942556b356c6443397a6158526c63793959566b6c4a544556484c3039464c7a49774d6a59794d4449314d5441774f5339515153396b4d444d32596d466a5a5330324f4459304c5451324e5451744f5459314e533078596a517a4d44686d4e475269593255756347526d&amp;Fich=d036bace-6864-4654-9655-1b4308f4dbce.pdf&amp;Inline=true</t>
        </is>
      </c>
      <c r="AH1269" s="3" t="n">
        <v>46321.77847222222</v>
      </c>
      <c r="AI1269" s="3" t="n">
        <v>46321.78055555555</v>
      </c>
      <c r="AJ1269" s="2" t="inlineStr"/>
    </row>
    <row r="1270">
      <c r="A1270" s="2" t="n">
        <v>1269</v>
      </c>
      <c r="B1270" s="2" t="inlineStr">
        <is>
          <t>1200C</t>
        </is>
      </c>
      <c r="C1270" s="3" t="n">
        <v>45968.05902777778</v>
      </c>
      <c r="D1270" s="2" t="inlineStr">
        <is>
          <t>Original</t>
        </is>
      </c>
      <c r="E1270" s="2" t="inlineStr">
        <is>
          <t>CH</t>
        </is>
      </c>
      <c r="F127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70" s="2" t="inlineStr">
        <is>
          <t>Art. 136.º-A (aditamento)</t>
        </is>
      </c>
      <c r="H1270" s="2" t="n"/>
      <c r="I1270" s="2" t="n"/>
      <c r="J1270" s="2" t="n"/>
      <c r="K1270" s="2" t="n"/>
      <c r="L1270" s="2" t="inlineStr">
        <is>
          <t>Artigo 136.º-A (Majoração do Financiamento da Universidade da Madeira)</t>
        </is>
      </c>
      <c r="M1270" s="4" t="n"/>
      <c r="N1270" s="4" t="n"/>
      <c r="O1270" s="2" t="n"/>
      <c r="P1270" s="2" t="n"/>
      <c r="Q1270" s="2" t="n"/>
      <c r="R1270" s="2" t="n"/>
      <c r="S1270" s="2" t="inlineStr">
        <is>
          <t>Rejeitado(a) em Comissão</t>
        </is>
      </c>
      <c r="T1270" s="2" t="inlineStr">
        <is>
          <t>Rejeitada</t>
        </is>
      </c>
      <c r="U1270" s="2" t="inlineStr">
        <is>
          <t>Favor: CH, BE, PAN, Pedro Coelho(PSD); Contra: PSD, CDS-PP; Abstenção: PS, IL, L, PCP</t>
        </is>
      </c>
      <c r="V1270" s="3" t="n">
        <v>45987</v>
      </c>
      <c r="W1270" s="2" t="inlineStr">
        <is>
          <t>AR: https://www.parlamento.pt/OrcamentoEstado/Paginas/DetalhePropostaAlteracao.aspx?BID=24441 PDF: https://app.parlamento.pt/webutils/docs/doc.pdf?path=6148523063484d364c793942556b356c6443397a6158526c63793959566b6c4a544556484c3039464c7a49774d6a59794d4449314d5441774f533951515338314d7a637a4f4749775a53316b4d7a4e6a4c5452684f4451744f5751355a5330344f54686b4d4459315a6a6b344e6a41756347526d&amp;Fich=53738b0e-d33c-4a84-9d9e-898d065f9860.pdf&amp;Inline=true</t>
        </is>
      </c>
      <c r="X1270" s="2" t="inlineStr">
        <is>
          <t>Educação e Ciência</t>
        </is>
      </c>
      <c r="Y1270" s="2" t="inlineStr">
        <is>
          <t>Articulado</t>
        </is>
      </c>
      <c r="Z1270" s="2" t="inlineStr">
        <is>
          <t>Aditamento (Artigo PPL)</t>
        </is>
      </c>
      <c r="AA1270" s="2" t="inlineStr">
        <is>
          <t>Rejeitado(a) em Comissão</t>
        </is>
      </c>
      <c r="AB1270" s="2" t="inlineStr"/>
      <c r="AC1270" s="2" t="inlineStr"/>
      <c r="AD1270" s="2" t="inlineStr">
        <is>
          <t>1</t>
        </is>
      </c>
      <c r="AE1270" s="2" t="inlineStr">
        <is>
          <t>24441</t>
        </is>
      </c>
      <c r="AF1270" s="2" t="inlineStr">
        <is>
          <t>https://www.parlamento.pt/OrcamentoEstado/Paginas/DetalhePropostaAlteracao.aspx?BID=24441</t>
        </is>
      </c>
      <c r="AG1270" s="2" t="inlineStr">
        <is>
          <t>https://app.parlamento.pt/webutils/docs/doc.pdf?path=6148523063484d364c793942556b356c6443397a6158526c63793959566b6c4a544556484c3039464c7a49774d6a59794d4449314d5441774f533951515338314d7a637a4f4749775a53316b4d7a4e6a4c5452684f4451744f5751355a5330344f54686b4d4459315a6a6b344e6a41756347526d&amp;Fich=53738b0e-d33c-4a84-9d9e-898d065f9860.pdf&amp;Inline=true</t>
        </is>
      </c>
      <c r="AH1270" s="3" t="n">
        <v>46321.77847222222</v>
      </c>
      <c r="AI1270" s="3" t="n">
        <v>46321.78055555555</v>
      </c>
      <c r="AJ1270" s="2" t="inlineStr"/>
    </row>
    <row r="1271">
      <c r="A1271" s="2" t="n">
        <v>1270</v>
      </c>
      <c r="B1271" s="2" t="inlineStr">
        <is>
          <t>1201C</t>
        </is>
      </c>
      <c r="C1271" s="3" t="n">
        <v>45968.05972222222</v>
      </c>
      <c r="D1271" s="2" t="inlineStr">
        <is>
          <t>Original</t>
        </is>
      </c>
      <c r="E1271" s="2" t="inlineStr">
        <is>
          <t>CH</t>
        </is>
      </c>
      <c r="F127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71" s="2" t="inlineStr">
        <is>
          <t>Art. 136.º-A (aditamento)</t>
        </is>
      </c>
      <c r="H1271" s="2" t="n"/>
      <c r="I1271" s="2" t="n"/>
      <c r="J1271" s="2" t="n"/>
      <c r="K1271" s="2" t="n"/>
      <c r="L1271" s="2" t="inlineStr">
        <is>
          <t>Artigo 136.º-A (Programa de Poupança Energética como Moeda)</t>
        </is>
      </c>
      <c r="M1271" s="4" t="n"/>
      <c r="N1271" s="4" t="n"/>
      <c r="O1271" s="2" t="n"/>
      <c r="P1271" s="2" t="n"/>
      <c r="Q1271" s="2" t="n"/>
      <c r="R1271" s="2" t="n"/>
      <c r="S1271" s="2" t="inlineStr">
        <is>
          <t>Rejeitado(a) em Comissão</t>
        </is>
      </c>
      <c r="T1271" s="2" t="inlineStr">
        <is>
          <t>Rejeitada</t>
        </is>
      </c>
      <c r="U1271" s="2" t="inlineStr">
        <is>
          <t>Favor: CH; Contra: PSD, PS, IL, L, PCP, CDS-PP, BE; Abstenção: PAN</t>
        </is>
      </c>
      <c r="V1271" s="3" t="n">
        <v>45987</v>
      </c>
      <c r="W1271" s="2" t="inlineStr">
        <is>
          <t>AR: https://www.parlamento.pt/OrcamentoEstado/Paginas/DetalhePropostaAlteracao.aspx?BID=24442 PDF: https://app.parlamento.pt/webutils/docs/doc.pdf?path=6148523063484d364c793942556b356c6443397a6158526c63793959566b6c4a544556484c3039464c7a49774d6a59794d4449314d5441774f5339515153396a4f5756694e446b325a693079595459784c5451794d4451744f4441304d6930305a57526b4d7a45354e7a67314d5751756347526d&amp;Fich=c9eb496f-2a61-4204-8042-4edd3197851d.pdf&amp;Inline=true</t>
        </is>
      </c>
      <c r="X1271" s="2" t="inlineStr">
        <is>
          <t>Ambiente e Energia</t>
        </is>
      </c>
      <c r="Y1271" s="2" t="inlineStr">
        <is>
          <t>Articulado</t>
        </is>
      </c>
      <c r="Z1271" s="2" t="inlineStr">
        <is>
          <t>Aditamento (Artigo PPL)</t>
        </is>
      </c>
      <c r="AA1271" s="2" t="inlineStr">
        <is>
          <t>Rejeitado(a) em Comissão</t>
        </is>
      </c>
      <c r="AB1271" s="2" t="inlineStr"/>
      <c r="AC1271" s="2" t="inlineStr"/>
      <c r="AD1271" s="2" t="inlineStr">
        <is>
          <t>1</t>
        </is>
      </c>
      <c r="AE1271" s="2" t="inlineStr">
        <is>
          <t>24442</t>
        </is>
      </c>
      <c r="AF1271" s="2" t="inlineStr">
        <is>
          <t>https://www.parlamento.pt/OrcamentoEstado/Paginas/DetalhePropostaAlteracao.aspx?BID=24442</t>
        </is>
      </c>
      <c r="AG1271" s="2" t="inlineStr">
        <is>
          <t>https://app.parlamento.pt/webutils/docs/doc.pdf?path=6148523063484d364c793942556b356c6443397a6158526c63793959566b6c4a544556484c3039464c7a49774d6a59794d4449314d5441774f5339515153396a4f5756694e446b325a693079595459784c5451794d4451744f4441304d6930305a57526b4d7a45354e7a67314d5751756347526d&amp;Fich=c9eb496f-2a61-4204-8042-4edd3197851d.pdf&amp;Inline=true</t>
        </is>
      </c>
      <c r="AH1271" s="3" t="n">
        <v>46321.77847222222</v>
      </c>
      <c r="AI1271" s="3" t="n">
        <v>46321.78055555555</v>
      </c>
      <c r="AJ1271" s="2" t="inlineStr"/>
    </row>
    <row r="1272">
      <c r="A1272" s="2" t="n">
        <v>1271</v>
      </c>
      <c r="B1272" s="2" t="inlineStr">
        <is>
          <t>1202C</t>
        </is>
      </c>
      <c r="C1272" s="3" t="n">
        <v>45968.06111111111</v>
      </c>
      <c r="D1272" s="2" t="inlineStr">
        <is>
          <t>Original</t>
        </is>
      </c>
      <c r="E1272" s="2" t="inlineStr">
        <is>
          <t>CH</t>
        </is>
      </c>
      <c r="F127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72" s="2" t="inlineStr">
        <is>
          <t>Art. 136.º-A (aditamento)</t>
        </is>
      </c>
      <c r="H1272" s="2" t="n"/>
      <c r="I1272" s="2" t="n"/>
      <c r="J1272" s="2" t="n"/>
      <c r="K1272" s="2" t="n"/>
      <c r="L1272" s="2" t="inlineStr">
        <is>
          <t>Artigo 136.º-A (Alteração ao Decreto-Lei n.º 55/2009, de 2 de março)</t>
        </is>
      </c>
      <c r="M1272" s="4" t="n"/>
      <c r="N1272" s="4" t="n"/>
      <c r="O1272" s="2" t="n"/>
      <c r="P1272" s="2" t="n"/>
      <c r="Q1272" s="2" t="n"/>
      <c r="R1272" s="2" t="n"/>
      <c r="S1272" s="2" t="inlineStr">
        <is>
          <t>Rejeitado(a) em Comissão</t>
        </is>
      </c>
      <c r="T1272" s="2" t="inlineStr">
        <is>
          <t>Rejeitada</t>
        </is>
      </c>
      <c r="U1272" s="2" t="inlineStr">
        <is>
          <t>Favor: CH, IL; Contra: PSD, L, PCP, CDS-PP, BE; Abstenção: PS, PAN</t>
        </is>
      </c>
      <c r="V1272" s="3" t="n">
        <v>45987</v>
      </c>
      <c r="W1272" s="2" t="inlineStr">
        <is>
          <t>AR: https://www.parlamento.pt/OrcamentoEstado/Paginas/DetalhePropostaAlteracao.aspx?BID=24443 PDF: https://app.parlamento.pt/webutils/docs/doc.pdf?path=6148523063484d364c793942556b356c6443397a6158526c63793959566b6c4a544556484c3039464c7a49774d6a59794d4449314d5441774f533951515338324d4745344e7a46695a69316a5a4446694c5451334d6d4d74596a59354e69316a596a466c4d57466a4d4468684f4441756347526d&amp;Fich=60a871bf-cd1b-472c-b696-cb1e1ac08a80.pdf&amp;Inline=true</t>
        </is>
      </c>
      <c r="X1272" s="2" t="inlineStr">
        <is>
          <t>Educação e Ciência</t>
        </is>
      </c>
      <c r="Y1272" s="2" t="inlineStr">
        <is>
          <t>Articulado</t>
        </is>
      </c>
      <c r="Z1272" s="2" t="inlineStr">
        <is>
          <t>Aditamento (Artigo PPL)</t>
        </is>
      </c>
      <c r="AA1272" s="2" t="inlineStr">
        <is>
          <t>Rejeitado(a) em Comissão</t>
        </is>
      </c>
      <c r="AB1272" s="2" t="inlineStr"/>
      <c r="AC1272" s="2" t="inlineStr"/>
      <c r="AD1272" s="2" t="inlineStr">
        <is>
          <t>1</t>
        </is>
      </c>
      <c r="AE1272" s="2" t="inlineStr">
        <is>
          <t>24443</t>
        </is>
      </c>
      <c r="AF1272" s="2" t="inlineStr">
        <is>
          <t>https://www.parlamento.pt/OrcamentoEstado/Paginas/DetalhePropostaAlteracao.aspx?BID=24443</t>
        </is>
      </c>
      <c r="AG1272" s="2" t="inlineStr">
        <is>
          <t>https://app.parlamento.pt/webutils/docs/doc.pdf?path=6148523063484d364c793942556b356c6443397a6158526c63793959566b6c4a544556484c3039464c7a49774d6a59794d4449314d5441774f533951515338324d4745344e7a46695a69316a5a4446694c5451334d6d4d74596a59354e69316a596a466c4d57466a4d4468684f4441756347526d&amp;Fich=60a871bf-cd1b-472c-b696-cb1e1ac08a80.pdf&amp;Inline=true</t>
        </is>
      </c>
      <c r="AH1272" s="3" t="n">
        <v>46321.77847222222</v>
      </c>
      <c r="AI1272" s="3" t="n">
        <v>46321.78055555555</v>
      </c>
      <c r="AJ1272" s="2" t="inlineStr"/>
    </row>
    <row r="1273">
      <c r="A1273" s="2" t="n">
        <v>1272</v>
      </c>
      <c r="B1273" s="2" t="inlineStr">
        <is>
          <t>1203C</t>
        </is>
      </c>
      <c r="C1273" s="3" t="n">
        <v>45968.06180555555</v>
      </c>
      <c r="D1273" s="2" t="inlineStr">
        <is>
          <t>Original</t>
        </is>
      </c>
      <c r="E1273" s="2" t="inlineStr">
        <is>
          <t>CH</t>
        </is>
      </c>
      <c r="F127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73" s="2" t="inlineStr">
        <is>
          <t>Art. 136.º-A (aditamento)</t>
        </is>
      </c>
      <c r="H1273" s="2" t="n"/>
      <c r="I1273" s="2" t="n"/>
      <c r="J1273" s="2" t="n"/>
      <c r="K1273" s="2" t="n"/>
      <c r="L1273" s="2" t="inlineStr">
        <is>
          <t>Artigo 136.º-A (Isenção de Portagens na A19)</t>
        </is>
      </c>
      <c r="M1273" s="4" t="n"/>
      <c r="N1273" s="4" t="n"/>
      <c r="O1273" s="2" t="n"/>
      <c r="P1273" s="2" t="n"/>
      <c r="Q1273" s="2" t="n"/>
      <c r="R1273" s="2" t="n"/>
      <c r="S1273" s="2" t="inlineStr">
        <is>
          <t>Rejeitado(a) em Comissão</t>
        </is>
      </c>
      <c r="T1273" s="2" t="inlineStr">
        <is>
          <t>Rejeitada</t>
        </is>
      </c>
      <c r="U1273" s="2" t="inlineStr">
        <is>
          <t>Favor: CH, BE; Contra: PSD, IL, CDS-PP; Abstenção: PS, L, PCP, PAN</t>
        </is>
      </c>
      <c r="V1273" s="3" t="n">
        <v>45987</v>
      </c>
      <c r="W1273" s="2" t="inlineStr">
        <is>
          <t>AR: https://www.parlamento.pt/OrcamentoEstado/Paginas/DetalhePropostaAlteracao.aspx?BID=24444 PDF: https://app.parlamento.pt/webutils/docs/doc.pdf?path=6148523063484d364c793942556b356c6443397a6158526c63793959566b6c4a544556484c3039464c7a49774d6a59794d4449314d5441774f5339515153396d5a5745355a4449314e7930784d7a5a6c4c54526b596a4574596a426c595330355957566d4e32457a4e3245784d5745756347526d&amp;Fich=fea9d257-136e-4db1-b0ea-9aef7a37a11a.pdf&amp;Inline=true</t>
        </is>
      </c>
      <c r="X1273" s="2" t="inlineStr">
        <is>
          <t>Infraestruturas, Mobilidade e Habitação</t>
        </is>
      </c>
      <c r="Y1273" s="2" t="inlineStr">
        <is>
          <t>Articulado</t>
        </is>
      </c>
      <c r="Z1273" s="2" t="inlineStr">
        <is>
          <t>Aditamento (Artigo PPL)</t>
        </is>
      </c>
      <c r="AA1273" s="2" t="inlineStr">
        <is>
          <t>Rejeitado(a) em Comissão</t>
        </is>
      </c>
      <c r="AB1273" s="2" t="inlineStr"/>
      <c r="AC1273" s="2" t="inlineStr"/>
      <c r="AD1273" s="2" t="inlineStr">
        <is>
          <t>1</t>
        </is>
      </c>
      <c r="AE1273" s="2" t="inlineStr">
        <is>
          <t>24444</t>
        </is>
      </c>
      <c r="AF1273" s="2" t="inlineStr">
        <is>
          <t>https://www.parlamento.pt/OrcamentoEstado/Paginas/DetalhePropostaAlteracao.aspx?BID=24444</t>
        </is>
      </c>
      <c r="AG1273" s="2" t="inlineStr">
        <is>
          <t>https://app.parlamento.pt/webutils/docs/doc.pdf?path=6148523063484d364c793942556b356c6443397a6158526c63793959566b6c4a544556484c3039464c7a49774d6a59794d4449314d5441774f5339515153396d5a5745355a4449314e7930784d7a5a6c4c54526b596a4574596a426c595330355957566d4e32457a4e3245784d5745756347526d&amp;Fich=fea9d257-136e-4db1-b0ea-9aef7a37a11a.pdf&amp;Inline=true</t>
        </is>
      </c>
      <c r="AH1273" s="3" t="n">
        <v>46321.77847222222</v>
      </c>
      <c r="AI1273" s="3" t="n">
        <v>46321.78055555555</v>
      </c>
      <c r="AJ1273" s="2" t="inlineStr"/>
    </row>
    <row r="1274">
      <c r="A1274" s="2" t="n">
        <v>1273</v>
      </c>
      <c r="B1274" s="2" t="inlineStr">
        <is>
          <t>1204C</t>
        </is>
      </c>
      <c r="C1274" s="3" t="n">
        <v>45968.0625</v>
      </c>
      <c r="D1274" s="2" t="inlineStr">
        <is>
          <t>Original</t>
        </is>
      </c>
      <c r="E1274" s="2" t="inlineStr">
        <is>
          <t>CH</t>
        </is>
      </c>
      <c r="F127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74" s="2" t="inlineStr">
        <is>
          <t>Art. 136.º-A (aditamento)</t>
        </is>
      </c>
      <c r="H1274" s="2" t="n"/>
      <c r="I1274" s="2" t="n"/>
      <c r="J1274" s="2" t="n"/>
      <c r="K1274" s="2" t="n"/>
      <c r="L1274" s="2" t="inlineStr">
        <is>
          <t>Artigo 136.º-A (Programa Nacional de Mitigação da Erosão Costeira e Dragagem de Zonas Portuárias)</t>
        </is>
      </c>
      <c r="M1274" s="4" t="n"/>
      <c r="N1274" s="4" t="n"/>
      <c r="O1274" s="2" t="n"/>
      <c r="P1274" s="2" t="n"/>
      <c r="Q1274" s="2" t="n"/>
      <c r="R1274" s="2" t="n"/>
      <c r="S1274" s="2" t="inlineStr">
        <is>
          <t>Rejeitado(a) em Comissão</t>
        </is>
      </c>
      <c r="T1274" s="2" t="inlineStr">
        <is>
          <t>Rejeitada</t>
        </is>
      </c>
      <c r="U1274" s="2" t="inlineStr">
        <is>
          <t>Favor: CH, BE, PAN; Contra: PSD, CDS-PP; Abstenção: PS, IL, L, PCP</t>
        </is>
      </c>
      <c r="V1274" s="3" t="n">
        <v>45987</v>
      </c>
      <c r="W1274" s="2" t="inlineStr">
        <is>
          <t>AR: https://www.parlamento.pt/OrcamentoEstado/Paginas/DetalhePropostaAlteracao.aspx?BID=24445 PDF: https://app.parlamento.pt/webutils/docs/doc.pdf?path=6148523063484d364c793942556b356c6443397a6158526c63793959566b6c4a544556484c3039464c7a49774d6a59794d4449314d5441774f533951515338354e574e684e545268595330314e5756694c5451784e7a51744f474d78596930304f4452684d5463795a5749334d5751756347526d&amp;Fich=95ca54aa-55eb-4174-8c1b-484a172eb71d.pdf&amp;Inline=true</t>
        </is>
      </c>
      <c r="X1274" s="2" t="inlineStr">
        <is>
          <t>Agricultura e Pescas; Ambiente e Energia</t>
        </is>
      </c>
      <c r="Y1274" s="2" t="inlineStr">
        <is>
          <t>Articulado</t>
        </is>
      </c>
      <c r="Z1274" s="2" t="inlineStr">
        <is>
          <t>Aditamento (Artigo PPL)</t>
        </is>
      </c>
      <c r="AA1274" s="2" t="inlineStr">
        <is>
          <t>Rejeitado(a) em Comissão</t>
        </is>
      </c>
      <c r="AB1274" s="2" t="inlineStr"/>
      <c r="AC1274" s="2" t="inlineStr"/>
      <c r="AD1274" s="2" t="inlineStr">
        <is>
          <t>1</t>
        </is>
      </c>
      <c r="AE1274" s="2" t="inlineStr">
        <is>
          <t>24445</t>
        </is>
      </c>
      <c r="AF1274" s="2" t="inlineStr">
        <is>
          <t>https://www.parlamento.pt/OrcamentoEstado/Paginas/DetalhePropostaAlteracao.aspx?BID=24445</t>
        </is>
      </c>
      <c r="AG1274" s="2" t="inlineStr">
        <is>
          <t>https://app.parlamento.pt/webutils/docs/doc.pdf?path=6148523063484d364c793942556b356c6443397a6158526c63793959566b6c4a544556484c3039464c7a49774d6a59794d4449314d5441774f533951515338354e574e684e545268595330314e5756694c5451784e7a51744f474d78596930304f4452684d5463795a5749334d5751756347526d&amp;Fich=95ca54aa-55eb-4174-8c1b-484a172eb71d.pdf&amp;Inline=true</t>
        </is>
      </c>
      <c r="AH1274" s="3" t="n">
        <v>46321.77847222222</v>
      </c>
      <c r="AI1274" s="3" t="n">
        <v>46321.78055555555</v>
      </c>
      <c r="AJ1274" s="2" t="inlineStr"/>
    </row>
    <row r="1275">
      <c r="A1275" s="2" t="n">
        <v>1274</v>
      </c>
      <c r="B1275" s="2" t="inlineStr">
        <is>
          <t>1205C</t>
        </is>
      </c>
      <c r="C1275" s="3" t="n">
        <v>45968.06319444445</v>
      </c>
      <c r="D1275" s="2" t="inlineStr">
        <is>
          <t>Original</t>
        </is>
      </c>
      <c r="E1275" s="2" t="inlineStr">
        <is>
          <t>CH</t>
        </is>
      </c>
      <c r="F127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75" s="2" t="inlineStr">
        <is>
          <t>Art. 8.º (aditamento)</t>
        </is>
      </c>
      <c r="H1275" s="2" t="n"/>
      <c r="I1275" s="2" t="n"/>
      <c r="J1275" s="2" t="n"/>
      <c r="K1275" s="2" t="n"/>
      <c r="L1275" s="2" t="inlineStr">
        <is>
          <t>N.º 27, Artigo 8.º</t>
        </is>
      </c>
      <c r="M1275" s="4" t="n"/>
      <c r="N1275" s="4" t="n"/>
      <c r="O1275" s="2" t="n"/>
      <c r="P1275" s="2" t="n"/>
      <c r="Q1275" s="2" t="n"/>
      <c r="R1275" s="2" t="n"/>
      <c r="S1275" s="2" t="inlineStr">
        <is>
          <t>Rejeitado(a) em Comissão</t>
        </is>
      </c>
      <c r="T1275" s="2" t="inlineStr">
        <is>
          <t>Rejeitada</t>
        </is>
      </c>
      <c r="U1275" s="2" t="inlineStr">
        <is>
          <t>Favor: CH; Contra: PSD, PS, IL, L, PCP, CDS-PP, PAN; Abstenção: BE</t>
        </is>
      </c>
      <c r="V1275" s="3" t="n">
        <v>45981</v>
      </c>
      <c r="W1275" s="2" t="inlineStr">
        <is>
          <t>AR: https://www.parlamento.pt/OrcamentoEstado/Paginas/DetalhePropostaAlteracao.aspx?BID=24446 PDF: https://app.parlamento.pt/webutils/docs/doc.pdf?path=6148523063484d364c793942556b356c6443397a6158526c63793959566b6c4a544556484c3039464c7a49774d6a59794d4449314d5441774f5339515153396a4d32566c5a6a566a4d5331694e4756684c5451345a6a63744f474531597930344d475a6c596d5a6d4e475130596a49756347526d&amp;Fich=c3eef5c1-b4ea-48f7-8a5c-80febff4d4b2.pdf&amp;Inline=true</t>
        </is>
      </c>
      <c r="X1275" s="2" t="inlineStr">
        <is>
          <t>Educação e Ciência</t>
        </is>
      </c>
      <c r="Y1275" s="2" t="inlineStr">
        <is>
          <t>Articulado</t>
        </is>
      </c>
      <c r="Z1275" s="2" t="inlineStr">
        <is>
          <t>Aditamento (Números e Alíneas)</t>
        </is>
      </c>
      <c r="AA1275" s="2" t="inlineStr">
        <is>
          <t>Rejeitado(a) em Comissão</t>
        </is>
      </c>
      <c r="AB1275" s="2" t="inlineStr"/>
      <c r="AC1275" s="2" t="inlineStr"/>
      <c r="AD1275" s="2" t="inlineStr">
        <is>
          <t>1</t>
        </is>
      </c>
      <c r="AE1275" s="2" t="inlineStr">
        <is>
          <t>24446</t>
        </is>
      </c>
      <c r="AF1275" s="2" t="inlineStr">
        <is>
          <t>https://www.parlamento.pt/OrcamentoEstado/Paginas/DetalhePropostaAlteracao.aspx?BID=24446</t>
        </is>
      </c>
      <c r="AG1275" s="2" t="inlineStr">
        <is>
          <t>https://app.parlamento.pt/webutils/docs/doc.pdf?path=6148523063484d364c793942556b356c6443397a6158526c63793959566b6c4a544556484c3039464c7a49774d6a59794d4449314d5441774f5339515153396a4d32566c5a6a566a4d5331694e4756684c5451345a6a63744f474531597930344d475a6c596d5a6d4e475130596a49756347526d&amp;Fich=c3eef5c1-b4ea-48f7-8a5c-80febff4d4b2.pdf&amp;Inline=true</t>
        </is>
      </c>
      <c r="AH1275" s="3" t="n">
        <v>46321.77847222222</v>
      </c>
      <c r="AI1275" s="3" t="n">
        <v>46321.78055555555</v>
      </c>
      <c r="AJ1275" s="2" t="inlineStr"/>
    </row>
    <row r="1276">
      <c r="A1276" s="2" t="n">
        <v>1275</v>
      </c>
      <c r="B1276" s="2" t="inlineStr">
        <is>
          <t>1206C</t>
        </is>
      </c>
      <c r="C1276" s="3" t="n">
        <v>45968.06319444445</v>
      </c>
      <c r="D1276" s="2" t="inlineStr">
        <is>
          <t>Original</t>
        </is>
      </c>
      <c r="E1276" s="2" t="inlineStr">
        <is>
          <t>CH</t>
        </is>
      </c>
      <c r="F127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76" s="2" t="inlineStr">
        <is>
          <t>Art. 127.º (substituição)</t>
        </is>
      </c>
      <c r="H1276" s="2" t="n"/>
      <c r="I1276" s="2" t="n"/>
      <c r="J1276" s="2" t="n"/>
      <c r="K1276" s="2" t="n"/>
      <c r="L1276" s="2" t="inlineStr">
        <is>
          <t>Artigo 127.º</t>
        </is>
      </c>
      <c r="M1276" s="4" t="n"/>
      <c r="N1276" s="4" t="n"/>
      <c r="O1276" s="2" t="n"/>
      <c r="P1276" s="2" t="n"/>
      <c r="Q1276" s="2" t="n"/>
      <c r="R1276" s="2" t="n"/>
      <c r="S1276" s="2" t="inlineStr">
        <is>
          <t>Rejeitado(a) em Plenário</t>
        </is>
      </c>
      <c r="T1276" s="2" t="inlineStr">
        <is>
          <t>Rejeitada</t>
        </is>
      </c>
      <c r="U1276" s="2" t="inlineStr">
        <is>
          <t>Favor: CH, IL; Contra: PSD, L, CDS-PP, PAN; Abstenção: PS, PCP, BE</t>
        </is>
      </c>
      <c r="V1276" s="3" t="n">
        <v>45985</v>
      </c>
      <c r="W1276" s="2" t="inlineStr">
        <is>
          <t>Avocada a Plenário. AR: https://www.parlamento.pt/OrcamentoEstado/Paginas/DetalhePropostaAlteracao.aspx?BID=24447 PDF: https://app.parlamento.pt/webutils/docs/doc.pdf?path=6148523063484d364c793942556b356c6443397a6158526c63793959566b6c4a544556484c3039464c7a49774d6a59794d4449314d5441774f5339515153396859545a6a596a4132597930325a4451354c54517a4e6a6b744f5441344d7931684d6d49784d7a45774f5451334d3259756347526d&amp;Fich=aa6cb06c-6d49-4369-9083-a2b13109473f.pdf&amp;Inline=true</t>
        </is>
      </c>
      <c r="X1276" s="2" t="inlineStr">
        <is>
          <t>Ambiente e Energia</t>
        </is>
      </c>
      <c r="Y1276" s="2" t="inlineStr">
        <is>
          <t>Articulado</t>
        </is>
      </c>
      <c r="Z1276" s="2" t="inlineStr">
        <is>
          <t>Substituição</t>
        </is>
      </c>
      <c r="AA1276" s="2" t="inlineStr">
        <is>
          <t>Rejeitado(a) em Plenário</t>
        </is>
      </c>
      <c r="AB1276" s="2" t="inlineStr">
        <is>
          <t>S</t>
        </is>
      </c>
      <c r="AC1276" s="2" t="inlineStr"/>
      <c r="AD1276" s="2" t="inlineStr">
        <is>
          <t>2</t>
        </is>
      </c>
      <c r="AE1276" s="2" t="inlineStr">
        <is>
          <t>24447</t>
        </is>
      </c>
      <c r="AF1276" s="2" t="inlineStr">
        <is>
          <t>https://www.parlamento.pt/OrcamentoEstado/Paginas/DetalhePropostaAlteracao.aspx?BID=24447</t>
        </is>
      </c>
      <c r="AG1276" s="2" t="inlineStr">
        <is>
          <t>https://app.parlamento.pt/webutils/docs/doc.pdf?path=6148523063484d364c793942556b356c6443397a6158526c63793959566b6c4a544556484c3039464c7a49774d6a59794d4449314d5441774f5339515153396859545a6a596a4132597930325a4451354c54517a4e6a6b744f5441344d7931684d6d49784d7a45774f5451334d3259756347526d&amp;Fich=aa6cb06c-6d49-4369-9083-a2b13109473f.pdf&amp;Inline=true</t>
        </is>
      </c>
      <c r="AH1276" s="3" t="n">
        <v>46321.77847222222</v>
      </c>
      <c r="AI1276" s="3" t="n">
        <v>46321.78055555555</v>
      </c>
      <c r="AJ1276" s="2" t="inlineStr"/>
    </row>
    <row r="1277">
      <c r="A1277" s="2" t="n">
        <v>1276</v>
      </c>
      <c r="B1277" s="2" t="inlineStr">
        <is>
          <t>1207C</t>
        </is>
      </c>
      <c r="C1277" s="3" t="n">
        <v>45968.06388888889</v>
      </c>
      <c r="D1277" s="2" t="inlineStr">
        <is>
          <t>Original</t>
        </is>
      </c>
      <c r="E1277" s="2" t="inlineStr">
        <is>
          <t>CH</t>
        </is>
      </c>
      <c r="F127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77" s="2" t="inlineStr">
        <is>
          <t>Art. 117.º (aditamento)</t>
        </is>
      </c>
      <c r="H1277" s="2" t="n"/>
      <c r="I1277" s="2" t="n"/>
      <c r="J1277" s="2" t="n"/>
      <c r="K1277" s="2" t="n"/>
      <c r="L1277" s="2" t="inlineStr">
        <is>
          <t>N.º 4, Artigo 117.º</t>
        </is>
      </c>
      <c r="M1277" s="4" t="n"/>
      <c r="N1277" s="4" t="n"/>
      <c r="O1277" s="2" t="n"/>
      <c r="P1277" s="2" t="n"/>
      <c r="Q1277" s="2" t="n"/>
      <c r="R1277" s="2" t="n"/>
      <c r="S1277" s="2" t="inlineStr">
        <is>
          <t>Rejeitado(a) em Comissão</t>
        </is>
      </c>
      <c r="T1277" s="2" t="inlineStr">
        <is>
          <t>Rejeitada</t>
        </is>
      </c>
      <c r="U1277" s="2" t="inlineStr">
        <is>
          <t>Favor: CH, IL, BE, PAN; Contra: PSD, CDS-PP; Abstenção: PS, L, PCP</t>
        </is>
      </c>
      <c r="V1277" s="3" t="n">
        <v>45985</v>
      </c>
      <c r="W1277" s="2" t="inlineStr">
        <is>
          <t>AR: https://www.parlamento.pt/OrcamentoEstado/Paginas/DetalhePropostaAlteracao.aspx?BID=24448 PDF: https://app.parlamento.pt/webutils/docs/doc.pdf?path=6148523063484d364c793942556b356c6443397a6158526c63793959566b6c4a544556484c3039464c7a49774d6a59794d4449314d5441774f5339515153387a4e3259335a5464684d7930354e4745314c54526d596d5574596d5930596931694e7a67794d7a67784f44466d4f5755756347526d&amp;Fich=37f7e7a3-94a5-4fbe-bf4b-b78238181f9e.pdf&amp;Inline=true</t>
        </is>
      </c>
      <c r="X1277" s="2" t="inlineStr">
        <is>
          <t>Educação e Ciência</t>
        </is>
      </c>
      <c r="Y1277" s="2" t="inlineStr">
        <is>
          <t>Articulado</t>
        </is>
      </c>
      <c r="Z1277" s="2" t="inlineStr">
        <is>
          <t>Aditamento (Números e Alíneas)</t>
        </is>
      </c>
      <c r="AA1277" s="2" t="inlineStr">
        <is>
          <t>Rejeitado(a) em Comissão</t>
        </is>
      </c>
      <c r="AB1277" s="2" t="inlineStr"/>
      <c r="AC1277" s="2" t="inlineStr"/>
      <c r="AD1277" s="2" t="inlineStr">
        <is>
          <t>1</t>
        </is>
      </c>
      <c r="AE1277" s="2" t="inlineStr">
        <is>
          <t>24448</t>
        </is>
      </c>
      <c r="AF1277" s="2" t="inlineStr">
        <is>
          <t>https://www.parlamento.pt/OrcamentoEstado/Paginas/DetalhePropostaAlteracao.aspx?BID=24448</t>
        </is>
      </c>
      <c r="AG1277" s="2" t="inlineStr">
        <is>
          <t>https://app.parlamento.pt/webutils/docs/doc.pdf?path=6148523063484d364c793942556b356c6443397a6158526c63793959566b6c4a544556484c3039464c7a49774d6a59794d4449314d5441774f5339515153387a4e3259335a5464684d7930354e4745314c54526d596d5574596d5930596931694e7a67794d7a67784f44466d4f5755756347526d&amp;Fich=37f7e7a3-94a5-4fbe-bf4b-b78238181f9e.pdf&amp;Inline=true</t>
        </is>
      </c>
      <c r="AH1277" s="3" t="n">
        <v>46321.77847222222</v>
      </c>
      <c r="AI1277" s="3" t="n">
        <v>46321.78055555555</v>
      </c>
      <c r="AJ1277" s="2" t="inlineStr"/>
    </row>
    <row r="1278">
      <c r="A1278" s="2" t="n">
        <v>1277</v>
      </c>
      <c r="B1278" s="2" t="inlineStr">
        <is>
          <t>1208C</t>
        </is>
      </c>
      <c r="C1278" s="3" t="n">
        <v>45968.06388888889</v>
      </c>
      <c r="D1278" s="2" t="inlineStr">
        <is>
          <t>Original</t>
        </is>
      </c>
      <c r="E1278" s="2" t="inlineStr">
        <is>
          <t>CH</t>
        </is>
      </c>
      <c r="F127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78" s="2" t="inlineStr">
        <is>
          <t>Art. 60.º (substituição)</t>
        </is>
      </c>
      <c r="H1278" s="2" t="n"/>
      <c r="I1278" s="2" t="n"/>
      <c r="J1278" s="2" t="n"/>
      <c r="K1278" s="2" t="n"/>
      <c r="L1278" s="2" t="inlineStr">
        <is>
          <t>N.º 1, N.º 9, Artigo 78.º-B do Código do IRS</t>
        </is>
      </c>
      <c r="M1278" s="4" t="n"/>
      <c r="N1278" s="4" t="n"/>
      <c r="O1278" s="2" t="n"/>
      <c r="P1278" s="2" t="n"/>
      <c r="Q1278" s="2" t="n"/>
      <c r="R1278" s="2" t="n"/>
      <c r="S1278" s="2" t="inlineStr">
        <is>
          <t>Rejeitado(a) em Comissão</t>
        </is>
      </c>
      <c r="T1278" s="2" t="inlineStr">
        <is>
          <t>Rejeitada</t>
        </is>
      </c>
      <c r="U1278" s="2" t="inlineStr">
        <is>
          <t>Favor: CH, IL, BE, PAN; Contra: PSD, CDS-PP; Abstenção: PS, L, PCP</t>
        </is>
      </c>
      <c r="V1278" s="3" t="n">
        <v>45981</v>
      </c>
      <c r="W1278" s="2" t="inlineStr">
        <is>
          <t>AR: https://www.parlamento.pt/OrcamentoEstado/Paginas/DetalhePropostaAlteracao.aspx?BID=24449 PDF: https://app.parlamento.pt/webutils/docs/doc.pdf?path=6148523063484d364c793942556b356c6443397a6158526c63793959566b6c4a544556484c3039464c7a49774d6a59794d4449314d5441774f533951515338794f575a6b4e6d49354e6930324e3245314c54526c4d3249744f545a6b5969316a4e5445784d6d4e6c4f546c6a59546b756347526d&amp;Fich=29fd6b96-67a5-4e3b-96db-c5112ce99ca9.pdf&amp;Inline=true</t>
        </is>
      </c>
      <c r="X1278" s="2" t="inlineStr">
        <is>
          <t>Orçamento, Finanças e Administração Pública</t>
        </is>
      </c>
      <c r="Y1278" s="2" t="inlineStr">
        <is>
          <t>Articulado</t>
        </is>
      </c>
      <c r="Z1278" s="2" t="inlineStr">
        <is>
          <t>Substituição</t>
        </is>
      </c>
      <c r="AA1278" s="2" t="inlineStr">
        <is>
          <t>Rejeitado(a) em Comissão</t>
        </is>
      </c>
      <c r="AB1278" s="2" t="inlineStr"/>
      <c r="AC1278" s="2" t="inlineStr"/>
      <c r="AD1278" s="2" t="inlineStr">
        <is>
          <t>1</t>
        </is>
      </c>
      <c r="AE1278" s="2" t="inlineStr">
        <is>
          <t>24449</t>
        </is>
      </c>
      <c r="AF1278" s="2" t="inlineStr">
        <is>
          <t>https://www.parlamento.pt/OrcamentoEstado/Paginas/DetalhePropostaAlteracao.aspx?BID=24449</t>
        </is>
      </c>
      <c r="AG1278" s="2" t="inlineStr">
        <is>
          <t>https://app.parlamento.pt/webutils/docs/doc.pdf?path=6148523063484d364c793942556b356c6443397a6158526c63793959566b6c4a544556484c3039464c7a49774d6a59794d4449314d5441774f533951515338794f575a6b4e6d49354e6930324e3245314c54526c4d3249744f545a6b5969316a4e5445784d6d4e6c4f546c6a59546b756347526d&amp;Fich=29fd6b96-67a5-4e3b-96db-c5112ce99ca9.pdf&amp;Inline=true</t>
        </is>
      </c>
      <c r="AH1278" s="3" t="n">
        <v>46321.77847222222</v>
      </c>
      <c r="AI1278" s="3" t="n">
        <v>46321.78055555555</v>
      </c>
      <c r="AJ1278" s="2" t="inlineStr"/>
    </row>
    <row r="1279">
      <c r="A1279" s="2" t="n">
        <v>1278</v>
      </c>
      <c r="B1279" s="2" t="inlineStr">
        <is>
          <t>1209C-1</t>
        </is>
      </c>
      <c r="C1279" s="3" t="n">
        <v>45968.06458333333</v>
      </c>
      <c r="D1279" s="2" t="inlineStr">
        <is>
          <t>Retirada</t>
        </is>
      </c>
      <c r="E1279" s="2" t="inlineStr">
        <is>
          <t>CH</t>
        </is>
      </c>
      <c r="F127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79" s="2" t="inlineStr">
        <is>
          <t>Art. 113.º (substituição)</t>
        </is>
      </c>
      <c r="H1279" s="2" t="n"/>
      <c r="I1279" s="2" t="n"/>
      <c r="J1279" s="2" t="n"/>
      <c r="K1279" s="2" t="n"/>
      <c r="L1279" s="2" t="inlineStr">
        <is>
          <t>N.º 2, Artigo 113.º</t>
        </is>
      </c>
      <c r="M1279" s="4" t="n"/>
      <c r="N1279" s="4" t="n"/>
      <c r="O1279" s="2" t="n"/>
      <c r="P1279" s="2" t="n"/>
      <c r="Q1279" s="2" t="n"/>
      <c r="R1279" s="2" t="n"/>
      <c r="S1279" s="2" t="inlineStr">
        <is>
          <t>Retirado(a)</t>
        </is>
      </c>
      <c r="T1279" s="2" t="inlineStr">
        <is>
          <t>Retirada</t>
        </is>
      </c>
      <c r="U1279" s="2" t="inlineStr"/>
      <c r="V1279" s="3" t="n"/>
      <c r="W1279" s="2" t="inlineStr">
        <is>
          <t>AR: https://www.parlamento.pt/OrcamentoEstado/Paginas/DetalhePropostaAlteracao.aspx?BID=24450 PDF: https://app.parlamento.pt/webutils/docs/doc.pdf?path=6148523063484d364c793942556b356c6443397a6158526c63793959566b6c4a544556484c3039464c7a49774d6a59794d4449314d5441774f5339515153396b4f5441315a4445784f43307a5954686b4c54526a5a6a51744f544e6b4d5330324e6a6c6d5a574534597a68685a446b756347526d&amp;Fich=d905d118-3a8d-4cf4-93d1-669fea8c8ad9.pdf&amp;Inline=true</t>
        </is>
      </c>
      <c r="X1279" s="2" t="inlineStr">
        <is>
          <t>Assuntos Constitucionais, Direitos, Liberdades e Garantias</t>
        </is>
      </c>
      <c r="Y1279" s="2" t="inlineStr">
        <is>
          <t>Articulado</t>
        </is>
      </c>
      <c r="Z1279" s="2" t="inlineStr">
        <is>
          <t>Substituição</t>
        </is>
      </c>
      <c r="AA1279" s="2" t="inlineStr">
        <is>
          <t>Retirado(a)</t>
        </is>
      </c>
      <c r="AB1279" s="2" t="inlineStr"/>
      <c r="AC1279" s="2" t="inlineStr">
        <is>
          <t>1</t>
        </is>
      </c>
      <c r="AD1279" s="2" t="inlineStr">
        <is>
          <t>0</t>
        </is>
      </c>
      <c r="AE1279" s="2" t="inlineStr">
        <is>
          <t>24450</t>
        </is>
      </c>
      <c r="AF1279" s="2" t="inlineStr">
        <is>
          <t>https://www.parlamento.pt/OrcamentoEstado/Paginas/DetalhePropostaAlteracao.aspx?BID=24450</t>
        </is>
      </c>
      <c r="AG1279" s="2" t="inlineStr">
        <is>
          <t>https://app.parlamento.pt/webutils/docs/doc.pdf?path=6148523063484d364c793942556b356c6443397a6158526c63793959566b6c4a544556484c3039464c7a49774d6a59794d4449314d5441774f5339515153396b4f5441315a4445784f43307a5954686b4c54526a5a6a51744f544e6b4d5330324e6a6c6d5a574534597a68685a446b756347526d&amp;Fich=d905d118-3a8d-4cf4-93d1-669fea8c8ad9.pdf&amp;Inline=true</t>
        </is>
      </c>
      <c r="AH1279" s="3" t="n">
        <v>46321.77847222222</v>
      </c>
      <c r="AI1279" s="3" t="n">
        <v>46321.78055555555</v>
      </c>
      <c r="AJ1279" s="2" t="inlineStr"/>
    </row>
    <row r="1280">
      <c r="A1280" s="2" t="n">
        <v>1279</v>
      </c>
      <c r="B1280" s="2" t="inlineStr">
        <is>
          <t>1209C-2</t>
        </is>
      </c>
      <c r="C1280" s="3" t="n">
        <v>45968.06458333333</v>
      </c>
      <c r="D1280" s="2" t="inlineStr">
        <is>
          <t>Retirada</t>
        </is>
      </c>
      <c r="E1280" s="2" t="inlineStr">
        <is>
          <t>CH</t>
        </is>
      </c>
      <c r="F128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80" s="2" t="inlineStr">
        <is>
          <t>Art. 113.º (aditamento)</t>
        </is>
      </c>
      <c r="H1280" s="2" t="n"/>
      <c r="I1280" s="2" t="n"/>
      <c r="J1280" s="2" t="n"/>
      <c r="K1280" s="2" t="n"/>
      <c r="L1280" s="2" t="inlineStr">
        <is>
          <t>N.º 3, Artigo 113.º</t>
        </is>
      </c>
      <c r="M1280" s="4" t="n"/>
      <c r="N1280" s="4" t="n"/>
      <c r="O1280" s="2" t="n"/>
      <c r="P1280" s="2" t="n"/>
      <c r="Q1280" s="2" t="n"/>
      <c r="R1280" s="2" t="n"/>
      <c r="S1280" s="2" t="inlineStr">
        <is>
          <t>Retirado(a)</t>
        </is>
      </c>
      <c r="T1280" s="2" t="inlineStr">
        <is>
          <t>Retirada</t>
        </is>
      </c>
      <c r="U1280" s="2" t="inlineStr"/>
      <c r="V1280" s="3" t="n"/>
      <c r="W1280" s="2" t="inlineStr">
        <is>
          <t>AR: https://www.parlamento.pt/OrcamentoEstado/Paginas/DetalhePropostaAlteracao.aspx?BID=25382 PDF: https://app.parlamento.pt/webutils/docs/doc.pdf?path=6148523063484d364c793942556b356c6443397a6158526c63793959566b6c4a544556484c3039464c7a49774d6a59794d4449314d5441774f5339515153387a595441774e4745305a43316a4f44646d4c5451774f5755744f4445325a5330315a6d56695a574e6a4e6a6b784f4467756347526d&amp;Fich=3a004a4d-c87f-409e-816e-5febecc69188.pdf&amp;Inline=true</t>
        </is>
      </c>
      <c r="X1280" s="2" t="inlineStr">
        <is>
          <t>Assuntos Constitucionais, Direitos, Liberdades e Garantias</t>
        </is>
      </c>
      <c r="Y1280" s="2" t="inlineStr">
        <is>
          <t>Articulado</t>
        </is>
      </c>
      <c r="Z1280" s="2" t="inlineStr">
        <is>
          <t>Aditamento (Números e Alíneas)</t>
        </is>
      </c>
      <c r="AA1280" s="2" t="inlineStr">
        <is>
          <t>Retirado(a)</t>
        </is>
      </c>
      <c r="AB1280" s="2" t="inlineStr"/>
      <c r="AC1280" s="2" t="inlineStr">
        <is>
          <t>2</t>
        </is>
      </c>
      <c r="AD1280" s="2" t="inlineStr">
        <is>
          <t>0</t>
        </is>
      </c>
      <c r="AE1280" s="2" t="inlineStr">
        <is>
          <t>25382</t>
        </is>
      </c>
      <c r="AF1280" s="2" t="inlineStr">
        <is>
          <t>https://www.parlamento.pt/OrcamentoEstado/Paginas/DetalhePropostaAlteracao.aspx?BID=25382</t>
        </is>
      </c>
      <c r="AG1280" s="2" t="inlineStr">
        <is>
          <t>https://app.parlamento.pt/webutils/docs/doc.pdf?path=6148523063484d364c793942556b356c6443397a6158526c63793959566b6c4a544556484c3039464c7a49774d6a59794d4449314d5441774f5339515153387a595441774e4745305a43316a4f44646d4c5451774f5755744f4445325a5330315a6d56695a574e6a4e6a6b784f4467756347526d&amp;Fich=3a004a4d-c87f-409e-816e-5febecc69188.pdf&amp;Inline=true</t>
        </is>
      </c>
      <c r="AH1280" s="3" t="n">
        <v>46321.77847222222</v>
      </c>
      <c r="AI1280" s="3" t="n">
        <v>46321.78055555555</v>
      </c>
      <c r="AJ1280" s="2" t="inlineStr"/>
    </row>
    <row r="1281">
      <c r="A1281" s="2" t="n">
        <v>1280</v>
      </c>
      <c r="B1281" s="2" t="inlineStr">
        <is>
          <t>1210C</t>
        </is>
      </c>
      <c r="C1281" s="3" t="n">
        <v>45968.06527777778</v>
      </c>
      <c r="D1281" s="2" t="inlineStr">
        <is>
          <t>Original</t>
        </is>
      </c>
      <c r="E1281" s="2" t="inlineStr">
        <is>
          <t>CH</t>
        </is>
      </c>
      <c r="F128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81" s="2" t="inlineStr">
        <is>
          <t>Art. 60.º (aditamento)</t>
        </is>
      </c>
      <c r="H1281" s="2" t="n"/>
      <c r="I1281" s="2" t="n"/>
      <c r="J1281" s="2" t="n"/>
      <c r="K1281" s="2" t="n"/>
      <c r="L1281" s="2" t="inlineStr">
        <is>
          <t>N.º 5, Artigo 78.º-A do Código do IRS</t>
        </is>
      </c>
      <c r="M1281" s="4" t="n"/>
      <c r="N1281" s="4" t="n"/>
      <c r="O1281" s="2" t="n"/>
      <c r="P1281" s="2" t="n"/>
      <c r="Q1281" s="2" t="n"/>
      <c r="R1281" s="2" t="n"/>
      <c r="S1281" s="2" t="inlineStr">
        <is>
          <t>Rejeitado(a) em Comissão</t>
        </is>
      </c>
      <c r="T1281" s="2" t="inlineStr">
        <is>
          <t>Rejeitada</t>
        </is>
      </c>
      <c r="U1281" s="2" t="inlineStr">
        <is>
          <t>Favor: CH, IL, PAN; Contra: PSD, PCP, CDS-PP; Abstenção: PS, L, BE</t>
        </is>
      </c>
      <c r="V1281" s="3" t="n">
        <v>45981</v>
      </c>
      <c r="W1281" s="2" t="inlineStr">
        <is>
          <t>AR: https://www.parlamento.pt/OrcamentoEstado/Paginas/DetalhePropostaAlteracao.aspx?BID=24451 PDF: https://app.parlamento.pt/webutils/docs/doc.pdf?path=6148523063484d364c793942556b356c6443397a6158526c63793959566b6c4a544556484c3039464c7a49774d6a59794d4449314d5441774f533951515338345a444a6d596a677a4d7930794f44646b4c5452694d6d4d74595449774d43316c4d5463794e5755335a6a49794f5459756347526d&amp;Fich=8d2fb833-287d-4b2c-a200-e1725e7f2296.pdf&amp;Inline=true</t>
        </is>
      </c>
      <c r="X1281" s="2" t="inlineStr">
        <is>
          <t>Orçamento, Finanças e Administração Pública</t>
        </is>
      </c>
      <c r="Y1281" s="2" t="inlineStr">
        <is>
          <t>Articulado</t>
        </is>
      </c>
      <c r="Z1281" s="2" t="inlineStr">
        <is>
          <t>Aditamento (Números e Alíneas)</t>
        </is>
      </c>
      <c r="AA1281" s="2" t="inlineStr">
        <is>
          <t>Rejeitado(a) em Comissão</t>
        </is>
      </c>
      <c r="AB1281" s="2" t="inlineStr"/>
      <c r="AC1281" s="2" t="inlineStr"/>
      <c r="AD1281" s="2" t="inlineStr">
        <is>
          <t>1</t>
        </is>
      </c>
      <c r="AE1281" s="2" t="inlineStr">
        <is>
          <t>24451</t>
        </is>
      </c>
      <c r="AF1281" s="2" t="inlineStr">
        <is>
          <t>https://www.parlamento.pt/OrcamentoEstado/Paginas/DetalhePropostaAlteracao.aspx?BID=24451</t>
        </is>
      </c>
      <c r="AG1281" s="2" t="inlineStr">
        <is>
          <t>https://app.parlamento.pt/webutils/docs/doc.pdf?path=6148523063484d364c793942556b356c6443397a6158526c63793959566b6c4a544556484c3039464c7a49774d6a59794d4449314d5441774f533951515338345a444a6d596a677a4d7930794f44646b4c5452694d6d4d74595449774d43316c4d5463794e5755335a6a49794f5459756347526d&amp;Fich=8d2fb833-287d-4b2c-a200-e1725e7f2296.pdf&amp;Inline=true</t>
        </is>
      </c>
      <c r="AH1281" s="3" t="n">
        <v>46321.77847222222</v>
      </c>
      <c r="AI1281" s="3" t="n">
        <v>46321.78055555555</v>
      </c>
      <c r="AJ1281" s="2" t="inlineStr"/>
    </row>
    <row r="1282">
      <c r="A1282" s="2" t="n">
        <v>1281</v>
      </c>
      <c r="B1282" s="2" t="inlineStr">
        <is>
          <t>1211C</t>
        </is>
      </c>
      <c r="C1282" s="3" t="n">
        <v>45968.06597222222</v>
      </c>
      <c r="D1282" s="2" t="inlineStr">
        <is>
          <t>Original</t>
        </is>
      </c>
      <c r="E1282" s="2" t="inlineStr">
        <is>
          <t>CH</t>
        </is>
      </c>
      <c r="F128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82" s="2" t="inlineStr">
        <is>
          <t>Art. 60.º (aditamento)</t>
        </is>
      </c>
      <c r="H1282" s="2" t="n"/>
      <c r="I1282" s="2" t="n"/>
      <c r="J1282" s="2" t="n"/>
      <c r="K1282" s="2" t="n"/>
      <c r="L1282" s="2" t="inlineStr">
        <is>
          <t>Alínea g), Alínea h), N.º 1, Artigo 78.º-F do Código do IRS</t>
        </is>
      </c>
      <c r="M1282" s="4" t="n"/>
      <c r="N1282" s="4" t="n"/>
      <c r="O1282" s="2" t="n"/>
      <c r="P1282" s="2" t="n"/>
      <c r="Q1282" s="2" t="n"/>
      <c r="R1282" s="2" t="n"/>
      <c r="S1282" s="2" t="inlineStr">
        <is>
          <t>Rejeitado(a) em Comissão</t>
        </is>
      </c>
      <c r="T1282" s="2" t="inlineStr">
        <is>
          <t>Rejeitada</t>
        </is>
      </c>
      <c r="U1282" s="2" t="inlineStr">
        <is>
          <t>Favor: CH, BE, PAN; Contra: PSD, PCP, CDS-PP; Abstenção: PS, IL, L</t>
        </is>
      </c>
      <c r="V1282" s="3" t="n">
        <v>45981</v>
      </c>
      <c r="W1282" s="2" t="inlineStr">
        <is>
          <t>AR: https://www.parlamento.pt/OrcamentoEstado/Paginas/DetalhePropostaAlteracao.aspx?BID=24452 PDF: https://app.parlamento.pt/webutils/docs/doc.pdf?path=6148523063484d364c793942556b356c6443397a6158526c63793959566b6c4a544556484c3039464c7a49774d6a59794d4449314d5441774f533951515338324e444e68595759334d69316b4e474d324c5451774f445574595464694d793035596a51334e44457a5a545a6b4f5751756347526d&amp;Fich=643aaf72-d4c6-4085-a7b3-9b47413e6d9d.pdf&amp;Inline=true</t>
        </is>
      </c>
      <c r="X1282" s="2" t="inlineStr">
        <is>
          <t>Orçamento, Finanças e Administração Pública</t>
        </is>
      </c>
      <c r="Y1282" s="2" t="inlineStr">
        <is>
          <t>Articulado</t>
        </is>
      </c>
      <c r="Z1282" s="2" t="inlineStr">
        <is>
          <t>Aditamento (Números e Alíneas)</t>
        </is>
      </c>
      <c r="AA1282" s="2" t="inlineStr">
        <is>
          <t>Rejeitado(a) em Comissão</t>
        </is>
      </c>
      <c r="AB1282" s="2" t="inlineStr"/>
      <c r="AC1282" s="2" t="inlineStr"/>
      <c r="AD1282" s="2" t="inlineStr">
        <is>
          <t>1</t>
        </is>
      </c>
      <c r="AE1282" s="2" t="inlineStr">
        <is>
          <t>24452</t>
        </is>
      </c>
      <c r="AF1282" s="2" t="inlineStr">
        <is>
          <t>https://www.parlamento.pt/OrcamentoEstado/Paginas/DetalhePropostaAlteracao.aspx?BID=24452</t>
        </is>
      </c>
      <c r="AG1282" s="2" t="inlineStr">
        <is>
          <t>https://app.parlamento.pt/webutils/docs/doc.pdf?path=6148523063484d364c793942556b356c6443397a6158526c63793959566b6c4a544556484c3039464c7a49774d6a59794d4449314d5441774f533951515338324e444e68595759334d69316b4e474d324c5451774f445574595464694d793035596a51334e44457a5a545a6b4f5751756347526d&amp;Fich=643aaf72-d4c6-4085-a7b3-9b47413e6d9d.pdf&amp;Inline=true</t>
        </is>
      </c>
      <c r="AH1282" s="3" t="n">
        <v>46321.77847222222</v>
      </c>
      <c r="AI1282" s="3" t="n">
        <v>46321.78055555555</v>
      </c>
      <c r="AJ1282" s="2" t="inlineStr"/>
    </row>
    <row r="1283">
      <c r="A1283" s="2" t="n">
        <v>1282</v>
      </c>
      <c r="B1283" s="2" t="inlineStr">
        <is>
          <t>1212C</t>
        </is>
      </c>
      <c r="C1283" s="3" t="n">
        <v>45968.06666666667</v>
      </c>
      <c r="D1283" s="2" t="inlineStr">
        <is>
          <t>Original</t>
        </is>
      </c>
      <c r="E1283" s="2" t="inlineStr">
        <is>
          <t>CH</t>
        </is>
      </c>
      <c r="F128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83" s="2" t="inlineStr">
        <is>
          <t>Art. 108.º (substituição)</t>
        </is>
      </c>
      <c r="H1283" s="2" t="n"/>
      <c r="I1283" s="2" t="n"/>
      <c r="J1283" s="2" t="n"/>
      <c r="K1283" s="2" t="n"/>
      <c r="L1283" s="2" t="inlineStr">
        <is>
          <t>Artigo 108.º</t>
        </is>
      </c>
      <c r="M1283" s="4" t="n"/>
      <c r="N1283" s="4" t="n"/>
      <c r="O1283" s="2" t="n"/>
      <c r="P1283" s="2" t="n"/>
      <c r="Q1283" s="2" t="n"/>
      <c r="R1283" s="2" t="n"/>
      <c r="S1283" s="2" t="inlineStr">
        <is>
          <t>Rejeitado(a) em Comissão</t>
        </is>
      </c>
      <c r="T1283" s="2" t="inlineStr">
        <is>
          <t>Rejeitada</t>
        </is>
      </c>
      <c r="U1283" s="2" t="inlineStr">
        <is>
          <t>Favor: CH, BE, PAN; Contra: PSD, CDS-PP; Abstenção: PS, IL, L, PCP</t>
        </is>
      </c>
      <c r="V1283" s="3" t="n">
        <v>45982</v>
      </c>
      <c r="W1283" s="2" t="inlineStr">
        <is>
          <t>AR: https://www.parlamento.pt/OrcamentoEstado/Paginas/DetalhePropostaAlteracao.aspx?BID=24453 PDF: https://app.parlamento.pt/webutils/docs/doc.pdf?path=6148523063484d364c793942556b356c6443397a6158526c63793959566b6c4a544556484c3039464c7a49774d6a59794d4449314d5441774f533951515338314e4745344e6a526b4e69316d4d6a41334c5451785a4755744f5749784f43316d4e6a49334e6a526d4f44426a4d7a51756347526d&amp;Fich=54a864d6-f207-41de-9b18-f62764f80c34.pdf&amp;Inline=true</t>
        </is>
      </c>
      <c r="X1283" s="2" t="inlineStr">
        <is>
          <t>Agricultura e Pescas</t>
        </is>
      </c>
      <c r="Y1283" s="2" t="inlineStr">
        <is>
          <t>Articulado</t>
        </is>
      </c>
      <c r="Z1283" s="2" t="inlineStr">
        <is>
          <t>Substituição</t>
        </is>
      </c>
      <c r="AA1283" s="2" t="inlineStr">
        <is>
          <t>Rejeitado(a) em Comissão</t>
        </is>
      </c>
      <c r="AB1283" s="2" t="inlineStr"/>
      <c r="AC1283" s="2" t="inlineStr"/>
      <c r="AD1283" s="2" t="inlineStr">
        <is>
          <t>1</t>
        </is>
      </c>
      <c r="AE1283" s="2" t="inlineStr">
        <is>
          <t>24453</t>
        </is>
      </c>
      <c r="AF1283" s="2" t="inlineStr">
        <is>
          <t>https://www.parlamento.pt/OrcamentoEstado/Paginas/DetalhePropostaAlteracao.aspx?BID=24453</t>
        </is>
      </c>
      <c r="AG1283" s="2" t="inlineStr">
        <is>
          <t>https://app.parlamento.pt/webutils/docs/doc.pdf?path=6148523063484d364c793942556b356c6443397a6158526c63793959566b6c4a544556484c3039464c7a49774d6a59794d4449314d5441774f533951515338314e4745344e6a526b4e69316d4d6a41334c5451785a4755744f5749784f43316d4e6a49334e6a526d4f44426a4d7a51756347526d&amp;Fich=54a864d6-f207-41de-9b18-f62764f80c34.pdf&amp;Inline=true</t>
        </is>
      </c>
      <c r="AH1283" s="3" t="n">
        <v>46321.77847222222</v>
      </c>
      <c r="AI1283" s="3" t="n">
        <v>46321.78055555555</v>
      </c>
      <c r="AJ1283" s="2" t="inlineStr"/>
    </row>
    <row r="1284">
      <c r="A1284" s="2" t="n">
        <v>1283</v>
      </c>
      <c r="B1284" s="2" t="inlineStr">
        <is>
          <t>1213C</t>
        </is>
      </c>
      <c r="C1284" s="3" t="n">
        <v>45968.06666666667</v>
      </c>
      <c r="D1284" s="2" t="inlineStr">
        <is>
          <t>Original</t>
        </is>
      </c>
      <c r="E1284" s="2" t="inlineStr">
        <is>
          <t>CH</t>
        </is>
      </c>
      <c r="F128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84" s="2" t="inlineStr">
        <is>
          <t>Art. 61.º (substituição)</t>
        </is>
      </c>
      <c r="H1284" s="2" t="n"/>
      <c r="I1284" s="2" t="n"/>
      <c r="J1284" s="2" t="n"/>
      <c r="K1284" s="2" t="n"/>
      <c r="L1284" s="2" t="inlineStr">
        <is>
          <t>Alínea j), N.º 1, Artigo 20.º do Código do IRC</t>
        </is>
      </c>
      <c r="M1284" s="4" t="n"/>
      <c r="N1284" s="4" t="n"/>
      <c r="O1284" s="2" t="n"/>
      <c r="P1284" s="2" t="n"/>
      <c r="Q1284" s="2" t="n"/>
      <c r="R1284" s="2" t="n"/>
      <c r="S1284" s="2" t="inlineStr">
        <is>
          <t>Rejeitado(a) em Comissão</t>
        </is>
      </c>
      <c r="T1284" s="2" t="inlineStr">
        <is>
          <t>Rejeitada</t>
        </is>
      </c>
      <c r="U1284" s="2" t="inlineStr">
        <is>
          <t>Favor: CH; Contra: PSD, PCP, CDS-PP, BE, PAN; Abstenção: PS, IL, L</t>
        </is>
      </c>
      <c r="V1284" s="3" t="n">
        <v>45981</v>
      </c>
      <c r="W1284" s="2" t="inlineStr">
        <is>
          <t>AR: https://www.parlamento.pt/OrcamentoEstado/Paginas/DetalhePropostaAlteracao.aspx?BID=24454 PDF: https://app.parlamento.pt/webutils/docs/doc.pdf?path=6148523063484d364c793942556b356c6443397a6158526c63793959566b6c4a544556484c3039464c7a49774d6a59794d4449314d5441774f533951515338774d6a55304d575935597930345a6d5a684c5451354e324d744f57526d4e6930784f4441314e57466a4d4467794f4445756347526d&amp;Fich=02541f9c-8ffa-497c-9df6-18055ac08281.pdf&amp;Inline=true</t>
        </is>
      </c>
      <c r="X1284" s="2" t="inlineStr">
        <is>
          <t>Orçamento, Finanças e Administração Pública</t>
        </is>
      </c>
      <c r="Y1284" s="2" t="inlineStr">
        <is>
          <t>Articulado</t>
        </is>
      </c>
      <c r="Z1284" s="2" t="inlineStr">
        <is>
          <t>Substituição</t>
        </is>
      </c>
      <c r="AA1284" s="2" t="inlineStr">
        <is>
          <t>Rejeitado(a) em Comissão</t>
        </is>
      </c>
      <c r="AB1284" s="2" t="inlineStr"/>
      <c r="AC1284" s="2" t="inlineStr"/>
      <c r="AD1284" s="2" t="inlineStr">
        <is>
          <t>1</t>
        </is>
      </c>
      <c r="AE1284" s="2" t="inlineStr">
        <is>
          <t>24454</t>
        </is>
      </c>
      <c r="AF1284" s="2" t="inlineStr">
        <is>
          <t>https://www.parlamento.pt/OrcamentoEstado/Paginas/DetalhePropostaAlteracao.aspx?BID=24454</t>
        </is>
      </c>
      <c r="AG1284" s="2" t="inlineStr">
        <is>
          <t>https://app.parlamento.pt/webutils/docs/doc.pdf?path=6148523063484d364c793942556b356c6443397a6158526c63793959566b6c4a544556484c3039464c7a49774d6a59794d4449314d5441774f533951515338774d6a55304d575935597930345a6d5a684c5451354e324d744f57526d4e6930784f4441314e57466a4d4467794f4445756347526d&amp;Fich=02541f9c-8ffa-497c-9df6-18055ac08281.pdf&amp;Inline=true</t>
        </is>
      </c>
      <c r="AH1284" s="3" t="n">
        <v>46321.77847222222</v>
      </c>
      <c r="AI1284" s="3" t="n">
        <v>46321.78055555555</v>
      </c>
      <c r="AJ1284" s="2" t="inlineStr"/>
    </row>
    <row r="1285">
      <c r="A1285" s="2" t="n">
        <v>1284</v>
      </c>
      <c r="B1285" s="2" t="inlineStr">
        <is>
          <t>1214C</t>
        </is>
      </c>
      <c r="C1285" s="3" t="n">
        <v>45968.06736111111</v>
      </c>
      <c r="D1285" s="2" t="inlineStr">
        <is>
          <t>Original</t>
        </is>
      </c>
      <c r="E1285" s="2" t="inlineStr">
        <is>
          <t>CH</t>
        </is>
      </c>
      <c r="F128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85" s="2" t="inlineStr">
        <is>
          <t>Art. 105.º (substituição)</t>
        </is>
      </c>
      <c r="H1285" s="2" t="n"/>
      <c r="I1285" s="2" t="n"/>
      <c r="J1285" s="2" t="n"/>
      <c r="K1285" s="2" t="n"/>
      <c r="L1285" s="2" t="inlineStr">
        <is>
          <t>N.º 1, Artigo 105.º</t>
        </is>
      </c>
      <c r="M1285" s="4" t="n"/>
      <c r="N1285" s="4" t="n"/>
      <c r="O1285" s="2" t="n"/>
      <c r="P1285" s="2" t="n"/>
      <c r="Q1285" s="2" t="n"/>
      <c r="R1285" s="2" t="n"/>
      <c r="S1285" s="2" t="inlineStr">
        <is>
          <t>Rejeitado(a) em Plenário</t>
        </is>
      </c>
      <c r="T1285" s="2" t="inlineStr">
        <is>
          <t>Rejeitada</t>
        </is>
      </c>
      <c r="U1285" s="2" t="inlineStr">
        <is>
          <t>Favor: CH, IL; Contra: PSD, PS, L, PCP, CDS-PP, BE; Abstenção: PAN, JPP</t>
        </is>
      </c>
      <c r="V1285" s="3" t="n">
        <v>45985</v>
      </c>
      <c r="W1285" s="2" t="inlineStr">
        <is>
          <t>Avocada a Plenário. AR: https://www.parlamento.pt/OrcamentoEstado/Paginas/DetalhePropostaAlteracao.aspx?BID=24455 PDF: https://app.parlamento.pt/webutils/docs/doc.pdf?path=6148523063484d364c793942556b356c6443397a6158526c63793959566b6c4a544556484c3039464c7a49774d6a59794d4449314d5441774f533951515339684e4445335a544e6b4d5330305a574a6c4c5451784d445974595449774e693034596d51334d5751334d444d774d4745756347526d&amp;Fich=a417e3d1-4ebe-4106-a206-8bd71d70300a.pdf&amp;Inline=true</t>
        </is>
      </c>
      <c r="X1285" s="2" t="inlineStr">
        <is>
          <t>Reforma do Estado e Poder Local</t>
        </is>
      </c>
      <c r="Y1285" s="2" t="inlineStr">
        <is>
          <t>Articulado</t>
        </is>
      </c>
      <c r="Z1285" s="2" t="inlineStr">
        <is>
          <t>Substituição</t>
        </is>
      </c>
      <c r="AA1285" s="2" t="inlineStr">
        <is>
          <t>Rejeitado(a) em Plenário</t>
        </is>
      </c>
      <c r="AB1285" s="2" t="inlineStr">
        <is>
          <t>S</t>
        </is>
      </c>
      <c r="AC1285" s="2" t="inlineStr"/>
      <c r="AD1285" s="2" t="inlineStr">
        <is>
          <t>1</t>
        </is>
      </c>
      <c r="AE1285" s="2" t="inlineStr">
        <is>
          <t>24455</t>
        </is>
      </c>
      <c r="AF1285" s="2" t="inlineStr">
        <is>
          <t>https://www.parlamento.pt/OrcamentoEstado/Paginas/DetalhePropostaAlteracao.aspx?BID=24455</t>
        </is>
      </c>
      <c r="AG1285" s="2" t="inlineStr">
        <is>
          <t>https://app.parlamento.pt/webutils/docs/doc.pdf?path=6148523063484d364c793942556b356c6443397a6158526c63793959566b6c4a544556484c3039464c7a49774d6a59794d4449314d5441774f533951515339684e4445335a544e6b4d5330305a574a6c4c5451784d445974595449774e693034596d51334d5751334d444d774d4745756347526d&amp;Fich=a417e3d1-4ebe-4106-a206-8bd71d70300a.pdf&amp;Inline=true</t>
        </is>
      </c>
      <c r="AH1285" s="3" t="n">
        <v>46321.77847222222</v>
      </c>
      <c r="AI1285" s="3" t="n">
        <v>46321.78055555555</v>
      </c>
      <c r="AJ1285" s="2" t="inlineStr"/>
    </row>
    <row r="1286">
      <c r="A1286" s="2" t="n">
        <v>1285</v>
      </c>
      <c r="B1286" s="2" t="inlineStr">
        <is>
          <t>1215C</t>
        </is>
      </c>
      <c r="C1286" s="3" t="n">
        <v>45968.06805555556</v>
      </c>
      <c r="D1286" s="2" t="inlineStr">
        <is>
          <t>Original</t>
        </is>
      </c>
      <c r="E1286" s="2" t="inlineStr">
        <is>
          <t>CH</t>
        </is>
      </c>
      <c r="F128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86" s="2" t="inlineStr">
        <is>
          <t>Art. 63.º (aditamento)</t>
        </is>
      </c>
      <c r="H1286" s="2" t="n"/>
      <c r="I1286" s="2" t="n"/>
      <c r="J1286" s="2" t="n"/>
      <c r="K1286" s="2" t="n"/>
      <c r="L1286" s="2" t="inlineStr">
        <is>
          <t>Verba 3.2, Lista II anexa ao código do IVA</t>
        </is>
      </c>
      <c r="M1286" s="4" t="n"/>
      <c r="N1286" s="4" t="n"/>
      <c r="O1286" s="2" t="n"/>
      <c r="P1286" s="2" t="n"/>
      <c r="Q1286" s="2" t="n"/>
      <c r="R1286" s="2" t="n"/>
      <c r="S1286" s="2" t="inlineStr">
        <is>
          <t>Rejeitado(a) em Comissão</t>
        </is>
      </c>
      <c r="T1286" s="2" t="inlineStr">
        <is>
          <t>Rejeitada</t>
        </is>
      </c>
      <c r="U1286" s="2" t="inlineStr">
        <is>
          <t>Favor: CH, IL; Contra: PSD, L, PCP, BE, PAN; Abstenção: PS, CDS-PP</t>
        </is>
      </c>
      <c r="V1286" s="3" t="n">
        <v>45982</v>
      </c>
      <c r="W1286" s="2" t="inlineStr">
        <is>
          <t>AR: https://www.parlamento.pt/OrcamentoEstado/Paginas/DetalhePropostaAlteracao.aspx?BID=24456 PDF: https://app.parlamento.pt/webutils/docs/doc.pdf?path=6148523063484d364c793942556b356c6443397a6158526c63793959566b6c4a544556484c3039464c7a49774d6a59794d4449314d5441774f5339515153396d4d5751334e4441314d5330334d5467314c545130596a63744f54497a4d4330314e7a426d4e32466b4e6d55334e4751756347526d&amp;Fich=f1d74051-7185-44b7-9230-570f7ad6e74d.pdf&amp;Inline=true</t>
        </is>
      </c>
      <c r="X1286" s="2" t="inlineStr">
        <is>
          <t>Orçamento, Finanças e Administração Pública</t>
        </is>
      </c>
      <c r="Y1286" s="2" t="inlineStr">
        <is>
          <t>Articulado</t>
        </is>
      </c>
      <c r="Z1286" s="2" t="inlineStr">
        <is>
          <t>Aditamento (Números e Alíneas)</t>
        </is>
      </c>
      <c r="AA1286" s="2" t="inlineStr">
        <is>
          <t>Rejeitado(a) em Comissão</t>
        </is>
      </c>
      <c r="AB1286" s="2" t="inlineStr"/>
      <c r="AC1286" s="2" t="inlineStr"/>
      <c r="AD1286" s="2" t="inlineStr">
        <is>
          <t>1</t>
        </is>
      </c>
      <c r="AE1286" s="2" t="inlineStr">
        <is>
          <t>24456</t>
        </is>
      </c>
      <c r="AF1286" s="2" t="inlineStr">
        <is>
          <t>https://www.parlamento.pt/OrcamentoEstado/Paginas/DetalhePropostaAlteracao.aspx?BID=24456</t>
        </is>
      </c>
      <c r="AG1286" s="2" t="inlineStr">
        <is>
          <t>https://app.parlamento.pt/webutils/docs/doc.pdf?path=6148523063484d364c793942556b356c6443397a6158526c63793959566b6c4a544556484c3039464c7a49774d6a59794d4449314d5441774f5339515153396d4d5751334e4441314d5330334d5467314c545130596a63744f54497a4d4330314e7a426d4e32466b4e6d55334e4751756347526d&amp;Fich=f1d74051-7185-44b7-9230-570f7ad6e74d.pdf&amp;Inline=true</t>
        </is>
      </c>
      <c r="AH1286" s="3" t="n">
        <v>46321.77847222222</v>
      </c>
      <c r="AI1286" s="3" t="n">
        <v>46321.78055555555</v>
      </c>
      <c r="AJ1286" s="2" t="inlineStr"/>
    </row>
    <row r="1287">
      <c r="A1287" s="2" t="n">
        <v>1286</v>
      </c>
      <c r="B1287" s="2" t="inlineStr">
        <is>
          <t>1216C</t>
        </is>
      </c>
      <c r="C1287" s="3" t="n">
        <v>45968.06875</v>
      </c>
      <c r="D1287" s="2" t="inlineStr">
        <is>
          <t>Original</t>
        </is>
      </c>
      <c r="E1287" s="2" t="inlineStr">
        <is>
          <t>CH</t>
        </is>
      </c>
      <c r="F128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87" s="2" t="inlineStr">
        <is>
          <t>Art. 63.º (aditamento)</t>
        </is>
      </c>
      <c r="H1287" s="2" t="n"/>
      <c r="I1287" s="2" t="n"/>
      <c r="J1287" s="2" t="n"/>
      <c r="K1287" s="2" t="n"/>
      <c r="L1287" s="2" t="inlineStr">
        <is>
          <t>Verba 1.13, Lista II, anexa ao código do IVA</t>
        </is>
      </c>
      <c r="M1287" s="4" t="n"/>
      <c r="N1287" s="4" t="n"/>
      <c r="O1287" s="2" t="n"/>
      <c r="P1287" s="2" t="n"/>
      <c r="Q1287" s="2" t="n"/>
      <c r="R1287" s="2" t="n"/>
      <c r="S1287" s="2" t="inlineStr">
        <is>
          <t>Rejeitado(a) em Comissão</t>
        </is>
      </c>
      <c r="T1287" s="2" t="inlineStr">
        <is>
          <t>Rejeitada</t>
        </is>
      </c>
      <c r="U1287" s="2" t="inlineStr">
        <is>
          <t>Favor: CH, IL, BE, PAN; Contra: PSD, CDS-PP; Abstenção: PS, L, PCP</t>
        </is>
      </c>
      <c r="V1287" s="3" t="n">
        <v>45982</v>
      </c>
      <c r="W1287" s="2" t="inlineStr">
        <is>
          <t>AR: https://www.parlamento.pt/OrcamentoEstado/Paginas/DetalhePropostaAlteracao.aspx?BID=24457 PDF: https://app.parlamento.pt/webutils/docs/doc.pdf?path=6148523063484d364c793942556b356c6443397a6158526c63793959566b6c4a544556484c3039464c7a49774d6a59794d4449314d5441774f533951515338334e6a5a6c4f5751334f4330774d6a41354c5451314e574d744f575934596931684d6a4533597a42695a57557a4d6d49756347526d&amp;Fich=766e9d78-0209-455c-9f8b-a217c0bee32b.pdf&amp;Inline=true</t>
        </is>
      </c>
      <c r="X1287" s="2" t="inlineStr">
        <is>
          <t>Orçamento, Finanças e Administração Pública</t>
        </is>
      </c>
      <c r="Y1287" s="2" t="inlineStr">
        <is>
          <t>Articulado</t>
        </is>
      </c>
      <c r="Z1287" s="2" t="inlineStr">
        <is>
          <t>Aditamento (Números e Alíneas)</t>
        </is>
      </c>
      <c r="AA1287" s="2" t="inlineStr">
        <is>
          <t>Rejeitado(a) em Comissão</t>
        </is>
      </c>
      <c r="AB1287" s="2" t="inlineStr"/>
      <c r="AC1287" s="2" t="inlineStr"/>
      <c r="AD1287" s="2" t="inlineStr">
        <is>
          <t>1</t>
        </is>
      </c>
      <c r="AE1287" s="2" t="inlineStr">
        <is>
          <t>24457</t>
        </is>
      </c>
      <c r="AF1287" s="2" t="inlineStr">
        <is>
          <t>https://www.parlamento.pt/OrcamentoEstado/Paginas/DetalhePropostaAlteracao.aspx?BID=24457</t>
        </is>
      </c>
      <c r="AG1287" s="2" t="inlineStr">
        <is>
          <t>https://app.parlamento.pt/webutils/docs/doc.pdf?path=6148523063484d364c793942556b356c6443397a6158526c63793959566b6c4a544556484c3039464c7a49774d6a59794d4449314d5441774f533951515338334e6a5a6c4f5751334f4330774d6a41354c5451314e574d744f575934596931684d6a4533597a42695a57557a4d6d49756347526d&amp;Fich=766e9d78-0209-455c-9f8b-a217c0bee32b.pdf&amp;Inline=true</t>
        </is>
      </c>
      <c r="AH1287" s="3" t="n">
        <v>46321.77847222222</v>
      </c>
      <c r="AI1287" s="3" t="n">
        <v>46321.78055555555</v>
      </c>
      <c r="AJ1287" s="2" t="inlineStr"/>
    </row>
    <row r="1288">
      <c r="A1288" s="2" t="n">
        <v>1287</v>
      </c>
      <c r="B1288" s="2" t="inlineStr">
        <is>
          <t>1217C</t>
        </is>
      </c>
      <c r="C1288" s="3" t="n">
        <v>45968.06944444445</v>
      </c>
      <c r="D1288" s="2" t="inlineStr">
        <is>
          <t>Original</t>
        </is>
      </c>
      <c r="E1288" s="2" t="inlineStr">
        <is>
          <t>CH</t>
        </is>
      </c>
      <c r="F128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88" s="2" t="inlineStr">
        <is>
          <t>Art. 67.º (substituição)</t>
        </is>
      </c>
      <c r="H1288" s="2" t="n"/>
      <c r="I1288" s="2" t="n"/>
      <c r="J1288" s="2" t="n"/>
      <c r="K1288" s="2" t="n"/>
      <c r="L1288" s="2" t="inlineStr">
        <is>
          <t>Artigo 57.º-A do Código do ISV</t>
        </is>
      </c>
      <c r="M1288" s="4" t="n"/>
      <c r="N1288" s="4" t="n"/>
      <c r="O1288" s="2" t="n"/>
      <c r="P1288" s="2" t="n"/>
      <c r="Q1288" s="2" t="n"/>
      <c r="R1288" s="2" t="n"/>
      <c r="S1288" s="2" t="inlineStr">
        <is>
          <t>Rejeitado(a) em Comissão</t>
        </is>
      </c>
      <c r="T1288" s="2" t="inlineStr">
        <is>
          <t>Rejeitada</t>
        </is>
      </c>
      <c r="U1288" s="2" t="inlineStr">
        <is>
          <t>Favor: CH, IL; Contra: PSD, PS, PCP; Abstenção: L, CDS-PP, BE, PAN</t>
        </is>
      </c>
      <c r="V1288" s="3" t="n">
        <v>45982</v>
      </c>
      <c r="W1288" s="2" t="inlineStr">
        <is>
          <t>AR: https://www.parlamento.pt/OrcamentoEstado/Paginas/DetalhePropostaAlteracao.aspx?BID=24458 PDF: https://app.parlamento.pt/webutils/docs/doc.pdf?path=6148523063484d364c793942556b356c6443397a6158526c63793959566b6c4a544556484c3039464c7a49774d6a59794d4449314d5441774f5339515153396a4d44526d4f4468695a4330305a5467354c5451314e444174595449784e43316a4f4749354e324a684d6a457a596d55756347526d&amp;Fich=c04f88bd-4e89-4540-a214-c8b97ba213be.pdf&amp;Inline=true</t>
        </is>
      </c>
      <c r="X1288" s="2" t="inlineStr">
        <is>
          <t>Orçamento, Finanças e Administração Pública</t>
        </is>
      </c>
      <c r="Y1288" s="2" t="inlineStr">
        <is>
          <t>Articulado</t>
        </is>
      </c>
      <c r="Z1288" s="2" t="inlineStr">
        <is>
          <t>Substituição</t>
        </is>
      </c>
      <c r="AA1288" s="2" t="inlineStr">
        <is>
          <t>Rejeitado(a) em Comissão</t>
        </is>
      </c>
      <c r="AB1288" s="2" t="inlineStr"/>
      <c r="AC1288" s="2" t="inlineStr"/>
      <c r="AD1288" s="2" t="inlineStr">
        <is>
          <t>1</t>
        </is>
      </c>
      <c r="AE1288" s="2" t="inlineStr">
        <is>
          <t>24458</t>
        </is>
      </c>
      <c r="AF1288" s="2" t="inlineStr">
        <is>
          <t>https://www.parlamento.pt/OrcamentoEstado/Paginas/DetalhePropostaAlteracao.aspx?BID=24458</t>
        </is>
      </c>
      <c r="AG1288" s="2" t="inlineStr">
        <is>
          <t>https://app.parlamento.pt/webutils/docs/doc.pdf?path=6148523063484d364c793942556b356c6443397a6158526c63793959566b6c4a544556484c3039464c7a49774d6a59794d4449314d5441774f5339515153396a4d44526d4f4468695a4330305a5467354c5451314e444174595449784e43316a4f4749354e324a684d6a457a596d55756347526d&amp;Fich=c04f88bd-4e89-4540-a214-c8b97ba213be.pdf&amp;Inline=true</t>
        </is>
      </c>
      <c r="AH1288" s="3" t="n">
        <v>46321.77847222222</v>
      </c>
      <c r="AI1288" s="3" t="n">
        <v>46321.78055555555</v>
      </c>
      <c r="AJ1288" s="2" t="inlineStr"/>
    </row>
    <row r="1289">
      <c r="A1289" s="2" t="n">
        <v>1288</v>
      </c>
      <c r="B1289" s="2" t="inlineStr">
        <is>
          <t>1218C</t>
        </is>
      </c>
      <c r="C1289" s="3" t="n">
        <v>45968.06944444445</v>
      </c>
      <c r="D1289" s="2" t="inlineStr">
        <is>
          <t>Original</t>
        </is>
      </c>
      <c r="E1289" s="2" t="inlineStr">
        <is>
          <t>CH</t>
        </is>
      </c>
      <c r="F128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89" s="2" t="inlineStr">
        <is>
          <t>Art. 63.º (aditamento)</t>
        </is>
      </c>
      <c r="H1289" s="2" t="n"/>
      <c r="I1289" s="2" t="n"/>
      <c r="J1289" s="2" t="n"/>
      <c r="K1289" s="2" t="n"/>
      <c r="L1289" s="2" t="inlineStr">
        <is>
          <t>Verba 2.42, Lista I anexa ao código do IVA</t>
        </is>
      </c>
      <c r="M1289" s="4" t="n"/>
      <c r="N1289" s="4" t="n"/>
      <c r="O1289" s="2" t="n"/>
      <c r="P1289" s="2" t="n"/>
      <c r="Q1289" s="2" t="n"/>
      <c r="R1289" s="2" t="n"/>
      <c r="S1289" s="2" t="inlineStr">
        <is>
          <t>Rejeitado(a) em Comissão</t>
        </is>
      </c>
      <c r="T1289" s="2" t="inlineStr">
        <is>
          <t>Rejeitada</t>
        </is>
      </c>
      <c r="U1289" s="2" t="inlineStr">
        <is>
          <t>Favor: CH, IL, BE, PAN; Contra: PSD, PCP, CDS-PP; Abstenção: PS, L</t>
        </is>
      </c>
      <c r="V1289" s="3" t="n">
        <v>45982</v>
      </c>
      <c r="W1289" s="2" t="inlineStr">
        <is>
          <t>AR: https://www.parlamento.pt/OrcamentoEstado/Paginas/DetalhePropostaAlteracao.aspx?BID=24459 PDF: https://app.parlamento.pt/webutils/docs/doc.pdf?path=6148523063484d364c793942556b356c6443397a6158526c63793959566b6c4a544556484c3039464c7a49774d6a59794d4449314d5441774f5339515153383259324e684d7a517a5a6930794d6d52684c54526d4e4449744f4445334d6930344d44677a5a6d4e6a4d474e694d6a4d756347526d&amp;Fich=6cca343f-22da-4f42-8172-8083fcc0cb23.pdf&amp;Inline=true</t>
        </is>
      </c>
      <c r="X1289" s="2" t="inlineStr">
        <is>
          <t>Orçamento, Finanças e Administração Pública</t>
        </is>
      </c>
      <c r="Y1289" s="2" t="inlineStr">
        <is>
          <t>Articulado</t>
        </is>
      </c>
      <c r="Z1289" s="2" t="inlineStr">
        <is>
          <t>Aditamento (Números e Alíneas)</t>
        </is>
      </c>
      <c r="AA1289" s="2" t="inlineStr">
        <is>
          <t>Rejeitado(a) em Comissão</t>
        </is>
      </c>
      <c r="AB1289" s="2" t="inlineStr"/>
      <c r="AC1289" s="2" t="inlineStr"/>
      <c r="AD1289" s="2" t="inlineStr">
        <is>
          <t>1</t>
        </is>
      </c>
      <c r="AE1289" s="2" t="inlineStr">
        <is>
          <t>24459</t>
        </is>
      </c>
      <c r="AF1289" s="2" t="inlineStr">
        <is>
          <t>https://www.parlamento.pt/OrcamentoEstado/Paginas/DetalhePropostaAlteracao.aspx?BID=24459</t>
        </is>
      </c>
      <c r="AG1289" s="2" t="inlineStr">
        <is>
          <t>https://app.parlamento.pt/webutils/docs/doc.pdf?path=6148523063484d364c793942556b356c6443397a6158526c63793959566b6c4a544556484c3039464c7a49774d6a59794d4449314d5441774f5339515153383259324e684d7a517a5a6930794d6d52684c54526d4e4449744f4445334d6930344d44677a5a6d4e6a4d474e694d6a4d756347526d&amp;Fich=6cca343f-22da-4f42-8172-8083fcc0cb23.pdf&amp;Inline=true</t>
        </is>
      </c>
      <c r="AH1289" s="3" t="n">
        <v>46321.77847222222</v>
      </c>
      <c r="AI1289" s="3" t="n">
        <v>46321.78055555555</v>
      </c>
      <c r="AJ1289" s="2" t="inlineStr"/>
    </row>
    <row r="1290">
      <c r="A1290" s="2" t="n">
        <v>1289</v>
      </c>
      <c r="B1290" s="2" t="inlineStr">
        <is>
          <t>1219C</t>
        </is>
      </c>
      <c r="C1290" s="3" t="n">
        <v>45968.07013888889</v>
      </c>
      <c r="D1290" s="2" t="inlineStr">
        <is>
          <t>Original</t>
        </is>
      </c>
      <c r="E1290" s="2" t="inlineStr">
        <is>
          <t>CH</t>
        </is>
      </c>
      <c r="F129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90" s="2" t="inlineStr">
        <is>
          <t>Art. 67.º (aditamento)</t>
        </is>
      </c>
      <c r="H1290" s="2" t="n"/>
      <c r="I1290" s="2" t="n"/>
      <c r="J1290" s="2" t="n"/>
      <c r="K1290" s="2" t="n"/>
      <c r="L1290" s="2" t="inlineStr">
        <is>
          <t>N.º 2, Artigo 17.º do Código do Código do IUC</t>
        </is>
      </c>
      <c r="M1290" s="4" t="n"/>
      <c r="N1290" s="4" t="n"/>
      <c r="O1290" s="2" t="n"/>
      <c r="P1290" s="2" t="n"/>
      <c r="Q1290" s="2" t="n"/>
      <c r="R1290" s="2" t="n"/>
      <c r="S1290" s="2" t="inlineStr">
        <is>
          <t>Rejeitado(a) em Comissão</t>
        </is>
      </c>
      <c r="T1290" s="2" t="inlineStr">
        <is>
          <t>Rejeitada</t>
        </is>
      </c>
      <c r="U1290" s="2" t="inlineStr">
        <is>
          <t>Favor: CH, IL; Contra: PSD, CDS-PP; Abstenção: PS, L, PCP, BE, PAN</t>
        </is>
      </c>
      <c r="V1290" s="3" t="n">
        <v>45982</v>
      </c>
      <c r="W1290" s="2" t="inlineStr">
        <is>
          <t>AR: https://www.parlamento.pt/OrcamentoEstado/Paginas/DetalhePropostaAlteracao.aspx?BID=24460 PDF: https://app.parlamento.pt/webutils/docs/doc.pdf?path=6148523063484d364c793942556b356c6443397a6158526c63793959566b6c4a544556484c3039464c7a49774d6a59794d4449314d5441774f533951515338304e4745305a6a5a6c4f4331695a6d457a4c5451794d4441744f4459324d693077595746695a4445304d7a67344d444d756347526d&amp;Fich=44a4f6e8-bfa3-4200-8662-0aabd1438803.pdf&amp;Inline=true</t>
        </is>
      </c>
      <c r="X1290" s="2" t="inlineStr">
        <is>
          <t>Orçamento, Finanças e Administração Pública</t>
        </is>
      </c>
      <c r="Y1290" s="2" t="inlineStr">
        <is>
          <t>Articulado</t>
        </is>
      </c>
      <c r="Z1290" s="2" t="inlineStr">
        <is>
          <t>Aditamento (Números e Alíneas)</t>
        </is>
      </c>
      <c r="AA1290" s="2" t="inlineStr">
        <is>
          <t>Rejeitado(a) em Comissão</t>
        </is>
      </c>
      <c r="AB1290" s="2" t="inlineStr"/>
      <c r="AC1290" s="2" t="inlineStr"/>
      <c r="AD1290" s="2" t="inlineStr">
        <is>
          <t>1</t>
        </is>
      </c>
      <c r="AE1290" s="2" t="inlineStr">
        <is>
          <t>24460</t>
        </is>
      </c>
      <c r="AF1290" s="2" t="inlineStr">
        <is>
          <t>https://www.parlamento.pt/OrcamentoEstado/Paginas/DetalhePropostaAlteracao.aspx?BID=24460</t>
        </is>
      </c>
      <c r="AG1290" s="2" t="inlineStr">
        <is>
          <t>https://app.parlamento.pt/webutils/docs/doc.pdf?path=6148523063484d364c793942556b356c6443397a6158526c63793959566b6c4a544556484c3039464c7a49774d6a59794d4449314d5441774f533951515338304e4745305a6a5a6c4f4331695a6d457a4c5451794d4441744f4459324d693077595746695a4445304d7a67344d444d756347526d&amp;Fich=44a4f6e8-bfa3-4200-8662-0aabd1438803.pdf&amp;Inline=true</t>
        </is>
      </c>
      <c r="AH1290" s="3" t="n">
        <v>46321.77847222222</v>
      </c>
      <c r="AI1290" s="3" t="n">
        <v>46321.78055555555</v>
      </c>
      <c r="AJ1290" s="2" t="inlineStr"/>
    </row>
    <row r="1291">
      <c r="A1291" s="2" t="n">
        <v>1290</v>
      </c>
      <c r="B1291" s="2" t="inlineStr">
        <is>
          <t>1220C</t>
        </is>
      </c>
      <c r="C1291" s="3" t="n">
        <v>45968.07152777778</v>
      </c>
      <c r="D1291" s="2" t="inlineStr">
        <is>
          <t>Original</t>
        </is>
      </c>
      <c r="E1291" s="2" t="inlineStr">
        <is>
          <t>CH</t>
        </is>
      </c>
      <c r="F129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291" s="2" t="inlineStr">
        <is>
          <t>Art. 63.º (substituição)</t>
        </is>
      </c>
      <c r="H1291" s="2" t="n"/>
      <c r="I1291" s="2" t="n"/>
      <c r="J1291" s="2" t="n"/>
      <c r="K1291" s="2" t="n"/>
      <c r="L1291" s="2" t="inlineStr">
        <is>
          <t>Alínea c), N.º 1, Artigo 18.º do Código do IVA</t>
        </is>
      </c>
      <c r="M1291" s="4" t="n"/>
      <c r="N1291" s="4" t="n"/>
      <c r="O1291" s="2" t="n"/>
      <c r="P1291" s="2" t="n"/>
      <c r="Q1291" s="2" t="n"/>
      <c r="R1291" s="2" t="n"/>
      <c r="S1291" s="2" t="inlineStr">
        <is>
          <t>Rejeitado(a) em Comissão</t>
        </is>
      </c>
      <c r="T1291" s="2" t="inlineStr">
        <is>
          <t>Rejeitada</t>
        </is>
      </c>
      <c r="U1291" s="2" t="inlineStr">
        <is>
          <t>Favor: CH, BE, PAN; Contra: PSD, CDS-PP; Abstenção: PS, IL, L, PCP</t>
        </is>
      </c>
      <c r="V1291" s="3" t="n">
        <v>45982</v>
      </c>
      <c r="W1291" s="2" t="inlineStr">
        <is>
          <t>AR: https://www.parlamento.pt/OrcamentoEstado/Paginas/DetalhePropostaAlteracao.aspx?BID=24461 PDF: https://app.parlamento.pt/webutils/docs/doc.pdf?path=6148523063484d364c793942556b356c6443397a6158526c63793959566b6c4a544556484c3039464c7a49774d6a59794d4449314d5441774f533951515338795932466c4e446b354e43307a595745344c5451774f5755744f546c6a596931695a445532595459335a574e6b59546b756347526d&amp;Fich=2cae4994-3aa8-409e-99cb-bd56a67ecda9.pdf&amp;Inline=true</t>
        </is>
      </c>
      <c r="X1291" s="2" t="inlineStr">
        <is>
          <t>Orçamento, Finanças e Administração Pública</t>
        </is>
      </c>
      <c r="Y1291" s="2" t="inlineStr">
        <is>
          <t>Articulado</t>
        </is>
      </c>
      <c r="Z1291" s="2" t="inlineStr">
        <is>
          <t>Substituição</t>
        </is>
      </c>
      <c r="AA1291" s="2" t="inlineStr">
        <is>
          <t>Rejeitado(a) em Comissão</t>
        </is>
      </c>
      <c r="AB1291" s="2" t="inlineStr"/>
      <c r="AC1291" s="2" t="inlineStr"/>
      <c r="AD1291" s="2" t="inlineStr">
        <is>
          <t>1</t>
        </is>
      </c>
      <c r="AE1291" s="2" t="inlineStr">
        <is>
          <t>24461</t>
        </is>
      </c>
      <c r="AF1291" s="2" t="inlineStr">
        <is>
          <t>https://www.parlamento.pt/OrcamentoEstado/Paginas/DetalhePropostaAlteracao.aspx?BID=24461</t>
        </is>
      </c>
      <c r="AG1291" s="2" t="inlineStr">
        <is>
          <t>https://app.parlamento.pt/webutils/docs/doc.pdf?path=6148523063484d364c793942556b356c6443397a6158526c63793959566b6c4a544556484c3039464c7a49774d6a59794d4449314d5441774f533951515338795932466c4e446b354e43307a595745344c5451774f5755744f546c6a596931695a445532595459335a574e6b59546b756347526d&amp;Fich=2cae4994-3aa8-409e-99cb-bd56a67ecda9.pdf&amp;Inline=true</t>
        </is>
      </c>
      <c r="AH1291" s="3" t="n">
        <v>46321.77847222222</v>
      </c>
      <c r="AI1291" s="3" t="n">
        <v>46321.78055555555</v>
      </c>
      <c r="AJ1291" s="2" t="inlineStr"/>
    </row>
    <row r="1292">
      <c r="A1292" s="2" t="n">
        <v>1291</v>
      </c>
      <c r="B1292" s="2" t="inlineStr">
        <is>
          <t>1221C</t>
        </is>
      </c>
      <c r="C1292" s="3" t="n">
        <v>45968.33472222222</v>
      </c>
      <c r="D1292" s="2" t="inlineStr">
        <is>
          <t>Original</t>
        </is>
      </c>
      <c r="E1292" s="2" t="inlineStr">
        <is>
          <t>JPP</t>
        </is>
      </c>
      <c r="F1292" s="2" t="inlineStr">
        <is>
          <t>Filipe Sousa</t>
        </is>
      </c>
      <c r="G1292" s="2" t="inlineStr">
        <is>
          <t>Art. 106.º (aditamento)</t>
        </is>
      </c>
      <c r="H1292" s="2" t="n"/>
      <c r="I1292" s="2" t="n"/>
      <c r="J1292" s="2" t="n"/>
      <c r="K1292" s="2" t="n"/>
      <c r="L1292" s="2" t="inlineStr">
        <is>
          <t>N.º 3, Artigo 106.º</t>
        </is>
      </c>
      <c r="M1292" s="4" t="n"/>
      <c r="N1292" s="4" t="n"/>
      <c r="O1292" s="2" t="n"/>
      <c r="P1292" s="2" t="n"/>
      <c r="Q1292" s="2" t="n"/>
      <c r="R1292" s="2" t="n"/>
      <c r="S1292" s="2" t="inlineStr">
        <is>
          <t>Rejeitado(a) em Plenário</t>
        </is>
      </c>
      <c r="T1292" s="2" t="inlineStr">
        <is>
          <t>Rejeitada</t>
        </is>
      </c>
      <c r="U1292" s="2" t="inlineStr">
        <is>
          <t>Favor: PAN, JPP; Contra: PSD, CH, IL, CDS-PP; Abstenção: PS, L, PCP, BE</t>
        </is>
      </c>
      <c r="V1292" s="3" t="n">
        <v>45985</v>
      </c>
      <c r="W1292" s="2" t="inlineStr">
        <is>
          <t>Avocada a Plenário. AR: https://www.parlamento.pt/OrcamentoEstado/Paginas/DetalhePropostaAlteracao.aspx?BID=24462 PDF: https://app.parlamento.pt/webutils/docs/doc.pdf?path=6148523063484d364c793942556b356c6443397a6158526c63793959566b6c4a544556484c3039464c7a49774d6a59794d4449314d5441774f533951515338334e544d794e32557a596931695a54426d4c5451774d444174596a557a5a4330785a5752695a5746684d6a526c4e6d4d756347526d&amp;Fich=75327e3b-be0f-4000-b53d-1edbeaa24e6c.pdf&amp;Inline=true</t>
        </is>
      </c>
      <c r="X1292" s="2" t="inlineStr">
        <is>
          <t>Orçamento, Finanças e Administração Pública; Reforma do Estado e Poder Local</t>
        </is>
      </c>
      <c r="Y1292" s="2" t="inlineStr">
        <is>
          <t>Articulado</t>
        </is>
      </c>
      <c r="Z1292" s="2" t="inlineStr">
        <is>
          <t>Aditamento (Números e Alíneas)</t>
        </is>
      </c>
      <c r="AA1292" s="2" t="inlineStr">
        <is>
          <t>Rejeitado(a) em Plenário</t>
        </is>
      </c>
      <c r="AB1292" s="2" t="inlineStr">
        <is>
          <t>S</t>
        </is>
      </c>
      <c r="AC1292" s="2" t="inlineStr"/>
      <c r="AD1292" s="2" t="inlineStr">
        <is>
          <t>1</t>
        </is>
      </c>
      <c r="AE1292" s="2" t="inlineStr">
        <is>
          <t>24462</t>
        </is>
      </c>
      <c r="AF1292" s="2" t="inlineStr">
        <is>
          <t>https://www.parlamento.pt/OrcamentoEstado/Paginas/DetalhePropostaAlteracao.aspx?BID=24462</t>
        </is>
      </c>
      <c r="AG1292" s="2" t="inlineStr">
        <is>
          <t>https://app.parlamento.pt/webutils/docs/doc.pdf?path=6148523063484d364c793942556b356c6443397a6158526c63793959566b6c4a544556484c3039464c7a49774d6a59794d4449314d5441774f533951515338334e544d794e32557a596931695a54426d4c5451774d444174596a557a5a4330785a5752695a5746684d6a526c4e6d4d756347526d&amp;Fich=75327e3b-be0f-4000-b53d-1edbeaa24e6c.pdf&amp;Inline=true</t>
        </is>
      </c>
      <c r="AH1292" s="3" t="n">
        <v>46321.77847222222</v>
      </c>
      <c r="AI1292" s="3" t="n">
        <v>46321.78055555555</v>
      </c>
      <c r="AJ1292" s="2" t="inlineStr"/>
    </row>
    <row r="1293">
      <c r="A1293" s="2" t="n">
        <v>1292</v>
      </c>
      <c r="B1293" s="2" t="inlineStr">
        <is>
          <t>1222C</t>
        </is>
      </c>
      <c r="C1293" s="3" t="n">
        <v>45968.35277777778</v>
      </c>
      <c r="D1293" s="2" t="inlineStr">
        <is>
          <t>Original</t>
        </is>
      </c>
      <c r="E1293" s="2" t="inlineStr">
        <is>
          <t>JPP</t>
        </is>
      </c>
      <c r="F1293" s="2" t="inlineStr">
        <is>
          <t>Filipe Sousa</t>
        </is>
      </c>
      <c r="G1293" s="2" t="inlineStr">
        <is>
          <t>Art. 109.º-A (aditamento)</t>
        </is>
      </c>
      <c r="H1293" s="2" t="n"/>
      <c r="I1293" s="2" t="n"/>
      <c r="J1293" s="2" t="n"/>
      <c r="K1293" s="2" t="n"/>
      <c r="L1293" s="2" t="inlineStr">
        <is>
          <t>Artigo 109.º-A (Alteração ao Plano Oficial de Contabilidade das Autarquias Locais (POCAL), aprovado pelo Decreto-Lei n.º 54-A/99, de 22 de fevereiro)</t>
        </is>
      </c>
      <c r="M1293" s="4" t="n"/>
      <c r="N1293" s="4" t="n"/>
      <c r="O1293" s="2" t="n"/>
      <c r="P1293" s="2" t="n"/>
      <c r="Q1293" s="2" t="n"/>
      <c r="R1293" s="2" t="n"/>
      <c r="S1293" s="2" t="inlineStr">
        <is>
          <t>Rejeitado(a) em Comissão</t>
        </is>
      </c>
      <c r="T1293" s="2" t="inlineStr">
        <is>
          <t>Rejeitada</t>
        </is>
      </c>
      <c r="U1293" s="2" t="inlineStr">
        <is>
          <t>Favor: PCP, PAN; Contra: PSD, CH, IL, L, CDS-PP; Abstenção: PS, BE</t>
        </is>
      </c>
      <c r="V1293" s="3" t="n">
        <v>45982</v>
      </c>
      <c r="W1293" s="2" t="inlineStr">
        <is>
          <t>AR: https://www.parlamento.pt/OrcamentoEstado/Paginas/DetalhePropostaAlteracao.aspx?BID=24463 PDF: https://app.parlamento.pt/webutils/docs/doc.pdf?path=6148523063484d364c793942556b356c6443397a6158526c63793959566b6c4a544556484c3039464c7a49774d6a59794d4449314d5441774f533951515339684e5446694d324d344e6930314f5759334c54526c4d6a4174595459355a6930774e7a6b7a4e6a513559324d7a5a6a55756347526d&amp;Fich=a51b3c86-59f7-4e20-a69f-0793649cc3f5.pdf&amp;Inline=true</t>
        </is>
      </c>
      <c r="X1293" s="2" t="inlineStr">
        <is>
          <t>Orçamento, Finanças e Administração Pública; Reforma do Estado e Poder Local</t>
        </is>
      </c>
      <c r="Y1293" s="2" t="inlineStr">
        <is>
          <t>Articulado</t>
        </is>
      </c>
      <c r="Z1293" s="2" t="inlineStr">
        <is>
          <t>Aditamento (Artigo PPL)</t>
        </is>
      </c>
      <c r="AA1293" s="2" t="inlineStr">
        <is>
          <t>Rejeitado(a) em Comissão</t>
        </is>
      </c>
      <c r="AB1293" s="2" t="inlineStr"/>
      <c r="AC1293" s="2" t="inlineStr"/>
      <c r="AD1293" s="2" t="inlineStr">
        <is>
          <t>1</t>
        </is>
      </c>
      <c r="AE1293" s="2" t="inlineStr">
        <is>
          <t>24463</t>
        </is>
      </c>
      <c r="AF1293" s="2" t="inlineStr">
        <is>
          <t>https://www.parlamento.pt/OrcamentoEstado/Paginas/DetalhePropostaAlteracao.aspx?BID=24463</t>
        </is>
      </c>
      <c r="AG1293" s="2" t="inlineStr">
        <is>
          <t>https://app.parlamento.pt/webutils/docs/doc.pdf?path=6148523063484d364c793942556b356c6443397a6158526c63793959566b6c4a544556484c3039464c7a49774d6a59794d4449314d5441774f533951515339684e5446694d324d344e6930314f5759334c54526c4d6a4174595459355a6930774e7a6b7a4e6a513559324d7a5a6a55756347526d&amp;Fich=a51b3c86-59f7-4e20-a69f-0793649cc3f5.pdf&amp;Inline=true</t>
        </is>
      </c>
      <c r="AH1293" s="3" t="n">
        <v>46321.77847222222</v>
      </c>
      <c r="AI1293" s="3" t="n">
        <v>46321.78055555555</v>
      </c>
      <c r="AJ1293" s="2" t="inlineStr"/>
    </row>
    <row r="1294">
      <c r="A1294" s="2" t="n">
        <v>1293</v>
      </c>
      <c r="B1294" s="2" t="inlineStr">
        <is>
          <t>1223C</t>
        </is>
      </c>
      <c r="C1294" s="3" t="n">
        <v>45968.37708333333</v>
      </c>
      <c r="D1294" s="2" t="inlineStr">
        <is>
          <t>Original</t>
        </is>
      </c>
      <c r="E1294" s="2" t="inlineStr">
        <is>
          <t>JPP</t>
        </is>
      </c>
      <c r="F1294" s="2" t="inlineStr">
        <is>
          <t>Filipe Sousa</t>
        </is>
      </c>
      <c r="G1294" s="2" t="inlineStr">
        <is>
          <t>Art. 109.º-A (aditamento)</t>
        </is>
      </c>
      <c r="H1294" s="2" t="n"/>
      <c r="I1294" s="2" t="n"/>
      <c r="J1294" s="2" t="n"/>
      <c r="K1294" s="2" t="n"/>
      <c r="L1294" s="2" t="inlineStr">
        <is>
          <t>Artigo 109.º-A (Alteração ao artigo 40.º da Lei n.º 73/2013, de 3 de setembro)</t>
        </is>
      </c>
      <c r="M1294" s="4" t="n"/>
      <c r="N1294" s="4" t="n"/>
      <c r="O1294" s="2" t="n"/>
      <c r="P1294" s="2" t="n"/>
      <c r="Q1294" s="2" t="n"/>
      <c r="R1294" s="2" t="n"/>
      <c r="S1294" s="2" t="inlineStr">
        <is>
          <t>Rejeitado(a) em Comissão</t>
        </is>
      </c>
      <c r="T1294" s="2" t="inlineStr">
        <is>
          <t>Rejeitada</t>
        </is>
      </c>
      <c r="U1294" s="2" t="inlineStr">
        <is>
          <t>Favor: IL, PCP, PAN; Contra: PSD, CH, CDS-PP; Abstenção: PS, L, BE</t>
        </is>
      </c>
      <c r="V1294" s="3" t="n">
        <v>45982</v>
      </c>
      <c r="W1294" s="2" t="inlineStr">
        <is>
          <t>AR: https://www.parlamento.pt/OrcamentoEstado/Paginas/DetalhePropostaAlteracao.aspx?BID=24464 PDF: https://app.parlamento.pt/webutils/docs/doc.pdf?path=6148523063484d364c793942556b356c6443397a6158526c63793959566b6c4a544556484c3039464c7a49774d6a59794d4449314d5441774f533951515338324f4445324d6d52694d5330784d7a4d344c5452684d4755744f5449354f533030596a6c6d596a413059325577593255756347526d&amp;Fich=68162db1-1338-4a0e-9299-4b9fb04ce0ce.pdf&amp;Inline=true</t>
        </is>
      </c>
      <c r="X1294" s="2" t="inlineStr">
        <is>
          <t>Orçamento, Finanças e Administração Pública; Reforma do Estado e Poder Local</t>
        </is>
      </c>
      <c r="Y1294" s="2" t="inlineStr">
        <is>
          <t>Articulado</t>
        </is>
      </c>
      <c r="Z1294" s="2" t="inlineStr">
        <is>
          <t>Aditamento (Artigo PPL)</t>
        </is>
      </c>
      <c r="AA1294" s="2" t="inlineStr">
        <is>
          <t>Rejeitado(a) em Comissão</t>
        </is>
      </c>
      <c r="AB1294" s="2" t="inlineStr"/>
      <c r="AC1294" s="2" t="inlineStr"/>
      <c r="AD1294" s="2" t="inlineStr">
        <is>
          <t>1</t>
        </is>
      </c>
      <c r="AE1294" s="2" t="inlineStr">
        <is>
          <t>24464</t>
        </is>
      </c>
      <c r="AF1294" s="2" t="inlineStr">
        <is>
          <t>https://www.parlamento.pt/OrcamentoEstado/Paginas/DetalhePropostaAlteracao.aspx?BID=24464</t>
        </is>
      </c>
      <c r="AG1294" s="2" t="inlineStr">
        <is>
          <t>https://app.parlamento.pt/webutils/docs/doc.pdf?path=6148523063484d364c793942556b356c6443397a6158526c63793959566b6c4a544556484c3039464c7a49774d6a59794d4449314d5441774f533951515338324f4445324d6d52694d5330784d7a4d344c5452684d4755744f5449354f533030596a6c6d596a413059325577593255756347526d&amp;Fich=68162db1-1338-4a0e-9299-4b9fb04ce0ce.pdf&amp;Inline=true</t>
        </is>
      </c>
      <c r="AH1294" s="3" t="n">
        <v>46321.77847222222</v>
      </c>
      <c r="AI1294" s="3" t="n">
        <v>46321.78055555555</v>
      </c>
      <c r="AJ1294" s="2" t="inlineStr"/>
    </row>
    <row r="1295">
      <c r="A1295" s="2" t="n">
        <v>1294</v>
      </c>
      <c r="B1295" s="2" t="inlineStr">
        <is>
          <t>1224C</t>
        </is>
      </c>
      <c r="C1295" s="3" t="n">
        <v>45968.38333333333</v>
      </c>
      <c r="D1295" s="2" t="inlineStr">
        <is>
          <t>Original</t>
        </is>
      </c>
      <c r="E1295" s="2" t="inlineStr">
        <is>
          <t>JPP</t>
        </is>
      </c>
      <c r="F1295" s="2" t="inlineStr">
        <is>
          <t>Filipe Sousa</t>
        </is>
      </c>
      <c r="G1295" s="2" t="inlineStr">
        <is>
          <t>Art. 136.º-Z (aditamento)</t>
        </is>
      </c>
      <c r="H1295" s="2" t="n"/>
      <c r="I1295" s="2" t="n"/>
      <c r="J1295" s="2" t="n"/>
      <c r="K1295" s="2" t="n"/>
      <c r="L1295" s="2" t="inlineStr">
        <is>
          <t>Artigo 136.º-Z (Alteração ao Decreto-Lei n.º 41/2022, de 17 de junho)</t>
        </is>
      </c>
      <c r="M1295" s="4" t="n"/>
      <c r="N1295" s="4" t="n"/>
      <c r="O1295" s="2" t="n"/>
      <c r="P1295" s="2" t="n"/>
      <c r="Q1295" s="2" t="n"/>
      <c r="R1295" s="2" t="n"/>
      <c r="S1295" s="2" t="inlineStr">
        <is>
          <t>Rejeitado(a) em Comissão</t>
        </is>
      </c>
      <c r="T1295" s="2" t="inlineStr">
        <is>
          <t>Rejeitada</t>
        </is>
      </c>
      <c r="U1295" s="2" t="inlineStr">
        <is>
          <t>Favor: IL, L, BE, PAN; Contra: PSD, CDS-PP; Abstenção: CH, PS, PCP</t>
        </is>
      </c>
      <c r="V1295" s="3" t="n">
        <v>45987</v>
      </c>
      <c r="W1295" s="2" t="inlineStr">
        <is>
          <t>AR: https://www.parlamento.pt/OrcamentoEstado/Paginas/DetalhePropostaAlteracao.aspx?BID=24465 PDF: https://app.parlamento.pt/webutils/docs/doc.pdf?path=6148523063484d364c793942556b356c6443397a6158526c63793959566b6c4a544556484c3039464c7a49774d6a59794d4449314d5441774f5339515153396b4d6a59335a446c6d4d69307a5a6a5a6c4c54526c4d444574595467775969316d5a4463784f44557a4e324e695a5449756347526d&amp;Fich=d267d9f2-3f6e-4e01-a80b-fd718537cbe2.pdf&amp;Inline=true</t>
        </is>
      </c>
      <c r="X1295" s="2" t="inlineStr">
        <is>
          <t>Educação e Ciência</t>
        </is>
      </c>
      <c r="Y1295" s="2" t="inlineStr">
        <is>
          <t>Articulado</t>
        </is>
      </c>
      <c r="Z1295" s="2" t="inlineStr">
        <is>
          <t>Aditamento (Artigo PPL)</t>
        </is>
      </c>
      <c r="AA1295" s="2" t="inlineStr">
        <is>
          <t>Rejeitado(a) em Comissão</t>
        </is>
      </c>
      <c r="AB1295" s="2" t="inlineStr"/>
      <c r="AC1295" s="2" t="inlineStr"/>
      <c r="AD1295" s="2" t="inlineStr">
        <is>
          <t>1</t>
        </is>
      </c>
      <c r="AE1295" s="2" t="inlineStr">
        <is>
          <t>24465</t>
        </is>
      </c>
      <c r="AF1295" s="2" t="inlineStr">
        <is>
          <t>https://www.parlamento.pt/OrcamentoEstado/Paginas/DetalhePropostaAlteracao.aspx?BID=24465</t>
        </is>
      </c>
      <c r="AG1295" s="2" t="inlineStr">
        <is>
          <t>https://app.parlamento.pt/webutils/docs/doc.pdf?path=6148523063484d364c793942556b356c6443397a6158526c63793959566b6c4a544556484c3039464c7a49774d6a59794d4449314d5441774f5339515153396b4d6a59335a446c6d4d69307a5a6a5a6c4c54526c4d444574595467775969316d5a4463784f44557a4e324e695a5449756347526d&amp;Fich=d267d9f2-3f6e-4e01-a80b-fd718537cbe2.pdf&amp;Inline=true</t>
        </is>
      </c>
      <c r="AH1295" s="3" t="n">
        <v>46321.77847222222</v>
      </c>
      <c r="AI1295" s="3" t="n">
        <v>46321.78055555555</v>
      </c>
      <c r="AJ1295" s="2" t="inlineStr"/>
    </row>
    <row r="1296">
      <c r="A1296" s="2" t="n">
        <v>1295</v>
      </c>
      <c r="B1296" s="2" t="inlineStr">
        <is>
          <t>1225C</t>
        </is>
      </c>
      <c r="C1296" s="3" t="n">
        <v>45968.39375</v>
      </c>
      <c r="D1296" s="2" t="inlineStr">
        <is>
          <t>Original</t>
        </is>
      </c>
      <c r="E1296" s="2" t="inlineStr">
        <is>
          <t>JPP</t>
        </is>
      </c>
      <c r="F1296" s="2" t="inlineStr">
        <is>
          <t>Filipe Sousa</t>
        </is>
      </c>
      <c r="G1296" s="2" t="inlineStr">
        <is>
          <t>Art. 84.º-A (aditamento)</t>
        </is>
      </c>
      <c r="H1296" s="2" t="n"/>
      <c r="I1296" s="2" t="n"/>
      <c r="J1296" s="2" t="n"/>
      <c r="K1296" s="2" t="n"/>
      <c r="L1296" s="2" t="inlineStr">
        <is>
          <t>Artigo 84.º-A (Majoração da participação do Município do Porto Santo nas transferências do Orçamento do Estado)</t>
        </is>
      </c>
      <c r="M1296" s="4" t="n"/>
      <c r="N1296" s="4" t="n"/>
      <c r="O1296" s="2" t="n"/>
      <c r="P1296" s="2" t="n"/>
      <c r="Q1296" s="2" t="n"/>
      <c r="R1296" s="2" t="n"/>
      <c r="S1296" s="2" t="inlineStr">
        <is>
          <t>Rejeitado(a) em Comissão</t>
        </is>
      </c>
      <c r="T1296" s="2" t="inlineStr">
        <is>
          <t>Rejeitada</t>
        </is>
      </c>
      <c r="U1296" s="2" t="inlineStr">
        <is>
          <t>Favor: PAN; Contra: PSD, IL, CDS-PP; Abstenção: CH, PS, L, PCP, BE</t>
        </is>
      </c>
      <c r="V1296" s="3" t="n">
        <v>45982</v>
      </c>
      <c r="W1296" s="2" t="inlineStr">
        <is>
          <t>AR: https://www.parlamento.pt/OrcamentoEstado/Paginas/DetalhePropostaAlteracao.aspx?BID=24466 PDF: https://app.parlamento.pt/webutils/docs/doc.pdf?path=6148523063484d364c793942556b356c6443397a6158526c63793959566b6c4a544556484c3039464c7a49774d6a59794d4449314d5441774f533951515338315a6a646a4d5455354e4330345a6a51324c5452684e446b744f44566a4e533030596a55324e7a6b355a446c6b597a49756347526d&amp;Fich=5f7c1594-8f46-4a49-85c5-4b56799d9dc2.pdf&amp;Inline=true</t>
        </is>
      </c>
      <c r="X1296" s="2" t="inlineStr">
        <is>
          <t>Comissão de Economia e Coesão Territorial; Orçamento, Finanças e Administração Pública; Reforma do Estado e Poder Local</t>
        </is>
      </c>
      <c r="Y1296" s="2" t="inlineStr">
        <is>
          <t>Articulado</t>
        </is>
      </c>
      <c r="Z1296" s="2" t="inlineStr">
        <is>
          <t>Aditamento (Artigo PPL)</t>
        </is>
      </c>
      <c r="AA1296" s="2" t="inlineStr">
        <is>
          <t>Rejeitado(a) em Comissão</t>
        </is>
      </c>
      <c r="AB1296" s="2" t="inlineStr"/>
      <c r="AC1296" s="2" t="inlineStr"/>
      <c r="AD1296" s="2" t="inlineStr">
        <is>
          <t>1</t>
        </is>
      </c>
      <c r="AE1296" s="2" t="inlineStr">
        <is>
          <t>24466</t>
        </is>
      </c>
      <c r="AF1296" s="2" t="inlineStr">
        <is>
          <t>https://www.parlamento.pt/OrcamentoEstado/Paginas/DetalhePropostaAlteracao.aspx?BID=24466</t>
        </is>
      </c>
      <c r="AG1296" s="2" t="inlineStr">
        <is>
          <t>https://app.parlamento.pt/webutils/docs/doc.pdf?path=6148523063484d364c793942556b356c6443397a6158526c63793959566b6c4a544556484c3039464c7a49774d6a59794d4449314d5441774f533951515338315a6a646a4d5455354e4330345a6a51324c5452684e446b744f44566a4e533030596a55324e7a6b355a446c6b597a49756347526d&amp;Fich=5f7c1594-8f46-4a49-85c5-4b56799d9dc2.pdf&amp;Inline=true</t>
        </is>
      </c>
      <c r="AH1296" s="3" t="n">
        <v>46321.77847222222</v>
      </c>
      <c r="AI1296" s="3" t="n">
        <v>46321.78055555555</v>
      </c>
      <c r="AJ1296" s="2" t="inlineStr"/>
    </row>
    <row r="1297">
      <c r="A1297" s="2" t="n">
        <v>1296</v>
      </c>
      <c r="B1297" s="2" t="inlineStr">
        <is>
          <t>1226C</t>
        </is>
      </c>
      <c r="C1297" s="3" t="n">
        <v>45968.40277777778</v>
      </c>
      <c r="D1297" s="2" t="inlineStr">
        <is>
          <t>Original</t>
        </is>
      </c>
      <c r="E1297" s="2" t="inlineStr">
        <is>
          <t>JPP</t>
        </is>
      </c>
      <c r="F1297" s="2" t="inlineStr">
        <is>
          <t>Filipe Sousa</t>
        </is>
      </c>
      <c r="G1297" s="2" t="inlineStr">
        <is>
          <t>Art. 121.º-Z (aditamento)</t>
        </is>
      </c>
      <c r="H1297" s="2" t="n"/>
      <c r="I1297" s="2" t="n"/>
      <c r="J1297" s="2" t="n"/>
      <c r="K1297" s="2" t="n"/>
      <c r="L1297" s="2" t="inlineStr">
        <is>
          <t>Artigo 121.º-Z (Lançamento do procedimento pré-contratual para nova gare no Aeroporto do Porto Santo)</t>
        </is>
      </c>
      <c r="M1297" s="4" t="n"/>
      <c r="N1297" s="4" t="n"/>
      <c r="O1297" s="2" t="n"/>
      <c r="P1297" s="2" t="n"/>
      <c r="Q1297" s="2" t="n"/>
      <c r="R1297" s="2" t="n"/>
      <c r="S1297" s="2" t="inlineStr">
        <is>
          <t>Rejeitado(a) em Comissão</t>
        </is>
      </c>
      <c r="T1297" s="2" t="inlineStr">
        <is>
          <t>Rejeitada</t>
        </is>
      </c>
      <c r="U1297" s="2" t="inlineStr">
        <is>
          <t>Favor: PAN; Contra: PSD, CDS-PP; Abstenção: CH, PS, IL, L, PCP, BE</t>
        </is>
      </c>
      <c r="V1297" s="3" t="n">
        <v>45985</v>
      </c>
      <c r="W1297" s="2" t="inlineStr">
        <is>
          <t>AR: https://www.parlamento.pt/OrcamentoEstado/Paginas/DetalhePropostaAlteracao.aspx?BID=24467 PDF: https://app.parlamento.pt/webutils/docs/doc.pdf?path=6148523063484d364c793942556b356c6443397a6158526c63793959566b6c4a544556484c3039464c7a49774d6a59794d4449314d5441774f5339515153396a596a677959546b774e79316c4e44566c4c5451794d546374595752694e5330314f544532596a426c4d5468684d6a63756347526d&amp;Fich=cb82a907-e45e-4217-adb5-5916b0e18a27.pdf&amp;Inline=true</t>
        </is>
      </c>
      <c r="X1297" s="2" t="inlineStr">
        <is>
          <t>Infraestruturas, Mobilidade e Habitação</t>
        </is>
      </c>
      <c r="Y1297" s="2" t="inlineStr">
        <is>
          <t>Articulado</t>
        </is>
      </c>
      <c r="Z1297" s="2" t="inlineStr">
        <is>
          <t>Aditamento (Artigo PPL)</t>
        </is>
      </c>
      <c r="AA1297" s="2" t="inlineStr">
        <is>
          <t>Rejeitado(a) em Comissão</t>
        </is>
      </c>
      <c r="AB1297" s="2" t="inlineStr"/>
      <c r="AC1297" s="2" t="inlineStr"/>
      <c r="AD1297" s="2" t="inlineStr">
        <is>
          <t>1</t>
        </is>
      </c>
      <c r="AE1297" s="2" t="inlineStr">
        <is>
          <t>24467</t>
        </is>
      </c>
      <c r="AF1297" s="2" t="inlineStr">
        <is>
          <t>https://www.parlamento.pt/OrcamentoEstado/Paginas/DetalhePropostaAlteracao.aspx?BID=24467</t>
        </is>
      </c>
      <c r="AG1297" s="2" t="inlineStr">
        <is>
          <t>https://app.parlamento.pt/webutils/docs/doc.pdf?path=6148523063484d364c793942556b356c6443397a6158526c63793959566b6c4a544556484c3039464c7a49774d6a59794d4449314d5441774f5339515153396a596a677959546b774e79316c4e44566c4c5451794d546374595752694e5330314f544532596a426c4d5468684d6a63756347526d&amp;Fich=cb82a907-e45e-4217-adb5-5916b0e18a27.pdf&amp;Inline=true</t>
        </is>
      </c>
      <c r="AH1297" s="3" t="n">
        <v>46321.77847222222</v>
      </c>
      <c r="AI1297" s="3" t="n">
        <v>46321.78055555555</v>
      </c>
      <c r="AJ1297" s="2" t="inlineStr"/>
    </row>
    <row r="1298">
      <c r="A1298" s="2" t="n">
        <v>1297</v>
      </c>
      <c r="B1298" s="2" t="inlineStr">
        <is>
          <t>1227C</t>
        </is>
      </c>
      <c r="C1298" s="3" t="n">
        <v>45968.41111111111</v>
      </c>
      <c r="D1298" s="2" t="inlineStr">
        <is>
          <t>Original</t>
        </is>
      </c>
      <c r="E1298" s="2" t="inlineStr">
        <is>
          <t>JPP</t>
        </is>
      </c>
      <c r="F1298" s="2" t="inlineStr">
        <is>
          <t>Filipe Sousa</t>
        </is>
      </c>
      <c r="G1298" s="2" t="inlineStr">
        <is>
          <t>Art. 136.º-X (aditamento)</t>
        </is>
      </c>
      <c r="H1298" s="2" t="n"/>
      <c r="I1298" s="2" t="n"/>
      <c r="J1298" s="2" t="n"/>
      <c r="K1298" s="2" t="n"/>
      <c r="L1298" s="2" t="inlineStr">
        <is>
          <t>Artigo 136.º-X (Reforço dos meios aéreos de combate a incêndios na Região Autónoma da Madeira)</t>
        </is>
      </c>
      <c r="M1298" s="4" t="n"/>
      <c r="N1298" s="4" t="n"/>
      <c r="O1298" s="2" t="n"/>
      <c r="P1298" s="2" t="n"/>
      <c r="Q1298" s="2" t="n"/>
      <c r="R1298" s="2" t="n"/>
      <c r="S1298" s="2" t="inlineStr">
        <is>
          <t>Rejeitado(a) em Comissão</t>
        </is>
      </c>
      <c r="T1298" s="2" t="inlineStr">
        <is>
          <t>Rejeitada</t>
        </is>
      </c>
      <c r="U1298" s="2" t="inlineStr">
        <is>
          <t>Favor: CH, L, PCP, BE, PAN; Contra: PSD, CDS-PP; Abstenção: PS, IL</t>
        </is>
      </c>
      <c r="V1298" s="3" t="n">
        <v>45987</v>
      </c>
      <c r="W1298" s="2" t="inlineStr">
        <is>
          <t>AR: https://www.parlamento.pt/OrcamentoEstado/Paginas/DetalhePropostaAlteracao.aspx?BID=24468 PDF: https://app.parlamento.pt/webutils/docs/doc.pdf?path=6148523063484d364c793942556b356c6443397a6158526c63793959566b6c4a544556484c3039464c7a49774d6a59794d4449314d5441774f53395151533831596d46684e32566c596930325a5755344c54517a5a6a5574595449334d69316c59544e6a4e3249314d6a63774e7a63756347526d&amp;Fich=5baa7eeb-6ee8-43f5-a272-ea3c7b527077.pdf&amp;Inline=true</t>
        </is>
      </c>
      <c r="X1298" s="2" t="inlineStr">
        <is>
          <t>Agricultura e Pescas; Assuntos Constitucionais, Direitos, Liberdades e Garantias</t>
        </is>
      </c>
      <c r="Y1298" s="2" t="inlineStr">
        <is>
          <t>Articulado</t>
        </is>
      </c>
      <c r="Z1298" s="2" t="inlineStr">
        <is>
          <t>Aditamento (Artigo PPL)</t>
        </is>
      </c>
      <c r="AA1298" s="2" t="inlineStr">
        <is>
          <t>Rejeitado(a) em Comissão</t>
        </is>
      </c>
      <c r="AB1298" s="2" t="inlineStr"/>
      <c r="AC1298" s="2" t="inlineStr"/>
      <c r="AD1298" s="2" t="inlineStr">
        <is>
          <t>1</t>
        </is>
      </c>
      <c r="AE1298" s="2" t="inlineStr">
        <is>
          <t>24468</t>
        </is>
      </c>
      <c r="AF1298" s="2" t="inlineStr">
        <is>
          <t>https://www.parlamento.pt/OrcamentoEstado/Paginas/DetalhePropostaAlteracao.aspx?BID=24468</t>
        </is>
      </c>
      <c r="AG1298" s="2" t="inlineStr">
        <is>
          <t>https://app.parlamento.pt/webutils/docs/doc.pdf?path=6148523063484d364c793942556b356c6443397a6158526c63793959566b6c4a544556484c3039464c7a49774d6a59794d4449314d5441774f53395151533831596d46684e32566c596930325a5755344c54517a5a6a5574595449334d69316c59544e6a4e3249314d6a63774e7a63756347526d&amp;Fich=5baa7eeb-6ee8-43f5-a272-ea3c7b527077.pdf&amp;Inline=true</t>
        </is>
      </c>
      <c r="AH1298" s="3" t="n">
        <v>46321.77847222222</v>
      </c>
      <c r="AI1298" s="3" t="n">
        <v>46321.78055555555</v>
      </c>
      <c r="AJ1298" s="2" t="inlineStr"/>
    </row>
    <row r="1299">
      <c r="A1299" s="2" t="n">
        <v>1298</v>
      </c>
      <c r="B1299" s="2" t="inlineStr">
        <is>
          <t>1228C</t>
        </is>
      </c>
      <c r="C1299" s="3" t="n">
        <v>45968.41875</v>
      </c>
      <c r="D1299" s="2" t="inlineStr">
        <is>
          <t>Original</t>
        </is>
      </c>
      <c r="E1299" s="2" t="inlineStr">
        <is>
          <t>BE</t>
        </is>
      </c>
      <c r="F1299" s="2" t="inlineStr">
        <is>
          <t>Mariana Mortágua</t>
        </is>
      </c>
      <c r="G1299" s="2" t="inlineStr">
        <is>
          <t>Art. 112.º-A (aditamento)</t>
        </is>
      </c>
      <c r="H1299" s="2" t="n"/>
      <c r="I1299" s="2" t="n"/>
      <c r="J1299" s="2" t="n"/>
      <c r="K1299" s="2" t="n"/>
      <c r="L1299" s="2" t="inlineStr">
        <is>
          <t>Artigo 112.º-A (Apoio extraordinário à Região Autónoma da Madeira para o direito à habitação)</t>
        </is>
      </c>
      <c r="M1299" s="4" t="n"/>
      <c r="N1299" s="4" t="n"/>
      <c r="O1299" s="2" t="n"/>
      <c r="P1299" s="2" t="n"/>
      <c r="Q1299" s="2" t="n"/>
      <c r="R1299" s="2" t="n"/>
      <c r="S1299" s="2" t="inlineStr">
        <is>
          <t>Rejeitado(a) em Comissão</t>
        </is>
      </c>
      <c r="T1299" s="2" t="inlineStr">
        <is>
          <t>Rejeitada</t>
        </is>
      </c>
      <c r="U1299" s="2" t="inlineStr">
        <is>
          <t>Favor: L, PCP, BE, PAN; Contra: PSD, IL, CDS-PP; Abstenção: CH, PS</t>
        </is>
      </c>
      <c r="V1299" s="3" t="n">
        <v>45982</v>
      </c>
      <c r="W1299" s="2" t="inlineStr">
        <is>
          <t>AR: https://www.parlamento.pt/OrcamentoEstado/Paginas/DetalhePropostaAlteracao.aspx?BID=24469 PDF: https://app.parlamento.pt/webutils/docs/doc.pdf?path=6148523063484d364c793942556b356c6443397a6158526c63793959566b6c4a544556484c3039464c7a49774d6a59794d4449314d5441774f5339515153387a4f445a6d4e6a45794e5330334e474e6d4c5451334d7a4574595745774d5330315a6a4d7a4e7a686d4d3255774e5459756347526d&amp;Fich=386f6125-74cf-4731-aa01-5f3378f3e056.pdf&amp;Inline=true</t>
        </is>
      </c>
      <c r="X1299" s="2" t="inlineStr">
        <is>
          <t>Infraestruturas, Mobilidade e Habitação</t>
        </is>
      </c>
      <c r="Y1299" s="2" t="inlineStr">
        <is>
          <t>Articulado</t>
        </is>
      </c>
      <c r="Z1299" s="2" t="inlineStr">
        <is>
          <t>Aditamento (Artigo PPL)</t>
        </is>
      </c>
      <c r="AA1299" s="2" t="inlineStr">
        <is>
          <t>Rejeitado(a) em Comissão</t>
        </is>
      </c>
      <c r="AB1299" s="2" t="inlineStr"/>
      <c r="AC1299" s="2" t="inlineStr"/>
      <c r="AD1299" s="2" t="inlineStr">
        <is>
          <t>1</t>
        </is>
      </c>
      <c r="AE1299" s="2" t="inlineStr">
        <is>
          <t>24469</t>
        </is>
      </c>
      <c r="AF1299" s="2" t="inlineStr">
        <is>
          <t>https://www.parlamento.pt/OrcamentoEstado/Paginas/DetalhePropostaAlteracao.aspx?BID=24469</t>
        </is>
      </c>
      <c r="AG1299" s="2" t="inlineStr">
        <is>
          <t>https://app.parlamento.pt/webutils/docs/doc.pdf?path=6148523063484d364c793942556b356c6443397a6158526c63793959566b6c4a544556484c3039464c7a49774d6a59794d4449314d5441774f5339515153387a4f445a6d4e6a45794e5330334e474e6d4c5451334d7a4574595745774d5330315a6a4d7a4e7a686d4d3255774e5459756347526d&amp;Fich=386f6125-74cf-4731-aa01-5f3378f3e056.pdf&amp;Inline=true</t>
        </is>
      </c>
      <c r="AH1299" s="3" t="n">
        <v>46321.77847222222</v>
      </c>
      <c r="AI1299" s="3" t="n">
        <v>46321.78055555555</v>
      </c>
      <c r="AJ1299" s="2" t="inlineStr"/>
    </row>
    <row r="1300">
      <c r="A1300" s="2" t="n">
        <v>1299</v>
      </c>
      <c r="B1300" s="2" t="inlineStr">
        <is>
          <t>1229C</t>
        </is>
      </c>
      <c r="C1300" s="3" t="n">
        <v>45968.42291666667</v>
      </c>
      <c r="D1300" s="2" t="inlineStr">
        <is>
          <t>Original</t>
        </is>
      </c>
      <c r="E1300" s="2" t="inlineStr">
        <is>
          <t>IL</t>
        </is>
      </c>
      <c r="F1300" s="2" t="inlineStr">
        <is>
          <t>Angélique Da Teresa; Carlos Guimarães Pinto; Joana Cordeiro; Jorge Miguel Teixeira; Mariana Leitão; Mário Amorim Lopes; Miguel Rangel; Rodrigo Saraiva; Rui Rocha</t>
        </is>
      </c>
      <c r="G1300" s="2" t="inlineStr">
        <is>
          <t>Art. 8.º (aditamento)</t>
        </is>
      </c>
      <c r="H1300" s="2" t="n"/>
      <c r="I1300" s="2" t="n"/>
      <c r="J1300" s="2" t="n"/>
      <c r="K1300" s="2" t="n"/>
      <c r="L1300" s="2" t="inlineStr">
        <is>
          <t>N.º 27, Artigo 8.º</t>
        </is>
      </c>
      <c r="M1300" s="4" t="n"/>
      <c r="N1300" s="4" t="n"/>
      <c r="O1300" s="2" t="n"/>
      <c r="P1300" s="2" t="n"/>
      <c r="Q1300" s="2" t="n"/>
      <c r="R1300" s="2" t="n"/>
      <c r="S1300" s="2" t="inlineStr">
        <is>
          <t>Rejeitado(a) em Comissão</t>
        </is>
      </c>
      <c r="T1300" s="2" t="inlineStr">
        <is>
          <t>Rejeitada</t>
        </is>
      </c>
      <c r="U1300" s="2" t="inlineStr">
        <is>
          <t>Favor: CH, IL, PAN; Contra: PSD, PCP, CDS-PP, BE; Abstenção: PS, L</t>
        </is>
      </c>
      <c r="V1300" s="3" t="n">
        <v>45981</v>
      </c>
      <c r="W1300" s="2" t="inlineStr">
        <is>
          <t>AR: https://www.parlamento.pt/OrcamentoEstado/Paginas/DetalhePropostaAlteracao.aspx?BID=24472 PDF: https://app.parlamento.pt/webutils/docs/doc.pdf?path=6148523063484d364c793942556b356c6443397a6158526c63793959566b6c4a544556484c3039464c7a49774d6a59794d4449314d5441774f5339515153387a4e7a566d4e4449344e69316c597a41324c5451355a6d4d74596d59315969316d4d444530597a55354d7a63785a5745756347526d&amp;Fich=375f4286-ec06-49fc-bf5b-f014c59371ea.pdf&amp;Inline=true</t>
        </is>
      </c>
      <c r="X1300" s="2" t="inlineStr">
        <is>
          <t>Ambiente e Energia; Orçamento, Finanças e Administração Pública</t>
        </is>
      </c>
      <c r="Y1300" s="2" t="inlineStr">
        <is>
          <t>Articulado</t>
        </is>
      </c>
      <c r="Z1300" s="2" t="inlineStr">
        <is>
          <t>Aditamento (Números e Alíneas)</t>
        </is>
      </c>
      <c r="AA1300" s="2" t="inlineStr">
        <is>
          <t>Rejeitado(a) em Comissão</t>
        </is>
      </c>
      <c r="AB1300" s="2" t="inlineStr"/>
      <c r="AC1300" s="2" t="inlineStr"/>
      <c r="AD1300" s="2" t="inlineStr">
        <is>
          <t>1</t>
        </is>
      </c>
      <c r="AE1300" s="2" t="inlineStr">
        <is>
          <t>24472</t>
        </is>
      </c>
      <c r="AF1300" s="2" t="inlineStr">
        <is>
          <t>https://www.parlamento.pt/OrcamentoEstado/Paginas/DetalhePropostaAlteracao.aspx?BID=24472</t>
        </is>
      </c>
      <c r="AG1300" s="2" t="inlineStr">
        <is>
          <t>https://app.parlamento.pt/webutils/docs/doc.pdf?path=6148523063484d364c793942556b356c6443397a6158526c63793959566b6c4a544556484c3039464c7a49774d6a59794d4449314d5441774f5339515153387a4e7a566d4e4449344e69316c597a41324c5451355a6d4d74596d59315969316d4d444530597a55354d7a63785a5745756347526d&amp;Fich=375f4286-ec06-49fc-bf5b-f014c59371ea.pdf&amp;Inline=true</t>
        </is>
      </c>
      <c r="AH1300" s="3" t="n">
        <v>46321.77847222222</v>
      </c>
      <c r="AI1300" s="3" t="n">
        <v>46321.78055555555</v>
      </c>
      <c r="AJ1300" s="2" t="inlineStr"/>
    </row>
    <row r="1301">
      <c r="A1301" s="2" t="n">
        <v>1300</v>
      </c>
      <c r="B1301" s="2" t="inlineStr">
        <is>
          <t>1230C</t>
        </is>
      </c>
      <c r="C1301" s="3" t="n">
        <v>45968.43472222222</v>
      </c>
      <c r="D1301" s="2" t="inlineStr">
        <is>
          <t>Original</t>
        </is>
      </c>
      <c r="E1301" s="2" t="inlineStr">
        <is>
          <t>JPP</t>
        </is>
      </c>
      <c r="F1301" s="2" t="inlineStr">
        <is>
          <t>Filipe Sousa</t>
        </is>
      </c>
      <c r="G1301" s="2" t="inlineStr">
        <is>
          <t>Art. 109.º-Y (aditamento)</t>
        </is>
      </c>
      <c r="H1301" s="2" t="n"/>
      <c r="I1301" s="2" t="n"/>
      <c r="J1301" s="2" t="n"/>
      <c r="K1301" s="2" t="n"/>
      <c r="L1301" s="2" t="inlineStr">
        <is>
          <t>Artigo 109.º-Y (Aditamento à Lei n.º 73/2013, de 3 de setembro)</t>
        </is>
      </c>
      <c r="M1301" s="4" t="n"/>
      <c r="N1301" s="4" t="n"/>
      <c r="O1301" s="2" t="n"/>
      <c r="P1301" s="2" t="n"/>
      <c r="Q1301" s="2" t="n"/>
      <c r="R1301" s="2" t="n"/>
      <c r="S1301" s="2" t="inlineStr">
        <is>
          <t>Rejeitado(a) em Comissão</t>
        </is>
      </c>
      <c r="T1301" s="2" t="inlineStr">
        <is>
          <t>Rejeitada</t>
        </is>
      </c>
      <c r="U1301" s="2" t="inlineStr">
        <is>
          <t>Favor: BE, PAN; Contra: PSD, CH, IL, CDS-PP; Abstenção: PS, L, PCP</t>
        </is>
      </c>
      <c r="V1301" s="3" t="n">
        <v>45982</v>
      </c>
      <c r="W1301" s="2" t="inlineStr">
        <is>
          <t>AR: https://www.parlamento.pt/OrcamentoEstado/Paginas/DetalhePropostaAlteracao.aspx?BID=24473 PDF: https://app.parlamento.pt/webutils/docs/doc.pdf?path=6148523063484d364c793942556b356c6443397a6158526c63793959566b6c4a544556484c3039464c7a49774d6a59794d4449314d5441774f5339515153396d4f4451324e544e6d4d6930334d6d49324c5451344e324d74595467334d7930784d474e6a4e4749774d445a69596d59756347526d&amp;Fich=f84653f2-72b6-487c-a873-10cc4b006bbf.pdf&amp;Inline=true</t>
        </is>
      </c>
      <c r="X1301" s="2" t="inlineStr">
        <is>
          <t>Orçamento, Finanças e Administração Pública; Reforma do Estado e Poder Local</t>
        </is>
      </c>
      <c r="Y1301" s="2" t="inlineStr">
        <is>
          <t>Articulado</t>
        </is>
      </c>
      <c r="Z1301" s="2" t="inlineStr">
        <is>
          <t>Aditamento (Artigo PPL)</t>
        </is>
      </c>
      <c r="AA1301" s="2" t="inlineStr">
        <is>
          <t>Rejeitado(a) em Comissão</t>
        </is>
      </c>
      <c r="AB1301" s="2" t="inlineStr"/>
      <c r="AC1301" s="2" t="inlineStr"/>
      <c r="AD1301" s="2" t="inlineStr">
        <is>
          <t>1</t>
        </is>
      </c>
      <c r="AE1301" s="2" t="inlineStr">
        <is>
          <t>24473</t>
        </is>
      </c>
      <c r="AF1301" s="2" t="inlineStr">
        <is>
          <t>https://www.parlamento.pt/OrcamentoEstado/Paginas/DetalhePropostaAlteracao.aspx?BID=24473</t>
        </is>
      </c>
      <c r="AG1301" s="2" t="inlineStr">
        <is>
          <t>https://app.parlamento.pt/webutils/docs/doc.pdf?path=6148523063484d364c793942556b356c6443397a6158526c63793959566b6c4a544556484c3039464c7a49774d6a59794d4449314d5441774f5339515153396d4f4451324e544e6d4d6930334d6d49324c5451344e324d74595467334d7930784d474e6a4e4749774d445a69596d59756347526d&amp;Fich=f84653f2-72b6-487c-a873-10cc4b006bbf.pdf&amp;Inline=true</t>
        </is>
      </c>
      <c r="AH1301" s="3" t="n">
        <v>46321.77847222222</v>
      </c>
      <c r="AI1301" s="3" t="n">
        <v>46321.78055555555</v>
      </c>
      <c r="AJ1301" s="2" t="inlineStr"/>
    </row>
    <row r="1302">
      <c r="A1302" s="2" t="n">
        <v>1301</v>
      </c>
      <c r="B1302" s="2" t="inlineStr">
        <is>
          <t>1231C</t>
        </is>
      </c>
      <c r="C1302" s="3" t="n">
        <v>45968.43472222222</v>
      </c>
      <c r="D1302" s="2" t="inlineStr">
        <is>
          <t>Original</t>
        </is>
      </c>
      <c r="E1302" s="2" t="inlineStr">
        <is>
          <t>IL</t>
        </is>
      </c>
      <c r="F1302" s="2" t="inlineStr">
        <is>
          <t>Angélique Da Teresa; Carlos Guimarães Pinto; Joana Cordeiro; Jorge Miguel Teixeira; Mariana Leitão; Mário Amorim Lopes; Miguel Rangel; Rodrigo Saraiva; Rui Rocha</t>
        </is>
      </c>
      <c r="G1302" s="2" t="inlineStr">
        <is>
          <t>Art. 63.º (substituição)</t>
        </is>
      </c>
      <c r="H1302" s="2" t="n"/>
      <c r="I1302" s="2" t="n"/>
      <c r="J1302" s="2" t="n"/>
      <c r="K1302" s="2" t="n"/>
      <c r="L1302" s="2" t="inlineStr">
        <is>
          <t>Verba 2.33, Verba 2.38, Lista I anexa ao Código do IVA</t>
        </is>
      </c>
      <c r="M1302" s="4" t="n"/>
      <c r="N1302" s="4" t="n"/>
      <c r="O1302" s="2" t="n"/>
      <c r="P1302" s="2" t="n"/>
      <c r="Q1302" s="2" t="n"/>
      <c r="R1302" s="2" t="n"/>
      <c r="S1302" s="2" t="inlineStr">
        <is>
          <t>Rejeitado(a) em Comissão</t>
        </is>
      </c>
      <c r="T1302" s="2" t="inlineStr">
        <is>
          <t>Rejeitada</t>
        </is>
      </c>
      <c r="U1302" s="2" t="inlineStr">
        <is>
          <t>Favor: CH, IL, PCP, BE, PAN; Contra: PSD, CDS-PP; Abstenção: PS, L</t>
        </is>
      </c>
      <c r="V1302" s="3" t="n">
        <v>45982</v>
      </c>
      <c r="W1302" s="2" t="inlineStr">
        <is>
          <t>AR: https://www.parlamento.pt/OrcamentoEstado/Paginas/DetalhePropostaAlteracao.aspx?BID=24474 PDF: https://app.parlamento.pt/webutils/docs/doc.pdf?path=6148523063484d364c793942556b356c6443397a6158526c63793959566b6c4a544556484c3039464c7a49774d6a59794d4449314d5441774f533951515338324f5442684d5445324e53307a597a41304c545132597a6374595755344d7930334e444e6c4e4467784f546b775a5755756347526d&amp;Fich=690a1165-3c04-46c7-ae83-743e481990ee.pdf&amp;Inline=true</t>
        </is>
      </c>
      <c r="X1302" s="2" t="inlineStr">
        <is>
          <t>Ambiente e Energia; Orçamento, Finanças e Administração Pública</t>
        </is>
      </c>
      <c r="Y1302" s="2" t="inlineStr">
        <is>
          <t>Articulado</t>
        </is>
      </c>
      <c r="Z1302" s="2" t="inlineStr">
        <is>
          <t>Substituição</t>
        </is>
      </c>
      <c r="AA1302" s="2" t="inlineStr">
        <is>
          <t>Rejeitado(a) em Comissão</t>
        </is>
      </c>
      <c r="AB1302" s="2" t="inlineStr"/>
      <c r="AC1302" s="2" t="inlineStr"/>
      <c r="AD1302" s="2" t="inlineStr">
        <is>
          <t>1</t>
        </is>
      </c>
      <c r="AE1302" s="2" t="inlineStr">
        <is>
          <t>24474</t>
        </is>
      </c>
      <c r="AF1302" s="2" t="inlineStr">
        <is>
          <t>https://www.parlamento.pt/OrcamentoEstado/Paginas/DetalhePropostaAlteracao.aspx?BID=24474</t>
        </is>
      </c>
      <c r="AG1302" s="2" t="inlineStr">
        <is>
          <t>https://app.parlamento.pt/webutils/docs/doc.pdf?path=6148523063484d364c793942556b356c6443397a6158526c63793959566b6c4a544556484c3039464c7a49774d6a59794d4449314d5441774f533951515338324f5442684d5445324e53307a597a41304c545132597a6374595755344d7930334e444e6c4e4467784f546b775a5755756347526d&amp;Fich=690a1165-3c04-46c7-ae83-743e481990ee.pdf&amp;Inline=true</t>
        </is>
      </c>
      <c r="AH1302" s="3" t="n">
        <v>46321.77847222222</v>
      </c>
      <c r="AI1302" s="3" t="n">
        <v>46321.78055555555</v>
      </c>
      <c r="AJ1302" s="2" t="inlineStr"/>
    </row>
    <row r="1303">
      <c r="A1303" s="2" t="n">
        <v>1302</v>
      </c>
      <c r="B1303" s="2" t="inlineStr">
        <is>
          <t>1232C</t>
        </is>
      </c>
      <c r="C1303" s="3" t="n">
        <v>45968.43680555555</v>
      </c>
      <c r="D1303" s="2" t="inlineStr">
        <is>
          <t>Original</t>
        </is>
      </c>
      <c r="E1303" s="2" t="inlineStr">
        <is>
          <t>BE</t>
        </is>
      </c>
      <c r="F1303" s="2" t="inlineStr">
        <is>
          <t>Mariana Mortágua</t>
        </is>
      </c>
      <c r="G1303" s="2" t="inlineStr">
        <is>
          <t>Art. 112.º-A (aditamento)</t>
        </is>
      </c>
      <c r="H1303" s="2" t="n"/>
      <c r="I1303" s="2" t="n"/>
      <c r="J1303" s="2" t="n"/>
      <c r="K1303" s="2" t="n"/>
      <c r="L1303" s="2" t="inlineStr">
        <is>
          <t>Artigo 112.º-A (Programa de aproveitamento de águas residuais)</t>
        </is>
      </c>
      <c r="M1303" s="4" t="n"/>
      <c r="N1303" s="4" t="n"/>
      <c r="O1303" s="2" t="n"/>
      <c r="P1303" s="2" t="n"/>
      <c r="Q1303" s="2" t="n"/>
      <c r="R1303" s="2" t="n"/>
      <c r="S1303" s="2" t="inlineStr">
        <is>
          <t>Rejeitado(a) em Comissão</t>
        </is>
      </c>
      <c r="T1303" s="2" t="inlineStr">
        <is>
          <t>Rejeitada</t>
        </is>
      </c>
      <c r="U1303" s="2" t="inlineStr">
        <is>
          <t>Favor: CH, L, PCP, BE, PAN; Contra: PSD, IL, CDS-PP; Abstenção: PS</t>
        </is>
      </c>
      <c r="V1303" s="3" t="n">
        <v>45982</v>
      </c>
      <c r="W1303" s="2" t="inlineStr">
        <is>
          <t>AR: https://www.parlamento.pt/OrcamentoEstado/Paginas/DetalhePropostaAlteracao.aspx?BID=24475 PDF: https://app.parlamento.pt/webutils/docs/doc.pdf?path=6148523063484d364c793942556b356c6443397a6158526c63793959566b6c4a544556484c3039464c7a49774d6a59794d4449314d5441774f533951515338335a574a6a4e7a6c685a43316b597a466d4c5451774d546b744f5464684e79316b5954426a4d324d304f5445314d6d4d756347526d&amp;Fich=7ebc79ad-dc1f-4019-97a7-da0c3c49152c.pdf&amp;Inline=true</t>
        </is>
      </c>
      <c r="X1303" s="2" t="inlineStr">
        <is>
          <t>Ambiente e Energia</t>
        </is>
      </c>
      <c r="Y1303" s="2" t="inlineStr">
        <is>
          <t>Articulado</t>
        </is>
      </c>
      <c r="Z1303" s="2" t="inlineStr">
        <is>
          <t>Aditamento (Artigo PPL)</t>
        </is>
      </c>
      <c r="AA1303" s="2" t="inlineStr">
        <is>
          <t>Rejeitado(a) em Comissão</t>
        </is>
      </c>
      <c r="AB1303" s="2" t="inlineStr"/>
      <c r="AC1303" s="2" t="inlineStr"/>
      <c r="AD1303" s="2" t="inlineStr">
        <is>
          <t>1</t>
        </is>
      </c>
      <c r="AE1303" s="2" t="inlineStr">
        <is>
          <t>24475</t>
        </is>
      </c>
      <c r="AF1303" s="2" t="inlineStr">
        <is>
          <t>https://www.parlamento.pt/OrcamentoEstado/Paginas/DetalhePropostaAlteracao.aspx?BID=24475</t>
        </is>
      </c>
      <c r="AG1303" s="2" t="inlineStr">
        <is>
          <t>https://app.parlamento.pt/webutils/docs/doc.pdf?path=6148523063484d364c793942556b356c6443397a6158526c63793959566b6c4a544556484c3039464c7a49774d6a59794d4449314d5441774f533951515338335a574a6a4e7a6c685a43316b597a466d4c5451774d546b744f5464684e79316b5954426a4d324d304f5445314d6d4d756347526d&amp;Fich=7ebc79ad-dc1f-4019-97a7-da0c3c49152c.pdf&amp;Inline=true</t>
        </is>
      </c>
      <c r="AH1303" s="3" t="n">
        <v>46321.77847222222</v>
      </c>
      <c r="AI1303" s="3" t="n">
        <v>46321.78055555555</v>
      </c>
      <c r="AJ1303" s="2" t="inlineStr"/>
    </row>
    <row r="1304">
      <c r="A1304" s="2" t="n">
        <v>1303</v>
      </c>
      <c r="B1304" s="2" t="inlineStr">
        <is>
          <t>1233C</t>
        </is>
      </c>
      <c r="C1304" s="3" t="n">
        <v>45968.43819444445</v>
      </c>
      <c r="D1304" s="2" t="inlineStr">
        <is>
          <t>Original</t>
        </is>
      </c>
      <c r="E1304" s="2" t="inlineStr">
        <is>
          <t>BE</t>
        </is>
      </c>
      <c r="F1304" s="2" t="inlineStr">
        <is>
          <t>Mariana Mortágua</t>
        </is>
      </c>
      <c r="G1304" s="2" t="inlineStr">
        <is>
          <t>Art. 112.º-A (aditamento)</t>
        </is>
      </c>
      <c r="H1304" s="2" t="n"/>
      <c r="I1304" s="2" t="n"/>
      <c r="J1304" s="2" t="n"/>
      <c r="K1304" s="2" t="n"/>
      <c r="L1304" s="2" t="inlineStr">
        <is>
          <t>Artigo 112.º-A (Financiamento à redução de perdas de água na rede de abastecimento pública)</t>
        </is>
      </c>
      <c r="M1304" s="4" t="n"/>
      <c r="N1304" s="4" t="n"/>
      <c r="O1304" s="2" t="n"/>
      <c r="P1304" s="2" t="n"/>
      <c r="Q1304" s="2" t="n"/>
      <c r="R1304" s="2" t="n"/>
      <c r="S1304" s="2" t="inlineStr">
        <is>
          <t>Rejeitado(a) em Comissão</t>
        </is>
      </c>
      <c r="T1304" s="2" t="inlineStr">
        <is>
          <t>Rejeitada</t>
        </is>
      </c>
      <c r="U1304" s="2" t="inlineStr">
        <is>
          <t>Favor: CH, L, PCP, BE, PAN; Contra: PSD, PS, IL, CDS-PP</t>
        </is>
      </c>
      <c r="V1304" s="3" t="n">
        <v>45982</v>
      </c>
      <c r="W1304" s="2" t="inlineStr">
        <is>
          <t>AR: https://www.parlamento.pt/OrcamentoEstado/Paginas/DetalhePropostaAlteracao.aspx?BID=24477 PDF: https://app.parlamento.pt/webutils/docs/doc.pdf?path=6148523063484d364c793942556b356c6443397a6158526c63793959566b6c4a544556484c3039464c7a49774d6a59794d4449314d5441774f53395151533835596a67354d5451794d6930334d6a4d304c54526a4f575574596a6b345969316d4d6a46694d5455354f4749314d5441756347526d&amp;Fich=9b891422-7234-4c9e-b98b-f21b1598b510.pdf&amp;Inline=true</t>
        </is>
      </c>
      <c r="X1304" s="2" t="inlineStr">
        <is>
          <t>Ambiente e Energia</t>
        </is>
      </c>
      <c r="Y1304" s="2" t="inlineStr">
        <is>
          <t>Articulado</t>
        </is>
      </c>
      <c r="Z1304" s="2" t="inlineStr">
        <is>
          <t>Aditamento (Artigo PPL)</t>
        </is>
      </c>
      <c r="AA1304" s="2" t="inlineStr">
        <is>
          <t>Rejeitado(a) em Comissão</t>
        </is>
      </c>
      <c r="AB1304" s="2" t="inlineStr"/>
      <c r="AC1304" s="2" t="inlineStr"/>
      <c r="AD1304" s="2" t="inlineStr">
        <is>
          <t>1</t>
        </is>
      </c>
      <c r="AE1304" s="2" t="inlineStr">
        <is>
          <t>24477</t>
        </is>
      </c>
      <c r="AF1304" s="2" t="inlineStr">
        <is>
          <t>https://www.parlamento.pt/OrcamentoEstado/Paginas/DetalhePropostaAlteracao.aspx?BID=24477</t>
        </is>
      </c>
      <c r="AG1304" s="2" t="inlineStr">
        <is>
          <t>https://app.parlamento.pt/webutils/docs/doc.pdf?path=6148523063484d364c793942556b356c6443397a6158526c63793959566b6c4a544556484c3039464c7a49774d6a59794d4449314d5441774f53395151533835596a67354d5451794d6930334d6a4d304c54526a4f575574596a6b345969316d4d6a46694d5455354f4749314d5441756347526d&amp;Fich=9b891422-7234-4c9e-b98b-f21b1598b510.pdf&amp;Inline=true</t>
        </is>
      </c>
      <c r="AH1304" s="3" t="n">
        <v>46321.77847222222</v>
      </c>
      <c r="AI1304" s="3" t="n">
        <v>46321.78055555555</v>
      </c>
      <c r="AJ1304" s="2" t="inlineStr"/>
    </row>
    <row r="1305">
      <c r="A1305" s="2" t="n">
        <v>1304</v>
      </c>
      <c r="B1305" s="2" t="inlineStr">
        <is>
          <t>1234C-1</t>
        </is>
      </c>
      <c r="C1305" s="3" t="n">
        <v>45968.43888888889</v>
      </c>
      <c r="D1305" s="2" t="inlineStr">
        <is>
          <t>Original</t>
        </is>
      </c>
      <c r="E1305" s="2" t="inlineStr">
        <is>
          <t>IL</t>
        </is>
      </c>
      <c r="F1305" s="2" t="inlineStr">
        <is>
          <t>Angélique Da Teresa; Carlos Guimarães Pinto; Joana Cordeiro; Jorge Miguel Teixeira; Mariana Leitão; Mário Amorim Lopes; Miguel Rangel; Rodrigo Saraiva; Rui Rocha</t>
        </is>
      </c>
      <c r="G1305" s="2" t="inlineStr">
        <is>
          <t>Art. 138.º (substituição)</t>
        </is>
      </c>
      <c r="H1305" s="2" t="n"/>
      <c r="I1305" s="2" t="n"/>
      <c r="J1305" s="2" t="n"/>
      <c r="K1305" s="2" t="n"/>
      <c r="L1305" s="2" t="inlineStr">
        <is>
          <t>Alínea b), Artigo 138.º</t>
        </is>
      </c>
      <c r="M1305" s="4" t="n"/>
      <c r="N1305" s="4" t="n"/>
      <c r="O1305" s="2" t="n"/>
      <c r="P1305" s="2" t="n"/>
      <c r="Q1305" s="2" t="n"/>
      <c r="R1305" s="2" t="n"/>
      <c r="S1305" s="2" t="inlineStr">
        <is>
          <t>Rejeitado(a) em Comissão</t>
        </is>
      </c>
      <c r="T1305" s="2" t="inlineStr">
        <is>
          <t>Rejeitada</t>
        </is>
      </c>
      <c r="U1305" s="2" t="inlineStr">
        <is>
          <t>Favor: IL; Contra: CH, PS, L, PCP, CDS-PP, BE, PAN</t>
        </is>
      </c>
      <c r="V1305" s="3" t="n">
        <v>45987</v>
      </c>
      <c r="W1305" s="2" t="inlineStr">
        <is>
          <t>AR: https://www.parlamento.pt/OrcamentoEstado/Paginas/DetalhePropostaAlteracao.aspx?BID=24478 PDF: https://app.parlamento.pt/webutils/docs/doc.pdf?path=6148523063484d364c793942556b356c6443397a6158526c63793959566b6c4a544556484c3039464c7a49774d6a59794d4449314d5441774f53395151533832595463774e324d354d5331685a6d566b4c545177593251744f44646a4f43316d593255324e5459774e6a59354e6a55756347526d&amp;Fich=6a707c91-afed-40cd-87c8-fce656066965.pdf&amp;Inline=true</t>
        </is>
      </c>
      <c r="X1305" s="2" t="inlineStr">
        <is>
          <t>Ambiente e Energia; Orçamento, Finanças e Administração Pública</t>
        </is>
      </c>
      <c r="Y1305" s="2" t="inlineStr">
        <is>
          <t>Articulado</t>
        </is>
      </c>
      <c r="Z1305" s="2" t="inlineStr">
        <is>
          <t>Substituição</t>
        </is>
      </c>
      <c r="AA1305" s="2" t="inlineStr">
        <is>
          <t>Rejeitado(a) em Comissão</t>
        </is>
      </c>
      <c r="AB1305" s="2" t="inlineStr"/>
      <c r="AC1305" s="2" t="inlineStr">
        <is>
          <t>1</t>
        </is>
      </c>
      <c r="AD1305" s="2" t="inlineStr">
        <is>
          <t>1</t>
        </is>
      </c>
      <c r="AE1305" s="2" t="inlineStr">
        <is>
          <t>24478</t>
        </is>
      </c>
      <c r="AF1305" s="2" t="inlineStr">
        <is>
          <t>https://www.parlamento.pt/OrcamentoEstado/Paginas/DetalhePropostaAlteracao.aspx?BID=24478</t>
        </is>
      </c>
      <c r="AG1305" s="2" t="inlineStr">
        <is>
          <t>https://app.parlamento.pt/webutils/docs/doc.pdf?path=6148523063484d364c793942556b356c6443397a6158526c63793959566b6c4a544556484c3039464c7a49774d6a59794d4449314d5441774f53395151533832595463774e324d354d5331685a6d566b4c545177593251744f44646a4f43316d593255324e5459774e6a59354e6a55756347526d&amp;Fich=6a707c91-afed-40cd-87c8-fce656066965.pdf&amp;Inline=true</t>
        </is>
      </c>
      <c r="AH1305" s="3" t="n">
        <v>46321.77847222222</v>
      </c>
      <c r="AI1305" s="3" t="n">
        <v>46321.78055555555</v>
      </c>
      <c r="AJ1305" s="2" t="inlineStr"/>
    </row>
    <row r="1306">
      <c r="A1306" s="2" t="n">
        <v>1305</v>
      </c>
      <c r="B1306" s="2" t="inlineStr">
        <is>
          <t>1234C-2</t>
        </is>
      </c>
      <c r="C1306" s="3" t="n">
        <v>45968.43888888889</v>
      </c>
      <c r="D1306" s="2" t="inlineStr">
        <is>
          <t>Retirada</t>
        </is>
      </c>
      <c r="E1306" s="2" t="inlineStr">
        <is>
          <t>IL</t>
        </is>
      </c>
      <c r="F1306" s="2" t="inlineStr">
        <is>
          <t>Angélique Da Teresa; Carlos Guimarães Pinto; Joana Cordeiro; Jorge Miguel Teixeira; Mariana Leitão; Mário Amorim Lopes; Miguel Rangel; Rodrigo Saraiva; Rui Rocha</t>
        </is>
      </c>
      <c r="G1306" s="2" t="inlineStr">
        <is>
          <t>Art. 78.º (eliminação)</t>
        </is>
      </c>
      <c r="H1306" s="2" t="n"/>
      <c r="I1306" s="2" t="n"/>
      <c r="J1306" s="2" t="n"/>
      <c r="K1306" s="2" t="n"/>
      <c r="L1306" s="2" t="inlineStr">
        <is>
          <t>Artigo 78.º</t>
        </is>
      </c>
      <c r="M1306" s="4" t="n"/>
      <c r="N1306" s="4" t="n"/>
      <c r="O1306" s="2" t="n"/>
      <c r="P1306" s="2" t="n"/>
      <c r="Q1306" s="2" t="n"/>
      <c r="R1306" s="2" t="n"/>
      <c r="S1306" s="2" t="inlineStr">
        <is>
          <t>Retirado(a)</t>
        </is>
      </c>
      <c r="T1306" s="2" t="inlineStr">
        <is>
          <t>Retirada</t>
        </is>
      </c>
      <c r="U1306" s="2" t="inlineStr"/>
      <c r="V1306" s="3" t="n"/>
      <c r="W1306" s="2" t="inlineStr">
        <is>
          <t>AR: https://www.parlamento.pt/OrcamentoEstado/Paginas/DetalhePropostaAlteracao.aspx?BID=25367 PDF: https://app.parlamento.pt/webutils/docs/doc.pdf?path=6148523063484d364c793942556b356c6443397a6158526c63793959566b6c4a544556484c3039464c7a49774d6a59794d4449314d5441774f533951515339694d7a56684e6d45774f533031597a646a4c5451784d7a51744f474a6a5a43307a4d6d49774d7a63304f544578595467756347526d&amp;Fich=b35a6a09-5c7c-4134-8bcd-32b0374911a8.pdf&amp;Inline=true</t>
        </is>
      </c>
      <c r="X1306" s="2" t="inlineStr">
        <is>
          <t>Ambiente e Energia; Orçamento, Finanças e Administração Pública</t>
        </is>
      </c>
      <c r="Y1306" s="2" t="inlineStr">
        <is>
          <t>Articulado</t>
        </is>
      </c>
      <c r="Z1306" s="2" t="inlineStr">
        <is>
          <t>Eliminação</t>
        </is>
      </c>
      <c r="AA1306" s="2" t="inlineStr">
        <is>
          <t>Retirado(a)</t>
        </is>
      </c>
      <c r="AB1306" s="2" t="inlineStr"/>
      <c r="AC1306" s="2" t="inlineStr">
        <is>
          <t>2</t>
        </is>
      </c>
      <c r="AD1306" s="2" t="inlineStr">
        <is>
          <t>0</t>
        </is>
      </c>
      <c r="AE1306" s="2" t="inlineStr">
        <is>
          <t>25367</t>
        </is>
      </c>
      <c r="AF1306" s="2" t="inlineStr">
        <is>
          <t>https://www.parlamento.pt/OrcamentoEstado/Paginas/DetalhePropostaAlteracao.aspx?BID=25367</t>
        </is>
      </c>
      <c r="AG1306" s="2" t="inlineStr">
        <is>
          <t>https://app.parlamento.pt/webutils/docs/doc.pdf?path=6148523063484d364c793942556b356c6443397a6158526c63793959566b6c4a544556484c3039464c7a49774d6a59794d4449314d5441774f533951515339694d7a56684e6d45774f533031597a646a4c5451784d7a51744f474a6a5a43307a4d6d49774d7a63304f544578595467756347526d&amp;Fich=b35a6a09-5c7c-4134-8bcd-32b0374911a8.pdf&amp;Inline=true</t>
        </is>
      </c>
      <c r="AH1306" s="3" t="n">
        <v>46321.77847222222</v>
      </c>
      <c r="AI1306" s="3" t="n">
        <v>46321.78055555555</v>
      </c>
      <c r="AJ1306" s="2" t="inlineStr"/>
    </row>
    <row r="1307">
      <c r="A1307" s="2" t="n">
        <v>1306</v>
      </c>
      <c r="B1307" s="2" t="inlineStr">
        <is>
          <t>1234C-3</t>
        </is>
      </c>
      <c r="C1307" s="3" t="n">
        <v>45968.43888888889</v>
      </c>
      <c r="D1307" s="2" t="inlineStr">
        <is>
          <t>Original</t>
        </is>
      </c>
      <c r="E1307" s="2" t="inlineStr">
        <is>
          <t>IL</t>
        </is>
      </c>
      <c r="F1307" s="2" t="inlineStr">
        <is>
          <t>Angélique Da Teresa; Carlos Guimarães Pinto; Joana Cordeiro; Jorge Miguel Teixeira; Mariana Leitão; Mário Amorim Lopes; Miguel Rangel; Rodrigo Saraiva; Rui Rocha</t>
        </is>
      </c>
      <c r="G1307" s="2" t="inlineStr">
        <is>
          <t>Art. 77.º (eliminação)</t>
        </is>
      </c>
      <c r="H1307" s="2" t="n"/>
      <c r="I1307" s="2" t="n"/>
      <c r="J1307" s="2" t="n"/>
      <c r="K1307" s="2" t="n"/>
      <c r="L1307" s="2" t="inlineStr">
        <is>
          <t>Artigo 77.º</t>
        </is>
      </c>
      <c r="M1307" s="4" t="n"/>
      <c r="N1307" s="4" t="n"/>
      <c r="O1307" s="2" t="n"/>
      <c r="P1307" s="2" t="n"/>
      <c r="Q1307" s="2" t="n"/>
      <c r="R1307" s="2" t="n"/>
      <c r="S1307" s="2" t="inlineStr">
        <is>
          <t>Rejeitado(a) em Comissão</t>
        </is>
      </c>
      <c r="T1307" s="2" t="inlineStr">
        <is>
          <t>Rejeitada</t>
        </is>
      </c>
      <c r="U1307" s="2" t="inlineStr">
        <is>
          <t>Favor: IL; Contra: PSD, CH, PS, L, PCP, CDS-PP, BE, PAN</t>
        </is>
      </c>
      <c r="V1307" s="3" t="n">
        <v>45982</v>
      </c>
      <c r="W1307" s="2" t="inlineStr">
        <is>
          <t>AR: https://www.parlamento.pt/OrcamentoEstado/Paginas/DetalhePropostaAlteracao.aspx?BID=25369 PDF: https://app.parlamento.pt/webutils/docs/doc.pdf?path=6148523063484d364c793942556b356c6443397a6158526c63793959566b6c4a544556484c3039464c7a49774d6a59794d4449314d5441774f533951515338774d7a526d596a4130595330794f47497a4c5451305a6a59744f54646d4e5330325a4441784f574a6d597a597a4d5459756347526d&amp;Fich=034fb04a-28b3-44f6-97f5-6d019bfc6316.pdf&amp;Inline=true</t>
        </is>
      </c>
      <c r="X1307" s="2" t="inlineStr">
        <is>
          <t>Ambiente e Energia; Orçamento, Finanças e Administração Pública</t>
        </is>
      </c>
      <c r="Y1307" s="2" t="inlineStr">
        <is>
          <t>Articulado</t>
        </is>
      </c>
      <c r="Z1307" s="2" t="inlineStr">
        <is>
          <t>Eliminação</t>
        </is>
      </c>
      <c r="AA1307" s="2" t="inlineStr">
        <is>
          <t>Rejeitado(a) em Comissão</t>
        </is>
      </c>
      <c r="AB1307" s="2" t="inlineStr"/>
      <c r="AC1307" s="2" t="inlineStr">
        <is>
          <t>3</t>
        </is>
      </c>
      <c r="AD1307" s="2" t="inlineStr">
        <is>
          <t>1</t>
        </is>
      </c>
      <c r="AE1307" s="2" t="inlineStr">
        <is>
          <t>25369</t>
        </is>
      </c>
      <c r="AF1307" s="2" t="inlineStr">
        <is>
          <t>https://www.parlamento.pt/OrcamentoEstado/Paginas/DetalhePropostaAlteracao.aspx?BID=25369</t>
        </is>
      </c>
      <c r="AG1307" s="2" t="inlineStr">
        <is>
          <t>https://app.parlamento.pt/webutils/docs/doc.pdf?path=6148523063484d364c793942556b356c6443397a6158526c63793959566b6c4a544556484c3039464c7a49774d6a59794d4449314d5441774f533951515338774d7a526d596a4130595330794f47497a4c5451305a6a59744f54646d4e5330325a4441784f574a6d597a597a4d5459756347526d&amp;Fich=034fb04a-28b3-44f6-97f5-6d019bfc6316.pdf&amp;Inline=true</t>
        </is>
      </c>
      <c r="AH1307" s="3" t="n">
        <v>46321.77847222222</v>
      </c>
      <c r="AI1307" s="3" t="n">
        <v>46321.78055555555</v>
      </c>
      <c r="AJ1307" s="2" t="inlineStr"/>
    </row>
    <row r="1308">
      <c r="A1308" s="2" t="n">
        <v>1307</v>
      </c>
      <c r="B1308" s="2" t="inlineStr">
        <is>
          <t>1235C</t>
        </is>
      </c>
      <c r="C1308" s="3" t="n">
        <v>45968.44166666667</v>
      </c>
      <c r="D1308" s="2" t="inlineStr">
        <is>
          <t>Original</t>
        </is>
      </c>
      <c r="E1308" s="2" t="inlineStr">
        <is>
          <t>BE</t>
        </is>
      </c>
      <c r="F1308" s="2" t="inlineStr">
        <is>
          <t>Mariana Mortágua</t>
        </is>
      </c>
      <c r="G1308" s="2" t="inlineStr">
        <is>
          <t>Art. 112.º-A (aditamento)</t>
        </is>
      </c>
      <c r="H1308" s="2" t="n"/>
      <c r="I1308" s="2" t="n"/>
      <c r="J1308" s="2" t="n"/>
      <c r="K1308" s="2" t="n"/>
      <c r="L1308" s="2" t="inlineStr">
        <is>
          <t>Artigo 112.º-A (Criação de um programa de produção energética solar descentralizada)</t>
        </is>
      </c>
      <c r="M1308" s="4" t="n"/>
      <c r="N1308" s="4" t="n"/>
      <c r="O1308" s="2" t="n"/>
      <c r="P1308" s="2" t="n"/>
      <c r="Q1308" s="2" t="n"/>
      <c r="R1308" s="2" t="n"/>
      <c r="S1308" s="2" t="inlineStr">
        <is>
          <t>Rejeitado(a) em Comissão</t>
        </is>
      </c>
      <c r="T1308" s="2" t="inlineStr">
        <is>
          <t>Rejeitada</t>
        </is>
      </c>
      <c r="U1308" s="2" t="inlineStr">
        <is>
          <t>Favor: IL, L, BE, PAN; Contra: PSD, CDS-PP; Abstenção: CH, PS, PCP</t>
        </is>
      </c>
      <c r="V1308" s="3" t="n">
        <v>45982</v>
      </c>
      <c r="W1308" s="2" t="inlineStr">
        <is>
          <t>AR: https://www.parlamento.pt/OrcamentoEstado/Paginas/DetalhePropostaAlteracao.aspx?BID=24479 PDF: https://app.parlamento.pt/webutils/docs/doc.pdf?path=6148523063484d364c793942556b356c6443397a6158526c63793959566b6c4a544556484c3039464c7a49774d6a59794d4449314d5441774f53395151533834597a49344e446b775a433079595445314c54526d597a67744f4755324d43316a596d4d784e6a417a4f57466d597a45756347526d&amp;Fich=8c28490d-2a15-4fc8-8e60-cbc16039afc1.pdf&amp;Inline=true</t>
        </is>
      </c>
      <c r="X1308" s="2" t="inlineStr">
        <is>
          <t>Ambiente e Energia</t>
        </is>
      </c>
      <c r="Y1308" s="2" t="inlineStr">
        <is>
          <t>Articulado</t>
        </is>
      </c>
      <c r="Z1308" s="2" t="inlineStr">
        <is>
          <t>Aditamento (Artigo PPL)</t>
        </is>
      </c>
      <c r="AA1308" s="2" t="inlineStr">
        <is>
          <t>Rejeitado(a) em Comissão</t>
        </is>
      </c>
      <c r="AB1308" s="2" t="inlineStr"/>
      <c r="AC1308" s="2" t="inlineStr"/>
      <c r="AD1308" s="2" t="inlineStr">
        <is>
          <t>1</t>
        </is>
      </c>
      <c r="AE1308" s="2" t="inlineStr">
        <is>
          <t>24479</t>
        </is>
      </c>
      <c r="AF1308" s="2" t="inlineStr">
        <is>
          <t>https://www.parlamento.pt/OrcamentoEstado/Paginas/DetalhePropostaAlteracao.aspx?BID=24479</t>
        </is>
      </c>
      <c r="AG1308" s="2" t="inlineStr">
        <is>
          <t>https://app.parlamento.pt/webutils/docs/doc.pdf?path=6148523063484d364c793942556b356c6443397a6158526c63793959566b6c4a544556484c3039464c7a49774d6a59794d4449314d5441774f53395151533834597a49344e446b775a433079595445314c54526d597a67744f4755324d43316a596d4d784e6a417a4f57466d597a45756347526d&amp;Fich=8c28490d-2a15-4fc8-8e60-cbc16039afc1.pdf&amp;Inline=true</t>
        </is>
      </c>
      <c r="AH1308" s="3" t="n">
        <v>46321.77847222222</v>
      </c>
      <c r="AI1308" s="3" t="n">
        <v>46321.78055555555</v>
      </c>
      <c r="AJ1308" s="2" t="inlineStr"/>
    </row>
    <row r="1309">
      <c r="A1309" s="2" t="n">
        <v>1308</v>
      </c>
      <c r="B1309" s="2" t="inlineStr">
        <is>
          <t>1236C</t>
        </is>
      </c>
      <c r="C1309" s="3" t="n">
        <v>45968.44513888889</v>
      </c>
      <c r="D1309" s="2" t="inlineStr">
        <is>
          <t>Original</t>
        </is>
      </c>
      <c r="E1309" s="2" t="inlineStr">
        <is>
          <t>BE</t>
        </is>
      </c>
      <c r="F1309" s="2" t="inlineStr">
        <is>
          <t>Mariana Mortágua</t>
        </is>
      </c>
      <c r="G1309" s="2" t="inlineStr">
        <is>
          <t>Art. 112.º-A (aditamento)</t>
        </is>
      </c>
      <c r="H1309" s="2" t="n"/>
      <c r="I1309" s="2" t="n"/>
      <c r="J1309" s="2" t="n"/>
      <c r="K1309" s="2" t="n"/>
      <c r="L1309" s="2" t="inlineStr">
        <is>
          <t>Artigo 112.º-A (Programa de combate à pobreza energética)</t>
        </is>
      </c>
      <c r="M1309" s="4" t="n"/>
      <c r="N1309" s="4" t="n"/>
      <c r="O1309" s="2" t="n"/>
      <c r="P1309" s="2" t="n"/>
      <c r="Q1309" s="2" t="n"/>
      <c r="R1309" s="2" t="n"/>
      <c r="S1309" s="2" t="inlineStr">
        <is>
          <t>Rejeitado(a) em Comissão</t>
        </is>
      </c>
      <c r="T1309" s="2" t="inlineStr">
        <is>
          <t>Rejeitada</t>
        </is>
      </c>
      <c r="U1309" s="2" t="inlineStr">
        <is>
          <t>Favor: L, PCP, BE, PAN; Contra: PSD, CH, CDS-PP; Abstenção: PS, IL</t>
        </is>
      </c>
      <c r="V1309" s="3" t="n">
        <v>45982</v>
      </c>
      <c r="W1309" s="2" t="inlineStr">
        <is>
          <t>AR: https://www.parlamento.pt/OrcamentoEstado/Paginas/DetalhePropostaAlteracao.aspx?BID=24480 PDF: https://app.parlamento.pt/webutils/docs/doc.pdf?path=6148523063484d364c793942556b356c6443397a6158526c63793959566b6c4a544556484c3039464c7a49774d6a59794d4449314d5441774f5339515153396a59544d324e7a55315a53316a5a44497a4c5451774f574574595467315979316a4f54686b4e6a52694e3259354d7a49756347526d&amp;Fich=ca36755e-cd23-409a-a85c-c98d64b7f932.pdf&amp;Inline=true</t>
        </is>
      </c>
      <c r="X1309" s="2" t="inlineStr">
        <is>
          <t>Ambiente e Energia</t>
        </is>
      </c>
      <c r="Y1309" s="2" t="inlineStr">
        <is>
          <t>Articulado</t>
        </is>
      </c>
      <c r="Z1309" s="2" t="inlineStr">
        <is>
          <t>Aditamento (Artigo PPL)</t>
        </is>
      </c>
      <c r="AA1309" s="2" t="inlineStr">
        <is>
          <t>Rejeitado(a) em Comissão</t>
        </is>
      </c>
      <c r="AB1309" s="2" t="inlineStr"/>
      <c r="AC1309" s="2" t="inlineStr"/>
      <c r="AD1309" s="2" t="inlineStr">
        <is>
          <t>1</t>
        </is>
      </c>
      <c r="AE1309" s="2" t="inlineStr">
        <is>
          <t>24480</t>
        </is>
      </c>
      <c r="AF1309" s="2" t="inlineStr">
        <is>
          <t>https://www.parlamento.pt/OrcamentoEstado/Paginas/DetalhePropostaAlteracao.aspx?BID=24480</t>
        </is>
      </c>
      <c r="AG1309" s="2" t="inlineStr">
        <is>
          <t>https://app.parlamento.pt/webutils/docs/doc.pdf?path=6148523063484d364c793942556b356c6443397a6158526c63793959566b6c4a544556484c3039464c7a49774d6a59794d4449314d5441774f5339515153396a59544d324e7a55315a53316a5a44497a4c5451774f574574595467315979316a4f54686b4e6a52694e3259354d7a49756347526d&amp;Fich=ca36755e-cd23-409a-a85c-c98d64b7f932.pdf&amp;Inline=true</t>
        </is>
      </c>
      <c r="AH1309" s="3" t="n">
        <v>46321.77847222222</v>
      </c>
      <c r="AI1309" s="3" t="n">
        <v>46321.78055555555</v>
      </c>
      <c r="AJ1309" s="2" t="inlineStr"/>
    </row>
    <row r="1310">
      <c r="A1310" s="2" t="n">
        <v>1309</v>
      </c>
      <c r="B1310" s="2" t="inlineStr">
        <is>
          <t>1237C-1</t>
        </is>
      </c>
      <c r="C1310" s="3" t="n">
        <v>45968.44930555556</v>
      </c>
      <c r="D1310" s="2" t="inlineStr">
        <is>
          <t>Original</t>
        </is>
      </c>
      <c r="E1310" s="2" t="inlineStr">
        <is>
          <t>IL</t>
        </is>
      </c>
      <c r="F1310" s="2" t="inlineStr">
        <is>
          <t>Angélique Da Teresa; Carlos Guimarães Pinto; Joana Cordeiro; Jorge Miguel Teixeira; Mariana Leitão; Mário Amorim Lopes; Miguel Rangel; Rodrigo Saraiva; Rui Rocha</t>
        </is>
      </c>
      <c r="G1310" s="2" t="inlineStr">
        <is>
          <t>Art. 60.º (aditamento)</t>
        </is>
      </c>
      <c r="H1310" s="2" t="n"/>
      <c r="I1310" s="2" t="n"/>
      <c r="J1310" s="2" t="n"/>
      <c r="K1310" s="2" t="n"/>
      <c r="L1310" s="2" t="inlineStr">
        <is>
          <t>Alínea n), N.º 1, Artigo 78.º do Código do IRS</t>
        </is>
      </c>
      <c r="M1310" s="4" t="n"/>
      <c r="N1310" s="4" t="n"/>
      <c r="O1310" s="2" t="n"/>
      <c r="P1310" s="2" t="n"/>
      <c r="Q1310" s="2" t="n"/>
      <c r="R1310" s="2" t="n"/>
      <c r="S1310" s="2" t="inlineStr">
        <is>
          <t>Rejeitado(a) em Comissão</t>
        </is>
      </c>
      <c r="T1310" s="2" t="inlineStr">
        <is>
          <t>Rejeitada</t>
        </is>
      </c>
      <c r="U1310" s="2" t="inlineStr">
        <is>
          <t>Favor: CH, IL, L, PAN; Contra: PSD, PCP, CDS-PP; Abstenção: PS, BE</t>
        </is>
      </c>
      <c r="V1310" s="3" t="n">
        <v>45981</v>
      </c>
      <c r="W1310" s="2" t="inlineStr">
        <is>
          <t>AR: https://www.parlamento.pt/OrcamentoEstado/Paginas/DetalhePropostaAlteracao.aspx?BID=24481 PDF: https://app.parlamento.pt/webutils/docs/doc.pdf?path=6148523063484d364c793942556b356c6443397a6158526c63793959566b6c4a544556484c3039464c7a49774d6a59794d4449314d5441774f533951515338305a4452684d5749794e79316c4e57526c4c545268595749744f5451774d6930344e575669596a49345a47526c596a51756347526d&amp;Fich=4d4a1b27-e5de-4aab-9402-85ebb28ddeb4.pdf&amp;Inline=true</t>
        </is>
      </c>
      <c r="X1310" s="2" t="inlineStr">
        <is>
          <t>Ambiente e Energia; Orçamento, Finanças e Administração Pública</t>
        </is>
      </c>
      <c r="Y1310" s="2" t="inlineStr">
        <is>
          <t>Articulado</t>
        </is>
      </c>
      <c r="Z1310" s="2" t="inlineStr">
        <is>
          <t>Aditamento (Números e Alíneas)</t>
        </is>
      </c>
      <c r="AA1310" s="2" t="inlineStr">
        <is>
          <t>Rejeitado(a) em Comissão</t>
        </is>
      </c>
      <c r="AB1310" s="2" t="inlineStr"/>
      <c r="AC1310" s="2" t="inlineStr">
        <is>
          <t>1</t>
        </is>
      </c>
      <c r="AD1310" s="2" t="inlineStr">
        <is>
          <t>1</t>
        </is>
      </c>
      <c r="AE1310" s="2" t="inlineStr">
        <is>
          <t>24481</t>
        </is>
      </c>
      <c r="AF1310" s="2" t="inlineStr">
        <is>
          <t>https://www.parlamento.pt/OrcamentoEstado/Paginas/DetalhePropostaAlteracao.aspx?BID=24481</t>
        </is>
      </c>
      <c r="AG1310" s="2" t="inlineStr">
        <is>
          <t>https://app.parlamento.pt/webutils/docs/doc.pdf?path=6148523063484d364c793942556b356c6443397a6158526c63793959566b6c4a544556484c3039464c7a49774d6a59794d4449314d5441774f533951515338305a4452684d5749794e79316c4e57526c4c545268595749744f5451774d6930344e575669596a49345a47526c596a51756347526d&amp;Fich=4d4a1b27-e5de-4aab-9402-85ebb28ddeb4.pdf&amp;Inline=true</t>
        </is>
      </c>
      <c r="AH1310" s="3" t="n">
        <v>46321.77847222222</v>
      </c>
      <c r="AI1310" s="3" t="n">
        <v>46321.78055555555</v>
      </c>
      <c r="AJ1310" s="2" t="inlineStr"/>
    </row>
    <row r="1311">
      <c r="A1311" s="2" t="n">
        <v>1310</v>
      </c>
      <c r="B1311" s="2" t="inlineStr">
        <is>
          <t>1237C-2</t>
        </is>
      </c>
      <c r="C1311" s="3" t="n">
        <v>45968.44930555556</v>
      </c>
      <c r="D1311" s="2" t="inlineStr">
        <is>
          <t>Original</t>
        </is>
      </c>
      <c r="E1311" s="2" t="inlineStr">
        <is>
          <t>IL</t>
        </is>
      </c>
      <c r="F1311" s="2" t="inlineStr">
        <is>
          <t>Angélique Da Teresa; Carlos Guimarães Pinto; Joana Cordeiro; Jorge Miguel Teixeira; Mariana Leitão; Mário Amorim Lopes; Miguel Rangel; Rodrigo Saraiva; Rui Rocha</t>
        </is>
      </c>
      <c r="G1311" s="2" t="inlineStr">
        <is>
          <t>Art. 60.º-A (aditamento)</t>
        </is>
      </c>
      <c r="H1311" s="2" t="n"/>
      <c r="I1311" s="2" t="n"/>
      <c r="J1311" s="2" t="n"/>
      <c r="K1311" s="2" t="n"/>
      <c r="L1311" s="2" t="inlineStr">
        <is>
          <t>Artigo 60.º-A (Aditamento ao Código do Imposto sobre o Rendimento das Pessoas Singulares)</t>
        </is>
      </c>
      <c r="M1311" s="4" t="n"/>
      <c r="N1311" s="4" t="n"/>
      <c r="O1311" s="2" t="n"/>
      <c r="P1311" s="2" t="n"/>
      <c r="Q1311" s="2" t="n"/>
      <c r="R1311" s="2" t="n"/>
      <c r="S1311" s="2" t="inlineStr">
        <is>
          <t>Rejeitado(a) em Comissão</t>
        </is>
      </c>
      <c r="T1311" s="2" t="inlineStr">
        <is>
          <t>Rejeitada</t>
        </is>
      </c>
      <c r="U1311" s="2" t="inlineStr">
        <is>
          <t>Favor: CH, IL, L, PAN; Contra: PSD, PCP, CDS-PP; Abstenção: PS, BE</t>
        </is>
      </c>
      <c r="V1311" s="3" t="n">
        <v>45981</v>
      </c>
      <c r="W1311" s="2" t="inlineStr">
        <is>
          <t>AR: https://www.parlamento.pt/OrcamentoEstado/Paginas/DetalhePropostaAlteracao.aspx?BID=25353 PDF: https://app.parlamento.pt/webutils/docs/doc.pdf?path=6148523063484d364c793942556b356c6443397a6158526c63793959566b6c4a544556484c3039464c7a49774d6a59794d4449314d5441774f533951515338314d4751794e6d4930597930335a6a4e684c5451784e445974596a68694f533168597a55354d6a6c6c4d4442695a6d59756347526d&amp;Fich=50d26b4c-7f3a-4146-b8b9-ac5929e00bff.pdf&amp;Inline=true</t>
        </is>
      </c>
      <c r="X1311" s="2" t="inlineStr">
        <is>
          <t>Ambiente e Energia; Orçamento, Finanças e Administração Pública</t>
        </is>
      </c>
      <c r="Y1311" s="2" t="inlineStr">
        <is>
          <t>Articulado</t>
        </is>
      </c>
      <c r="Z1311" s="2" t="inlineStr">
        <is>
          <t>Aditamento (Artigo PPL)</t>
        </is>
      </c>
      <c r="AA1311" s="2" t="inlineStr">
        <is>
          <t>Rejeitado(a) em Comissão</t>
        </is>
      </c>
      <c r="AB1311" s="2" t="inlineStr"/>
      <c r="AC1311" s="2" t="inlineStr">
        <is>
          <t>2</t>
        </is>
      </c>
      <c r="AD1311" s="2" t="inlineStr">
        <is>
          <t>1</t>
        </is>
      </c>
      <c r="AE1311" s="2" t="inlineStr">
        <is>
          <t>25353</t>
        </is>
      </c>
      <c r="AF1311" s="2" t="inlineStr">
        <is>
          <t>https://www.parlamento.pt/OrcamentoEstado/Paginas/DetalhePropostaAlteracao.aspx?BID=25353</t>
        </is>
      </c>
      <c r="AG1311" s="2" t="inlineStr">
        <is>
          <t>https://app.parlamento.pt/webutils/docs/doc.pdf?path=6148523063484d364c793942556b356c6443397a6158526c63793959566b6c4a544556484c3039464c7a49774d6a59794d4449314d5441774f533951515338314d4751794e6d4930597930335a6a4e684c5451784e445974596a68694f533168597a55354d6a6c6c4d4442695a6d59756347526d&amp;Fich=50d26b4c-7f3a-4146-b8b9-ac5929e00bff.pdf&amp;Inline=true</t>
        </is>
      </c>
      <c r="AH1311" s="3" t="n">
        <v>46321.77847222222</v>
      </c>
      <c r="AI1311" s="3" t="n">
        <v>46321.78055555555</v>
      </c>
      <c r="AJ1311" s="2" t="inlineStr"/>
    </row>
    <row r="1312">
      <c r="A1312" s="2" t="n">
        <v>1311</v>
      </c>
      <c r="B1312" s="2" t="inlineStr">
        <is>
          <t>1238C</t>
        </is>
      </c>
      <c r="C1312" s="3" t="n">
        <v>45968.45</v>
      </c>
      <c r="D1312" s="2" t="inlineStr">
        <is>
          <t>Original</t>
        </is>
      </c>
      <c r="E1312" s="2" t="inlineStr">
        <is>
          <t>BE</t>
        </is>
      </c>
      <c r="F1312" s="2" t="inlineStr">
        <is>
          <t>Mariana Mortágua</t>
        </is>
      </c>
      <c r="G1312" s="2" t="inlineStr">
        <is>
          <t>Art. 108.º (substituição)</t>
        </is>
      </c>
      <c r="H1312" s="2" t="n"/>
      <c r="I1312" s="2" t="n"/>
      <c r="J1312" s="2" t="n"/>
      <c r="K1312" s="2" t="n"/>
      <c r="L1312" s="2" t="inlineStr">
        <is>
          <t>Artigo 108.º</t>
        </is>
      </c>
      <c r="M1312" s="4" t="n"/>
      <c r="N1312" s="4" t="n"/>
      <c r="O1312" s="2" t="n"/>
      <c r="P1312" s="2" t="n"/>
      <c r="Q1312" s="2" t="n"/>
      <c r="R1312" s="2" t="n"/>
      <c r="S1312" s="2" t="inlineStr">
        <is>
          <t>Rejeitado(a) em Comissão</t>
        </is>
      </c>
      <c r="T1312" s="2" t="inlineStr">
        <is>
          <t>Rejeitada</t>
        </is>
      </c>
      <c r="U1312" s="2" t="inlineStr">
        <is>
          <t>Favor: CH, L, PCP, BE, PAN; Contra: PSD, CDS-PP; Abstenção: PS, IL</t>
        </is>
      </c>
      <c r="V1312" s="3" t="n">
        <v>45982</v>
      </c>
      <c r="W1312" s="2" t="inlineStr">
        <is>
          <t>AR: https://www.parlamento.pt/OrcamentoEstado/Paginas/DetalhePropostaAlteracao.aspx?BID=24482 PDF: https://app.parlamento.pt/webutils/docs/doc.pdf?path=6148523063484d364c793942556b356c6443397a6158526c63793959566b6c4a544556484c3039464c7a49774d6a59794d4449314d5441774f533951515338354d6d4a69593255305969316d5a6a55354c5451344d7a4174595451355a53316c5a474931597a59795a546b3259574d756347526d&amp;Fich=92bbce4b-ff59-4830-a49e-edb5c62e96ac.pdf&amp;Inline=true</t>
        </is>
      </c>
      <c r="X1312" s="2" t="inlineStr">
        <is>
          <t>Agricultura e Pescas</t>
        </is>
      </c>
      <c r="Y1312" s="2" t="inlineStr">
        <is>
          <t>Articulado</t>
        </is>
      </c>
      <c r="Z1312" s="2" t="inlineStr">
        <is>
          <t>Substituição</t>
        </is>
      </c>
      <c r="AA1312" s="2" t="inlineStr">
        <is>
          <t>Rejeitado(a) em Comissão</t>
        </is>
      </c>
      <c r="AB1312" s="2" t="inlineStr"/>
      <c r="AC1312" s="2" t="inlineStr"/>
      <c r="AD1312" s="2" t="inlineStr">
        <is>
          <t>1</t>
        </is>
      </c>
      <c r="AE1312" s="2" t="inlineStr">
        <is>
          <t>24482</t>
        </is>
      </c>
      <c r="AF1312" s="2" t="inlineStr">
        <is>
          <t>https://www.parlamento.pt/OrcamentoEstado/Paginas/DetalhePropostaAlteracao.aspx?BID=24482</t>
        </is>
      </c>
      <c r="AG1312" s="2" t="inlineStr">
        <is>
          <t>https://app.parlamento.pt/webutils/docs/doc.pdf?path=6148523063484d364c793942556b356c6443397a6158526c63793959566b6c4a544556484c3039464c7a49774d6a59794d4449314d5441774f533951515338354d6d4a69593255305969316d5a6a55354c5451344d7a4174595451355a53316c5a474931597a59795a546b3259574d756347526d&amp;Fich=92bbce4b-ff59-4830-a49e-edb5c62e96ac.pdf&amp;Inline=true</t>
        </is>
      </c>
      <c r="AH1312" s="3" t="n">
        <v>46321.77847222222</v>
      </c>
      <c r="AI1312" s="3" t="n">
        <v>46321.78055555555</v>
      </c>
      <c r="AJ1312" s="2" t="inlineStr"/>
    </row>
    <row r="1313">
      <c r="A1313" s="2" t="n">
        <v>1312</v>
      </c>
      <c r="B1313" s="2" t="inlineStr">
        <is>
          <t>1239C</t>
        </is>
      </c>
      <c r="C1313" s="3" t="n">
        <v>45968.45208333333</v>
      </c>
      <c r="D1313" s="2" t="inlineStr">
        <is>
          <t>Original</t>
        </is>
      </c>
      <c r="E1313" s="2" t="inlineStr">
        <is>
          <t>BE</t>
        </is>
      </c>
      <c r="F1313" s="2" t="inlineStr">
        <is>
          <t>Mariana Mortágua</t>
        </is>
      </c>
      <c r="G1313" s="2" t="inlineStr">
        <is>
          <t>Art. 7.º (aditamento)</t>
        </is>
      </c>
      <c r="H1313" s="2" t="n"/>
      <c r="I1313" s="2" t="n"/>
      <c r="J1313" s="2" t="n"/>
      <c r="K1313" s="2" t="n"/>
      <c r="L1313" s="2" t="inlineStr">
        <is>
          <t>Nova Verba 1, Mapa de alterações e transferências orçamentais, Artigo 7.º</t>
        </is>
      </c>
      <c r="M1313" s="4" t="n"/>
      <c r="N1313" s="4" t="n"/>
      <c r="O1313" s="2" t="n"/>
      <c r="P1313" s="2" t="n"/>
      <c r="Q1313" s="2" t="n"/>
      <c r="R1313" s="2" t="n"/>
      <c r="S1313" s="2" t="inlineStr">
        <is>
          <t>Rejeitado(a) em Comissão</t>
        </is>
      </c>
      <c r="T1313" s="2" t="inlineStr">
        <is>
          <t>Rejeitada</t>
        </is>
      </c>
      <c r="U1313" s="2" t="inlineStr">
        <is>
          <t>Favor: CH, L, PCP, BE, PAN; Contra: PSD, CDS-PP; Abstenção: PS, IL</t>
        </is>
      </c>
      <c r="V1313" s="3" t="n">
        <v>45987</v>
      </c>
      <c r="W1313" s="2" t="inlineStr">
        <is>
          <t>AR: https://www.parlamento.pt/OrcamentoEstado/Paginas/DetalhePropostaAlteracao.aspx?BID=24484 PDF: https://app.parlamento.pt/webutils/docs/doc.pdf?path=6148523063484d364c793942556b356c6443397a6158526c63793959566b6c4a544556484c3039464c7a49774d6a59794d4449314d5441774f533951515339694f5451794e7a646a5a5331684d6a59794c5451304e7a417459574579597930334d446b31595459324f544179595759756347526d&amp;Fich=b94277ce-a262-4470-aa2c-7095a66902af.pdf&amp;Inline=true</t>
        </is>
      </c>
      <c r="X1313" s="2" t="inlineStr">
        <is>
          <t>Saúde</t>
        </is>
      </c>
      <c r="Y1313" s="2" t="inlineStr">
        <is>
          <t>Mapas</t>
        </is>
      </c>
      <c r="Z1313" s="2" t="inlineStr">
        <is>
          <t>Aditamento (Números e Alíneas)</t>
        </is>
      </c>
      <c r="AA1313" s="2" t="inlineStr">
        <is>
          <t>Rejeitado(a) em Comissão</t>
        </is>
      </c>
      <c r="AB1313" s="2" t="inlineStr"/>
      <c r="AC1313" s="2" t="inlineStr"/>
      <c r="AD1313" s="2" t="inlineStr">
        <is>
          <t>1</t>
        </is>
      </c>
      <c r="AE1313" s="2" t="inlineStr">
        <is>
          <t>24484</t>
        </is>
      </c>
      <c r="AF1313" s="2" t="inlineStr">
        <is>
          <t>https://www.parlamento.pt/OrcamentoEstado/Paginas/DetalhePropostaAlteracao.aspx?BID=24484</t>
        </is>
      </c>
      <c r="AG1313" s="2" t="inlineStr">
        <is>
          <t>https://app.parlamento.pt/webutils/docs/doc.pdf?path=6148523063484d364c793942556b356c6443397a6158526c63793959566b6c4a544556484c3039464c7a49774d6a59794d4449314d5441774f533951515339694f5451794e7a646a5a5331684d6a59794c5451304e7a417459574579597930334d446b31595459324f544179595759756347526d&amp;Fich=b94277ce-a262-4470-aa2c-7095a66902af.pdf&amp;Inline=true</t>
        </is>
      </c>
      <c r="AH1313" s="3" t="n">
        <v>46321.77847222222</v>
      </c>
      <c r="AI1313" s="3" t="n">
        <v>46321.78055555555</v>
      </c>
      <c r="AJ1313" s="2" t="inlineStr"/>
    </row>
    <row r="1314">
      <c r="A1314" s="2" t="n">
        <v>1313</v>
      </c>
      <c r="B1314" s="2" t="inlineStr">
        <is>
          <t>1240C</t>
        </is>
      </c>
      <c r="C1314" s="3" t="n">
        <v>45968.45208333333</v>
      </c>
      <c r="D1314" s="2" t="inlineStr">
        <is>
          <t>Original</t>
        </is>
      </c>
      <c r="E1314" s="2" t="inlineStr">
        <is>
          <t>JPP</t>
        </is>
      </c>
      <c r="F1314" s="2" t="inlineStr">
        <is>
          <t>Filipe Sousa</t>
        </is>
      </c>
      <c r="G1314" s="2" t="inlineStr">
        <is>
          <t>Art. 63.º-C (aditamento)</t>
        </is>
      </c>
      <c r="H1314" s="2" t="n"/>
      <c r="I1314" s="2" t="n"/>
      <c r="J1314" s="2" t="n"/>
      <c r="K1314" s="2" t="n"/>
      <c r="L1314" s="2" t="inlineStr">
        <is>
          <t>Artigo 63.º-C (Diferencial regional do ISP nas Regiões Autónomas (2026))</t>
        </is>
      </c>
      <c r="M1314" s="4" t="n"/>
      <c r="N1314" s="4" t="n"/>
      <c r="O1314" s="2" t="n"/>
      <c r="P1314" s="2" t="n"/>
      <c r="Q1314" s="2" t="n"/>
      <c r="R1314" s="2" t="n"/>
      <c r="S1314" s="2" t="inlineStr">
        <is>
          <t>Rejeitado(a) em Comissão</t>
        </is>
      </c>
      <c r="T1314" s="2" t="inlineStr">
        <is>
          <t>Rejeitada</t>
        </is>
      </c>
      <c r="U1314" s="2" t="inlineStr">
        <is>
          <t>Contra: PSD, CH, IL, CDS-PP; Abstenção: PS, L, PCP, BE, PAN</t>
        </is>
      </c>
      <c r="V1314" s="3" t="n">
        <v>45982</v>
      </c>
      <c r="W1314" s="2" t="inlineStr">
        <is>
          <t>AR: https://www.parlamento.pt/OrcamentoEstado/Paginas/DetalhePropostaAlteracao.aspx?BID=24485 PDF: https://app.parlamento.pt/webutils/docs/doc.pdf?path=6148523063484d364c793942556b356c6443397a6158526c63793959566b6c4a544556484c3039464c7a49774d6a59794d4449314d5441774f53395151533877595749774d7a67784d69316a4d7a6b774c5451784e5755744f47557a4f5330785a6d49784d325134596a466d4d5463756347526d&amp;Fich=0ab03812-c390-415e-8e39-1fb13d8b1f17.pdf&amp;Inline=true</t>
        </is>
      </c>
      <c r="X1314" s="2" t="inlineStr">
        <is>
          <t>Orçamento, Finanças e Administração Pública</t>
        </is>
      </c>
      <c r="Y1314" s="2" t="inlineStr">
        <is>
          <t>Articulado</t>
        </is>
      </c>
      <c r="Z1314" s="2" t="inlineStr">
        <is>
          <t>Aditamento (Artigo PPL)</t>
        </is>
      </c>
      <c r="AA1314" s="2" t="inlineStr">
        <is>
          <t>Rejeitado(a) em Comissão</t>
        </is>
      </c>
      <c r="AB1314" s="2" t="inlineStr"/>
      <c r="AC1314" s="2" t="inlineStr"/>
      <c r="AD1314" s="2" t="inlineStr">
        <is>
          <t>1</t>
        </is>
      </c>
      <c r="AE1314" s="2" t="inlineStr">
        <is>
          <t>24485</t>
        </is>
      </c>
      <c r="AF1314" s="2" t="inlineStr">
        <is>
          <t>https://www.parlamento.pt/OrcamentoEstado/Paginas/DetalhePropostaAlteracao.aspx?BID=24485</t>
        </is>
      </c>
      <c r="AG1314" s="2" t="inlineStr">
        <is>
          <t>https://app.parlamento.pt/webutils/docs/doc.pdf?path=6148523063484d364c793942556b356c6443397a6158526c63793959566b6c4a544556484c3039464c7a49774d6a59794d4449314d5441774f53395151533877595749774d7a67784d69316a4d7a6b774c5451784e5755744f47557a4f5330785a6d49784d325134596a466d4d5463756347526d&amp;Fich=0ab03812-c390-415e-8e39-1fb13d8b1f17.pdf&amp;Inline=true</t>
        </is>
      </c>
      <c r="AH1314" s="3" t="n">
        <v>46321.77847222222</v>
      </c>
      <c r="AI1314" s="3" t="n">
        <v>46321.78055555555</v>
      </c>
      <c r="AJ1314" s="2" t="inlineStr"/>
    </row>
    <row r="1315">
      <c r="A1315" s="2" t="n">
        <v>1314</v>
      </c>
      <c r="B1315" s="2" t="inlineStr">
        <is>
          <t>1241C</t>
        </is>
      </c>
      <c r="C1315" s="3" t="n">
        <v>45968.45347222222</v>
      </c>
      <c r="D1315" s="2" t="inlineStr">
        <is>
          <t>Original</t>
        </is>
      </c>
      <c r="E1315" s="2" t="inlineStr">
        <is>
          <t>BE</t>
        </is>
      </c>
      <c r="F1315" s="2" t="inlineStr">
        <is>
          <t>Mariana Mortágua</t>
        </is>
      </c>
      <c r="G1315" s="2" t="inlineStr">
        <is>
          <t>Art. 7.º (aditamento)</t>
        </is>
      </c>
      <c r="H1315" s="2" t="n"/>
      <c r="I1315" s="2" t="n"/>
      <c r="J1315" s="2" t="n"/>
      <c r="K1315" s="2" t="n"/>
      <c r="L1315" s="2" t="inlineStr">
        <is>
          <t>Nova Verba 1, Mapa de alterações e transferências orçamentais, Artigo 7.º</t>
        </is>
      </c>
      <c r="M1315" s="4" t="n"/>
      <c r="N1315" s="4" t="n"/>
      <c r="O1315" s="2" t="n"/>
      <c r="P1315" s="2" t="n"/>
      <c r="Q1315" s="2" t="n"/>
      <c r="R1315" s="2" t="n"/>
      <c r="S1315" s="2" t="inlineStr">
        <is>
          <t>Rejeitado(a) em Comissão</t>
        </is>
      </c>
      <c r="T1315" s="2" t="inlineStr">
        <is>
          <t>Rejeitada</t>
        </is>
      </c>
      <c r="U1315" s="2" t="inlineStr">
        <is>
          <t>Favor: CH, L, PCP, BE, PAN; Contra: PSD, CDS-PP; Abstenção: PS, IL</t>
        </is>
      </c>
      <c r="V1315" s="3" t="n">
        <v>45987</v>
      </c>
      <c r="W1315" s="2" t="inlineStr">
        <is>
          <t>AR: https://www.parlamento.pt/OrcamentoEstado/Paginas/DetalhePropostaAlteracao.aspx?BID=24486 PDF: https://app.parlamento.pt/webutils/docs/doc.pdf?path=6148523063484d364c793942556b356c6443397a6158526c63793959566b6c4a544556484c3039464c7a49774d6a59794d4449314d5441774f5339515153396a593245774d474d30597930794f4467334c545179597a55745954646c5a5330795954566a5a4459304e57566d4e5449756347526d&amp;Fich=cca00c4c-2887-42c5-a7ee-2a5cd645ef52.pdf&amp;Inline=true</t>
        </is>
      </c>
      <c r="X1315" s="2" t="inlineStr">
        <is>
          <t>Saúde</t>
        </is>
      </c>
      <c r="Y1315" s="2" t="inlineStr">
        <is>
          <t>Mapas</t>
        </is>
      </c>
      <c r="Z1315" s="2" t="inlineStr">
        <is>
          <t>Aditamento (Números e Alíneas)</t>
        </is>
      </c>
      <c r="AA1315" s="2" t="inlineStr">
        <is>
          <t>Rejeitado(a) em Comissão</t>
        </is>
      </c>
      <c r="AB1315" s="2" t="inlineStr"/>
      <c r="AC1315" s="2" t="inlineStr"/>
      <c r="AD1315" s="2" t="inlineStr">
        <is>
          <t>1</t>
        </is>
      </c>
      <c r="AE1315" s="2" t="inlineStr">
        <is>
          <t>24486</t>
        </is>
      </c>
      <c r="AF1315" s="2" t="inlineStr">
        <is>
          <t>https://www.parlamento.pt/OrcamentoEstado/Paginas/DetalhePropostaAlteracao.aspx?BID=24486</t>
        </is>
      </c>
      <c r="AG1315" s="2" t="inlineStr">
        <is>
          <t>https://app.parlamento.pt/webutils/docs/doc.pdf?path=6148523063484d364c793942556b356c6443397a6158526c63793959566b6c4a544556484c3039464c7a49774d6a59794d4449314d5441774f5339515153396a593245774d474d30597930794f4467334c545179597a55745954646c5a5330795954566a5a4459304e57566d4e5449756347526d&amp;Fich=cca00c4c-2887-42c5-a7ee-2a5cd645ef52.pdf&amp;Inline=true</t>
        </is>
      </c>
      <c r="AH1315" s="3" t="n">
        <v>46321.77847222222</v>
      </c>
      <c r="AI1315" s="3" t="n">
        <v>46321.78055555555</v>
      </c>
      <c r="AJ1315" s="2" t="inlineStr"/>
    </row>
    <row r="1316">
      <c r="A1316" s="2" t="n">
        <v>1315</v>
      </c>
      <c r="B1316" s="2" t="inlineStr">
        <is>
          <t>1242C-1</t>
        </is>
      </c>
      <c r="C1316" s="3" t="n">
        <v>45968.45416666667</v>
      </c>
      <c r="D1316" s="2" t="inlineStr">
        <is>
          <t>Original</t>
        </is>
      </c>
      <c r="E1316" s="2" t="inlineStr">
        <is>
          <t>IL</t>
        </is>
      </c>
      <c r="F1316" s="2" t="inlineStr">
        <is>
          <t>Angélique Da Teresa; Carlos Guimarães Pinto; Joana Cordeiro; Jorge Miguel Teixeira; Mariana Leitão; Mário Amorim Lopes; Miguel Rangel; Rodrigo Saraiva; Rui Rocha</t>
        </is>
      </c>
      <c r="G1316" s="2" t="inlineStr">
        <is>
          <t>Art. 60.º (substituição)</t>
        </is>
      </c>
      <c r="H1316" s="2" t="n"/>
      <c r="I1316" s="2" t="n"/>
      <c r="J1316" s="2" t="n"/>
      <c r="K1316" s="2" t="n"/>
      <c r="L1316" s="2" t="inlineStr">
        <is>
          <t>N.º 2, N.º 3, N.º 4, N.º 5, N.º 23, Artigo 72.º do Código do IRS</t>
        </is>
      </c>
      <c r="M1316" s="4" t="n"/>
      <c r="N1316" s="4" t="n"/>
      <c r="O1316" s="2" t="n"/>
      <c r="P1316" s="2" t="n"/>
      <c r="Q1316" s="2" t="n"/>
      <c r="R1316" s="2" t="n"/>
      <c r="S1316" s="2" t="inlineStr">
        <is>
          <t>Rejeitado(a) em Comissão</t>
        </is>
      </c>
      <c r="T1316" s="2" t="inlineStr">
        <is>
          <t>Rejeitada</t>
        </is>
      </c>
      <c r="U1316" s="2" t="inlineStr">
        <is>
          <t>Favor: CH, IL, CDS-PP; Contra: PSD, PS, L, PCP, BE; Abstenção: PAN</t>
        </is>
      </c>
      <c r="V1316" s="3" t="n">
        <v>45981</v>
      </c>
      <c r="W1316" s="2" t="inlineStr">
        <is>
          <t>AR: https://www.parlamento.pt/OrcamentoEstado/Paginas/DetalhePropostaAlteracao.aspx?BID=24487 PDF: https://app.parlamento.pt/webutils/docs/doc.pdf?path=6148523063484d364c793942556b356c6443397a6158526c63793959566b6c4a544556484c3039464c7a49774d6a59794d4449314d5441774f5339515153396d5957566c5a6a6c69597930345a4441344c5452694d4745744f5759324d43316b5a6d5579595749784f544d784e7a51756347526d&amp;Fich=faeef9bc-8d08-4b0a-9f60-dfe2ab193174.pdf&amp;Inline=true</t>
        </is>
      </c>
      <c r="X1316" s="2" t="inlineStr">
        <is>
          <t>Infraestruturas, Mobilidade e Habitação; Orçamento, Finanças e Administração Pública</t>
        </is>
      </c>
      <c r="Y1316" s="2" t="inlineStr">
        <is>
          <t>Articulado</t>
        </is>
      </c>
      <c r="Z1316" s="2" t="inlineStr">
        <is>
          <t>Substituição</t>
        </is>
      </c>
      <c r="AA1316" s="2" t="inlineStr">
        <is>
          <t>Rejeitado(a) em Comissão</t>
        </is>
      </c>
      <c r="AB1316" s="2" t="inlineStr"/>
      <c r="AC1316" s="2" t="inlineStr">
        <is>
          <t>1</t>
        </is>
      </c>
      <c r="AD1316" s="2" t="inlineStr">
        <is>
          <t>3</t>
        </is>
      </c>
      <c r="AE1316" s="2" t="inlineStr">
        <is>
          <t>24487</t>
        </is>
      </c>
      <c r="AF1316" s="2" t="inlineStr">
        <is>
          <t>https://www.parlamento.pt/OrcamentoEstado/Paginas/DetalhePropostaAlteracao.aspx?BID=24487</t>
        </is>
      </c>
      <c r="AG1316" s="2" t="inlineStr">
        <is>
          <t>https://app.parlamento.pt/webutils/docs/doc.pdf?path=6148523063484d364c793942556b356c6443397a6158526c63793959566b6c4a544556484c3039464c7a49774d6a59794d4449314d5441774f5339515153396d5957566c5a6a6c69597930345a4441344c5452694d4745744f5759324d43316b5a6d5579595749784f544d784e7a51756347526d&amp;Fich=faeef9bc-8d08-4b0a-9f60-dfe2ab193174.pdf&amp;Inline=true</t>
        </is>
      </c>
      <c r="AH1316" s="3" t="n">
        <v>46321.77847222222</v>
      </c>
      <c r="AI1316" s="3" t="n">
        <v>46321.78055555555</v>
      </c>
      <c r="AJ1316" s="2" t="inlineStr"/>
    </row>
    <row r="1317">
      <c r="A1317" s="2" t="n">
        <v>1316</v>
      </c>
      <c r="B1317" s="2" t="inlineStr">
        <is>
          <t>1242C-2</t>
        </is>
      </c>
      <c r="C1317" s="3" t="n">
        <v>45968.45416666667</v>
      </c>
      <c r="D1317" s="2" t="inlineStr">
        <is>
          <t>Original</t>
        </is>
      </c>
      <c r="E1317" s="2" t="inlineStr">
        <is>
          <t>IL</t>
        </is>
      </c>
      <c r="F1317" s="2" t="inlineStr">
        <is>
          <t>Angélique Da Teresa; Carlos Guimarães Pinto; Joana Cordeiro; Jorge Miguel Teixeira; Mariana Leitão; Mário Amorim Lopes; Miguel Rangel; Rodrigo Saraiva; Rui Rocha</t>
        </is>
      </c>
      <c r="G1317" s="2" t="inlineStr">
        <is>
          <t>Art. 62.º-A (aditamento)</t>
        </is>
      </c>
      <c r="H1317" s="2" t="n"/>
      <c r="I1317" s="2" t="n"/>
      <c r="J1317" s="2" t="n"/>
      <c r="K1317" s="2" t="n"/>
      <c r="L1317" s="2" t="inlineStr">
        <is>
          <t>Artigo 62.º-A (Aditamento ao Estatuto dos Benefícios Fiscais)</t>
        </is>
      </c>
      <c r="M1317" s="4" t="n"/>
      <c r="N1317" s="4" t="n"/>
      <c r="O1317" s="2" t="n"/>
      <c r="P1317" s="2" t="n"/>
      <c r="Q1317" s="2" t="n"/>
      <c r="R1317" s="2" t="n"/>
      <c r="S1317" s="2" t="inlineStr">
        <is>
          <t>Rejeitado(a) em Plenário</t>
        </is>
      </c>
      <c r="T1317" s="2" t="inlineStr">
        <is>
          <t>Rejeitada</t>
        </is>
      </c>
      <c r="U1317" s="2" t="inlineStr">
        <is>
          <t>Favor: CH, IL; Contra: PSD, PS, L, PCP, CDS-PP, BE; Abstenção: PAN, JPP</t>
        </is>
      </c>
      <c r="V1317" s="3" t="n">
        <v>45982</v>
      </c>
      <c r="W1317" s="2" t="inlineStr">
        <is>
          <t>Avocada a Plenário. AR: https://www.parlamento.pt/OrcamentoEstado/Paginas/DetalhePropostaAlteracao.aspx?BID=25355 PDF: https://app.parlamento.pt/webutils/docs/doc.pdf?path=6148523063484d364c793942556b356c6443397a6158526c63793959566b6c4a544556484c3039464c7a49774d6a59794d4449314d5441774f533951515338795a6a4535596a566d5953316b4d325a6d4c5451304d6d4d744f47526a4d69316a5a47553559544e684f5455355a5451756347526d&amp;Fich=2f19b5fa-d3ff-442c-8dc2-cde9a3a959e4.pdf&amp;Inline=true</t>
        </is>
      </c>
      <c r="X1317" s="2" t="inlineStr">
        <is>
          <t>Infraestruturas, Mobilidade e Habitação; Orçamento, Finanças e Administração Pública</t>
        </is>
      </c>
      <c r="Y1317" s="2" t="inlineStr">
        <is>
          <t>Articulado</t>
        </is>
      </c>
      <c r="Z1317" s="2" t="inlineStr">
        <is>
          <t>Aditamento (Artigo PPL)</t>
        </is>
      </c>
      <c r="AA1317" s="2" t="inlineStr">
        <is>
          <t>Rejeitado(a) em Plenário</t>
        </is>
      </c>
      <c r="AB1317" s="2" t="inlineStr">
        <is>
          <t>S</t>
        </is>
      </c>
      <c r="AC1317" s="2" t="inlineStr">
        <is>
          <t>2</t>
        </is>
      </c>
      <c r="AD1317" s="2" t="inlineStr">
        <is>
          <t>2</t>
        </is>
      </c>
      <c r="AE1317" s="2" t="inlineStr">
        <is>
          <t>25355</t>
        </is>
      </c>
      <c r="AF1317" s="2" t="inlineStr">
        <is>
          <t>https://www.parlamento.pt/OrcamentoEstado/Paginas/DetalhePropostaAlteracao.aspx?BID=25355</t>
        </is>
      </c>
      <c r="AG1317" s="2" t="inlineStr">
        <is>
          <t>https://app.parlamento.pt/webutils/docs/doc.pdf?path=6148523063484d364c793942556b356c6443397a6158526c63793959566b6c4a544556484c3039464c7a49774d6a59794d4449314d5441774f533951515338795a6a4535596a566d5953316b4d325a6d4c5451304d6d4d744f47526a4d69316a5a47553559544e684f5455355a5451756347526d&amp;Fich=2f19b5fa-d3ff-442c-8dc2-cde9a3a959e4.pdf&amp;Inline=true</t>
        </is>
      </c>
      <c r="AH1317" s="3" t="n">
        <v>46321.77847222222</v>
      </c>
      <c r="AI1317" s="3" t="n">
        <v>46321.78055555555</v>
      </c>
      <c r="AJ1317" s="2" t="inlineStr"/>
    </row>
    <row r="1318">
      <c r="A1318" s="2" t="n">
        <v>1317</v>
      </c>
      <c r="B1318" s="2" t="inlineStr">
        <is>
          <t>1243C</t>
        </is>
      </c>
      <c r="C1318" s="3" t="n">
        <v>45968.45555555556</v>
      </c>
      <c r="D1318" s="2" t="inlineStr">
        <is>
          <t>Original</t>
        </is>
      </c>
      <c r="E1318" s="2" t="inlineStr">
        <is>
          <t>BE</t>
        </is>
      </c>
      <c r="F1318" s="2" t="inlineStr">
        <is>
          <t>Mariana Mortágua</t>
        </is>
      </c>
      <c r="G1318" s="2" t="inlineStr">
        <is>
          <t>Art. 123.º-A (aditamento)</t>
        </is>
      </c>
      <c r="H1318" s="2" t="n"/>
      <c r="I1318" s="2" t="n"/>
      <c r="J1318" s="2" t="n"/>
      <c r="K1318" s="2" t="n"/>
      <c r="L1318" s="2" t="inlineStr">
        <is>
          <t>Artigo 123.º-A (Passe gratuito para pessoas com incapacidade igual ou superior a 60%)</t>
        </is>
      </c>
      <c r="M1318" s="4" t="n"/>
      <c r="N1318" s="4" t="n"/>
      <c r="O1318" s="2" t="n"/>
      <c r="P1318" s="2" t="n"/>
      <c r="Q1318" s="2" t="n"/>
      <c r="R1318" s="2" t="n"/>
      <c r="S1318" s="2" t="inlineStr">
        <is>
          <t>Rejeitado(a) em Comissão</t>
        </is>
      </c>
      <c r="T1318" s="2" t="inlineStr">
        <is>
          <t>Rejeitada</t>
        </is>
      </c>
      <c r="U1318" s="2" t="inlineStr">
        <is>
          <t>Favor: CH, L, PCP, BE, PAN; Contra: PSD, IL, CDS-PP; Abstenção: PS</t>
        </is>
      </c>
      <c r="V1318" s="3" t="n">
        <v>45985</v>
      </c>
      <c r="W1318" s="2" t="inlineStr">
        <is>
          <t>AR: https://www.parlamento.pt/OrcamentoEstado/Paginas/DetalhePropostaAlteracao.aspx?BID=24488 PDF: https://app.parlamento.pt/webutils/docs/doc.pdf?path=6148523063484d364c793942556b356c6443397a6158526c63793959566b6c4a544556484c3039464c7a49774d6a59794d4449314d5441774f533951515338324f5442694e5749785a69316b5a6a686a4c5451344f5463744f574a694d79307a4d7a6377596a4e6a4f446b334d5755756347526d&amp;Fich=690b5b1f-df8c-4897-9bb3-3370b3c8971e.pdf&amp;Inline=true</t>
        </is>
      </c>
      <c r="X1318" s="2" t="inlineStr">
        <is>
          <t>Infraestruturas, Mobilidade e Habitação</t>
        </is>
      </c>
      <c r="Y1318" s="2" t="inlineStr">
        <is>
          <t>Articulado</t>
        </is>
      </c>
      <c r="Z1318" s="2" t="inlineStr">
        <is>
          <t>Aditamento (Artigo PPL)</t>
        </is>
      </c>
      <c r="AA1318" s="2" t="inlineStr">
        <is>
          <t>Rejeitado(a) em Comissão</t>
        </is>
      </c>
      <c r="AB1318" s="2" t="inlineStr"/>
      <c r="AC1318" s="2" t="inlineStr"/>
      <c r="AD1318" s="2" t="inlineStr">
        <is>
          <t>1</t>
        </is>
      </c>
      <c r="AE1318" s="2" t="inlineStr">
        <is>
          <t>24488</t>
        </is>
      </c>
      <c r="AF1318" s="2" t="inlineStr">
        <is>
          <t>https://www.parlamento.pt/OrcamentoEstado/Paginas/DetalhePropostaAlteracao.aspx?BID=24488</t>
        </is>
      </c>
      <c r="AG1318" s="2" t="inlineStr">
        <is>
          <t>https://app.parlamento.pt/webutils/docs/doc.pdf?path=6148523063484d364c793942556b356c6443397a6158526c63793959566b6c4a544556484c3039464c7a49774d6a59794d4449314d5441774f533951515338324f5442694e5749785a69316b5a6a686a4c5451344f5463744f574a694d79307a4d7a6377596a4e6a4f446b334d5755756347526d&amp;Fich=690b5b1f-df8c-4897-9bb3-3370b3c8971e.pdf&amp;Inline=true</t>
        </is>
      </c>
      <c r="AH1318" s="3" t="n">
        <v>46321.77847222222</v>
      </c>
      <c r="AI1318" s="3" t="n">
        <v>46321.78055555555</v>
      </c>
      <c r="AJ1318" s="2" t="inlineStr"/>
    </row>
    <row r="1319">
      <c r="A1319" s="2" t="n">
        <v>1318</v>
      </c>
      <c r="B1319" s="2" t="inlineStr">
        <is>
          <t>1244C</t>
        </is>
      </c>
      <c r="C1319" s="3" t="n">
        <v>45968.45625</v>
      </c>
      <c r="D1319" s="2" t="inlineStr">
        <is>
          <t>Original</t>
        </is>
      </c>
      <c r="E1319" s="2" t="inlineStr">
        <is>
          <t>JPP</t>
        </is>
      </c>
      <c r="F1319" s="2" t="inlineStr">
        <is>
          <t>Filipe Sousa</t>
        </is>
      </c>
      <c r="G1319" s="2" t="inlineStr">
        <is>
          <t>Art. 117.º-A (aditamento)</t>
        </is>
      </c>
      <c r="H1319" s="2" t="n"/>
      <c r="I1319" s="2" t="n"/>
      <c r="J1319" s="2" t="n"/>
      <c r="K1319" s="2" t="n"/>
      <c r="L1319" s="2" t="inlineStr">
        <is>
          <t>Artigo 117.º-A (Alteração ao Código dos Impostos Especiais de Consumo (CIEC))</t>
        </is>
      </c>
      <c r="M1319" s="4" t="n"/>
      <c r="N1319" s="4" t="n"/>
      <c r="O1319" s="2" t="n"/>
      <c r="P1319" s="2" t="n"/>
      <c r="Q1319" s="2" t="n"/>
      <c r="R1319" s="2" t="n"/>
      <c r="S1319" s="2" t="inlineStr">
        <is>
          <t>Rejeitado(a) em Comissão</t>
        </is>
      </c>
      <c r="T1319" s="2" t="inlineStr">
        <is>
          <t>Rejeitada</t>
        </is>
      </c>
      <c r="U1319" s="2" t="inlineStr">
        <is>
          <t>Favor: IL, PCP, BE, PAN; Contra: PSD, L, CDS-PP; Abstenção: CH, PS</t>
        </is>
      </c>
      <c r="V1319" s="3" t="n">
        <v>45985</v>
      </c>
      <c r="W1319" s="2" t="inlineStr">
        <is>
          <t>AR: https://www.parlamento.pt/OrcamentoEstado/Paginas/DetalhePropostaAlteracao.aspx?BID=24489 PDF: https://app.parlamento.pt/webutils/docs/doc.pdf?path=6148523063484d364c793942556b356c6443397a6158526c63793959566b6c4a544556484c3039464c7a49774d6a59794d4449314d5441774f533951515338774d6a4a69593251354e4330775a475a684c54526d4d475174596a6b355a53307a4e6d5a6c596a4d795a44646c4e4759756347526d&amp;Fich=022bcd94-0dfa-4f0d-b99e-36feb32d7e4f.pdf&amp;Inline=true</t>
        </is>
      </c>
      <c r="X1319" s="2" t="inlineStr">
        <is>
          <t>Orçamento, Finanças e Administração Pública</t>
        </is>
      </c>
      <c r="Y1319" s="2" t="inlineStr">
        <is>
          <t>Articulado</t>
        </is>
      </c>
      <c r="Z1319" s="2" t="inlineStr">
        <is>
          <t>Aditamento (Artigo PPL)</t>
        </is>
      </c>
      <c r="AA1319" s="2" t="inlineStr">
        <is>
          <t>Rejeitado(a) em Comissão</t>
        </is>
      </c>
      <c r="AB1319" s="2" t="inlineStr"/>
      <c r="AC1319" s="2" t="inlineStr"/>
      <c r="AD1319" s="2" t="inlineStr">
        <is>
          <t>1</t>
        </is>
      </c>
      <c r="AE1319" s="2" t="inlineStr">
        <is>
          <t>24489</t>
        </is>
      </c>
      <c r="AF1319" s="2" t="inlineStr">
        <is>
          <t>https://www.parlamento.pt/OrcamentoEstado/Paginas/DetalhePropostaAlteracao.aspx?BID=24489</t>
        </is>
      </c>
      <c r="AG1319" s="2" t="inlineStr">
        <is>
          <t>https://app.parlamento.pt/webutils/docs/doc.pdf?path=6148523063484d364c793942556b356c6443397a6158526c63793959566b6c4a544556484c3039464c7a49774d6a59794d4449314d5441774f533951515338774d6a4a69593251354e4330775a475a684c54526d4d475174596a6b355a53307a4e6d5a6c596a4d795a44646c4e4759756347526d&amp;Fich=022bcd94-0dfa-4f0d-b99e-36feb32d7e4f.pdf&amp;Inline=true</t>
        </is>
      </c>
      <c r="AH1319" s="3" t="n">
        <v>46321.77847222222</v>
      </c>
      <c r="AI1319" s="3" t="n">
        <v>46321.78055555555</v>
      </c>
      <c r="AJ1319" s="2" t="inlineStr"/>
    </row>
    <row r="1320">
      <c r="A1320" s="2" t="n">
        <v>1319</v>
      </c>
      <c r="B1320" s="2" t="inlineStr">
        <is>
          <t>1245C</t>
        </is>
      </c>
      <c r="C1320" s="3" t="n">
        <v>45968.45694444444</v>
      </c>
      <c r="D1320" s="2" t="inlineStr">
        <is>
          <t>Original</t>
        </is>
      </c>
      <c r="E1320" s="2" t="inlineStr">
        <is>
          <t>BE</t>
        </is>
      </c>
      <c r="F1320" s="2" t="inlineStr">
        <is>
          <t>Mariana Mortágua</t>
        </is>
      </c>
      <c r="G1320" s="2" t="inlineStr">
        <is>
          <t>Art. 123.º-A (aditamento)</t>
        </is>
      </c>
      <c r="H1320" s="2" t="n"/>
      <c r="I1320" s="2" t="n"/>
      <c r="J1320" s="2" t="n"/>
      <c r="K1320" s="2" t="n"/>
      <c r="L1320" s="2" t="inlineStr">
        <is>
          <t>Artigo 123.º-A (Passe gratuito para pessoas desempregadas de longa duração)</t>
        </is>
      </c>
      <c r="M1320" s="4" t="n"/>
      <c r="N1320" s="4" t="n"/>
      <c r="O1320" s="2" t="n"/>
      <c r="P1320" s="2" t="n"/>
      <c r="Q1320" s="2" t="n"/>
      <c r="R1320" s="2" t="n"/>
      <c r="S1320" s="2" t="inlineStr">
        <is>
          <t>Rejeitado(a) em Comissão</t>
        </is>
      </c>
      <c r="T1320" s="2" t="inlineStr">
        <is>
          <t>Rejeitada</t>
        </is>
      </c>
      <c r="U1320" s="2" t="inlineStr">
        <is>
          <t>Favor: L, PCP, BE, PAN; Contra: PSD, CH, IL, CDS-PP; Abstenção: PS</t>
        </is>
      </c>
      <c r="V1320" s="3" t="n">
        <v>45985</v>
      </c>
      <c r="W1320" s="2" t="inlineStr">
        <is>
          <t>AR: https://www.parlamento.pt/OrcamentoEstado/Paginas/DetalhePropostaAlteracao.aspx?BID=24490 PDF: https://app.parlamento.pt/webutils/docs/doc.pdf?path=6148523063484d364c793942556b356c6443397a6158526c63793959566b6c4a544556484c3039464c7a49774d6a59794d4449314d5441774f53395151533878593245325a6a45335969316a4d7a566a4c5451334e7a5974595467305a43316b59575a6c4e5749784e5755304d7a6b756347526d&amp;Fich=1ca6f17b-c35c-4776-a84d-dafe5b15e439.pdf&amp;Inline=true</t>
        </is>
      </c>
      <c r="X1320" s="2" t="inlineStr">
        <is>
          <t>Infraestruturas, Mobilidade e Habitação</t>
        </is>
      </c>
      <c r="Y1320" s="2" t="inlineStr">
        <is>
          <t>Articulado</t>
        </is>
      </c>
      <c r="Z1320" s="2" t="inlineStr">
        <is>
          <t>Aditamento (Artigo PPL)</t>
        </is>
      </c>
      <c r="AA1320" s="2" t="inlineStr">
        <is>
          <t>Rejeitado(a) em Comissão</t>
        </is>
      </c>
      <c r="AB1320" s="2" t="inlineStr"/>
      <c r="AC1320" s="2" t="inlineStr"/>
      <c r="AD1320" s="2" t="inlineStr">
        <is>
          <t>1</t>
        </is>
      </c>
      <c r="AE1320" s="2" t="inlineStr">
        <is>
          <t>24490</t>
        </is>
      </c>
      <c r="AF1320" s="2" t="inlineStr">
        <is>
          <t>https://www.parlamento.pt/OrcamentoEstado/Paginas/DetalhePropostaAlteracao.aspx?BID=24490</t>
        </is>
      </c>
      <c r="AG1320" s="2" t="inlineStr">
        <is>
          <t>https://app.parlamento.pt/webutils/docs/doc.pdf?path=6148523063484d364c793942556b356c6443397a6158526c63793959566b6c4a544556484c3039464c7a49774d6a59794d4449314d5441774f53395151533878593245325a6a45335969316a4d7a566a4c5451334e7a5974595467305a43316b59575a6c4e5749784e5755304d7a6b756347526d&amp;Fich=1ca6f17b-c35c-4776-a84d-dafe5b15e439.pdf&amp;Inline=true</t>
        </is>
      </c>
      <c r="AH1320" s="3" t="n">
        <v>46321.77847222222</v>
      </c>
      <c r="AI1320" s="3" t="n">
        <v>46321.78055555555</v>
      </c>
      <c r="AJ1320" s="2" t="inlineStr"/>
    </row>
    <row r="1321">
      <c r="A1321" s="2" t="n">
        <v>1320</v>
      </c>
      <c r="B1321" s="2" t="inlineStr">
        <is>
          <t>1246C</t>
        </is>
      </c>
      <c r="C1321" s="3" t="n">
        <v>45968.45763888889</v>
      </c>
      <c r="D1321" s="2" t="inlineStr">
        <is>
          <t>Original</t>
        </is>
      </c>
      <c r="E1321" s="2" t="inlineStr">
        <is>
          <t>L</t>
        </is>
      </c>
      <c r="F1321" s="2" t="inlineStr">
        <is>
          <t>Filipa Pinto; Isabel Mendes Lopes; Jorge Pinto; Patrícia Gonçalves; Paulo Muacho; Rui Tavares</t>
        </is>
      </c>
      <c r="G1321" s="2" t="inlineStr">
        <is>
          <t>Art. 112.º-A (aditamento)</t>
        </is>
      </c>
      <c r="H1321" s="2" t="n"/>
      <c r="I1321" s="2" t="n"/>
      <c r="J1321" s="2" t="n"/>
      <c r="K1321" s="2" t="n"/>
      <c r="L1321" s="2" t="inlineStr">
        <is>
          <t>Artigo 112.º-A (Programa piloto para a atribuição do Rendimento Básico de Coesão)</t>
        </is>
      </c>
      <c r="M1321" s="4" t="n"/>
      <c r="N1321" s="4" t="n"/>
      <c r="O1321" s="2" t="n"/>
      <c r="P1321" s="2" t="n"/>
      <c r="Q1321" s="2" t="n"/>
      <c r="R1321" s="2" t="n"/>
      <c r="S1321" s="2" t="inlineStr">
        <is>
          <t>Rejeitado(a) em Comissão</t>
        </is>
      </c>
      <c r="T1321" s="2" t="inlineStr">
        <is>
          <t>Rejeitada</t>
        </is>
      </c>
      <c r="U1321" s="2" t="inlineStr">
        <is>
          <t>Favor: L, PAN; Contra: PSD, CH, PS, IL, PCP, CDS-PP; Abstenção: BE</t>
        </is>
      </c>
      <c r="V1321" s="3" t="n">
        <v>45982</v>
      </c>
      <c r="W1321" s="2" t="inlineStr">
        <is>
          <t>AR: https://www.parlamento.pt/OrcamentoEstado/Paginas/DetalhePropostaAlteracao.aspx?BID=24491 PDF: https://app.parlamento.pt/webutils/docs/doc.pdf?path=6148523063484d364c793942556b356c6443397a6158526c63793959566b6c4a544556484c3039464c7a49774d6a59794d4449314d5441774f5339515153396b4d4445315a4746684d5330354e7a686d4c545269596a5974596d4e6a597931694d44526d597a6c6d4e7a55314d7a45756347526d&amp;Fich=d015daa1-978f-4bb6-bccc-b04fc9f75531.pdf&amp;Inline=true</t>
        </is>
      </c>
      <c r="X1321" s="2" t="inlineStr">
        <is>
          <t>Comissão de Economia e Coesão Territorial</t>
        </is>
      </c>
      <c r="Y1321" s="2" t="inlineStr">
        <is>
          <t>Articulado</t>
        </is>
      </c>
      <c r="Z1321" s="2" t="inlineStr">
        <is>
          <t>Aditamento (Artigo PPL)</t>
        </is>
      </c>
      <c r="AA1321" s="2" t="inlineStr">
        <is>
          <t>Rejeitado(a) em Comissão</t>
        </is>
      </c>
      <c r="AB1321" s="2" t="inlineStr"/>
      <c r="AC1321" s="2" t="inlineStr"/>
      <c r="AD1321" s="2" t="inlineStr">
        <is>
          <t>1</t>
        </is>
      </c>
      <c r="AE1321" s="2" t="inlineStr">
        <is>
          <t>24491</t>
        </is>
      </c>
      <c r="AF1321" s="2" t="inlineStr">
        <is>
          <t>https://www.parlamento.pt/OrcamentoEstado/Paginas/DetalhePropostaAlteracao.aspx?BID=24491</t>
        </is>
      </c>
      <c r="AG1321" s="2" t="inlineStr">
        <is>
          <t>https://app.parlamento.pt/webutils/docs/doc.pdf?path=6148523063484d364c793942556b356c6443397a6158526c63793959566b6c4a544556484c3039464c7a49774d6a59794d4449314d5441774f5339515153396b4d4445315a4746684d5330354e7a686d4c545269596a5974596d4e6a597931694d44526d597a6c6d4e7a55314d7a45756347526d&amp;Fich=d015daa1-978f-4bb6-bccc-b04fc9f75531.pdf&amp;Inline=true</t>
        </is>
      </c>
      <c r="AH1321" s="3" t="n">
        <v>46321.77847222222</v>
      </c>
      <c r="AI1321" s="3" t="n">
        <v>46321.78055555555</v>
      </c>
      <c r="AJ1321" s="2" t="inlineStr"/>
    </row>
    <row r="1322">
      <c r="A1322" s="2" t="n">
        <v>1321</v>
      </c>
      <c r="B1322" s="2" t="inlineStr">
        <is>
          <t>1247C</t>
        </is>
      </c>
      <c r="C1322" s="3" t="n">
        <v>45968.45833333334</v>
      </c>
      <c r="D1322" s="2" t="inlineStr">
        <is>
          <t>Original</t>
        </is>
      </c>
      <c r="E1322" s="2" t="inlineStr">
        <is>
          <t>JPP</t>
        </is>
      </c>
      <c r="F1322" s="2" t="inlineStr">
        <is>
          <t>Filipe Sousa</t>
        </is>
      </c>
      <c r="G1322" s="2" t="inlineStr">
        <is>
          <t>Art. 127.º-A (aditamento)</t>
        </is>
      </c>
      <c r="H1322" s="2" t="n"/>
      <c r="I1322" s="2" t="n"/>
      <c r="J1322" s="2" t="n"/>
      <c r="K1322" s="2" t="n"/>
      <c r="L1322" s="2" t="inlineStr">
        <is>
          <t>Artigo 127.º-A (Universidade da Madeira contrato-programa plurianual e reforço transitório)</t>
        </is>
      </c>
      <c r="M1322" s="4" t="n"/>
      <c r="N1322" s="4" t="n"/>
      <c r="O1322" s="2" t="n"/>
      <c r="P1322" s="2" t="n"/>
      <c r="Q1322" s="2" t="n"/>
      <c r="R1322" s="2" t="n"/>
      <c r="S1322" s="2" t="inlineStr">
        <is>
          <t>Rejeitado(a) em Comissão</t>
        </is>
      </c>
      <c r="T1322" s="2" t="inlineStr">
        <is>
          <t>Rejeitada</t>
        </is>
      </c>
      <c r="U1322" s="2" t="inlineStr">
        <is>
          <t>Favor: CH, L, PCP, BE, PAN; Contra: PSD, CDS-PP; Abstenção: PS, IL</t>
        </is>
      </c>
      <c r="V1322" s="3" t="n">
        <v>45985</v>
      </c>
      <c r="W1322" s="2" t="inlineStr">
        <is>
          <t>AR: https://www.parlamento.pt/OrcamentoEstado/Paginas/DetalhePropostaAlteracao.aspx?BID=24492 PDF: https://app.parlamento.pt/webutils/docs/doc.pdf?path=6148523063484d364c793942556b356c6443397a6158526c63793959566b6c4a544556484c3039464c7a49774d6a59794d4449314d5441774f533951515338354e544a6b4f4459314e43316d4d474e6b4c54517a4d475574596d4d32595330794e6d4a68597a4d7a5a444d304d7a55756347526d&amp;Fich=952d8654-f0cd-430e-bc6a-26bac33d3435.pdf&amp;Inline=true</t>
        </is>
      </c>
      <c r="X1322" s="2" t="inlineStr">
        <is>
          <t>Educação e Ciência</t>
        </is>
      </c>
      <c r="Y1322" s="2" t="inlineStr">
        <is>
          <t>Articulado</t>
        </is>
      </c>
      <c r="Z1322" s="2" t="inlineStr">
        <is>
          <t>Aditamento (Artigo PPL)</t>
        </is>
      </c>
      <c r="AA1322" s="2" t="inlineStr">
        <is>
          <t>Rejeitado(a) em Comissão</t>
        </is>
      </c>
      <c r="AB1322" s="2" t="inlineStr"/>
      <c r="AC1322" s="2" t="inlineStr"/>
      <c r="AD1322" s="2" t="inlineStr">
        <is>
          <t>1</t>
        </is>
      </c>
      <c r="AE1322" s="2" t="inlineStr">
        <is>
          <t>24492</t>
        </is>
      </c>
      <c r="AF1322" s="2" t="inlineStr">
        <is>
          <t>https://www.parlamento.pt/OrcamentoEstado/Paginas/DetalhePropostaAlteracao.aspx?BID=24492</t>
        </is>
      </c>
      <c r="AG1322" s="2" t="inlineStr">
        <is>
          <t>https://app.parlamento.pt/webutils/docs/doc.pdf?path=6148523063484d364c793942556b356c6443397a6158526c63793959566b6c4a544556484c3039464c7a49774d6a59794d4449314d5441774f533951515338354e544a6b4f4459314e43316d4d474e6b4c54517a4d475574596d4d32595330794e6d4a68597a4d7a5a444d304d7a55756347526d&amp;Fich=952d8654-f0cd-430e-bc6a-26bac33d3435.pdf&amp;Inline=true</t>
        </is>
      </c>
      <c r="AH1322" s="3" t="n">
        <v>46321.77847222222</v>
      </c>
      <c r="AI1322" s="3" t="n">
        <v>46321.78055555555</v>
      </c>
      <c r="AJ1322" s="2" t="inlineStr"/>
    </row>
    <row r="1323">
      <c r="A1323" s="2" t="n">
        <v>1322</v>
      </c>
      <c r="B1323" s="2" t="inlineStr">
        <is>
          <t>1248C</t>
        </is>
      </c>
      <c r="C1323" s="3" t="n">
        <v>45968.46041666667</v>
      </c>
      <c r="D1323" s="2" t="inlineStr">
        <is>
          <t>Original</t>
        </is>
      </c>
      <c r="E1323" s="2" t="inlineStr">
        <is>
          <t>L</t>
        </is>
      </c>
      <c r="F1323" s="2" t="inlineStr">
        <is>
          <t>Filipa Pinto; Isabel Mendes Lopes; Jorge Pinto; Patrícia Gonçalves; Paulo Muacho; Rui Tavares</t>
        </is>
      </c>
      <c r="G1323" s="2" t="inlineStr">
        <is>
          <t>Art. 46.º-A (aditamento)</t>
        </is>
      </c>
      <c r="H1323" s="2" t="n"/>
      <c r="I1323" s="2" t="n"/>
      <c r="J1323" s="2" t="n"/>
      <c r="K1323" s="2" t="n"/>
      <c r="L1323" s="2" t="inlineStr">
        <is>
          <t>Artigo 46.º-A (Aumento da Garantia para a Infância)</t>
        </is>
      </c>
      <c r="M1323" s="4" t="n"/>
      <c r="N1323" s="4" t="n"/>
      <c r="O1323" s="2" t="n"/>
      <c r="P1323" s="2" t="n"/>
      <c r="Q1323" s="2" t="n"/>
      <c r="R1323" s="2" t="n"/>
      <c r="S1323" s="2" t="inlineStr">
        <is>
          <t>Rejeitado(a) em Comissão</t>
        </is>
      </c>
      <c r="T1323" s="2" t="inlineStr">
        <is>
          <t>Rejeitada</t>
        </is>
      </c>
      <c r="U1323" s="2" t="inlineStr">
        <is>
          <t>Favor: L, PCP, BE, PAN; Contra: PSD, CDS-PP; Abstenção: CH, PS, IL</t>
        </is>
      </c>
      <c r="V1323" s="3" t="n">
        <v>45981</v>
      </c>
      <c r="W1323" s="2" t="inlineStr">
        <is>
          <t>AR: https://www.parlamento.pt/OrcamentoEstado/Paginas/DetalhePropostaAlteracao.aspx?BID=24493 PDF: https://app.parlamento.pt/webutils/docs/doc.pdf?path=6148523063484d364c793942556b356c6443397a6158526c63793959566b6c4a544556484c3039464c7a49774d6a59794d4449314d5441774f533951515338775a4441304e6d55304f4330774f54466a4c5452685a444d74596a59314e4330324e7a426c4f4755324e474d354d4449756347526d&amp;Fich=0d046e48-091c-4ad3-b654-670e8e64c902.pdf&amp;Inline=true</t>
        </is>
      </c>
      <c r="X1323" s="2" t="inlineStr">
        <is>
          <t>Trabalho, Segurança Social e Inclusão</t>
        </is>
      </c>
      <c r="Y1323" s="2" t="inlineStr">
        <is>
          <t>Articulado</t>
        </is>
      </c>
      <c r="Z1323" s="2" t="inlineStr">
        <is>
          <t>Aditamento (Artigo PPL)</t>
        </is>
      </c>
      <c r="AA1323" s="2" t="inlineStr">
        <is>
          <t>Rejeitado(a) em Comissão</t>
        </is>
      </c>
      <c r="AB1323" s="2" t="inlineStr"/>
      <c r="AC1323" s="2" t="inlineStr"/>
      <c r="AD1323" s="2" t="inlineStr">
        <is>
          <t>1</t>
        </is>
      </c>
      <c r="AE1323" s="2" t="inlineStr">
        <is>
          <t>24493</t>
        </is>
      </c>
      <c r="AF1323" s="2" t="inlineStr">
        <is>
          <t>https://www.parlamento.pt/OrcamentoEstado/Paginas/DetalhePropostaAlteracao.aspx?BID=24493</t>
        </is>
      </c>
      <c r="AG1323" s="2" t="inlineStr">
        <is>
          <t>https://app.parlamento.pt/webutils/docs/doc.pdf?path=6148523063484d364c793942556b356c6443397a6158526c63793959566b6c4a544556484c3039464c7a49774d6a59794d4449314d5441774f533951515338775a4441304e6d55304f4330774f54466a4c5452685a444d74596a59314e4330324e7a426c4f4755324e474d354d4449756347526d&amp;Fich=0d046e48-091c-4ad3-b654-670e8e64c902.pdf&amp;Inline=true</t>
        </is>
      </c>
      <c r="AH1323" s="3" t="n">
        <v>46321.77847222222</v>
      </c>
      <c r="AI1323" s="3" t="n">
        <v>46321.78055555555</v>
      </c>
      <c r="AJ1323" s="2" t="inlineStr"/>
    </row>
    <row r="1324">
      <c r="A1324" s="2" t="n">
        <v>1323</v>
      </c>
      <c r="B1324" s="2" t="inlineStr">
        <is>
          <t>1249C</t>
        </is>
      </c>
      <c r="C1324" s="3" t="n">
        <v>45968.46041666667</v>
      </c>
      <c r="D1324" s="2" t="inlineStr">
        <is>
          <t>Original</t>
        </is>
      </c>
      <c r="E1324" s="2" t="inlineStr">
        <is>
          <t>JPP</t>
        </is>
      </c>
      <c r="F1324" s="2" t="inlineStr">
        <is>
          <t>Filipe Sousa</t>
        </is>
      </c>
      <c r="G1324" s="2" t="inlineStr">
        <is>
          <t>Art. 63.º-B (aditamento)</t>
        </is>
      </c>
      <c r="H1324" s="2" t="n"/>
      <c r="I1324" s="2" t="n"/>
      <c r="J1324" s="2" t="n"/>
      <c r="K1324" s="2" t="n"/>
      <c r="L1324" s="2" t="inlineStr">
        <is>
          <t>Artigo 63.º-B (Alteração às taxas do Imposto sobre os Produtos Petrolíferos e Energéticos (ISP))</t>
        </is>
      </c>
      <c r="M1324" s="4" t="n"/>
      <c r="N1324" s="4" t="n"/>
      <c r="O1324" s="2" t="n"/>
      <c r="P1324" s="2" t="n"/>
      <c r="Q1324" s="2" t="n"/>
      <c r="R1324" s="2" t="n"/>
      <c r="S1324" s="2" t="inlineStr">
        <is>
          <t>Rejeitado(a) em Comissão</t>
        </is>
      </c>
      <c r="T1324" s="2" t="inlineStr">
        <is>
          <t>Rejeitada</t>
        </is>
      </c>
      <c r="U1324" s="2" t="inlineStr">
        <is>
          <t>Favor: CH, IL; Contra: PSD, L, CDS-PP; Abstenção: PS, PCP, BE, PAN</t>
        </is>
      </c>
      <c r="V1324" s="3" t="n">
        <v>45982</v>
      </c>
      <c r="W1324" s="2" t="inlineStr">
        <is>
          <t>AR: https://www.parlamento.pt/OrcamentoEstado/Paginas/DetalhePropostaAlteracao.aspx?BID=24494 PDF: https://app.parlamento.pt/webutils/docs/doc.pdf?path=6148523063484d364c793942556b356c6443397a6158526c63793959566b6c4a544556484c3039464c7a49774d6a59794d4449314d5441774f533951515339685a5455354e546b345a69307a4f44566a4c54517a4d446374595749304f5330314e445a6a5a47526a4e324d314d6a67756347526d&amp;Fich=ae59598f-385c-4307-ab49-546cddc7c528.pdf&amp;Inline=true</t>
        </is>
      </c>
      <c r="X1324" s="2" t="inlineStr">
        <is>
          <t>Orçamento, Finanças e Administração Pública</t>
        </is>
      </c>
      <c r="Y1324" s="2" t="inlineStr">
        <is>
          <t>Articulado</t>
        </is>
      </c>
      <c r="Z1324" s="2" t="inlineStr">
        <is>
          <t>Aditamento (Artigo PPL)</t>
        </is>
      </c>
      <c r="AA1324" s="2" t="inlineStr">
        <is>
          <t>Rejeitado(a) em Comissão</t>
        </is>
      </c>
      <c r="AB1324" s="2" t="inlineStr"/>
      <c r="AC1324" s="2" t="inlineStr"/>
      <c r="AD1324" s="2" t="inlineStr">
        <is>
          <t>1</t>
        </is>
      </c>
      <c r="AE1324" s="2" t="inlineStr">
        <is>
          <t>24494</t>
        </is>
      </c>
      <c r="AF1324" s="2" t="inlineStr">
        <is>
          <t>https://www.parlamento.pt/OrcamentoEstado/Paginas/DetalhePropostaAlteracao.aspx?BID=24494</t>
        </is>
      </c>
      <c r="AG1324" s="2" t="inlineStr">
        <is>
          <t>https://app.parlamento.pt/webutils/docs/doc.pdf?path=6148523063484d364c793942556b356c6443397a6158526c63793959566b6c4a544556484c3039464c7a49774d6a59794d4449314d5441774f533951515339685a5455354e546b345a69307a4f44566a4c54517a4d446374595749304f5330314e445a6a5a47526a4e324d314d6a67756347526d&amp;Fich=ae59598f-385c-4307-ab49-546cddc7c528.pdf&amp;Inline=true</t>
        </is>
      </c>
      <c r="AH1324" s="3" t="n">
        <v>46321.77847222222</v>
      </c>
      <c r="AI1324" s="3" t="n">
        <v>46321.78055555555</v>
      </c>
      <c r="AJ1324" s="2" t="inlineStr"/>
    </row>
    <row r="1325">
      <c r="A1325" s="2" t="n">
        <v>1324</v>
      </c>
      <c r="B1325" s="2" t="inlineStr">
        <is>
          <t>1250C</t>
        </is>
      </c>
      <c r="C1325" s="3" t="n">
        <v>45968.46111111111</v>
      </c>
      <c r="D1325" s="2" t="inlineStr">
        <is>
          <t>Original</t>
        </is>
      </c>
      <c r="E1325" s="2" t="inlineStr">
        <is>
          <t>BE</t>
        </is>
      </c>
      <c r="F1325" s="2" t="inlineStr">
        <is>
          <t>Mariana Mortágua</t>
        </is>
      </c>
      <c r="G1325" s="2" t="inlineStr">
        <is>
          <t>Art. 123.º-A (aditamento)</t>
        </is>
      </c>
      <c r="H1325" s="2" t="n"/>
      <c r="I1325" s="2" t="n"/>
      <c r="J1325" s="2" t="n"/>
      <c r="K1325" s="2" t="n"/>
      <c r="L1325" s="2" t="inlineStr">
        <is>
          <t>Artigo 123.º-A (Inclusão da Travessia Fluvial do Sado entre Setúbal e Tróia no programa de redução dos preços dos passes dos transportes)</t>
        </is>
      </c>
      <c r="M1325" s="4" t="n"/>
      <c r="N1325" s="4" t="n"/>
      <c r="O1325" s="2" t="n"/>
      <c r="P1325" s="2" t="n"/>
      <c r="Q1325" s="2" t="n"/>
      <c r="R1325" s="2" t="n"/>
      <c r="S1325" s="2" t="inlineStr">
        <is>
          <t>Rejeitado(a) em Comissão</t>
        </is>
      </c>
      <c r="T1325" s="2" t="inlineStr">
        <is>
          <t>Rejeitada</t>
        </is>
      </c>
      <c r="U1325" s="2" t="inlineStr">
        <is>
          <t>Favor: L, PCP, BE, PAN; Contra: PSD, IL, CDS-PP; Abstenção: CH, PS</t>
        </is>
      </c>
      <c r="V1325" s="3" t="n">
        <v>45985</v>
      </c>
      <c r="W1325" s="2" t="inlineStr">
        <is>
          <t>AR: https://www.parlamento.pt/OrcamentoEstado/Paginas/DetalhePropostaAlteracao.aspx?BID=24495 PDF: https://app.parlamento.pt/webutils/docs/doc.pdf?path=6148523063484d364c793942556b356c6443397a6158526c63793959566b6c4a544556484c3039464c7a49774d6a59794d4449314d5441774f533951515338794f5445344e7a63794e53316d4d4441354c5452694d4749744f5755354e79307a5a545a6b4d6a63315a6a5531595745756347526d&amp;Fich=29187725-f009-4b0b-9e97-3e6d275f55aa.pdf&amp;Inline=true</t>
        </is>
      </c>
      <c r="X1325" s="2" t="inlineStr">
        <is>
          <t>Infraestruturas, Mobilidade e Habitação</t>
        </is>
      </c>
      <c r="Y1325" s="2" t="inlineStr">
        <is>
          <t>Articulado</t>
        </is>
      </c>
      <c r="Z1325" s="2" t="inlineStr">
        <is>
          <t>Aditamento (Artigo PPL)</t>
        </is>
      </c>
      <c r="AA1325" s="2" t="inlineStr">
        <is>
          <t>Rejeitado(a) em Comissão</t>
        </is>
      </c>
      <c r="AB1325" s="2" t="inlineStr"/>
      <c r="AC1325" s="2" t="inlineStr"/>
      <c r="AD1325" s="2" t="inlineStr">
        <is>
          <t>1</t>
        </is>
      </c>
      <c r="AE1325" s="2" t="inlineStr">
        <is>
          <t>24495</t>
        </is>
      </c>
      <c r="AF1325" s="2" t="inlineStr">
        <is>
          <t>https://www.parlamento.pt/OrcamentoEstado/Paginas/DetalhePropostaAlteracao.aspx?BID=24495</t>
        </is>
      </c>
      <c r="AG1325" s="2" t="inlineStr">
        <is>
          <t>https://app.parlamento.pt/webutils/docs/doc.pdf?path=6148523063484d364c793942556b356c6443397a6158526c63793959566b6c4a544556484c3039464c7a49774d6a59794d4449314d5441774f533951515338794f5445344e7a63794e53316d4d4441354c5452694d4749744f5755354e79307a5a545a6b4d6a63315a6a5531595745756347526d&amp;Fich=29187725-f009-4b0b-9e97-3e6d275f55aa.pdf&amp;Inline=true</t>
        </is>
      </c>
      <c r="AH1325" s="3" t="n">
        <v>46321.77847222222</v>
      </c>
      <c r="AI1325" s="3" t="n">
        <v>46321.78055555555</v>
      </c>
      <c r="AJ1325" s="2" t="inlineStr"/>
    </row>
    <row r="1326">
      <c r="A1326" s="2" t="n">
        <v>1325</v>
      </c>
      <c r="B1326" s="2" t="inlineStr">
        <is>
          <t>1251C</t>
        </is>
      </c>
      <c r="C1326" s="3" t="n">
        <v>45968.46319444444</v>
      </c>
      <c r="D1326" s="2" t="inlineStr">
        <is>
          <t>Original</t>
        </is>
      </c>
      <c r="E1326" s="2" t="inlineStr">
        <is>
          <t>L</t>
        </is>
      </c>
      <c r="F1326" s="2" t="inlineStr">
        <is>
          <t>Filipa Pinto; Isabel Mendes Lopes; Jorge Pinto; Patrícia Gonçalves; Paulo Muacho; Rui Tavares</t>
        </is>
      </c>
      <c r="G1326" s="2" t="inlineStr">
        <is>
          <t>Art. 112.º-A (aditamento)</t>
        </is>
      </c>
      <c r="H1326" s="2" t="n"/>
      <c r="I1326" s="2" t="n"/>
      <c r="J1326" s="2" t="n"/>
      <c r="K1326" s="2" t="n"/>
      <c r="L1326" s="2" t="inlineStr">
        <is>
          <t>Artigo 112.º-A (Herança Social)</t>
        </is>
      </c>
      <c r="M1326" s="4" t="n"/>
      <c r="N1326" s="4" t="n"/>
      <c r="O1326" s="2" t="n"/>
      <c r="P1326" s="2" t="n"/>
      <c r="Q1326" s="2" t="n"/>
      <c r="R1326" s="2" t="n"/>
      <c r="S1326" s="2" t="inlineStr">
        <is>
          <t>Rejeitado(a) em Comissão</t>
        </is>
      </c>
      <c r="T1326" s="2" t="inlineStr">
        <is>
          <t>Rejeitada</t>
        </is>
      </c>
      <c r="U1326" s="2" t="inlineStr">
        <is>
          <t>Favor: L, PAN; Contra: PSD, CH, IL, CDS-PP; Abstenção: PS, PCP, BE</t>
        </is>
      </c>
      <c r="V1326" s="3" t="n">
        <v>45982</v>
      </c>
      <c r="W1326" s="2" t="inlineStr">
        <is>
          <t>AR: https://www.parlamento.pt/OrcamentoEstado/Paginas/DetalhePropostaAlteracao.aspx?BID=24496 PDF: https://app.parlamento.pt/webutils/docs/doc.pdf?path=6148523063484d364c793942556b356c6443397a6158526c63793959566b6c4a544556484c3039464c7a49774d6a59794d4449314d5441774f53395151533835595751334d6a6468597930784e3245344c54526a4e445174595451354e69316a4d5441795a5451774f47566b4d6d59756347526d&amp;Fich=9ad727ac-17a8-4c44-a496-c102e408ed2f.pdf&amp;Inline=true</t>
        </is>
      </c>
      <c r="X1326" s="2" t="inlineStr">
        <is>
          <t>Trabalho, Segurança Social e Inclusão</t>
        </is>
      </c>
      <c r="Y1326" s="2" t="inlineStr">
        <is>
          <t>Articulado</t>
        </is>
      </c>
      <c r="Z1326" s="2" t="inlineStr">
        <is>
          <t>Aditamento (Artigo PPL)</t>
        </is>
      </c>
      <c r="AA1326" s="2" t="inlineStr">
        <is>
          <t>Rejeitado(a) em Comissão</t>
        </is>
      </c>
      <c r="AB1326" s="2" t="inlineStr"/>
      <c r="AC1326" s="2" t="inlineStr"/>
      <c r="AD1326" s="2" t="inlineStr">
        <is>
          <t>1</t>
        </is>
      </c>
      <c r="AE1326" s="2" t="inlineStr">
        <is>
          <t>24496</t>
        </is>
      </c>
      <c r="AF1326" s="2" t="inlineStr">
        <is>
          <t>https://www.parlamento.pt/OrcamentoEstado/Paginas/DetalhePropostaAlteracao.aspx?BID=24496</t>
        </is>
      </c>
      <c r="AG1326" s="2" t="inlineStr">
        <is>
          <t>https://app.parlamento.pt/webutils/docs/doc.pdf?path=6148523063484d364c793942556b356c6443397a6158526c63793959566b6c4a544556484c3039464c7a49774d6a59794d4449314d5441774f53395151533835595751334d6a6468597930784e3245344c54526a4e445174595451354e69316a4d5441795a5451774f47566b4d6d59756347526d&amp;Fich=9ad727ac-17a8-4c44-a496-c102e408ed2f.pdf&amp;Inline=true</t>
        </is>
      </c>
      <c r="AH1326" s="3" t="n">
        <v>46321.77847222222</v>
      </c>
      <c r="AI1326" s="3" t="n">
        <v>46321.78055555555</v>
      </c>
      <c r="AJ1326" s="2" t="inlineStr"/>
    </row>
    <row r="1327">
      <c r="A1327" s="2" t="n">
        <v>1326</v>
      </c>
      <c r="B1327" s="2" t="inlineStr">
        <is>
          <t>1252C</t>
        </is>
      </c>
      <c r="C1327" s="3" t="n">
        <v>45968.46319444444</v>
      </c>
      <c r="D1327" s="2" t="inlineStr">
        <is>
          <t>Original</t>
        </is>
      </c>
      <c r="E1327" s="2" t="inlineStr">
        <is>
          <t>BE</t>
        </is>
      </c>
      <c r="F1327" s="2" t="inlineStr">
        <is>
          <t>Mariana Mortágua</t>
        </is>
      </c>
      <c r="G1327" s="2" t="inlineStr">
        <is>
          <t>Art. 113.º-A (aditamento)</t>
        </is>
      </c>
      <c r="H1327" s="2" t="n"/>
      <c r="I1327" s="2" t="n"/>
      <c r="J1327" s="2" t="n"/>
      <c r="K1327" s="2" t="n"/>
      <c r="L1327" s="2" t="inlineStr">
        <is>
          <t>Artigo 113.º-A (Construção do troço do IC3 para ligação da A13 à A23)</t>
        </is>
      </c>
      <c r="M1327" s="4" t="n"/>
      <c r="N1327" s="4" t="n"/>
      <c r="O1327" s="2" t="n"/>
      <c r="P1327" s="2" t="n"/>
      <c r="Q1327" s="2" t="n"/>
      <c r="R1327" s="2" t="n"/>
      <c r="S1327" s="2" t="inlineStr">
        <is>
          <t>Rejeitado(a) em Comissão</t>
        </is>
      </c>
      <c r="T1327" s="2" t="inlineStr">
        <is>
          <t>Rejeitada</t>
        </is>
      </c>
      <c r="U1327" s="2" t="inlineStr">
        <is>
          <t>Favor: CH, L, PCP, BE; Contra: PSD, IL, CDS-PP; Abstenção: PS, PAN</t>
        </is>
      </c>
      <c r="V1327" s="3" t="n">
        <v>45985</v>
      </c>
      <c r="W1327" s="2" t="inlineStr">
        <is>
          <t>AR: https://www.parlamento.pt/OrcamentoEstado/Paginas/DetalhePropostaAlteracao.aspx?BID=24497 PDF: https://app.parlamento.pt/webutils/docs/doc.pdf?path=6148523063484d364c793942556b356c6443397a6158526c63793959566b6c4a544556484c3039464c7a49774d6a59794d4449314d5441774f5339515153387a4e5759334d44646d4e7930774d6a45344c54526c4d5449744f5459345969316a593259784e545134597a5578596d4d756347526d&amp;Fich=35f707f7-0218-4e12-968b-ccf1548c51bc.pdf&amp;Inline=true</t>
        </is>
      </c>
      <c r="X1327" s="2" t="inlineStr">
        <is>
          <t>Infraestruturas, Mobilidade e Habitação</t>
        </is>
      </c>
      <c r="Y1327" s="2" t="inlineStr">
        <is>
          <t>Articulado</t>
        </is>
      </c>
      <c r="Z1327" s="2" t="inlineStr">
        <is>
          <t>Aditamento (Artigo PPL)</t>
        </is>
      </c>
      <c r="AA1327" s="2" t="inlineStr">
        <is>
          <t>Rejeitado(a) em Comissão</t>
        </is>
      </c>
      <c r="AB1327" s="2" t="inlineStr"/>
      <c r="AC1327" s="2" t="inlineStr"/>
      <c r="AD1327" s="2" t="inlineStr">
        <is>
          <t>1</t>
        </is>
      </c>
      <c r="AE1327" s="2" t="inlineStr">
        <is>
          <t>24497</t>
        </is>
      </c>
      <c r="AF1327" s="2" t="inlineStr">
        <is>
          <t>https://www.parlamento.pt/OrcamentoEstado/Paginas/DetalhePropostaAlteracao.aspx?BID=24497</t>
        </is>
      </c>
      <c r="AG1327" s="2" t="inlineStr">
        <is>
          <t>https://app.parlamento.pt/webutils/docs/doc.pdf?path=6148523063484d364c793942556b356c6443397a6158526c63793959566b6c4a544556484c3039464c7a49774d6a59794d4449314d5441774f5339515153387a4e5759334d44646d4e7930774d6a45344c54526c4d5449744f5459345969316a593259784e545134597a5578596d4d756347526d&amp;Fich=35f707f7-0218-4e12-968b-ccf1548c51bc.pdf&amp;Inline=true</t>
        </is>
      </c>
      <c r="AH1327" s="3" t="n">
        <v>46321.77847222222</v>
      </c>
      <c r="AI1327" s="3" t="n">
        <v>46321.78055555555</v>
      </c>
      <c r="AJ1327" s="2" t="inlineStr"/>
    </row>
    <row r="1328">
      <c r="A1328" s="2" t="n">
        <v>1327</v>
      </c>
      <c r="B1328" s="2" t="inlineStr">
        <is>
          <t>1253C</t>
        </is>
      </c>
      <c r="C1328" s="3" t="n">
        <v>45968.46458333333</v>
      </c>
      <c r="D1328" s="2" t="inlineStr">
        <is>
          <t>Original</t>
        </is>
      </c>
      <c r="E1328" s="2" t="inlineStr">
        <is>
          <t>JPP</t>
        </is>
      </c>
      <c r="F1328" s="2" t="inlineStr">
        <is>
          <t>Filipe Sousa</t>
        </is>
      </c>
      <c r="G1328" s="2" t="inlineStr">
        <is>
          <t>Art. 63.º-A (aditamento)</t>
        </is>
      </c>
      <c r="H1328" s="2" t="n"/>
      <c r="I1328" s="2" t="n"/>
      <c r="J1328" s="2" t="n"/>
      <c r="K1328" s="2" t="n"/>
      <c r="L1328" s="2" t="inlineStr">
        <is>
          <t>Artigo 63.º-A (Alteração à Lista I anexa ao Código do Imposto sobre o Valor Acrescentado (CIVA))</t>
        </is>
      </c>
      <c r="M1328" s="4" t="n"/>
      <c r="N1328" s="4" t="n"/>
      <c r="O1328" s="2" t="n"/>
      <c r="P1328" s="2" t="n"/>
      <c r="Q1328" s="2" t="n"/>
      <c r="R1328" s="2" t="n"/>
      <c r="S1328" s="2" t="inlineStr">
        <is>
          <t>Rejeitado(a) em Comissão</t>
        </is>
      </c>
      <c r="T1328" s="2" t="inlineStr">
        <is>
          <t>Rejeitada</t>
        </is>
      </c>
      <c r="U1328" s="2" t="inlineStr">
        <is>
          <t>Favor: PAN; Contra: PSD, PS, L, PCP, CDS-PP, BE; Abstenção: CH, IL</t>
        </is>
      </c>
      <c r="V1328" s="3" t="n">
        <v>45982</v>
      </c>
      <c r="W1328" s="2" t="inlineStr">
        <is>
          <t>AR: https://www.parlamento.pt/OrcamentoEstado/Paginas/DetalhePropostaAlteracao.aspx?BID=24498 PDF: https://app.parlamento.pt/webutils/docs/doc.pdf?path=6148523063484d364c793942556b356c6443397a6158526c63793959566b6c4a544556484c3039464c7a49774d6a59794d4449314d5441774f5339515153396d4d6a41334d57466c4d7931694e574d304c5451344d325174596d55784e53316d596d55785a5442695a4449355a6a59756347526d&amp;Fich=f2071ae3-b5c4-483d-be15-fbe1e0bd29f6.pdf&amp;Inline=true</t>
        </is>
      </c>
      <c r="X1328" s="2" t="inlineStr">
        <is>
          <t>Orçamento, Finanças e Administração Pública</t>
        </is>
      </c>
      <c r="Y1328" s="2" t="inlineStr">
        <is>
          <t>Articulado</t>
        </is>
      </c>
      <c r="Z1328" s="2" t="inlineStr">
        <is>
          <t>Aditamento (Artigo PPL)</t>
        </is>
      </c>
      <c r="AA1328" s="2" t="inlineStr">
        <is>
          <t>Rejeitado(a) em Comissão</t>
        </is>
      </c>
      <c r="AB1328" s="2" t="inlineStr"/>
      <c r="AC1328" s="2" t="inlineStr"/>
      <c r="AD1328" s="2" t="inlineStr">
        <is>
          <t>1</t>
        </is>
      </c>
      <c r="AE1328" s="2" t="inlineStr">
        <is>
          <t>24498</t>
        </is>
      </c>
      <c r="AF1328" s="2" t="inlineStr">
        <is>
          <t>https://www.parlamento.pt/OrcamentoEstado/Paginas/DetalhePropostaAlteracao.aspx?BID=24498</t>
        </is>
      </c>
      <c r="AG1328" s="2" t="inlineStr">
        <is>
          <t>https://app.parlamento.pt/webutils/docs/doc.pdf?path=6148523063484d364c793942556b356c6443397a6158526c63793959566b6c4a544556484c3039464c7a49774d6a59794d4449314d5441774f5339515153396d4d6a41334d57466c4d7931694e574d304c5451344d325174596d55784e53316d596d55785a5442695a4449355a6a59756347526d&amp;Fich=f2071ae3-b5c4-483d-be15-fbe1e0bd29f6.pdf&amp;Inline=true</t>
        </is>
      </c>
      <c r="AH1328" s="3" t="n">
        <v>46321.77847222222</v>
      </c>
      <c r="AI1328" s="3" t="n">
        <v>46321.78055555555</v>
      </c>
      <c r="AJ1328" s="2" t="inlineStr"/>
    </row>
    <row r="1329">
      <c r="A1329" s="2" t="n">
        <v>1328</v>
      </c>
      <c r="B1329" s="2" t="inlineStr">
        <is>
          <t>1254C</t>
        </is>
      </c>
      <c r="C1329" s="3" t="n">
        <v>45968.46527777778</v>
      </c>
      <c r="D1329" s="2" t="inlineStr">
        <is>
          <t>Original</t>
        </is>
      </c>
      <c r="E1329" s="2" t="inlineStr">
        <is>
          <t>L</t>
        </is>
      </c>
      <c r="F1329" s="2" t="inlineStr">
        <is>
          <t>Filipa Pinto; Isabel Mendes Lopes; Jorge Pinto; Patrícia Gonçalves; Paulo Muacho; Rui Tavares</t>
        </is>
      </c>
      <c r="G1329" s="2" t="inlineStr">
        <is>
          <t>Art. 7.º (substituição)</t>
        </is>
      </c>
      <c r="H1329" s="2" t="n"/>
      <c r="I1329" s="2" t="n"/>
      <c r="J1329" s="2" t="n"/>
      <c r="K1329" s="2" t="n"/>
      <c r="L1329" s="2" t="inlineStr">
        <is>
          <t>Verba 12, Mapa de alterações e transferências orçamentais, Artigo 7.º</t>
        </is>
      </c>
      <c r="M1329" s="4" t="n"/>
      <c r="N1329" s="4" t="n"/>
      <c r="O1329" s="2" t="n"/>
      <c r="P1329" s="2" t="n"/>
      <c r="Q1329" s="2" t="n"/>
      <c r="R1329" s="2" t="n"/>
      <c r="S1329" s="2" t="inlineStr">
        <is>
          <t>Rejeitado(a) em Comissão</t>
        </is>
      </c>
      <c r="T1329" s="2" t="inlineStr">
        <is>
          <t>Rejeitada</t>
        </is>
      </c>
      <c r="U1329" s="2" t="inlineStr">
        <is>
          <t>Favor: CH, L, PCP, BE, PAN; Contra: PSD, CDS-PP; Abstenção: PS, IL</t>
        </is>
      </c>
      <c r="V1329" s="3" t="n">
        <v>45987</v>
      </c>
      <c r="W1329" s="2" t="inlineStr">
        <is>
          <t>AR: https://www.parlamento.pt/OrcamentoEstado/Paginas/DetalhePropostaAlteracao.aspx?BID=24499 PDF: https://app.parlamento.pt/webutils/docs/doc.pdf?path=6148523063484d364c793942556b356c6443397a6158526c63793959566b6c4a544556484c3039464c7a49774d6a59794d4449314d5441774f533951515338344f4463784d5751354d4330775a54637a4c5451355a5441745957517a596931685a6a646c4d6a566c5a6a68684e6a45756347526d&amp;Fich=88711d90-0e73-49e0-ad3b-af7e25ef8a61.pdf&amp;Inline=true</t>
        </is>
      </c>
      <c r="X1329" s="2" t="inlineStr">
        <is>
          <t>Trabalho, Segurança Social e Inclusão</t>
        </is>
      </c>
      <c r="Y1329" s="2" t="inlineStr">
        <is>
          <t>Mapas</t>
        </is>
      </c>
      <c r="Z1329" s="2" t="inlineStr">
        <is>
          <t>Substituição</t>
        </is>
      </c>
      <c r="AA1329" s="2" t="inlineStr">
        <is>
          <t>Rejeitado(a) em Comissão</t>
        </is>
      </c>
      <c r="AB1329" s="2" t="inlineStr"/>
      <c r="AC1329" s="2" t="inlineStr"/>
      <c r="AD1329" s="2" t="inlineStr">
        <is>
          <t>1</t>
        </is>
      </c>
      <c r="AE1329" s="2" t="inlineStr">
        <is>
          <t>24499</t>
        </is>
      </c>
      <c r="AF1329" s="2" t="inlineStr">
        <is>
          <t>https://www.parlamento.pt/OrcamentoEstado/Paginas/DetalhePropostaAlteracao.aspx?BID=24499</t>
        </is>
      </c>
      <c r="AG1329" s="2" t="inlineStr">
        <is>
          <t>https://app.parlamento.pt/webutils/docs/doc.pdf?path=6148523063484d364c793942556b356c6443397a6158526c63793959566b6c4a544556484c3039464c7a49774d6a59794d4449314d5441774f533951515338344f4463784d5751354d4330775a54637a4c5451355a5441745957517a596931685a6a646c4d6a566c5a6a68684e6a45756347526d&amp;Fich=88711d90-0e73-49e0-ad3b-af7e25ef8a61.pdf&amp;Inline=true</t>
        </is>
      </c>
      <c r="AH1329" s="3" t="n">
        <v>46321.77847222222</v>
      </c>
      <c r="AI1329" s="3" t="n">
        <v>46321.78055555555</v>
      </c>
      <c r="AJ1329" s="2" t="inlineStr"/>
    </row>
    <row r="1330">
      <c r="A1330" s="2" t="n">
        <v>1329</v>
      </c>
      <c r="B1330" s="2" t="inlineStr">
        <is>
          <t>1255C</t>
        </is>
      </c>
      <c r="C1330" s="3" t="n">
        <v>45968.46736111111</v>
      </c>
      <c r="D1330" s="2" t="inlineStr">
        <is>
          <t>Original</t>
        </is>
      </c>
      <c r="E1330" s="2" t="inlineStr">
        <is>
          <t>L</t>
        </is>
      </c>
      <c r="F1330" s="2" t="inlineStr">
        <is>
          <t>Filipa Pinto; Isabel Mendes Lopes; Jorge Pinto; Patrícia Gonçalves; Paulo Muacho; Rui Tavares</t>
        </is>
      </c>
      <c r="G1330" s="2" t="inlineStr">
        <is>
          <t>Art. 112.º-A (aditamento)</t>
        </is>
      </c>
      <c r="H1330" s="2" t="n"/>
      <c r="I1330" s="2" t="n"/>
      <c r="J1330" s="2" t="n"/>
      <c r="K1330" s="2" t="n"/>
      <c r="L1330" s="2" t="inlineStr">
        <is>
          <t>Artigo 112.º-A (PARES 4.0)</t>
        </is>
      </c>
      <c r="M1330" s="4" t="n"/>
      <c r="N1330" s="4" t="n"/>
      <c r="O1330" s="2" t="n"/>
      <c r="P1330" s="2" t="n"/>
      <c r="Q1330" s="2" t="n"/>
      <c r="R1330" s="2" t="n"/>
      <c r="S1330" s="2" t="inlineStr">
        <is>
          <t>Rejeitado(a) em Comissão</t>
        </is>
      </c>
      <c r="T1330" s="2" t="inlineStr">
        <is>
          <t>Rejeitada</t>
        </is>
      </c>
      <c r="U1330" s="2" t="inlineStr">
        <is>
          <t>Favor: L, PCP, BE, PAN; Contra: PSD, IL, CDS-PP; Abstenção: CH, PS</t>
        </is>
      </c>
      <c r="V1330" s="3" t="n">
        <v>45982</v>
      </c>
      <c r="W1330" s="2" t="inlineStr">
        <is>
          <t>AR: https://www.parlamento.pt/OrcamentoEstado/Paginas/DetalhePropostaAlteracao.aspx?BID=24500 PDF: https://app.parlamento.pt/webutils/docs/doc.pdf?path=6148523063484d364c793942556b356c6443397a6158526c63793959566b6c4a544556484c3039464c7a49774d6a59794d4449314d5441774f533951515338794f57466b5a445a6c4d7930324f546b7a4c5452694f474974596a63775a43316a4d4445354e475530596a4d78597a45756347526d&amp;Fich=29add6e3-6993-4b8b-b70d-c0194e4b31c1.pdf&amp;Inline=true</t>
        </is>
      </c>
      <c r="X1330" s="2" t="inlineStr">
        <is>
          <t>Trabalho, Segurança Social e Inclusão</t>
        </is>
      </c>
      <c r="Y1330" s="2" t="inlineStr">
        <is>
          <t>Articulado</t>
        </is>
      </c>
      <c r="Z1330" s="2" t="inlineStr">
        <is>
          <t>Aditamento (Artigo PPL)</t>
        </is>
      </c>
      <c r="AA1330" s="2" t="inlineStr">
        <is>
          <t>Rejeitado(a) em Comissão</t>
        </is>
      </c>
      <c r="AB1330" s="2" t="inlineStr"/>
      <c r="AC1330" s="2" t="inlineStr"/>
      <c r="AD1330" s="2" t="inlineStr">
        <is>
          <t>1</t>
        </is>
      </c>
      <c r="AE1330" s="2" t="inlineStr">
        <is>
          <t>24500</t>
        </is>
      </c>
      <c r="AF1330" s="2" t="inlineStr">
        <is>
          <t>https://www.parlamento.pt/OrcamentoEstado/Paginas/DetalhePropostaAlteracao.aspx?BID=24500</t>
        </is>
      </c>
      <c r="AG1330" s="2" t="inlineStr">
        <is>
          <t>https://app.parlamento.pt/webutils/docs/doc.pdf?path=6148523063484d364c793942556b356c6443397a6158526c63793959566b6c4a544556484c3039464c7a49774d6a59794d4449314d5441774f533951515338794f57466b5a445a6c4d7930324f546b7a4c5452694f474974596a63775a43316a4d4445354e475530596a4d78597a45756347526d&amp;Fich=29add6e3-6993-4b8b-b70d-c0194e4b31c1.pdf&amp;Inline=true</t>
        </is>
      </c>
      <c r="AH1330" s="3" t="n">
        <v>46321.77847222222</v>
      </c>
      <c r="AI1330" s="3" t="n">
        <v>46321.78055555555</v>
      </c>
      <c r="AJ1330" s="2" t="inlineStr"/>
    </row>
    <row r="1331">
      <c r="A1331" s="2" t="n">
        <v>1330</v>
      </c>
      <c r="B1331" s="2" t="inlineStr">
        <is>
          <t>1256C</t>
        </is>
      </c>
      <c r="C1331" s="3" t="n">
        <v>45968.46805555555</v>
      </c>
      <c r="D1331" s="2" t="inlineStr">
        <is>
          <t>Original</t>
        </is>
      </c>
      <c r="E1331" s="2" t="inlineStr">
        <is>
          <t>BE</t>
        </is>
      </c>
      <c r="F1331" s="2" t="inlineStr">
        <is>
          <t>Mariana Mortágua</t>
        </is>
      </c>
      <c r="G1331" s="2" t="inlineStr">
        <is>
          <t>Art. 126.º-A (aditamento)</t>
        </is>
      </c>
      <c r="H1331" s="2" t="n"/>
      <c r="I1331" s="2" t="n"/>
      <c r="J1331" s="2" t="n"/>
      <c r="K1331" s="2" t="n"/>
      <c r="L1331" s="2" t="inlineStr">
        <is>
          <t>Artigo 126.º-A (Apoio aos municípios para a melhoria ou criação de sistemas partilhados de bicicletas)</t>
        </is>
      </c>
      <c r="M1331" s="4" t="n"/>
      <c r="N1331" s="4" t="n"/>
      <c r="O1331" s="2" t="n"/>
      <c r="P1331" s="2" t="n"/>
      <c r="Q1331" s="2" t="n"/>
      <c r="R1331" s="2" t="n"/>
      <c r="S1331" s="2" t="inlineStr">
        <is>
          <t>Rejeitado(a) em Comissão</t>
        </is>
      </c>
      <c r="T1331" s="2" t="inlineStr">
        <is>
          <t>Rejeitada</t>
        </is>
      </c>
      <c r="U1331" s="2" t="inlineStr">
        <is>
          <t>Favor: L, PCP, BE, PAN; Contra: PSD, CH, CDS-PP; Abstenção: PS, IL</t>
        </is>
      </c>
      <c r="V1331" s="3" t="n">
        <v>45985</v>
      </c>
      <c r="W1331" s="2" t="inlineStr">
        <is>
          <t>AR: https://www.parlamento.pt/OrcamentoEstado/Paginas/DetalhePropostaAlteracao.aspx?BID=24501 PDF: https://app.parlamento.pt/webutils/docs/doc.pdf?path=6148523063484d364c793942556b356c6443397a6158526c63793959566b6c4a544556484c3039464c7a49774d6a59794d4449314d5441774f533951515338304f474e6c596a4d794d53316b4d6a41324c545269596d557459545a6b5953316c4e6a49774f44637a5a544d324d6a4d756347526d&amp;Fich=48ceb321-d206-4bbe-a6da-e620873e3623.pdf&amp;Inline=true</t>
        </is>
      </c>
      <c r="X1331" s="2" t="inlineStr">
        <is>
          <t>Infraestruturas, Mobilidade e Habitação</t>
        </is>
      </c>
      <c r="Y1331" s="2" t="inlineStr">
        <is>
          <t>Articulado</t>
        </is>
      </c>
      <c r="Z1331" s="2" t="inlineStr">
        <is>
          <t>Aditamento (Artigo PPL)</t>
        </is>
      </c>
      <c r="AA1331" s="2" t="inlineStr">
        <is>
          <t>Rejeitado(a) em Comissão</t>
        </is>
      </c>
      <c r="AB1331" s="2" t="inlineStr"/>
      <c r="AC1331" s="2" t="inlineStr"/>
      <c r="AD1331" s="2" t="inlineStr">
        <is>
          <t>1</t>
        </is>
      </c>
      <c r="AE1331" s="2" t="inlineStr">
        <is>
          <t>24501</t>
        </is>
      </c>
      <c r="AF1331" s="2" t="inlineStr">
        <is>
          <t>https://www.parlamento.pt/OrcamentoEstado/Paginas/DetalhePropostaAlteracao.aspx?BID=24501</t>
        </is>
      </c>
      <c r="AG1331" s="2" t="inlineStr">
        <is>
          <t>https://app.parlamento.pt/webutils/docs/doc.pdf?path=6148523063484d364c793942556b356c6443397a6158526c63793959566b6c4a544556484c3039464c7a49774d6a59794d4449314d5441774f533951515338304f474e6c596a4d794d53316b4d6a41324c545269596d557459545a6b5953316c4e6a49774f44637a5a544d324d6a4d756347526d&amp;Fich=48ceb321-d206-4bbe-a6da-e620873e3623.pdf&amp;Inline=true</t>
        </is>
      </c>
      <c r="AH1331" s="3" t="n">
        <v>46321.77847222222</v>
      </c>
      <c r="AI1331" s="3" t="n">
        <v>46321.78055555555</v>
      </c>
      <c r="AJ1331" s="2" t="inlineStr"/>
    </row>
    <row r="1332">
      <c r="A1332" s="2" t="n">
        <v>1331</v>
      </c>
      <c r="B1332" s="2" t="inlineStr">
        <is>
          <t>1257C</t>
        </is>
      </c>
      <c r="C1332" s="3" t="n">
        <v>45968.47013888889</v>
      </c>
      <c r="D1332" s="2" t="inlineStr">
        <is>
          <t>Original</t>
        </is>
      </c>
      <c r="E1332" s="2" t="inlineStr">
        <is>
          <t>L</t>
        </is>
      </c>
      <c r="F1332" s="2" t="inlineStr">
        <is>
          <t>Filipa Pinto; Isabel Mendes Lopes; Jorge Pinto; Patrícia Gonçalves; Paulo Muacho; Rui Tavares</t>
        </is>
      </c>
      <c r="G1332" s="2" t="inlineStr">
        <is>
          <t>Art. 38.º-A (aditamento)</t>
        </is>
      </c>
      <c r="H1332" s="2" t="n"/>
      <c r="I1332" s="2" t="n"/>
      <c r="J1332" s="2" t="n"/>
      <c r="K1332" s="2" t="n"/>
      <c r="L1332" s="2" t="inlineStr">
        <is>
          <t>Artigo 38.º-A (Atualização da Prestação Social para a Inclusão)</t>
        </is>
      </c>
      <c r="M1332" s="4" t="n"/>
      <c r="N1332" s="4" t="n"/>
      <c r="O1332" s="2" t="n"/>
      <c r="P1332" s="2" t="n"/>
      <c r="Q1332" s="2" t="n"/>
      <c r="R1332" s="2" t="n"/>
      <c r="S1332" s="2" t="inlineStr">
        <is>
          <t>Rejeitado(a) em Comissão</t>
        </is>
      </c>
      <c r="T1332" s="2" t="inlineStr">
        <is>
          <t>Rejeitada</t>
        </is>
      </c>
      <c r="U1332" s="2" t="inlineStr">
        <is>
          <t>Favor: L, PCP, BE, PAN; Contra: PSD, IL, CDS-PP; Abstenção: CH, PS</t>
        </is>
      </c>
      <c r="V1332" s="3" t="n">
        <v>45981</v>
      </c>
      <c r="W1332" s="2" t="inlineStr">
        <is>
          <t>AR: https://www.parlamento.pt/OrcamentoEstado/Paginas/DetalhePropostaAlteracao.aspx?BID=24502 PDF: https://app.parlamento.pt/webutils/docs/doc.pdf?path=6148523063484d364c793942556b356c6443397a6158526c63793959566b6c4a544556484c3039464c7a49774d6a59794d4449314d5441774f53395151533969596d55795954526d4d53307a4e7a55324c5451324d4467744f445933595330304d3249314d5745784d6a6b7a5a5459756347526d&amp;Fich=bbe2a4f1-3756-4608-867a-43b51a1293e6.pdf&amp;Inline=true</t>
        </is>
      </c>
      <c r="X1332" s="2" t="inlineStr">
        <is>
          <t>Trabalho, Segurança Social e Inclusão</t>
        </is>
      </c>
      <c r="Y1332" s="2" t="inlineStr">
        <is>
          <t>Articulado</t>
        </is>
      </c>
      <c r="Z1332" s="2" t="inlineStr">
        <is>
          <t>Aditamento (Artigo PPL)</t>
        </is>
      </c>
      <c r="AA1332" s="2" t="inlineStr">
        <is>
          <t>Rejeitado(a) em Comissão</t>
        </is>
      </c>
      <c r="AB1332" s="2" t="inlineStr"/>
      <c r="AC1332" s="2" t="inlineStr"/>
      <c r="AD1332" s="2" t="inlineStr">
        <is>
          <t>1</t>
        </is>
      </c>
      <c r="AE1332" s="2" t="inlineStr">
        <is>
          <t>24502</t>
        </is>
      </c>
      <c r="AF1332" s="2" t="inlineStr">
        <is>
          <t>https://www.parlamento.pt/OrcamentoEstado/Paginas/DetalhePropostaAlteracao.aspx?BID=24502</t>
        </is>
      </c>
      <c r="AG1332" s="2" t="inlineStr">
        <is>
          <t>https://app.parlamento.pt/webutils/docs/doc.pdf?path=6148523063484d364c793942556b356c6443397a6158526c63793959566b6c4a544556484c3039464c7a49774d6a59794d4449314d5441774f53395151533969596d55795954526d4d53307a4e7a55324c5451324d4467744f445933595330304d3249314d5745784d6a6b7a5a5459756347526d&amp;Fich=bbe2a4f1-3756-4608-867a-43b51a1293e6.pdf&amp;Inline=true</t>
        </is>
      </c>
      <c r="AH1332" s="3" t="n">
        <v>46321.77847222222</v>
      </c>
      <c r="AI1332" s="3" t="n">
        <v>46321.78055555555</v>
      </c>
      <c r="AJ1332" s="2" t="inlineStr"/>
    </row>
    <row r="1333">
      <c r="A1333" s="2" t="n">
        <v>1332</v>
      </c>
      <c r="B1333" s="2" t="inlineStr">
        <is>
          <t>1258C</t>
        </is>
      </c>
      <c r="C1333" s="3" t="n">
        <v>45968.47013888889</v>
      </c>
      <c r="D1333" s="2" t="inlineStr">
        <is>
          <t>Original</t>
        </is>
      </c>
      <c r="E1333" s="2" t="inlineStr">
        <is>
          <t>JPP</t>
        </is>
      </c>
      <c r="F1333" s="2" t="inlineStr">
        <is>
          <t>Filipe Sousa</t>
        </is>
      </c>
      <c r="G1333" s="2" t="inlineStr">
        <is>
          <t>Art. 124.º-A (aditamento)</t>
        </is>
      </c>
      <c r="H1333" s="2" t="n"/>
      <c r="I1333" s="2" t="n"/>
      <c r="J1333" s="2" t="n"/>
      <c r="K1333" s="2" t="n"/>
      <c r="L1333" s="2" t="inlineStr">
        <is>
          <t>Artigo 124.º-A (Projeto-piloto de portas de plataforma no transporte ferroviário e metro ligeiro)</t>
        </is>
      </c>
      <c r="M1333" s="4" t="n"/>
      <c r="N1333" s="4" t="n"/>
      <c r="O1333" s="2" t="n"/>
      <c r="P1333" s="2" t="n"/>
      <c r="Q1333" s="2" t="n"/>
      <c r="R1333" s="2" t="n"/>
      <c r="S1333" s="2" t="inlineStr">
        <is>
          <t>Rejeitado(a) em Comissão</t>
        </is>
      </c>
      <c r="T1333" s="2" t="inlineStr">
        <is>
          <t>Rejeitada</t>
        </is>
      </c>
      <c r="U1333" s="2" t="inlineStr">
        <is>
          <t>Favor: L, PCP, BE, PAN; Contra: PSD, CH, CDS-PP; Abstenção: PS, IL</t>
        </is>
      </c>
      <c r="V1333" s="3" t="n">
        <v>45985</v>
      </c>
      <c r="W1333" s="2" t="inlineStr">
        <is>
          <t>AR: https://www.parlamento.pt/OrcamentoEstado/Paginas/DetalhePropostaAlteracao.aspx?BID=24503 PDF: https://app.parlamento.pt/webutils/docs/doc.pdf?path=6148523063484d364c793942556b356c6443397a6158526c63793959566b6c4a544556484c3039464c7a49774d6a59794d4449314d5441774f53395151533969595455324e6a566c4f5330334f445a6d4c545132596a49744f4452684d43307a4d444d305954497a4d6a526a5a4441756347526d&amp;Fich=ba5665e9-786f-46b2-84a0-3034a2324cd0.pdf&amp;Inline=true</t>
        </is>
      </c>
      <c r="X1333" s="2" t="inlineStr">
        <is>
          <t>Infraestruturas, Mobilidade e Habitação</t>
        </is>
      </c>
      <c r="Y1333" s="2" t="inlineStr">
        <is>
          <t>Articulado</t>
        </is>
      </c>
      <c r="Z1333" s="2" t="inlineStr">
        <is>
          <t>Aditamento (Artigo PPL)</t>
        </is>
      </c>
      <c r="AA1333" s="2" t="inlineStr">
        <is>
          <t>Rejeitado(a) em Comissão</t>
        </is>
      </c>
      <c r="AB1333" s="2" t="inlineStr"/>
      <c r="AC1333" s="2" t="inlineStr"/>
      <c r="AD1333" s="2" t="inlineStr">
        <is>
          <t>1</t>
        </is>
      </c>
      <c r="AE1333" s="2" t="inlineStr">
        <is>
          <t>24503</t>
        </is>
      </c>
      <c r="AF1333" s="2" t="inlineStr">
        <is>
          <t>https://www.parlamento.pt/OrcamentoEstado/Paginas/DetalhePropostaAlteracao.aspx?BID=24503</t>
        </is>
      </c>
      <c r="AG1333" s="2" t="inlineStr">
        <is>
          <t>https://app.parlamento.pt/webutils/docs/doc.pdf?path=6148523063484d364c793942556b356c6443397a6158526c63793959566b6c4a544556484c3039464c7a49774d6a59794d4449314d5441774f53395151533969595455324e6a566c4f5330334f445a6d4c545132596a49744f4452684d43307a4d444d305954497a4d6a526a5a4441756347526d&amp;Fich=ba5665e9-786f-46b2-84a0-3034a2324cd0.pdf&amp;Inline=true</t>
        </is>
      </c>
      <c r="AH1333" s="3" t="n">
        <v>46321.77847222222</v>
      </c>
      <c r="AI1333" s="3" t="n">
        <v>46321.78055555555</v>
      </c>
      <c r="AJ1333" s="2" t="inlineStr"/>
    </row>
    <row r="1334">
      <c r="A1334" s="2" t="n">
        <v>1333</v>
      </c>
      <c r="B1334" s="2" t="inlineStr">
        <is>
          <t>1259C</t>
        </is>
      </c>
      <c r="C1334" s="3" t="n">
        <v>45968.47083333333</v>
      </c>
      <c r="D1334" s="2" t="inlineStr">
        <is>
          <t>Original</t>
        </is>
      </c>
      <c r="E1334" s="2" t="inlineStr">
        <is>
          <t>BE</t>
        </is>
      </c>
      <c r="F1334" s="2" t="inlineStr">
        <is>
          <t>Mariana Mortágua</t>
        </is>
      </c>
      <c r="G1334" s="2" t="inlineStr">
        <is>
          <t>Art. 112.º-A (aditamento)</t>
        </is>
      </c>
      <c r="H1334" s="2" t="n"/>
      <c r="I1334" s="2" t="n"/>
      <c r="J1334" s="2" t="n"/>
      <c r="K1334" s="2" t="n"/>
      <c r="L1334" s="2" t="inlineStr">
        <is>
          <t>Artigo 112.º-A (Reconhecimento dos direitos dos ex-combatentes africanos)</t>
        </is>
      </c>
      <c r="M1334" s="4" t="n"/>
      <c r="N1334" s="4" t="n"/>
      <c r="O1334" s="2" t="n"/>
      <c r="P1334" s="2" t="n"/>
      <c r="Q1334" s="2" t="n"/>
      <c r="R1334" s="2" t="n"/>
      <c r="S1334" s="2" t="inlineStr">
        <is>
          <t>Rejeitado(a) em Comissão</t>
        </is>
      </c>
      <c r="T1334" s="2" t="inlineStr">
        <is>
          <t>Rejeitada</t>
        </is>
      </c>
      <c r="U1334" s="2" t="inlineStr">
        <is>
          <t>Favor: CH, IL, L, BE, PAN; Contra: PSD, CDS-PP; Abstenção: PS, PCP</t>
        </is>
      </c>
      <c r="V1334" s="3" t="n">
        <v>45982</v>
      </c>
      <c r="W1334" s="2" t="inlineStr">
        <is>
          <t>AR: https://www.parlamento.pt/OrcamentoEstado/Paginas/DetalhePropostaAlteracao.aspx?BID=24504 PDF: https://app.parlamento.pt/webutils/docs/doc.pdf?path=6148523063484d364c793942556b356c6443397a6158526c63793959566b6c4a544556484c3039464c7a49774d6a59794d4449314d5441774f5339515153396b4e546c6c5a6a426a5a6930304e5745794c5451314e3259744f4755344d69316c596a41344e6d46684e4749354f5445756347526d&amp;Fich=d59ef0cf-45a2-457f-8e82-eb086aa4b991.pdf&amp;Inline=true</t>
        </is>
      </c>
      <c r="X1334" s="2" t="inlineStr">
        <is>
          <t>Defesa Nacional</t>
        </is>
      </c>
      <c r="Y1334" s="2" t="inlineStr">
        <is>
          <t>Articulado</t>
        </is>
      </c>
      <c r="Z1334" s="2" t="inlineStr">
        <is>
          <t>Aditamento (Artigo PPL)</t>
        </is>
      </c>
      <c r="AA1334" s="2" t="inlineStr">
        <is>
          <t>Rejeitado(a) em Comissão</t>
        </is>
      </c>
      <c r="AB1334" s="2" t="inlineStr"/>
      <c r="AC1334" s="2" t="inlineStr"/>
      <c r="AD1334" s="2" t="inlineStr">
        <is>
          <t>1</t>
        </is>
      </c>
      <c r="AE1334" s="2" t="inlineStr">
        <is>
          <t>24504</t>
        </is>
      </c>
      <c r="AF1334" s="2" t="inlineStr">
        <is>
          <t>https://www.parlamento.pt/OrcamentoEstado/Paginas/DetalhePropostaAlteracao.aspx?BID=24504</t>
        </is>
      </c>
      <c r="AG1334" s="2" t="inlineStr">
        <is>
          <t>https://app.parlamento.pt/webutils/docs/doc.pdf?path=6148523063484d364c793942556b356c6443397a6158526c63793959566b6c4a544556484c3039464c7a49774d6a59794d4449314d5441774f5339515153396b4e546c6c5a6a426a5a6930304e5745794c5451314e3259744f4755344d69316c596a41344e6d46684e4749354f5445756347526d&amp;Fich=d59ef0cf-45a2-457f-8e82-eb086aa4b991.pdf&amp;Inline=true</t>
        </is>
      </c>
      <c r="AH1334" s="3" t="n">
        <v>46321.77847222222</v>
      </c>
      <c r="AI1334" s="3" t="n">
        <v>46321.78055555555</v>
      </c>
      <c r="AJ1334" s="2" t="inlineStr"/>
    </row>
    <row r="1335">
      <c r="A1335" s="2" t="n">
        <v>1334</v>
      </c>
      <c r="B1335" s="2" t="inlineStr">
        <is>
          <t>1260C</t>
        </is>
      </c>
      <c r="C1335" s="3" t="n">
        <v>45968.47152777778</v>
      </c>
      <c r="D1335" s="2" t="inlineStr">
        <is>
          <t>Original</t>
        </is>
      </c>
      <c r="E1335" s="2" t="inlineStr">
        <is>
          <t>JPP</t>
        </is>
      </c>
      <c r="F1335" s="2" t="inlineStr">
        <is>
          <t>Filipe Sousa</t>
        </is>
      </c>
      <c r="G1335" s="2" t="inlineStr">
        <is>
          <t>Art. 125.º-A (aditamento)</t>
        </is>
      </c>
      <c r="H1335" s="2" t="n"/>
      <c r="I1335" s="2" t="n"/>
      <c r="J1335" s="2" t="n"/>
      <c r="K1335" s="2" t="n"/>
      <c r="L1335" s="2" t="inlineStr">
        <is>
          <t>Artigo 125.º-A (Opção entre CPAS e regime geral da Segurança Social para os Advogados, Solicitadores e Agentes de Execução)</t>
        </is>
      </c>
      <c r="M1335" s="4" t="n"/>
      <c r="N1335" s="4" t="n"/>
      <c r="O1335" s="2" t="n"/>
      <c r="P1335" s="2" t="n"/>
      <c r="Q1335" s="2" t="n"/>
      <c r="R1335" s="2" t="n"/>
      <c r="S1335" s="2" t="inlineStr">
        <is>
          <t>Rejeitado(a) em Comissão</t>
        </is>
      </c>
      <c r="T1335" s="2" t="inlineStr">
        <is>
          <t>Rejeitada</t>
        </is>
      </c>
      <c r="U1335" s="2" t="inlineStr">
        <is>
          <t>Favor: CH, IL, BE, PAN; Contra: PSD, CDS-PP; Abstenção: PS, L, PCP</t>
        </is>
      </c>
      <c r="V1335" s="3" t="n">
        <v>45985</v>
      </c>
      <c r="W1335" s="2" t="inlineStr">
        <is>
          <t>AR: https://www.parlamento.pt/OrcamentoEstado/Paginas/DetalhePropostaAlteracao.aspx?BID=24505 PDF: https://app.parlamento.pt/webutils/docs/doc.pdf?path=6148523063484d364c793942556b356c6443397a6158526c63793959566b6c4a544556484c3039464c7a49774d6a59794d4449314d5441774f5339515153396d5a47466a4d6a426a4f5330794e7a426a4c5451334d6a4974596d4932597931694e6a4e6c4e4749324e54677a59546b756347526d&amp;Fich=fdac20c9-270c-4722-bb6c-b63e4b6583a9.pdf&amp;Inline=true</t>
        </is>
      </c>
      <c r="X1335" s="2" t="inlineStr">
        <is>
          <t>Trabalho, Segurança Social e Inclusão</t>
        </is>
      </c>
      <c r="Y1335" s="2" t="inlineStr">
        <is>
          <t>Articulado</t>
        </is>
      </c>
      <c r="Z1335" s="2" t="inlineStr">
        <is>
          <t>Aditamento (Artigo PPL)</t>
        </is>
      </c>
      <c r="AA1335" s="2" t="inlineStr">
        <is>
          <t>Rejeitado(a) em Comissão</t>
        </is>
      </c>
      <c r="AB1335" s="2" t="inlineStr"/>
      <c r="AC1335" s="2" t="inlineStr"/>
      <c r="AD1335" s="2" t="inlineStr">
        <is>
          <t>1</t>
        </is>
      </c>
      <c r="AE1335" s="2" t="inlineStr">
        <is>
          <t>24505</t>
        </is>
      </c>
      <c r="AF1335" s="2" t="inlineStr">
        <is>
          <t>https://www.parlamento.pt/OrcamentoEstado/Paginas/DetalhePropostaAlteracao.aspx?BID=24505</t>
        </is>
      </c>
      <c r="AG1335" s="2" t="inlineStr">
        <is>
          <t>https://app.parlamento.pt/webutils/docs/doc.pdf?path=6148523063484d364c793942556b356c6443397a6158526c63793959566b6c4a544556484c3039464c7a49774d6a59794d4449314d5441774f5339515153396d5a47466a4d6a426a4f5330794e7a426a4c5451334d6a4974596d4932597931694e6a4e6c4e4749324e54677a59546b756347526d&amp;Fich=fdac20c9-270c-4722-bb6c-b63e4b6583a9.pdf&amp;Inline=true</t>
        </is>
      </c>
      <c r="AH1335" s="3" t="n">
        <v>46321.77847222222</v>
      </c>
      <c r="AI1335" s="3" t="n">
        <v>46321.78055555555</v>
      </c>
      <c r="AJ1335" s="2" t="inlineStr"/>
    </row>
    <row r="1336">
      <c r="A1336" s="2" t="n">
        <v>1335</v>
      </c>
      <c r="B1336" s="2" t="inlineStr">
        <is>
          <t>1261C</t>
        </is>
      </c>
      <c r="C1336" s="3" t="n">
        <v>45968.47222222222</v>
      </c>
      <c r="D1336" s="2" t="inlineStr">
        <is>
          <t>Original</t>
        </is>
      </c>
      <c r="E1336" s="2" t="inlineStr">
        <is>
          <t>L</t>
        </is>
      </c>
      <c r="F1336" s="2" t="inlineStr">
        <is>
          <t>Filipa Pinto; Isabel Mendes Lopes; Jorge Pinto; Patrícia Gonçalves; Paulo Muacho; Rui Tavares</t>
        </is>
      </c>
      <c r="G1336" s="2" t="inlineStr">
        <is>
          <t>Art. 46.º-A (aditamento)</t>
        </is>
      </c>
      <c r="H1336" s="2" t="n"/>
      <c r="I1336" s="2" t="n"/>
      <c r="J1336" s="2" t="n"/>
      <c r="K1336" s="2" t="n"/>
      <c r="L1336" s="2" t="inlineStr">
        <is>
          <t>Artigo 46.º-A (Altera o limite máximo do rendimento do agregado familiar para aceder à Garantia para a Infância)</t>
        </is>
      </c>
      <c r="M1336" s="4" t="n"/>
      <c r="N1336" s="4" t="n"/>
      <c r="O1336" s="2" t="n"/>
      <c r="P1336" s="2" t="n"/>
      <c r="Q1336" s="2" t="n"/>
      <c r="R1336" s="2" t="n"/>
      <c r="S1336" s="2" t="inlineStr">
        <is>
          <t>Rejeitado(a) em Comissão</t>
        </is>
      </c>
      <c r="T1336" s="2" t="inlineStr">
        <is>
          <t>Rejeitada</t>
        </is>
      </c>
      <c r="U1336" s="2" t="inlineStr">
        <is>
          <t>Favor: L, PCP, BE, PAN; Contra: PSD, CDS-PP; Abstenção: CH, PS, IL</t>
        </is>
      </c>
      <c r="V1336" s="3" t="n">
        <v>45981</v>
      </c>
      <c r="W1336" s="2" t="inlineStr">
        <is>
          <t>AR: https://www.parlamento.pt/OrcamentoEstado/Paginas/DetalhePropostaAlteracao.aspx?BID=24506 PDF: https://app.parlamento.pt/webutils/docs/doc.pdf?path=6148523063484d364c793942556b356c6443397a6158526c63793959566b6c4a544556484c3039464c7a49774d6a59794d4449314d5441774f5339515153396a4e6a4a6a4e474579595330784e6d4d344c5451304d546b744f4751775a5330304e5463305a446b344e474a6c593259756347526d&amp;Fich=c62c4a2a-16c8-4419-8d0e-4574d984becf.pdf&amp;Inline=true</t>
        </is>
      </c>
      <c r="X1336" s="2" t="inlineStr">
        <is>
          <t>Trabalho, Segurança Social e Inclusão</t>
        </is>
      </c>
      <c r="Y1336" s="2" t="inlineStr">
        <is>
          <t>Articulado</t>
        </is>
      </c>
      <c r="Z1336" s="2" t="inlineStr">
        <is>
          <t>Aditamento (Artigo PPL)</t>
        </is>
      </c>
      <c r="AA1336" s="2" t="inlineStr">
        <is>
          <t>Rejeitado(a) em Comissão</t>
        </is>
      </c>
      <c r="AB1336" s="2" t="inlineStr"/>
      <c r="AC1336" s="2" t="inlineStr"/>
      <c r="AD1336" s="2" t="inlineStr">
        <is>
          <t>1</t>
        </is>
      </c>
      <c r="AE1336" s="2" t="inlineStr">
        <is>
          <t>24506</t>
        </is>
      </c>
      <c r="AF1336" s="2" t="inlineStr">
        <is>
          <t>https://www.parlamento.pt/OrcamentoEstado/Paginas/DetalhePropostaAlteracao.aspx?BID=24506</t>
        </is>
      </c>
      <c r="AG1336" s="2" t="inlineStr">
        <is>
          <t>https://app.parlamento.pt/webutils/docs/doc.pdf?path=6148523063484d364c793942556b356c6443397a6158526c63793959566b6c4a544556484c3039464c7a49774d6a59794d4449314d5441774f5339515153396a4e6a4a6a4e474579595330784e6d4d344c5451304d546b744f4751775a5330304e5463305a446b344e474a6c593259756347526d&amp;Fich=c62c4a2a-16c8-4419-8d0e-4574d984becf.pdf&amp;Inline=true</t>
        </is>
      </c>
      <c r="AH1336" s="3" t="n">
        <v>46321.77847222222</v>
      </c>
      <c r="AI1336" s="3" t="n">
        <v>46321.78055555555</v>
      </c>
      <c r="AJ1336" s="2" t="inlineStr"/>
    </row>
    <row r="1337">
      <c r="A1337" s="2" t="n">
        <v>1336</v>
      </c>
      <c r="B1337" s="2" t="inlineStr">
        <is>
          <t>1262C</t>
        </is>
      </c>
      <c r="C1337" s="3" t="n">
        <v>45968.47291666667</v>
      </c>
      <c r="D1337" s="2" t="inlineStr">
        <is>
          <t>Original</t>
        </is>
      </c>
      <c r="E1337" s="2" t="inlineStr">
        <is>
          <t>JPP</t>
        </is>
      </c>
      <c r="F1337" s="2" t="inlineStr">
        <is>
          <t>Filipe Sousa</t>
        </is>
      </c>
      <c r="G1337" s="2" t="inlineStr">
        <is>
          <t>Art. 126.º-A (aditamento)</t>
        </is>
      </c>
      <c r="H1337" s="2" t="n"/>
      <c r="I1337" s="2" t="n"/>
      <c r="J1337" s="2" t="n"/>
      <c r="K1337" s="2" t="n"/>
      <c r="L1337" s="2" t="inlineStr">
        <is>
          <t>Artigo 126.º-A (Contagem gratuita do Serviço Militar Obrigatório para efeitos de carreira contributiva)</t>
        </is>
      </c>
      <c r="M1337" s="4" t="n"/>
      <c r="N1337" s="4" t="n"/>
      <c r="O1337" s="2" t="n"/>
      <c r="P1337" s="2" t="n"/>
      <c r="Q1337" s="2" t="n"/>
      <c r="R1337" s="2" t="n"/>
      <c r="S1337" s="2" t="inlineStr">
        <is>
          <t>Rejeitado(a) em Comissão</t>
        </is>
      </c>
      <c r="T1337" s="2" t="inlineStr">
        <is>
          <t>Rejeitada</t>
        </is>
      </c>
      <c r="U1337" s="2" t="inlineStr">
        <is>
          <t>Favor: CH, L, PCP, BE, PAN; Contra: PSD, CDS-PP; Abstenção: PS, IL</t>
        </is>
      </c>
      <c r="V1337" s="3" t="n">
        <v>45985</v>
      </c>
      <c r="W1337" s="2" t="inlineStr">
        <is>
          <t>AR: https://www.parlamento.pt/OrcamentoEstado/Paginas/DetalhePropostaAlteracao.aspx?BID=24507 PDF: https://app.parlamento.pt/webutils/docs/doc.pdf?path=6148523063484d364c793942556b356c6443397a6158526c63793959566b6c4a544556484c3039464c7a49774d6a59794d4449314d5441774f533951515338774f4756685a544132596930795a4468684c54526c5a6a6b74596a646d4f53316b595463314d475578596d5a6d5a4441756347526d&amp;Fich=08eae06b-2d8a-4ef9-b7f9-da750e1bffd0.pdf&amp;Inline=true</t>
        </is>
      </c>
      <c r="X1337" s="2" t="inlineStr">
        <is>
          <t>Trabalho, Segurança Social e Inclusão</t>
        </is>
      </c>
      <c r="Y1337" s="2" t="inlineStr">
        <is>
          <t>Articulado</t>
        </is>
      </c>
      <c r="Z1337" s="2" t="inlineStr">
        <is>
          <t>Aditamento (Artigo PPL)</t>
        </is>
      </c>
      <c r="AA1337" s="2" t="inlineStr">
        <is>
          <t>Rejeitado(a) em Comissão</t>
        </is>
      </c>
      <c r="AB1337" s="2" t="inlineStr"/>
      <c r="AC1337" s="2" t="inlineStr"/>
      <c r="AD1337" s="2" t="inlineStr">
        <is>
          <t>1</t>
        </is>
      </c>
      <c r="AE1337" s="2" t="inlineStr">
        <is>
          <t>24507</t>
        </is>
      </c>
      <c r="AF1337" s="2" t="inlineStr">
        <is>
          <t>https://www.parlamento.pt/OrcamentoEstado/Paginas/DetalhePropostaAlteracao.aspx?BID=24507</t>
        </is>
      </c>
      <c r="AG1337" s="2" t="inlineStr">
        <is>
          <t>https://app.parlamento.pt/webutils/docs/doc.pdf?path=6148523063484d364c793942556b356c6443397a6158526c63793959566b6c4a544556484c3039464c7a49774d6a59794d4449314d5441774f533951515338774f4756685a544132596930795a4468684c54526c5a6a6b74596a646d4f53316b595463314d475578596d5a6d5a4441756347526d&amp;Fich=08eae06b-2d8a-4ef9-b7f9-da750e1bffd0.pdf&amp;Inline=true</t>
        </is>
      </c>
      <c r="AH1337" s="3" t="n">
        <v>46321.77847222222</v>
      </c>
      <c r="AI1337" s="3" t="n">
        <v>46321.78055555555</v>
      </c>
      <c r="AJ1337" s="2" t="inlineStr"/>
    </row>
    <row r="1338">
      <c r="A1338" s="2" t="n">
        <v>1337</v>
      </c>
      <c r="B1338" s="2" t="inlineStr">
        <is>
          <t>1263C</t>
        </is>
      </c>
      <c r="C1338" s="3" t="n">
        <v>45968.47430555556</v>
      </c>
      <c r="D1338" s="2" t="inlineStr">
        <is>
          <t>Original</t>
        </is>
      </c>
      <c r="E1338" s="2" t="inlineStr">
        <is>
          <t>L</t>
        </is>
      </c>
      <c r="F1338" s="2" t="inlineStr">
        <is>
          <t>Filipa Pinto; Isabel Mendes Lopes; Jorge Pinto; Patrícia Gonçalves; Paulo Muacho; Rui Tavares</t>
        </is>
      </c>
      <c r="G1338" s="2" t="inlineStr">
        <is>
          <t>Art. 126.º-A (aditamento)</t>
        </is>
      </c>
      <c r="H1338" s="2" t="n"/>
      <c r="I1338" s="2" t="n"/>
      <c r="J1338" s="2" t="n"/>
      <c r="K1338" s="2" t="n"/>
      <c r="L1338" s="2" t="inlineStr">
        <is>
          <t>Artigo 126.º-A (Programa de Incentivo à Aquisição de Veículos de Mercadorias de Emissões Nulas)</t>
        </is>
      </c>
      <c r="M1338" s="4" t="n"/>
      <c r="N1338" s="4" t="n"/>
      <c r="O1338" s="2" t="n"/>
      <c r="P1338" s="2" t="n"/>
      <c r="Q1338" s="2" t="n"/>
      <c r="R1338" s="2" t="n"/>
      <c r="S1338" s="2" t="inlineStr">
        <is>
          <t>Rejeitado(a) em Comissão</t>
        </is>
      </c>
      <c r="T1338" s="2" t="inlineStr">
        <is>
          <t>Rejeitada</t>
        </is>
      </c>
      <c r="U1338" s="2" t="inlineStr">
        <is>
          <t>Favor: L, BE, PAN; Contra: PSD, CH, IL, CDS-PP; Abstenção: PS, PCP</t>
        </is>
      </c>
      <c r="V1338" s="3" t="n">
        <v>45985</v>
      </c>
      <c r="W1338" s="2" t="inlineStr">
        <is>
          <t>AR: https://www.parlamento.pt/OrcamentoEstado/Paginas/DetalhePropostaAlteracao.aspx?BID=24508 PDF: https://app.parlamento.pt/webutils/docs/doc.pdf?path=6148523063484d364c793942556b356c6443397a6158526c63793959566b6c4a544556484c3039464c7a49774d6a59794d4449314d5441774f533951515339694f444d784d574d784f5330304e7a51784c5451314e6a4d74596a67304f5330325a6d4a6b5a4451785a5442694d4755756347526d&amp;Fich=b8311c19-4741-4563-b849-6fbdd41e0b0e.pdf&amp;Inline=true</t>
        </is>
      </c>
      <c r="X1338" s="2" t="inlineStr">
        <is>
          <t>Infraestruturas, Mobilidade e Habitação</t>
        </is>
      </c>
      <c r="Y1338" s="2" t="inlineStr">
        <is>
          <t>Articulado</t>
        </is>
      </c>
      <c r="Z1338" s="2" t="inlineStr">
        <is>
          <t>Aditamento (Artigo PPL)</t>
        </is>
      </c>
      <c r="AA1338" s="2" t="inlineStr">
        <is>
          <t>Rejeitado(a) em Comissão</t>
        </is>
      </c>
      <c r="AB1338" s="2" t="inlineStr"/>
      <c r="AC1338" s="2" t="inlineStr"/>
      <c r="AD1338" s="2" t="inlineStr">
        <is>
          <t>1</t>
        </is>
      </c>
      <c r="AE1338" s="2" t="inlineStr">
        <is>
          <t>24508</t>
        </is>
      </c>
      <c r="AF1338" s="2" t="inlineStr">
        <is>
          <t>https://www.parlamento.pt/OrcamentoEstado/Paginas/DetalhePropostaAlteracao.aspx?BID=24508</t>
        </is>
      </c>
      <c r="AG1338" s="2" t="inlineStr">
        <is>
          <t>https://app.parlamento.pt/webutils/docs/doc.pdf?path=6148523063484d364c793942556b356c6443397a6158526c63793959566b6c4a544556484c3039464c7a49774d6a59794d4449314d5441774f533951515339694f444d784d574d784f5330304e7a51784c5451314e6a4d74596a67304f5330325a6d4a6b5a4451785a5442694d4755756347526d&amp;Fich=b8311c19-4741-4563-b849-6fbdd41e0b0e.pdf&amp;Inline=true</t>
        </is>
      </c>
      <c r="AH1338" s="3" t="n">
        <v>46321.77847222222</v>
      </c>
      <c r="AI1338" s="3" t="n">
        <v>46321.78055555555</v>
      </c>
      <c r="AJ1338" s="2" t="inlineStr"/>
    </row>
    <row r="1339">
      <c r="A1339" s="2" t="n">
        <v>1338</v>
      </c>
      <c r="B1339" s="2" t="inlineStr">
        <is>
          <t>1264C</t>
        </is>
      </c>
      <c r="C1339" s="3" t="n">
        <v>45968.47569444445</v>
      </c>
      <c r="D1339" s="2" t="inlineStr">
        <is>
          <t>Original</t>
        </is>
      </c>
      <c r="E1339" s="2" t="inlineStr">
        <is>
          <t>IL</t>
        </is>
      </c>
      <c r="F1339" s="2" t="inlineStr">
        <is>
          <t>Angélique Da Teresa; Carlos Guimarães Pinto; Joana Cordeiro; Jorge Miguel Teixeira; Mariana Leitão; Mário Amorim Lopes; Miguel Rangel; Rodrigo Saraiva; Rui Rocha</t>
        </is>
      </c>
      <c r="G1339" s="2" t="inlineStr">
        <is>
          <t>Art. 5.º-A (aditamento)</t>
        </is>
      </c>
      <c r="H1339" s="2" t="n"/>
      <c r="I1339" s="2" t="n"/>
      <c r="J1339" s="2" t="n"/>
      <c r="K1339" s="2" t="n"/>
      <c r="L1339" s="2" t="inlineStr">
        <is>
          <t>Artigo 5.º-A (Programa de Mapeamento e Aproveitamento do Património Público para Arrendamento)</t>
        </is>
      </c>
      <c r="M1339" s="4" t="n"/>
      <c r="N1339" s="4" t="n"/>
      <c r="O1339" s="2" t="n"/>
      <c r="P1339" s="2" t="n"/>
      <c r="Q1339" s="2" t="n"/>
      <c r="R1339" s="2" t="n"/>
      <c r="S1339" s="2" t="inlineStr">
        <is>
          <t>Rejeitado(a) em Comissão</t>
        </is>
      </c>
      <c r="T1339" s="2" t="inlineStr">
        <is>
          <t>Rejeitada</t>
        </is>
      </c>
      <c r="U1339" s="2" t="inlineStr">
        <is>
          <t>Favor: CH, IL, PAN; Contra: PSD, PS, L, PCP, CDS-PP, BE</t>
        </is>
      </c>
      <c r="V1339" s="3" t="n">
        <v>45981</v>
      </c>
      <c r="W1339" s="2" t="inlineStr">
        <is>
          <t>AR: https://www.parlamento.pt/OrcamentoEstado/Paginas/DetalhePropostaAlteracao.aspx?BID=24509 PDF: https://app.parlamento.pt/webutils/docs/doc.pdf?path=6148523063484d364c793942556b356c6443397a6158526c63793959566b6c4a544556484c3039464c7a49774d6a59794d4449314d5441774f5339515153383159544e6c597a42684f5330355a5445304c5451325a6a55744f5449794d69316a4d6d55304e6a466b4e5441795a4449756347526d&amp;Fich=5a3ec0a9-9e14-46f5-9222-c2e461d502d2.pdf&amp;Inline=true</t>
        </is>
      </c>
      <c r="X1339" s="2" t="inlineStr">
        <is>
          <t>Infraestruturas, Mobilidade e Habitação</t>
        </is>
      </c>
      <c r="Y1339" s="2" t="inlineStr">
        <is>
          <t>Articulado</t>
        </is>
      </c>
      <c r="Z1339" s="2" t="inlineStr">
        <is>
          <t>Aditamento (Artigo PPL)</t>
        </is>
      </c>
      <c r="AA1339" s="2" t="inlineStr">
        <is>
          <t>Rejeitado(a) em Comissão</t>
        </is>
      </c>
      <c r="AB1339" s="2" t="inlineStr"/>
      <c r="AC1339" s="2" t="inlineStr"/>
      <c r="AD1339" s="2" t="inlineStr">
        <is>
          <t>1</t>
        </is>
      </c>
      <c r="AE1339" s="2" t="inlineStr">
        <is>
          <t>24509</t>
        </is>
      </c>
      <c r="AF1339" s="2" t="inlineStr">
        <is>
          <t>https://www.parlamento.pt/OrcamentoEstado/Paginas/DetalhePropostaAlteracao.aspx?BID=24509</t>
        </is>
      </c>
      <c r="AG1339" s="2" t="inlineStr">
        <is>
          <t>https://app.parlamento.pt/webutils/docs/doc.pdf?path=6148523063484d364c793942556b356c6443397a6158526c63793959566b6c4a544556484c3039464c7a49774d6a59794d4449314d5441774f5339515153383159544e6c597a42684f5330355a5445304c5451325a6a55744f5449794d69316a4d6d55304e6a466b4e5441795a4449756347526d&amp;Fich=5a3ec0a9-9e14-46f5-9222-c2e461d502d2.pdf&amp;Inline=true</t>
        </is>
      </c>
      <c r="AH1339" s="3" t="n">
        <v>46321.77847222222</v>
      </c>
      <c r="AI1339" s="3" t="n">
        <v>46321.78055555555</v>
      </c>
      <c r="AJ1339" s="2" t="inlineStr"/>
    </row>
    <row r="1340">
      <c r="A1340" s="2" t="n">
        <v>1339</v>
      </c>
      <c r="B1340" s="2" t="inlineStr">
        <is>
          <t>1265C</t>
        </is>
      </c>
      <c r="C1340" s="3" t="n">
        <v>45968.47638888889</v>
      </c>
      <c r="D1340" s="2" t="inlineStr">
        <is>
          <t>Original</t>
        </is>
      </c>
      <c r="E1340" s="2" t="inlineStr">
        <is>
          <t>L</t>
        </is>
      </c>
      <c r="F1340" s="2" t="inlineStr">
        <is>
          <t>Filipa Pinto; Isabel Mendes Lopes; Jorge Pinto; Patrícia Gonçalves; Paulo Muacho; Rui Tavares</t>
        </is>
      </c>
      <c r="G1340" s="2" t="inlineStr">
        <is>
          <t>Art. 112.º-A (aditamento)</t>
        </is>
      </c>
      <c r="H1340" s="2" t="n"/>
      <c r="I1340" s="2" t="n"/>
      <c r="J1340" s="2" t="n"/>
      <c r="K1340" s="2" t="n"/>
      <c r="L1340" s="2" t="inlineStr">
        <is>
          <t>Artigo 112.º-A (Abolição de propinas no 1.º ciclo de estudos do Ensino Superior público)</t>
        </is>
      </c>
      <c r="M1340" s="4" t="n"/>
      <c r="N1340" s="4" t="n"/>
      <c r="O1340" s="2" t="n"/>
      <c r="P1340" s="2" t="n"/>
      <c r="Q1340" s="2" t="n"/>
      <c r="R1340" s="2" t="n"/>
      <c r="S1340" s="2" t="inlineStr">
        <is>
          <t>Rejeitado(a) em Comissão</t>
        </is>
      </c>
      <c r="T1340" s="2" t="inlineStr">
        <is>
          <t>Rejeitada</t>
        </is>
      </c>
      <c r="U1340" s="2" t="inlineStr">
        <is>
          <t>Favor: L, PCP, BE, PAN; Contra: PSD, CH, IL, CDS-PP; Abstenção: PS</t>
        </is>
      </c>
      <c r="V1340" s="3" t="n">
        <v>45982</v>
      </c>
      <c r="W1340" s="2" t="inlineStr">
        <is>
          <t>AR: https://www.parlamento.pt/OrcamentoEstado/Paginas/DetalhePropostaAlteracao.aspx?BID=24510 PDF: https://app.parlamento.pt/webutils/docs/doc.pdf?path=6148523063484d364c793942556b356c6443397a6158526c63793959566b6c4a544556484c3039464c7a49774d6a59794d4449314d5441774f533951515338794d54417a5a4751775a4330324e4449794c5451784d4749744f446c684e7930794d445a6c4d475a6d596d4a6a4d6a4d756347526d&amp;Fich=2103dd0d-6422-410b-89a7-206e0ffbbc23.pdf&amp;Inline=true</t>
        </is>
      </c>
      <c r="X1340" s="2" t="inlineStr">
        <is>
          <t>Educação e Ciência</t>
        </is>
      </c>
      <c r="Y1340" s="2" t="inlineStr">
        <is>
          <t>Articulado</t>
        </is>
      </c>
      <c r="Z1340" s="2" t="inlineStr">
        <is>
          <t>Aditamento (Artigo PPL)</t>
        </is>
      </c>
      <c r="AA1340" s="2" t="inlineStr">
        <is>
          <t>Rejeitado(a) em Comissão</t>
        </is>
      </c>
      <c r="AB1340" s="2" t="inlineStr"/>
      <c r="AC1340" s="2" t="inlineStr"/>
      <c r="AD1340" s="2" t="inlineStr">
        <is>
          <t>1</t>
        </is>
      </c>
      <c r="AE1340" s="2" t="inlineStr">
        <is>
          <t>24510</t>
        </is>
      </c>
      <c r="AF1340" s="2" t="inlineStr">
        <is>
          <t>https://www.parlamento.pt/OrcamentoEstado/Paginas/DetalhePropostaAlteracao.aspx?BID=24510</t>
        </is>
      </c>
      <c r="AG1340" s="2" t="inlineStr">
        <is>
          <t>https://app.parlamento.pt/webutils/docs/doc.pdf?path=6148523063484d364c793942556b356c6443397a6158526c63793959566b6c4a544556484c3039464c7a49774d6a59794d4449314d5441774f533951515338794d54417a5a4751775a4330324e4449794c5451784d4749744f446c684e7930794d445a6c4d475a6d596d4a6a4d6a4d756347526d&amp;Fich=2103dd0d-6422-410b-89a7-206e0ffbbc23.pdf&amp;Inline=true</t>
        </is>
      </c>
      <c r="AH1340" s="3" t="n">
        <v>46321.77847222222</v>
      </c>
      <c r="AI1340" s="3" t="n">
        <v>46321.78055555555</v>
      </c>
      <c r="AJ1340" s="2" t="inlineStr"/>
    </row>
    <row r="1341">
      <c r="A1341" s="2" t="n">
        <v>1340</v>
      </c>
      <c r="B1341" s="2" t="inlineStr">
        <is>
          <t>1266C</t>
        </is>
      </c>
      <c r="C1341" s="3" t="n">
        <v>45968.47777777778</v>
      </c>
      <c r="D1341" s="2" t="inlineStr">
        <is>
          <t>Original</t>
        </is>
      </c>
      <c r="E1341" s="2" t="inlineStr">
        <is>
          <t>JPP</t>
        </is>
      </c>
      <c r="F1341" s="2" t="inlineStr">
        <is>
          <t>Filipe Sousa</t>
        </is>
      </c>
      <c r="G1341" s="2" t="inlineStr">
        <is>
          <t>Art. 119.º-A (aditamento)</t>
        </is>
      </c>
      <c r="H1341" s="2" t="n"/>
      <c r="I1341" s="2" t="n"/>
      <c r="J1341" s="2" t="n"/>
      <c r="K1341" s="2" t="n"/>
      <c r="L1341" s="2" t="inlineStr">
        <is>
          <t>Artigo 119.º-A (Programa de cuidados de medicina dentária no Serviço Nacional de Saúde)</t>
        </is>
      </c>
      <c r="M1341" s="4" t="n"/>
      <c r="N1341" s="4" t="n"/>
      <c r="O1341" s="2" t="n"/>
      <c r="P1341" s="2" t="n"/>
      <c r="Q1341" s="2" t="n"/>
      <c r="R1341" s="2" t="n"/>
      <c r="S1341" s="2" t="inlineStr">
        <is>
          <t>Rejeitado(a) em Comissão</t>
        </is>
      </c>
      <c r="T1341" s="2" t="inlineStr">
        <is>
          <t>Rejeitada</t>
        </is>
      </c>
      <c r="U1341" s="2" t="inlineStr">
        <is>
          <t>Favor: CH, IL, PCP, BE, PAN; Contra: PSD, L, CDS-PP; Abstenção: PS</t>
        </is>
      </c>
      <c r="V1341" s="3" t="n">
        <v>45985</v>
      </c>
      <c r="W1341" s="2" t="inlineStr">
        <is>
          <t>AR: https://www.parlamento.pt/OrcamentoEstado/Paginas/DetalhePropostaAlteracao.aspx?BID=24511 PDF: https://app.parlamento.pt/webutils/docs/doc.pdf?path=6148523063484d364c793942556b356c6443397a6158526c63793959566b6c4a544556484c3039464c7a49774d6a59794d4449314d5441774f533951515338304d474669597a63784d5330305a54457a4c5451794f4451745957466959793034595455355a44466b4d6d45305a6d51756347526d&amp;Fich=40abc711-4e13-4284-aabc-8a59d1d2a4fd.pdf&amp;Inline=true</t>
        </is>
      </c>
      <c r="X1341" s="2" t="inlineStr">
        <is>
          <t>Saúde</t>
        </is>
      </c>
      <c r="Y1341" s="2" t="inlineStr">
        <is>
          <t>Articulado</t>
        </is>
      </c>
      <c r="Z1341" s="2" t="inlineStr">
        <is>
          <t>Aditamento (Artigo PPL)</t>
        </is>
      </c>
      <c r="AA1341" s="2" t="inlineStr">
        <is>
          <t>Rejeitado(a) em Comissão</t>
        </is>
      </c>
      <c r="AB1341" s="2" t="inlineStr"/>
      <c r="AC1341" s="2" t="inlineStr"/>
      <c r="AD1341" s="2" t="inlineStr">
        <is>
          <t>1</t>
        </is>
      </c>
      <c r="AE1341" s="2" t="inlineStr">
        <is>
          <t>24511</t>
        </is>
      </c>
      <c r="AF1341" s="2" t="inlineStr">
        <is>
          <t>https://www.parlamento.pt/OrcamentoEstado/Paginas/DetalhePropostaAlteracao.aspx?BID=24511</t>
        </is>
      </c>
      <c r="AG1341" s="2" t="inlineStr">
        <is>
          <t>https://app.parlamento.pt/webutils/docs/doc.pdf?path=6148523063484d364c793942556b356c6443397a6158526c63793959566b6c4a544556484c3039464c7a49774d6a59794d4449314d5441774f533951515338304d474669597a63784d5330305a54457a4c5451794f4451745957466959793034595455355a44466b4d6d45305a6d51756347526d&amp;Fich=40abc711-4e13-4284-aabc-8a59d1d2a4fd.pdf&amp;Inline=true</t>
        </is>
      </c>
      <c r="AH1341" s="3" t="n">
        <v>46321.77847222222</v>
      </c>
      <c r="AI1341" s="3" t="n">
        <v>46321.78055555555</v>
      </c>
      <c r="AJ1341" s="2" t="inlineStr"/>
    </row>
    <row r="1342">
      <c r="A1342" s="2" t="n">
        <v>1341</v>
      </c>
      <c r="B1342" s="2" t="inlineStr">
        <is>
          <t>1267C</t>
        </is>
      </c>
      <c r="C1342" s="3" t="n">
        <v>45968.47847222222</v>
      </c>
      <c r="D1342" s="2" t="inlineStr">
        <is>
          <t>Original</t>
        </is>
      </c>
      <c r="E1342" s="2" t="inlineStr">
        <is>
          <t>BE</t>
        </is>
      </c>
      <c r="F1342" s="2" t="inlineStr">
        <is>
          <t>Mariana Mortágua</t>
        </is>
      </c>
      <c r="G1342" s="2" t="inlineStr">
        <is>
          <t>Art. 10.º-A (aditamento)</t>
        </is>
      </c>
      <c r="H1342" s="2" t="n"/>
      <c r="I1342" s="2" t="n"/>
      <c r="J1342" s="2" t="n"/>
      <c r="K1342" s="2" t="n"/>
      <c r="L1342" s="2" t="inlineStr">
        <is>
          <t>Artigo 10.º-A (Alteração ao Decreto-Lei n.º 308/2007, de 3 de setembro)</t>
        </is>
      </c>
      <c r="M1342" s="4" t="n"/>
      <c r="N1342" s="4" t="n"/>
      <c r="O1342" s="2" t="n"/>
      <c r="P1342" s="2" t="n"/>
      <c r="Q1342" s="2" t="n"/>
      <c r="R1342" s="2" t="n"/>
      <c r="S1342" s="2" t="inlineStr">
        <is>
          <t>Rejeitado(a) em Comissão</t>
        </is>
      </c>
      <c r="T1342" s="2" t="inlineStr">
        <is>
          <t>Rejeitada</t>
        </is>
      </c>
      <c r="U1342" s="2" t="inlineStr">
        <is>
          <t>Favor: CH, IL, L, PCP, BE, PAN; Contra: PSD, CDS-PP; Abstenção: PS</t>
        </is>
      </c>
      <c r="V1342" s="3" t="n">
        <v>45981</v>
      </c>
      <c r="W1342" s="2" t="inlineStr">
        <is>
          <t>AR: https://www.parlamento.pt/OrcamentoEstado/Paginas/DetalhePropostaAlteracao.aspx?BID=24512 PDF: https://app.parlamento.pt/webutils/docs/doc.pdf?path=6148523063484d364c793942556b356c6443397a6158526c63793959566b6c4a544556484c3039464c7a49774d6a59794d4449314d5441774f533951515338315932466c596d4a6d4d53307a4f4749354c5451344d6a4974596a466a4e6931694f44497a4e324e684d4463795a5745756347526d&amp;Fich=5caebbf1-38b9-4822-b1c6-b8237ca072ea.pdf&amp;Inline=true</t>
        </is>
      </c>
      <c r="X1342" s="2" t="inlineStr">
        <is>
          <t>Assuntos Constitucionais, Direitos, Liberdades e Garantias</t>
        </is>
      </c>
      <c r="Y1342" s="2" t="inlineStr">
        <is>
          <t>Articulado</t>
        </is>
      </c>
      <c r="Z1342" s="2" t="inlineStr">
        <is>
          <t>Aditamento (Artigo PPL)</t>
        </is>
      </c>
      <c r="AA1342" s="2" t="inlineStr">
        <is>
          <t>Rejeitado(a) em Comissão</t>
        </is>
      </c>
      <c r="AB1342" s="2" t="inlineStr"/>
      <c r="AC1342" s="2" t="inlineStr"/>
      <c r="AD1342" s="2" t="inlineStr">
        <is>
          <t>1</t>
        </is>
      </c>
      <c r="AE1342" s="2" t="inlineStr">
        <is>
          <t>24512</t>
        </is>
      </c>
      <c r="AF1342" s="2" t="inlineStr">
        <is>
          <t>https://www.parlamento.pt/OrcamentoEstado/Paginas/DetalhePropostaAlteracao.aspx?BID=24512</t>
        </is>
      </c>
      <c r="AG1342" s="2" t="inlineStr">
        <is>
          <t>https://app.parlamento.pt/webutils/docs/doc.pdf?path=6148523063484d364c793942556b356c6443397a6158526c63793959566b6c4a544556484c3039464c7a49774d6a59794d4449314d5441774f533951515338315932466c596d4a6d4d53307a4f4749354c5451344d6a4974596a466a4e6931694f44497a4e324e684d4463795a5745756347526d&amp;Fich=5caebbf1-38b9-4822-b1c6-b8237ca072ea.pdf&amp;Inline=true</t>
        </is>
      </c>
      <c r="AH1342" s="3" t="n">
        <v>46321.77847222222</v>
      </c>
      <c r="AI1342" s="3" t="n">
        <v>46321.78055555555</v>
      </c>
      <c r="AJ1342" s="2" t="inlineStr"/>
    </row>
    <row r="1343">
      <c r="A1343" s="2" t="n">
        <v>1342</v>
      </c>
      <c r="B1343" s="2" t="inlineStr">
        <is>
          <t>1268C</t>
        </is>
      </c>
      <c r="C1343" s="3" t="n">
        <v>45968.47916666666</v>
      </c>
      <c r="D1343" s="2" t="inlineStr">
        <is>
          <t>Original</t>
        </is>
      </c>
      <c r="E1343" s="2" t="inlineStr">
        <is>
          <t>JPP</t>
        </is>
      </c>
      <c r="F1343" s="2" t="inlineStr">
        <is>
          <t>Filipe Sousa</t>
        </is>
      </c>
      <c r="G1343" s="2" t="inlineStr">
        <is>
          <t>Art. 130.º-A (aditamento)</t>
        </is>
      </c>
      <c r="H1343" s="2" t="n"/>
      <c r="I1343" s="2" t="n"/>
      <c r="J1343" s="2" t="n"/>
      <c r="K1343" s="2" t="n"/>
      <c r="L1343" s="2" t="inlineStr">
        <is>
          <t>Artigo 130.º-A (Associações Humanitárias de Bombeiros — financiamento-base e estabilidade)</t>
        </is>
      </c>
      <c r="M1343" s="4" t="n"/>
      <c r="N1343" s="4" t="n"/>
      <c r="O1343" s="2" t="n"/>
      <c r="P1343" s="2" t="n"/>
      <c r="Q1343" s="2" t="n"/>
      <c r="R1343" s="2" t="n"/>
      <c r="S1343" s="2" t="inlineStr">
        <is>
          <t>Rejeitado(a) em Comissão</t>
        </is>
      </c>
      <c r="T1343" s="2" t="inlineStr">
        <is>
          <t>Rejeitada</t>
        </is>
      </c>
      <c r="U1343" s="2" t="inlineStr">
        <is>
          <t>Favor: CH, L, PCP, BE; Contra: PSD, IL, CDS-PP; Abstenção: PS, PAN</t>
        </is>
      </c>
      <c r="V1343" s="3" t="n">
        <v>45985</v>
      </c>
      <c r="W1343" s="2" t="inlineStr">
        <is>
          <t>AR: https://www.parlamento.pt/OrcamentoEstado/Paginas/DetalhePropostaAlteracao.aspx?BID=24513 PDF: https://app.parlamento.pt/webutils/docs/doc.pdf?path=6148523063484d364c793942556b356c6443397a6158526c63793959566b6c4a544556484c3039464c7a49774d6a59794d4449314d5441774f533951515338354e6a67354e474d34595330324d5455784c54526c5a44517459545531597931694e3245304e6a5a6b5a57457a596d59756347526d&amp;Fich=96894c8a-6151-4ed4-a55c-b7a466dea3bf.pdf&amp;Inline=true</t>
        </is>
      </c>
      <c r="X1343" s="2" t="inlineStr">
        <is>
          <t>Assuntos Constitucionais, Direitos, Liberdades e Garantias</t>
        </is>
      </c>
      <c r="Y1343" s="2" t="inlineStr">
        <is>
          <t>Articulado</t>
        </is>
      </c>
      <c r="Z1343" s="2" t="inlineStr">
        <is>
          <t>Aditamento (Artigo PPL)</t>
        </is>
      </c>
      <c r="AA1343" s="2" t="inlineStr">
        <is>
          <t>Rejeitado(a) em Comissão</t>
        </is>
      </c>
      <c r="AB1343" s="2" t="inlineStr"/>
      <c r="AC1343" s="2" t="inlineStr"/>
      <c r="AD1343" s="2" t="inlineStr">
        <is>
          <t>1</t>
        </is>
      </c>
      <c r="AE1343" s="2" t="inlineStr">
        <is>
          <t>24513</t>
        </is>
      </c>
      <c r="AF1343" s="2" t="inlineStr">
        <is>
          <t>https://www.parlamento.pt/OrcamentoEstado/Paginas/DetalhePropostaAlteracao.aspx?BID=24513</t>
        </is>
      </c>
      <c r="AG1343" s="2" t="inlineStr">
        <is>
          <t>https://app.parlamento.pt/webutils/docs/doc.pdf?path=6148523063484d364c793942556b356c6443397a6158526c63793959566b6c4a544556484c3039464c7a49774d6a59794d4449314d5441774f533951515338354e6a67354e474d34595330324d5455784c54526c5a44517459545531597931694e3245304e6a5a6b5a57457a596d59756347526d&amp;Fich=96894c8a-6151-4ed4-a55c-b7a466dea3bf.pdf&amp;Inline=true</t>
        </is>
      </c>
      <c r="AH1343" s="3" t="n">
        <v>46321.77847222222</v>
      </c>
      <c r="AI1343" s="3" t="n">
        <v>46321.78055555555</v>
      </c>
      <c r="AJ1343" s="2" t="inlineStr"/>
    </row>
    <row r="1344">
      <c r="A1344" s="2" t="n">
        <v>1343</v>
      </c>
      <c r="B1344" s="2" t="inlineStr">
        <is>
          <t>1269C</t>
        </is>
      </c>
      <c r="C1344" s="3" t="n">
        <v>45968.48055555556</v>
      </c>
      <c r="D1344" s="2" t="inlineStr">
        <is>
          <t>Original</t>
        </is>
      </c>
      <c r="E1344" s="2" t="inlineStr">
        <is>
          <t>BE</t>
        </is>
      </c>
      <c r="F1344" s="2" t="inlineStr">
        <is>
          <t>Mariana Mortágua</t>
        </is>
      </c>
      <c r="G1344" s="2" t="inlineStr">
        <is>
          <t>Art. 112.º-A (aditamento)</t>
        </is>
      </c>
      <c r="H1344" s="2" t="n"/>
      <c r="I1344" s="2" t="n"/>
      <c r="J1344" s="2" t="n"/>
      <c r="K1344" s="2" t="n"/>
      <c r="L1344" s="2" t="inlineStr">
        <is>
          <t>Artigo 112.º-A (Alteração à Lei n.º 40/2004, de 18 de Agosto)</t>
        </is>
      </c>
      <c r="M1344" s="4" t="n"/>
      <c r="N1344" s="4" t="n"/>
      <c r="O1344" s="2" t="n"/>
      <c r="P1344" s="2" t="n"/>
      <c r="Q1344" s="2" t="n"/>
      <c r="R1344" s="2" t="n"/>
      <c r="S1344" s="2" t="inlineStr">
        <is>
          <t>Rejeitado(a) em Comissão</t>
        </is>
      </c>
      <c r="T1344" s="2" t="inlineStr">
        <is>
          <t>Rejeitada</t>
        </is>
      </c>
      <c r="U1344" s="2" t="inlineStr">
        <is>
          <t>Favor: L, PCP, BE, PAN; Contra: PSD, CDS-PP; Abstenção: CH, PS, IL</t>
        </is>
      </c>
      <c r="V1344" s="3" t="n">
        <v>45982</v>
      </c>
      <c r="W1344" s="2" t="inlineStr">
        <is>
          <t>AR: https://www.parlamento.pt/OrcamentoEstado/Paginas/DetalhePropostaAlteracao.aspx?BID=24514 PDF: https://app.parlamento.pt/webutils/docs/doc.pdf?path=6148523063484d364c793942556b356c6443397a6158526c63793959566b6c4a544556484c3039464c7a49774d6a59794d4449314d5441774f533951515338305a6d59334d4759314e7930775a4455304c54526d4d6a45744f444d354f533031596a566a4f5441335a5456694d4459756347526d&amp;Fich=4ff70f57-0d54-4f21-8399-5b5c907e5b06.pdf&amp;Inline=true</t>
        </is>
      </c>
      <c r="X1344" s="2" t="inlineStr">
        <is>
          <t>Educação e Ciência</t>
        </is>
      </c>
      <c r="Y1344" s="2" t="inlineStr">
        <is>
          <t>Articulado</t>
        </is>
      </c>
      <c r="Z1344" s="2" t="inlineStr">
        <is>
          <t>Aditamento (Artigo PPL)</t>
        </is>
      </c>
      <c r="AA1344" s="2" t="inlineStr">
        <is>
          <t>Rejeitado(a) em Comissão</t>
        </is>
      </c>
      <c r="AB1344" s="2" t="inlineStr"/>
      <c r="AC1344" s="2" t="inlineStr"/>
      <c r="AD1344" s="2" t="inlineStr">
        <is>
          <t>1</t>
        </is>
      </c>
      <c r="AE1344" s="2" t="inlineStr">
        <is>
          <t>24514</t>
        </is>
      </c>
      <c r="AF1344" s="2" t="inlineStr">
        <is>
          <t>https://www.parlamento.pt/OrcamentoEstado/Paginas/DetalhePropostaAlteracao.aspx?BID=24514</t>
        </is>
      </c>
      <c r="AG1344" s="2" t="inlineStr">
        <is>
          <t>https://app.parlamento.pt/webutils/docs/doc.pdf?path=6148523063484d364c793942556b356c6443397a6158526c63793959566b6c4a544556484c3039464c7a49774d6a59794d4449314d5441774f533951515338305a6d59334d4759314e7930775a4455304c54526d4d6a45744f444d354f533031596a566a4f5441335a5456694d4459756347526d&amp;Fich=4ff70f57-0d54-4f21-8399-5b5c907e5b06.pdf&amp;Inline=true</t>
        </is>
      </c>
      <c r="AH1344" s="3" t="n">
        <v>46321.77847222222</v>
      </c>
      <c r="AI1344" s="3" t="n">
        <v>46321.78055555555</v>
      </c>
      <c r="AJ1344" s="2" t="inlineStr"/>
    </row>
    <row r="1345">
      <c r="A1345" s="2" t="n">
        <v>1344</v>
      </c>
      <c r="B1345" s="2" t="inlineStr">
        <is>
          <t>1270C</t>
        </is>
      </c>
      <c r="C1345" s="3" t="n">
        <v>45968.48125</v>
      </c>
      <c r="D1345" s="2" t="inlineStr">
        <is>
          <t>Original</t>
        </is>
      </c>
      <c r="E1345" s="2" t="inlineStr">
        <is>
          <t>JPP</t>
        </is>
      </c>
      <c r="F1345" s="2" t="inlineStr">
        <is>
          <t>Filipe Sousa</t>
        </is>
      </c>
      <c r="G1345" s="2" t="inlineStr">
        <is>
          <t>Art. 130.º-B (aditamento)</t>
        </is>
      </c>
      <c r="H1345" s="2" t="n"/>
      <c r="I1345" s="2" t="n"/>
      <c r="J1345" s="2" t="n"/>
      <c r="K1345" s="2" t="n"/>
      <c r="L1345" s="2" t="inlineStr">
        <is>
          <t>Artigo 130.º-B (Reequipamento operacional 2026-2028)</t>
        </is>
      </c>
      <c r="M1345" s="4" t="n"/>
      <c r="N1345" s="4" t="n"/>
      <c r="O1345" s="2" t="n"/>
      <c r="P1345" s="2" t="n"/>
      <c r="Q1345" s="2" t="n"/>
      <c r="R1345" s="2" t="n"/>
      <c r="S1345" s="2" t="inlineStr">
        <is>
          <t>Rejeitado(a) em Comissão</t>
        </is>
      </c>
      <c r="T1345" s="2" t="inlineStr">
        <is>
          <t>Rejeitada</t>
        </is>
      </c>
      <c r="U1345" s="2" t="inlineStr">
        <is>
          <t>Favor: L, PCP, BE, PAN; Contra: PSD, IL, CDS-PP; Abstenção: CH, PS</t>
        </is>
      </c>
      <c r="V1345" s="3" t="n">
        <v>45985</v>
      </c>
      <c r="W1345" s="2" t="inlineStr">
        <is>
          <t>AR: https://www.parlamento.pt/OrcamentoEstado/Paginas/DetalhePropostaAlteracao.aspx?BID=24515 PDF: https://app.parlamento.pt/webutils/docs/doc.pdf?path=6148523063484d364c793942556b356c6443397a6158526c63793959566b6c4a544556484c3039464c7a49774d6a59794d4449314d5441774f533951515338314e7a45784d3251335a6930324d544d334c54526a59545574596a5a694d53316d4d4467324e6d557a4f574e6d4d324d756347526d&amp;Fich=57113d7f-6137-4ca5-b6b1-f0866e39cf3c.pdf&amp;Inline=true</t>
        </is>
      </c>
      <c r="X1345" s="2" t="inlineStr">
        <is>
          <t>Assuntos Constitucionais, Direitos, Liberdades e Garantias</t>
        </is>
      </c>
      <c r="Y1345" s="2" t="inlineStr">
        <is>
          <t>Articulado</t>
        </is>
      </c>
      <c r="Z1345" s="2" t="inlineStr">
        <is>
          <t>Aditamento (Artigo PPL)</t>
        </is>
      </c>
      <c r="AA1345" s="2" t="inlineStr">
        <is>
          <t>Rejeitado(a) em Comissão</t>
        </is>
      </c>
      <c r="AB1345" s="2" t="inlineStr"/>
      <c r="AC1345" s="2" t="inlineStr"/>
      <c r="AD1345" s="2" t="inlineStr">
        <is>
          <t>1</t>
        </is>
      </c>
      <c r="AE1345" s="2" t="inlineStr">
        <is>
          <t>24515</t>
        </is>
      </c>
      <c r="AF1345" s="2" t="inlineStr">
        <is>
          <t>https://www.parlamento.pt/OrcamentoEstado/Paginas/DetalhePropostaAlteracao.aspx?BID=24515</t>
        </is>
      </c>
      <c r="AG1345" s="2" t="inlineStr">
        <is>
          <t>https://app.parlamento.pt/webutils/docs/doc.pdf?path=6148523063484d364c793942556b356c6443397a6158526c63793959566b6c4a544556484c3039464c7a49774d6a59794d4449314d5441774f533951515338314e7a45784d3251335a6930324d544d334c54526a59545574596a5a694d53316d4d4467324e6d557a4f574e6d4d324d756347526d&amp;Fich=57113d7f-6137-4ca5-b6b1-f0866e39cf3c.pdf&amp;Inline=true</t>
        </is>
      </c>
      <c r="AH1345" s="3" t="n">
        <v>46321.77847222222</v>
      </c>
      <c r="AI1345" s="3" t="n">
        <v>46321.78055555555</v>
      </c>
      <c r="AJ1345" s="2" t="inlineStr"/>
    </row>
    <row r="1346">
      <c r="A1346" s="2" t="n">
        <v>1345</v>
      </c>
      <c r="B1346" s="2" t="inlineStr">
        <is>
          <t>1271C</t>
        </is>
      </c>
      <c r="C1346" s="3" t="n">
        <v>45968.48263888889</v>
      </c>
      <c r="D1346" s="2" t="inlineStr">
        <is>
          <t>Original</t>
        </is>
      </c>
      <c r="E1346" s="2" t="inlineStr">
        <is>
          <t>PAN</t>
        </is>
      </c>
      <c r="F1346" s="2" t="inlineStr">
        <is>
          <t>Inês de Sousa Real</t>
        </is>
      </c>
      <c r="G1346" s="2" t="inlineStr">
        <is>
          <t>Art. 108.º-A (aditamento)</t>
        </is>
      </c>
      <c r="H1346" s="2" t="n"/>
      <c r="I1346" s="2" t="n"/>
      <c r="J1346" s="2" t="n"/>
      <c r="K1346" s="2" t="n"/>
      <c r="L1346" s="2" t="inlineStr">
        <is>
          <t>Artigo 108.º-A (Plataforma nacional de informação sobre serviços públicos de bem-estar animal)</t>
        </is>
      </c>
      <c r="M1346" s="4" t="n"/>
      <c r="N1346" s="4" t="n"/>
      <c r="O1346" s="2" t="n"/>
      <c r="P1346" s="2" t="n"/>
      <c r="Q1346" s="2" t="n"/>
      <c r="R1346" s="2" t="n"/>
      <c r="S1346" s="2" t="inlineStr">
        <is>
          <t>Rejeitado(a) em Comissão</t>
        </is>
      </c>
      <c r="T1346" s="2" t="inlineStr">
        <is>
          <t>Rejeitada</t>
        </is>
      </c>
      <c r="U1346" s="2" t="inlineStr">
        <is>
          <t>Favor: CH, L, BE, PAN; Contra: PSD, IL, CDS-PP; Abstenção: PS, PCP</t>
        </is>
      </c>
      <c r="V1346" s="3" t="n">
        <v>45982</v>
      </c>
      <c r="W1346" s="2" t="inlineStr">
        <is>
          <t>AR: https://www.parlamento.pt/OrcamentoEstado/Paginas/DetalhePropostaAlteracao.aspx?BID=24516 PDF: https://app.parlamento.pt/webutils/docs/doc.pdf?path=6148523063484d364c793942556b356c6443397a6158526c63793959566b6c4a544556484c3039464c7a49774d6a59794d4449314d5441774f533951515338304e5751344e7a49345a4330794d6a4d334c54526d4d7a45744f47566d4e43316c4f57566b5a44426c59325532597a45756347526d&amp;Fich=45d8728d-2237-4f31-8ef4-e9edd0ece6c1.pdf&amp;Inline=true</t>
        </is>
      </c>
      <c r="X1346" s="2" t="inlineStr">
        <is>
          <t>Agricultura e Pescas; Reforma do Estado e Poder Local</t>
        </is>
      </c>
      <c r="Y1346" s="2" t="inlineStr">
        <is>
          <t>Articulado</t>
        </is>
      </c>
      <c r="Z1346" s="2" t="inlineStr">
        <is>
          <t>Aditamento (Artigo PPL)</t>
        </is>
      </c>
      <c r="AA1346" s="2" t="inlineStr">
        <is>
          <t>Rejeitado(a) em Comissão</t>
        </is>
      </c>
      <c r="AB1346" s="2" t="inlineStr"/>
      <c r="AC1346" s="2" t="inlineStr"/>
      <c r="AD1346" s="2" t="inlineStr">
        <is>
          <t>1</t>
        </is>
      </c>
      <c r="AE1346" s="2" t="inlineStr">
        <is>
          <t>24516</t>
        </is>
      </c>
      <c r="AF1346" s="2" t="inlineStr">
        <is>
          <t>https://www.parlamento.pt/OrcamentoEstado/Paginas/DetalhePropostaAlteracao.aspx?BID=24516</t>
        </is>
      </c>
      <c r="AG1346" s="2" t="inlineStr">
        <is>
          <t>https://app.parlamento.pt/webutils/docs/doc.pdf?path=6148523063484d364c793942556b356c6443397a6158526c63793959566b6c4a544556484c3039464c7a49774d6a59794d4449314d5441774f533951515338304e5751344e7a49345a4330794d6a4d334c54526d4d7a45744f47566d4e43316c4f57566b5a44426c59325532597a45756347526d&amp;Fich=45d8728d-2237-4f31-8ef4-e9edd0ece6c1.pdf&amp;Inline=true</t>
        </is>
      </c>
      <c r="AH1346" s="3" t="n">
        <v>46321.77847222222</v>
      </c>
      <c r="AI1346" s="3" t="n">
        <v>46321.78055555555</v>
      </c>
      <c r="AJ1346" s="2" t="inlineStr"/>
    </row>
    <row r="1347">
      <c r="A1347" s="2" t="n">
        <v>1346</v>
      </c>
      <c r="B1347" s="2" t="inlineStr">
        <is>
          <t>1272C</t>
        </is>
      </c>
      <c r="C1347" s="3" t="n">
        <v>45968.48333333333</v>
      </c>
      <c r="D1347" s="2" t="inlineStr">
        <is>
          <t>Original</t>
        </is>
      </c>
      <c r="E1347" s="2" t="inlineStr">
        <is>
          <t>JPP</t>
        </is>
      </c>
      <c r="F1347" s="2" t="inlineStr">
        <is>
          <t>Filipe Sousa</t>
        </is>
      </c>
      <c r="G1347" s="2" t="inlineStr">
        <is>
          <t>Art. 130.º-C (aditamento)</t>
        </is>
      </c>
      <c r="H1347" s="2" t="n"/>
      <c r="I1347" s="2" t="n"/>
      <c r="J1347" s="2" t="n"/>
      <c r="K1347" s="2" t="n"/>
      <c r="L1347" s="2" t="inlineStr">
        <is>
          <t>Artigo 130.º-C (Pagamentos do Estado às AHB — prazos)</t>
        </is>
      </c>
      <c r="M1347" s="4" t="n"/>
      <c r="N1347" s="4" t="n"/>
      <c r="O1347" s="2" t="n"/>
      <c r="P1347" s="2" t="n"/>
      <c r="Q1347" s="2" t="n"/>
      <c r="R1347" s="2" t="n"/>
      <c r="S1347" s="2" t="inlineStr">
        <is>
          <t>Rejeitado(a) em Comissão</t>
        </is>
      </c>
      <c r="T1347" s="2" t="inlineStr">
        <is>
          <t>Rejeitada</t>
        </is>
      </c>
      <c r="U1347" s="2" t="inlineStr">
        <is>
          <t>Favor: CH, L, PCP, BE, PAN; Contra: PSD, CDS-PP; Abstenção: PS, IL</t>
        </is>
      </c>
      <c r="V1347" s="3" t="n">
        <v>45985</v>
      </c>
      <c r="W1347" s="2" t="inlineStr">
        <is>
          <t>AR: https://www.parlamento.pt/OrcamentoEstado/Paginas/DetalhePropostaAlteracao.aspx?BID=24517 PDF: https://app.parlamento.pt/webutils/docs/doc.pdf?path=6148523063484d364c793942556b356c6443397a6158526c63793959566b6c4a544556484c3039464c7a49774d6a59794d4449314d5441774f533951515338784e6a49305a5467794e793079596a45794c5452695957517459544a6d5a5330314e44566b4d44466c5a5459784d6d49756347526d&amp;Fich=1624e827-2b12-4bad-a2fe-545d01ee612b.pdf&amp;Inline=true</t>
        </is>
      </c>
      <c r="X1347" s="2" t="inlineStr">
        <is>
          <t>Assuntos Constitucionais, Direitos, Liberdades e Garantias; Orçamento, Finanças e Administração Pública</t>
        </is>
      </c>
      <c r="Y1347" s="2" t="inlineStr">
        <is>
          <t>Articulado</t>
        </is>
      </c>
      <c r="Z1347" s="2" t="inlineStr">
        <is>
          <t>Aditamento (Artigo PPL)</t>
        </is>
      </c>
      <c r="AA1347" s="2" t="inlineStr">
        <is>
          <t>Rejeitado(a) em Comissão</t>
        </is>
      </c>
      <c r="AB1347" s="2" t="inlineStr"/>
      <c r="AC1347" s="2" t="inlineStr"/>
      <c r="AD1347" s="2" t="inlineStr">
        <is>
          <t>1</t>
        </is>
      </c>
      <c r="AE1347" s="2" t="inlineStr">
        <is>
          <t>24517</t>
        </is>
      </c>
      <c r="AF1347" s="2" t="inlineStr">
        <is>
          <t>https://www.parlamento.pt/OrcamentoEstado/Paginas/DetalhePropostaAlteracao.aspx?BID=24517</t>
        </is>
      </c>
      <c r="AG1347" s="2" t="inlineStr">
        <is>
          <t>https://app.parlamento.pt/webutils/docs/doc.pdf?path=6148523063484d364c793942556b356c6443397a6158526c63793959566b6c4a544556484c3039464c7a49774d6a59794d4449314d5441774f533951515338784e6a49305a5467794e793079596a45794c5452695957517459544a6d5a5330314e44566b4d44466c5a5459784d6d49756347526d&amp;Fich=1624e827-2b12-4bad-a2fe-545d01ee612b.pdf&amp;Inline=true</t>
        </is>
      </c>
      <c r="AH1347" s="3" t="n">
        <v>46321.77847222222</v>
      </c>
      <c r="AI1347" s="3" t="n">
        <v>46321.78055555555</v>
      </c>
      <c r="AJ1347" s="2" t="inlineStr"/>
    </row>
    <row r="1348">
      <c r="A1348" s="2" t="n">
        <v>1347</v>
      </c>
      <c r="B1348" s="2" t="inlineStr">
        <is>
          <t>1273C</t>
        </is>
      </c>
      <c r="C1348" s="3" t="n">
        <v>45968.48541666667</v>
      </c>
      <c r="D1348" s="2" t="inlineStr">
        <is>
          <t>Original</t>
        </is>
      </c>
      <c r="E1348" s="2" t="inlineStr">
        <is>
          <t>PAN</t>
        </is>
      </c>
      <c r="F1348" s="2" t="inlineStr">
        <is>
          <t>Inês de Sousa Real</t>
        </is>
      </c>
      <c r="G1348" s="2" t="inlineStr">
        <is>
          <t>Art. 108.º-A (aditamento)</t>
        </is>
      </c>
      <c r="H1348" s="2" t="n"/>
      <c r="I1348" s="2" t="n"/>
      <c r="J1348" s="2" t="n"/>
      <c r="K1348" s="2" t="n"/>
      <c r="L1348" s="2" t="inlineStr">
        <is>
          <t>Artigo 108.º-A (Relatório anual sobre receitas e investimentos no âmbito do bem-estar animal pelas juntas de freguesia)</t>
        </is>
      </c>
      <c r="M1348" s="4" t="n"/>
      <c r="N1348" s="4" t="n"/>
      <c r="O1348" s="2" t="n"/>
      <c r="P1348" s="2" t="n"/>
      <c r="Q1348" s="2" t="n"/>
      <c r="R1348" s="2" t="n"/>
      <c r="S1348" s="2" t="inlineStr">
        <is>
          <t>Aprovado(a) Parcialmente em Comissão</t>
        </is>
      </c>
      <c r="T1348" s="2" t="inlineStr">
        <is>
          <t>Aprovada parcialmente</t>
        </is>
      </c>
      <c r="U1348" s="2" t="inlineStr">
        <is>
          <t>Favor: CH, PS, L, BE, PAN; Contra: PSD, IL, PCP, CDS-PP</t>
        </is>
      </c>
      <c r="V1348" s="3" t="n">
        <v>45982</v>
      </c>
      <c r="W1348" s="2" t="inlineStr">
        <is>
          <t>AR: https://www.parlamento.pt/OrcamentoEstado/Paginas/DetalhePropostaAlteracao.aspx?BID=24518 PDF: https://app.parlamento.pt/webutils/docs/doc.pdf?path=6148523063484d364c793942556b356c6443397a6158526c63793959566b6c4a544556484c3039464c7a49774d6a59794d4449314d5441774f5339515153387a4d444d345957557a4d693033596d45344c5451334d6a55744f47566c4d6930345a445a6c5a5745334e32566d4e6a45756347526d&amp;Fich=3038ae32-7ba8-4725-8ee2-8d6eea77ef61.pdf&amp;Inline=true</t>
        </is>
      </c>
      <c r="X1348" s="2" t="inlineStr">
        <is>
          <t>Agricultura e Pescas</t>
        </is>
      </c>
      <c r="Y1348" s="2" t="inlineStr">
        <is>
          <t>Articulado</t>
        </is>
      </c>
      <c r="Z1348" s="2" t="inlineStr">
        <is>
          <t>Aditamento (Artigo PPL)</t>
        </is>
      </c>
      <c r="AA1348" s="2" t="inlineStr">
        <is>
          <t>Aprovado(a) Parcialmente em Comissão</t>
        </is>
      </c>
      <c r="AB1348" s="2" t="inlineStr"/>
      <c r="AC1348" s="2" t="inlineStr"/>
      <c r="AD1348" s="2" t="inlineStr">
        <is>
          <t>1</t>
        </is>
      </c>
      <c r="AE1348" s="2" t="inlineStr">
        <is>
          <t>24518</t>
        </is>
      </c>
      <c r="AF1348" s="2" t="inlineStr">
        <is>
          <t>https://www.parlamento.pt/OrcamentoEstado/Paginas/DetalhePropostaAlteracao.aspx?BID=24518</t>
        </is>
      </c>
      <c r="AG1348" s="2" t="inlineStr">
        <is>
          <t>https://app.parlamento.pt/webutils/docs/doc.pdf?path=6148523063484d364c793942556b356c6443397a6158526c63793959566b6c4a544556484c3039464c7a49774d6a59794d4449314d5441774f5339515153387a4d444d345957557a4d693033596d45344c5451334d6a55744f47566c4d6930345a445a6c5a5745334e32566d4e6a45756347526d&amp;Fich=3038ae32-7ba8-4725-8ee2-8d6eea77ef61.pdf&amp;Inline=true</t>
        </is>
      </c>
      <c r="AH1348" s="3" t="n">
        <v>46321.77847222222</v>
      </c>
      <c r="AI1348" s="3" t="n">
        <v>46321.78055555555</v>
      </c>
      <c r="AJ1348" s="2" t="inlineStr"/>
    </row>
    <row r="1349">
      <c r="A1349" s="2" t="n">
        <v>1348</v>
      </c>
      <c r="B1349" s="2" t="inlineStr">
        <is>
          <t>1274C</t>
        </is>
      </c>
      <c r="C1349" s="3" t="n">
        <v>45968.48541666667</v>
      </c>
      <c r="D1349" s="2" t="inlineStr">
        <is>
          <t>Original</t>
        </is>
      </c>
      <c r="E1349" s="2" t="inlineStr">
        <is>
          <t>BE</t>
        </is>
      </c>
      <c r="F1349" s="2" t="inlineStr">
        <is>
          <t>Mariana Mortágua</t>
        </is>
      </c>
      <c r="G1349" s="2" t="inlineStr">
        <is>
          <t>Art. 112.º-A (aditamento)</t>
        </is>
      </c>
      <c r="H1349" s="2" t="n"/>
      <c r="I1349" s="2" t="n"/>
      <c r="J1349" s="2" t="n"/>
      <c r="K1349" s="2" t="n"/>
      <c r="L1349" s="2" t="inlineStr">
        <is>
          <t>Artigo 112.º-A (Alteração à Lei n.º 34/2004, de 29 de julho)</t>
        </is>
      </c>
      <c r="M1349" s="4" t="n"/>
      <c r="N1349" s="4" t="n"/>
      <c r="O1349" s="2" t="n"/>
      <c r="P1349" s="2" t="n"/>
      <c r="Q1349" s="2" t="n"/>
      <c r="R1349" s="2" t="n"/>
      <c r="S1349" s="2" t="inlineStr">
        <is>
          <t>Rejeitado(a) em Comissão</t>
        </is>
      </c>
      <c r="T1349" s="2" t="inlineStr">
        <is>
          <t>Rejeitada</t>
        </is>
      </c>
      <c r="U1349" s="2" t="inlineStr">
        <is>
          <t>Favor: CH, IL, L, PCP, BE, PAN; Contra: PSD, CDS-PP; Abstenção: PS</t>
        </is>
      </c>
      <c r="V1349" s="3" t="n">
        <v>45982</v>
      </c>
      <c r="W1349" s="2" t="inlineStr">
        <is>
          <t>AR: https://www.parlamento.pt/OrcamentoEstado/Paginas/DetalhePropostaAlteracao.aspx?BID=24519 PDF: https://app.parlamento.pt/webutils/docs/doc.pdf?path=6148523063484d364c793942556b356c6443397a6158526c63793959566b6c4a544556484c3039464c7a49774d6a59794d4449314d5441774f533951515338314d545a6d4d445a6c4f5330354d7a59324c5451354f474574596a41334e4330305a4446694d444a6b5a54646d4d6a4d756347526d&amp;Fich=516f06e9-9366-498a-b074-4d1b02de7f23.pdf&amp;Inline=true</t>
        </is>
      </c>
      <c r="X1349" s="2" t="inlineStr">
        <is>
          <t>Assuntos Constitucionais, Direitos, Liberdades e Garantias</t>
        </is>
      </c>
      <c r="Y1349" s="2" t="inlineStr">
        <is>
          <t>Articulado</t>
        </is>
      </c>
      <c r="Z1349" s="2" t="inlineStr">
        <is>
          <t>Aditamento (Artigo PPL)</t>
        </is>
      </c>
      <c r="AA1349" s="2" t="inlineStr">
        <is>
          <t>Rejeitado(a) em Comissão</t>
        </is>
      </c>
      <c r="AB1349" s="2" t="inlineStr"/>
      <c r="AC1349" s="2" t="inlineStr"/>
      <c r="AD1349" s="2" t="inlineStr">
        <is>
          <t>1</t>
        </is>
      </c>
      <c r="AE1349" s="2" t="inlineStr">
        <is>
          <t>24519</t>
        </is>
      </c>
      <c r="AF1349" s="2" t="inlineStr">
        <is>
          <t>https://www.parlamento.pt/OrcamentoEstado/Paginas/DetalhePropostaAlteracao.aspx?BID=24519</t>
        </is>
      </c>
      <c r="AG1349" s="2" t="inlineStr">
        <is>
          <t>https://app.parlamento.pt/webutils/docs/doc.pdf?path=6148523063484d364c793942556b356c6443397a6158526c63793959566b6c4a544556484c3039464c7a49774d6a59794d4449314d5441774f533951515338314d545a6d4d445a6c4f5330354d7a59324c5451354f474574596a41334e4330305a4446694d444a6b5a54646d4d6a4d756347526d&amp;Fich=516f06e9-9366-498a-b074-4d1b02de7f23.pdf&amp;Inline=true</t>
        </is>
      </c>
      <c r="AH1349" s="3" t="n">
        <v>46321.77847222222</v>
      </c>
      <c r="AI1349" s="3" t="n">
        <v>46321.78055555555</v>
      </c>
      <c r="AJ1349" s="2" t="inlineStr"/>
    </row>
    <row r="1350">
      <c r="A1350" s="2" t="n">
        <v>1349</v>
      </c>
      <c r="B1350" s="2" t="inlineStr">
        <is>
          <t>1275C</t>
        </is>
      </c>
      <c r="C1350" s="3" t="n">
        <v>45968.48819444444</v>
      </c>
      <c r="D1350" s="2" t="inlineStr">
        <is>
          <t>Original</t>
        </is>
      </c>
      <c r="E1350" s="2" t="inlineStr">
        <is>
          <t>PAN</t>
        </is>
      </c>
      <c r="F1350" s="2" t="inlineStr">
        <is>
          <t>Inês de Sousa Real</t>
        </is>
      </c>
      <c r="G1350" s="2" t="inlineStr">
        <is>
          <t>Art. 128.º-A (aditamento)</t>
        </is>
      </c>
      <c r="H1350" s="2" t="n"/>
      <c r="I1350" s="2" t="n"/>
      <c r="J1350" s="2" t="n"/>
      <c r="K1350" s="2" t="n"/>
      <c r="L1350" s="2" t="inlineStr">
        <is>
          <t>Artigo 128.º-A (Reforço do combate à criminalidade financeira no universo dos criptoativos)</t>
        </is>
      </c>
      <c r="M1350" s="4" t="n"/>
      <c r="N1350" s="4" t="n"/>
      <c r="O1350" s="2" t="n"/>
      <c r="P1350" s="2" t="n"/>
      <c r="Q1350" s="2" t="n"/>
      <c r="R1350" s="2" t="n"/>
      <c r="S1350" s="2" t="inlineStr">
        <is>
          <t>Rejeitado(a) em Comissão</t>
        </is>
      </c>
      <c r="T1350" s="2" t="inlineStr">
        <is>
          <t>Rejeitada</t>
        </is>
      </c>
      <c r="U1350" s="2" t="inlineStr">
        <is>
          <t>Favor: L, BE, PAN; Contra: PSD, CDS-PP; Abstenção: CH, PS, IL, PCP</t>
        </is>
      </c>
      <c r="V1350" s="3" t="n">
        <v>45985</v>
      </c>
      <c r="W1350" s="2" t="inlineStr">
        <is>
          <t>AR: https://www.parlamento.pt/OrcamentoEstado/Paginas/DetalhePropostaAlteracao.aspx?BID=24521 PDF: https://app.parlamento.pt/webutils/docs/doc.pdf?path=6148523063484d364c793942556b356c6443397a6158526c63793959566b6c4a544556484c3039464c7a49774d6a59794d4449314d5441774f5339515153396a4e6a63794d324a6b4f5331684e6d4a6c4c5451314f474574596d59324f4330774e475a6b596d59775a6a466b5a444d756347526d&amp;Fich=c6723bd9-a6be-458a-bf68-04fdbf0f1dd3.pdf&amp;Inline=true</t>
        </is>
      </c>
      <c r="X1350" s="2" t="inlineStr">
        <is>
          <t>Assuntos Constitucionais, Direitos, Liberdades e Garantias</t>
        </is>
      </c>
      <c r="Y1350" s="2" t="inlineStr">
        <is>
          <t>Articulado</t>
        </is>
      </c>
      <c r="Z1350" s="2" t="inlineStr">
        <is>
          <t>Aditamento (Artigo PPL)</t>
        </is>
      </c>
      <c r="AA1350" s="2" t="inlineStr">
        <is>
          <t>Rejeitado(a) em Comissão</t>
        </is>
      </c>
      <c r="AB1350" s="2" t="inlineStr"/>
      <c r="AC1350" s="2" t="inlineStr"/>
      <c r="AD1350" s="2" t="inlineStr">
        <is>
          <t>1</t>
        </is>
      </c>
      <c r="AE1350" s="2" t="inlineStr">
        <is>
          <t>24521</t>
        </is>
      </c>
      <c r="AF1350" s="2" t="inlineStr">
        <is>
          <t>https://www.parlamento.pt/OrcamentoEstado/Paginas/DetalhePropostaAlteracao.aspx?BID=24521</t>
        </is>
      </c>
      <c r="AG1350" s="2" t="inlineStr">
        <is>
          <t>https://app.parlamento.pt/webutils/docs/doc.pdf?path=6148523063484d364c793942556b356c6443397a6158526c63793959566b6c4a544556484c3039464c7a49774d6a59794d4449314d5441774f5339515153396a4e6a63794d324a6b4f5331684e6d4a6c4c5451314f474574596d59324f4330774e475a6b596d59775a6a466b5a444d756347526d&amp;Fich=c6723bd9-a6be-458a-bf68-04fdbf0f1dd3.pdf&amp;Inline=true</t>
        </is>
      </c>
      <c r="AH1350" s="3" t="n">
        <v>46321.77847222222</v>
      </c>
      <c r="AI1350" s="3" t="n">
        <v>46321.78055555555</v>
      </c>
      <c r="AJ1350" s="2" t="inlineStr"/>
    </row>
    <row r="1351">
      <c r="A1351" s="2" t="n">
        <v>1350</v>
      </c>
      <c r="B1351" s="2" t="inlineStr">
        <is>
          <t>1276C</t>
        </is>
      </c>
      <c r="C1351" s="3" t="n">
        <v>45968.48958333334</v>
      </c>
      <c r="D1351" s="2" t="inlineStr">
        <is>
          <t>Original</t>
        </is>
      </c>
      <c r="E1351" s="2" t="inlineStr">
        <is>
          <t>PAN</t>
        </is>
      </c>
      <c r="F1351" s="2" t="inlineStr">
        <is>
          <t>Inês de Sousa Real</t>
        </is>
      </c>
      <c r="G1351" s="2" t="inlineStr">
        <is>
          <t>Art. 127.º-A (aditamento)</t>
        </is>
      </c>
      <c r="H1351" s="2" t="n"/>
      <c r="I1351" s="2" t="n"/>
      <c r="J1351" s="2" t="n"/>
      <c r="K1351" s="2" t="n"/>
      <c r="L1351" s="2" t="inlineStr">
        <is>
          <t>Artigo 127.º-A (Estratégia para a Redução da Poluição Luminosa)</t>
        </is>
      </c>
      <c r="M1351" s="4" t="n"/>
      <c r="N1351" s="4" t="n"/>
      <c r="O1351" s="2" t="n"/>
      <c r="P1351" s="2" t="n"/>
      <c r="Q1351" s="2" t="n"/>
      <c r="R1351" s="2" t="n"/>
      <c r="S1351" s="2" t="inlineStr">
        <is>
          <t>Rejeitado(a) em Comissão</t>
        </is>
      </c>
      <c r="T1351" s="2" t="inlineStr">
        <is>
          <t>Rejeitada</t>
        </is>
      </c>
      <c r="U1351" s="2" t="inlineStr">
        <is>
          <t>Favor: L, PCP, BE, PAN; Contra: PSD, CH, CDS-PP; Abstenção: PS, IL</t>
        </is>
      </c>
      <c r="V1351" s="3" t="n">
        <v>45985</v>
      </c>
      <c r="W1351" s="2" t="inlineStr">
        <is>
          <t>AR: https://www.parlamento.pt/OrcamentoEstado/Paginas/DetalhePropostaAlteracao.aspx?BID=24522 PDF: https://app.parlamento.pt/webutils/docs/doc.pdf?path=6148523063484d364c793942556b356c6443397a6158526c63793959566b6c4a544556484c3039464c7a49774d6a59794d4449314d5441774f53395151533878593251794d6a67345969316d5a6d55324c5452694d546b744f4467794e5330345a4467314d6a677859324d35596a51756347526d&amp;Fich=1cd2288b-ffe6-4b19-8825-8d85281cc9b4.pdf&amp;Inline=true</t>
        </is>
      </c>
      <c r="X1351" s="2" t="inlineStr">
        <is>
          <t>Ambiente e Energia</t>
        </is>
      </c>
      <c r="Y1351" s="2" t="inlineStr">
        <is>
          <t>Articulado</t>
        </is>
      </c>
      <c r="Z1351" s="2" t="inlineStr">
        <is>
          <t>Aditamento (Artigo PPL)</t>
        </is>
      </c>
      <c r="AA1351" s="2" t="inlineStr">
        <is>
          <t>Rejeitado(a) em Comissão</t>
        </is>
      </c>
      <c r="AB1351" s="2" t="inlineStr"/>
      <c r="AC1351" s="2" t="inlineStr"/>
      <c r="AD1351" s="2" t="inlineStr">
        <is>
          <t>1</t>
        </is>
      </c>
      <c r="AE1351" s="2" t="inlineStr">
        <is>
          <t>24522</t>
        </is>
      </c>
      <c r="AF1351" s="2" t="inlineStr">
        <is>
          <t>https://www.parlamento.pt/OrcamentoEstado/Paginas/DetalhePropostaAlteracao.aspx?BID=24522</t>
        </is>
      </c>
      <c r="AG1351" s="2" t="inlineStr">
        <is>
          <t>https://app.parlamento.pt/webutils/docs/doc.pdf?path=6148523063484d364c793942556b356c6443397a6158526c63793959566b6c4a544556484c3039464c7a49774d6a59794d4449314d5441774f53395151533878593251794d6a67345969316d5a6d55324c5452694d546b744f4467794e5330345a4467314d6a677859324d35596a51756347526d&amp;Fich=1cd2288b-ffe6-4b19-8825-8d85281cc9b4.pdf&amp;Inline=true</t>
        </is>
      </c>
      <c r="AH1351" s="3" t="n">
        <v>46321.77847222222</v>
      </c>
      <c r="AI1351" s="3" t="n">
        <v>46321.78055555555</v>
      </c>
      <c r="AJ1351" s="2" t="inlineStr"/>
    </row>
    <row r="1352">
      <c r="A1352" s="2" t="n">
        <v>1351</v>
      </c>
      <c r="B1352" s="2" t="inlineStr">
        <is>
          <t>1277C</t>
        </is>
      </c>
      <c r="C1352" s="3" t="n">
        <v>45968.49027777778</v>
      </c>
      <c r="D1352" s="2" t="inlineStr">
        <is>
          <t>Original</t>
        </is>
      </c>
      <c r="E1352" s="2" t="inlineStr">
        <is>
          <t>BE</t>
        </is>
      </c>
      <c r="F1352" s="2" t="inlineStr">
        <is>
          <t>Mariana Mortágua</t>
        </is>
      </c>
      <c r="G1352" s="2" t="inlineStr">
        <is>
          <t>Art. 112.º-A (aditamento)</t>
        </is>
      </c>
      <c r="H1352" s="2" t="n"/>
      <c r="I1352" s="2" t="n"/>
      <c r="J1352" s="2" t="n"/>
      <c r="K1352" s="2" t="n"/>
      <c r="L1352" s="2" t="inlineStr">
        <is>
          <t>Artigo 112.º-A (Alteração à Lei nº 55/2012, de 6 de Setembro)</t>
        </is>
      </c>
      <c r="M1352" s="4" t="n"/>
      <c r="N1352" s="4" t="n"/>
      <c r="O1352" s="2" t="n"/>
      <c r="P1352" s="2" t="n"/>
      <c r="Q1352" s="2" t="n"/>
      <c r="R1352" s="2" t="n"/>
      <c r="S1352" s="2" t="inlineStr">
        <is>
          <t>Rejeitado(a) em Comissão</t>
        </is>
      </c>
      <c r="T1352" s="2" t="inlineStr">
        <is>
          <t>Rejeitada</t>
        </is>
      </c>
      <c r="U1352" s="2" t="inlineStr">
        <is>
          <t>Favor: L, PCP, BE, PAN; Contra: PSD, CH, IL, CDS-PP; Abstenção: PS</t>
        </is>
      </c>
      <c r="V1352" s="3" t="n">
        <v>45982</v>
      </c>
      <c r="W1352" s="2" t="inlineStr">
        <is>
          <t>AR: https://www.parlamento.pt/OrcamentoEstado/Paginas/DetalhePropostaAlteracao.aspx?BID=24523 PDF: https://app.parlamento.pt/webutils/docs/doc.pdf?path=6148523063484d364c793942556b356c6443397a6158526c63793959566b6c4a544556484c3039464c7a49774d6a59794d4449314d5441774f533951515338334f4755315a6a67344f53303159544e684c5452694d544574596a6b784d53316d5a6d51354f54566c595449304f574d756347526d&amp;Fich=78e5f889-5a3a-4b11-b911-ffd995ea249c.pdf&amp;Inline=true</t>
        </is>
      </c>
      <c r="X1352" s="2" t="inlineStr">
        <is>
          <t>Cultura, Comunicação, Juventude e Desporto</t>
        </is>
      </c>
      <c r="Y1352" s="2" t="inlineStr">
        <is>
          <t>Articulado</t>
        </is>
      </c>
      <c r="Z1352" s="2" t="inlineStr">
        <is>
          <t>Aditamento (Artigo PPL)</t>
        </is>
      </c>
      <c r="AA1352" s="2" t="inlineStr">
        <is>
          <t>Rejeitado(a) em Comissão</t>
        </is>
      </c>
      <c r="AB1352" s="2" t="inlineStr"/>
      <c r="AC1352" s="2" t="inlineStr"/>
      <c r="AD1352" s="2" t="inlineStr">
        <is>
          <t>1</t>
        </is>
      </c>
      <c r="AE1352" s="2" t="inlineStr">
        <is>
          <t>24523</t>
        </is>
      </c>
      <c r="AF1352" s="2" t="inlineStr">
        <is>
          <t>https://www.parlamento.pt/OrcamentoEstado/Paginas/DetalhePropostaAlteracao.aspx?BID=24523</t>
        </is>
      </c>
      <c r="AG1352" s="2" t="inlineStr">
        <is>
          <t>https://app.parlamento.pt/webutils/docs/doc.pdf?path=6148523063484d364c793942556b356c6443397a6158526c63793959566b6c4a544556484c3039464c7a49774d6a59794d4449314d5441774f533951515338334f4755315a6a67344f53303159544e684c5452694d544574596a6b784d53316d5a6d51354f54566c595449304f574d756347526d&amp;Fich=78e5f889-5a3a-4b11-b911-ffd995ea249c.pdf&amp;Inline=true</t>
        </is>
      </c>
      <c r="AH1352" s="3" t="n">
        <v>46321.77847222222</v>
      </c>
      <c r="AI1352" s="3" t="n">
        <v>46321.78055555555</v>
      </c>
      <c r="AJ1352" s="2" t="inlineStr"/>
    </row>
    <row r="1353">
      <c r="A1353" s="2" t="n">
        <v>1352</v>
      </c>
      <c r="B1353" s="2" t="inlineStr">
        <is>
          <t>1278C</t>
        </is>
      </c>
      <c r="C1353" s="3" t="n">
        <v>45968.49027777778</v>
      </c>
      <c r="D1353" s="2" t="inlineStr">
        <is>
          <t>Original</t>
        </is>
      </c>
      <c r="E1353" s="2" t="inlineStr">
        <is>
          <t>JPP</t>
        </is>
      </c>
      <c r="F1353" s="2" t="inlineStr">
        <is>
          <t>Filipe Sousa</t>
        </is>
      </c>
      <c r="G1353" s="2" t="inlineStr">
        <is>
          <t>Art. 128.º-A (aditamento)</t>
        </is>
      </c>
      <c r="H1353" s="2" t="n"/>
      <c r="I1353" s="2" t="n"/>
      <c r="J1353" s="2" t="n"/>
      <c r="K1353" s="2" t="n"/>
      <c r="L1353" s="2" t="inlineStr">
        <is>
          <t>Artigo 128.º-A (Licença parental de 12 meses — pagamento a 100%)</t>
        </is>
      </c>
      <c r="M1353" s="4" t="n"/>
      <c r="N1353" s="4" t="n"/>
      <c r="O1353" s="2" t="n"/>
      <c r="P1353" s="2" t="n"/>
      <c r="Q1353" s="2" t="n"/>
      <c r="R1353" s="2" t="n"/>
      <c r="S1353" s="2" t="inlineStr">
        <is>
          <t>Rejeitado(a) em Comissão</t>
        </is>
      </c>
      <c r="T1353" s="2" t="inlineStr">
        <is>
          <t>Rejeitada</t>
        </is>
      </c>
      <c r="U1353" s="2" t="inlineStr">
        <is>
          <t>Favor: CH, PCP, BE, PAN; Contra: PSD, IL, CDS-PP; Abstenção: PS, L</t>
        </is>
      </c>
      <c r="V1353" s="3" t="n">
        <v>45985</v>
      </c>
      <c r="W1353" s="2" t="inlineStr">
        <is>
          <t>AR: https://www.parlamento.pt/OrcamentoEstado/Paginas/DetalhePropostaAlteracao.aspx?BID=24524 PDF: https://app.parlamento.pt/webutils/docs/doc.pdf?path=6148523063484d364c793942556b356c6443397a6158526c63793959566b6c4a544556484c3039464c7a49774d6a59794d4449314d5441774f533951515339684f4751794e4468685a53316b4d6a49784c5451354e57597459545133596930785a5445334d6a45345a6a4e6c5a5449756347526d&amp;Fich=a8d248ae-d221-495f-a47b-1e17218f3ee2.pdf&amp;Inline=true</t>
        </is>
      </c>
      <c r="X1353" s="2" t="inlineStr">
        <is>
          <t>Trabalho, Segurança Social e Inclusão</t>
        </is>
      </c>
      <c r="Y1353" s="2" t="inlineStr">
        <is>
          <t>Articulado</t>
        </is>
      </c>
      <c r="Z1353" s="2" t="inlineStr">
        <is>
          <t>Aditamento (Artigo PPL)</t>
        </is>
      </c>
      <c r="AA1353" s="2" t="inlineStr">
        <is>
          <t>Rejeitado(a) em Comissão</t>
        </is>
      </c>
      <c r="AB1353" s="2" t="inlineStr"/>
      <c r="AC1353" s="2" t="inlineStr"/>
      <c r="AD1353" s="2" t="inlineStr">
        <is>
          <t>1</t>
        </is>
      </c>
      <c r="AE1353" s="2" t="inlineStr">
        <is>
          <t>24524</t>
        </is>
      </c>
      <c r="AF1353" s="2" t="inlineStr">
        <is>
          <t>https://www.parlamento.pt/OrcamentoEstado/Paginas/DetalhePropostaAlteracao.aspx?BID=24524</t>
        </is>
      </c>
      <c r="AG1353" s="2" t="inlineStr">
        <is>
          <t>https://app.parlamento.pt/webutils/docs/doc.pdf?path=6148523063484d364c793942556b356c6443397a6158526c63793959566b6c4a544556484c3039464c7a49774d6a59794d4449314d5441774f533951515339684f4751794e4468685a53316b4d6a49784c5451354e57597459545133596930785a5445334d6a45345a6a4e6c5a5449756347526d&amp;Fich=a8d248ae-d221-495f-a47b-1e17218f3ee2.pdf&amp;Inline=true</t>
        </is>
      </c>
      <c r="AH1353" s="3" t="n">
        <v>46321.77847222222</v>
      </c>
      <c r="AI1353" s="3" t="n">
        <v>46321.78055555555</v>
      </c>
      <c r="AJ1353" s="2" t="inlineStr"/>
    </row>
    <row r="1354">
      <c r="A1354" s="2" t="n">
        <v>1353</v>
      </c>
      <c r="B1354" s="2" t="inlineStr">
        <is>
          <t>1279C</t>
        </is>
      </c>
      <c r="C1354" s="3" t="n">
        <v>45968.49097222222</v>
      </c>
      <c r="D1354" s="2" t="inlineStr">
        <is>
          <t>Original</t>
        </is>
      </c>
      <c r="E1354" s="2" t="inlineStr">
        <is>
          <t>PAN</t>
        </is>
      </c>
      <c r="F1354" s="2" t="inlineStr">
        <is>
          <t>Inês de Sousa Real</t>
        </is>
      </c>
      <c r="G1354" s="2" t="inlineStr">
        <is>
          <t>Art. 113.º-A (aditamento)</t>
        </is>
      </c>
      <c r="H1354" s="2" t="n"/>
      <c r="I1354" s="2" t="n"/>
      <c r="J1354" s="2" t="n"/>
      <c r="K1354" s="2" t="n"/>
      <c r="L1354" s="2" t="inlineStr">
        <is>
          <t>Artigo 113.º-A (Avaliação do modelo de financiamento das ONG no âmbito do combate ao tráfico de seres humanos)</t>
        </is>
      </c>
      <c r="M1354" s="4" t="n"/>
      <c r="N1354" s="4" t="n"/>
      <c r="O1354" s="2" t="n"/>
      <c r="P1354" s="2" t="n"/>
      <c r="Q1354" s="2" t="n"/>
      <c r="R1354" s="2" t="n"/>
      <c r="S1354" s="2" t="inlineStr">
        <is>
          <t>Rejeitado(a) em Comissão</t>
        </is>
      </c>
      <c r="T1354" s="2" t="inlineStr">
        <is>
          <t>Rejeitada</t>
        </is>
      </c>
      <c r="U1354" s="2" t="inlineStr">
        <is>
          <t>Favor: L, PCP, BE, PAN; Contra: PSD, IL, CDS-PP; Abstenção: CH, PS</t>
        </is>
      </c>
      <c r="V1354" s="3" t="n">
        <v>45985</v>
      </c>
      <c r="W1354" s="2" t="inlineStr">
        <is>
          <t>AR: https://www.parlamento.pt/OrcamentoEstado/Paginas/DetalhePropostaAlteracao.aspx?BID=24525 PDF: https://app.parlamento.pt/webutils/docs/doc.pdf?path=6148523063484d364c793942556b356c6443397a6158526c63793959566b6c4a544556484c3039464c7a49774d6a59794d4449314d5441774f533951515338334d7a6c6c4f546b33596930345a4751344c545269596d4d744f4745774d5330304e7a686a596d466d5a5449784e3251756347526d&amp;Fich=739e997b-8dd8-4bbc-8a01-478cbafe217d.pdf&amp;Inline=true</t>
        </is>
      </c>
      <c r="X1354" s="2" t="inlineStr">
        <is>
          <t>Assuntos Constitucionais, Direitos, Liberdades e Garantias</t>
        </is>
      </c>
      <c r="Y1354" s="2" t="inlineStr">
        <is>
          <t>Articulado</t>
        </is>
      </c>
      <c r="Z1354" s="2" t="inlineStr">
        <is>
          <t>Aditamento (Artigo PPL)</t>
        </is>
      </c>
      <c r="AA1354" s="2" t="inlineStr">
        <is>
          <t>Rejeitado(a) em Comissão</t>
        </is>
      </c>
      <c r="AB1354" s="2" t="inlineStr"/>
      <c r="AC1354" s="2" t="inlineStr"/>
      <c r="AD1354" s="2" t="inlineStr">
        <is>
          <t>1</t>
        </is>
      </c>
      <c r="AE1354" s="2" t="inlineStr">
        <is>
          <t>24525</t>
        </is>
      </c>
      <c r="AF1354" s="2" t="inlineStr">
        <is>
          <t>https://www.parlamento.pt/OrcamentoEstado/Paginas/DetalhePropostaAlteracao.aspx?BID=24525</t>
        </is>
      </c>
      <c r="AG1354" s="2" t="inlineStr">
        <is>
          <t>https://app.parlamento.pt/webutils/docs/doc.pdf?path=6148523063484d364c793942556b356c6443397a6158526c63793959566b6c4a544556484c3039464c7a49774d6a59794d4449314d5441774f533951515338334d7a6c6c4f546b33596930345a4751344c545269596d4d744f4745774d5330304e7a686a596d466d5a5449784e3251756347526d&amp;Fich=739e997b-8dd8-4bbc-8a01-478cbafe217d.pdf&amp;Inline=true</t>
        </is>
      </c>
      <c r="AH1354" s="3" t="n">
        <v>46321.77847222222</v>
      </c>
      <c r="AI1354" s="3" t="n">
        <v>46321.78055555555</v>
      </c>
      <c r="AJ1354" s="2" t="inlineStr"/>
    </row>
    <row r="1355">
      <c r="A1355" s="2" t="n">
        <v>1354</v>
      </c>
      <c r="B1355" s="2" t="inlineStr">
        <is>
          <t>1280C</t>
        </is>
      </c>
      <c r="C1355" s="3" t="n">
        <v>45968.49236111111</v>
      </c>
      <c r="D1355" s="2" t="inlineStr">
        <is>
          <t>Original</t>
        </is>
      </c>
      <c r="E1355" s="2" t="inlineStr">
        <is>
          <t>BE</t>
        </is>
      </c>
      <c r="F1355" s="2" t="inlineStr">
        <is>
          <t>Mariana Mortágua</t>
        </is>
      </c>
      <c r="G1355" s="2" t="inlineStr">
        <is>
          <t>Art. 20.º-A (aditamento)</t>
        </is>
      </c>
      <c r="H1355" s="2" t="n"/>
      <c r="I1355" s="2" t="n"/>
      <c r="J1355" s="2" t="n"/>
      <c r="K1355" s="2" t="n"/>
      <c r="L1355" s="2" t="inlineStr">
        <is>
          <t>Artigo 20.º-A (Mecanismo de progressão na Administração Pública)</t>
        </is>
      </c>
      <c r="M1355" s="4" t="n"/>
      <c r="N1355" s="4" t="n"/>
      <c r="O1355" s="2" t="n"/>
      <c r="P1355" s="2" t="n"/>
      <c r="Q1355" s="2" t="n"/>
      <c r="R1355" s="2" t="n"/>
      <c r="S1355" s="2" t="inlineStr">
        <is>
          <t>Rejeitado(a) em Comissão</t>
        </is>
      </c>
      <c r="T1355" s="2" t="inlineStr">
        <is>
          <t>Rejeitada</t>
        </is>
      </c>
      <c r="U1355" s="2" t="inlineStr">
        <is>
          <t>Favor: L, PCP, BE, PAN; Contra: PSD, IL, CDS-PP; Abstenção: CH, PS</t>
        </is>
      </c>
      <c r="V1355" s="3" t="n">
        <v>45981</v>
      </c>
      <c r="W1355" s="2" t="inlineStr">
        <is>
          <t>AR: https://www.parlamento.pt/OrcamentoEstado/Paginas/DetalhePropostaAlteracao.aspx?BID=24526 PDF: https://app.parlamento.pt/webutils/docs/doc.pdf?path=6148523063484d364c793942556b356c6443397a6158526c63793959566b6c4a544556484c3039464c7a49774d6a59794d4449314d5441774f533951515338774d4445794e4749304f53316b5a6d45794c5451324d444174596a526d5a6930324e6a526d5a5449774f445979597a4d756347526d&amp;Fich=00124b49-dfa2-4600-b4ff-664fe20862c3.pdf&amp;Inline=true</t>
        </is>
      </c>
      <c r="X1355" s="2" t="inlineStr">
        <is>
          <t>Orçamento, Finanças e Administração Pública</t>
        </is>
      </c>
      <c r="Y1355" s="2" t="inlineStr">
        <is>
          <t>Articulado</t>
        </is>
      </c>
      <c r="Z1355" s="2" t="inlineStr">
        <is>
          <t>Aditamento (Artigo PPL)</t>
        </is>
      </c>
      <c r="AA1355" s="2" t="inlineStr">
        <is>
          <t>Rejeitado(a) em Comissão</t>
        </is>
      </c>
      <c r="AB1355" s="2" t="inlineStr"/>
      <c r="AC1355" s="2" t="inlineStr"/>
      <c r="AD1355" s="2" t="inlineStr">
        <is>
          <t>1</t>
        </is>
      </c>
      <c r="AE1355" s="2" t="inlineStr">
        <is>
          <t>24526</t>
        </is>
      </c>
      <c r="AF1355" s="2" t="inlineStr">
        <is>
          <t>https://www.parlamento.pt/OrcamentoEstado/Paginas/DetalhePropostaAlteracao.aspx?BID=24526</t>
        </is>
      </c>
      <c r="AG1355" s="2" t="inlineStr">
        <is>
          <t>https://app.parlamento.pt/webutils/docs/doc.pdf?path=6148523063484d364c793942556b356c6443397a6158526c63793959566b6c4a544556484c3039464c7a49774d6a59794d4449314d5441774f533951515338774d4445794e4749304f53316b5a6d45794c5451324d444174596a526d5a6930324e6a526d5a5449774f445979597a4d756347526d&amp;Fich=00124b49-dfa2-4600-b4ff-664fe20862c3.pdf&amp;Inline=true</t>
        </is>
      </c>
      <c r="AH1355" s="3" t="n">
        <v>46321.77847222222</v>
      </c>
      <c r="AI1355" s="3" t="n">
        <v>46321.78055555555</v>
      </c>
      <c r="AJ1355" s="2" t="inlineStr"/>
    </row>
    <row r="1356">
      <c r="A1356" s="2" t="n">
        <v>1355</v>
      </c>
      <c r="B1356" s="2" t="inlineStr">
        <is>
          <t>1281C</t>
        </is>
      </c>
      <c r="C1356" s="3" t="n">
        <v>45968.49236111111</v>
      </c>
      <c r="D1356" s="2" t="inlineStr">
        <is>
          <t>Original</t>
        </is>
      </c>
      <c r="E1356" s="2" t="inlineStr">
        <is>
          <t>JPP</t>
        </is>
      </c>
      <c r="F1356" s="2" t="inlineStr">
        <is>
          <t>Filipe Sousa</t>
        </is>
      </c>
      <c r="G1356" s="2" t="inlineStr">
        <is>
          <t>Art. 129.º-A (aditamento)</t>
        </is>
      </c>
      <c r="H1356" s="2" t="n"/>
      <c r="I1356" s="2" t="n"/>
      <c r="J1356" s="2" t="n"/>
      <c r="K1356" s="2" t="n"/>
      <c r="L1356" s="2" t="inlineStr">
        <is>
          <t>Artigo 129.º-A (Dádiva de sangue — financiamento e estabilidade do movimento associativo)</t>
        </is>
      </c>
      <c r="M1356" s="4" t="n"/>
      <c r="N1356" s="4" t="n"/>
      <c r="O1356" s="2" t="n"/>
      <c r="P1356" s="2" t="n"/>
      <c r="Q1356" s="2" t="n"/>
      <c r="R1356" s="2" t="n"/>
      <c r="S1356" s="2" t="inlineStr">
        <is>
          <t>Rejeitado(a) em Comissão</t>
        </is>
      </c>
      <c r="T1356" s="2" t="inlineStr">
        <is>
          <t>Rejeitada</t>
        </is>
      </c>
      <c r="U1356" s="2" t="inlineStr">
        <is>
          <t>Favor: CH, L, PCP, BE, PAN; Contra: PSD, IL, CDS-PP; Abstenção: PS</t>
        </is>
      </c>
      <c r="V1356" s="3" t="n">
        <v>45985</v>
      </c>
      <c r="W1356" s="2" t="inlineStr">
        <is>
          <t>AR: https://www.parlamento.pt/OrcamentoEstado/Paginas/DetalhePropostaAlteracao.aspx?BID=24527 PDF: https://app.parlamento.pt/webutils/docs/doc.pdf?path=6148523063484d364c793942556b356c6443397a6158526c63793959566b6c4a544556484c3039464c7a49774d6a59794d4449314d5441774f533951515338334e6a4d305a4449795979307a596a59344c54526c4d7a6b744f54426c596930304d475a68596a59324f5455334e5759756347526d&amp;Fich=7634d22c-3b68-4e39-90eb-40fab669575f.pdf&amp;Inline=true</t>
        </is>
      </c>
      <c r="X1356" s="2" t="inlineStr">
        <is>
          <t>Saúde</t>
        </is>
      </c>
      <c r="Y1356" s="2" t="inlineStr">
        <is>
          <t>Articulado</t>
        </is>
      </c>
      <c r="Z1356" s="2" t="inlineStr">
        <is>
          <t>Aditamento (Artigo PPL)</t>
        </is>
      </c>
      <c r="AA1356" s="2" t="inlineStr">
        <is>
          <t>Rejeitado(a) em Comissão</t>
        </is>
      </c>
      <c r="AB1356" s="2" t="inlineStr"/>
      <c r="AC1356" s="2" t="inlineStr"/>
      <c r="AD1356" s="2" t="inlineStr">
        <is>
          <t>1</t>
        </is>
      </c>
      <c r="AE1356" s="2" t="inlineStr">
        <is>
          <t>24527</t>
        </is>
      </c>
      <c r="AF1356" s="2" t="inlineStr">
        <is>
          <t>https://www.parlamento.pt/OrcamentoEstado/Paginas/DetalhePropostaAlteracao.aspx?BID=24527</t>
        </is>
      </c>
      <c r="AG1356" s="2" t="inlineStr">
        <is>
          <t>https://app.parlamento.pt/webutils/docs/doc.pdf?path=6148523063484d364c793942556b356c6443397a6158526c63793959566b6c4a544556484c3039464c7a49774d6a59794d4449314d5441774f533951515338334e6a4d305a4449795979307a596a59344c54526c4d7a6b744f54426c596930304d475a68596a59324f5455334e5759756347526d&amp;Fich=7634d22c-3b68-4e39-90eb-40fab669575f.pdf&amp;Inline=true</t>
        </is>
      </c>
      <c r="AH1356" s="3" t="n">
        <v>46321.77847222222</v>
      </c>
      <c r="AI1356" s="3" t="n">
        <v>46321.78055555555</v>
      </c>
      <c r="AJ1356" s="2" t="inlineStr"/>
    </row>
    <row r="1357">
      <c r="A1357" s="2" t="n">
        <v>1356</v>
      </c>
      <c r="B1357" s="2" t="inlineStr">
        <is>
          <t>1282C</t>
        </is>
      </c>
      <c r="C1357" s="3" t="n">
        <v>45968.49375</v>
      </c>
      <c r="D1357" s="2" t="inlineStr">
        <is>
          <t>Original</t>
        </is>
      </c>
      <c r="E1357" s="2" t="inlineStr">
        <is>
          <t>PAN</t>
        </is>
      </c>
      <c r="F1357" s="2" t="inlineStr">
        <is>
          <t>Inês de Sousa Real</t>
        </is>
      </c>
      <c r="G1357" s="2" t="inlineStr">
        <is>
          <t>Art. 136.º-A (aditamento)</t>
        </is>
      </c>
      <c r="H1357" s="2" t="n"/>
      <c r="I1357" s="2" t="n"/>
      <c r="J1357" s="2" t="n"/>
      <c r="K1357" s="2" t="n"/>
      <c r="L1357" s="2" t="inlineStr">
        <is>
          <t>Artigo 136.º-A (Alteração ao Decreto-Lei n.º 70/2010, de 16 de junho)</t>
        </is>
      </c>
      <c r="M1357" s="4" t="n"/>
      <c r="N1357" s="4" t="n"/>
      <c r="O1357" s="2" t="n"/>
      <c r="P1357" s="2" t="n"/>
      <c r="Q1357" s="2" t="n"/>
      <c r="R1357" s="2" t="n"/>
      <c r="S1357" s="2" t="inlineStr">
        <is>
          <t>Rejeitado(a) em Comissão</t>
        </is>
      </c>
      <c r="T1357" s="2" t="inlineStr">
        <is>
          <t>Rejeitada</t>
        </is>
      </c>
      <c r="U1357" s="2" t="inlineStr">
        <is>
          <t>Favor: IL, L, PCP, BE, PAN; Contra: PSD, CDS-PP; Abstenção: CH, PS</t>
        </is>
      </c>
      <c r="V1357" s="3" t="n">
        <v>45987</v>
      </c>
      <c r="W1357" s="2" t="inlineStr">
        <is>
          <t>AR: https://www.parlamento.pt/OrcamentoEstado/Paginas/DetalhePropostaAlteracao.aspx?BID=24528 PDF: https://app.parlamento.pt/webutils/docs/doc.pdf?path=6148523063484d364c793942556b356c6443397a6158526c63793959566b6c4a544556484c3039464c7a49774d6a59794d4449314d5441774f533951515338354e3251335a6a466a4f5330345a54686c4c5452695a6d45744f57566a4d5330345a574d345a44646c4d475668593245756347526d&amp;Fich=97d7f1c9-8e8e-4bfa-9ec1-8ec8d7e0eaca.pdf&amp;Inline=true</t>
        </is>
      </c>
      <c r="X1357" s="2" t="inlineStr">
        <is>
          <t>Orçamento, Finanças e Administração Pública</t>
        </is>
      </c>
      <c r="Y1357" s="2" t="inlineStr">
        <is>
          <t>Articulado</t>
        </is>
      </c>
      <c r="Z1357" s="2" t="inlineStr">
        <is>
          <t>Aditamento (Artigo PPL)</t>
        </is>
      </c>
      <c r="AA1357" s="2" t="inlineStr">
        <is>
          <t>Rejeitado(a) em Comissão</t>
        </is>
      </c>
      <c r="AB1357" s="2" t="inlineStr"/>
      <c r="AC1357" s="2" t="inlineStr"/>
      <c r="AD1357" s="2" t="inlineStr">
        <is>
          <t>1</t>
        </is>
      </c>
      <c r="AE1357" s="2" t="inlineStr">
        <is>
          <t>24528</t>
        </is>
      </c>
      <c r="AF1357" s="2" t="inlineStr">
        <is>
          <t>https://www.parlamento.pt/OrcamentoEstado/Paginas/DetalhePropostaAlteracao.aspx?BID=24528</t>
        </is>
      </c>
      <c r="AG1357" s="2" t="inlineStr">
        <is>
          <t>https://app.parlamento.pt/webutils/docs/doc.pdf?path=6148523063484d364c793942556b356c6443397a6158526c63793959566b6c4a544556484c3039464c7a49774d6a59794d4449314d5441774f533951515338354e3251335a6a466a4f5330345a54686c4c5452695a6d45744f57566a4d5330345a574d345a44646c4d475668593245756347526d&amp;Fich=97d7f1c9-8e8e-4bfa-9ec1-8ec8d7e0eaca.pdf&amp;Inline=true</t>
        </is>
      </c>
      <c r="AH1357" s="3" t="n">
        <v>46321.77847222222</v>
      </c>
      <c r="AI1357" s="3" t="n">
        <v>46321.78055555555</v>
      </c>
      <c r="AJ1357" s="2" t="inlineStr"/>
    </row>
    <row r="1358">
      <c r="A1358" s="2" t="n">
        <v>1357</v>
      </c>
      <c r="B1358" s="2" t="inlineStr">
        <is>
          <t>1283C</t>
        </is>
      </c>
      <c r="C1358" s="3" t="n">
        <v>45968.49375</v>
      </c>
      <c r="D1358" s="2" t="inlineStr">
        <is>
          <t>Original</t>
        </is>
      </c>
      <c r="E1358" s="2" t="inlineStr">
        <is>
          <t>JPP</t>
        </is>
      </c>
      <c r="F1358" s="2" t="inlineStr">
        <is>
          <t>Filipe Sousa</t>
        </is>
      </c>
      <c r="G1358" s="2" t="inlineStr">
        <is>
          <t>Art. 129.º-B (aditamento)</t>
        </is>
      </c>
      <c r="H1358" s="2" t="n"/>
      <c r="I1358" s="2" t="n"/>
      <c r="J1358" s="2" t="n"/>
      <c r="K1358" s="2" t="n"/>
      <c r="L1358" s="2" t="inlineStr">
        <is>
          <t>Artigo 129.º-B (Programa nacional de plasma por aférese e reforço operacional do IPST)</t>
        </is>
      </c>
      <c r="M1358" s="4" t="n"/>
      <c r="N1358" s="4" t="n"/>
      <c r="O1358" s="2" t="n"/>
      <c r="P1358" s="2" t="n"/>
      <c r="Q1358" s="2" t="n"/>
      <c r="R1358" s="2" t="n"/>
      <c r="S1358" s="2" t="inlineStr">
        <is>
          <t>Rejeitado(a) em Comissão</t>
        </is>
      </c>
      <c r="T1358" s="2" t="inlineStr">
        <is>
          <t>Rejeitada</t>
        </is>
      </c>
      <c r="U1358" s="2" t="inlineStr">
        <is>
          <t>Favor: L, PCP, BE, PAN; Contra: PSD, CDS-PP; Abstenção: CH, PS, IL</t>
        </is>
      </c>
      <c r="V1358" s="3" t="n">
        <v>45985</v>
      </c>
      <c r="W1358" s="2" t="inlineStr">
        <is>
          <t>AR: https://www.parlamento.pt/OrcamentoEstado/Paginas/DetalhePropostaAlteracao.aspx?BID=24529 PDF: https://app.parlamento.pt/webutils/docs/doc.pdf?path=6148523063484d364c793942556b356c6443397a6158526c63793959566b6c4a544556484c3039464c7a49774d6a59794d4449314d5441774f53395151533968596a49785a4445775a4330304f5446694c54526b4d4745744f4459324e53316c596d466c5a545a6d4e57457959324d756347526d&amp;Fich=ab21d10d-491b-4d0a-8665-ebaee6f5a2cc.pdf&amp;Inline=true</t>
        </is>
      </c>
      <c r="X1358" s="2" t="inlineStr">
        <is>
          <t>Saúde</t>
        </is>
      </c>
      <c r="Y1358" s="2" t="inlineStr">
        <is>
          <t>Articulado</t>
        </is>
      </c>
      <c r="Z1358" s="2" t="inlineStr">
        <is>
          <t>Aditamento (Artigo PPL)</t>
        </is>
      </c>
      <c r="AA1358" s="2" t="inlineStr">
        <is>
          <t>Rejeitado(a) em Comissão</t>
        </is>
      </c>
      <c r="AB1358" s="2" t="inlineStr"/>
      <c r="AC1358" s="2" t="inlineStr"/>
      <c r="AD1358" s="2" t="inlineStr">
        <is>
          <t>1</t>
        </is>
      </c>
      <c r="AE1358" s="2" t="inlineStr">
        <is>
          <t>24529</t>
        </is>
      </c>
      <c r="AF1358" s="2" t="inlineStr">
        <is>
          <t>https://www.parlamento.pt/OrcamentoEstado/Paginas/DetalhePropostaAlteracao.aspx?BID=24529</t>
        </is>
      </c>
      <c r="AG1358" s="2" t="inlineStr">
        <is>
          <t>https://app.parlamento.pt/webutils/docs/doc.pdf?path=6148523063484d364c793942556b356c6443397a6158526c63793959566b6c4a544556484c3039464c7a49774d6a59794d4449314d5441774f53395151533968596a49785a4445775a4330304f5446694c54526b4d4745744f4459324e53316c596d466c5a545a6d4e57457959324d756347526d&amp;Fich=ab21d10d-491b-4d0a-8665-ebaee6f5a2cc.pdf&amp;Inline=true</t>
        </is>
      </c>
      <c r="AH1358" s="3" t="n">
        <v>46321.77847222222</v>
      </c>
      <c r="AI1358" s="3" t="n">
        <v>46321.78055555555</v>
      </c>
      <c r="AJ1358" s="2" t="inlineStr"/>
    </row>
    <row r="1359">
      <c r="A1359" s="2" t="n">
        <v>1358</v>
      </c>
      <c r="B1359" s="2" t="inlineStr">
        <is>
          <t>1284C</t>
        </is>
      </c>
      <c r="C1359" s="3" t="n">
        <v>45968.49513888889</v>
      </c>
      <c r="D1359" s="2" t="inlineStr">
        <is>
          <t>Original</t>
        </is>
      </c>
      <c r="E1359" s="2" t="inlineStr">
        <is>
          <t>IL</t>
        </is>
      </c>
      <c r="F1359" s="2" t="inlineStr">
        <is>
          <t>Angélique Da Teresa; Carlos Guimarães Pinto; Joana Cordeiro; Jorge Miguel Teixeira; Mariana Leitão; Mário Amorim Lopes; Miguel Rangel; Rodrigo Saraiva; Rui Rocha</t>
        </is>
      </c>
      <c r="G1359" s="2" t="inlineStr">
        <is>
          <t>Art. 119.º-A (aditamento)</t>
        </is>
      </c>
      <c r="H1359" s="2" t="n"/>
      <c r="I1359" s="2" t="n"/>
      <c r="J1359" s="2" t="n"/>
      <c r="K1359" s="2" t="n"/>
      <c r="L1359" s="2" t="inlineStr">
        <is>
          <t>Artigo 119.º-A (Altera o princípio de atribuição do Vale Cirurgia)</t>
        </is>
      </c>
      <c r="M1359" s="4" t="n"/>
      <c r="N1359" s="4" t="n"/>
      <c r="O1359" s="2" t="n"/>
      <c r="P1359" s="2" t="n"/>
      <c r="Q1359" s="2" t="n"/>
      <c r="R1359" s="2" t="n"/>
      <c r="S1359" s="2" t="inlineStr">
        <is>
          <t>Rejeitado(a) em Comissão</t>
        </is>
      </c>
      <c r="T1359" s="2" t="inlineStr">
        <is>
          <t>Rejeitada</t>
        </is>
      </c>
      <c r="U1359" s="2" t="inlineStr">
        <is>
          <t>Favor: IL, PAN; Contra: PSD, PS, L, PCP, CDS-PP, BE; Abstenção: CH</t>
        </is>
      </c>
      <c r="V1359" s="3" t="n">
        <v>45985</v>
      </c>
      <c r="W1359" s="2" t="inlineStr">
        <is>
          <t>AR: https://www.parlamento.pt/OrcamentoEstado/Paginas/DetalhePropostaAlteracao.aspx?BID=24530 PDF: https://app.parlamento.pt/webutils/docs/doc.pdf?path=6148523063484d364c793942556b356c6443397a6158526c63793959566b6c4a544556484c3039464c7a49774d6a59794d4449314d5441774f5339515153396d593255335a54466c4f4330344d6a49794c5451794e444d74596a52694f4330794e7a646c4e324577596a51304e6a49756347526d&amp;Fich=fce7e1e8-8222-4243-b4b8-277e7a0b4462.pdf&amp;Inline=true</t>
        </is>
      </c>
      <c r="X1359" s="2" t="inlineStr">
        <is>
          <t>Saúde</t>
        </is>
      </c>
      <c r="Y1359" s="2" t="inlineStr">
        <is>
          <t>Articulado</t>
        </is>
      </c>
      <c r="Z1359" s="2" t="inlineStr">
        <is>
          <t>Aditamento (Artigo PPL)</t>
        </is>
      </c>
      <c r="AA1359" s="2" t="inlineStr">
        <is>
          <t>Rejeitado(a) em Comissão</t>
        </is>
      </c>
      <c r="AB1359" s="2" t="inlineStr"/>
      <c r="AC1359" s="2" t="inlineStr"/>
      <c r="AD1359" s="2" t="inlineStr">
        <is>
          <t>1</t>
        </is>
      </c>
      <c r="AE1359" s="2" t="inlineStr">
        <is>
          <t>24530</t>
        </is>
      </c>
      <c r="AF1359" s="2" t="inlineStr">
        <is>
          <t>https://www.parlamento.pt/OrcamentoEstado/Paginas/DetalhePropostaAlteracao.aspx?BID=24530</t>
        </is>
      </c>
      <c r="AG1359" s="2" t="inlineStr">
        <is>
          <t>https://app.parlamento.pt/webutils/docs/doc.pdf?path=6148523063484d364c793942556b356c6443397a6158526c63793959566b6c4a544556484c3039464c7a49774d6a59794d4449314d5441774f5339515153396d593255335a54466c4f4330344d6a49794c5451794e444d74596a52694f4330794e7a646c4e324577596a51304e6a49756347526d&amp;Fich=fce7e1e8-8222-4243-b4b8-277e7a0b4462.pdf&amp;Inline=true</t>
        </is>
      </c>
      <c r="AH1359" s="3" t="n">
        <v>46321.77847222222</v>
      </c>
      <c r="AI1359" s="3" t="n">
        <v>46321.78055555555</v>
      </c>
      <c r="AJ1359" s="2" t="inlineStr"/>
    </row>
    <row r="1360">
      <c r="A1360" s="2" t="n">
        <v>1359</v>
      </c>
      <c r="B1360" s="2" t="inlineStr">
        <is>
          <t>1285C</t>
        </is>
      </c>
      <c r="C1360" s="3" t="n">
        <v>45968.49652777778</v>
      </c>
      <c r="D1360" s="2" t="inlineStr">
        <is>
          <t>Original</t>
        </is>
      </c>
      <c r="E1360" s="2" t="inlineStr">
        <is>
          <t>BE</t>
        </is>
      </c>
      <c r="F1360" s="2" t="inlineStr">
        <is>
          <t>Mariana Mortágua</t>
        </is>
      </c>
      <c r="G1360" s="2" t="inlineStr">
        <is>
          <t>Art. 112.º-A (aditamento)</t>
        </is>
      </c>
      <c r="H1360" s="2" t="n"/>
      <c r="I1360" s="2" t="n"/>
      <c r="J1360" s="2" t="n"/>
      <c r="K1360" s="2" t="n"/>
      <c r="L1360" s="2" t="inlineStr">
        <is>
          <t>Artigo 112.º-A (Alargamento do Programa de Oferta de Assinaturas Digitais de jornais e revistas)</t>
        </is>
      </c>
      <c r="M1360" s="4" t="n"/>
      <c r="N1360" s="4" t="n"/>
      <c r="O1360" s="2" t="n"/>
      <c r="P1360" s="2" t="n"/>
      <c r="Q1360" s="2" t="n"/>
      <c r="R1360" s="2" t="n"/>
      <c r="S1360" s="2" t="inlineStr">
        <is>
          <t>Rejeitado(a) em Comissão</t>
        </is>
      </c>
      <c r="T1360" s="2" t="inlineStr">
        <is>
          <t>Rejeitada</t>
        </is>
      </c>
      <c r="U1360" s="2" t="inlineStr">
        <is>
          <t>Favor: L, BE, PAN; Contra: PSD, CDS-PP; Abstenção: CH, PS, IL, PCP</t>
        </is>
      </c>
      <c r="V1360" s="3" t="n">
        <v>45982</v>
      </c>
      <c r="W1360" s="2" t="inlineStr">
        <is>
          <t>AR: https://www.parlamento.pt/OrcamentoEstado/Paginas/DetalhePropostaAlteracao.aspx?BID=24531 PDF: https://app.parlamento.pt/webutils/docs/doc.pdf?path=6148523063484d364c793942556b356c6443397a6158526c63793959566b6c4a544556484c3039464c7a49774d6a59794d4449314d5441774f5339515153396a597a6b794d57466d4d7931695a5463324c54526c596a5974596a5932597930325a6a646c4d47526b4d446c684d6d51756347526d&amp;Fich=cc921af3-be76-4eb6-b66c-6f7e0dd09a2d.pdf&amp;Inline=true</t>
        </is>
      </c>
      <c r="X1360" s="2" t="inlineStr">
        <is>
          <t>Educação e Ciência</t>
        </is>
      </c>
      <c r="Y1360" s="2" t="inlineStr">
        <is>
          <t>Articulado</t>
        </is>
      </c>
      <c r="Z1360" s="2" t="inlineStr">
        <is>
          <t>Aditamento (Artigo PPL)</t>
        </is>
      </c>
      <c r="AA1360" s="2" t="inlineStr">
        <is>
          <t>Rejeitado(a) em Comissão</t>
        </is>
      </c>
      <c r="AB1360" s="2" t="inlineStr"/>
      <c r="AC1360" s="2" t="inlineStr"/>
      <c r="AD1360" s="2" t="inlineStr">
        <is>
          <t>1</t>
        </is>
      </c>
      <c r="AE1360" s="2" t="inlineStr">
        <is>
          <t>24531</t>
        </is>
      </c>
      <c r="AF1360" s="2" t="inlineStr">
        <is>
          <t>https://www.parlamento.pt/OrcamentoEstado/Paginas/DetalhePropostaAlteracao.aspx?BID=24531</t>
        </is>
      </c>
      <c r="AG1360" s="2" t="inlineStr">
        <is>
          <t>https://app.parlamento.pt/webutils/docs/doc.pdf?path=6148523063484d364c793942556b356c6443397a6158526c63793959566b6c4a544556484c3039464c7a49774d6a59794d4449314d5441774f5339515153396a597a6b794d57466d4d7931695a5463324c54526c596a5974596a5932597930325a6a646c4d47526b4d446c684d6d51756347526d&amp;Fich=cc921af3-be76-4eb6-b66c-6f7e0dd09a2d.pdf&amp;Inline=true</t>
        </is>
      </c>
      <c r="AH1360" s="3" t="n">
        <v>46321.77847222222</v>
      </c>
      <c r="AI1360" s="3" t="n">
        <v>46321.78055555555</v>
      </c>
      <c r="AJ1360" s="2" t="inlineStr"/>
    </row>
    <row r="1361">
      <c r="A1361" s="2" t="n">
        <v>1360</v>
      </c>
      <c r="B1361" s="2" t="inlineStr">
        <is>
          <t>1286C</t>
        </is>
      </c>
      <c r="C1361" s="3" t="n">
        <v>45968.49722222222</v>
      </c>
      <c r="D1361" s="2" t="inlineStr">
        <is>
          <t>Original</t>
        </is>
      </c>
      <c r="E1361" s="2" t="inlineStr">
        <is>
          <t>PAN</t>
        </is>
      </c>
      <c r="F1361" s="2" t="inlineStr">
        <is>
          <t>Inês de Sousa Real</t>
        </is>
      </c>
      <c r="G1361" s="2" t="inlineStr">
        <is>
          <t>Art. 108.º-A (aditamento)</t>
        </is>
      </c>
      <c r="H1361" s="2" t="n"/>
      <c r="I1361" s="2" t="n"/>
      <c r="J1361" s="2" t="n"/>
      <c r="K1361" s="2" t="n"/>
      <c r="L1361" s="2" t="inlineStr">
        <is>
          <t>Artigo 108.º-A (Programa Nacional de Conservação e Monitorização do Gato-Bravo)</t>
        </is>
      </c>
      <c r="M1361" s="4" t="n"/>
      <c r="N1361" s="4" t="n"/>
      <c r="O1361" s="2" t="n"/>
      <c r="P1361" s="2" t="n"/>
      <c r="Q1361" s="2" t="n"/>
      <c r="R1361" s="2" t="n"/>
      <c r="S1361" s="2" t="inlineStr">
        <is>
          <t>Rejeitado(a) em Comissão</t>
        </is>
      </c>
      <c r="T1361" s="2" t="inlineStr">
        <is>
          <t>Rejeitada</t>
        </is>
      </c>
      <c r="U1361" s="2" t="inlineStr">
        <is>
          <t>Favor: CH, IL, L, PCP, BE, PAN; Contra: PSD, CDS-PP; Abstenção: PS</t>
        </is>
      </c>
      <c r="V1361" s="3" t="n">
        <v>45982</v>
      </c>
      <c r="W1361" s="2" t="inlineStr">
        <is>
          <t>AR: https://www.parlamento.pt/OrcamentoEstado/Paginas/DetalhePropostaAlteracao.aspx?BID=24532 PDF: https://app.parlamento.pt/webutils/docs/doc.pdf?path=6148523063484d364c793942556b356c6443397a6158526c63793959566b6c4a544556484c3039464c7a49774d6a59794d4449314d5441774f533951515338344f57566b4f5755354d7931694f5445784c54517a5a6a63744f47526a4e433169593245795a47526d4e325979596d51756347526d&amp;Fich=89ed9e93-b911-43f7-8dc4-bca2ddf7f2bd.pdf&amp;Inline=true</t>
        </is>
      </c>
      <c r="X1361" s="2" t="inlineStr">
        <is>
          <t>Agricultura e Pescas</t>
        </is>
      </c>
      <c r="Y1361" s="2" t="inlineStr">
        <is>
          <t>Articulado</t>
        </is>
      </c>
      <c r="Z1361" s="2" t="inlineStr">
        <is>
          <t>Aditamento (Artigo PPL)</t>
        </is>
      </c>
      <c r="AA1361" s="2" t="inlineStr">
        <is>
          <t>Rejeitado(a) em Comissão</t>
        </is>
      </c>
      <c r="AB1361" s="2" t="inlineStr"/>
      <c r="AC1361" s="2" t="inlineStr"/>
      <c r="AD1361" s="2" t="inlineStr">
        <is>
          <t>1</t>
        </is>
      </c>
      <c r="AE1361" s="2" t="inlineStr">
        <is>
          <t>24532</t>
        </is>
      </c>
      <c r="AF1361" s="2" t="inlineStr">
        <is>
          <t>https://www.parlamento.pt/OrcamentoEstado/Paginas/DetalhePropostaAlteracao.aspx?BID=24532</t>
        </is>
      </c>
      <c r="AG1361" s="2" t="inlineStr">
        <is>
          <t>https://app.parlamento.pt/webutils/docs/doc.pdf?path=6148523063484d364c793942556b356c6443397a6158526c63793959566b6c4a544556484c3039464c7a49774d6a59794d4449314d5441774f533951515338344f57566b4f5755354d7931694f5445784c54517a5a6a63744f47526a4e433169593245795a47526d4e325979596d51756347526d&amp;Fich=89ed9e93-b911-43f7-8dc4-bca2ddf7f2bd.pdf&amp;Inline=true</t>
        </is>
      </c>
      <c r="AH1361" s="3" t="n">
        <v>46321.77847222222</v>
      </c>
      <c r="AI1361" s="3" t="n">
        <v>46321.78055555555</v>
      </c>
      <c r="AJ1361" s="2" t="inlineStr"/>
    </row>
    <row r="1362">
      <c r="A1362" s="2" t="n">
        <v>1361</v>
      </c>
      <c r="B1362" s="2" t="inlineStr">
        <is>
          <t>1287C</t>
        </is>
      </c>
      <c r="C1362" s="3" t="n">
        <v>45968.49930555555</v>
      </c>
      <c r="D1362" s="2" t="inlineStr">
        <is>
          <t>Original</t>
        </is>
      </c>
      <c r="E1362" s="2" t="inlineStr">
        <is>
          <t>JPP</t>
        </is>
      </c>
      <c r="F1362" s="2" t="inlineStr">
        <is>
          <t>Filipe Sousa</t>
        </is>
      </c>
      <c r="G1362" s="2" t="inlineStr">
        <is>
          <t>Art. 63.º-A (aditamento)</t>
        </is>
      </c>
      <c r="H1362" s="2" t="n"/>
      <c r="I1362" s="2" t="n"/>
      <c r="J1362" s="2" t="n"/>
      <c r="K1362" s="2" t="n"/>
      <c r="L1362" s="2" t="inlineStr">
        <is>
          <t>Artigo 63.º-A (Isenção de IVA para atos notariais de justiça sucessória e equiparados)</t>
        </is>
      </c>
      <c r="M1362" s="4" t="n"/>
      <c r="N1362" s="4" t="n"/>
      <c r="O1362" s="2" t="n"/>
      <c r="P1362" s="2" t="n"/>
      <c r="Q1362" s="2" t="n"/>
      <c r="R1362" s="2" t="n"/>
      <c r="S1362" s="2" t="inlineStr">
        <is>
          <t>Rejeitado(a) em Comissão</t>
        </is>
      </c>
      <c r="T1362" s="2" t="inlineStr">
        <is>
          <t>Rejeitada</t>
        </is>
      </c>
      <c r="U1362" s="2" t="inlineStr">
        <is>
          <t>Favor: L, PAN; Contra: PSD, PCP, CDS-PP, BE; Abstenção: CH, PS, IL</t>
        </is>
      </c>
      <c r="V1362" s="3" t="n">
        <v>45982</v>
      </c>
      <c r="W1362" s="2" t="inlineStr">
        <is>
          <t>AR: https://www.parlamento.pt/OrcamentoEstado/Paginas/DetalhePropostaAlteracao.aspx?BID=24533 PDF: https://app.parlamento.pt/webutils/docs/doc.pdf?path=6148523063484d364c793942556b356c6443397a6158526c63793959566b6c4a544556484c3039464c7a49774d6a59794d4449314d5441774f533951515338774e57566a59546b304e5331684d6d51324c54526d593251744f5451774d79307a4d5752684d7a63305a54646b5a4749756347526d&amp;Fich=05eca945-a2d6-4fcd-9403-31da374e7ddb.pdf&amp;Inline=true</t>
        </is>
      </c>
      <c r="X1362" s="2" t="inlineStr">
        <is>
          <t>Orçamento, Finanças e Administração Pública</t>
        </is>
      </c>
      <c r="Y1362" s="2" t="inlineStr">
        <is>
          <t>Articulado</t>
        </is>
      </c>
      <c r="Z1362" s="2" t="inlineStr">
        <is>
          <t>Aditamento (Artigo PPL)</t>
        </is>
      </c>
      <c r="AA1362" s="2" t="inlineStr">
        <is>
          <t>Rejeitado(a) em Comissão</t>
        </is>
      </c>
      <c r="AB1362" s="2" t="inlineStr"/>
      <c r="AC1362" s="2" t="inlineStr"/>
      <c r="AD1362" s="2" t="inlineStr">
        <is>
          <t>1</t>
        </is>
      </c>
      <c r="AE1362" s="2" t="inlineStr">
        <is>
          <t>24533</t>
        </is>
      </c>
      <c r="AF1362" s="2" t="inlineStr">
        <is>
          <t>https://www.parlamento.pt/OrcamentoEstado/Paginas/DetalhePropostaAlteracao.aspx?BID=24533</t>
        </is>
      </c>
      <c r="AG1362" s="2" t="inlineStr">
        <is>
          <t>https://app.parlamento.pt/webutils/docs/doc.pdf?path=6148523063484d364c793942556b356c6443397a6158526c63793959566b6c4a544556484c3039464c7a49774d6a59794d4449314d5441774f533951515338774e57566a59546b304e5331684d6d51324c54526d593251744f5451774d79307a4d5752684d7a63305a54646b5a4749756347526d&amp;Fich=05eca945-a2d6-4fcd-9403-31da374e7ddb.pdf&amp;Inline=true</t>
        </is>
      </c>
      <c r="AH1362" s="3" t="n">
        <v>46321.77847222222</v>
      </c>
      <c r="AI1362" s="3" t="n">
        <v>46321.78055555555</v>
      </c>
      <c r="AJ1362" s="2" t="inlineStr"/>
    </row>
    <row r="1363">
      <c r="A1363" s="2" t="n">
        <v>1362</v>
      </c>
      <c r="B1363" s="2" t="inlineStr">
        <is>
          <t>1288C</t>
        </is>
      </c>
      <c r="C1363" s="3" t="n">
        <v>45968.49930555555</v>
      </c>
      <c r="D1363" s="2" t="inlineStr">
        <is>
          <t>Original</t>
        </is>
      </c>
      <c r="E1363" s="2" t="inlineStr">
        <is>
          <t>PAN</t>
        </is>
      </c>
      <c r="F1363" s="2" t="inlineStr">
        <is>
          <t>Inês de Sousa Real</t>
        </is>
      </c>
      <c r="G1363" s="2" t="inlineStr">
        <is>
          <t>Art. 125.º-A (aditamento)</t>
        </is>
      </c>
      <c r="H1363" s="2" t="n"/>
      <c r="I1363" s="2" t="n"/>
      <c r="J1363" s="2" t="n"/>
      <c r="K1363" s="2" t="n"/>
      <c r="L1363" s="2" t="inlineStr">
        <is>
          <t>Artigo 125.º-A (Estratégia Industrial Verde)</t>
        </is>
      </c>
      <c r="M1363" s="4" t="n"/>
      <c r="N1363" s="4" t="n"/>
      <c r="O1363" s="2" t="n"/>
      <c r="P1363" s="2" t="n"/>
      <c r="Q1363" s="2" t="n"/>
      <c r="R1363" s="2" t="n"/>
      <c r="S1363" s="2" t="inlineStr">
        <is>
          <t>Rejeitado(a) em Comissão</t>
        </is>
      </c>
      <c r="T1363" s="2" t="inlineStr">
        <is>
          <t>Rejeitada</t>
        </is>
      </c>
      <c r="U1363" s="2" t="inlineStr">
        <is>
          <t>Favor: PS, L, BE, PAN; Contra: PSD, CH, CDS-PP; Abstenção: IL, PCP</t>
        </is>
      </c>
      <c r="V1363" s="3" t="n">
        <v>45985</v>
      </c>
      <c r="W1363" s="2" t="inlineStr">
        <is>
          <t>AR: https://www.parlamento.pt/OrcamentoEstado/Paginas/DetalhePropostaAlteracao.aspx?BID=24534 PDF: https://app.parlamento.pt/webutils/docs/doc.pdf?path=6148523063484d364c793942556b356c6443397a6158526c63793959566b6c4a544556484c3039464c7a49774d6a59794d4449314d5441774f533951515338784e6a6b334d4445334d7930304e54426c4c5451334e7a6b74596a417a4e69316a597a4e6c593259334d4463344e5745756347526d&amp;Fich=16970173-450e-4779-b036-cc3ecf70785a.pdf&amp;Inline=true</t>
        </is>
      </c>
      <c r="X1363" s="2" t="inlineStr">
        <is>
          <t>Ambiente e Energia</t>
        </is>
      </c>
      <c r="Y1363" s="2" t="inlineStr">
        <is>
          <t>Articulado</t>
        </is>
      </c>
      <c r="Z1363" s="2" t="inlineStr">
        <is>
          <t>Aditamento (Artigo PPL)</t>
        </is>
      </c>
      <c r="AA1363" s="2" t="inlineStr">
        <is>
          <t>Rejeitado(a) em Comissão</t>
        </is>
      </c>
      <c r="AB1363" s="2" t="inlineStr"/>
      <c r="AC1363" s="2" t="inlineStr"/>
      <c r="AD1363" s="2" t="inlineStr">
        <is>
          <t>1</t>
        </is>
      </c>
      <c r="AE1363" s="2" t="inlineStr">
        <is>
          <t>24534</t>
        </is>
      </c>
      <c r="AF1363" s="2" t="inlineStr">
        <is>
          <t>https://www.parlamento.pt/OrcamentoEstado/Paginas/DetalhePropostaAlteracao.aspx?BID=24534</t>
        </is>
      </c>
      <c r="AG1363" s="2" t="inlineStr">
        <is>
          <t>https://app.parlamento.pt/webutils/docs/doc.pdf?path=6148523063484d364c793942556b356c6443397a6158526c63793959566b6c4a544556484c3039464c7a49774d6a59794d4449314d5441774f533951515338784e6a6b334d4445334d7930304e54426c4c5451334e7a6b74596a417a4e69316a597a4e6c593259334d4463344e5745756347526d&amp;Fich=16970173-450e-4779-b036-cc3ecf70785a.pdf&amp;Inline=true</t>
        </is>
      </c>
      <c r="AH1363" s="3" t="n">
        <v>46321.77847222222</v>
      </c>
      <c r="AI1363" s="3" t="n">
        <v>46321.78055555555</v>
      </c>
      <c r="AJ1363" s="2" t="inlineStr"/>
    </row>
    <row r="1364">
      <c r="A1364" s="2" t="n">
        <v>1363</v>
      </c>
      <c r="B1364" s="2" t="inlineStr">
        <is>
          <t>1289C</t>
        </is>
      </c>
      <c r="C1364" s="3" t="n">
        <v>45968.50069444445</v>
      </c>
      <c r="D1364" s="2" t="inlineStr">
        <is>
          <t>Original</t>
        </is>
      </c>
      <c r="E1364" s="2" t="inlineStr">
        <is>
          <t>JPP</t>
        </is>
      </c>
      <c r="F1364" s="2" t="inlineStr">
        <is>
          <t>Filipe Sousa</t>
        </is>
      </c>
      <c r="G1364" s="2" t="inlineStr">
        <is>
          <t>Art. 63.º-B (aditamento)</t>
        </is>
      </c>
      <c r="H1364" s="2" t="n"/>
      <c r="I1364" s="2" t="n"/>
      <c r="J1364" s="2" t="n"/>
      <c r="K1364" s="2" t="n"/>
      <c r="L1364" s="2" t="inlineStr">
        <is>
          <t>Artigo 63.º-B (Taxa reduzida de IVA para os restantes serviços notariais)</t>
        </is>
      </c>
      <c r="M1364" s="4" t="n"/>
      <c r="N1364" s="4" t="n"/>
      <c r="O1364" s="2" t="n"/>
      <c r="P1364" s="2" t="n"/>
      <c r="Q1364" s="2" t="n"/>
      <c r="R1364" s="2" t="n"/>
      <c r="S1364" s="2" t="inlineStr">
        <is>
          <t>Rejeitado(a) em Comissão</t>
        </is>
      </c>
      <c r="T1364" s="2" t="inlineStr">
        <is>
          <t>Rejeitada</t>
        </is>
      </c>
      <c r="U1364" s="2" t="inlineStr">
        <is>
          <t>Favor: L, PAN; Contra: PSD, PCP, CDS-PP; Abstenção: CH, PS, IL, BE</t>
        </is>
      </c>
      <c r="V1364" s="3" t="n">
        <v>45982</v>
      </c>
      <c r="W1364" s="2" t="inlineStr">
        <is>
          <t>AR: https://www.parlamento.pt/OrcamentoEstado/Paginas/DetalhePropostaAlteracao.aspx?BID=24535 PDF: https://app.parlamento.pt/webutils/docs/doc.pdf?path=6148523063484d364c793942556b356c6443397a6158526c63793959566b6c4a544556484c3039464c7a49774d6a59794d4449314d5441774f5339515153396b597a67344f4745344d43316a4d57466a4c54526c4d6d4d7459574a6d4d5330354f54517a4f47566d595455784f4759756347526d&amp;Fich=dc888a80-c1ac-4e2c-abf1-99438efa518f.pdf&amp;Inline=true</t>
        </is>
      </c>
      <c r="X1364" s="2" t="inlineStr">
        <is>
          <t>Orçamento, Finanças e Administração Pública</t>
        </is>
      </c>
      <c r="Y1364" s="2" t="inlineStr">
        <is>
          <t>Articulado</t>
        </is>
      </c>
      <c r="Z1364" s="2" t="inlineStr">
        <is>
          <t>Aditamento (Artigo PPL)</t>
        </is>
      </c>
      <c r="AA1364" s="2" t="inlineStr">
        <is>
          <t>Rejeitado(a) em Comissão</t>
        </is>
      </c>
      <c r="AB1364" s="2" t="inlineStr"/>
      <c r="AC1364" s="2" t="inlineStr"/>
      <c r="AD1364" s="2" t="inlineStr">
        <is>
          <t>1</t>
        </is>
      </c>
      <c r="AE1364" s="2" t="inlineStr">
        <is>
          <t>24535</t>
        </is>
      </c>
      <c r="AF1364" s="2" t="inlineStr">
        <is>
          <t>https://www.parlamento.pt/OrcamentoEstado/Paginas/DetalhePropostaAlteracao.aspx?BID=24535</t>
        </is>
      </c>
      <c r="AG1364" s="2" t="inlineStr">
        <is>
          <t>https://app.parlamento.pt/webutils/docs/doc.pdf?path=6148523063484d364c793942556b356c6443397a6158526c63793959566b6c4a544556484c3039464c7a49774d6a59794d4449314d5441774f5339515153396b597a67344f4745344d43316a4d57466a4c54526c4d6d4d7459574a6d4d5330354f54517a4f47566d595455784f4759756347526d&amp;Fich=dc888a80-c1ac-4e2c-abf1-99438efa518f.pdf&amp;Inline=true</t>
        </is>
      </c>
      <c r="AH1364" s="3" t="n">
        <v>46321.77847222222</v>
      </c>
      <c r="AI1364" s="3" t="n">
        <v>46321.78055555555</v>
      </c>
      <c r="AJ1364" s="2" t="inlineStr"/>
    </row>
    <row r="1365">
      <c r="A1365" s="2" t="n">
        <v>1364</v>
      </c>
      <c r="B1365" s="2" t="inlineStr">
        <is>
          <t>1290C</t>
        </is>
      </c>
      <c r="C1365" s="3" t="n">
        <v>45968.50138888889</v>
      </c>
      <c r="D1365" s="2" t="inlineStr">
        <is>
          <t>Original</t>
        </is>
      </c>
      <c r="E1365" s="2" t="inlineStr">
        <is>
          <t>PAN</t>
        </is>
      </c>
      <c r="F1365" s="2" t="inlineStr">
        <is>
          <t>Inês de Sousa Real</t>
        </is>
      </c>
      <c r="G1365" s="2" t="inlineStr">
        <is>
          <t>Art. 121.º-A (aditamento)</t>
        </is>
      </c>
      <c r="H1365" s="2" t="n"/>
      <c r="I1365" s="2" t="n"/>
      <c r="J1365" s="2" t="n"/>
      <c r="K1365" s="2" t="n"/>
      <c r="L1365" s="2" t="inlineStr">
        <is>
          <t>Artigo 121.º-A (Rastreio do cancro da mama)</t>
        </is>
      </c>
      <c r="M1365" s="4" t="n"/>
      <c r="N1365" s="4" t="n"/>
      <c r="O1365" s="2" t="n"/>
      <c r="P1365" s="2" t="n"/>
      <c r="Q1365" s="2" t="n"/>
      <c r="R1365" s="2" t="n"/>
      <c r="S1365" s="2" t="inlineStr">
        <is>
          <t>Aprovado(a) por Unanimidade em Comissão</t>
        </is>
      </c>
      <c r="T1365" s="2" t="inlineStr">
        <is>
          <t>Aprovada</t>
        </is>
      </c>
      <c r="U1365" s="2" t="inlineStr">
        <is>
          <t>Favor: PSD, CH, PS, IL, L, PCP, CDS-PP, BE, PAN</t>
        </is>
      </c>
      <c r="V1365" s="3" t="n">
        <v>45985</v>
      </c>
      <c r="W1365" s="2" t="inlineStr">
        <is>
          <t>AR: https://www.parlamento.pt/OrcamentoEstado/Paginas/DetalhePropostaAlteracao.aspx?BID=24536 PDF: https://app.parlamento.pt/webutils/docs/doc.pdf?path=6148523063484d364c793942556b356c6443397a6158526c63793959566b6c4a544556484c3039464c7a49774d6a59794d4449314d5441774f533951515339695a4751354d6a67334d53307a595745794c545268595451744f54466d4e4330794d4451305a4455354d7a5933596a51756347526d&amp;Fich=bdd92871-3aa2-4aa4-91f4-2044d59367b4.pdf&amp;Inline=true</t>
        </is>
      </c>
      <c r="X1365" s="2" t="inlineStr">
        <is>
          <t>Saúde</t>
        </is>
      </c>
      <c r="Y1365" s="2" t="inlineStr">
        <is>
          <t>Articulado</t>
        </is>
      </c>
      <c r="Z1365" s="2" t="inlineStr">
        <is>
          <t>Aditamento (Artigo PPL)</t>
        </is>
      </c>
      <c r="AA1365" s="2" t="inlineStr">
        <is>
          <t>Aprovado(a) por Unanimidade em Comissão</t>
        </is>
      </c>
      <c r="AB1365" s="2" t="inlineStr"/>
      <c r="AC1365" s="2" t="inlineStr"/>
      <c r="AD1365" s="2" t="inlineStr">
        <is>
          <t>1</t>
        </is>
      </c>
      <c r="AE1365" s="2" t="inlineStr">
        <is>
          <t>24536</t>
        </is>
      </c>
      <c r="AF1365" s="2" t="inlineStr">
        <is>
          <t>https://www.parlamento.pt/OrcamentoEstado/Paginas/DetalhePropostaAlteracao.aspx?BID=24536</t>
        </is>
      </c>
      <c r="AG1365" s="2" t="inlineStr">
        <is>
          <t>https://app.parlamento.pt/webutils/docs/doc.pdf?path=6148523063484d364c793942556b356c6443397a6158526c63793959566b6c4a544556484c3039464c7a49774d6a59794d4449314d5441774f533951515339695a4751354d6a67334d53307a595745794c545268595451744f54466d4e4330794d4451305a4455354d7a5933596a51756347526d&amp;Fich=bdd92871-3aa2-4aa4-91f4-2044d59367b4.pdf&amp;Inline=true</t>
        </is>
      </c>
      <c r="AH1365" s="3" t="n">
        <v>46321.77847222222</v>
      </c>
      <c r="AI1365" s="3" t="n">
        <v>46321.78055555555</v>
      </c>
      <c r="AJ1365" s="2" t="inlineStr"/>
    </row>
    <row r="1366">
      <c r="A1366" s="2" t="n">
        <v>1365</v>
      </c>
      <c r="B1366" s="2" t="inlineStr">
        <is>
          <t>1291C</t>
        </is>
      </c>
      <c r="C1366" s="3" t="n">
        <v>45968.50208333333</v>
      </c>
      <c r="D1366" s="2" t="inlineStr">
        <is>
          <t>Original</t>
        </is>
      </c>
      <c r="E1366" s="2" t="inlineStr">
        <is>
          <t>JPP</t>
        </is>
      </c>
      <c r="F1366" s="2" t="inlineStr">
        <is>
          <t>Filipe Sousa</t>
        </is>
      </c>
      <c r="G1366" s="2" t="inlineStr">
        <is>
          <t>Art. 63.º-C (aditamento)</t>
        </is>
      </c>
      <c r="H1366" s="2" t="n"/>
      <c r="I1366" s="2" t="n"/>
      <c r="J1366" s="2" t="n"/>
      <c r="K1366" s="2" t="n"/>
      <c r="L1366" s="2" t="inlineStr">
        <is>
          <t>Artigo 63.º-C (Fim do regime de transparência fiscal e opção por IRC às Sociedades de notários)</t>
        </is>
      </c>
      <c r="M1366" s="4" t="n"/>
      <c r="N1366" s="4" t="n"/>
      <c r="O1366" s="2" t="n"/>
      <c r="P1366" s="2" t="n"/>
      <c r="Q1366" s="2" t="n"/>
      <c r="R1366" s="2" t="n"/>
      <c r="S1366" s="2" t="inlineStr">
        <is>
          <t>Rejeitado(a) em Comissão</t>
        </is>
      </c>
      <c r="T1366" s="2" t="inlineStr">
        <is>
          <t>Rejeitada</t>
        </is>
      </c>
      <c r="U1366" s="2" t="inlineStr">
        <is>
          <t>Favor: PAN; Contra: PSD, PS, L, PCP, CDS-PP, BE; Abstenção: CH, IL</t>
        </is>
      </c>
      <c r="V1366" s="3" t="n">
        <v>45982</v>
      </c>
      <c r="W1366" s="2" t="inlineStr">
        <is>
          <t>AR: https://www.parlamento.pt/OrcamentoEstado/Paginas/DetalhePropostaAlteracao.aspx?BID=24537 PDF: https://app.parlamento.pt/webutils/docs/doc.pdf?path=6148523063484d364c793942556b356c6443397a6158526c63793959566b6c4a544556484c3039464c7a49774d6a59794d4449314d5441774f533951515339685a5441355a474d784d43316a597a59774c5451334f4441744f4759775969316c4d47457a4d574d3459546b344d4745756347526d&amp;Fich=ae09dc10-cc60-4780-8f0b-e0a31c8a980a.pdf&amp;Inline=true</t>
        </is>
      </c>
      <c r="X1366" s="2" t="inlineStr">
        <is>
          <t>Orçamento, Finanças e Administração Pública</t>
        </is>
      </c>
      <c r="Y1366" s="2" t="inlineStr">
        <is>
          <t>Articulado</t>
        </is>
      </c>
      <c r="Z1366" s="2" t="inlineStr">
        <is>
          <t>Aditamento (Artigo PPL)</t>
        </is>
      </c>
      <c r="AA1366" s="2" t="inlineStr">
        <is>
          <t>Rejeitado(a) em Comissão</t>
        </is>
      </c>
      <c r="AB1366" s="2" t="inlineStr"/>
      <c r="AC1366" s="2" t="inlineStr"/>
      <c r="AD1366" s="2" t="inlineStr">
        <is>
          <t>1</t>
        </is>
      </c>
      <c r="AE1366" s="2" t="inlineStr">
        <is>
          <t>24537</t>
        </is>
      </c>
      <c r="AF1366" s="2" t="inlineStr">
        <is>
          <t>https://www.parlamento.pt/OrcamentoEstado/Paginas/DetalhePropostaAlteracao.aspx?BID=24537</t>
        </is>
      </c>
      <c r="AG1366" s="2" t="inlineStr">
        <is>
          <t>https://app.parlamento.pt/webutils/docs/doc.pdf?path=6148523063484d364c793942556b356c6443397a6158526c63793959566b6c4a544556484c3039464c7a49774d6a59794d4449314d5441774f533951515339685a5441355a474d784d43316a597a59774c5451334f4441744f4759775969316c4d47457a4d574d3459546b344d4745756347526d&amp;Fich=ae09dc10-cc60-4780-8f0b-e0a31c8a980a.pdf&amp;Inline=true</t>
        </is>
      </c>
      <c r="AH1366" s="3" t="n">
        <v>46321.77847222222</v>
      </c>
      <c r="AI1366" s="3" t="n">
        <v>46321.78055555555</v>
      </c>
      <c r="AJ1366" s="2" t="inlineStr"/>
    </row>
    <row r="1367">
      <c r="A1367" s="2" t="n">
        <v>1366</v>
      </c>
      <c r="B1367" s="2" t="inlineStr">
        <is>
          <t>1292C</t>
        </is>
      </c>
      <c r="C1367" s="3" t="n">
        <v>45968.50277777778</v>
      </c>
      <c r="D1367" s="2" t="inlineStr">
        <is>
          <t>Original</t>
        </is>
      </c>
      <c r="E1367" s="2" t="inlineStr">
        <is>
          <t>BE</t>
        </is>
      </c>
      <c r="F1367" s="2" t="inlineStr">
        <is>
          <t>Mariana Mortágua</t>
        </is>
      </c>
      <c r="G1367" s="2" t="inlineStr">
        <is>
          <t>Art. 113.º-A (aditamento)</t>
        </is>
      </c>
      <c r="H1367" s="2" t="n"/>
      <c r="I1367" s="2" t="n"/>
      <c r="J1367" s="2" t="n"/>
      <c r="K1367" s="2" t="n"/>
      <c r="L1367" s="2" t="inlineStr">
        <is>
          <t>Artigo 113.º-A (Cobertura digital do território, eliminando zonas brancas e cinzentas)</t>
        </is>
      </c>
      <c r="M1367" s="4" t="n"/>
      <c r="N1367" s="4" t="n"/>
      <c r="O1367" s="2" t="n"/>
      <c r="P1367" s="2" t="n"/>
      <c r="Q1367" s="2" t="n"/>
      <c r="R1367" s="2" t="n"/>
      <c r="S1367" s="2" t="inlineStr">
        <is>
          <t>Rejeitado(a) em Comissão</t>
        </is>
      </c>
      <c r="T1367" s="2" t="inlineStr">
        <is>
          <t>Rejeitada</t>
        </is>
      </c>
      <c r="U1367" s="2" t="inlineStr">
        <is>
          <t>Favor: CH, L, PCP, BE, PAN; Contra: PSD, CDS-PP; Abstenção: PS, IL</t>
        </is>
      </c>
      <c r="V1367" s="3" t="n">
        <v>45985</v>
      </c>
      <c r="W1367" s="2" t="inlineStr">
        <is>
          <t>AR: https://www.parlamento.pt/OrcamentoEstado/Paginas/DetalhePropostaAlteracao.aspx?BID=24538 PDF: https://app.parlamento.pt/webutils/docs/doc.pdf?path=6148523063484d364c793942556b356c6443397a6158526c63793959566b6c4a544556484c3039464c7a49774d6a59794d4449314d5441774f533951515338794e6a64684e4445344d4330784e6a49354c54526c4f4745744f546c6c4d7931694e44426d5a6a63784d47497a5a4449756347526d&amp;Fich=267a4180-1629-4e8a-99e3-b40ff710b3d2.pdf&amp;Inline=true</t>
        </is>
      </c>
      <c r="X1367" s="2" t="inlineStr">
        <is>
          <t>Assuntos Constitucionais, Direitos, Liberdades e Garantias</t>
        </is>
      </c>
      <c r="Y1367" s="2" t="inlineStr">
        <is>
          <t>Articulado</t>
        </is>
      </c>
      <c r="Z1367" s="2" t="inlineStr">
        <is>
          <t>Aditamento (Artigo PPL)</t>
        </is>
      </c>
      <c r="AA1367" s="2" t="inlineStr">
        <is>
          <t>Rejeitado(a) em Comissão</t>
        </is>
      </c>
      <c r="AB1367" s="2" t="inlineStr"/>
      <c r="AC1367" s="2" t="inlineStr"/>
      <c r="AD1367" s="2" t="inlineStr">
        <is>
          <t>1</t>
        </is>
      </c>
      <c r="AE1367" s="2" t="inlineStr">
        <is>
          <t>24538</t>
        </is>
      </c>
      <c r="AF1367" s="2" t="inlineStr">
        <is>
          <t>https://www.parlamento.pt/OrcamentoEstado/Paginas/DetalhePropostaAlteracao.aspx?BID=24538</t>
        </is>
      </c>
      <c r="AG1367" s="2" t="inlineStr">
        <is>
          <t>https://app.parlamento.pt/webutils/docs/doc.pdf?path=6148523063484d364c793942556b356c6443397a6158526c63793959566b6c4a544556484c3039464c7a49774d6a59794d4449314d5441774f533951515338794e6a64684e4445344d4330784e6a49354c54526c4f4745744f546c6c4d7931694e44426d5a6a63784d47497a5a4449756347526d&amp;Fich=267a4180-1629-4e8a-99e3-b40ff710b3d2.pdf&amp;Inline=true</t>
        </is>
      </c>
      <c r="AH1367" s="3" t="n">
        <v>46321.77847222222</v>
      </c>
      <c r="AI1367" s="3" t="n">
        <v>46321.78055555555</v>
      </c>
      <c r="AJ1367" s="2" t="inlineStr"/>
    </row>
    <row r="1368">
      <c r="A1368" s="2" t="n">
        <v>1367</v>
      </c>
      <c r="B1368" s="2" t="inlineStr">
        <is>
          <t>1293C</t>
        </is>
      </c>
      <c r="C1368" s="3" t="n">
        <v>45968.50347222222</v>
      </c>
      <c r="D1368" s="2" t="inlineStr">
        <is>
          <t>Original</t>
        </is>
      </c>
      <c r="E1368" s="2" t="inlineStr">
        <is>
          <t>PAN</t>
        </is>
      </c>
      <c r="F1368" s="2" t="inlineStr">
        <is>
          <t>Inês de Sousa Real</t>
        </is>
      </c>
      <c r="G1368" s="2" t="inlineStr">
        <is>
          <t>Art. 121.º-B (aditamento)</t>
        </is>
      </c>
      <c r="H1368" s="2" t="n"/>
      <c r="I1368" s="2" t="n"/>
      <c r="J1368" s="2" t="n"/>
      <c r="K1368" s="2" t="n"/>
      <c r="L1368" s="2" t="inlineStr">
        <is>
          <t>Artigo 121.º-B (Terapêuticas inovadoras para o tratamento do cancro da mama)</t>
        </is>
      </c>
      <c r="M1368" s="4" t="n"/>
      <c r="N1368" s="4" t="n"/>
      <c r="O1368" s="2" t="n"/>
      <c r="P1368" s="2" t="n"/>
      <c r="Q1368" s="2" t="n"/>
      <c r="R1368" s="2" t="n"/>
      <c r="S1368" s="2" t="inlineStr">
        <is>
          <t>Rejeitado(a) em Comissão</t>
        </is>
      </c>
      <c r="T1368" s="2" t="inlineStr">
        <is>
          <t>Rejeitada</t>
        </is>
      </c>
      <c r="U1368" s="2" t="inlineStr">
        <is>
          <t>Favor: CH, IL, L, PCP, BE, PAN; Contra: PSD, CDS-PP; Abstenção: PS</t>
        </is>
      </c>
      <c r="V1368" s="3" t="n">
        <v>45985</v>
      </c>
      <c r="W1368" s="2" t="inlineStr">
        <is>
          <t>AR: https://www.parlamento.pt/OrcamentoEstado/Paginas/DetalhePropostaAlteracao.aspx?BID=24539 PDF: https://app.parlamento.pt/webutils/docs/doc.pdf?path=6148523063484d364c793942556b356c6443397a6158526c63793959566b6c4a544556484c3039464c7a49774d6a59794d4449314d5441774f5339515153396d5a44526b5a474a6c4e5330325a6a45774c5451784d444d7459546334595331694f44677a4d546330595749335a4745756347526d&amp;Fich=fd4ddbe5-6f10-4103-a78a-b883174ab7da.pdf&amp;Inline=true</t>
        </is>
      </c>
      <c r="X1368" s="2" t="inlineStr">
        <is>
          <t>Saúde</t>
        </is>
      </c>
      <c r="Y1368" s="2" t="inlineStr">
        <is>
          <t>Articulado</t>
        </is>
      </c>
      <c r="Z1368" s="2" t="inlineStr">
        <is>
          <t>Aditamento (Artigo PPL)</t>
        </is>
      </c>
      <c r="AA1368" s="2" t="inlineStr">
        <is>
          <t>Rejeitado(a) em Comissão</t>
        </is>
      </c>
      <c r="AB1368" s="2" t="inlineStr"/>
      <c r="AC1368" s="2" t="inlineStr"/>
      <c r="AD1368" s="2" t="inlineStr">
        <is>
          <t>1</t>
        </is>
      </c>
      <c r="AE1368" s="2" t="inlineStr">
        <is>
          <t>24539</t>
        </is>
      </c>
      <c r="AF1368" s="2" t="inlineStr">
        <is>
          <t>https://www.parlamento.pt/OrcamentoEstado/Paginas/DetalhePropostaAlteracao.aspx?BID=24539</t>
        </is>
      </c>
      <c r="AG1368" s="2" t="inlineStr">
        <is>
          <t>https://app.parlamento.pt/webutils/docs/doc.pdf?path=6148523063484d364c793942556b356c6443397a6158526c63793959566b6c4a544556484c3039464c7a49774d6a59794d4449314d5441774f5339515153396d5a44526b5a474a6c4e5330325a6a45774c5451784d444d7459546334595331694f44677a4d546330595749335a4745756347526d&amp;Fich=fd4ddbe5-6f10-4103-a78a-b883174ab7da.pdf&amp;Inline=true</t>
        </is>
      </c>
      <c r="AH1368" s="3" t="n">
        <v>46321.77847222222</v>
      </c>
      <c r="AI1368" s="3" t="n">
        <v>46321.78055555555</v>
      </c>
      <c r="AJ1368" s="2" t="inlineStr"/>
    </row>
    <row r="1369">
      <c r="A1369" s="2" t="n">
        <v>1368</v>
      </c>
      <c r="B1369" s="2" t="inlineStr">
        <is>
          <t>1294C</t>
        </is>
      </c>
      <c r="C1369" s="3" t="n">
        <v>45968.50486111111</v>
      </c>
      <c r="D1369" s="2" t="inlineStr">
        <is>
          <t>Original</t>
        </is>
      </c>
      <c r="E1369" s="2" t="inlineStr">
        <is>
          <t>BE</t>
        </is>
      </c>
      <c r="F1369" s="2" t="inlineStr">
        <is>
          <t>Mariana Mortágua</t>
        </is>
      </c>
      <c r="G1369" s="2" t="inlineStr">
        <is>
          <t>Art. 113.º-A (aditamento)</t>
        </is>
      </c>
      <c r="H1369" s="2" t="n"/>
      <c r="I1369" s="2" t="n"/>
      <c r="J1369" s="2" t="n"/>
      <c r="K1369" s="2" t="n"/>
      <c r="L1369" s="2" t="inlineStr">
        <is>
          <t>Artigo 113.º-A (Combate à praga de jacintos-de-água)</t>
        </is>
      </c>
      <c r="M1369" s="4" t="n"/>
      <c r="N1369" s="4" t="n"/>
      <c r="O1369" s="2" t="n"/>
      <c r="P1369" s="2" t="n"/>
      <c r="Q1369" s="2" t="n"/>
      <c r="R1369" s="2" t="n"/>
      <c r="S1369" s="2" t="inlineStr">
        <is>
          <t>Rejeitado(a) em Comissão</t>
        </is>
      </c>
      <c r="T1369" s="2" t="inlineStr">
        <is>
          <t>Rejeitada</t>
        </is>
      </c>
      <c r="U1369" s="2" t="inlineStr">
        <is>
          <t>Favor: CH, IL, L, PCP, BE, PAN; Contra: PSD, CDS-PP; Abstenção: PS</t>
        </is>
      </c>
      <c r="V1369" s="3" t="n">
        <v>45985</v>
      </c>
      <c r="W1369" s="2" t="inlineStr">
        <is>
          <t>AR: https://www.parlamento.pt/OrcamentoEstado/Paginas/DetalhePropostaAlteracao.aspx?BID=24540 PDF: https://app.parlamento.pt/webutils/docs/doc.pdf?path=6148523063484d364c793942556b356c6443397a6158526c63793959566b6c4a544556484c3039464c7a49774d6a59794d4449314d5441774f5339515153396b4e574e6a596d45354d433169596a6c6a4c5451784f444d74596a45335a6930354f54566c59575579596a51784d4449756347526d&amp;Fich=d5ccba90-bb9c-4183-b17f-995eae2b4102.pdf&amp;Inline=true</t>
        </is>
      </c>
      <c r="X1369" s="2" t="inlineStr">
        <is>
          <t>Ambiente e Energia</t>
        </is>
      </c>
      <c r="Y1369" s="2" t="inlineStr">
        <is>
          <t>Articulado</t>
        </is>
      </c>
      <c r="Z1369" s="2" t="inlineStr">
        <is>
          <t>Aditamento (Artigo PPL)</t>
        </is>
      </c>
      <c r="AA1369" s="2" t="inlineStr">
        <is>
          <t>Rejeitado(a) em Comissão</t>
        </is>
      </c>
      <c r="AB1369" s="2" t="inlineStr"/>
      <c r="AC1369" s="2" t="inlineStr"/>
      <c r="AD1369" s="2" t="inlineStr">
        <is>
          <t>1</t>
        </is>
      </c>
      <c r="AE1369" s="2" t="inlineStr">
        <is>
          <t>24540</t>
        </is>
      </c>
      <c r="AF1369" s="2" t="inlineStr">
        <is>
          <t>https://www.parlamento.pt/OrcamentoEstado/Paginas/DetalhePropostaAlteracao.aspx?BID=24540</t>
        </is>
      </c>
      <c r="AG1369" s="2" t="inlineStr">
        <is>
          <t>https://app.parlamento.pt/webutils/docs/doc.pdf?path=6148523063484d364c793942556b356c6443397a6158526c63793959566b6c4a544556484c3039464c7a49774d6a59794d4449314d5441774f5339515153396b4e574e6a596d45354d433169596a6c6a4c5451784f444d74596a45335a6930354f54566c59575579596a51784d4449756347526d&amp;Fich=d5ccba90-bb9c-4183-b17f-995eae2b4102.pdf&amp;Inline=true</t>
        </is>
      </c>
      <c r="AH1369" s="3" t="n">
        <v>46321.77847222222</v>
      </c>
      <c r="AI1369" s="3" t="n">
        <v>46321.78055555555</v>
      </c>
      <c r="AJ1369" s="2" t="inlineStr"/>
    </row>
    <row r="1370">
      <c r="A1370" s="2" t="n">
        <v>1369</v>
      </c>
      <c r="B1370" s="2" t="inlineStr">
        <is>
          <t>1295C</t>
        </is>
      </c>
      <c r="C1370" s="3" t="n">
        <v>45968.50486111111</v>
      </c>
      <c r="D1370" s="2" t="inlineStr">
        <is>
          <t>Original</t>
        </is>
      </c>
      <c r="E1370" s="2" t="inlineStr">
        <is>
          <t>PAN</t>
        </is>
      </c>
      <c r="F1370" s="2" t="inlineStr">
        <is>
          <t>Inês de Sousa Real</t>
        </is>
      </c>
      <c r="G1370" s="2" t="inlineStr">
        <is>
          <t>Art. 119.º-A (aditamento)</t>
        </is>
      </c>
      <c r="H1370" s="2" t="n"/>
      <c r="I1370" s="2" t="n"/>
      <c r="J1370" s="2" t="n"/>
      <c r="K1370" s="2" t="n"/>
      <c r="L1370" s="2" t="inlineStr">
        <is>
          <t>Artigo 119.º-A (Bolsa de formação específica para médicos internos)</t>
        </is>
      </c>
      <c r="M1370" s="4" t="n"/>
      <c r="N1370" s="4" t="n"/>
      <c r="O1370" s="2" t="n"/>
      <c r="P1370" s="2" t="n"/>
      <c r="Q1370" s="2" t="n"/>
      <c r="R1370" s="2" t="n"/>
      <c r="S1370" s="2" t="inlineStr">
        <is>
          <t>Rejeitado(a) em Comissão</t>
        </is>
      </c>
      <c r="T1370" s="2" t="inlineStr">
        <is>
          <t>Rejeitada</t>
        </is>
      </c>
      <c r="U1370" s="2" t="inlineStr">
        <is>
          <t>Favor: PCP, BE, PAN; Contra: PSD, IL, L, CDS-PP; Abstenção: CH, PS</t>
        </is>
      </c>
      <c r="V1370" s="3" t="n">
        <v>45985</v>
      </c>
      <c r="W1370" s="2" t="inlineStr">
        <is>
          <t>AR: https://www.parlamento.pt/OrcamentoEstado/Paginas/DetalhePropostaAlteracao.aspx?BID=24541 PDF: https://app.parlamento.pt/webutils/docs/doc.pdf?path=6148523063484d364c793942556b356c6443397a6158526c63793959566b6c4a544556484c3039464c7a49774d6a59794d4449314d5441774f5339515153387a4d7a49315a544d794d4330794e7a55314c54526b4d4441744f444d315a6930344d546b7a4d5751315a544e6a5a6a6b756347526d&amp;Fich=3325e320-2755-4d00-835f-81931d5e3cf9.pdf&amp;Inline=true</t>
        </is>
      </c>
      <c r="X1370" s="2" t="inlineStr">
        <is>
          <t>Saúde</t>
        </is>
      </c>
      <c r="Y1370" s="2" t="inlineStr">
        <is>
          <t>Articulado</t>
        </is>
      </c>
      <c r="Z1370" s="2" t="inlineStr">
        <is>
          <t>Aditamento (Artigo PPL)</t>
        </is>
      </c>
      <c r="AA1370" s="2" t="inlineStr">
        <is>
          <t>Rejeitado(a) em Comissão</t>
        </is>
      </c>
      <c r="AB1370" s="2" t="inlineStr"/>
      <c r="AC1370" s="2" t="inlineStr"/>
      <c r="AD1370" s="2" t="inlineStr">
        <is>
          <t>1</t>
        </is>
      </c>
      <c r="AE1370" s="2" t="inlineStr">
        <is>
          <t>24541</t>
        </is>
      </c>
      <c r="AF1370" s="2" t="inlineStr">
        <is>
          <t>https://www.parlamento.pt/OrcamentoEstado/Paginas/DetalhePropostaAlteracao.aspx?BID=24541</t>
        </is>
      </c>
      <c r="AG1370" s="2" t="inlineStr">
        <is>
          <t>https://app.parlamento.pt/webutils/docs/doc.pdf?path=6148523063484d364c793942556b356c6443397a6158526c63793959566b6c4a544556484c3039464c7a49774d6a59794d4449314d5441774f5339515153387a4d7a49315a544d794d4330794e7a55314c54526b4d4441744f444d315a6930344d546b7a4d5751315a544e6a5a6a6b756347526d&amp;Fich=3325e320-2755-4d00-835f-81931d5e3cf9.pdf&amp;Inline=true</t>
        </is>
      </c>
      <c r="AH1370" s="3" t="n">
        <v>46321.77847222222</v>
      </c>
      <c r="AI1370" s="3" t="n">
        <v>46321.78055555555</v>
      </c>
      <c r="AJ1370" s="2" t="inlineStr"/>
    </row>
    <row r="1371">
      <c r="A1371" s="2" t="n">
        <v>1370</v>
      </c>
      <c r="B1371" s="2" t="inlineStr">
        <is>
          <t>1296C</t>
        </is>
      </c>
      <c r="C1371" s="3" t="n">
        <v>45968.50763888889</v>
      </c>
      <c r="D1371" s="2" t="inlineStr">
        <is>
          <t>Original</t>
        </is>
      </c>
      <c r="E1371" s="2" t="inlineStr">
        <is>
          <t>JPP</t>
        </is>
      </c>
      <c r="F1371" s="2" t="inlineStr">
        <is>
          <t>Filipe Sousa</t>
        </is>
      </c>
      <c r="G1371" s="2" t="inlineStr">
        <is>
          <t>Art. 63.º-D (aditamento)</t>
        </is>
      </c>
      <c r="H1371" s="2" t="n"/>
      <c r="I1371" s="2" t="n"/>
      <c r="J1371" s="2" t="n"/>
      <c r="K1371" s="2" t="n"/>
      <c r="L1371" s="2" t="inlineStr">
        <is>
          <t>Artigo 63.º- D (Alteração à Lista I anexa ao Código do IVA — serviços de advogados à taxa de IVA reduzida)</t>
        </is>
      </c>
      <c r="M1371" s="4" t="n"/>
      <c r="N1371" s="4" t="n"/>
      <c r="O1371" s="2" t="n"/>
      <c r="P1371" s="2" t="n"/>
      <c r="Q1371" s="2" t="n"/>
      <c r="R1371" s="2" t="n"/>
      <c r="S1371" s="2" t="inlineStr">
        <is>
          <t>Rejeitado(a) em Comissão</t>
        </is>
      </c>
      <c r="T1371" s="2" t="inlineStr">
        <is>
          <t>Rejeitada</t>
        </is>
      </c>
      <c r="U1371" s="2" t="inlineStr">
        <is>
          <t>Favor: L, PAN; Contra: PSD, PCP, CDS-PP, BE; Abstenção: CH, PS, IL</t>
        </is>
      </c>
      <c r="V1371" s="3" t="n">
        <v>45982</v>
      </c>
      <c r="W1371" s="2" t="inlineStr">
        <is>
          <t>AR: https://www.parlamento.pt/OrcamentoEstado/Paginas/DetalhePropostaAlteracao.aspx?BID=24542 PDF: https://app.parlamento.pt/webutils/docs/doc.pdf?path=6148523063484d364c793942556b356c6443397a6158526c63793959566b6c4a544556484c3039464c7a49774d6a59794d4449314d5441774f533951515338334d474535597a5179595330304d7a41774c545177596d5174596a49344e6930354f575177596d5a69593245314e3259756347526d&amp;Fich=70a9c42a-4300-40bd-b286-99d0bfbca57f.pdf&amp;Inline=true</t>
        </is>
      </c>
      <c r="X1371" s="2" t="inlineStr">
        <is>
          <t>Orçamento, Finanças e Administração Pública</t>
        </is>
      </c>
      <c r="Y1371" s="2" t="inlineStr">
        <is>
          <t>Articulado</t>
        </is>
      </c>
      <c r="Z1371" s="2" t="inlineStr">
        <is>
          <t>Aditamento (Artigo PPL)</t>
        </is>
      </c>
      <c r="AA1371" s="2" t="inlineStr">
        <is>
          <t>Rejeitado(a) em Comissão</t>
        </is>
      </c>
      <c r="AB1371" s="2" t="inlineStr"/>
      <c r="AC1371" s="2" t="inlineStr"/>
      <c r="AD1371" s="2" t="inlineStr">
        <is>
          <t>1</t>
        </is>
      </c>
      <c r="AE1371" s="2" t="inlineStr">
        <is>
          <t>24542</t>
        </is>
      </c>
      <c r="AF1371" s="2" t="inlineStr">
        <is>
          <t>https://www.parlamento.pt/OrcamentoEstado/Paginas/DetalhePropostaAlteracao.aspx?BID=24542</t>
        </is>
      </c>
      <c r="AG1371" s="2" t="inlineStr">
        <is>
          <t>https://app.parlamento.pt/webutils/docs/doc.pdf?path=6148523063484d364c793942556b356c6443397a6158526c63793959566b6c4a544556484c3039464c7a49774d6a59794d4449314d5441774f533951515338334d474535597a5179595330304d7a41774c545177596d5174596a49344e6930354f575177596d5a69593245314e3259756347526d&amp;Fich=70a9c42a-4300-40bd-b286-99d0bfbca57f.pdf&amp;Inline=true</t>
        </is>
      </c>
      <c r="AH1371" s="3" t="n">
        <v>46321.77847222222</v>
      </c>
      <c r="AI1371" s="3" t="n">
        <v>46321.78055555555</v>
      </c>
      <c r="AJ1371" s="2" t="inlineStr"/>
    </row>
    <row r="1372">
      <c r="A1372" s="2" t="n">
        <v>1371</v>
      </c>
      <c r="B1372" s="2" t="inlineStr">
        <is>
          <t>1297C</t>
        </is>
      </c>
      <c r="C1372" s="3" t="n">
        <v>45968.50833333333</v>
      </c>
      <c r="D1372" s="2" t="inlineStr">
        <is>
          <t>Original</t>
        </is>
      </c>
      <c r="E1372" s="2" t="inlineStr">
        <is>
          <t>PCP</t>
        </is>
      </c>
      <c r="F1372" s="2" t="inlineStr">
        <is>
          <t>Alfredo Maia; Paula Santos; Paulo Raimundo</t>
        </is>
      </c>
      <c r="G1372" s="2" t="inlineStr">
        <is>
          <t>Art. 136.º-A (aditamento)</t>
        </is>
      </c>
      <c r="H1372" s="2" t="n"/>
      <c r="I1372" s="2" t="n"/>
      <c r="J1372" s="2" t="n"/>
      <c r="K1372" s="2" t="n"/>
      <c r="L1372" s="2" t="inlineStr">
        <is>
          <t>Artigo 136.º-A (Apoio à produção de cereais)</t>
        </is>
      </c>
      <c r="M1372" s="4" t="n"/>
      <c r="N1372" s="4" t="n"/>
      <c r="O1372" s="2" t="n"/>
      <c r="P1372" s="2" t="n"/>
      <c r="Q1372" s="2" t="n"/>
      <c r="R1372" s="2" t="n"/>
      <c r="S1372" s="2" t="inlineStr">
        <is>
          <t>Rejeitado(a) em Comissão</t>
        </is>
      </c>
      <c r="T1372" s="2" t="inlineStr">
        <is>
          <t>Rejeitada</t>
        </is>
      </c>
      <c r="U1372" s="2" t="inlineStr">
        <is>
          <t>Favor: CH, L, PCP, BE, PAN; Contra: PSD, IL, CDS-PP; Abstenção: PS</t>
        </is>
      </c>
      <c r="V1372" s="3" t="n">
        <v>45987</v>
      </c>
      <c r="W1372" s="2" t="inlineStr">
        <is>
          <t>AR: https://www.parlamento.pt/OrcamentoEstado/Paginas/DetalhePropostaAlteracao.aspx?BID=24543 PDF: https://app.parlamento.pt/webutils/docs/doc.pdf?path=6148523063484d364c793942556b356c6443397a6158526c63793959566b6c4a544556484c3039464c7a49774d6a59794d4449314d5441774f5339515153396d4f544a6b596a677a4e7930314d3249794c5451314d4441744f4449314d533169597a6b325a6a4d324d6a4d314e4451756347526d&amp;Fich=f92db837-53b2-4500-8251-bc96f3623544.pdf&amp;Inline=true</t>
        </is>
      </c>
      <c r="X1372" s="2" t="inlineStr">
        <is>
          <t>Agricultura e Pescas</t>
        </is>
      </c>
      <c r="Y1372" s="2" t="inlineStr">
        <is>
          <t>Articulado</t>
        </is>
      </c>
      <c r="Z1372" s="2" t="inlineStr">
        <is>
          <t>Aditamento (Artigo PPL)</t>
        </is>
      </c>
      <c r="AA1372" s="2" t="inlineStr">
        <is>
          <t>Rejeitado(a) em Comissão</t>
        </is>
      </c>
      <c r="AB1372" s="2" t="inlineStr"/>
      <c r="AC1372" s="2" t="inlineStr"/>
      <c r="AD1372" s="2" t="inlineStr">
        <is>
          <t>1</t>
        </is>
      </c>
      <c r="AE1372" s="2" t="inlineStr">
        <is>
          <t>24543</t>
        </is>
      </c>
      <c r="AF1372" s="2" t="inlineStr">
        <is>
          <t>https://www.parlamento.pt/OrcamentoEstado/Paginas/DetalhePropostaAlteracao.aspx?BID=24543</t>
        </is>
      </c>
      <c r="AG1372" s="2" t="inlineStr">
        <is>
          <t>https://app.parlamento.pt/webutils/docs/doc.pdf?path=6148523063484d364c793942556b356c6443397a6158526c63793959566b6c4a544556484c3039464c7a49774d6a59794d4449314d5441774f5339515153396d4f544a6b596a677a4e7930314d3249794c5451314d4441744f4449314d533169597a6b325a6a4d324d6a4d314e4451756347526d&amp;Fich=f92db837-53b2-4500-8251-bc96f3623544.pdf&amp;Inline=true</t>
        </is>
      </c>
      <c r="AH1372" s="3" t="n">
        <v>46321.77847222222</v>
      </c>
      <c r="AI1372" s="3" t="n">
        <v>46321.78055555555</v>
      </c>
      <c r="AJ1372" s="2" t="inlineStr"/>
    </row>
    <row r="1373">
      <c r="A1373" s="2" t="n">
        <v>1372</v>
      </c>
      <c r="B1373" s="2" t="inlineStr">
        <is>
          <t>1298C</t>
        </is>
      </c>
      <c r="C1373" s="3" t="n">
        <v>45968.50833333333</v>
      </c>
      <c r="D1373" s="2" t="inlineStr">
        <is>
          <t>Original</t>
        </is>
      </c>
      <c r="E1373" s="2" t="inlineStr">
        <is>
          <t>JPP</t>
        </is>
      </c>
      <c r="F1373" s="2" t="inlineStr">
        <is>
          <t>Filipe Sousa</t>
        </is>
      </c>
      <c r="G1373" s="2" t="inlineStr">
        <is>
          <t>Art. 63.º-E (aditamento)</t>
        </is>
      </c>
      <c r="H1373" s="2" t="n"/>
      <c r="I1373" s="2" t="n"/>
      <c r="J1373" s="2" t="n"/>
      <c r="K1373" s="2" t="n"/>
      <c r="L1373" s="2" t="inlineStr">
        <is>
          <t>Artigo 63.º-E (Fim da obrigatoriedade da transparência fiscal e opção por IRC para as sociedades de advogados)</t>
        </is>
      </c>
      <c r="M1373" s="4" t="n"/>
      <c r="N1373" s="4" t="n"/>
      <c r="O1373" s="2" t="n"/>
      <c r="P1373" s="2" t="n"/>
      <c r="Q1373" s="2" t="n"/>
      <c r="R1373" s="2" t="n"/>
      <c r="S1373" s="2" t="inlineStr">
        <is>
          <t>Rejeitado(a) em Comissão</t>
        </is>
      </c>
      <c r="T1373" s="2" t="inlineStr">
        <is>
          <t>Rejeitada</t>
        </is>
      </c>
      <c r="U1373" s="2" t="inlineStr">
        <is>
          <t>Contra: PSD, PS, PCP, CDS-PP, BE, PAN; Abstenção: CH, IL, L</t>
        </is>
      </c>
      <c r="V1373" s="3" t="n">
        <v>45982</v>
      </c>
      <c r="W1373" s="2" t="inlineStr">
        <is>
          <t>AR: https://www.parlamento.pt/OrcamentoEstado/Paginas/DetalhePropostaAlteracao.aspx?BID=24544 PDF: https://app.parlamento.pt/webutils/docs/doc.pdf?path=6148523063484d364c793942556b356c6443397a6158526c63793959566b6c4a544556484c3039464c7a49774d6a59794d4449314d5441774f533951515338345a6d4a6a5957466d4d43316b4e6d466a4c5452684e6a67744f575a6b5a53316b5a544930596a4d79597a49304f474d756347526d&amp;Fich=8fbcaaf0-d6ac-4a68-9fde-de24b32c248c.pdf&amp;Inline=true</t>
        </is>
      </c>
      <c r="X1373" s="2" t="inlineStr">
        <is>
          <t>Orçamento, Finanças e Administração Pública</t>
        </is>
      </c>
      <c r="Y1373" s="2" t="inlineStr">
        <is>
          <t>Articulado</t>
        </is>
      </c>
      <c r="Z1373" s="2" t="inlineStr">
        <is>
          <t>Aditamento (Artigo PPL)</t>
        </is>
      </c>
      <c r="AA1373" s="2" t="inlineStr">
        <is>
          <t>Rejeitado(a) em Comissão</t>
        </is>
      </c>
      <c r="AB1373" s="2" t="inlineStr"/>
      <c r="AC1373" s="2" t="inlineStr"/>
      <c r="AD1373" s="2" t="inlineStr">
        <is>
          <t>1</t>
        </is>
      </c>
      <c r="AE1373" s="2" t="inlineStr">
        <is>
          <t>24544</t>
        </is>
      </c>
      <c r="AF1373" s="2" t="inlineStr">
        <is>
          <t>https://www.parlamento.pt/OrcamentoEstado/Paginas/DetalhePropostaAlteracao.aspx?BID=24544</t>
        </is>
      </c>
      <c r="AG1373" s="2" t="inlineStr">
        <is>
          <t>https://app.parlamento.pt/webutils/docs/doc.pdf?path=6148523063484d364c793942556b356c6443397a6158526c63793959566b6c4a544556484c3039464c7a49774d6a59794d4449314d5441774f533951515338345a6d4a6a5957466d4d43316b4e6d466a4c5452684e6a67744f575a6b5a53316b5a544930596a4d79597a49304f474d756347526d&amp;Fich=8fbcaaf0-d6ac-4a68-9fde-de24b32c248c.pdf&amp;Inline=true</t>
        </is>
      </c>
      <c r="AH1373" s="3" t="n">
        <v>46321.77847222222</v>
      </c>
      <c r="AI1373" s="3" t="n">
        <v>46321.78055555555</v>
      </c>
      <c r="AJ1373" s="2" t="inlineStr"/>
    </row>
    <row r="1374">
      <c r="A1374" s="2" t="n">
        <v>1373</v>
      </c>
      <c r="B1374" s="2" t="inlineStr">
        <is>
          <t>1299C</t>
        </is>
      </c>
      <c r="C1374" s="3" t="n">
        <v>45968.50972222222</v>
      </c>
      <c r="D1374" s="2" t="inlineStr">
        <is>
          <t>Original</t>
        </is>
      </c>
      <c r="E1374" s="2" t="inlineStr">
        <is>
          <t>JPP</t>
        </is>
      </c>
      <c r="F1374" s="2" t="inlineStr">
        <is>
          <t>Filipe Sousa</t>
        </is>
      </c>
      <c r="G1374" s="2" t="inlineStr">
        <is>
          <t>Art. 63.º-F (aditamento)</t>
        </is>
      </c>
      <c r="H1374" s="2" t="n"/>
      <c r="I1374" s="2" t="n"/>
      <c r="J1374" s="2" t="n"/>
      <c r="K1374" s="2" t="n"/>
      <c r="L1374" s="2" t="inlineStr">
        <is>
          <t>Artigo 63.º-F (Taxa reduzida de IVA para todos os atos próprios dos advogados)</t>
        </is>
      </c>
      <c r="M1374" s="4" t="n"/>
      <c r="N1374" s="4" t="n"/>
      <c r="O1374" s="2" t="n"/>
      <c r="P1374" s="2" t="n"/>
      <c r="Q1374" s="2" t="n"/>
      <c r="R1374" s="2" t="n"/>
      <c r="S1374" s="2" t="inlineStr">
        <is>
          <t>Rejeitado(a) em Comissão</t>
        </is>
      </c>
      <c r="T1374" s="2" t="inlineStr">
        <is>
          <t>Rejeitada</t>
        </is>
      </c>
      <c r="U1374" s="2" t="inlineStr">
        <is>
          <t>Favor: L, PAN; Contra: PSD, PCP, CDS-PP; Abstenção: CH, PS, IL, BE</t>
        </is>
      </c>
      <c r="V1374" s="3" t="n">
        <v>45982</v>
      </c>
      <c r="W1374" s="2" t="inlineStr">
        <is>
          <t>AR: https://www.parlamento.pt/OrcamentoEstado/Paginas/DetalhePropostaAlteracao.aspx?BID=24545 PDF: https://app.parlamento.pt/webutils/docs/doc.pdf?path=6148523063484d364c793942556b356c6443397a6158526c63793959566b6c4a544556484c3039464c7a49774d6a59794d4449314d5441774f53395151533877596a45794d7a45315a6931684d47466a4c5451324d324974596a6c6d4d4330304d5751794f574e6a5a544d774e5755756347526d&amp;Fich=0b12315f-a0ac-463b-b9f0-41d29cce305e.pdf&amp;Inline=true</t>
        </is>
      </c>
      <c r="X1374" s="2" t="inlineStr">
        <is>
          <t>Orçamento, Finanças e Administração Pública</t>
        </is>
      </c>
      <c r="Y1374" s="2" t="inlineStr">
        <is>
          <t>Articulado</t>
        </is>
      </c>
      <c r="Z1374" s="2" t="inlineStr">
        <is>
          <t>Aditamento (Artigo PPL)</t>
        </is>
      </c>
      <c r="AA1374" s="2" t="inlineStr">
        <is>
          <t>Rejeitado(a) em Comissão</t>
        </is>
      </c>
      <c r="AB1374" s="2" t="inlineStr"/>
      <c r="AC1374" s="2" t="inlineStr"/>
      <c r="AD1374" s="2" t="inlineStr">
        <is>
          <t>1</t>
        </is>
      </c>
      <c r="AE1374" s="2" t="inlineStr">
        <is>
          <t>24545</t>
        </is>
      </c>
      <c r="AF1374" s="2" t="inlineStr">
        <is>
          <t>https://www.parlamento.pt/OrcamentoEstado/Paginas/DetalhePropostaAlteracao.aspx?BID=24545</t>
        </is>
      </c>
      <c r="AG1374" s="2" t="inlineStr">
        <is>
          <t>https://app.parlamento.pt/webutils/docs/doc.pdf?path=6148523063484d364c793942556b356c6443397a6158526c63793959566b6c4a544556484c3039464c7a49774d6a59794d4449314d5441774f53395151533877596a45794d7a45315a6931684d47466a4c5451324d324974596a6c6d4d4330304d5751794f574e6a5a544d774e5755756347526d&amp;Fich=0b12315f-a0ac-463b-b9f0-41d29cce305e.pdf&amp;Inline=true</t>
        </is>
      </c>
      <c r="AH1374" s="3" t="n">
        <v>46321.77847222222</v>
      </c>
      <c r="AI1374" s="3" t="n">
        <v>46321.78055555555</v>
      </c>
      <c r="AJ1374" s="2" t="inlineStr"/>
    </row>
    <row r="1375">
      <c r="A1375" s="2" t="n">
        <v>1374</v>
      </c>
      <c r="B1375" s="2" t="inlineStr">
        <is>
          <t>1300C</t>
        </is>
      </c>
      <c r="C1375" s="3" t="n">
        <v>45968.5125</v>
      </c>
      <c r="D1375" s="2" t="inlineStr">
        <is>
          <t>Original</t>
        </is>
      </c>
      <c r="E1375" s="2" t="inlineStr">
        <is>
          <t>JPP</t>
        </is>
      </c>
      <c r="F1375" s="2" t="inlineStr">
        <is>
          <t>Filipe Sousa</t>
        </is>
      </c>
      <c r="G1375" s="2" t="inlineStr">
        <is>
          <t>Art. 131.º-A (aditamento)</t>
        </is>
      </c>
      <c r="H1375" s="2" t="n"/>
      <c r="I1375" s="2" t="n"/>
      <c r="J1375" s="2" t="n"/>
      <c r="K1375" s="2" t="n"/>
      <c r="L1375" s="2" t="inlineStr">
        <is>
          <t>Artigo 131.º-A (Criação de uma Estrutura de Comando dos Corpos de Bombeiros da Administração Local)</t>
        </is>
      </c>
      <c r="M1375" s="4" t="n"/>
      <c r="N1375" s="4" t="n"/>
      <c r="O1375" s="2" t="n"/>
      <c r="P1375" s="2" t="n"/>
      <c r="Q1375" s="2" t="n"/>
      <c r="R1375" s="2" t="n"/>
      <c r="S1375" s="2" t="inlineStr">
        <is>
          <t>Rejeitado(a) em Comissão</t>
        </is>
      </c>
      <c r="T1375" s="2" t="inlineStr">
        <is>
          <t>Rejeitada</t>
        </is>
      </c>
      <c r="U1375" s="2" t="inlineStr">
        <is>
          <t>Favor: BE, PAN; Contra: PSD, PS, IL, CDS-PP; Abstenção: CH, L, PCP</t>
        </is>
      </c>
      <c r="V1375" s="3" t="n">
        <v>45985</v>
      </c>
      <c r="W1375" s="2" t="inlineStr">
        <is>
          <t>AR: https://www.parlamento.pt/OrcamentoEstado/Paginas/DetalhePropostaAlteracao.aspx?BID=24546 PDF: https://app.parlamento.pt/webutils/docs/doc.pdf?path=6148523063484d364c793942556b356c6443397a6158526c63793959566b6c4a544556484c3039464c7a49774d6a59794d4449314d5441774f533951515338774e44673159544a6d596930354f4751794c5451354f545574595455344d79303059574d344d4449784d5746684d5749756347526d&amp;Fich=0485a2fb-98d2-4995-a583-4ac80211aa1b.pdf&amp;Inline=true</t>
        </is>
      </c>
      <c r="X1375" s="2" t="inlineStr">
        <is>
          <t>Assuntos Constitucionais, Direitos, Liberdades e Garantias; Reforma do Estado e Poder Local</t>
        </is>
      </c>
      <c r="Y1375" s="2" t="inlineStr">
        <is>
          <t>Articulado</t>
        </is>
      </c>
      <c r="Z1375" s="2" t="inlineStr">
        <is>
          <t>Aditamento (Artigo PPL)</t>
        </is>
      </c>
      <c r="AA1375" s="2" t="inlineStr">
        <is>
          <t>Rejeitado(a) em Comissão</t>
        </is>
      </c>
      <c r="AB1375" s="2" t="inlineStr"/>
      <c r="AC1375" s="2" t="inlineStr"/>
      <c r="AD1375" s="2" t="inlineStr">
        <is>
          <t>1</t>
        </is>
      </c>
      <c r="AE1375" s="2" t="inlineStr">
        <is>
          <t>24546</t>
        </is>
      </c>
      <c r="AF1375" s="2" t="inlineStr">
        <is>
          <t>https://www.parlamento.pt/OrcamentoEstado/Paginas/DetalhePropostaAlteracao.aspx?BID=24546</t>
        </is>
      </c>
      <c r="AG1375" s="2" t="inlineStr">
        <is>
          <t>https://app.parlamento.pt/webutils/docs/doc.pdf?path=6148523063484d364c793942556b356c6443397a6158526c63793959566b6c4a544556484c3039464c7a49774d6a59794d4449314d5441774f533951515338774e44673159544a6d596930354f4751794c5451354f545574595455344d79303059574d344d4449784d5746684d5749756347526d&amp;Fich=0485a2fb-98d2-4995-a583-4ac80211aa1b.pdf&amp;Inline=true</t>
        </is>
      </c>
      <c r="AH1375" s="3" t="n">
        <v>46321.77847222222</v>
      </c>
      <c r="AI1375" s="3" t="n">
        <v>46321.78055555555</v>
      </c>
      <c r="AJ1375" s="2" t="inlineStr"/>
    </row>
    <row r="1376">
      <c r="A1376" s="2" t="n">
        <v>1375</v>
      </c>
      <c r="B1376" s="2" t="inlineStr">
        <is>
          <t>1301C</t>
        </is>
      </c>
      <c r="C1376" s="3" t="n">
        <v>45968.51597222222</v>
      </c>
      <c r="D1376" s="2" t="inlineStr">
        <is>
          <t>Original</t>
        </is>
      </c>
      <c r="E1376" s="2" t="inlineStr">
        <is>
          <t>PAN</t>
        </is>
      </c>
      <c r="F1376" s="2" t="inlineStr">
        <is>
          <t>Inês de Sousa Real</t>
        </is>
      </c>
      <c r="G1376" s="2" t="inlineStr">
        <is>
          <t>Art. 10.º-A (aditamento)</t>
        </is>
      </c>
      <c r="H1376" s="2" t="n"/>
      <c r="I1376" s="2" t="n"/>
      <c r="J1376" s="2" t="n"/>
      <c r="K1376" s="2" t="n"/>
      <c r="L1376" s="2" t="inlineStr">
        <is>
          <t>Artigo 10.º-A (Acolhimento de animais de companhia nos alojamentos e respostas à habitação de vítimas de violência doméstica e de pessoas em situação de sem-abrigo)</t>
        </is>
      </c>
      <c r="M1376" s="4" t="n"/>
      <c r="N1376" s="4" t="n"/>
      <c r="O1376" s="2" t="n"/>
      <c r="P1376" s="2" t="n"/>
      <c r="Q1376" s="2" t="n"/>
      <c r="R1376" s="2" t="n"/>
      <c r="S1376" s="2" t="inlineStr">
        <is>
          <t>Rejeitado(a) em Comissão</t>
        </is>
      </c>
      <c r="T1376" s="2" t="inlineStr">
        <is>
          <t>Rejeitada</t>
        </is>
      </c>
      <c r="U1376" s="2" t="inlineStr">
        <is>
          <t>Favor: CH, L, PCP, BE, PAN; Contra: PSD, CDS-PP; Abstenção: PS, IL</t>
        </is>
      </c>
      <c r="V1376" s="3" t="n">
        <v>45981</v>
      </c>
      <c r="W1376" s="2" t="inlineStr">
        <is>
          <t>AR: https://www.parlamento.pt/OrcamentoEstado/Paginas/DetalhePropostaAlteracao.aspx?BID=24547 PDF: https://app.parlamento.pt/webutils/docs/doc.pdf?path=6148523063484d364c793942556b356c6443397a6158526c63793959566b6c4a544556484c3039464c7a49774d6a59794d4449314d5441774f533951515338304d544a684e6a4e6a4f53316b4e5755774c54526c4d6a49744f5755325a53307a593255304d6d46684e7a51315a6d51756347526d&amp;Fich=412a63c9-d5e0-4e22-9e6e-3ce42aa745fd.pdf&amp;Inline=true</t>
        </is>
      </c>
      <c r="X1376" s="2" t="inlineStr">
        <is>
          <t>Assuntos Constitucionais, Direitos, Liberdades e Garantias</t>
        </is>
      </c>
      <c r="Y1376" s="2" t="inlineStr">
        <is>
          <t>Articulado</t>
        </is>
      </c>
      <c r="Z1376" s="2" t="inlineStr">
        <is>
          <t>Aditamento (Artigo PPL)</t>
        </is>
      </c>
      <c r="AA1376" s="2" t="inlineStr">
        <is>
          <t>Rejeitado(a) em Comissão</t>
        </is>
      </c>
      <c r="AB1376" s="2" t="inlineStr"/>
      <c r="AC1376" s="2" t="inlineStr"/>
      <c r="AD1376" s="2" t="inlineStr">
        <is>
          <t>1</t>
        </is>
      </c>
      <c r="AE1376" s="2" t="inlineStr">
        <is>
          <t>24547</t>
        </is>
      </c>
      <c r="AF1376" s="2" t="inlineStr">
        <is>
          <t>https://www.parlamento.pt/OrcamentoEstado/Paginas/DetalhePropostaAlteracao.aspx?BID=24547</t>
        </is>
      </c>
      <c r="AG1376" s="2" t="inlineStr">
        <is>
          <t>https://app.parlamento.pt/webutils/docs/doc.pdf?path=6148523063484d364c793942556b356c6443397a6158526c63793959566b6c4a544556484c3039464c7a49774d6a59794d4449314d5441774f533951515338304d544a684e6a4e6a4f53316b4e5755774c54526c4d6a49744f5755325a53307a593255304d6d46684e7a51315a6d51756347526d&amp;Fich=412a63c9-d5e0-4e22-9e6e-3ce42aa745fd.pdf&amp;Inline=true</t>
        </is>
      </c>
      <c r="AH1376" s="3" t="n">
        <v>46321.77847222222</v>
      </c>
      <c r="AI1376" s="3" t="n">
        <v>46321.78055555555</v>
      </c>
      <c r="AJ1376" s="2" t="inlineStr"/>
    </row>
    <row r="1377">
      <c r="A1377" s="2" t="n">
        <v>1376</v>
      </c>
      <c r="B1377" s="2" t="inlineStr">
        <is>
          <t>1302C</t>
        </is>
      </c>
      <c r="C1377" s="3" t="n">
        <v>45968.51597222222</v>
      </c>
      <c r="D1377" s="2" t="inlineStr">
        <is>
          <t>Original</t>
        </is>
      </c>
      <c r="E1377" s="2" t="inlineStr">
        <is>
          <t>PCP</t>
        </is>
      </c>
      <c r="F1377" s="2" t="inlineStr">
        <is>
          <t>Alfredo Maia; Paula Santos; Paulo Raimundo</t>
        </is>
      </c>
      <c r="G1377" s="2" t="inlineStr">
        <is>
          <t>Art. 118.º-A (aditamento)</t>
        </is>
      </c>
      <c r="H1377" s="2" t="n"/>
      <c r="I1377" s="2" t="n"/>
      <c r="J1377" s="2" t="n"/>
      <c r="K1377" s="2" t="n"/>
      <c r="L1377" s="2" t="inlineStr">
        <is>
          <t>Artigo 118.º-A (Programa de celebração dos 50 anos da Constituição da República portuguesa na Escola Pública)</t>
        </is>
      </c>
      <c r="M1377" s="4" t="n"/>
      <c r="N1377" s="4" t="n"/>
      <c r="O1377" s="2" t="n"/>
      <c r="P1377" s="2" t="n"/>
      <c r="Q1377" s="2" t="n"/>
      <c r="R1377" s="2" t="n"/>
      <c r="S1377" s="2" t="inlineStr">
        <is>
          <t>Rejeitado(a) em Comissão</t>
        </is>
      </c>
      <c r="T1377" s="2" t="inlineStr">
        <is>
          <t>Rejeitada</t>
        </is>
      </c>
      <c r="U1377" s="2" t="inlineStr">
        <is>
          <t>Favor: L, PCP, BE, PAN; Contra: PSD, CH, CDS-PP; Abstenção: PS, IL</t>
        </is>
      </c>
      <c r="V1377" s="3" t="n">
        <v>45985</v>
      </c>
      <c r="W1377" s="2" t="inlineStr">
        <is>
          <t>AR: https://www.parlamento.pt/OrcamentoEstado/Paginas/DetalhePropostaAlteracao.aspx?BID=24548 PDF: https://app.parlamento.pt/webutils/docs/doc.pdf?path=6148523063484d364c793942556b356c6443397a6158526c63793959566b6c4a544556484c3039464c7a49774d6a59794d4449314d5441774f5339515153387a4e6a55334f544a6d4d79316a4d44686a4c5451354e4751744f4451314e53316c5a54466b596a63324d544d344e6a6b756347526d&amp;Fich=365792f3-c08c-494d-8455-ee1db7613869.pdf&amp;Inline=true</t>
        </is>
      </c>
      <c r="X1377" s="2" t="inlineStr">
        <is>
          <t>Cultura, Comunicação, Juventude e Desporto</t>
        </is>
      </c>
      <c r="Y1377" s="2" t="inlineStr">
        <is>
          <t>Articulado</t>
        </is>
      </c>
      <c r="Z1377" s="2" t="inlineStr">
        <is>
          <t>Aditamento (Artigo PPL)</t>
        </is>
      </c>
      <c r="AA1377" s="2" t="inlineStr">
        <is>
          <t>Rejeitado(a) em Comissão</t>
        </is>
      </c>
      <c r="AB1377" s="2" t="inlineStr"/>
      <c r="AC1377" s="2" t="inlineStr"/>
      <c r="AD1377" s="2" t="inlineStr">
        <is>
          <t>1</t>
        </is>
      </c>
      <c r="AE1377" s="2" t="inlineStr">
        <is>
          <t>24548</t>
        </is>
      </c>
      <c r="AF1377" s="2" t="inlineStr">
        <is>
          <t>https://www.parlamento.pt/OrcamentoEstado/Paginas/DetalhePropostaAlteracao.aspx?BID=24548</t>
        </is>
      </c>
      <c r="AG1377" s="2" t="inlineStr">
        <is>
          <t>https://app.parlamento.pt/webutils/docs/doc.pdf?path=6148523063484d364c793942556b356c6443397a6158526c63793959566b6c4a544556484c3039464c7a49774d6a59794d4449314d5441774f5339515153387a4e6a55334f544a6d4d79316a4d44686a4c5451354e4751744f4451314e53316c5a54466b596a63324d544d344e6a6b756347526d&amp;Fich=365792f3-c08c-494d-8455-ee1db7613869.pdf&amp;Inline=true</t>
        </is>
      </c>
      <c r="AH1377" s="3" t="n">
        <v>46321.77847222222</v>
      </c>
      <c r="AI1377" s="3" t="n">
        <v>46321.78055555555</v>
      </c>
      <c r="AJ1377" s="2" t="inlineStr"/>
    </row>
    <row r="1378">
      <c r="A1378" s="2" t="n">
        <v>1377</v>
      </c>
      <c r="B1378" s="2" t="inlineStr">
        <is>
          <t>1303C</t>
        </is>
      </c>
      <c r="C1378" s="3" t="n">
        <v>45968.51666666667</v>
      </c>
      <c r="D1378" s="2" t="inlineStr">
        <is>
          <t>Original</t>
        </is>
      </c>
      <c r="E1378" s="2" t="inlineStr">
        <is>
          <t>PCP</t>
        </is>
      </c>
      <c r="F1378" s="2" t="inlineStr">
        <is>
          <t>Alfredo Maia; Paula Santos; Paulo Raimundo</t>
        </is>
      </c>
      <c r="G1378" s="2" t="inlineStr">
        <is>
          <t>Art. 7.º (aditamento)</t>
        </is>
      </c>
      <c r="H1378" s="2" t="n"/>
      <c r="I1378" s="2" t="n"/>
      <c r="J1378" s="2" t="n"/>
      <c r="K1378" s="2" t="n"/>
      <c r="L1378" s="2" t="inlineStr">
        <is>
          <t>Nova Verba 14, Mapa de alterações e transferências orçamentais, Artigo 7.º</t>
        </is>
      </c>
      <c r="M1378" s="4" t="n"/>
      <c r="N1378" s="4" t="n"/>
      <c r="O1378" s="2" t="n"/>
      <c r="P1378" s="2" t="n"/>
      <c r="Q1378" s="2" t="n"/>
      <c r="R1378" s="2" t="n"/>
      <c r="S1378" s="2" t="inlineStr">
        <is>
          <t>Rejeitado(a) em Comissão</t>
        </is>
      </c>
      <c r="T1378" s="2" t="inlineStr">
        <is>
          <t>Rejeitada</t>
        </is>
      </c>
      <c r="U1378" s="2" t="inlineStr">
        <is>
          <t>Favor: CH, L, PCP, BE, PAN; Contra: PSD, IL, CDS-PP; Abstenção: PS</t>
        </is>
      </c>
      <c r="V1378" s="3" t="n">
        <v>45987</v>
      </c>
      <c r="W1378" s="2" t="inlineStr">
        <is>
          <t>AR: https://www.parlamento.pt/OrcamentoEstado/Paginas/DetalhePropostaAlteracao.aspx?BID=24549 PDF: https://app.parlamento.pt/webutils/docs/doc.pdf?path=6148523063484d364c793942556b356c6443397a6158526c63793959566b6c4a544556484c3039464c7a49774d6a59794d4449314d5441774f533951515339694e546b304e44566d4f5330324f5749304c5451304d7a4574596a55794e7930304d446b304e5745334d7a46685a4441756347526d&amp;Fich=b59445f9-69b4-4431-b527-40945a731ad0.pdf&amp;Inline=true</t>
        </is>
      </c>
      <c r="X1378" s="2" t="inlineStr">
        <is>
          <t>Cultura, Comunicação, Juventude e Desporto</t>
        </is>
      </c>
      <c r="Y1378" s="2" t="inlineStr">
        <is>
          <t>Articulado</t>
        </is>
      </c>
      <c r="Z1378" s="2" t="inlineStr">
        <is>
          <t>Aditamento (Números e Alíneas)</t>
        </is>
      </c>
      <c r="AA1378" s="2" t="inlineStr">
        <is>
          <t>Rejeitado(a) em Comissão</t>
        </is>
      </c>
      <c r="AB1378" s="2" t="inlineStr"/>
      <c r="AC1378" s="2" t="inlineStr"/>
      <c r="AD1378" s="2" t="inlineStr">
        <is>
          <t>1</t>
        </is>
      </c>
      <c r="AE1378" s="2" t="inlineStr">
        <is>
          <t>24549</t>
        </is>
      </c>
      <c r="AF1378" s="2" t="inlineStr">
        <is>
          <t>https://www.parlamento.pt/OrcamentoEstado/Paginas/DetalhePropostaAlteracao.aspx?BID=24549</t>
        </is>
      </c>
      <c r="AG1378" s="2" t="inlineStr">
        <is>
          <t>https://app.parlamento.pt/webutils/docs/doc.pdf?path=6148523063484d364c793942556b356c6443397a6158526c63793959566b6c4a544556484c3039464c7a49774d6a59794d4449314d5441774f533951515339694e546b304e44566d4f5330324f5749304c5451304d7a4574596a55794e7930304d446b304e5745334d7a46685a4441756347526d&amp;Fich=b59445f9-69b4-4431-b527-40945a731ad0.pdf&amp;Inline=true</t>
        </is>
      </c>
      <c r="AH1378" s="3" t="n">
        <v>46321.77847222222</v>
      </c>
      <c r="AI1378" s="3" t="n">
        <v>46321.78055555555</v>
      </c>
      <c r="AJ1378" s="2" t="inlineStr"/>
    </row>
    <row r="1379">
      <c r="A1379" s="2" t="n">
        <v>1378</v>
      </c>
      <c r="B1379" s="2" t="inlineStr">
        <is>
          <t>1304C</t>
        </is>
      </c>
      <c r="C1379" s="3" t="n">
        <v>45968.51805555556</v>
      </c>
      <c r="D1379" s="2" t="inlineStr">
        <is>
          <t>Original</t>
        </is>
      </c>
      <c r="E1379" s="2" t="inlineStr">
        <is>
          <t>PCP</t>
        </is>
      </c>
      <c r="F1379" s="2" t="inlineStr">
        <is>
          <t>Alfredo Maia; Paula Santos; Paulo Raimundo</t>
        </is>
      </c>
      <c r="G1379" s="2" t="inlineStr">
        <is>
          <t>Art. 7.º (aditamento)</t>
        </is>
      </c>
      <c r="H1379" s="2" t="n"/>
      <c r="I1379" s="2" t="n"/>
      <c r="J1379" s="2" t="n"/>
      <c r="K1379" s="2" t="n"/>
      <c r="L1379" s="2" t="inlineStr">
        <is>
          <t>Nova Verba 14, Mapa de alterações e transferências orçamentais, Artigo 7.º</t>
        </is>
      </c>
      <c r="M1379" s="4" t="n"/>
      <c r="N1379" s="4" t="n"/>
      <c r="O1379" s="2" t="n"/>
      <c r="P1379" s="2" t="n"/>
      <c r="Q1379" s="2" t="n"/>
      <c r="R1379" s="2" t="n"/>
      <c r="S1379" s="2" t="inlineStr">
        <is>
          <t>Rejeitado(a) em Comissão</t>
        </is>
      </c>
      <c r="T1379" s="2" t="inlineStr">
        <is>
          <t>Rejeitada</t>
        </is>
      </c>
      <c r="U1379" s="2" t="inlineStr">
        <is>
          <t>Favor: CH, L, PCP, BE, PAN; Contra: PSD, IL, CDS-PP; Abstenção: PS</t>
        </is>
      </c>
      <c r="V1379" s="3" t="n">
        <v>45987</v>
      </c>
      <c r="W1379" s="2" t="inlineStr">
        <is>
          <t>AR: https://www.parlamento.pt/OrcamentoEstado/Paginas/DetalhePropostaAlteracao.aspx?BID=24550 PDF: https://app.parlamento.pt/webutils/docs/doc.pdf?path=6148523063484d364c793942556b356c6443397a6158526c63793959566b6c4a544556484c3039464c7a49774d6a59794d4449314d5441774f533951515338784f446b30596d51795a6930774d6d4d774c5452694e325174596d45794f4331694e6d4e694e4441314d54686a4d4449756347526d&amp;Fich=1894bd2f-02c0-4b7d-ba28-b6cb40518c02.pdf&amp;Inline=true</t>
        </is>
      </c>
      <c r="X1379" s="2" t="inlineStr">
        <is>
          <t>Cultura, Comunicação, Juventude e Desporto</t>
        </is>
      </c>
      <c r="Y1379" s="2" t="inlineStr">
        <is>
          <t>Articulado</t>
        </is>
      </c>
      <c r="Z1379" s="2" t="inlineStr">
        <is>
          <t>Aditamento (Números e Alíneas)</t>
        </is>
      </c>
      <c r="AA1379" s="2" t="inlineStr">
        <is>
          <t>Rejeitado(a) em Comissão</t>
        </is>
      </c>
      <c r="AB1379" s="2" t="inlineStr"/>
      <c r="AC1379" s="2" t="inlineStr"/>
      <c r="AD1379" s="2" t="inlineStr">
        <is>
          <t>1</t>
        </is>
      </c>
      <c r="AE1379" s="2" t="inlineStr">
        <is>
          <t>24550</t>
        </is>
      </c>
      <c r="AF1379" s="2" t="inlineStr">
        <is>
          <t>https://www.parlamento.pt/OrcamentoEstado/Paginas/DetalhePropostaAlteracao.aspx?BID=24550</t>
        </is>
      </c>
      <c r="AG1379" s="2" t="inlineStr">
        <is>
          <t>https://app.parlamento.pt/webutils/docs/doc.pdf?path=6148523063484d364c793942556b356c6443397a6158526c63793959566b6c4a544556484c3039464c7a49774d6a59794d4449314d5441774f533951515338784f446b30596d51795a6930774d6d4d774c5452694e325174596d45794f4331694e6d4e694e4441314d54686a4d4449756347526d&amp;Fich=1894bd2f-02c0-4b7d-ba28-b6cb40518c02.pdf&amp;Inline=true</t>
        </is>
      </c>
      <c r="AH1379" s="3" t="n">
        <v>46321.77847222222</v>
      </c>
      <c r="AI1379" s="3" t="n">
        <v>46321.78055555555</v>
      </c>
      <c r="AJ1379" s="2" t="inlineStr"/>
    </row>
    <row r="1380">
      <c r="A1380" s="2" t="n">
        <v>1379</v>
      </c>
      <c r="B1380" s="2" t="inlineStr">
        <is>
          <t>1305C</t>
        </is>
      </c>
      <c r="C1380" s="3" t="n">
        <v>45968.51805555556</v>
      </c>
      <c r="D1380" s="2" t="inlineStr">
        <is>
          <t>Original</t>
        </is>
      </c>
      <c r="E1380" s="2" t="inlineStr">
        <is>
          <t>PAN</t>
        </is>
      </c>
      <c r="F1380" s="2" t="inlineStr">
        <is>
          <t>Inês de Sousa Real</t>
        </is>
      </c>
      <c r="G1380" s="2" t="inlineStr">
        <is>
          <t>Art. 120.º-A (aditamento)</t>
        </is>
      </c>
      <c r="H1380" s="2" t="n"/>
      <c r="I1380" s="2" t="n"/>
      <c r="J1380" s="2" t="n"/>
      <c r="K1380" s="2" t="n"/>
      <c r="L1380" s="2" t="inlineStr">
        <is>
          <t>Artigo 120.º-A (Alargamento e simplificação do regime comparticipação dos medicamentos para a endometriose)</t>
        </is>
      </c>
      <c r="M1380" s="4" t="n"/>
      <c r="N1380" s="4" t="n"/>
      <c r="O1380" s="2" t="n"/>
      <c r="P1380" s="2" t="n"/>
      <c r="Q1380" s="2" t="n"/>
      <c r="R1380" s="2" t="n"/>
      <c r="S1380" s="2" t="inlineStr">
        <is>
          <t>Rejeitado(a) em Comissão</t>
        </is>
      </c>
      <c r="T1380" s="2" t="inlineStr">
        <is>
          <t>Rejeitada</t>
        </is>
      </c>
      <c r="U1380" s="2" t="inlineStr">
        <is>
          <t>Favor: CH, IL, L, PCP, BE, PAN; Contra: PSD, CDS-PP; Abstenção: PS</t>
        </is>
      </c>
      <c r="V1380" s="3" t="n">
        <v>45985</v>
      </c>
      <c r="W1380" s="2" t="inlineStr">
        <is>
          <t>AR: https://www.parlamento.pt/OrcamentoEstado/Paginas/DetalhePropostaAlteracao.aspx?BID=24551 PDF: https://app.parlamento.pt/webutils/docs/doc.pdf?path=6148523063484d364c793942556b356c6443397a6158526c63793959566b6c4a544556484c3039464c7a49774d6a59794d4449314d5441774f5339515153396b4f4749774d4755304e5330305a444d304c5451335a5455744f5445324e43307a4d3259784d574e6b4d5445774e4441756347526d&amp;Fich=d8b00e45-4d34-47e5-9164-33f11cd11040.pdf&amp;Inline=true</t>
        </is>
      </c>
      <c r="X1380" s="2" t="inlineStr">
        <is>
          <t>Saúde</t>
        </is>
      </c>
      <c r="Y1380" s="2" t="inlineStr">
        <is>
          <t>Articulado</t>
        </is>
      </c>
      <c r="Z1380" s="2" t="inlineStr">
        <is>
          <t>Aditamento (Artigo PPL)</t>
        </is>
      </c>
      <c r="AA1380" s="2" t="inlineStr">
        <is>
          <t>Rejeitado(a) em Comissão</t>
        </is>
      </c>
      <c r="AB1380" s="2" t="inlineStr"/>
      <c r="AC1380" s="2" t="inlineStr"/>
      <c r="AD1380" s="2" t="inlineStr">
        <is>
          <t>1</t>
        </is>
      </c>
      <c r="AE1380" s="2" t="inlineStr">
        <is>
          <t>24551</t>
        </is>
      </c>
      <c r="AF1380" s="2" t="inlineStr">
        <is>
          <t>https://www.parlamento.pt/OrcamentoEstado/Paginas/DetalhePropostaAlteracao.aspx?BID=24551</t>
        </is>
      </c>
      <c r="AG1380" s="2" t="inlineStr">
        <is>
          <t>https://app.parlamento.pt/webutils/docs/doc.pdf?path=6148523063484d364c793942556b356c6443397a6158526c63793959566b6c4a544556484c3039464c7a49774d6a59794d4449314d5441774f5339515153396b4f4749774d4755304e5330305a444d304c5451335a5455744f5445324e43307a4d3259784d574e6b4d5445774e4441756347526d&amp;Fich=d8b00e45-4d34-47e5-9164-33f11cd11040.pdf&amp;Inline=true</t>
        </is>
      </c>
      <c r="AH1380" s="3" t="n">
        <v>46321.77847222222</v>
      </c>
      <c r="AI1380" s="3" t="n">
        <v>46321.78055555555</v>
      </c>
      <c r="AJ1380" s="2" t="inlineStr"/>
    </row>
    <row r="1381">
      <c r="A1381" s="2" t="n">
        <v>1380</v>
      </c>
      <c r="B1381" s="2" t="inlineStr">
        <is>
          <t>1306C</t>
        </is>
      </c>
      <c r="C1381" s="3" t="n">
        <v>45968.51875</v>
      </c>
      <c r="D1381" s="2" t="inlineStr">
        <is>
          <t>Original</t>
        </is>
      </c>
      <c r="E1381" s="2" t="inlineStr">
        <is>
          <t>PCP</t>
        </is>
      </c>
      <c r="F1381" s="2" t="inlineStr">
        <is>
          <t>Alfredo Maia; Paula Santos; Paulo Raimundo</t>
        </is>
      </c>
      <c r="G1381" s="2" t="inlineStr">
        <is>
          <t>Art. 7.º (aditamento)</t>
        </is>
      </c>
      <c r="H1381" s="2" t="n"/>
      <c r="I1381" s="2" t="n"/>
      <c r="J1381" s="2" t="n"/>
      <c r="K1381" s="2" t="n"/>
      <c r="L1381" s="2" t="inlineStr">
        <is>
          <t>Nova Verba 14, Mapa de alterações e transferências orçamentais, Artigo 7.º</t>
        </is>
      </c>
      <c r="M1381" s="4" t="n"/>
      <c r="N1381" s="4" t="n"/>
      <c r="O1381" s="2" t="n"/>
      <c r="P1381" s="2" t="n"/>
      <c r="Q1381" s="2" t="n"/>
      <c r="R1381" s="2" t="n"/>
      <c r="S1381" s="2" t="inlineStr">
        <is>
          <t>Rejeitado(a) em Comissão</t>
        </is>
      </c>
      <c r="T1381" s="2" t="inlineStr">
        <is>
          <t>Rejeitada</t>
        </is>
      </c>
      <c r="U1381" s="2" t="inlineStr">
        <is>
          <t>Favor: L, PCP, BE, PAN; Contra: PSD, IL, CDS-PP; Abstenção: CH, PS</t>
        </is>
      </c>
      <c r="V1381" s="3" t="n">
        <v>45987</v>
      </c>
      <c r="W1381" s="2" t="inlineStr">
        <is>
          <t>AR: https://www.parlamento.pt/OrcamentoEstado/Paginas/DetalhePropostaAlteracao.aspx?BID=24552 PDF: https://app.parlamento.pt/webutils/docs/doc.pdf?path=6148523063484d364c793942556b356c6443397a6158526c63793959566b6c4a544556484c3039464c7a49774d6a59794d4449314d5441774f533951515338305a5459344e4755315a5330325a474d774c5451314f474574596a41314e79316a596d59775a6d4e694d6a67354e444d756347526d&amp;Fich=4e684e5e-6dc0-458a-b057-cbf0fcb28943.pdf&amp;Inline=true</t>
        </is>
      </c>
      <c r="X1381" s="2" t="inlineStr">
        <is>
          <t>Cultura, Comunicação, Juventude e Desporto</t>
        </is>
      </c>
      <c r="Y1381" s="2" t="inlineStr">
        <is>
          <t>Articulado</t>
        </is>
      </c>
      <c r="Z1381" s="2" t="inlineStr">
        <is>
          <t>Aditamento (Números e Alíneas)</t>
        </is>
      </c>
      <c r="AA1381" s="2" t="inlineStr">
        <is>
          <t>Rejeitado(a) em Comissão</t>
        </is>
      </c>
      <c r="AB1381" s="2" t="inlineStr"/>
      <c r="AC1381" s="2" t="inlineStr"/>
      <c r="AD1381" s="2" t="inlineStr">
        <is>
          <t>1</t>
        </is>
      </c>
      <c r="AE1381" s="2" t="inlineStr">
        <is>
          <t>24552</t>
        </is>
      </c>
      <c r="AF1381" s="2" t="inlineStr">
        <is>
          <t>https://www.parlamento.pt/OrcamentoEstado/Paginas/DetalhePropostaAlteracao.aspx?BID=24552</t>
        </is>
      </c>
      <c r="AG1381" s="2" t="inlineStr">
        <is>
          <t>https://app.parlamento.pt/webutils/docs/doc.pdf?path=6148523063484d364c793942556b356c6443397a6158526c63793959566b6c4a544556484c3039464c7a49774d6a59794d4449314d5441774f533951515338305a5459344e4755315a5330325a474d774c5451314f474574596a41314e79316a596d59775a6d4e694d6a67354e444d756347526d&amp;Fich=4e684e5e-6dc0-458a-b057-cbf0fcb28943.pdf&amp;Inline=true</t>
        </is>
      </c>
      <c r="AH1381" s="3" t="n">
        <v>46321.77847222222</v>
      </c>
      <c r="AI1381" s="3" t="n">
        <v>46321.78055555555</v>
      </c>
      <c r="AJ1381" s="2" t="inlineStr"/>
    </row>
    <row r="1382">
      <c r="A1382" s="2" t="n">
        <v>1381</v>
      </c>
      <c r="B1382" s="2" t="inlineStr">
        <is>
          <t>1307C</t>
        </is>
      </c>
      <c r="C1382" s="3" t="n">
        <v>45968.51944444444</v>
      </c>
      <c r="D1382" s="2" t="inlineStr">
        <is>
          <t>Original</t>
        </is>
      </c>
      <c r="E1382" s="2" t="inlineStr">
        <is>
          <t>JPP</t>
        </is>
      </c>
      <c r="F1382" s="2" t="inlineStr">
        <is>
          <t>Filipe Sousa</t>
        </is>
      </c>
      <c r="G1382" s="2" t="inlineStr">
        <is>
          <t>Art. 113.º-A (aditamento)</t>
        </is>
      </c>
      <c r="H1382" s="2" t="n"/>
      <c r="I1382" s="2" t="n"/>
      <c r="J1382" s="2" t="n"/>
      <c r="K1382" s="2" t="n"/>
      <c r="L1382" s="2" t="inlineStr">
        <is>
          <t>Artigo 113.º-A (Fundo de Comparticipação dos Bombeiros Profissionais Municipais e Sapadores (FC-BPS))</t>
        </is>
      </c>
      <c r="M1382" s="4" t="n"/>
      <c r="N1382" s="4" t="n"/>
      <c r="O1382" s="2" t="n"/>
      <c r="P1382" s="2" t="n"/>
      <c r="Q1382" s="2" t="n"/>
      <c r="R1382" s="2" t="n"/>
      <c r="S1382" s="2" t="inlineStr">
        <is>
          <t>Rejeitado(a) em Comissão</t>
        </is>
      </c>
      <c r="T1382" s="2" t="inlineStr">
        <is>
          <t>Rejeitada</t>
        </is>
      </c>
      <c r="U1382" s="2" t="inlineStr">
        <is>
          <t>Favor: CH, BE, PAN; Contra: PSD, IL, PCP, CDS-PP; Abstenção: PS, L</t>
        </is>
      </c>
      <c r="V1382" s="3" t="n">
        <v>45985</v>
      </c>
      <c r="W1382" s="2" t="inlineStr">
        <is>
          <t>AR: https://www.parlamento.pt/OrcamentoEstado/Paginas/DetalhePropostaAlteracao.aspx?BID=24553 PDF: https://app.parlamento.pt/webutils/docs/doc.pdf?path=6148523063484d364c793942556b356c6443397a6158526c63793959566b6c4a544556484c3039464c7a49774d6a59794d4449314d5441774f5339515153396b5a574933597a4a695a43316c4d7a52684c5452684f545574596a686c4e7930795a44566d4f5751775a544535596a55756347526d&amp;Fich=deb7c2bd-e34a-4a95-b8e7-2d5f9d0e19b5.pdf&amp;Inline=true</t>
        </is>
      </c>
      <c r="X1382" s="2" t="inlineStr">
        <is>
          <t>Assuntos Constitucionais, Direitos, Liberdades e Garantias; Reforma do Estado e Poder Local</t>
        </is>
      </c>
      <c r="Y1382" s="2" t="inlineStr">
        <is>
          <t>Articulado</t>
        </is>
      </c>
      <c r="Z1382" s="2" t="inlineStr">
        <is>
          <t>Aditamento (Artigo PPL)</t>
        </is>
      </c>
      <c r="AA1382" s="2" t="inlineStr">
        <is>
          <t>Rejeitado(a) em Comissão</t>
        </is>
      </c>
      <c r="AB1382" s="2" t="inlineStr"/>
      <c r="AC1382" s="2" t="inlineStr"/>
      <c r="AD1382" s="2" t="inlineStr">
        <is>
          <t>1</t>
        </is>
      </c>
      <c r="AE1382" s="2" t="inlineStr">
        <is>
          <t>24553</t>
        </is>
      </c>
      <c r="AF1382" s="2" t="inlineStr">
        <is>
          <t>https://www.parlamento.pt/OrcamentoEstado/Paginas/DetalhePropostaAlteracao.aspx?BID=24553</t>
        </is>
      </c>
      <c r="AG1382" s="2" t="inlineStr">
        <is>
          <t>https://app.parlamento.pt/webutils/docs/doc.pdf?path=6148523063484d364c793942556b356c6443397a6158526c63793959566b6c4a544556484c3039464c7a49774d6a59794d4449314d5441774f5339515153396b5a574933597a4a695a43316c4d7a52684c5452684f545574596a686c4e7930795a44566d4f5751775a544535596a55756347526d&amp;Fich=deb7c2bd-e34a-4a95-b8e7-2d5f9d0e19b5.pdf&amp;Inline=true</t>
        </is>
      </c>
      <c r="AH1382" s="3" t="n">
        <v>46321.77847222222</v>
      </c>
      <c r="AI1382" s="3" t="n">
        <v>46321.78055555555</v>
      </c>
      <c r="AJ1382" s="2" t="inlineStr"/>
    </row>
    <row r="1383">
      <c r="A1383" s="2" t="n">
        <v>1382</v>
      </c>
      <c r="B1383" s="2" t="inlineStr">
        <is>
          <t>1308C</t>
        </is>
      </c>
      <c r="C1383" s="3" t="n">
        <v>45968.52013888889</v>
      </c>
      <c r="D1383" s="2" t="inlineStr">
        <is>
          <t>Original</t>
        </is>
      </c>
      <c r="E1383" s="2" t="inlineStr">
        <is>
          <t>PAN</t>
        </is>
      </c>
      <c r="F1383" s="2" t="inlineStr">
        <is>
          <t>Inês de Sousa Real</t>
        </is>
      </c>
      <c r="G1383" s="2" t="inlineStr">
        <is>
          <t>Articulado</t>
        </is>
      </c>
      <c r="H1383" s="2" t="n"/>
      <c r="I1383" s="2" t="n"/>
      <c r="J1383" s="2" t="n"/>
      <c r="K1383" s="2" t="n"/>
      <c r="L1383" s="2" t="inlineStr">
        <is>
          <t>Artigo 43.º-A Programa Trabalhos &amp; Competências Verdes</t>
        </is>
      </c>
      <c r="M1383" s="4" t="n"/>
      <c r="N1383" s="4" t="n"/>
      <c r="O1383" s="2" t="n"/>
      <c r="P1383" s="2" t="n"/>
      <c r="Q1383" s="2" t="n"/>
      <c r="R1383" s="2" t="n"/>
      <c r="S1383" s="2" t="inlineStr">
        <is>
          <t>Não Admitida</t>
        </is>
      </c>
      <c r="T1383" s="2" t="inlineStr"/>
      <c r="U1383" s="2" t="inlineStr"/>
      <c r="V1383" s="3" t="n"/>
      <c r="W1383" s="2" t="inlineStr">
        <is>
          <t>AR: https://www.parlamento.pt/OrcamentoEstado/Paginas/DetalhePropostaAlteracao.aspx?BID=24554 PDF: https://app.parlamento.pt/webutils/docs/doc.pdf?path=6148523063484d364c793942556b356c6443397a6158526c63793959566b6c4a544556484c3039464c7a49774d6a59794d4449314d5441774f533951515338784d6a49324f5441795969307a5a6a68684c54526b4f444d744f57566c4d79316a4e325577595755774f5455774f4455756347526d&amp;Fich=1226902b-3f8a-4d83-9ee3-c7e0ae095085.pdf&amp;Inline=true</t>
        </is>
      </c>
      <c r="X1383" s="2" t="inlineStr">
        <is>
          <t>Ambiente e Energia</t>
        </is>
      </c>
      <c r="Y1383" s="2" t="inlineStr">
        <is>
          <t>Articulado</t>
        </is>
      </c>
      <c r="Z1383" s="2" t="inlineStr">
        <is>
          <t>Por Definir</t>
        </is>
      </c>
      <c r="AA1383" s="2" t="inlineStr">
        <is>
          <t>Não Admitida</t>
        </is>
      </c>
      <c r="AB1383" s="2" t="inlineStr"/>
      <c r="AC1383" s="2" t="inlineStr"/>
      <c r="AD1383" s="2" t="inlineStr">
        <is>
          <t>0</t>
        </is>
      </c>
      <c r="AE1383" s="2" t="inlineStr">
        <is>
          <t>24554</t>
        </is>
      </c>
      <c r="AF1383" s="2" t="inlineStr">
        <is>
          <t>https://www.parlamento.pt/OrcamentoEstado/Paginas/DetalhePropostaAlteracao.aspx?BID=24554</t>
        </is>
      </c>
      <c r="AG1383" s="2" t="inlineStr">
        <is>
          <t>https://app.parlamento.pt/webutils/docs/doc.pdf?path=6148523063484d364c793942556b356c6443397a6158526c63793959566b6c4a544556484c3039464c7a49774d6a59794d4449314d5441774f533951515338784d6a49324f5441795969307a5a6a68684c54526b4f444d744f57566c4d79316a4e325577595755774f5455774f4455756347526d&amp;Fich=1226902b-3f8a-4d83-9ee3-c7e0ae095085.pdf&amp;Inline=true</t>
        </is>
      </c>
      <c r="AH1383" s="3" t="n">
        <v>46321.77847222222</v>
      </c>
      <c r="AI1383" s="3" t="n">
        <v>46321.78055555555</v>
      </c>
      <c r="AJ1383" s="2" t="inlineStr"/>
    </row>
    <row r="1384">
      <c r="A1384" s="2" t="n">
        <v>1383</v>
      </c>
      <c r="B1384" s="2" t="inlineStr">
        <is>
          <t>1309C</t>
        </is>
      </c>
      <c r="C1384" s="3" t="n">
        <v>45968.52152777778</v>
      </c>
      <c r="D1384" s="2" t="inlineStr">
        <is>
          <t>Original</t>
        </is>
      </c>
      <c r="E1384" s="2" t="inlineStr">
        <is>
          <t>JPP</t>
        </is>
      </c>
      <c r="F1384" s="2" t="inlineStr">
        <is>
          <t>Filipe Sousa</t>
        </is>
      </c>
      <c r="G1384" s="2" t="inlineStr">
        <is>
          <t>Art. 114.º-A (aditamento)</t>
        </is>
      </c>
      <c r="H1384" s="2" t="n"/>
      <c r="I1384" s="2" t="n"/>
      <c r="J1384" s="2" t="n"/>
      <c r="K1384" s="2" t="n"/>
      <c r="L1384" s="2" t="inlineStr">
        <is>
          <t>Artigo 114.º-A (Bodycams e videovigilância em instalações policiais)</t>
        </is>
      </c>
      <c r="M1384" s="4" t="n"/>
      <c r="N1384" s="4" t="n"/>
      <c r="O1384" s="2" t="n"/>
      <c r="P1384" s="2" t="n"/>
      <c r="Q1384" s="2" t="n"/>
      <c r="R1384" s="2" t="n"/>
      <c r="S1384" s="2" t="inlineStr">
        <is>
          <t>Aprovado(a) Parcialmente em Comissão</t>
        </is>
      </c>
      <c r="T1384" s="2" t="inlineStr">
        <is>
          <t>Aprovada parcialmente</t>
        </is>
      </c>
      <c r="U1384" s="2" t="inlineStr">
        <is>
          <t>Favor: CH, L, BE, PAN; Contra: PSD, PS, CDS-PP; Abstenção: IL, PCP</t>
        </is>
      </c>
      <c r="V1384" s="3" t="n">
        <v>45985</v>
      </c>
      <c r="W1384" s="2" t="inlineStr">
        <is>
          <t>AR: https://www.parlamento.pt/OrcamentoEstado/Paginas/DetalhePropostaAlteracao.aspx?BID=24555 PDF: https://app.parlamento.pt/webutils/docs/doc.pdf?path=6148523063484d364c793942556b356c6443397a6158526c63793959566b6c4a544556484c3039464c7a49774d6a59794d4449314d5441774f5339515153396a5a6d4e6c595759785a4330784f5459354c545134597a49744f4445325a693031597a4e684e5752685a47557a4f4755756347526d&amp;Fich=cfceaf1d-1969-48c2-816f-5c3a5dade38e.pdf&amp;Inline=true</t>
        </is>
      </c>
      <c r="X1384" s="2" t="inlineStr">
        <is>
          <t>Assuntos Constitucionais, Direitos, Liberdades e Garantias</t>
        </is>
      </c>
      <c r="Y1384" s="2" t="inlineStr">
        <is>
          <t>Articulado</t>
        </is>
      </c>
      <c r="Z1384" s="2" t="inlineStr">
        <is>
          <t>Aditamento (Artigo PPL)</t>
        </is>
      </c>
      <c r="AA1384" s="2" t="inlineStr">
        <is>
          <t>Aprovado(a) Parcialmente em Comissão</t>
        </is>
      </c>
      <c r="AB1384" s="2" t="inlineStr"/>
      <c r="AC1384" s="2" t="inlineStr"/>
      <c r="AD1384" s="2" t="inlineStr">
        <is>
          <t>1</t>
        </is>
      </c>
      <c r="AE1384" s="2" t="inlineStr">
        <is>
          <t>24555</t>
        </is>
      </c>
      <c r="AF1384" s="2" t="inlineStr">
        <is>
          <t>https://www.parlamento.pt/OrcamentoEstado/Paginas/DetalhePropostaAlteracao.aspx?BID=24555</t>
        </is>
      </c>
      <c r="AG1384" s="2" t="inlineStr">
        <is>
          <t>https://app.parlamento.pt/webutils/docs/doc.pdf?path=6148523063484d364c793942556b356c6443397a6158526c63793959566b6c4a544556484c3039464c7a49774d6a59794d4449314d5441774f5339515153396a5a6d4e6c595759785a4330784f5459354c545134597a49744f4445325a693031597a4e684e5752685a47557a4f4755756347526d&amp;Fich=cfceaf1d-1969-48c2-816f-5c3a5dade38e.pdf&amp;Inline=true</t>
        </is>
      </c>
      <c r="AH1384" s="3" t="n">
        <v>46321.77847222222</v>
      </c>
      <c r="AI1384" s="3" t="n">
        <v>46321.78055555555</v>
      </c>
      <c r="AJ1384" s="2" t="inlineStr"/>
    </row>
    <row r="1385">
      <c r="A1385" s="2" t="n">
        <v>1384</v>
      </c>
      <c r="B1385" s="2" t="inlineStr">
        <is>
          <t>1310C</t>
        </is>
      </c>
      <c r="C1385" s="3" t="n">
        <v>45968.52152777778</v>
      </c>
      <c r="D1385" s="2" t="inlineStr">
        <is>
          <t>Original</t>
        </is>
      </c>
      <c r="E1385" s="2" t="inlineStr">
        <is>
          <t>PAN</t>
        </is>
      </c>
      <c r="F1385" s="2" t="inlineStr">
        <is>
          <t>Inês de Sousa Real</t>
        </is>
      </c>
      <c r="G1385" s="2" t="inlineStr">
        <is>
          <t>Art. 63.º-A (aditamento)</t>
        </is>
      </c>
      <c r="H1385" s="2" t="n"/>
      <c r="I1385" s="2" t="n"/>
      <c r="J1385" s="2" t="n"/>
      <c r="K1385" s="2" t="n"/>
      <c r="L1385" s="2" t="inlineStr">
        <is>
          <t>Artigo 63.º-A (Alteração ao Código do IVA)</t>
        </is>
      </c>
      <c r="M1385" s="4" t="n"/>
      <c r="N1385" s="4" t="n"/>
      <c r="O1385" s="2" t="n"/>
      <c r="P1385" s="2" t="n"/>
      <c r="Q1385" s="2" t="n"/>
      <c r="R1385" s="2" t="n"/>
      <c r="S1385" s="2" t="inlineStr">
        <is>
          <t>Rejeitado(a) em Comissão</t>
        </is>
      </c>
      <c r="T1385" s="2" t="inlineStr">
        <is>
          <t>Rejeitada</t>
        </is>
      </c>
      <c r="U1385" s="2" t="inlineStr">
        <is>
          <t>Favor: IL, L, BE, PAN; Contra: PSD, CH, PCP, CDS-PP; Abstenção: PS</t>
        </is>
      </c>
      <c r="V1385" s="3" t="n">
        <v>45982</v>
      </c>
      <c r="W1385" s="2" t="inlineStr">
        <is>
          <t>AR: https://www.parlamento.pt/OrcamentoEstado/Paginas/DetalhePropostaAlteracao.aspx?BID=24556 PDF: https://app.parlamento.pt/webutils/docs/doc.pdf?path=6148523063484d364c793942556b356c6443397a6158526c63793959566b6c4a544556484c3039464c7a49774d6a59794d4449314d5441774f5339515153387759575a694e5449305953316d5a47597a4c54526b59575174596a4d305969316a4d5452694d5749315a4455775a5459756347526d&amp;Fich=0afb524a-fdf3-4dad-b34b-c14b1b5d50e6.pdf&amp;Inline=true</t>
        </is>
      </c>
      <c r="X1385" s="2" t="inlineStr">
        <is>
          <t>Orçamento, Finanças e Administração Pública</t>
        </is>
      </c>
      <c r="Y1385" s="2" t="inlineStr">
        <is>
          <t>Articulado</t>
        </is>
      </c>
      <c r="Z1385" s="2" t="inlineStr">
        <is>
          <t>Aditamento (Artigo PPL)</t>
        </is>
      </c>
      <c r="AA1385" s="2" t="inlineStr">
        <is>
          <t>Rejeitado(a) em Comissão</t>
        </is>
      </c>
      <c r="AB1385" s="2" t="inlineStr"/>
      <c r="AC1385" s="2" t="inlineStr"/>
      <c r="AD1385" s="2" t="inlineStr">
        <is>
          <t>1</t>
        </is>
      </c>
      <c r="AE1385" s="2" t="inlineStr">
        <is>
          <t>24556</t>
        </is>
      </c>
      <c r="AF1385" s="2" t="inlineStr">
        <is>
          <t>https://www.parlamento.pt/OrcamentoEstado/Paginas/DetalhePropostaAlteracao.aspx?BID=24556</t>
        </is>
      </c>
      <c r="AG1385" s="2" t="inlineStr">
        <is>
          <t>https://app.parlamento.pt/webutils/docs/doc.pdf?path=6148523063484d364c793942556b356c6443397a6158526c63793959566b6c4a544556484c3039464c7a49774d6a59794d4449314d5441774f5339515153387759575a694e5449305953316d5a47597a4c54526b59575174596a4d305969316a4d5452694d5749315a4455775a5459756347526d&amp;Fich=0afb524a-fdf3-4dad-b34b-c14b1b5d50e6.pdf&amp;Inline=true</t>
        </is>
      </c>
      <c r="AH1385" s="3" t="n">
        <v>46321.77847222222</v>
      </c>
      <c r="AI1385" s="3" t="n">
        <v>46321.78055555555</v>
      </c>
      <c r="AJ1385" s="2" t="inlineStr"/>
    </row>
    <row r="1386">
      <c r="A1386" s="2" t="n">
        <v>1385</v>
      </c>
      <c r="B1386" s="2" t="inlineStr">
        <is>
          <t>1311C</t>
        </is>
      </c>
      <c r="C1386" s="3" t="n">
        <v>45968.52222222222</v>
      </c>
      <c r="D1386" s="2" t="inlineStr">
        <is>
          <t>Original</t>
        </is>
      </c>
      <c r="E1386" s="2" t="inlineStr">
        <is>
          <t>JPP</t>
        </is>
      </c>
      <c r="F1386" s="2" t="inlineStr">
        <is>
          <t>Filipe Sousa</t>
        </is>
      </c>
      <c r="G1386" s="2" t="inlineStr">
        <is>
          <t>Art. 115.º-A (aditamento)</t>
        </is>
      </c>
      <c r="H1386" s="2" t="n"/>
      <c r="I1386" s="2" t="n"/>
      <c r="J1386" s="2" t="n"/>
      <c r="K1386" s="2" t="n"/>
      <c r="L1386" s="2" t="inlineStr">
        <is>
          <t>Artigo 115.º-A (Regime de comparticipação do autoteste de INR)</t>
        </is>
      </c>
      <c r="M1386" s="4" t="n"/>
      <c r="N1386" s="4" t="n"/>
      <c r="O1386" s="2" t="n"/>
      <c r="P1386" s="2" t="n"/>
      <c r="Q1386" s="2" t="n"/>
      <c r="R1386" s="2" t="n"/>
      <c r="S1386" s="2" t="inlineStr">
        <is>
          <t>Rejeitado(a) em Comissão</t>
        </is>
      </c>
      <c r="T1386" s="2" t="inlineStr">
        <is>
          <t>Rejeitada</t>
        </is>
      </c>
      <c r="U1386" s="2" t="inlineStr">
        <is>
          <t>Favor: L, PCP, PAN; Contra: PSD, IL, CDS-PP; Abstenção: CH, PS, BE</t>
        </is>
      </c>
      <c r="V1386" s="3" t="n">
        <v>45985</v>
      </c>
      <c r="W1386" s="2" t="inlineStr">
        <is>
          <t>AR: https://www.parlamento.pt/OrcamentoEstado/Paginas/DetalhePropostaAlteracao.aspx?BID=24557 PDF: https://app.parlamento.pt/webutils/docs/doc.pdf?path=6148523063484d364c793942556b356c6443397a6158526c63793959566b6c4a544556484c3039464c7a49774d6a59794d4449314d5441774f5339515153387a4f5759774d475a6b4f4330314d5459774c54526d4d5759744f54526b4d53316d4f4746694e6a51304d544d784d5451756347526d&amp;Fich=39f00fd8-5160-4f1f-94d1-f8ab64413114.pdf&amp;Inline=true</t>
        </is>
      </c>
      <c r="X1386" s="2" t="inlineStr">
        <is>
          <t>Saúde</t>
        </is>
      </c>
      <c r="Y1386" s="2" t="inlineStr">
        <is>
          <t>Articulado</t>
        </is>
      </c>
      <c r="Z1386" s="2" t="inlineStr">
        <is>
          <t>Aditamento (Artigo PPL)</t>
        </is>
      </c>
      <c r="AA1386" s="2" t="inlineStr">
        <is>
          <t>Rejeitado(a) em Comissão</t>
        </is>
      </c>
      <c r="AB1386" s="2" t="inlineStr"/>
      <c r="AC1386" s="2" t="inlineStr"/>
      <c r="AD1386" s="2" t="inlineStr">
        <is>
          <t>1</t>
        </is>
      </c>
      <c r="AE1386" s="2" t="inlineStr">
        <is>
          <t>24557</t>
        </is>
      </c>
      <c r="AF1386" s="2" t="inlineStr">
        <is>
          <t>https://www.parlamento.pt/OrcamentoEstado/Paginas/DetalhePropostaAlteracao.aspx?BID=24557</t>
        </is>
      </c>
      <c r="AG1386" s="2" t="inlineStr">
        <is>
          <t>https://app.parlamento.pt/webutils/docs/doc.pdf?path=6148523063484d364c793942556b356c6443397a6158526c63793959566b6c4a544556484c3039464c7a49774d6a59794d4449314d5441774f5339515153387a4f5759774d475a6b4f4330314d5459774c54526d4d5759744f54526b4d53316d4f4746694e6a51304d544d784d5451756347526d&amp;Fich=39f00fd8-5160-4f1f-94d1-f8ab64413114.pdf&amp;Inline=true</t>
        </is>
      </c>
      <c r="AH1386" s="3" t="n">
        <v>46321.77847222222</v>
      </c>
      <c r="AI1386" s="3" t="n">
        <v>46321.78055555555</v>
      </c>
      <c r="AJ1386" s="2" t="inlineStr"/>
    </row>
    <row r="1387">
      <c r="A1387" s="2" t="n">
        <v>1386</v>
      </c>
      <c r="B1387" s="2" t="inlineStr">
        <is>
          <t>1312C</t>
        </is>
      </c>
      <c r="C1387" s="3" t="n">
        <v>45968.52291666667</v>
      </c>
      <c r="D1387" s="2" t="inlineStr">
        <is>
          <t>Original</t>
        </is>
      </c>
      <c r="E1387" s="2" t="inlineStr">
        <is>
          <t>PAN</t>
        </is>
      </c>
      <c r="F1387" s="2" t="inlineStr">
        <is>
          <t>Inês de Sousa Real</t>
        </is>
      </c>
      <c r="G1387" s="2" t="inlineStr">
        <is>
          <t>Art. 119.º-A (aditamento)</t>
        </is>
      </c>
      <c r="H1387" s="2" t="n"/>
      <c r="I1387" s="2" t="n"/>
      <c r="J1387" s="2" t="n"/>
      <c r="K1387" s="2" t="n"/>
      <c r="L1387" s="2" t="inlineStr">
        <is>
          <t>Artigo 119.º-A (Valor dos incentivos institucionais às Unidades de Saúde Familiares)</t>
        </is>
      </c>
      <c r="M1387" s="4" t="n"/>
      <c r="N1387" s="4" t="n"/>
      <c r="O1387" s="2" t="n"/>
      <c r="P1387" s="2" t="n"/>
      <c r="Q1387" s="2" t="n"/>
      <c r="R1387" s="2" t="n"/>
      <c r="S1387" s="2" t="inlineStr">
        <is>
          <t>Rejeitado(a) em Comissão</t>
        </is>
      </c>
      <c r="T1387" s="2" t="inlineStr">
        <is>
          <t>Rejeitada</t>
        </is>
      </c>
      <c r="U1387" s="2" t="inlineStr">
        <is>
          <t>Favor: L, BE, PAN; Contra: PSD, IL, CDS-PP; Abstenção: CH, PS, PCP</t>
        </is>
      </c>
      <c r="V1387" s="3" t="n">
        <v>45985</v>
      </c>
      <c r="W1387" s="2" t="inlineStr">
        <is>
          <t>AR: https://www.parlamento.pt/OrcamentoEstado/Paginas/DetalhePropostaAlteracao.aspx?BID=24558 PDF: https://app.parlamento.pt/webutils/docs/doc.pdf?path=6148523063484d364c793942556b356c6443397a6158526c63793959566b6c4a544556484c3039464c7a49774d6a59794d4449314d5441774f533951515338334f5441344d5745345a4330324e5755334c5451344d5759744f4451335a4330355a6a55315a445a6a4e446c6d4f5441756347526d&amp;Fich=79081a8d-65e7-481f-847d-9f55d6c49f90.pdf&amp;Inline=true</t>
        </is>
      </c>
      <c r="X1387" s="2" t="inlineStr">
        <is>
          <t>Saúde</t>
        </is>
      </c>
      <c r="Y1387" s="2" t="inlineStr">
        <is>
          <t>Articulado</t>
        </is>
      </c>
      <c r="Z1387" s="2" t="inlineStr">
        <is>
          <t>Aditamento (Artigo PPL)</t>
        </is>
      </c>
      <c r="AA1387" s="2" t="inlineStr">
        <is>
          <t>Rejeitado(a) em Comissão</t>
        </is>
      </c>
      <c r="AB1387" s="2" t="inlineStr"/>
      <c r="AC1387" s="2" t="inlineStr"/>
      <c r="AD1387" s="2" t="inlineStr">
        <is>
          <t>1</t>
        </is>
      </c>
      <c r="AE1387" s="2" t="inlineStr">
        <is>
          <t>24558</t>
        </is>
      </c>
      <c r="AF1387" s="2" t="inlineStr">
        <is>
          <t>https://www.parlamento.pt/OrcamentoEstado/Paginas/DetalhePropostaAlteracao.aspx?BID=24558</t>
        </is>
      </c>
      <c r="AG1387" s="2" t="inlineStr">
        <is>
          <t>https://app.parlamento.pt/webutils/docs/doc.pdf?path=6148523063484d364c793942556b356c6443397a6158526c63793959566b6c4a544556484c3039464c7a49774d6a59794d4449314d5441774f533951515338334f5441344d5745345a4330324e5755334c5451344d5759744f4451335a4330355a6a55315a445a6a4e446c6d4f5441756347526d&amp;Fich=79081a8d-65e7-481f-847d-9f55d6c49f90.pdf&amp;Inline=true</t>
        </is>
      </c>
      <c r="AH1387" s="3" t="n">
        <v>46321.77847222222</v>
      </c>
      <c r="AI1387" s="3" t="n">
        <v>46321.78055555555</v>
      </c>
      <c r="AJ1387" s="2" t="inlineStr"/>
    </row>
    <row r="1388">
      <c r="A1388" s="2" t="n">
        <v>1387</v>
      </c>
      <c r="B1388" s="2" t="inlineStr">
        <is>
          <t>1313C</t>
        </is>
      </c>
      <c r="C1388" s="3" t="n">
        <v>45968.52361111111</v>
      </c>
      <c r="D1388" s="2" t="inlineStr">
        <is>
          <t>Original</t>
        </is>
      </c>
      <c r="E1388" s="2" t="inlineStr">
        <is>
          <t>JPP</t>
        </is>
      </c>
      <c r="F1388" s="2" t="inlineStr">
        <is>
          <t>Filipe Sousa</t>
        </is>
      </c>
      <c r="G1388" s="2" t="inlineStr">
        <is>
          <t>Art. 118.º-B (aditamento)</t>
        </is>
      </c>
      <c r="H1388" s="2" t="n"/>
      <c r="I1388" s="2" t="n"/>
      <c r="J1388" s="2" t="n"/>
      <c r="K1388" s="2" t="n"/>
      <c r="L1388" s="2" t="inlineStr">
        <is>
          <t>Artigo 118.º-B (Tabela de honorários)</t>
        </is>
      </c>
      <c r="M1388" s="4" t="n"/>
      <c r="N1388" s="4" t="n"/>
      <c r="O1388" s="2" t="n"/>
      <c r="P1388" s="2" t="n"/>
      <c r="Q1388" s="2" t="n"/>
      <c r="R1388" s="2" t="n"/>
      <c r="S1388" s="2" t="inlineStr">
        <is>
          <t>Rejeitado(a) em Comissão</t>
        </is>
      </c>
      <c r="T1388" s="2" t="inlineStr">
        <is>
          <t>Rejeitada</t>
        </is>
      </c>
      <c r="U1388" s="2" t="inlineStr">
        <is>
          <t>Favor: PCP, BE, PAN; Contra: PSD, IL, L, CDS-PP; Abstenção: CH, PS</t>
        </is>
      </c>
      <c r="V1388" s="3" t="n">
        <v>45985</v>
      </c>
      <c r="W1388" s="2" t="inlineStr">
        <is>
          <t>AR: https://www.parlamento.pt/OrcamentoEstado/Paginas/DetalhePropostaAlteracao.aspx?BID=24559 PDF: https://app.parlamento.pt/webutils/docs/doc.pdf?path=6148523063484d364c793942556b356c6443397a6158526c63793959566b6c4a544556484c3039464c7a49774d6a59794d4449314d5441774f53395151533831597a4a6c4e6a4a685969316c4e6a59784c54517a4e6a4d744f5759334f5330314e6d45304d32557a4e6a6c6d596d55756347526d&amp;Fich=5c2e62ab-e661-4363-9f79-56a43e369fbe.pdf&amp;Inline=true</t>
        </is>
      </c>
      <c r="X1388" s="2" t="inlineStr">
        <is>
          <t>Assuntos Constitucionais, Direitos, Liberdades e Garantias</t>
        </is>
      </c>
      <c r="Y1388" s="2" t="inlineStr">
        <is>
          <t>Articulado</t>
        </is>
      </c>
      <c r="Z1388" s="2" t="inlineStr">
        <is>
          <t>Aditamento (Artigo PPL)</t>
        </is>
      </c>
      <c r="AA1388" s="2" t="inlineStr">
        <is>
          <t>Rejeitado(a) em Comissão</t>
        </is>
      </c>
      <c r="AB1388" s="2" t="inlineStr"/>
      <c r="AC1388" s="2" t="inlineStr"/>
      <c r="AD1388" s="2" t="inlineStr">
        <is>
          <t>1</t>
        </is>
      </c>
      <c r="AE1388" s="2" t="inlineStr">
        <is>
          <t>24559</t>
        </is>
      </c>
      <c r="AF1388" s="2" t="inlineStr">
        <is>
          <t>https://www.parlamento.pt/OrcamentoEstado/Paginas/DetalhePropostaAlteracao.aspx?BID=24559</t>
        </is>
      </c>
      <c r="AG1388" s="2" t="inlineStr">
        <is>
          <t>https://app.parlamento.pt/webutils/docs/doc.pdf?path=6148523063484d364c793942556b356c6443397a6158526c63793959566b6c4a544556484c3039464c7a49774d6a59794d4449314d5441774f53395151533831597a4a6c4e6a4a685969316c4e6a59784c54517a4e6a4d744f5759334f5330314e6d45304d32557a4e6a6c6d596d55756347526d&amp;Fich=5c2e62ab-e661-4363-9f79-56a43e369fbe.pdf&amp;Inline=true</t>
        </is>
      </c>
      <c r="AH1388" s="3" t="n">
        <v>46321.77847222222</v>
      </c>
      <c r="AI1388" s="3" t="n">
        <v>46321.78055555555</v>
      </c>
      <c r="AJ1388" s="2" t="inlineStr"/>
    </row>
    <row r="1389">
      <c r="A1389" s="2" t="n">
        <v>1388</v>
      </c>
      <c r="B1389" s="2" t="inlineStr">
        <is>
          <t>1314C</t>
        </is>
      </c>
      <c r="C1389" s="3" t="n">
        <v>45968.52430555555</v>
      </c>
      <c r="D1389" s="2" t="inlineStr">
        <is>
          <t>Original</t>
        </is>
      </c>
      <c r="E1389" s="2" t="inlineStr">
        <is>
          <t>PAN</t>
        </is>
      </c>
      <c r="F1389" s="2" t="inlineStr">
        <is>
          <t>Inês de Sousa Real</t>
        </is>
      </c>
      <c r="G1389" s="2" t="inlineStr">
        <is>
          <t>Art. 68.º-A (aditamento)</t>
        </is>
      </c>
      <c r="H1389" s="2" t="n"/>
      <c r="I1389" s="2" t="n"/>
      <c r="J1389" s="2" t="n"/>
      <c r="K1389" s="2" t="n"/>
      <c r="L1389" s="2" t="inlineStr">
        <is>
          <t>Artigo 68.º-A (Alteração ao Código do Imposto Municipal sobre Imóveis)</t>
        </is>
      </c>
      <c r="M1389" s="4" t="n"/>
      <c r="N1389" s="4" t="n"/>
      <c r="O1389" s="2" t="n"/>
      <c r="P1389" s="2" t="n"/>
      <c r="Q1389" s="2" t="n"/>
      <c r="R1389" s="2" t="n"/>
      <c r="S1389" s="2" t="inlineStr">
        <is>
          <t>Rejeitado(a) em Comissão</t>
        </is>
      </c>
      <c r="T1389" s="2" t="inlineStr">
        <is>
          <t>Rejeitada</t>
        </is>
      </c>
      <c r="U1389" s="2" t="inlineStr">
        <is>
          <t>Favor: L, BE, PAN; Contra: PSD, CH, IL, PCP, CDS-PP; Abstenção: PS</t>
        </is>
      </c>
      <c r="V1389" s="3" t="n">
        <v>45982</v>
      </c>
      <c r="W1389" s="2" t="inlineStr">
        <is>
          <t>AR: https://www.parlamento.pt/OrcamentoEstado/Paginas/DetalhePropostaAlteracao.aspx?BID=24560 PDF: https://app.parlamento.pt/webutils/docs/doc.pdf?path=6148523063484d364c793942556b356c6443397a6158526c63793959566b6c4a544556484c3039464c7a49774d6a59794d4449314d5441774f533951515338345a6d5a6c4e7a6b34596930325a6a55314c5451794d3245744f57526a4d5331694e6a51324d544a6a4d6a51774d4449756347526d&amp;Fich=8ffe798b-6f55-423a-9dc1-b64612c24002.pdf&amp;Inline=true</t>
        </is>
      </c>
      <c r="X1389" s="2" t="inlineStr">
        <is>
          <t>Orçamento, Finanças e Administração Pública</t>
        </is>
      </c>
      <c r="Y1389" s="2" t="inlineStr">
        <is>
          <t>Articulado</t>
        </is>
      </c>
      <c r="Z1389" s="2" t="inlineStr">
        <is>
          <t>Aditamento (Artigo PPL)</t>
        </is>
      </c>
      <c r="AA1389" s="2" t="inlineStr">
        <is>
          <t>Rejeitado(a) em Comissão</t>
        </is>
      </c>
      <c r="AB1389" s="2" t="inlineStr"/>
      <c r="AC1389" s="2" t="inlineStr"/>
      <c r="AD1389" s="2" t="inlineStr">
        <is>
          <t>1</t>
        </is>
      </c>
      <c r="AE1389" s="2" t="inlineStr">
        <is>
          <t>24560</t>
        </is>
      </c>
      <c r="AF1389" s="2" t="inlineStr">
        <is>
          <t>https://www.parlamento.pt/OrcamentoEstado/Paginas/DetalhePropostaAlteracao.aspx?BID=24560</t>
        </is>
      </c>
      <c r="AG1389" s="2" t="inlineStr">
        <is>
          <t>https://app.parlamento.pt/webutils/docs/doc.pdf?path=6148523063484d364c793942556b356c6443397a6158526c63793959566b6c4a544556484c3039464c7a49774d6a59794d4449314d5441774f533951515338345a6d5a6c4e7a6b34596930325a6a55314c5451794d3245744f57526a4d5331694e6a51324d544a6a4d6a51774d4449756347526d&amp;Fich=8ffe798b-6f55-423a-9dc1-b64612c24002.pdf&amp;Inline=true</t>
        </is>
      </c>
      <c r="AH1389" s="3" t="n">
        <v>46321.77847222222</v>
      </c>
      <c r="AI1389" s="3" t="n">
        <v>46321.78055555555</v>
      </c>
      <c r="AJ1389" s="2" t="inlineStr"/>
    </row>
    <row r="1390">
      <c r="A1390" s="2" t="n">
        <v>1389</v>
      </c>
      <c r="B1390" s="2" t="inlineStr">
        <is>
          <t>1315C</t>
        </is>
      </c>
      <c r="C1390" s="3" t="n">
        <v>45968.52569444444</v>
      </c>
      <c r="D1390" s="2" t="inlineStr">
        <is>
          <t>Original</t>
        </is>
      </c>
      <c r="E1390" s="2" t="inlineStr">
        <is>
          <t>PAN</t>
        </is>
      </c>
      <c r="F1390" s="2" t="inlineStr">
        <is>
          <t>Inês de Sousa Real</t>
        </is>
      </c>
      <c r="G1390" s="2" t="inlineStr">
        <is>
          <t>Art. 63.º (substituição)</t>
        </is>
      </c>
      <c r="H1390" s="2" t="n"/>
      <c r="I1390" s="2" t="n"/>
      <c r="J1390" s="2" t="n"/>
      <c r="K1390" s="2" t="n"/>
      <c r="L1390" s="2" t="inlineStr">
        <is>
          <t>Verba 2.32, Lista I anexa ao Código do IVA</t>
        </is>
      </c>
      <c r="M1390" s="4" t="n"/>
      <c r="N1390" s="4" t="n"/>
      <c r="O1390" s="2" t="n"/>
      <c r="P1390" s="2" t="n"/>
      <c r="Q1390" s="2" t="n"/>
      <c r="R1390" s="2" t="n"/>
      <c r="S1390" s="2" t="inlineStr">
        <is>
          <t>Rejeitado(a) em Comissão</t>
        </is>
      </c>
      <c r="T1390" s="2" t="inlineStr">
        <is>
          <t>Rejeitada</t>
        </is>
      </c>
      <c r="U1390" s="2" t="inlineStr">
        <is>
          <t>Favor: IL, L, BE, PAN; Contra: PSD, CH, PCP, CDS-PP; Abstenção: PS</t>
        </is>
      </c>
      <c r="V1390" s="3" t="n">
        <v>45982</v>
      </c>
      <c r="W1390" s="2" t="inlineStr">
        <is>
          <t>AR: https://www.parlamento.pt/OrcamentoEstado/Paginas/DetalhePropostaAlteracao.aspx?BID=24561 PDF: https://app.parlamento.pt/webutils/docs/doc.pdf?path=6148523063484d364c793942556b356c6443397a6158526c63793959566b6c4a544556484c3039464c7a49774d6a59794d4449314d5441774f533951515338315a5463794d6d55344d5330795a44457a4c54526b4f4745744f5749354e5330334f5451785a6d49344e546b34596a6b756347526d&amp;Fich=5e722e81-2d13-4d8a-9b95-7941fb8598b9.pdf&amp;Inline=true</t>
        </is>
      </c>
      <c r="X1390" s="2" t="inlineStr">
        <is>
          <t>Orçamento, Finanças e Administração Pública</t>
        </is>
      </c>
      <c r="Y1390" s="2" t="inlineStr">
        <is>
          <t>Articulado</t>
        </is>
      </c>
      <c r="Z1390" s="2" t="inlineStr">
        <is>
          <t>Substituição</t>
        </is>
      </c>
      <c r="AA1390" s="2" t="inlineStr">
        <is>
          <t>Rejeitado(a) em Comissão</t>
        </is>
      </c>
      <c r="AB1390" s="2" t="inlineStr"/>
      <c r="AC1390" s="2" t="inlineStr"/>
      <c r="AD1390" s="2" t="inlineStr">
        <is>
          <t>1</t>
        </is>
      </c>
      <c r="AE1390" s="2" t="inlineStr">
        <is>
          <t>24561</t>
        </is>
      </c>
      <c r="AF1390" s="2" t="inlineStr">
        <is>
          <t>https://www.parlamento.pt/OrcamentoEstado/Paginas/DetalhePropostaAlteracao.aspx?BID=24561</t>
        </is>
      </c>
      <c r="AG1390" s="2" t="inlineStr">
        <is>
          <t>https://app.parlamento.pt/webutils/docs/doc.pdf?path=6148523063484d364c793942556b356c6443397a6158526c63793959566b6c4a544556484c3039464c7a49774d6a59794d4449314d5441774f533951515338315a5463794d6d55344d5330795a44457a4c54526b4f4745744f5749354e5330334f5451785a6d49344e546b34596a6b756347526d&amp;Fich=5e722e81-2d13-4d8a-9b95-7941fb8598b9.pdf&amp;Inline=true</t>
        </is>
      </c>
      <c r="AH1390" s="3" t="n">
        <v>46321.77847222222</v>
      </c>
      <c r="AI1390" s="3" t="n">
        <v>46321.78055555555</v>
      </c>
      <c r="AJ1390" s="2" t="inlineStr"/>
    </row>
    <row r="1391">
      <c r="A1391" s="2" t="n">
        <v>1390</v>
      </c>
      <c r="B1391" s="2" t="inlineStr">
        <is>
          <t>1316C</t>
        </is>
      </c>
      <c r="C1391" s="3" t="n">
        <v>45968.52708333333</v>
      </c>
      <c r="D1391" s="2" t="inlineStr">
        <is>
          <t>Original</t>
        </is>
      </c>
      <c r="E1391" s="2" t="inlineStr">
        <is>
          <t>PAN</t>
        </is>
      </c>
      <c r="F1391" s="2" t="inlineStr">
        <is>
          <t>Inês de Sousa Real</t>
        </is>
      </c>
      <c r="G1391" s="2" t="inlineStr">
        <is>
          <t>Art. 11.º-C (aditamento)</t>
        </is>
      </c>
      <c r="H1391" s="2" t="n"/>
      <c r="I1391" s="2" t="n"/>
      <c r="J1391" s="2" t="n"/>
      <c r="K1391" s="2" t="n"/>
      <c r="L1391" s="2" t="inlineStr">
        <is>
          <t>Artigo 11.º-C (Definição de um limiar nacional de pobreza menstrual)</t>
        </is>
      </c>
      <c r="M1391" s="4" t="n"/>
      <c r="N1391" s="4" t="n"/>
      <c r="O1391" s="2" t="n"/>
      <c r="P1391" s="2" t="n"/>
      <c r="Q1391" s="2" t="n"/>
      <c r="R1391" s="2" t="n"/>
      <c r="S1391" s="2" t="inlineStr">
        <is>
          <t>Rejeitado(a) em Comissão</t>
        </is>
      </c>
      <c r="T1391" s="2" t="inlineStr">
        <is>
          <t>Rejeitada</t>
        </is>
      </c>
      <c r="U1391" s="2" t="inlineStr">
        <is>
          <t>Favor: L, BE, PAN; Contra: PSD, IL, CDS-PP; Abstenção: CH, PS, PCP</t>
        </is>
      </c>
      <c r="V1391" s="3" t="n">
        <v>45981</v>
      </c>
      <c r="W1391" s="2" t="inlineStr">
        <is>
          <t>AR: https://www.parlamento.pt/OrcamentoEstado/Paginas/DetalhePropostaAlteracao.aspx?BID=24562 PDF: https://app.parlamento.pt/webutils/docs/doc.pdf?path=6148523063484d364c793942556b356c6443397a6158526c63793959566b6c4a544556484c3039464c7a49774d6a59794d4449314d5441774f5339515153396a4e7a526959546777596931684d6d55344c5451344d7a4574595459334f4330785a5441334d574d355a54526c4f574d756347526d&amp;Fich=c74ba80b-a2e8-4831-a678-1e071c9e4e9c.pdf&amp;Inline=true</t>
        </is>
      </c>
      <c r="X1391" s="2" t="inlineStr">
        <is>
          <t>Assuntos Constitucionais, Direitos, Liberdades e Garantias</t>
        </is>
      </c>
      <c r="Y1391" s="2" t="inlineStr">
        <is>
          <t>Articulado</t>
        </is>
      </c>
      <c r="Z1391" s="2" t="inlineStr">
        <is>
          <t>Aditamento (Artigo PPL)</t>
        </is>
      </c>
      <c r="AA1391" s="2" t="inlineStr">
        <is>
          <t>Rejeitado(a) em Comissão</t>
        </is>
      </c>
      <c r="AB1391" s="2" t="inlineStr"/>
      <c r="AC1391" s="2" t="inlineStr"/>
      <c r="AD1391" s="2" t="inlineStr">
        <is>
          <t>1</t>
        </is>
      </c>
      <c r="AE1391" s="2" t="inlineStr">
        <is>
          <t>24562</t>
        </is>
      </c>
      <c r="AF1391" s="2" t="inlineStr">
        <is>
          <t>https://www.parlamento.pt/OrcamentoEstado/Paginas/DetalhePropostaAlteracao.aspx?BID=24562</t>
        </is>
      </c>
      <c r="AG1391" s="2" t="inlineStr">
        <is>
          <t>https://app.parlamento.pt/webutils/docs/doc.pdf?path=6148523063484d364c793942556b356c6443397a6158526c63793959566b6c4a544556484c3039464c7a49774d6a59794d4449314d5441774f5339515153396a4e7a526959546777596931684d6d55344c5451344d7a4574595459334f4330785a5441334d574d355a54526c4f574d756347526d&amp;Fich=c74ba80b-a2e8-4831-a678-1e071c9e4e9c.pdf&amp;Inline=true</t>
        </is>
      </c>
      <c r="AH1391" s="3" t="n">
        <v>46321.77847222222</v>
      </c>
      <c r="AI1391" s="3" t="n">
        <v>46321.78055555555</v>
      </c>
      <c r="AJ1391" s="2" t="inlineStr"/>
    </row>
    <row r="1392">
      <c r="A1392" s="2" t="n">
        <v>1391</v>
      </c>
      <c r="B1392" s="2" t="inlineStr">
        <is>
          <t>1317C</t>
        </is>
      </c>
      <c r="C1392" s="3" t="n">
        <v>45968.52847222222</v>
      </c>
      <c r="D1392" s="2" t="inlineStr">
        <is>
          <t>Original</t>
        </is>
      </c>
      <c r="E1392" s="2" t="inlineStr">
        <is>
          <t>PAN</t>
        </is>
      </c>
      <c r="F1392" s="2" t="inlineStr">
        <is>
          <t>Inês de Sousa Real</t>
        </is>
      </c>
      <c r="G1392" s="2" t="inlineStr">
        <is>
          <t>Art. 63.º-A (aditamento)</t>
        </is>
      </c>
      <c r="H1392" s="2" t="n"/>
      <c r="I1392" s="2" t="n"/>
      <c r="J1392" s="2" t="n"/>
      <c r="K1392" s="2" t="n"/>
      <c r="L1392" s="2" t="inlineStr">
        <is>
          <t>Artigo 63.º-A (Alteração ao Código do IVA)</t>
        </is>
      </c>
      <c r="M1392" s="4" t="n"/>
      <c r="N1392" s="4" t="n"/>
      <c r="O1392" s="2" t="n"/>
      <c r="P1392" s="2" t="n"/>
      <c r="Q1392" s="2" t="n"/>
      <c r="R1392" s="2" t="n"/>
      <c r="S1392" s="2" t="inlineStr">
        <is>
          <t>Rejeitado(a) em Comissão</t>
        </is>
      </c>
      <c r="T1392" s="2" t="inlineStr">
        <is>
          <t>Rejeitada</t>
        </is>
      </c>
      <c r="U1392" s="2" t="inlineStr">
        <is>
          <t>Favor: CH, L, BE, PAN; Contra: PSD, CDS-PP; Abstenção: PS, IL, PCP</t>
        </is>
      </c>
      <c r="V1392" s="3" t="n">
        <v>45982</v>
      </c>
      <c r="W1392" s="2" t="inlineStr">
        <is>
          <t>AR: https://www.parlamento.pt/OrcamentoEstado/Paginas/DetalhePropostaAlteracao.aspx?BID=24563 PDF: https://app.parlamento.pt/webutils/docs/doc.pdf?path=6148523063484d364c793942556b356c6443397a6158526c63793959566b6c4a544556484c3039464c7a49774d6a59794d4449314d5441774f5339515153396c5a6a4e6b4d324e6b4d4330795a4449334c54526d597a6b744f5452684f43316b4f5745304f44597a4e54426b4d5449756347526d&amp;Fich=ef3d3cd0-2d27-4fc9-94a8-d9a486350d12.pdf&amp;Inline=true</t>
        </is>
      </c>
      <c r="X1392" s="2" t="inlineStr">
        <is>
          <t>Orçamento, Finanças e Administração Pública</t>
        </is>
      </c>
      <c r="Y1392" s="2" t="inlineStr">
        <is>
          <t>Articulado</t>
        </is>
      </c>
      <c r="Z1392" s="2" t="inlineStr">
        <is>
          <t>Aditamento (Artigo PPL)</t>
        </is>
      </c>
      <c r="AA1392" s="2" t="inlineStr">
        <is>
          <t>Rejeitado(a) em Comissão</t>
        </is>
      </c>
      <c r="AB1392" s="2" t="inlineStr"/>
      <c r="AC1392" s="2" t="inlineStr"/>
      <c r="AD1392" s="2" t="inlineStr">
        <is>
          <t>1</t>
        </is>
      </c>
      <c r="AE1392" s="2" t="inlineStr">
        <is>
          <t>24563</t>
        </is>
      </c>
      <c r="AF1392" s="2" t="inlineStr">
        <is>
          <t>https://www.parlamento.pt/OrcamentoEstado/Paginas/DetalhePropostaAlteracao.aspx?BID=24563</t>
        </is>
      </c>
      <c r="AG1392" s="2" t="inlineStr">
        <is>
          <t>https://app.parlamento.pt/webutils/docs/doc.pdf?path=6148523063484d364c793942556b356c6443397a6158526c63793959566b6c4a544556484c3039464c7a49774d6a59794d4449314d5441774f5339515153396c5a6a4e6b4d324e6b4d4330795a4449334c54526d597a6b744f5452684f43316b4f5745304f44597a4e54426b4d5449756347526d&amp;Fich=ef3d3cd0-2d27-4fc9-94a8-d9a486350d12.pdf&amp;Inline=true</t>
        </is>
      </c>
      <c r="AH1392" s="3" t="n">
        <v>46321.77847222222</v>
      </c>
      <c r="AI1392" s="3" t="n">
        <v>46321.78055555555</v>
      </c>
      <c r="AJ1392" s="2" t="inlineStr"/>
    </row>
    <row r="1393">
      <c r="A1393" s="2" t="n">
        <v>1392</v>
      </c>
      <c r="B1393" s="2" t="inlineStr">
        <is>
          <t>1318C</t>
        </is>
      </c>
      <c r="C1393" s="3" t="n">
        <v>45968.52986111111</v>
      </c>
      <c r="D1393" s="2" t="inlineStr">
        <is>
          <t>Original</t>
        </is>
      </c>
      <c r="E1393" s="2" t="inlineStr">
        <is>
          <t>PAN</t>
        </is>
      </c>
      <c r="F1393" s="2" t="inlineStr">
        <is>
          <t>Inês de Sousa Real</t>
        </is>
      </c>
      <c r="G1393" s="2" t="inlineStr">
        <is>
          <t>Art. 108.º-A (aditamento)</t>
        </is>
      </c>
      <c r="H1393" s="2" t="n"/>
      <c r="I1393" s="2" t="n"/>
      <c r="J1393" s="2" t="n"/>
      <c r="K1393" s="2" t="n"/>
      <c r="L1393" s="2" t="inlineStr">
        <is>
          <t>Artigo 108.º-A (Nomeação de médicos veterinários municipais, criação da carreira especial de médico veterinário na Administração Pública e programas de formação em bem-estar e proteção animal)</t>
        </is>
      </c>
      <c r="M1393" s="4" t="n"/>
      <c r="N1393" s="4" t="n"/>
      <c r="O1393" s="2" t="n"/>
      <c r="P1393" s="2" t="n"/>
      <c r="Q1393" s="2" t="n"/>
      <c r="R1393" s="2" t="n"/>
      <c r="S1393" s="2" t="inlineStr">
        <is>
          <t>Rejeitado(a) em Comissão</t>
        </is>
      </c>
      <c r="T1393" s="2" t="inlineStr">
        <is>
          <t>Rejeitada</t>
        </is>
      </c>
      <c r="U1393" s="2" t="inlineStr">
        <is>
          <t>Favor: CH, L, PCP, BE, PAN; Contra: PSD, IL, CDS-PP; Abstenção: PS</t>
        </is>
      </c>
      <c r="V1393" s="3" t="n">
        <v>45982</v>
      </c>
      <c r="W1393" s="2" t="inlineStr">
        <is>
          <t>AR: https://www.parlamento.pt/OrcamentoEstado/Paginas/DetalhePropostaAlteracao.aspx?BID=24564 PDF: https://app.parlamento.pt/webutils/docs/doc.pdf?path=6148523063484d364c793942556b356c6443397a6158526c63793959566b6c4a544556484c3039464c7a49774d6a59794d4449314d5441774f5339515153396b597a45784f5463314d6930314f5745334c5451325932457459546b7a4e793032595751325a6a6b304e4459795a5755756347526d&amp;Fich=dc119752-59a7-46ca-a937-6ad6f94462ee.pdf&amp;Inline=true</t>
        </is>
      </c>
      <c r="X1393" s="2" t="inlineStr">
        <is>
          <t>Reforma do Estado e Poder Local</t>
        </is>
      </c>
      <c r="Y1393" s="2" t="inlineStr">
        <is>
          <t>Articulado</t>
        </is>
      </c>
      <c r="Z1393" s="2" t="inlineStr">
        <is>
          <t>Aditamento (Artigo PPL)</t>
        </is>
      </c>
      <c r="AA1393" s="2" t="inlineStr">
        <is>
          <t>Rejeitado(a) em Comissão</t>
        </is>
      </c>
      <c r="AB1393" s="2" t="inlineStr"/>
      <c r="AC1393" s="2" t="inlineStr"/>
      <c r="AD1393" s="2" t="inlineStr">
        <is>
          <t>1</t>
        </is>
      </c>
      <c r="AE1393" s="2" t="inlineStr">
        <is>
          <t>24564</t>
        </is>
      </c>
      <c r="AF1393" s="2" t="inlineStr">
        <is>
          <t>https://www.parlamento.pt/OrcamentoEstado/Paginas/DetalhePropostaAlteracao.aspx?BID=24564</t>
        </is>
      </c>
      <c r="AG1393" s="2" t="inlineStr">
        <is>
          <t>https://app.parlamento.pt/webutils/docs/doc.pdf?path=6148523063484d364c793942556b356c6443397a6158526c63793959566b6c4a544556484c3039464c7a49774d6a59794d4449314d5441774f5339515153396b597a45784f5463314d6930314f5745334c5451325932457459546b7a4e793032595751325a6a6b304e4459795a5755756347526d&amp;Fich=dc119752-59a7-46ca-a937-6ad6f94462ee.pdf&amp;Inline=true</t>
        </is>
      </c>
      <c r="AH1393" s="3" t="n">
        <v>46321.77847222222</v>
      </c>
      <c r="AI1393" s="3" t="n">
        <v>46321.78055555555</v>
      </c>
      <c r="AJ1393" s="2" t="inlineStr"/>
    </row>
    <row r="1394">
      <c r="A1394" s="2" t="n">
        <v>1393</v>
      </c>
      <c r="B1394" s="2" t="inlineStr">
        <is>
          <t>1319C</t>
        </is>
      </c>
      <c r="C1394" s="3" t="n">
        <v>45968.53125</v>
      </c>
      <c r="D1394" s="2" t="inlineStr">
        <is>
          <t>Original</t>
        </is>
      </c>
      <c r="E1394" s="2" t="inlineStr">
        <is>
          <t>PAN</t>
        </is>
      </c>
      <c r="F1394" s="2" t="inlineStr">
        <is>
          <t>Inês de Sousa Real</t>
        </is>
      </c>
      <c r="G1394" s="2" t="inlineStr">
        <is>
          <t>Art. 10.º-B (aditamento)</t>
        </is>
      </c>
      <c r="H1394" s="2" t="n"/>
      <c r="I1394" s="2" t="n"/>
      <c r="J1394" s="2" t="n"/>
      <c r="K1394" s="2" t="n"/>
      <c r="L1394" s="2" t="inlineStr">
        <is>
          <t>Artigo 10.º-B (Orçamento de carbono para 2026-2030)</t>
        </is>
      </c>
      <c r="M1394" s="4" t="n"/>
      <c r="N1394" s="4" t="n"/>
      <c r="O1394" s="2" t="n"/>
      <c r="P1394" s="2" t="n"/>
      <c r="Q1394" s="2" t="n"/>
      <c r="R1394" s="2" t="n"/>
      <c r="S1394" s="2" t="inlineStr">
        <is>
          <t>Rejeitado(a) em Comissão</t>
        </is>
      </c>
      <c r="T1394" s="2" t="inlineStr">
        <is>
          <t>Rejeitada</t>
        </is>
      </c>
      <c r="U1394" s="2" t="inlineStr">
        <is>
          <t>Favor: PS, L, BE, PAN; Contra: PSD, CH, PCP, CDS-PP; Abstenção: IL</t>
        </is>
      </c>
      <c r="V1394" s="3" t="n">
        <v>45981</v>
      </c>
      <c r="W1394" s="2" t="inlineStr">
        <is>
          <t>AR: https://www.parlamento.pt/OrcamentoEstado/Paginas/DetalhePropostaAlteracao.aspx?BID=24565 PDF: https://app.parlamento.pt/webutils/docs/doc.pdf?path=6148523063484d364c793942556b356c6443397a6158526c63793959566b6c4a544556484c3039464c7a49774d6a59794d4449314d5441774f5339515153387a5a5751334e475a6a4f5330344d6d566c4c5451334e32497459575931595330784e7a6b345a6a5a6c4e544d344f5759756347526d&amp;Fich=3ed74fc9-82ee-477b-af5a-1798f6e5389f.pdf&amp;Inline=true</t>
        </is>
      </c>
      <c r="X1394" s="2" t="inlineStr">
        <is>
          <t>Ambiente e Energia</t>
        </is>
      </c>
      <c r="Y1394" s="2" t="inlineStr">
        <is>
          <t>Articulado</t>
        </is>
      </c>
      <c r="Z1394" s="2" t="inlineStr">
        <is>
          <t>Aditamento (Artigo PPL)</t>
        </is>
      </c>
      <c r="AA1394" s="2" t="inlineStr">
        <is>
          <t>Rejeitado(a) em Comissão</t>
        </is>
      </c>
      <c r="AB1394" s="2" t="inlineStr"/>
      <c r="AC1394" s="2" t="inlineStr"/>
      <c r="AD1394" s="2" t="inlineStr">
        <is>
          <t>1</t>
        </is>
      </c>
      <c r="AE1394" s="2" t="inlineStr">
        <is>
          <t>24565</t>
        </is>
      </c>
      <c r="AF1394" s="2" t="inlineStr">
        <is>
          <t>https://www.parlamento.pt/OrcamentoEstado/Paginas/DetalhePropostaAlteracao.aspx?BID=24565</t>
        </is>
      </c>
      <c r="AG1394" s="2" t="inlineStr">
        <is>
          <t>https://app.parlamento.pt/webutils/docs/doc.pdf?path=6148523063484d364c793942556b356c6443397a6158526c63793959566b6c4a544556484c3039464c7a49774d6a59794d4449314d5441774f5339515153387a5a5751334e475a6a4f5330344d6d566c4c5451334e32497459575931595330784e7a6b345a6a5a6c4e544d344f5759756347526d&amp;Fich=3ed74fc9-82ee-477b-af5a-1798f6e5389f.pdf&amp;Inline=true</t>
        </is>
      </c>
      <c r="AH1394" s="3" t="n">
        <v>46321.77847222222</v>
      </c>
      <c r="AI1394" s="3" t="n">
        <v>46321.78055555555</v>
      </c>
      <c r="AJ1394" s="2" t="inlineStr"/>
    </row>
    <row r="1395">
      <c r="A1395" s="2" t="n">
        <v>1394</v>
      </c>
      <c r="B1395" s="2" t="inlineStr">
        <is>
          <t>1320C</t>
        </is>
      </c>
      <c r="C1395" s="3" t="n">
        <v>45968.53263888889</v>
      </c>
      <c r="D1395" s="2" t="inlineStr">
        <is>
          <t>Original</t>
        </is>
      </c>
      <c r="E1395" s="2" t="inlineStr">
        <is>
          <t>PAN</t>
        </is>
      </c>
      <c r="F1395" s="2" t="inlineStr">
        <is>
          <t>Inês de Sousa Real</t>
        </is>
      </c>
      <c r="G1395" s="2" t="inlineStr">
        <is>
          <t>Art. 97.º-A (aditamento)</t>
        </is>
      </c>
      <c r="H1395" s="2" t="n"/>
      <c r="I1395" s="2" t="n"/>
      <c r="J1395" s="2" t="n"/>
      <c r="K1395" s="2" t="n"/>
      <c r="L1395" s="2" t="inlineStr">
        <is>
          <t>Artigo 97.º-A (Contribuição especial para a conservação dos recursos florestais)</t>
        </is>
      </c>
      <c r="M1395" s="4" t="n"/>
      <c r="N1395" s="4" t="n"/>
      <c r="O1395" s="2" t="n"/>
      <c r="P1395" s="2" t="n"/>
      <c r="Q1395" s="2" t="n"/>
      <c r="R1395" s="2" t="n"/>
      <c r="S1395" s="2" t="inlineStr">
        <is>
          <t>Rejeitado(a) em Comissão</t>
        </is>
      </c>
      <c r="T1395" s="2" t="inlineStr">
        <is>
          <t>Rejeitada</t>
        </is>
      </c>
      <c r="U1395" s="2" t="inlineStr">
        <is>
          <t>Favor: L, PCP, BE, PAN; Contra: PSD, CH, IL, CDS-PP; Abstenção: PS</t>
        </is>
      </c>
      <c r="V1395" s="3" t="n">
        <v>45982</v>
      </c>
      <c r="W1395" s="2" t="inlineStr">
        <is>
          <t>AR: https://www.parlamento.pt/OrcamentoEstado/Paginas/DetalhePropostaAlteracao.aspx?BID=24566 PDF: https://app.parlamento.pt/webutils/docs/doc.pdf?path=6148523063484d364c793942556b356c6443397a6158526c63793959566b6c4a544556484c3039464c7a49774d6a59794d4449314d5441774f533951515338334e32526a5a6a49774d5331684e57497a4c54526d4e7a6374596d566a5953307a4d446b305a57566d596d51784f5449756347526d&amp;Fich=77dcf201-a5b3-4f77-beca-3094eefbd192.pdf&amp;Inline=true</t>
        </is>
      </c>
      <c r="X1395" s="2" t="inlineStr">
        <is>
          <t>Agricultura e Pescas</t>
        </is>
      </c>
      <c r="Y1395" s="2" t="inlineStr">
        <is>
          <t>Articulado</t>
        </is>
      </c>
      <c r="Z1395" s="2" t="inlineStr">
        <is>
          <t>Aditamento (Artigo PPL)</t>
        </is>
      </c>
      <c r="AA1395" s="2" t="inlineStr">
        <is>
          <t>Rejeitado(a) em Comissão</t>
        </is>
      </c>
      <c r="AB1395" s="2" t="inlineStr"/>
      <c r="AC1395" s="2" t="inlineStr"/>
      <c r="AD1395" s="2" t="inlineStr">
        <is>
          <t>1</t>
        </is>
      </c>
      <c r="AE1395" s="2" t="inlineStr">
        <is>
          <t>24566</t>
        </is>
      </c>
      <c r="AF1395" s="2" t="inlineStr">
        <is>
          <t>https://www.parlamento.pt/OrcamentoEstado/Paginas/DetalhePropostaAlteracao.aspx?BID=24566</t>
        </is>
      </c>
      <c r="AG1395" s="2" t="inlineStr">
        <is>
          <t>https://app.parlamento.pt/webutils/docs/doc.pdf?path=6148523063484d364c793942556b356c6443397a6158526c63793959566b6c4a544556484c3039464c7a49774d6a59794d4449314d5441774f533951515338334e32526a5a6a49774d5331684e57497a4c54526d4e7a6374596d566a5953307a4d446b305a57566d596d51784f5449756347526d&amp;Fich=77dcf201-a5b3-4f77-beca-3094eefbd192.pdf&amp;Inline=true</t>
        </is>
      </c>
      <c r="AH1395" s="3" t="n">
        <v>46321.77847222222</v>
      </c>
      <c r="AI1395" s="3" t="n">
        <v>46321.78055555555</v>
      </c>
      <c r="AJ1395" s="2" t="inlineStr"/>
    </row>
    <row r="1396">
      <c r="A1396" s="2" t="n">
        <v>1395</v>
      </c>
      <c r="B1396" s="2" t="inlineStr">
        <is>
          <t>1321C</t>
        </is>
      </c>
      <c r="C1396" s="3" t="n">
        <v>45968.53402777778</v>
      </c>
      <c r="D1396" s="2" t="inlineStr">
        <is>
          <t>Original</t>
        </is>
      </c>
      <c r="E1396" s="2" t="inlineStr">
        <is>
          <t>PAN</t>
        </is>
      </c>
      <c r="F1396" s="2" t="inlineStr">
        <is>
          <t>Inês de Sousa Real</t>
        </is>
      </c>
      <c r="G1396" s="2" t="inlineStr">
        <is>
          <t>Art. 126.º-A (aditamento)</t>
        </is>
      </c>
      <c r="H1396" s="2" t="n"/>
      <c r="I1396" s="2" t="n"/>
      <c r="J1396" s="2" t="n"/>
      <c r="K1396" s="2" t="n"/>
      <c r="L1396" s="2" t="inlineStr">
        <is>
          <t>Artigo 126.º-A (Programa de incentivos às deslocações pendulares casa-trabalho em bicicleta)</t>
        </is>
      </c>
      <c r="M1396" s="4" t="n"/>
      <c r="N1396" s="4" t="n"/>
      <c r="O1396" s="2" t="n"/>
      <c r="P1396" s="2" t="n"/>
      <c r="Q1396" s="2" t="n"/>
      <c r="R1396" s="2" t="n"/>
      <c r="S1396" s="2" t="inlineStr">
        <is>
          <t>Rejeitado(a) em Comissão</t>
        </is>
      </c>
      <c r="T1396" s="2" t="inlineStr">
        <is>
          <t>Rejeitada</t>
        </is>
      </c>
      <c r="U1396" s="2" t="inlineStr">
        <is>
          <t>Favor: L, BE, PAN; Contra: PSD, CH, IL, PCP, CDS-PP; Abstenção: PS</t>
        </is>
      </c>
      <c r="V1396" s="3" t="n">
        <v>45985</v>
      </c>
      <c r="W1396" s="2" t="inlineStr">
        <is>
          <t>AR: https://www.parlamento.pt/OrcamentoEstado/Paginas/DetalhePropostaAlteracao.aspx?BID=24567 PDF: https://app.parlamento.pt/webutils/docs/doc.pdf?path=6148523063484d364c793942556b356c6443397a6158526c63793959566b6c4a544556484c3039464c7a49774d6a59794d4449314d5441774f533951515338784e7a52684e446732596930304d7a63314c5451784f574974596a466d4f43307a597a6b324d444e6b4d6a686a5a6d55756347526d&amp;Fich=174a486b-4375-419b-b1f8-3c9603d28cfe.pdf&amp;Inline=true</t>
        </is>
      </c>
      <c r="X1396" s="2" t="inlineStr">
        <is>
          <t>Ambiente e Energia</t>
        </is>
      </c>
      <c r="Y1396" s="2" t="inlineStr">
        <is>
          <t>Articulado</t>
        </is>
      </c>
      <c r="Z1396" s="2" t="inlineStr">
        <is>
          <t>Aditamento (Artigo PPL)</t>
        </is>
      </c>
      <c r="AA1396" s="2" t="inlineStr">
        <is>
          <t>Rejeitado(a) em Comissão</t>
        </is>
      </c>
      <c r="AB1396" s="2" t="inlineStr"/>
      <c r="AC1396" s="2" t="inlineStr"/>
      <c r="AD1396" s="2" t="inlineStr">
        <is>
          <t>1</t>
        </is>
      </c>
      <c r="AE1396" s="2" t="inlineStr">
        <is>
          <t>24567</t>
        </is>
      </c>
      <c r="AF1396" s="2" t="inlineStr">
        <is>
          <t>https://www.parlamento.pt/OrcamentoEstado/Paginas/DetalhePropostaAlteracao.aspx?BID=24567</t>
        </is>
      </c>
      <c r="AG1396" s="2" t="inlineStr">
        <is>
          <t>https://app.parlamento.pt/webutils/docs/doc.pdf?path=6148523063484d364c793942556b356c6443397a6158526c63793959566b6c4a544556484c3039464c7a49774d6a59794d4449314d5441774f533951515338784e7a52684e446732596930304d7a63314c5451784f574974596a466d4f43307a597a6b324d444e6b4d6a686a5a6d55756347526d&amp;Fich=174a486b-4375-419b-b1f8-3c9603d28cfe.pdf&amp;Inline=true</t>
        </is>
      </c>
      <c r="AH1396" s="3" t="n">
        <v>46321.77847222222</v>
      </c>
      <c r="AI1396" s="3" t="n">
        <v>46321.78055555555</v>
      </c>
      <c r="AJ1396" s="2" t="inlineStr"/>
    </row>
    <row r="1397">
      <c r="A1397" s="2" t="n">
        <v>1396</v>
      </c>
      <c r="B1397" s="2" t="inlineStr">
        <is>
          <t>1322C</t>
        </is>
      </c>
      <c r="C1397" s="3" t="n">
        <v>45968.53541666667</v>
      </c>
      <c r="D1397" s="2" t="inlineStr">
        <is>
          <t>Original</t>
        </is>
      </c>
      <c r="E1397" s="2" t="inlineStr">
        <is>
          <t>PAN</t>
        </is>
      </c>
      <c r="F1397" s="2" t="inlineStr">
        <is>
          <t>Inês de Sousa Real</t>
        </is>
      </c>
      <c r="G1397" s="2" t="inlineStr">
        <is>
          <t>Art. 7.º (aditamento)</t>
        </is>
      </c>
      <c r="H1397" s="2" t="n"/>
      <c r="I1397" s="2" t="n"/>
      <c r="J1397" s="2" t="n"/>
      <c r="K1397" s="2" t="n"/>
      <c r="L1397" s="2" t="inlineStr">
        <is>
          <t>Verba 107, Mapa de alterações e transferências orçamentais, Artigo 7.º</t>
        </is>
      </c>
      <c r="M1397" s="4" t="n"/>
      <c r="N1397" s="4" t="n"/>
      <c r="O1397" s="2" t="n"/>
      <c r="P1397" s="2" t="n"/>
      <c r="Q1397" s="2" t="n"/>
      <c r="R1397" s="2" t="n"/>
      <c r="S1397" s="2" t="inlineStr">
        <is>
          <t>Rejeitado(a) em Comissão</t>
        </is>
      </c>
      <c r="T1397" s="2" t="inlineStr">
        <is>
          <t>Rejeitada</t>
        </is>
      </c>
      <c r="U1397" s="2" t="inlineStr">
        <is>
          <t>Favor: L, PCP, BE, PAN; Contra: PSD, IL, CDS-PP; Abstenção: CH, PS</t>
        </is>
      </c>
      <c r="V1397" s="3" t="n">
        <v>45987</v>
      </c>
      <c r="W1397" s="2" t="inlineStr">
        <is>
          <t>AR: https://www.parlamento.pt/OrcamentoEstado/Paginas/DetalhePropostaAlteracao.aspx?BID=24568 PDF: https://app.parlamento.pt/webutils/docs/doc.pdf?path=6148523063484d364c793942556b356c6443397a6158526c63793959566b6c4a544556484c3039464c7a49774d6a59794d4449314d5441774f53395151533877596d466b4d544177596931695a474d354c5452684e6a5574596a41775a4331694d446c68595468685a6d49324d7a41756347526d&amp;Fich=0bad100b-bdc9-4a65-b00d-b09aa8afb630.pdf&amp;Inline=true</t>
        </is>
      </c>
      <c r="X1397" s="2" t="inlineStr">
        <is>
          <t>Agricultura e Pescas</t>
        </is>
      </c>
      <c r="Y1397" s="2" t="inlineStr">
        <is>
          <t>Mapas</t>
        </is>
      </c>
      <c r="Z1397" s="2" t="inlineStr">
        <is>
          <t>Aditamento (Números e Alíneas)</t>
        </is>
      </c>
      <c r="AA1397" s="2" t="inlineStr">
        <is>
          <t>Rejeitado(a) em Comissão</t>
        </is>
      </c>
      <c r="AB1397" s="2" t="inlineStr"/>
      <c r="AC1397" s="2" t="inlineStr"/>
      <c r="AD1397" s="2" t="inlineStr">
        <is>
          <t>1</t>
        </is>
      </c>
      <c r="AE1397" s="2" t="inlineStr">
        <is>
          <t>24568</t>
        </is>
      </c>
      <c r="AF1397" s="2" t="inlineStr">
        <is>
          <t>https://www.parlamento.pt/OrcamentoEstado/Paginas/DetalhePropostaAlteracao.aspx?BID=24568</t>
        </is>
      </c>
      <c r="AG1397" s="2" t="inlineStr">
        <is>
          <t>https://app.parlamento.pt/webutils/docs/doc.pdf?path=6148523063484d364c793942556b356c6443397a6158526c63793959566b6c4a544556484c3039464c7a49774d6a59794d4449314d5441774f53395151533877596d466b4d544177596931695a474d354c5452684e6a5574596a41775a4331694d446c68595468685a6d49324d7a41756347526d&amp;Fich=0bad100b-bdc9-4a65-b00d-b09aa8afb630.pdf&amp;Inline=true</t>
        </is>
      </c>
      <c r="AH1397" s="3" t="n">
        <v>46321.77847222222</v>
      </c>
      <c r="AI1397" s="3" t="n">
        <v>46321.78055555555</v>
      </c>
      <c r="AJ1397" s="2" t="inlineStr"/>
    </row>
    <row r="1398">
      <c r="A1398" s="2" t="n">
        <v>1397</v>
      </c>
      <c r="B1398" s="2" t="inlineStr">
        <is>
          <t>1323C</t>
        </is>
      </c>
      <c r="C1398" s="3" t="n">
        <v>45968.53888888889</v>
      </c>
      <c r="D1398" s="2" t="inlineStr">
        <is>
          <t>Original</t>
        </is>
      </c>
      <c r="E1398" s="2" t="inlineStr">
        <is>
          <t>PAN</t>
        </is>
      </c>
      <c r="F1398" s="2" t="inlineStr">
        <is>
          <t>Inês de Sousa Real</t>
        </is>
      </c>
      <c r="G1398" s="2" t="inlineStr">
        <is>
          <t>Art. 98.º-A (aditamento)</t>
        </is>
      </c>
      <c r="H1398" s="2" t="n"/>
      <c r="I1398" s="2" t="n"/>
      <c r="J1398" s="2" t="n"/>
      <c r="K1398" s="2" t="n"/>
      <c r="L1398" s="2" t="inlineStr">
        <is>
          <t>Artigo 98.º-A (Plano de Intervenção para a Floresta 2025–2050)</t>
        </is>
      </c>
      <c r="M1398" s="4" t="n"/>
      <c r="N1398" s="4" t="n"/>
      <c r="O1398" s="2" t="n"/>
      <c r="P1398" s="2" t="n"/>
      <c r="Q1398" s="2" t="n"/>
      <c r="R1398" s="2" t="n"/>
      <c r="S1398" s="2" t="inlineStr">
        <is>
          <t>Rejeitado(a) em Comissão</t>
        </is>
      </c>
      <c r="T1398" s="2" t="inlineStr">
        <is>
          <t>Rejeitada</t>
        </is>
      </c>
      <c r="U1398" s="2" t="inlineStr">
        <is>
          <t>Favor: CH, IL, L, PCP, BE, PAN; Contra: PSD, CDS-PP; Abstenção: PS</t>
        </is>
      </c>
      <c r="V1398" s="3" t="n">
        <v>45982</v>
      </c>
      <c r="W1398" s="2" t="inlineStr">
        <is>
          <t>AR: https://www.parlamento.pt/OrcamentoEstado/Paginas/DetalhePropostaAlteracao.aspx?BID=24569 PDF: https://app.parlamento.pt/webutils/docs/doc.pdf?path=6148523063484d364c793942556b356c6443397a6158526c63793959566b6c4a544556484c3039464c7a49774d6a59794d4449314d5441774f5339515153387a4e5751334d7a6b35596930344e474d344c54526d4d4445744f4467304d43307a4e4467784d4451344d7a426b595445756347526d&amp;Fich=35d7399b-84c8-4f01-8840-348104830da1.pdf&amp;Inline=true</t>
        </is>
      </c>
      <c r="X1398" s="2" t="inlineStr">
        <is>
          <t>Defesa Nacional</t>
        </is>
      </c>
      <c r="Y1398" s="2" t="inlineStr">
        <is>
          <t>Articulado</t>
        </is>
      </c>
      <c r="Z1398" s="2" t="inlineStr">
        <is>
          <t>Aditamento (Artigo PPL)</t>
        </is>
      </c>
      <c r="AA1398" s="2" t="inlineStr">
        <is>
          <t>Rejeitado(a) em Comissão</t>
        </is>
      </c>
      <c r="AB1398" s="2" t="inlineStr"/>
      <c r="AC1398" s="2" t="inlineStr"/>
      <c r="AD1398" s="2" t="inlineStr">
        <is>
          <t>1</t>
        </is>
      </c>
      <c r="AE1398" s="2" t="inlineStr">
        <is>
          <t>24569</t>
        </is>
      </c>
      <c r="AF1398" s="2" t="inlineStr">
        <is>
          <t>https://www.parlamento.pt/OrcamentoEstado/Paginas/DetalhePropostaAlteracao.aspx?BID=24569</t>
        </is>
      </c>
      <c r="AG1398" s="2" t="inlineStr">
        <is>
          <t>https://app.parlamento.pt/webutils/docs/doc.pdf?path=6148523063484d364c793942556b356c6443397a6158526c63793959566b6c4a544556484c3039464c7a49774d6a59794d4449314d5441774f5339515153387a4e5751334d7a6b35596930344e474d344c54526d4d4445744f4467304d43307a4e4467784d4451344d7a426b595445756347526d&amp;Fich=35d7399b-84c8-4f01-8840-348104830da1.pdf&amp;Inline=true</t>
        </is>
      </c>
      <c r="AH1398" s="3" t="n">
        <v>46321.77847222222</v>
      </c>
      <c r="AI1398" s="3" t="n">
        <v>46321.78055555555</v>
      </c>
      <c r="AJ1398" s="2" t="inlineStr"/>
    </row>
    <row r="1399">
      <c r="A1399" s="2" t="n">
        <v>1398</v>
      </c>
      <c r="B1399" s="2" t="inlineStr">
        <is>
          <t>1324C</t>
        </is>
      </c>
      <c r="C1399" s="3" t="n">
        <v>45968.54097222222</v>
      </c>
      <c r="D1399" s="2" t="inlineStr">
        <is>
          <t>Original</t>
        </is>
      </c>
      <c r="E1399" s="2" t="inlineStr">
        <is>
          <t>PAN</t>
        </is>
      </c>
      <c r="F1399" s="2" t="inlineStr">
        <is>
          <t>Inês de Sousa Real</t>
        </is>
      </c>
      <c r="G1399" s="2" t="inlineStr">
        <is>
          <t>Art. 82.º-A (aditamento)</t>
        </is>
      </c>
      <c r="H1399" s="2" t="n"/>
      <c r="I1399" s="2" t="n"/>
      <c r="J1399" s="2" t="n"/>
      <c r="K1399" s="2" t="n"/>
      <c r="L1399" s="2" t="inlineStr">
        <is>
          <t>Artigo 82.º-A (Divulgação dos municípios que aprovaram a prorrogação da isenção do imposto municipal sobre imóveis)</t>
        </is>
      </c>
      <c r="M1399" s="4" t="n"/>
      <c r="N1399" s="4" t="n"/>
      <c r="O1399" s="2" t="n"/>
      <c r="P1399" s="2" t="n"/>
      <c r="Q1399" s="2" t="n"/>
      <c r="R1399" s="2" t="n"/>
      <c r="S1399" s="2" t="inlineStr">
        <is>
          <t>Rejeitado(a) em Comissão</t>
        </is>
      </c>
      <c r="T1399" s="2" t="inlineStr">
        <is>
          <t>Rejeitada</t>
        </is>
      </c>
      <c r="U1399" s="2" t="inlineStr">
        <is>
          <t>Favor: CH, IL, L, BE, PAN; Contra: PSD, CDS-PP; Abstenção: PS, PCP</t>
        </is>
      </c>
      <c r="V1399" s="3" t="n">
        <v>45982</v>
      </c>
      <c r="W1399" s="2" t="inlineStr">
        <is>
          <t>AR: https://www.parlamento.pt/OrcamentoEstado/Paginas/DetalhePropostaAlteracao.aspx?BID=24570 PDF: https://app.parlamento.pt/webutils/docs/doc.pdf?path=6148523063484d364c793942556b356c6443397a6158526c63793959566b6c4a544556484c3039464c7a49774d6a59794d4449314d5441774f533951515338775a4441315a474a6c4e5330345a6d4e6a4c5452694d6a55744f54497a4e433034593251344f4445324f575534596d45756347526d&amp;Fich=0d05dbe5-8fcc-4b25-9234-8cd88169e8ba.pdf&amp;Inline=true</t>
        </is>
      </c>
      <c r="X1399" s="2" t="inlineStr">
        <is>
          <t>Infraestruturas, Mobilidade e Habitação</t>
        </is>
      </c>
      <c r="Y1399" s="2" t="inlineStr">
        <is>
          <t>Articulado</t>
        </is>
      </c>
      <c r="Z1399" s="2" t="inlineStr">
        <is>
          <t>Aditamento (Artigo PPL)</t>
        </is>
      </c>
      <c r="AA1399" s="2" t="inlineStr">
        <is>
          <t>Rejeitado(a) em Comissão</t>
        </is>
      </c>
      <c r="AB1399" s="2" t="inlineStr"/>
      <c r="AC1399" s="2" t="inlineStr"/>
      <c r="AD1399" s="2" t="inlineStr">
        <is>
          <t>1</t>
        </is>
      </c>
      <c r="AE1399" s="2" t="inlineStr">
        <is>
          <t>24570</t>
        </is>
      </c>
      <c r="AF1399" s="2" t="inlineStr">
        <is>
          <t>https://www.parlamento.pt/OrcamentoEstado/Paginas/DetalhePropostaAlteracao.aspx?BID=24570</t>
        </is>
      </c>
      <c r="AG1399" s="2" t="inlineStr">
        <is>
          <t>https://app.parlamento.pt/webutils/docs/doc.pdf?path=6148523063484d364c793942556b356c6443397a6158526c63793959566b6c4a544556484c3039464c7a49774d6a59794d4449314d5441774f533951515338775a4441315a474a6c4e5330345a6d4e6a4c5452694d6a55744f54497a4e433034593251344f4445324f575534596d45756347526d&amp;Fich=0d05dbe5-8fcc-4b25-9234-8cd88169e8ba.pdf&amp;Inline=true</t>
        </is>
      </c>
      <c r="AH1399" s="3" t="n">
        <v>46321.77847222222</v>
      </c>
      <c r="AI1399" s="3" t="n">
        <v>46321.78055555555</v>
      </c>
      <c r="AJ1399" s="2" t="inlineStr"/>
    </row>
    <row r="1400">
      <c r="A1400" s="2" t="n">
        <v>1399</v>
      </c>
      <c r="B1400" s="2" t="inlineStr">
        <is>
          <t>1325C</t>
        </is>
      </c>
      <c r="C1400" s="3" t="n">
        <v>45968.54375</v>
      </c>
      <c r="D1400" s="2" t="inlineStr">
        <is>
          <t>Original</t>
        </is>
      </c>
      <c r="E1400" s="2" t="inlineStr">
        <is>
          <t>PAN</t>
        </is>
      </c>
      <c r="F1400" s="2" t="inlineStr">
        <is>
          <t>Inês de Sousa Real</t>
        </is>
      </c>
      <c r="G1400" s="2" t="inlineStr">
        <is>
          <t>Art. 84.º-A (aditamento)</t>
        </is>
      </c>
      <c r="H1400" s="2" t="n"/>
      <c r="I1400" s="2" t="n"/>
      <c r="J1400" s="2" t="n"/>
      <c r="K1400" s="2" t="n"/>
      <c r="L1400" s="2" t="inlineStr">
        <is>
          <t>Artigo 84.º-A (Transparência quanto ao Fundo Geral Municipal)</t>
        </is>
      </c>
      <c r="M1400" s="4" t="n"/>
      <c r="N1400" s="4" t="n"/>
      <c r="O1400" s="2" t="n"/>
      <c r="P1400" s="2" t="n"/>
      <c r="Q1400" s="2" t="n"/>
      <c r="R1400" s="2" t="n"/>
      <c r="S1400" s="2" t="inlineStr">
        <is>
          <t>Rejeitado(a) em Comissão</t>
        </is>
      </c>
      <c r="T1400" s="2" t="inlineStr">
        <is>
          <t>Rejeitada</t>
        </is>
      </c>
      <c r="U1400" s="2" t="inlineStr">
        <is>
          <t>Favor: CH, IL, L, PCP, BE, PAN; Contra: PSD, CDS-PP; Abstenção: PS</t>
        </is>
      </c>
      <c r="V1400" s="3" t="n">
        <v>45982</v>
      </c>
      <c r="W1400" s="2" t="inlineStr">
        <is>
          <t>AR: https://www.parlamento.pt/OrcamentoEstado/Paginas/DetalhePropostaAlteracao.aspx?BID=24571 PDF: https://app.parlamento.pt/webutils/docs/doc.pdf?path=6148523063484d364c793942556b356c6443397a6158526c63793959566b6c4a544556484c3039464c7a49774d6a59794d4449314d5441774f533951515338775932526b5a44686c4d7930324f5445794c5451355a4441744f474d794d5330795a474d314e6d566c4d474579595749756347526d&amp;Fich=0cddd8e3-6912-49d0-8c21-2dc56ee0a2ab.pdf&amp;Inline=true</t>
        </is>
      </c>
      <c r="X1400" s="2" t="inlineStr">
        <is>
          <t>Reforma do Estado e Poder Local</t>
        </is>
      </c>
      <c r="Y1400" s="2" t="inlineStr">
        <is>
          <t>Articulado</t>
        </is>
      </c>
      <c r="Z1400" s="2" t="inlineStr">
        <is>
          <t>Aditamento (Artigo PPL)</t>
        </is>
      </c>
      <c r="AA1400" s="2" t="inlineStr">
        <is>
          <t>Rejeitado(a) em Comissão</t>
        </is>
      </c>
      <c r="AB1400" s="2" t="inlineStr"/>
      <c r="AC1400" s="2" t="inlineStr"/>
      <c r="AD1400" s="2" t="inlineStr">
        <is>
          <t>1</t>
        </is>
      </c>
      <c r="AE1400" s="2" t="inlineStr">
        <is>
          <t>24571</t>
        </is>
      </c>
      <c r="AF1400" s="2" t="inlineStr">
        <is>
          <t>https://www.parlamento.pt/OrcamentoEstado/Paginas/DetalhePropostaAlteracao.aspx?BID=24571</t>
        </is>
      </c>
      <c r="AG1400" s="2" t="inlineStr">
        <is>
          <t>https://app.parlamento.pt/webutils/docs/doc.pdf?path=6148523063484d364c793942556b356c6443397a6158526c63793959566b6c4a544556484c3039464c7a49774d6a59794d4449314d5441774f533951515338775932526b5a44686c4d7930324f5445794c5451355a4441744f474d794d5330795a474d314e6d566c4d474579595749756347526d&amp;Fich=0cddd8e3-6912-49d0-8c21-2dc56ee0a2ab.pdf&amp;Inline=true</t>
        </is>
      </c>
      <c r="AH1400" s="3" t="n">
        <v>46321.77847222222</v>
      </c>
      <c r="AI1400" s="3" t="n">
        <v>46321.78055555555</v>
      </c>
      <c r="AJ1400" s="2" t="inlineStr"/>
    </row>
    <row r="1401">
      <c r="A1401" s="2" t="n">
        <v>1400</v>
      </c>
      <c r="B1401" s="2" t="inlineStr">
        <is>
          <t>1326C</t>
        </is>
      </c>
      <c r="C1401" s="3" t="n">
        <v>45968.54652777778</v>
      </c>
      <c r="D1401" s="2" t="inlineStr">
        <is>
          <t>Original</t>
        </is>
      </c>
      <c r="E1401" s="2" t="inlineStr">
        <is>
          <t>PAN</t>
        </is>
      </c>
      <c r="F1401" s="2" t="inlineStr">
        <is>
          <t>Inês de Sousa Real</t>
        </is>
      </c>
      <c r="G1401" s="2" t="inlineStr">
        <is>
          <t>Art. 63.º (substituição)</t>
        </is>
      </c>
      <c r="H1401" s="2" t="n"/>
      <c r="I1401" s="2" t="n"/>
      <c r="J1401" s="2" t="n"/>
      <c r="K1401" s="2" t="n"/>
      <c r="L1401" s="2" t="inlineStr">
        <is>
          <t>Verba 2.31, Lista I anexa ao Código do IVA</t>
        </is>
      </c>
      <c r="M1401" s="4" t="n"/>
      <c r="N1401" s="4" t="n"/>
      <c r="O1401" s="2" t="n"/>
      <c r="P1401" s="2" t="n"/>
      <c r="Q1401" s="2" t="n"/>
      <c r="R1401" s="2" t="n"/>
      <c r="S1401" s="2" t="inlineStr">
        <is>
          <t>Rejeitado(a) em Comissão</t>
        </is>
      </c>
      <c r="T1401" s="2" t="inlineStr">
        <is>
          <t>Rejeitada</t>
        </is>
      </c>
      <c r="U1401" s="2" t="inlineStr">
        <is>
          <t>Favor: IL, L, BE, PAN; Contra: PSD, CDS-PP; Abstenção: CH, PS, PCP</t>
        </is>
      </c>
      <c r="V1401" s="3" t="n">
        <v>45982</v>
      </c>
      <c r="W1401" s="2" t="inlineStr">
        <is>
          <t>AR: https://www.parlamento.pt/OrcamentoEstado/Paginas/DetalhePropostaAlteracao.aspx?BID=24572 PDF: https://app.parlamento.pt/webutils/docs/doc.pdf?path=6148523063484d364c793942556b356c6443397a6158526c63793959566b6c4a544556484c3039464c7a49774d6a59794d4449314d5441774f5339515153396d4d4459324e4463334d4330324e324d314c5451774d544d74596d59344e7930304f4445314d57466a4d446c6a4e7a59756347526d&amp;Fich=f0664770-67c5-4013-bf87-48151ac09c76.pdf&amp;Inline=true</t>
        </is>
      </c>
      <c r="X1401" s="2" t="inlineStr">
        <is>
          <t>Orçamento, Finanças e Administração Pública</t>
        </is>
      </c>
      <c r="Y1401" s="2" t="inlineStr">
        <is>
          <t>Articulado</t>
        </is>
      </c>
      <c r="Z1401" s="2" t="inlineStr">
        <is>
          <t>Substituição</t>
        </is>
      </c>
      <c r="AA1401" s="2" t="inlineStr">
        <is>
          <t>Rejeitado(a) em Comissão</t>
        </is>
      </c>
      <c r="AB1401" s="2" t="inlineStr"/>
      <c r="AC1401" s="2" t="inlineStr"/>
      <c r="AD1401" s="2" t="inlineStr">
        <is>
          <t>1</t>
        </is>
      </c>
      <c r="AE1401" s="2" t="inlineStr">
        <is>
          <t>24572</t>
        </is>
      </c>
      <c r="AF1401" s="2" t="inlineStr">
        <is>
          <t>https://www.parlamento.pt/OrcamentoEstado/Paginas/DetalhePropostaAlteracao.aspx?BID=24572</t>
        </is>
      </c>
      <c r="AG1401" s="2" t="inlineStr">
        <is>
          <t>https://app.parlamento.pt/webutils/docs/doc.pdf?path=6148523063484d364c793942556b356c6443397a6158526c63793959566b6c4a544556484c3039464c7a49774d6a59794d4449314d5441774f5339515153396d4d4459324e4463334d4330324e324d314c5451774d544d74596d59344e7930304f4445314d57466a4d446c6a4e7a59756347526d&amp;Fich=f0664770-67c5-4013-bf87-48151ac09c76.pdf&amp;Inline=true</t>
        </is>
      </c>
      <c r="AH1401" s="3" t="n">
        <v>46321.77847222222</v>
      </c>
      <c r="AI1401" s="3" t="n">
        <v>46321.78055555555</v>
      </c>
      <c r="AJ1401" s="2" t="inlineStr"/>
    </row>
    <row r="1402">
      <c r="A1402" s="2" t="n">
        <v>1401</v>
      </c>
      <c r="B1402" s="2" t="inlineStr">
        <is>
          <t>1327C</t>
        </is>
      </c>
      <c r="C1402" s="3" t="n">
        <v>45968.54791666667</v>
      </c>
      <c r="D1402" s="2" t="inlineStr">
        <is>
          <t>Original</t>
        </is>
      </c>
      <c r="E1402" s="2" t="inlineStr">
        <is>
          <t>PAN</t>
        </is>
      </c>
      <c r="F1402" s="2" t="inlineStr">
        <is>
          <t>Inês de Sousa Real</t>
        </is>
      </c>
      <c r="G1402" s="2" t="inlineStr">
        <is>
          <t>Art. 108.º-A (aditamento)</t>
        </is>
      </c>
      <c r="H1402" s="2" t="n"/>
      <c r="I1402" s="2" t="n"/>
      <c r="J1402" s="2" t="n"/>
      <c r="K1402" s="2" t="n"/>
      <c r="L1402" s="2" t="inlineStr">
        <is>
          <t>Artigo 108.º-A (Fundo de Emergência para Proteção e Bem-Estar Animal em situações de catástrofe)</t>
        </is>
      </c>
      <c r="M1402" s="4" t="n"/>
      <c r="N1402" s="4" t="n"/>
      <c r="O1402" s="2" t="n"/>
      <c r="P1402" s="2" t="n"/>
      <c r="Q1402" s="2" t="n"/>
      <c r="R1402" s="2" t="n"/>
      <c r="S1402" s="2" t="inlineStr">
        <is>
          <t>Rejeitado(a) em Comissão</t>
        </is>
      </c>
      <c r="T1402" s="2" t="inlineStr">
        <is>
          <t>Rejeitada</t>
        </is>
      </c>
      <c r="U1402" s="2" t="inlineStr">
        <is>
          <t>Favor: CH, L, BE, PAN; Contra: PSD, IL, PCP, CDS-PP; Abstenção: PS</t>
        </is>
      </c>
      <c r="V1402" s="3" t="n">
        <v>45982</v>
      </c>
      <c r="W1402" s="2" t="inlineStr">
        <is>
          <t>AR: https://www.parlamento.pt/OrcamentoEstado/Paginas/DetalhePropostaAlteracao.aspx?BID=24573 PDF: https://app.parlamento.pt/webutils/docs/doc.pdf?path=6148523063484d364c793942556b356c6443397a6158526c63793959566b6c4a544556484c3039464c7a49774d6a59794d4449314d5441774f533951515338355a6d59314d4749344d4330355a44426c4c545131595459744f445a6b4f433030596a413359574a694d6a6c6d4d5459756347526d&amp;Fich=9ff50b80-9d0e-45a6-86d8-4b07abb29f16.pdf&amp;Inline=true</t>
        </is>
      </c>
      <c r="X1402" s="2" t="inlineStr">
        <is>
          <t>Agricultura e Pescas</t>
        </is>
      </c>
      <c r="Y1402" s="2" t="inlineStr">
        <is>
          <t>Articulado</t>
        </is>
      </c>
      <c r="Z1402" s="2" t="inlineStr">
        <is>
          <t>Aditamento (Artigo PPL)</t>
        </is>
      </c>
      <c r="AA1402" s="2" t="inlineStr">
        <is>
          <t>Rejeitado(a) em Comissão</t>
        </is>
      </c>
      <c r="AB1402" s="2" t="inlineStr"/>
      <c r="AC1402" s="2" t="inlineStr"/>
      <c r="AD1402" s="2" t="inlineStr">
        <is>
          <t>1</t>
        </is>
      </c>
      <c r="AE1402" s="2" t="inlineStr">
        <is>
          <t>24573</t>
        </is>
      </c>
      <c r="AF1402" s="2" t="inlineStr">
        <is>
          <t>https://www.parlamento.pt/OrcamentoEstado/Paginas/DetalhePropostaAlteracao.aspx?BID=24573</t>
        </is>
      </c>
      <c r="AG1402" s="2" t="inlineStr">
        <is>
          <t>https://app.parlamento.pt/webutils/docs/doc.pdf?path=6148523063484d364c793942556b356c6443397a6158526c63793959566b6c4a544556484c3039464c7a49774d6a59794d4449314d5441774f533951515338355a6d59314d4749344d4330355a44426c4c545131595459744f445a6b4f433030596a413359574a694d6a6c6d4d5459756347526d&amp;Fich=9ff50b80-9d0e-45a6-86d8-4b07abb29f16.pdf&amp;Inline=true</t>
        </is>
      </c>
      <c r="AH1402" s="3" t="n">
        <v>46321.77847222222</v>
      </c>
      <c r="AI1402" s="3" t="n">
        <v>46321.78055555555</v>
      </c>
      <c r="AJ1402" s="2" t="inlineStr"/>
    </row>
    <row r="1403">
      <c r="A1403" s="2" t="n">
        <v>1402</v>
      </c>
      <c r="B1403" s="2" t="inlineStr">
        <is>
          <t>1328C</t>
        </is>
      </c>
      <c r="C1403" s="3" t="n">
        <v>45968.55</v>
      </c>
      <c r="D1403" s="2" t="inlineStr">
        <is>
          <t>Original</t>
        </is>
      </c>
      <c r="E1403" s="2" t="inlineStr">
        <is>
          <t>PAN</t>
        </is>
      </c>
      <c r="F1403" s="2" t="inlineStr">
        <is>
          <t>Inês de Sousa Real</t>
        </is>
      </c>
      <c r="G1403" s="2" t="inlineStr">
        <is>
          <t>Art. 60.º (aditamento)</t>
        </is>
      </c>
      <c r="H1403" s="2" t="n"/>
      <c r="I1403" s="2" t="n"/>
      <c r="J1403" s="2" t="n"/>
      <c r="K1403" s="2" t="n"/>
      <c r="L1403" s="2" t="inlineStr">
        <is>
          <t>N.º 9, Artigo 78.º-F do Código do IRS</t>
        </is>
      </c>
      <c r="M1403" s="4" t="n"/>
      <c r="N1403" s="4" t="n"/>
      <c r="O1403" s="2" t="n"/>
      <c r="P1403" s="2" t="n"/>
      <c r="Q1403" s="2" t="n"/>
      <c r="R1403" s="2" t="n"/>
      <c r="S1403" s="2" t="inlineStr">
        <is>
          <t>Rejeitado(a) em Comissão</t>
        </is>
      </c>
      <c r="T1403" s="2" t="inlineStr">
        <is>
          <t>Rejeitada</t>
        </is>
      </c>
      <c r="U1403" s="2" t="inlineStr">
        <is>
          <t>Favor: CH, L, PAN; Contra: PSD, IL, PCP, CDS-PP; Abstenção: PS, BE</t>
        </is>
      </c>
      <c r="V1403" s="3" t="n">
        <v>45981</v>
      </c>
      <c r="W1403" s="2" t="inlineStr">
        <is>
          <t>AR: https://www.parlamento.pt/OrcamentoEstado/Paginas/DetalhePropostaAlteracao.aspx?BID=24574 PDF: https://app.parlamento.pt/webutils/docs/doc.pdf?path=6148523063484d364c793942556b356c6443397a6158526c63793959566b6c4a544556484c3039464c7a49774d6a59794d4449314d5441774f533951515338305a4467334e5451774e4331684e3255794c5451304d546774595755325a53316b5a544a6d5a6a55774e3245304f5463756347526d&amp;Fich=4d875404-a7e2-4418-ae6e-de2ff507a497.pdf&amp;Inline=true</t>
        </is>
      </c>
      <c r="X1403" s="2" t="inlineStr">
        <is>
          <t>Orçamento, Finanças e Administração Pública</t>
        </is>
      </c>
      <c r="Y1403" s="2" t="inlineStr">
        <is>
          <t>Articulado</t>
        </is>
      </c>
      <c r="Z1403" s="2" t="inlineStr">
        <is>
          <t>Aditamento (Números e Alíneas)</t>
        </is>
      </c>
      <c r="AA1403" s="2" t="inlineStr">
        <is>
          <t>Rejeitado(a) em Comissão</t>
        </is>
      </c>
      <c r="AB1403" s="2" t="inlineStr"/>
      <c r="AC1403" s="2" t="inlineStr"/>
      <c r="AD1403" s="2" t="inlineStr">
        <is>
          <t>1</t>
        </is>
      </c>
      <c r="AE1403" s="2" t="inlineStr">
        <is>
          <t>24574</t>
        </is>
      </c>
      <c r="AF1403" s="2" t="inlineStr">
        <is>
          <t>https://www.parlamento.pt/OrcamentoEstado/Paginas/DetalhePropostaAlteracao.aspx?BID=24574</t>
        </is>
      </c>
      <c r="AG1403" s="2" t="inlineStr">
        <is>
          <t>https://app.parlamento.pt/webutils/docs/doc.pdf?path=6148523063484d364c793942556b356c6443397a6158526c63793959566b6c4a544556484c3039464c7a49774d6a59794d4449314d5441774f533951515338305a4467334e5451774e4331684e3255794c5451304d546774595755325a53316b5a544a6d5a6a55774e3245304f5463756347526d&amp;Fich=4d875404-a7e2-4418-ae6e-de2ff507a497.pdf&amp;Inline=true</t>
        </is>
      </c>
      <c r="AH1403" s="3" t="n">
        <v>46321.77847222222</v>
      </c>
      <c r="AI1403" s="3" t="n">
        <v>46321.78055555555</v>
      </c>
      <c r="AJ1403" s="2" t="inlineStr"/>
    </row>
    <row r="1404">
      <c r="A1404" s="2" t="n">
        <v>1403</v>
      </c>
      <c r="B1404" s="2" t="inlineStr">
        <is>
          <t>1329C</t>
        </is>
      </c>
      <c r="C1404" s="3" t="n">
        <v>45968.55138888889</v>
      </c>
      <c r="D1404" s="2" t="inlineStr">
        <is>
          <t>Original</t>
        </is>
      </c>
      <c r="E1404" s="2" t="inlineStr">
        <is>
          <t>PAN</t>
        </is>
      </c>
      <c r="F1404" s="2" t="inlineStr">
        <is>
          <t>Inês de Sousa Real</t>
        </is>
      </c>
      <c r="G1404" s="2" t="inlineStr">
        <is>
          <t>Art. 61.º (aditamento)</t>
        </is>
      </c>
      <c r="H1404" s="2" t="n"/>
      <c r="I1404" s="2" t="n"/>
      <c r="J1404" s="2" t="n"/>
      <c r="K1404" s="2" t="n"/>
      <c r="L1404" s="2" t="inlineStr">
        <is>
          <t>Alínea c), N.º 2, Artigo 43.º do Código do IRC</t>
        </is>
      </c>
      <c r="M1404" s="4" t="n"/>
      <c r="N1404" s="4" t="n"/>
      <c r="O1404" s="2" t="n"/>
      <c r="P1404" s="2" t="n"/>
      <c r="Q1404" s="2" t="n"/>
      <c r="R1404" s="2" t="n"/>
      <c r="S1404" s="2" t="inlineStr">
        <is>
          <t>Rejeitado(a) em Comissão</t>
        </is>
      </c>
      <c r="T1404" s="2" t="inlineStr">
        <is>
          <t>Rejeitada</t>
        </is>
      </c>
      <c r="U1404" s="2" t="inlineStr">
        <is>
          <t>Favor: CH, L, PAN; Contra: PSD, PS, IL, PCP, CDS-PP, BE</t>
        </is>
      </c>
      <c r="V1404" s="3" t="n">
        <v>45981</v>
      </c>
      <c r="W1404" s="2" t="inlineStr">
        <is>
          <t>AR: https://www.parlamento.pt/OrcamentoEstado/Paginas/DetalhePropostaAlteracao.aspx?BID=24575 PDF: https://app.parlamento.pt/webutils/docs/doc.pdf?path=6148523063484d364c793942556b356c6443397a6158526c63793959566b6c4a544556484c3039464c7a49774d6a59794d4449314d5441774f533951515338345a6a5932596d52694d6930335a5745774c5451334d5449744f4459324f5330345a6a63334d3251335a474e6a4e4445756347526d&amp;Fich=8f66bdb2-7ea0-4712-8669-8f773d7dcc41.pdf&amp;Inline=true</t>
        </is>
      </c>
      <c r="X1404" s="2" t="inlineStr">
        <is>
          <t>Orçamento, Finanças e Administração Pública</t>
        </is>
      </c>
      <c r="Y1404" s="2" t="inlineStr">
        <is>
          <t>Articulado</t>
        </is>
      </c>
      <c r="Z1404" s="2" t="inlineStr">
        <is>
          <t>Aditamento (Números e Alíneas)</t>
        </is>
      </c>
      <c r="AA1404" s="2" t="inlineStr">
        <is>
          <t>Rejeitado(a) em Comissão</t>
        </is>
      </c>
      <c r="AB1404" s="2" t="inlineStr"/>
      <c r="AC1404" s="2" t="inlineStr"/>
      <c r="AD1404" s="2" t="inlineStr">
        <is>
          <t>1</t>
        </is>
      </c>
      <c r="AE1404" s="2" t="inlineStr">
        <is>
          <t>24575</t>
        </is>
      </c>
      <c r="AF1404" s="2" t="inlineStr">
        <is>
          <t>https://www.parlamento.pt/OrcamentoEstado/Paginas/DetalhePropostaAlteracao.aspx?BID=24575</t>
        </is>
      </c>
      <c r="AG1404" s="2" t="inlineStr">
        <is>
          <t>https://app.parlamento.pt/webutils/docs/doc.pdf?path=6148523063484d364c793942556b356c6443397a6158526c63793959566b6c4a544556484c3039464c7a49774d6a59794d4449314d5441774f533951515338345a6a5932596d52694d6930335a5745774c5451334d5449744f4459324f5330345a6a63334d3251335a474e6a4e4445756347526d&amp;Fich=8f66bdb2-7ea0-4712-8669-8f773d7dcc41.pdf&amp;Inline=true</t>
        </is>
      </c>
      <c r="AH1404" s="3" t="n">
        <v>46321.77847222222</v>
      </c>
      <c r="AI1404" s="3" t="n">
        <v>46321.78055555555</v>
      </c>
      <c r="AJ1404" s="2" t="inlineStr"/>
    </row>
    <row r="1405">
      <c r="A1405" s="2" t="n">
        <v>1404</v>
      </c>
      <c r="B1405" s="2" t="inlineStr">
        <is>
          <t>1330C</t>
        </is>
      </c>
      <c r="C1405" s="3" t="n">
        <v>45968.55208333334</v>
      </c>
      <c r="D1405" s="2" t="inlineStr">
        <is>
          <t>Original</t>
        </is>
      </c>
      <c r="E1405" s="2" t="inlineStr">
        <is>
          <t>PAN</t>
        </is>
      </c>
      <c r="F1405" s="2" t="inlineStr">
        <is>
          <t>Inês de Sousa Real</t>
        </is>
      </c>
      <c r="G1405" s="2" t="inlineStr">
        <is>
          <t>Art. 108.º-A (aditamento)</t>
        </is>
      </c>
      <c r="H1405" s="2" t="n"/>
      <c r="I1405" s="2" t="n"/>
      <c r="J1405" s="2" t="n"/>
      <c r="K1405" s="2" t="n"/>
      <c r="L1405" s="2" t="inlineStr">
        <is>
          <t>Artigo 108.º-A (Rede de bem-estar animal)</t>
        </is>
      </c>
      <c r="M1405" s="4" t="n"/>
      <c r="N1405" s="4" t="n"/>
      <c r="O1405" s="2" t="n"/>
      <c r="P1405" s="2" t="n"/>
      <c r="Q1405" s="2" t="n"/>
      <c r="R1405" s="2" t="n"/>
      <c r="S1405" s="2" t="inlineStr">
        <is>
          <t>Rejeitado(a) em Comissão</t>
        </is>
      </c>
      <c r="T1405" s="2" t="inlineStr">
        <is>
          <t>Rejeitada</t>
        </is>
      </c>
      <c r="U1405" s="2" t="inlineStr">
        <is>
          <t>Favor: CH, L, BE, PAN; Contra: PSD, IL, CDS-PP; Abstenção: PS, PCP</t>
        </is>
      </c>
      <c r="V1405" s="3" t="n">
        <v>45982</v>
      </c>
      <c r="W1405" s="2" t="inlineStr">
        <is>
          <t>AR: https://www.parlamento.pt/OrcamentoEstado/Paginas/DetalhePropostaAlteracao.aspx?BID=24576 PDF: https://app.parlamento.pt/webutils/docs/doc.pdf?path=6148523063484d364c793942556b356c6443397a6158526c63793959566b6c4a544556484c3039464c7a49774d6a59794d4449314d5441774f533951515338785a544a6a4f57526c5a6931694e7a526c4c54526a5a4441744f57526a4f4330325a6a63324e5463354e446c6a595451756347526d&amp;Fich=1e2c9def-b74e-4cd0-9dc8-6f7657949ca4.pdf&amp;Inline=true</t>
        </is>
      </c>
      <c r="X1405" s="2" t="inlineStr">
        <is>
          <t>Agricultura e Pescas</t>
        </is>
      </c>
      <c r="Y1405" s="2" t="inlineStr">
        <is>
          <t>Articulado</t>
        </is>
      </c>
      <c r="Z1405" s="2" t="inlineStr">
        <is>
          <t>Aditamento (Artigo PPL)</t>
        </is>
      </c>
      <c r="AA1405" s="2" t="inlineStr">
        <is>
          <t>Rejeitado(a) em Comissão</t>
        </is>
      </c>
      <c r="AB1405" s="2" t="inlineStr"/>
      <c r="AC1405" s="2" t="inlineStr"/>
      <c r="AD1405" s="2" t="inlineStr">
        <is>
          <t>1</t>
        </is>
      </c>
      <c r="AE1405" s="2" t="inlineStr">
        <is>
          <t>24576</t>
        </is>
      </c>
      <c r="AF1405" s="2" t="inlineStr">
        <is>
          <t>https://www.parlamento.pt/OrcamentoEstado/Paginas/DetalhePropostaAlteracao.aspx?BID=24576</t>
        </is>
      </c>
      <c r="AG1405" s="2" t="inlineStr">
        <is>
          <t>https://app.parlamento.pt/webutils/docs/doc.pdf?path=6148523063484d364c793942556b356c6443397a6158526c63793959566b6c4a544556484c3039464c7a49774d6a59794d4449314d5441774f533951515338785a544a6a4f57526c5a6931694e7a526c4c54526a5a4441744f57526a4f4330325a6a63324e5463354e446c6a595451756347526d&amp;Fich=1e2c9def-b74e-4cd0-9dc8-6f7657949ca4.pdf&amp;Inline=true</t>
        </is>
      </c>
      <c r="AH1405" s="3" t="n">
        <v>46321.77847222222</v>
      </c>
      <c r="AI1405" s="3" t="n">
        <v>46321.78055555555</v>
      </c>
      <c r="AJ1405" s="2" t="inlineStr"/>
    </row>
    <row r="1406">
      <c r="A1406" s="2" t="n">
        <v>1405</v>
      </c>
      <c r="B1406" s="2" t="inlineStr">
        <is>
          <t>1331C</t>
        </is>
      </c>
      <c r="C1406" s="3" t="n">
        <v>45968.55277777778</v>
      </c>
      <c r="D1406" s="2" t="inlineStr">
        <is>
          <t>Original</t>
        </is>
      </c>
      <c r="E1406" s="2" t="inlineStr">
        <is>
          <t>PAN</t>
        </is>
      </c>
      <c r="F1406" s="2" t="inlineStr">
        <is>
          <t>Inês de Sousa Real</t>
        </is>
      </c>
      <c r="G1406" s="2" t="inlineStr">
        <is>
          <t>Art. 43.º-A (aditamento)</t>
        </is>
      </c>
      <c r="H1406" s="2" t="n"/>
      <c r="I1406" s="2" t="n"/>
      <c r="J1406" s="2" t="n"/>
      <c r="K1406" s="2" t="n"/>
      <c r="L1406" s="2" t="inlineStr">
        <is>
          <t>Artigo 43.º-A (Estratégia para a sensibilização e prevenção de situações de assédio e violência em contexto laboral)</t>
        </is>
      </c>
      <c r="M1406" s="4" t="n"/>
      <c r="N1406" s="4" t="n"/>
      <c r="O1406" s="2" t="n"/>
      <c r="P1406" s="2" t="n"/>
      <c r="Q1406" s="2" t="n"/>
      <c r="R1406" s="2" t="n"/>
      <c r="S1406" s="2" t="inlineStr">
        <is>
          <t>Rejeitado(a) em Comissão</t>
        </is>
      </c>
      <c r="T1406" s="2" t="inlineStr">
        <is>
          <t>Rejeitada</t>
        </is>
      </c>
      <c r="U1406" s="2" t="inlineStr">
        <is>
          <t>Favor: CH, L, PCP, BE, PAN; Contra: PSD, CDS-PP; Abstenção: PS, IL</t>
        </is>
      </c>
      <c r="V1406" s="3" t="n">
        <v>45981</v>
      </c>
      <c r="W1406" s="2" t="inlineStr">
        <is>
          <t>AR: https://www.parlamento.pt/OrcamentoEstado/Paginas/DetalhePropostaAlteracao.aspx?BID=24577 PDF: https://app.parlamento.pt/webutils/docs/doc.pdf?path=6148523063484d364c793942556b356c6443397a6158526c63793959566b6c4a544556484c3039464c7a49774d6a59794d4449314d5441774f53395151533830596d526b4e544a684d53307859325a6c4c5451344e5445744f57526b597930324e6d466c4d6a51354f474a6a5a6a51756347526d&amp;Fich=4bdd52a1-1cfe-4851-9ddc-66ae2498bcf4.pdf&amp;Inline=true</t>
        </is>
      </c>
      <c r="X1406" s="2" t="inlineStr">
        <is>
          <t>Assuntos Constitucionais, Direitos, Liberdades e Garantias</t>
        </is>
      </c>
      <c r="Y1406" s="2" t="inlineStr">
        <is>
          <t>Articulado</t>
        </is>
      </c>
      <c r="Z1406" s="2" t="inlineStr">
        <is>
          <t>Aditamento (Artigo PPL)</t>
        </is>
      </c>
      <c r="AA1406" s="2" t="inlineStr">
        <is>
          <t>Rejeitado(a) em Comissão</t>
        </is>
      </c>
      <c r="AB1406" s="2" t="inlineStr"/>
      <c r="AC1406" s="2" t="inlineStr"/>
      <c r="AD1406" s="2" t="inlineStr">
        <is>
          <t>1</t>
        </is>
      </c>
      <c r="AE1406" s="2" t="inlineStr">
        <is>
          <t>24577</t>
        </is>
      </c>
      <c r="AF1406" s="2" t="inlineStr">
        <is>
          <t>https://www.parlamento.pt/OrcamentoEstado/Paginas/DetalhePropostaAlteracao.aspx?BID=24577</t>
        </is>
      </c>
      <c r="AG1406" s="2" t="inlineStr">
        <is>
          <t>https://app.parlamento.pt/webutils/docs/doc.pdf?path=6148523063484d364c793942556b356c6443397a6158526c63793959566b6c4a544556484c3039464c7a49774d6a59794d4449314d5441774f53395151533830596d526b4e544a684d53307859325a6c4c5451344e5445744f57526b597930324e6d466c4d6a51354f474a6a5a6a51756347526d&amp;Fich=4bdd52a1-1cfe-4851-9ddc-66ae2498bcf4.pdf&amp;Inline=true</t>
        </is>
      </c>
      <c r="AH1406" s="3" t="n">
        <v>46321.77847222222</v>
      </c>
      <c r="AI1406" s="3" t="n">
        <v>46321.78055555555</v>
      </c>
      <c r="AJ1406" s="2" t="inlineStr"/>
    </row>
    <row r="1407">
      <c r="A1407" s="2" t="n">
        <v>1406</v>
      </c>
      <c r="B1407" s="2" t="inlineStr">
        <is>
          <t>1332C</t>
        </is>
      </c>
      <c r="C1407" s="3" t="n">
        <v>45968.55416666667</v>
      </c>
      <c r="D1407" s="2" t="inlineStr">
        <is>
          <t>Original</t>
        </is>
      </c>
      <c r="E1407" s="2" t="inlineStr">
        <is>
          <t>PAN</t>
        </is>
      </c>
      <c r="F1407" s="2" t="inlineStr">
        <is>
          <t>Inês de Sousa Real</t>
        </is>
      </c>
      <c r="G1407" s="2" t="inlineStr">
        <is>
          <t>Art. 126.º-A (aditamento)</t>
        </is>
      </c>
      <c r="H1407" s="2" t="n"/>
      <c r="I1407" s="2" t="n"/>
      <c r="J1407" s="2" t="n"/>
      <c r="K1407" s="2" t="n"/>
      <c r="L1407" s="2" t="inlineStr">
        <is>
          <t>Artigo 126.º-A (Contratação de técnicos de saúde ambiental)</t>
        </is>
      </c>
      <c r="M1407" s="4" t="n"/>
      <c r="N1407" s="4" t="n"/>
      <c r="O1407" s="2" t="n"/>
      <c r="P1407" s="2" t="n"/>
      <c r="Q1407" s="2" t="n"/>
      <c r="R1407" s="2" t="n"/>
      <c r="S1407" s="2" t="inlineStr">
        <is>
          <t>Rejeitado(a) em Comissão</t>
        </is>
      </c>
      <c r="T1407" s="2" t="inlineStr">
        <is>
          <t>Rejeitada</t>
        </is>
      </c>
      <c r="U1407" s="2" t="inlineStr">
        <is>
          <t>Favor: CH, L, PCP, BE, PAN; Contra: PSD, IL, CDS-PP; Abstenção: PS</t>
        </is>
      </c>
      <c r="V1407" s="3" t="n">
        <v>45985</v>
      </c>
      <c r="W1407" s="2" t="inlineStr">
        <is>
          <t>AR: https://www.parlamento.pt/OrcamentoEstado/Paginas/DetalhePropostaAlteracao.aspx?BID=24578 PDF: https://app.parlamento.pt/webutils/docs/doc.pdf?path=6148523063484d364c793942556b356c6443397a6158526c63793959566b6c4a544556484c3039464c7a49774d6a59794d4449314d5441774f5339515153387a5a6d4d334e44646a597930335a6d4e6b4c545179596d59744f4456694d5330334d6d4e6b4d6a4d314d44526d4d5441756347526d&amp;Fich=3fc747cc-7fcd-42bf-85b1-72cd23504f10.pdf&amp;Inline=true</t>
        </is>
      </c>
      <c r="X1407" s="2" t="inlineStr">
        <is>
          <t>Ambiente e Energia</t>
        </is>
      </c>
      <c r="Y1407" s="2" t="inlineStr">
        <is>
          <t>Articulado</t>
        </is>
      </c>
      <c r="Z1407" s="2" t="inlineStr">
        <is>
          <t>Aditamento (Artigo PPL)</t>
        </is>
      </c>
      <c r="AA1407" s="2" t="inlineStr">
        <is>
          <t>Rejeitado(a) em Comissão</t>
        </is>
      </c>
      <c r="AB1407" s="2" t="inlineStr"/>
      <c r="AC1407" s="2" t="inlineStr"/>
      <c r="AD1407" s="2" t="inlineStr">
        <is>
          <t>1</t>
        </is>
      </c>
      <c r="AE1407" s="2" t="inlineStr">
        <is>
          <t>24578</t>
        </is>
      </c>
      <c r="AF1407" s="2" t="inlineStr">
        <is>
          <t>https://www.parlamento.pt/OrcamentoEstado/Paginas/DetalhePropostaAlteracao.aspx?BID=24578</t>
        </is>
      </c>
      <c r="AG1407" s="2" t="inlineStr">
        <is>
          <t>https://app.parlamento.pt/webutils/docs/doc.pdf?path=6148523063484d364c793942556b356c6443397a6158526c63793959566b6c4a544556484c3039464c7a49774d6a59794d4449314d5441774f5339515153387a5a6d4d334e44646a597930335a6d4e6b4c545179596d59744f4456694d5330334d6d4e6b4d6a4d314d44526d4d5441756347526d&amp;Fich=3fc747cc-7fcd-42bf-85b1-72cd23504f10.pdf&amp;Inline=true</t>
        </is>
      </c>
      <c r="AH1407" s="3" t="n">
        <v>46321.77847222222</v>
      </c>
      <c r="AI1407" s="3" t="n">
        <v>46321.78055555555</v>
      </c>
      <c r="AJ1407" s="2" t="inlineStr"/>
    </row>
    <row r="1408">
      <c r="A1408" s="2" t="n">
        <v>1407</v>
      </c>
      <c r="B1408" s="2" t="inlineStr">
        <is>
          <t>1333C</t>
        </is>
      </c>
      <c r="C1408" s="3" t="n">
        <v>45968.55486111111</v>
      </c>
      <c r="D1408" s="2" t="inlineStr">
        <is>
          <t>Original</t>
        </is>
      </c>
      <c r="E1408" s="2" t="inlineStr">
        <is>
          <t>PAN</t>
        </is>
      </c>
      <c r="F1408" s="2" t="inlineStr">
        <is>
          <t>Inês de Sousa Real</t>
        </is>
      </c>
      <c r="G1408" s="2" t="inlineStr">
        <is>
          <t>Art. 61.º (substituição)</t>
        </is>
      </c>
      <c r="H1408" s="2" t="n"/>
      <c r="I1408" s="2" t="n"/>
      <c r="J1408" s="2" t="n"/>
      <c r="K1408" s="2" t="n"/>
      <c r="L1408" s="2" t="inlineStr">
        <is>
          <t>N.º 1, Artigo 43.º do Código do IRC</t>
        </is>
      </c>
      <c r="M1408" s="4" t="n"/>
      <c r="N1408" s="4" t="n"/>
      <c r="O1408" s="2" t="n"/>
      <c r="P1408" s="2" t="n"/>
      <c r="Q1408" s="2" t="n"/>
      <c r="R1408" s="2" t="n"/>
      <c r="S1408" s="2" t="inlineStr">
        <is>
          <t>Rejeitado(a) em Comissão</t>
        </is>
      </c>
      <c r="T1408" s="2" t="inlineStr">
        <is>
          <t>Rejeitada</t>
        </is>
      </c>
      <c r="U1408" s="2" t="inlineStr">
        <is>
          <t>Favor: PAN; Contra: PSD, PCP, CDS-PP, BE; Abstenção: CH, PS, IL, L</t>
        </is>
      </c>
      <c r="V1408" s="3" t="n">
        <v>45981</v>
      </c>
      <c r="W1408" s="2" t="inlineStr">
        <is>
          <t>AR: https://www.parlamento.pt/OrcamentoEstado/Paginas/DetalhePropostaAlteracao.aspx?BID=24579 PDF: https://app.parlamento.pt/webutils/docs/doc.pdf?path=6148523063484d364c793942556b356c6443397a6158526c63793959566b6c4a544556484c3039464c7a49774d6a59794d4449314d5441774f533951515338794d54426b4f47497a4e533168597a68694c54526c4d7a6374596a566d5953316b4d5746685a444e6a4d6a566d4f5751756347526d&amp;Fich=210d8b35-ac8b-4e37-b5fa-d1aad3c25f9d.pdf&amp;Inline=true</t>
        </is>
      </c>
      <c r="X1408" s="2" t="inlineStr">
        <is>
          <t>Orçamento, Finanças e Administração Pública</t>
        </is>
      </c>
      <c r="Y1408" s="2" t="inlineStr">
        <is>
          <t>Articulado</t>
        </is>
      </c>
      <c r="Z1408" s="2" t="inlineStr">
        <is>
          <t>Substituição</t>
        </is>
      </c>
      <c r="AA1408" s="2" t="inlineStr">
        <is>
          <t>Rejeitado(a) em Comissão</t>
        </is>
      </c>
      <c r="AB1408" s="2" t="inlineStr"/>
      <c r="AC1408" s="2" t="inlineStr"/>
      <c r="AD1408" s="2" t="inlineStr">
        <is>
          <t>1</t>
        </is>
      </c>
      <c r="AE1408" s="2" t="inlineStr">
        <is>
          <t>24579</t>
        </is>
      </c>
      <c r="AF1408" s="2" t="inlineStr">
        <is>
          <t>https://www.parlamento.pt/OrcamentoEstado/Paginas/DetalhePropostaAlteracao.aspx?BID=24579</t>
        </is>
      </c>
      <c r="AG1408" s="2" t="inlineStr">
        <is>
          <t>https://app.parlamento.pt/webutils/docs/doc.pdf?path=6148523063484d364c793942556b356c6443397a6158526c63793959566b6c4a544556484c3039464c7a49774d6a59794d4449314d5441774f533951515338794d54426b4f47497a4e533168597a68694c54526c4d7a6374596a566d5953316b4d5746685a444e6a4d6a566d4f5751756347526d&amp;Fich=210d8b35-ac8b-4e37-b5fa-d1aad3c25f9d.pdf&amp;Inline=true</t>
        </is>
      </c>
      <c r="AH1408" s="3" t="n">
        <v>46321.77847222222</v>
      </c>
      <c r="AI1408" s="3" t="n">
        <v>46321.78055555555</v>
      </c>
      <c r="AJ1408" s="2" t="inlineStr"/>
    </row>
    <row r="1409">
      <c r="A1409" s="2" t="n">
        <v>1408</v>
      </c>
      <c r="B1409" s="2" t="inlineStr">
        <is>
          <t>1334C</t>
        </is>
      </c>
      <c r="C1409" s="3" t="n">
        <v>45968.55486111111</v>
      </c>
      <c r="D1409" s="2" t="inlineStr">
        <is>
          <t>Original</t>
        </is>
      </c>
      <c r="E1409" s="2" t="inlineStr">
        <is>
          <t>PAN</t>
        </is>
      </c>
      <c r="F1409" s="2" t="inlineStr">
        <is>
          <t>Inês de Sousa Real</t>
        </is>
      </c>
      <c r="G1409" s="2" t="inlineStr">
        <is>
          <t>Art. 126.º-A (aditamento)</t>
        </is>
      </c>
      <c r="H1409" s="2" t="n"/>
      <c r="I1409" s="2" t="n"/>
      <c r="J1409" s="2" t="n"/>
      <c r="K1409" s="2" t="n"/>
      <c r="L1409" s="2" t="inlineStr">
        <is>
          <t>Artigo 126.º-A (Aumento da Rede Nacional de Áreas Marinhas Protegida e criação de "Hope Spots" marítimos e "No Take Zones")</t>
        </is>
      </c>
      <c r="M1409" s="4" t="n"/>
      <c r="N1409" s="4" t="n"/>
      <c r="O1409" s="2" t="n"/>
      <c r="P1409" s="2" t="n"/>
      <c r="Q1409" s="2" t="n"/>
      <c r="R1409" s="2" t="n"/>
      <c r="S1409" s="2" t="inlineStr">
        <is>
          <t>Rejeitado(a) em Comissão</t>
        </is>
      </c>
      <c r="T1409" s="2" t="inlineStr">
        <is>
          <t>Rejeitada</t>
        </is>
      </c>
      <c r="U1409" s="2" t="inlineStr">
        <is>
          <t>Favor: PS, IL, L, BE, PAN; Contra: PSD, CH, PCP, CDS-PP</t>
        </is>
      </c>
      <c r="V1409" s="3" t="n">
        <v>45985</v>
      </c>
      <c r="W1409" s="2" t="inlineStr">
        <is>
          <t>AR: https://www.parlamento.pt/OrcamentoEstado/Paginas/DetalhePropostaAlteracao.aspx?BID=24580 PDF: https://app.parlamento.pt/webutils/docs/doc.pdf?path=6148523063484d364c793942556b356c6443397a6158526c63793959566b6c4a544556484c3039464c7a49774d6a59794d4449314d5441774f5339515153396d5a5451794e5455304e43316d597a526d4c54526a4d6a51744f575979595331694e5751334f4751784e47566d4d7a45756347526d&amp;Fich=fe425544-fc4f-4c24-9f2a-b5d78d14ef31.pdf&amp;Inline=true</t>
        </is>
      </c>
      <c r="X1409" s="2" t="inlineStr">
        <is>
          <t>Ambiente e Energia</t>
        </is>
      </c>
      <c r="Y1409" s="2" t="inlineStr">
        <is>
          <t>Articulado</t>
        </is>
      </c>
      <c r="Z1409" s="2" t="inlineStr">
        <is>
          <t>Aditamento (Artigo PPL)</t>
        </is>
      </c>
      <c r="AA1409" s="2" t="inlineStr">
        <is>
          <t>Rejeitado(a) em Comissão</t>
        </is>
      </c>
      <c r="AB1409" s="2" t="inlineStr"/>
      <c r="AC1409" s="2" t="inlineStr"/>
      <c r="AD1409" s="2" t="inlineStr">
        <is>
          <t>1</t>
        </is>
      </c>
      <c r="AE1409" s="2" t="inlineStr">
        <is>
          <t>24580</t>
        </is>
      </c>
      <c r="AF1409" s="2" t="inlineStr">
        <is>
          <t>https://www.parlamento.pt/OrcamentoEstado/Paginas/DetalhePropostaAlteracao.aspx?BID=24580</t>
        </is>
      </c>
      <c r="AG1409" s="2" t="inlineStr">
        <is>
          <t>https://app.parlamento.pt/webutils/docs/doc.pdf?path=6148523063484d364c793942556b356c6443397a6158526c63793959566b6c4a544556484c3039464c7a49774d6a59794d4449314d5441774f5339515153396d5a5451794e5455304e43316d597a526d4c54526a4d6a51744f575979595331694e5751334f4751784e47566d4d7a45756347526d&amp;Fich=fe425544-fc4f-4c24-9f2a-b5d78d14ef31.pdf&amp;Inline=true</t>
        </is>
      </c>
      <c r="AH1409" s="3" t="n">
        <v>46321.77847222222</v>
      </c>
      <c r="AI1409" s="3" t="n">
        <v>46321.78055555555</v>
      </c>
      <c r="AJ1409" s="2" t="inlineStr"/>
    </row>
    <row r="1410">
      <c r="A1410" s="2" t="n">
        <v>1409</v>
      </c>
      <c r="B1410" s="2" t="inlineStr">
        <is>
          <t>1335C</t>
        </is>
      </c>
      <c r="C1410" s="3" t="n">
        <v>45968.55625</v>
      </c>
      <c r="D1410" s="2" t="inlineStr">
        <is>
          <t>Original</t>
        </is>
      </c>
      <c r="E1410" s="2" t="inlineStr">
        <is>
          <t>PAN</t>
        </is>
      </c>
      <c r="F1410" s="2" t="inlineStr">
        <is>
          <t>Inês de Sousa Real</t>
        </is>
      </c>
      <c r="G1410" s="2" t="inlineStr">
        <is>
          <t>Art. 43.º-A (aditamento)</t>
        </is>
      </c>
      <c r="H1410" s="2" t="n"/>
      <c r="I1410" s="2" t="n"/>
      <c r="J1410" s="2" t="n"/>
      <c r="K1410" s="2" t="n"/>
      <c r="L1410" s="2" t="inlineStr">
        <is>
          <t>Artigo 43.º-A (Programa de Agroflorestas Comunitárias)</t>
        </is>
      </c>
      <c r="M1410" s="4" t="n"/>
      <c r="N1410" s="4" t="n"/>
      <c r="O1410" s="2" t="n"/>
      <c r="P1410" s="2" t="n"/>
      <c r="Q1410" s="2" t="n"/>
      <c r="R1410" s="2" t="n"/>
      <c r="S1410" s="2" t="inlineStr">
        <is>
          <t>Rejeitado(a) em Comissão</t>
        </is>
      </c>
      <c r="T1410" s="2" t="inlineStr">
        <is>
          <t>Rejeitada</t>
        </is>
      </c>
      <c r="U1410" s="2" t="inlineStr">
        <is>
          <t>Favor: CH, L, PCP, BE, PAN; Contra: PSD, IL, CDS-PP; Abstenção: PS</t>
        </is>
      </c>
      <c r="V1410" s="3" t="n">
        <v>45981</v>
      </c>
      <c r="W1410" s="2" t="inlineStr">
        <is>
          <t>AR: https://www.parlamento.pt/OrcamentoEstado/Paginas/DetalhePropostaAlteracao.aspx?BID=24581 PDF: https://app.parlamento.pt/webutils/docs/doc.pdf?path=6148523063484d364c793942556b356c6443397a6158526c63793959566b6c4a544556484c3039464c7a49774d6a59794d4449314d5441774f533951515338314f574e6b4e32566859533077595745304c5452685a4751745954597a4f53316a596a4535596d59314e4459774e5745756347526d&amp;Fich=59cd7eaa-0aa4-4add-a639-cb19bf54605a.pdf&amp;Inline=true</t>
        </is>
      </c>
      <c r="X1410" s="2" t="inlineStr">
        <is>
          <t>Agricultura e Pescas</t>
        </is>
      </c>
      <c r="Y1410" s="2" t="inlineStr">
        <is>
          <t>Articulado</t>
        </is>
      </c>
      <c r="Z1410" s="2" t="inlineStr">
        <is>
          <t>Aditamento (Artigo PPL)</t>
        </is>
      </c>
      <c r="AA1410" s="2" t="inlineStr">
        <is>
          <t>Rejeitado(a) em Comissão</t>
        </is>
      </c>
      <c r="AB1410" s="2" t="inlineStr"/>
      <c r="AC1410" s="2" t="inlineStr"/>
      <c r="AD1410" s="2" t="inlineStr">
        <is>
          <t>1</t>
        </is>
      </c>
      <c r="AE1410" s="2" t="inlineStr">
        <is>
          <t>24581</t>
        </is>
      </c>
      <c r="AF1410" s="2" t="inlineStr">
        <is>
          <t>https://www.parlamento.pt/OrcamentoEstado/Paginas/DetalhePropostaAlteracao.aspx?BID=24581</t>
        </is>
      </c>
      <c r="AG1410" s="2" t="inlineStr">
        <is>
          <t>https://app.parlamento.pt/webutils/docs/doc.pdf?path=6148523063484d364c793942556b356c6443397a6158526c63793959566b6c4a544556484c3039464c7a49774d6a59794d4449314d5441774f533951515338314f574e6b4e32566859533077595745304c5452685a4751745954597a4f53316a596a4535596d59314e4459774e5745756347526d&amp;Fich=59cd7eaa-0aa4-4add-a639-cb19bf54605a.pdf&amp;Inline=true</t>
        </is>
      </c>
      <c r="AH1410" s="3" t="n">
        <v>46321.77847222222</v>
      </c>
      <c r="AI1410" s="3" t="n">
        <v>46321.78055555555</v>
      </c>
      <c r="AJ1410" s="2" t="inlineStr"/>
    </row>
    <row r="1411">
      <c r="A1411" s="2" t="n">
        <v>1410</v>
      </c>
      <c r="B1411" s="2" t="inlineStr">
        <is>
          <t>1336C</t>
        </is>
      </c>
      <c r="C1411" s="3" t="n">
        <v>45968.55625</v>
      </c>
      <c r="D1411" s="2" t="inlineStr">
        <is>
          <t>Original</t>
        </is>
      </c>
      <c r="E1411" s="2" t="inlineStr">
        <is>
          <t>PAN</t>
        </is>
      </c>
      <c r="F1411" s="2" t="inlineStr">
        <is>
          <t>Inês de Sousa Real</t>
        </is>
      </c>
      <c r="G1411" s="2" t="inlineStr">
        <is>
          <t>Art. 22.º-B (aditamento)</t>
        </is>
      </c>
      <c r="H1411" s="2" t="n"/>
      <c r="I1411" s="2" t="n"/>
      <c r="J1411" s="2" t="n"/>
      <c r="K1411" s="2" t="n"/>
      <c r="L1411" s="2" t="inlineStr">
        <is>
          <t>Artigo 22.º-B (Formação para o exercício da profissão de técnico de emergência pré-hospitalar)</t>
        </is>
      </c>
      <c r="M1411" s="4" t="n"/>
      <c r="N1411" s="4" t="n"/>
      <c r="O1411" s="2" t="n"/>
      <c r="P1411" s="2" t="n"/>
      <c r="Q1411" s="2" t="n"/>
      <c r="R1411" s="2" t="n"/>
      <c r="S1411" s="2" t="inlineStr">
        <is>
          <t>Rejeitado(a) em Comissão</t>
        </is>
      </c>
      <c r="T1411" s="2" t="inlineStr">
        <is>
          <t>Rejeitada</t>
        </is>
      </c>
      <c r="U1411" s="2" t="inlineStr">
        <is>
          <t>Favor: IL, L, BE, PAN; Contra: PSD, CDS-PP; Abstenção: CH, PS, PCP</t>
        </is>
      </c>
      <c r="V1411" s="3" t="n">
        <v>45981</v>
      </c>
      <c r="W1411" s="2" t="inlineStr">
        <is>
          <t>AR: https://www.parlamento.pt/OrcamentoEstado/Paginas/DetalhePropostaAlteracao.aspx?BID=24582 PDF: https://app.parlamento.pt/webutils/docs/doc.pdf?path=6148523063484d364c793942556b356c6443397a6158526c63793959566b6c4a544556484c3039464c7a49774d6a59794d4449314d5441774f533951515338304f575669597a4a6d597930314d446c684c545177595449744f474d314d5330314e6d55315a54457a59324a6c4d4749756347526d&amp;Fich=49ebc2fc-509a-40a2-8c51-56e5e13cbe0b.pdf&amp;Inline=true</t>
        </is>
      </c>
      <c r="X1411" s="2" t="inlineStr">
        <is>
          <t>Saúde</t>
        </is>
      </c>
      <c r="Y1411" s="2" t="inlineStr">
        <is>
          <t>Articulado</t>
        </is>
      </c>
      <c r="Z1411" s="2" t="inlineStr">
        <is>
          <t>Aditamento (Artigo PPL)</t>
        </is>
      </c>
      <c r="AA1411" s="2" t="inlineStr">
        <is>
          <t>Rejeitado(a) em Comissão</t>
        </is>
      </c>
      <c r="AB1411" s="2" t="inlineStr"/>
      <c r="AC1411" s="2" t="inlineStr"/>
      <c r="AD1411" s="2" t="inlineStr">
        <is>
          <t>1</t>
        </is>
      </c>
      <c r="AE1411" s="2" t="inlineStr">
        <is>
          <t>24582</t>
        </is>
      </c>
      <c r="AF1411" s="2" t="inlineStr">
        <is>
          <t>https://www.parlamento.pt/OrcamentoEstado/Paginas/DetalhePropostaAlteracao.aspx?BID=24582</t>
        </is>
      </c>
      <c r="AG1411" s="2" t="inlineStr">
        <is>
          <t>https://app.parlamento.pt/webutils/docs/doc.pdf?path=6148523063484d364c793942556b356c6443397a6158526c63793959566b6c4a544556484c3039464c7a49774d6a59794d4449314d5441774f533951515338304f575669597a4a6d597930314d446c684c545177595449744f474d314d5330314e6d55315a54457a59324a6c4d4749756347526d&amp;Fich=49ebc2fc-509a-40a2-8c51-56e5e13cbe0b.pdf&amp;Inline=true</t>
        </is>
      </c>
      <c r="AH1411" s="3" t="n">
        <v>46321.77847222222</v>
      </c>
      <c r="AI1411" s="3" t="n">
        <v>46321.78055555555</v>
      </c>
      <c r="AJ1411" s="2" t="inlineStr"/>
    </row>
    <row r="1412">
      <c r="A1412" s="2" t="n">
        <v>1411</v>
      </c>
      <c r="B1412" s="2" t="inlineStr">
        <is>
          <t>1337C</t>
        </is>
      </c>
      <c r="C1412" s="3" t="n">
        <v>45968.55833333333</v>
      </c>
      <c r="D1412" s="2" t="inlineStr">
        <is>
          <t>Original</t>
        </is>
      </c>
      <c r="E1412" s="2" t="inlineStr">
        <is>
          <t>PAN</t>
        </is>
      </c>
      <c r="F1412" s="2" t="inlineStr">
        <is>
          <t>Inês de Sousa Real</t>
        </is>
      </c>
      <c r="G1412" s="2" t="inlineStr">
        <is>
          <t>Art. 22.º-A (aditamento)</t>
        </is>
      </c>
      <c r="H1412" s="2" t="n"/>
      <c r="I1412" s="2" t="n"/>
      <c r="J1412" s="2" t="n"/>
      <c r="K1412" s="2" t="n"/>
      <c r="L1412" s="2" t="inlineStr">
        <is>
          <t>Artigo 22.º-A (Código de deveres deontológicos aplicáveis aos técnicos auxiliares de saúde)</t>
        </is>
      </c>
      <c r="M1412" s="4" t="n"/>
      <c r="N1412" s="4" t="n"/>
      <c r="O1412" s="2" t="n"/>
      <c r="P1412" s="2" t="n"/>
      <c r="Q1412" s="2" t="n"/>
      <c r="R1412" s="2" t="n"/>
      <c r="S1412" s="2" t="inlineStr">
        <is>
          <t>Aprovado(a) em Comissão</t>
        </is>
      </c>
      <c r="T1412" s="2" t="inlineStr">
        <is>
          <t>Aprovada</t>
        </is>
      </c>
      <c r="U1412" s="2" t="inlineStr">
        <is>
          <t>Favor: PSD, CH, PS, IL, L, CDS-PP, BE, PAN; Abstenção: PCP</t>
        </is>
      </c>
      <c r="V1412" s="3" t="n">
        <v>45981</v>
      </c>
      <c r="W1412" s="2" t="inlineStr">
        <is>
          <t>AR: https://www.parlamento.pt/OrcamentoEstado/Paginas/DetalhePropostaAlteracao.aspx?BID=24583 PDF: https://app.parlamento.pt/webutils/docs/doc.pdf?path=6148523063484d364c793942556b356c6443397a6158526c63793959566b6c4a544556484c3039464c7a49774d6a59794d4449314d5441774f533951515338315a4459784d54557a4d5331684e4752694c5451314f444574596a49774d43316a596d566b597a67324e6d4a694e444d756347526d&amp;Fich=5d611531-a4db-4581-b200-cbedc866bb43.pdf&amp;Inline=true</t>
        </is>
      </c>
      <c r="X1412" s="2" t="inlineStr">
        <is>
          <t>Saúde</t>
        </is>
      </c>
      <c r="Y1412" s="2" t="inlineStr">
        <is>
          <t>Articulado</t>
        </is>
      </c>
      <c r="Z1412" s="2" t="inlineStr">
        <is>
          <t>Aditamento (Artigo PPL)</t>
        </is>
      </c>
      <c r="AA1412" s="2" t="inlineStr">
        <is>
          <t>Aprovado(a) em Comissão</t>
        </is>
      </c>
      <c r="AB1412" s="2" t="inlineStr"/>
      <c r="AC1412" s="2" t="inlineStr"/>
      <c r="AD1412" s="2" t="inlineStr">
        <is>
          <t>1</t>
        </is>
      </c>
      <c r="AE1412" s="2" t="inlineStr">
        <is>
          <t>24583</t>
        </is>
      </c>
      <c r="AF1412" s="2" t="inlineStr">
        <is>
          <t>https://www.parlamento.pt/OrcamentoEstado/Paginas/DetalhePropostaAlteracao.aspx?BID=24583</t>
        </is>
      </c>
      <c r="AG1412" s="2" t="inlineStr">
        <is>
          <t>https://app.parlamento.pt/webutils/docs/doc.pdf?path=6148523063484d364c793942556b356c6443397a6158526c63793959566b6c4a544556484c3039464c7a49774d6a59794d4449314d5441774f533951515338315a4459784d54557a4d5331684e4752694c5451314f444574596a49774d43316a596d566b597a67324e6d4a694e444d756347526d&amp;Fich=5d611531-a4db-4581-b200-cbedc866bb43.pdf&amp;Inline=true</t>
        </is>
      </c>
      <c r="AH1412" s="3" t="n">
        <v>46321.77847222222</v>
      </c>
      <c r="AI1412" s="3" t="n">
        <v>46321.78055555555</v>
      </c>
      <c r="AJ1412" s="2" t="inlineStr"/>
    </row>
    <row r="1413">
      <c r="A1413" s="2" t="n">
        <v>1412</v>
      </c>
      <c r="B1413" s="2" t="inlineStr">
        <is>
          <t>1338C</t>
        </is>
      </c>
      <c r="C1413" s="3" t="n">
        <v>45968.55972222222</v>
      </c>
      <c r="D1413" s="2" t="inlineStr">
        <is>
          <t>Original</t>
        </is>
      </c>
      <c r="E1413" s="2" t="inlineStr">
        <is>
          <t>PAN</t>
        </is>
      </c>
      <c r="F1413" s="2" t="inlineStr">
        <is>
          <t>Inês de Sousa Real</t>
        </is>
      </c>
      <c r="G1413" s="2" t="inlineStr">
        <is>
          <t>Art. 122.º-A (aditamento)</t>
        </is>
      </c>
      <c r="H1413" s="2" t="n"/>
      <c r="I1413" s="2" t="n"/>
      <c r="J1413" s="2" t="n"/>
      <c r="K1413" s="2" t="n"/>
      <c r="L1413" s="2" t="inlineStr">
        <is>
          <t>Artigo 122.º-A (Linha SNS 24)</t>
        </is>
      </c>
      <c r="M1413" s="4" t="n"/>
      <c r="N1413" s="4" t="n"/>
      <c r="O1413" s="2" t="n"/>
      <c r="P1413" s="2" t="n"/>
      <c r="Q1413" s="2" t="n"/>
      <c r="R1413" s="2" t="n"/>
      <c r="S1413" s="2" t="inlineStr">
        <is>
          <t>Rejeitado(a) em Comissão</t>
        </is>
      </c>
      <c r="T1413" s="2" t="inlineStr">
        <is>
          <t>Rejeitada</t>
        </is>
      </c>
      <c r="U1413" s="2" t="inlineStr">
        <is>
          <t>Favor: CH, L, BE, PAN; Contra: PSD, IL, CDS-PP; Abstenção: PS, PCP</t>
        </is>
      </c>
      <c r="V1413" s="3" t="n">
        <v>45985</v>
      </c>
      <c r="W1413" s="2" t="inlineStr">
        <is>
          <t>AR: https://www.parlamento.pt/OrcamentoEstado/Paginas/DetalhePropostaAlteracao.aspx?BID=24584 PDF: https://app.parlamento.pt/webutils/docs/doc.pdf?path=6148523063484d364c793942556b356c6443397a6158526c63793959566b6c4a544556484c3039464c7a49774d6a59794d4449314d5441774f533951515338794d6a526a4f5445304e69316b4d7a6c6c4c5451304e7a4d744f4456684f4330774f4467324d546b314d5745314e7a51756347526d&amp;Fich=224c9146-d39e-4473-85a8-08861951a574.pdf&amp;Inline=true</t>
        </is>
      </c>
      <c r="X1413" s="2" t="inlineStr">
        <is>
          <t>Saúde</t>
        </is>
      </c>
      <c r="Y1413" s="2" t="inlineStr">
        <is>
          <t>Articulado</t>
        </is>
      </c>
      <c r="Z1413" s="2" t="inlineStr">
        <is>
          <t>Aditamento (Artigo PPL)</t>
        </is>
      </c>
      <c r="AA1413" s="2" t="inlineStr">
        <is>
          <t>Rejeitado(a) em Comissão</t>
        </is>
      </c>
      <c r="AB1413" s="2" t="inlineStr"/>
      <c r="AC1413" s="2" t="inlineStr"/>
      <c r="AD1413" s="2" t="inlineStr">
        <is>
          <t>1</t>
        </is>
      </c>
      <c r="AE1413" s="2" t="inlineStr">
        <is>
          <t>24584</t>
        </is>
      </c>
      <c r="AF1413" s="2" t="inlineStr">
        <is>
          <t>https://www.parlamento.pt/OrcamentoEstado/Paginas/DetalhePropostaAlteracao.aspx?BID=24584</t>
        </is>
      </c>
      <c r="AG1413" s="2" t="inlineStr">
        <is>
          <t>https://app.parlamento.pt/webutils/docs/doc.pdf?path=6148523063484d364c793942556b356c6443397a6158526c63793959566b6c4a544556484c3039464c7a49774d6a59794d4449314d5441774f533951515338794d6a526a4f5445304e69316b4d7a6c6c4c5451304e7a4d744f4456684f4330774f4467324d546b314d5745314e7a51756347526d&amp;Fich=224c9146-d39e-4473-85a8-08861951a574.pdf&amp;Inline=true</t>
        </is>
      </c>
      <c r="AH1413" s="3" t="n">
        <v>46321.77847222222</v>
      </c>
      <c r="AI1413" s="3" t="n">
        <v>46321.78055555555</v>
      </c>
      <c r="AJ1413" s="2" t="inlineStr"/>
    </row>
    <row r="1414">
      <c r="A1414" s="2" t="n">
        <v>1413</v>
      </c>
      <c r="B1414" s="2" t="inlineStr">
        <is>
          <t>1339C</t>
        </is>
      </c>
      <c r="C1414" s="3" t="n">
        <v>45968.56041666667</v>
      </c>
      <c r="D1414" s="2" t="inlineStr">
        <is>
          <t>Original</t>
        </is>
      </c>
      <c r="E1414" s="2" t="inlineStr">
        <is>
          <t>PAN</t>
        </is>
      </c>
      <c r="F1414" s="2" t="inlineStr">
        <is>
          <t>Inês de Sousa Real</t>
        </is>
      </c>
      <c r="G1414" s="2" t="inlineStr">
        <is>
          <t>Art. 60.º (aditamento)</t>
        </is>
      </c>
      <c r="H1414" s="2" t="n"/>
      <c r="I1414" s="2" t="n"/>
      <c r="J1414" s="2" t="n"/>
      <c r="K1414" s="2" t="n"/>
      <c r="L1414" s="2" t="inlineStr">
        <is>
          <t>Alínea g), N.º 1, Artigo 2.º-A do Código do IRS</t>
        </is>
      </c>
      <c r="M1414" s="4" t="n"/>
      <c r="N1414" s="4" t="n"/>
      <c r="O1414" s="2" t="n"/>
      <c r="P1414" s="2" t="n"/>
      <c r="Q1414" s="2" t="n"/>
      <c r="R1414" s="2" t="n"/>
      <c r="S1414" s="2" t="inlineStr">
        <is>
          <t>Rejeitado(a) em Comissão</t>
        </is>
      </c>
      <c r="T1414" s="2" t="inlineStr">
        <is>
          <t>Rejeitada</t>
        </is>
      </c>
      <c r="U1414" s="2" t="inlineStr">
        <is>
          <t>Favor: CH, PAN; Contra: PSD, L, PCP, CDS-PP, BE; Abstenção: PS, IL</t>
        </is>
      </c>
      <c r="V1414" s="3" t="n">
        <v>45981</v>
      </c>
      <c r="W1414" s="2" t="inlineStr">
        <is>
          <t>AR: https://www.parlamento.pt/OrcamentoEstado/Paginas/DetalhePropostaAlteracao.aspx?BID=24585 PDF: https://app.parlamento.pt/webutils/docs/doc.pdf?path=6148523063484d364c793942556b356c6443397a6158526c63793959566b6c4a544556484c3039464c7a49774d6a59794d4449314d5441774f53395151533834596d4d794f44677a4d69316b4e6a466d4c5452694f4459744f5467355a43316c4f544e6c4d6d4d78597a4e684d4455756347526d&amp;Fich=8bc28832-d61f-4b86-989d-e93e2c1c3a05.pdf&amp;Inline=true</t>
        </is>
      </c>
      <c r="X1414" s="2" t="inlineStr">
        <is>
          <t>Orçamento, Finanças e Administração Pública</t>
        </is>
      </c>
      <c r="Y1414" s="2" t="inlineStr">
        <is>
          <t>Articulado</t>
        </is>
      </c>
      <c r="Z1414" s="2" t="inlineStr">
        <is>
          <t>Aditamento (Números e Alíneas)</t>
        </is>
      </c>
      <c r="AA1414" s="2" t="inlineStr">
        <is>
          <t>Rejeitado(a) em Comissão</t>
        </is>
      </c>
      <c r="AB1414" s="2" t="inlineStr"/>
      <c r="AC1414" s="2" t="inlineStr"/>
      <c r="AD1414" s="2" t="inlineStr">
        <is>
          <t>1</t>
        </is>
      </c>
      <c r="AE1414" s="2" t="inlineStr">
        <is>
          <t>24585</t>
        </is>
      </c>
      <c r="AF1414" s="2" t="inlineStr">
        <is>
          <t>https://www.parlamento.pt/OrcamentoEstado/Paginas/DetalhePropostaAlteracao.aspx?BID=24585</t>
        </is>
      </c>
      <c r="AG1414" s="2" t="inlineStr">
        <is>
          <t>https://app.parlamento.pt/webutils/docs/doc.pdf?path=6148523063484d364c793942556b356c6443397a6158526c63793959566b6c4a544556484c3039464c7a49774d6a59794d4449314d5441774f53395151533834596d4d794f44677a4d69316b4e6a466d4c5452694f4459744f5467355a43316c4f544e6c4d6d4d78597a4e684d4455756347526d&amp;Fich=8bc28832-d61f-4b86-989d-e93e2c1c3a05.pdf&amp;Inline=true</t>
        </is>
      </c>
      <c r="AH1414" s="3" t="n">
        <v>46321.77847222222</v>
      </c>
      <c r="AI1414" s="3" t="n">
        <v>46321.78055555555</v>
      </c>
      <c r="AJ1414" s="2" t="inlineStr"/>
    </row>
    <row r="1415">
      <c r="A1415" s="2" t="n">
        <v>1414</v>
      </c>
      <c r="B1415" s="2" t="inlineStr">
        <is>
          <t>1340C</t>
        </is>
      </c>
      <c r="C1415" s="3" t="n">
        <v>45968.56111111111</v>
      </c>
      <c r="D1415" s="2" t="inlineStr">
        <is>
          <t>Original</t>
        </is>
      </c>
      <c r="E1415" s="2" t="inlineStr">
        <is>
          <t>PAN</t>
        </is>
      </c>
      <c r="F1415" s="2" t="inlineStr">
        <is>
          <t>Inês de Sousa Real</t>
        </is>
      </c>
      <c r="G1415" s="2" t="inlineStr">
        <is>
          <t>Art. 120.º-A (aditamento)</t>
        </is>
      </c>
      <c r="H1415" s="2" t="n"/>
      <c r="I1415" s="2" t="n"/>
      <c r="J1415" s="2" t="n"/>
      <c r="K1415" s="2" t="n"/>
      <c r="L1415" s="2" t="inlineStr">
        <is>
          <t>Artigo 120.º-A (Literacia, prevenção e formação em saúde)</t>
        </is>
      </c>
      <c r="M1415" s="4" t="n"/>
      <c r="N1415" s="4" t="n"/>
      <c r="O1415" s="2" t="n"/>
      <c r="P1415" s="2" t="n"/>
      <c r="Q1415" s="2" t="n"/>
      <c r="R1415" s="2" t="n"/>
      <c r="S1415" s="2" t="inlineStr">
        <is>
          <t>Aprovado(a) Parcialmente em Comissão</t>
        </is>
      </c>
      <c r="T1415" s="2" t="inlineStr">
        <is>
          <t>Aprovada parcialmente</t>
        </is>
      </c>
      <c r="U1415" s="2" t="inlineStr">
        <is>
          <t>Favor: PSD, PS, L, PCP, CDS-PP, BE, PAN; Abstenção: CH, IL</t>
        </is>
      </c>
      <c r="V1415" s="3" t="n">
        <v>45985</v>
      </c>
      <c r="W1415" s="2" t="inlineStr">
        <is>
          <t>AR: https://www.parlamento.pt/OrcamentoEstado/Paginas/DetalhePropostaAlteracao.aspx?BID=24586 PDF: https://app.parlamento.pt/webutils/docs/doc.pdf?path=6148523063484d364c793942556b356c6443397a6158526c63793959566b6c4a544556484c3039464c7a49774d6a59794d4449314d5441774f5339515153396b4d474e694d6a51784d79307959325a6b4c5451794e6d4574596d51794d5330305a574d334d6d4d774e3252694f5449756347526d&amp;Fich=d0cb2413-2cfd-426a-bd21-4ec72c07db92.pdf&amp;Inline=true</t>
        </is>
      </c>
      <c r="X1415" s="2" t="inlineStr">
        <is>
          <t>Saúde</t>
        </is>
      </c>
      <c r="Y1415" s="2" t="inlineStr">
        <is>
          <t>Articulado</t>
        </is>
      </c>
      <c r="Z1415" s="2" t="inlineStr">
        <is>
          <t>Aditamento (Artigo PPL)</t>
        </is>
      </c>
      <c r="AA1415" s="2" t="inlineStr">
        <is>
          <t>Aprovado(a) Parcialmente em Comissão</t>
        </is>
      </c>
      <c r="AB1415" s="2" t="inlineStr"/>
      <c r="AC1415" s="2" t="inlineStr"/>
      <c r="AD1415" s="2" t="inlineStr">
        <is>
          <t>1</t>
        </is>
      </c>
      <c r="AE1415" s="2" t="inlineStr">
        <is>
          <t>24586</t>
        </is>
      </c>
      <c r="AF1415" s="2" t="inlineStr">
        <is>
          <t>https://www.parlamento.pt/OrcamentoEstado/Paginas/DetalhePropostaAlteracao.aspx?BID=24586</t>
        </is>
      </c>
      <c r="AG1415" s="2" t="inlineStr">
        <is>
          <t>https://app.parlamento.pt/webutils/docs/doc.pdf?path=6148523063484d364c793942556b356c6443397a6158526c63793959566b6c4a544556484c3039464c7a49774d6a59794d4449314d5441774f5339515153396b4d474e694d6a51784d79307959325a6b4c5451794e6d4574596d51794d5330305a574d334d6d4d774e3252694f5449756347526d&amp;Fich=d0cb2413-2cfd-426a-bd21-4ec72c07db92.pdf&amp;Inline=true</t>
        </is>
      </c>
      <c r="AH1415" s="3" t="n">
        <v>46321.77847222222</v>
      </c>
      <c r="AI1415" s="3" t="n">
        <v>46321.78055555555</v>
      </c>
      <c r="AJ1415" s="2" t="inlineStr"/>
    </row>
    <row r="1416">
      <c r="A1416" s="2" t="n">
        <v>1415</v>
      </c>
      <c r="B1416" s="2" t="inlineStr">
        <is>
          <t>1341C</t>
        </is>
      </c>
      <c r="C1416" s="3" t="n">
        <v>45968.56319444445</v>
      </c>
      <c r="D1416" s="2" t="inlineStr">
        <is>
          <t>Original</t>
        </is>
      </c>
      <c r="E1416" s="2" t="inlineStr">
        <is>
          <t>PAN</t>
        </is>
      </c>
      <c r="F1416" s="2" t="inlineStr">
        <is>
          <t>Inês de Sousa Real</t>
        </is>
      </c>
      <c r="G1416" s="2" t="inlineStr">
        <is>
          <t>Art. 116.º-A (aditamento)</t>
        </is>
      </c>
      <c r="H1416" s="2" t="n"/>
      <c r="I1416" s="2" t="n"/>
      <c r="J1416" s="2" t="n"/>
      <c r="K1416" s="2" t="n"/>
      <c r="L1416" s="2" t="inlineStr">
        <is>
          <t>Artigo 116.º-A (Museu Aristides de Sousa Mendes)</t>
        </is>
      </c>
      <c r="M1416" s="4" t="n"/>
      <c r="N1416" s="4" t="n"/>
      <c r="O1416" s="2" t="n"/>
      <c r="P1416" s="2" t="n"/>
      <c r="Q1416" s="2" t="n"/>
      <c r="R1416" s="2" t="n"/>
      <c r="S1416" s="2" t="inlineStr">
        <is>
          <t>Rejeitado(a) em Comissão</t>
        </is>
      </c>
      <c r="T1416" s="2" t="inlineStr">
        <is>
          <t>Rejeitada</t>
        </is>
      </c>
      <c r="U1416" s="2" t="inlineStr">
        <is>
          <t>Favor: CH, IL, L, PCP, BE, PAN; Contra: PSD, CDS-PP; Abstenção: PS</t>
        </is>
      </c>
      <c r="V1416" s="3" t="n">
        <v>45985</v>
      </c>
      <c r="W1416" s="2" t="inlineStr">
        <is>
          <t>AR: https://www.parlamento.pt/OrcamentoEstado/Paginas/DetalhePropostaAlteracao.aspx?BID=24587 PDF: https://app.parlamento.pt/webutils/docs/doc.pdf?path=6148523063484d364c793942556b356c6443397a6158526c63793959566b6c4a544556484c3039464c7a49774d6a59794d4449314d5441774f53395151533877597a41304f5451314e43316b4d7a4d344c5452684f574d744f544d334d7930314f44646c59324e6a4e7a4d794d7a51756347526d&amp;Fich=0c049454-d338-4a9c-9373-587eccc73234.pdf&amp;Inline=true</t>
        </is>
      </c>
      <c r="X1416" s="2" t="inlineStr">
        <is>
          <t>Cultura, Comunicação, Juventude e Desporto</t>
        </is>
      </c>
      <c r="Y1416" s="2" t="inlineStr">
        <is>
          <t>Articulado</t>
        </is>
      </c>
      <c r="Z1416" s="2" t="inlineStr">
        <is>
          <t>Aditamento (Artigo PPL)</t>
        </is>
      </c>
      <c r="AA1416" s="2" t="inlineStr">
        <is>
          <t>Rejeitado(a) em Comissão</t>
        </is>
      </c>
      <c r="AB1416" s="2" t="inlineStr"/>
      <c r="AC1416" s="2" t="inlineStr"/>
      <c r="AD1416" s="2" t="inlineStr">
        <is>
          <t>1</t>
        </is>
      </c>
      <c r="AE1416" s="2" t="inlineStr">
        <is>
          <t>24587</t>
        </is>
      </c>
      <c r="AF1416" s="2" t="inlineStr">
        <is>
          <t>https://www.parlamento.pt/OrcamentoEstado/Paginas/DetalhePropostaAlteracao.aspx?BID=24587</t>
        </is>
      </c>
      <c r="AG1416" s="2" t="inlineStr">
        <is>
          <t>https://app.parlamento.pt/webutils/docs/doc.pdf?path=6148523063484d364c793942556b356c6443397a6158526c63793959566b6c4a544556484c3039464c7a49774d6a59794d4449314d5441774f53395151533877597a41304f5451314e43316b4d7a4d344c5452684f574d744f544d334d7930314f44646c59324e6a4e7a4d794d7a51756347526d&amp;Fich=0c049454-d338-4a9c-9373-587eccc73234.pdf&amp;Inline=true</t>
        </is>
      </c>
      <c r="AH1416" s="3" t="n">
        <v>46321.77847222222</v>
      </c>
      <c r="AI1416" s="3" t="n">
        <v>46321.78055555555</v>
      </c>
      <c r="AJ1416" s="2" t="inlineStr"/>
    </row>
    <row r="1417">
      <c r="A1417" s="2" t="n">
        <v>1416</v>
      </c>
      <c r="B1417" s="2" t="inlineStr">
        <is>
          <t>1342C</t>
        </is>
      </c>
      <c r="C1417" s="3" t="n">
        <v>45968.56458333333</v>
      </c>
      <c r="D1417" s="2" t="inlineStr">
        <is>
          <t>Original</t>
        </is>
      </c>
      <c r="E1417" s="2" t="inlineStr">
        <is>
          <t>PAN</t>
        </is>
      </c>
      <c r="F1417" s="2" t="inlineStr">
        <is>
          <t>Inês de Sousa Real</t>
        </is>
      </c>
      <c r="G1417" s="2" t="inlineStr">
        <is>
          <t>Art. 63.º-A (aditamento)</t>
        </is>
      </c>
      <c r="H1417" s="2" t="n"/>
      <c r="I1417" s="2" t="n"/>
      <c r="J1417" s="2" t="n"/>
      <c r="K1417" s="2" t="n"/>
      <c r="L1417" s="2" t="inlineStr">
        <is>
          <t>Artigo 63.º-A (Alteração ao Decreto-Lei n.º 84/2017, de 21 de julho)</t>
        </is>
      </c>
      <c r="M1417" s="4" t="n"/>
      <c r="N1417" s="4" t="n"/>
      <c r="O1417" s="2" t="n"/>
      <c r="P1417" s="2" t="n"/>
      <c r="Q1417" s="2" t="n"/>
      <c r="R1417" s="2" t="n"/>
      <c r="S1417" s="2" t="inlineStr">
        <is>
          <t>Rejeitado(a) em Comissão</t>
        </is>
      </c>
      <c r="T1417" s="2" t="inlineStr">
        <is>
          <t>Rejeitada</t>
        </is>
      </c>
      <c r="U1417" s="2" t="inlineStr">
        <is>
          <t>Favor: L, PAN; Contra: PSD, IL, CDS-PP; Abstenção: CH, PS, PCP, BE</t>
        </is>
      </c>
      <c r="V1417" s="3" t="n">
        <v>45982</v>
      </c>
      <c r="W1417" s="2" t="inlineStr">
        <is>
          <t>AR: https://www.parlamento.pt/OrcamentoEstado/Paginas/DetalhePropostaAlteracao.aspx?BID=24588 PDF: https://app.parlamento.pt/webutils/docs/doc.pdf?path=6148523063484d364c793942556b356c6443397a6158526c63793959566b6c4a544556484c3039464c7a49774d6a59794d4449314d5441774f5339515153396b59324579596a6c6d5969316b4f446b784c54526c4d47457459545933597930795a6a63344d44426b5a575532595445756347526d&amp;Fich=dca2b9fb-d891-4e0a-a67c-2f7800dee6a1.pdf&amp;Inline=true</t>
        </is>
      </c>
      <c r="X1417" s="2" t="inlineStr">
        <is>
          <t>Orçamento, Finanças e Administração Pública</t>
        </is>
      </c>
      <c r="Y1417" s="2" t="inlineStr">
        <is>
          <t>Articulado</t>
        </is>
      </c>
      <c r="Z1417" s="2" t="inlineStr">
        <is>
          <t>Aditamento (Artigo PPL)</t>
        </is>
      </c>
      <c r="AA1417" s="2" t="inlineStr">
        <is>
          <t>Rejeitado(a) em Comissão</t>
        </is>
      </c>
      <c r="AB1417" s="2" t="inlineStr"/>
      <c r="AC1417" s="2" t="inlineStr"/>
      <c r="AD1417" s="2" t="inlineStr">
        <is>
          <t>1</t>
        </is>
      </c>
      <c r="AE1417" s="2" t="inlineStr">
        <is>
          <t>24588</t>
        </is>
      </c>
      <c r="AF1417" s="2" t="inlineStr">
        <is>
          <t>https://www.parlamento.pt/OrcamentoEstado/Paginas/DetalhePropostaAlteracao.aspx?BID=24588</t>
        </is>
      </c>
      <c r="AG1417" s="2" t="inlineStr">
        <is>
          <t>https://app.parlamento.pt/webutils/docs/doc.pdf?path=6148523063484d364c793942556b356c6443397a6158526c63793959566b6c4a544556484c3039464c7a49774d6a59794d4449314d5441774f5339515153396b59324579596a6c6d5969316b4f446b784c54526c4d47457459545933597930795a6a63344d44426b5a575532595445756347526d&amp;Fich=dca2b9fb-d891-4e0a-a67c-2f7800dee6a1.pdf&amp;Inline=true</t>
        </is>
      </c>
      <c r="AH1417" s="3" t="n">
        <v>46321.77847222222</v>
      </c>
      <c r="AI1417" s="3" t="n">
        <v>46321.78055555555</v>
      </c>
      <c r="AJ1417" s="2" t="inlineStr"/>
    </row>
    <row r="1418">
      <c r="A1418" s="2" t="n">
        <v>1417</v>
      </c>
      <c r="B1418" s="2" t="inlineStr">
        <is>
          <t>1343C</t>
        </is>
      </c>
      <c r="C1418" s="3" t="n">
        <v>45968.56527777778</v>
      </c>
      <c r="D1418" s="2" t="inlineStr">
        <is>
          <t>Original</t>
        </is>
      </c>
      <c r="E1418" s="2" t="inlineStr">
        <is>
          <t>PAN</t>
        </is>
      </c>
      <c r="F1418" s="2" t="inlineStr">
        <is>
          <t>Inês de Sousa Real</t>
        </is>
      </c>
      <c r="G1418" s="2" t="inlineStr">
        <is>
          <t>Art. 138.º (aditamento)</t>
        </is>
      </c>
      <c r="H1418" s="2" t="n"/>
      <c r="I1418" s="2" t="n"/>
      <c r="J1418" s="2" t="n"/>
      <c r="K1418" s="2" t="n"/>
      <c r="L1418" s="2" t="inlineStr">
        <is>
          <t>Alínea c), Artigo 138.º</t>
        </is>
      </c>
      <c r="M1418" s="4" t="n"/>
      <c r="N1418" s="4" t="n"/>
      <c r="O1418" s="2" t="n"/>
      <c r="P1418" s="2" t="n"/>
      <c r="Q1418" s="2" t="n"/>
      <c r="R1418" s="2" t="n"/>
      <c r="S1418" s="2" t="inlineStr">
        <is>
          <t>Rejeitado(a) em Comissão</t>
        </is>
      </c>
      <c r="T1418" s="2" t="inlineStr">
        <is>
          <t>Rejeitada</t>
        </is>
      </c>
      <c r="U1418" s="2" t="inlineStr">
        <is>
          <t>Favor: L, PCP, BE, PAN; Contra: PSD, CH, PS, IL, CDS-PP</t>
        </is>
      </c>
      <c r="V1418" s="3" t="n">
        <v>45987</v>
      </c>
      <c r="W1418" s="2" t="inlineStr">
        <is>
          <t>AR: https://www.parlamento.pt/OrcamentoEstado/Paginas/DetalhePropostaAlteracao.aspx?BID=24589 PDF: https://app.parlamento.pt/webutils/docs/doc.pdf?path=6148523063484d364c793942556b356c6443397a6158526c63793959566b6c4a544556484c3039464c7a49774d6a59794d4449314d5441774f533951515338355a6a67314e7a45785979316d5a54497a4c545179597a457459545a6c5a5330304e7a426d5a475534593249345a6a45756347526d&amp;Fich=9f85711c-fe23-42c1-a6ee-470fde8cb8f1.pdf&amp;Inline=true</t>
        </is>
      </c>
      <c r="X1418" s="2" t="inlineStr">
        <is>
          <t>Orçamento, Finanças e Administração Pública</t>
        </is>
      </c>
      <c r="Y1418" s="2" t="inlineStr">
        <is>
          <t>Articulado</t>
        </is>
      </c>
      <c r="Z1418" s="2" t="inlineStr">
        <is>
          <t>Aditamento (Números e Alíneas)</t>
        </is>
      </c>
      <c r="AA1418" s="2" t="inlineStr">
        <is>
          <t>Rejeitado(a) em Comissão</t>
        </is>
      </c>
      <c r="AB1418" s="2" t="inlineStr"/>
      <c r="AC1418" s="2" t="inlineStr"/>
      <c r="AD1418" s="2" t="inlineStr">
        <is>
          <t>1</t>
        </is>
      </c>
      <c r="AE1418" s="2" t="inlineStr">
        <is>
          <t>24589</t>
        </is>
      </c>
      <c r="AF1418" s="2" t="inlineStr">
        <is>
          <t>https://www.parlamento.pt/OrcamentoEstado/Paginas/DetalhePropostaAlteracao.aspx?BID=24589</t>
        </is>
      </c>
      <c r="AG1418" s="2" t="inlineStr">
        <is>
          <t>https://app.parlamento.pt/webutils/docs/doc.pdf?path=6148523063484d364c793942556b356c6443397a6158526c63793959566b6c4a544556484c3039464c7a49774d6a59794d4449314d5441774f533951515338355a6a67314e7a45785979316d5a54497a4c545179597a457459545a6c5a5330304e7a426d5a475534593249345a6a45756347526d&amp;Fich=9f85711c-fe23-42c1-a6ee-470fde8cb8f1.pdf&amp;Inline=true</t>
        </is>
      </c>
      <c r="AH1418" s="3" t="n">
        <v>46321.77847222222</v>
      </c>
      <c r="AI1418" s="3" t="n">
        <v>46321.78055555555</v>
      </c>
      <c r="AJ1418" s="2" t="inlineStr"/>
    </row>
    <row r="1419">
      <c r="A1419" s="2" t="n">
        <v>1418</v>
      </c>
      <c r="B1419" s="2" t="inlineStr">
        <is>
          <t>1344C</t>
        </is>
      </c>
      <c r="C1419" s="3" t="n">
        <v>45968.56597222222</v>
      </c>
      <c r="D1419" s="2" t="inlineStr">
        <is>
          <t>Original</t>
        </is>
      </c>
      <c r="E1419" s="2" t="inlineStr">
        <is>
          <t>PCP</t>
        </is>
      </c>
      <c r="F1419" s="2" t="inlineStr">
        <is>
          <t>Alfredo Maia; Paula Santos; Paulo Raimundo</t>
        </is>
      </c>
      <c r="G1419" s="2" t="inlineStr">
        <is>
          <t>Art. 113.º-A (aditamento)</t>
        </is>
      </c>
      <c r="H1419" s="2" t="n"/>
      <c r="I1419" s="2" t="n"/>
      <c r="J1419" s="2" t="n"/>
      <c r="K1419" s="2" t="n"/>
      <c r="L1419" s="2" t="inlineStr">
        <is>
          <t>Artigo 113.º-A (Regime de apoio financeiro para aquisição de óculos e lentes, próteses dentárias, aparelhos auditivos e calçado ortopédico)</t>
        </is>
      </c>
      <c r="M1419" s="4" t="n"/>
      <c r="N1419" s="4" t="n"/>
      <c r="O1419" s="2" t="n"/>
      <c r="P1419" s="2" t="n"/>
      <c r="Q1419" s="2" t="n"/>
      <c r="R1419" s="2" t="n"/>
      <c r="S1419" s="2" t="inlineStr">
        <is>
          <t>Rejeitado(a) em Comissão</t>
        </is>
      </c>
      <c r="T1419" s="2" t="inlineStr">
        <is>
          <t>Rejeitada</t>
        </is>
      </c>
      <c r="U1419" s="2" t="inlineStr">
        <is>
          <t>Favor: L, PCP, PAN; Contra: PSD, CDS-PP; Abstenção: CH, PS, IL</t>
        </is>
      </c>
      <c r="V1419" s="3" t="n">
        <v>45985</v>
      </c>
      <c r="W1419" s="2" t="inlineStr">
        <is>
          <t>AR: https://www.parlamento.pt/OrcamentoEstado/Paginas/DetalhePropostaAlteracao.aspx?BID=24590 PDF: https://app.parlamento.pt/webutils/docs/doc.pdf?path=6148523063484d364c793942556b356c6443397a6158526c63793959566b6c4a544556484c3039464c7a49774d6a59794d4449314d5441774f533951515338304f5463304e7a6c6c4d69316c5a57466d4c5451795a544574595749345a69316c4d6d59304e54646c4e6a5931596a49756347526d&amp;Fich=497479e2-eeaf-42e1-ab8f-e2f457e665b2.pdf&amp;Inline=true</t>
        </is>
      </c>
      <c r="X1419" s="2" t="inlineStr">
        <is>
          <t>Trabalho, Segurança Social e Inclusão</t>
        </is>
      </c>
      <c r="Y1419" s="2" t="inlineStr">
        <is>
          <t>Articulado</t>
        </is>
      </c>
      <c r="Z1419" s="2" t="inlineStr">
        <is>
          <t>Aditamento (Artigo PPL)</t>
        </is>
      </c>
      <c r="AA1419" s="2" t="inlineStr">
        <is>
          <t>Rejeitado(a) em Comissão</t>
        </is>
      </c>
      <c r="AB1419" s="2" t="inlineStr"/>
      <c r="AC1419" s="2" t="inlineStr"/>
      <c r="AD1419" s="2" t="inlineStr">
        <is>
          <t>1</t>
        </is>
      </c>
      <c r="AE1419" s="2" t="inlineStr">
        <is>
          <t>24590</t>
        </is>
      </c>
      <c r="AF1419" s="2" t="inlineStr">
        <is>
          <t>https://www.parlamento.pt/OrcamentoEstado/Paginas/DetalhePropostaAlteracao.aspx?BID=24590</t>
        </is>
      </c>
      <c r="AG1419" s="2" t="inlineStr">
        <is>
          <t>https://app.parlamento.pt/webutils/docs/doc.pdf?path=6148523063484d364c793942556b356c6443397a6158526c63793959566b6c4a544556484c3039464c7a49774d6a59794d4449314d5441774f533951515338304f5463304e7a6c6c4d69316c5a57466d4c5451795a544574595749345a69316c4d6d59304e54646c4e6a5931596a49756347526d&amp;Fich=497479e2-eeaf-42e1-ab8f-e2f457e665b2.pdf&amp;Inline=true</t>
        </is>
      </c>
      <c r="AH1419" s="3" t="n">
        <v>46321.77847222222</v>
      </c>
      <c r="AI1419" s="3" t="n">
        <v>46321.78055555555</v>
      </c>
      <c r="AJ1419" s="2" t="inlineStr"/>
    </row>
    <row r="1420">
      <c r="A1420" s="2" t="n">
        <v>1419</v>
      </c>
      <c r="B1420" s="2" t="inlineStr">
        <is>
          <t>1345C</t>
        </is>
      </c>
      <c r="C1420" s="3" t="n">
        <v>45968.56666666667</v>
      </c>
      <c r="D1420" s="2" t="inlineStr">
        <is>
          <t>Original</t>
        </is>
      </c>
      <c r="E1420" s="2" t="inlineStr">
        <is>
          <t>PCP</t>
        </is>
      </c>
      <c r="F1420" s="2" t="inlineStr">
        <is>
          <t>Alfredo Maia; Paula Santos; Paulo Raimundo</t>
        </is>
      </c>
      <c r="G1420" s="2" t="inlineStr">
        <is>
          <t>Art. 21.º-A (aditamento)</t>
        </is>
      </c>
      <c r="H1420" s="2" t="n"/>
      <c r="I1420" s="2" t="n"/>
      <c r="J1420" s="2" t="n"/>
      <c r="K1420" s="2" t="n"/>
      <c r="L1420" s="2" t="inlineStr">
        <is>
          <t>Artigo 21.º-A (Integração na Carreira de Investigação Científica)</t>
        </is>
      </c>
      <c r="M1420" s="4" t="n"/>
      <c r="N1420" s="4" t="n"/>
      <c r="O1420" s="2" t="n"/>
      <c r="P1420" s="2" t="n"/>
      <c r="Q1420" s="2" t="n"/>
      <c r="R1420" s="2" t="n"/>
      <c r="S1420" s="2" t="inlineStr">
        <is>
          <t>Rejeitado(a) em Comissão</t>
        </is>
      </c>
      <c r="T1420" s="2" t="inlineStr">
        <is>
          <t>Rejeitada</t>
        </is>
      </c>
      <c r="U1420" s="2" t="inlineStr">
        <is>
          <t>Favor: CH, PCP, BE, PAN; Contra: PSD, IL, CDS-PP; Abstenção: PS, L</t>
        </is>
      </c>
      <c r="V1420" s="3" t="n">
        <v>45981</v>
      </c>
      <c r="W1420" s="2" t="inlineStr">
        <is>
          <t>AR: https://www.parlamento.pt/OrcamentoEstado/Paginas/DetalhePropostaAlteracao.aspx?BID=24591 PDF: https://app.parlamento.pt/webutils/docs/doc.pdf?path=6148523063484d364c793942556b356c6443397a6158526c63793959566b6c4a544556484c3039464c7a49774d6a59794d4449314d5441774f533951515339694f544d784d32517a4e69307a596d557a4c54526a4d575174595745354d4330334e474e6b4e3259774e6a59304e5467756347526d&amp;Fich=b9313d36-3be3-4c1d-aa90-74cd7f066458.pdf&amp;Inline=true</t>
        </is>
      </c>
      <c r="X1420" s="2" t="inlineStr">
        <is>
          <t>Educação e Ciência</t>
        </is>
      </c>
      <c r="Y1420" s="2" t="inlineStr">
        <is>
          <t>Articulado</t>
        </is>
      </c>
      <c r="Z1420" s="2" t="inlineStr">
        <is>
          <t>Aditamento (Artigo PPL)</t>
        </is>
      </c>
      <c r="AA1420" s="2" t="inlineStr">
        <is>
          <t>Rejeitado(a) em Comissão</t>
        </is>
      </c>
      <c r="AB1420" s="2" t="inlineStr"/>
      <c r="AC1420" s="2" t="inlineStr"/>
      <c r="AD1420" s="2" t="inlineStr">
        <is>
          <t>1</t>
        </is>
      </c>
      <c r="AE1420" s="2" t="inlineStr">
        <is>
          <t>24591</t>
        </is>
      </c>
      <c r="AF1420" s="2" t="inlineStr">
        <is>
          <t>https://www.parlamento.pt/OrcamentoEstado/Paginas/DetalhePropostaAlteracao.aspx?BID=24591</t>
        </is>
      </c>
      <c r="AG1420" s="2" t="inlineStr">
        <is>
          <t>https://app.parlamento.pt/webutils/docs/doc.pdf?path=6148523063484d364c793942556b356c6443397a6158526c63793959566b6c4a544556484c3039464c7a49774d6a59794d4449314d5441774f533951515339694f544d784d32517a4e69307a596d557a4c54526a4d575174595745354d4330334e474e6b4e3259774e6a59304e5467756347526d&amp;Fich=b9313d36-3be3-4c1d-aa90-74cd7f066458.pdf&amp;Inline=true</t>
        </is>
      </c>
      <c r="AH1420" s="3" t="n">
        <v>46321.77847222222</v>
      </c>
      <c r="AI1420" s="3" t="n">
        <v>46321.78055555555</v>
      </c>
      <c r="AJ1420" s="2" t="inlineStr"/>
    </row>
    <row r="1421">
      <c r="A1421" s="2" t="n">
        <v>1420</v>
      </c>
      <c r="B1421" s="2" t="inlineStr">
        <is>
          <t>1346C</t>
        </is>
      </c>
      <c r="C1421" s="3" t="n">
        <v>45968.56666666667</v>
      </c>
      <c r="D1421" s="2" t="inlineStr">
        <is>
          <t>Original</t>
        </is>
      </c>
      <c r="E1421" s="2" t="inlineStr">
        <is>
          <t>PAN</t>
        </is>
      </c>
      <c r="F1421" s="2" t="inlineStr">
        <is>
          <t>Inês de Sousa Real</t>
        </is>
      </c>
      <c r="G1421" s="2" t="inlineStr">
        <is>
          <t>Art. 120.º-A (aditamento)</t>
        </is>
      </c>
      <c r="H1421" s="2" t="n"/>
      <c r="I1421" s="2" t="n"/>
      <c r="J1421" s="2" t="n"/>
      <c r="K1421" s="2" t="n"/>
      <c r="L1421" s="2" t="inlineStr">
        <is>
          <t>Artigo 120.º-A (Centros de crise para vítimas de violência sexual)</t>
        </is>
      </c>
      <c r="M1421" s="4" t="n"/>
      <c r="N1421" s="4" t="n"/>
      <c r="O1421" s="2" t="n"/>
      <c r="P1421" s="2" t="n"/>
      <c r="Q1421" s="2" t="n"/>
      <c r="R1421" s="2" t="n"/>
      <c r="S1421" s="2" t="inlineStr">
        <is>
          <t>Rejeitado(a) em Comissão</t>
        </is>
      </c>
      <c r="T1421" s="2" t="inlineStr">
        <is>
          <t>Rejeitada</t>
        </is>
      </c>
      <c r="U1421" s="2" t="inlineStr">
        <is>
          <t>Favor: CH, L, BE, PAN; Contra: PSD, CDS-PP; Abstenção: PS, IL, PCP</t>
        </is>
      </c>
      <c r="V1421" s="3" t="n">
        <v>45985</v>
      </c>
      <c r="W1421" s="2" t="inlineStr">
        <is>
          <t>AR: https://www.parlamento.pt/OrcamentoEstado/Paginas/DetalhePropostaAlteracao.aspx?BID=24592 PDF: https://app.parlamento.pt/webutils/docs/doc.pdf?path=6148523063484d364c793942556b356c6443397a6158526c63793959566b6c4a544556484c3039464c7a49774d6a59794d4449314d5441774f533951515338304f5467794d7a63354e79316b59574d794c5451795a6a49744f444e6c4d4330344d3255344f54526d4d5746685a4755756347526d&amp;Fich=49823797-dac2-42f2-83e0-83e894f1aade.pdf&amp;Inline=true</t>
        </is>
      </c>
      <c r="X1421" s="2" t="inlineStr">
        <is>
          <t>Assuntos Constitucionais, Direitos, Liberdades e Garantias</t>
        </is>
      </c>
      <c r="Y1421" s="2" t="inlineStr">
        <is>
          <t>Articulado</t>
        </is>
      </c>
      <c r="Z1421" s="2" t="inlineStr">
        <is>
          <t>Aditamento (Artigo PPL)</t>
        </is>
      </c>
      <c r="AA1421" s="2" t="inlineStr">
        <is>
          <t>Rejeitado(a) em Comissão</t>
        </is>
      </c>
      <c r="AB1421" s="2" t="inlineStr"/>
      <c r="AC1421" s="2" t="inlineStr"/>
      <c r="AD1421" s="2" t="inlineStr">
        <is>
          <t>1</t>
        </is>
      </c>
      <c r="AE1421" s="2" t="inlineStr">
        <is>
          <t>24592</t>
        </is>
      </c>
      <c r="AF1421" s="2" t="inlineStr">
        <is>
          <t>https://www.parlamento.pt/OrcamentoEstado/Paginas/DetalhePropostaAlteracao.aspx?BID=24592</t>
        </is>
      </c>
      <c r="AG1421" s="2" t="inlineStr">
        <is>
          <t>https://app.parlamento.pt/webutils/docs/doc.pdf?path=6148523063484d364c793942556b356c6443397a6158526c63793959566b6c4a544556484c3039464c7a49774d6a59794d4449314d5441774f533951515338304f5467794d7a63354e79316b59574d794c5451795a6a49744f444e6c4d4330344d3255344f54526d4d5746685a4755756347526d&amp;Fich=49823797-dac2-42f2-83e0-83e894f1aade.pdf&amp;Inline=true</t>
        </is>
      </c>
      <c r="AH1421" s="3" t="n">
        <v>46321.77847222222</v>
      </c>
      <c r="AI1421" s="3" t="n">
        <v>46321.78055555555</v>
      </c>
      <c r="AJ1421" s="2" t="inlineStr"/>
    </row>
    <row r="1422">
      <c r="A1422" s="2" t="n">
        <v>1421</v>
      </c>
      <c r="B1422" s="2" t="inlineStr">
        <is>
          <t>1347C</t>
        </is>
      </c>
      <c r="C1422" s="3" t="n">
        <v>45968.56666666667</v>
      </c>
      <c r="D1422" s="2" t="inlineStr">
        <is>
          <t>Original</t>
        </is>
      </c>
      <c r="E1422" s="2" t="inlineStr">
        <is>
          <t>PAN</t>
        </is>
      </c>
      <c r="F1422" s="2" t="inlineStr">
        <is>
          <t>Inês de Sousa Real</t>
        </is>
      </c>
      <c r="G1422" s="2" t="inlineStr">
        <is>
          <t>Art. 20.º-A (aditamento)</t>
        </is>
      </c>
      <c r="H1422" s="2" t="n"/>
      <c r="I1422" s="2" t="n"/>
      <c r="J1422" s="2" t="n"/>
      <c r="K1422" s="2" t="n"/>
      <c r="L1422" s="2" t="inlineStr">
        <is>
          <t>Artigo 20.º-A (Atualização dos abonos de funcionários colocados nos serviços externos do Ministério dos Negócios Estrangeiros)</t>
        </is>
      </c>
      <c r="M1422" s="4" t="n"/>
      <c r="N1422" s="4" t="n"/>
      <c r="O1422" s="2" t="n"/>
      <c r="P1422" s="2" t="n"/>
      <c r="Q1422" s="2" t="n"/>
      <c r="R1422" s="2" t="n"/>
      <c r="S1422" s="2" t="inlineStr">
        <is>
          <t>Aprovado(a) em Comissão</t>
        </is>
      </c>
      <c r="T1422" s="2" t="inlineStr">
        <is>
          <t>Aprovada</t>
        </is>
      </c>
      <c r="U1422" s="2" t="inlineStr">
        <is>
          <t>Favor: CH, PS, IL, L, PCP, BE, PAN; Contra: PSD, CDS-PP</t>
        </is>
      </c>
      <c r="V1422" s="3" t="n">
        <v>45981</v>
      </c>
      <c r="W1422" s="2" t="inlineStr">
        <is>
          <t>AR: https://www.parlamento.pt/OrcamentoEstado/Paginas/DetalhePropostaAlteracao.aspx?BID=24593 PDF: https://app.parlamento.pt/webutils/docs/doc.pdf?path=6148523063484d364c793942556b356c6443397a6158526c63793959566b6c4a544556484c3039464c7a49774d6a59794d4449314d5441774f533951515338334f54646d4d6a646d4d4330334d6a42684c54526b596a45744f4456694d53303259546b774d6a4578596d526b596a51756347526d&amp;Fich=797f27f0-720a-4db1-85b1-6a90211bddb4.pdf&amp;Inline=true</t>
        </is>
      </c>
      <c r="X1422" s="2" t="inlineStr">
        <is>
          <t>Negócios Estrangeiros e Comunidades Portuguesas</t>
        </is>
      </c>
      <c r="Y1422" s="2" t="inlineStr">
        <is>
          <t>Articulado</t>
        </is>
      </c>
      <c r="Z1422" s="2" t="inlineStr">
        <is>
          <t>Aditamento (Artigo PPL)</t>
        </is>
      </c>
      <c r="AA1422" s="2" t="inlineStr">
        <is>
          <t>Aprovado(a) em Comissão</t>
        </is>
      </c>
      <c r="AB1422" s="2" t="inlineStr"/>
      <c r="AC1422" s="2" t="inlineStr"/>
      <c r="AD1422" s="2" t="inlineStr">
        <is>
          <t>1</t>
        </is>
      </c>
      <c r="AE1422" s="2" t="inlineStr">
        <is>
          <t>24593</t>
        </is>
      </c>
      <c r="AF1422" s="2" t="inlineStr">
        <is>
          <t>https://www.parlamento.pt/OrcamentoEstado/Paginas/DetalhePropostaAlteracao.aspx?BID=24593</t>
        </is>
      </c>
      <c r="AG1422" s="2" t="inlineStr">
        <is>
          <t>https://app.parlamento.pt/webutils/docs/doc.pdf?path=6148523063484d364c793942556b356c6443397a6158526c63793959566b6c4a544556484c3039464c7a49774d6a59794d4449314d5441774f533951515338334f54646d4d6a646d4d4330334d6a42684c54526b596a45744f4456694d53303259546b774d6a4578596d526b596a51756347526d&amp;Fich=797f27f0-720a-4db1-85b1-6a90211bddb4.pdf&amp;Inline=true</t>
        </is>
      </c>
      <c r="AH1422" s="3" t="n">
        <v>46321.77847222222</v>
      </c>
      <c r="AI1422" s="3" t="n">
        <v>46321.78055555555</v>
      </c>
      <c r="AJ1422" s="2" t="inlineStr"/>
    </row>
    <row r="1423">
      <c r="A1423" s="2" t="n">
        <v>1422</v>
      </c>
      <c r="B1423" s="2" t="inlineStr">
        <is>
          <t>1348C</t>
        </is>
      </c>
      <c r="C1423" s="3" t="n">
        <v>45968.56736111111</v>
      </c>
      <c r="D1423" s="2" t="inlineStr">
        <is>
          <t>Original</t>
        </is>
      </c>
      <c r="E1423" s="2" t="inlineStr">
        <is>
          <t>PCP</t>
        </is>
      </c>
      <c r="F1423" s="2" t="inlineStr">
        <is>
          <t>Alfredo Maia; Paula Santos; Paulo Raimundo</t>
        </is>
      </c>
      <c r="G1423" s="2" t="inlineStr">
        <is>
          <t>Art. 118.º-A (aditamento)</t>
        </is>
      </c>
      <c r="H1423" s="2" t="n"/>
      <c r="I1423" s="2" t="n"/>
      <c r="J1423" s="2" t="n"/>
      <c r="K1423" s="2" t="n"/>
      <c r="L1423" s="2" t="inlineStr">
        <is>
          <t>Artigo 118.º-A (Alargamento do critério de elegibilidade para acesso a bolsa de estudo e aumento do valor das bolsas de estudo)</t>
        </is>
      </c>
      <c r="M1423" s="4" t="n"/>
      <c r="N1423" s="4" t="n"/>
      <c r="O1423" s="2" t="n"/>
      <c r="P1423" s="2" t="n"/>
      <c r="Q1423" s="2" t="n"/>
      <c r="R1423" s="2" t="n"/>
      <c r="S1423" s="2" t="inlineStr">
        <is>
          <t>Rejeitado(a) em Comissão</t>
        </is>
      </c>
      <c r="T1423" s="2" t="inlineStr">
        <is>
          <t>Rejeitada</t>
        </is>
      </c>
      <c r="U1423" s="2" t="inlineStr">
        <is>
          <t>Favor: CH, IL, L, PCP, BE, PAN; Contra: PSD, CDS-PP; Abstenção: PS</t>
        </is>
      </c>
      <c r="V1423" s="3" t="n">
        <v>45985</v>
      </c>
      <c r="W1423" s="2" t="inlineStr">
        <is>
          <t>AR: https://www.parlamento.pt/OrcamentoEstado/Paginas/DetalhePropostaAlteracao.aspx?BID=24594 PDF: https://app.parlamento.pt/webutils/docs/doc.pdf?path=6148523063484d364c793942556b356c6443397a6158526c63793959566b6c4a544556484c3039464c7a49774d6a59794d4449314d5441774f5339515153396d595467344d4759334e79316c4e5441354c54526859545974596a59774d53307a595445344d4459774e5467334d6d51756347526d&amp;Fich=fa880f77-e509-4aa6-b601-3a180605872d.pdf&amp;Inline=true</t>
        </is>
      </c>
      <c r="X1423" s="2" t="inlineStr">
        <is>
          <t>Educação e Ciência</t>
        </is>
      </c>
      <c r="Y1423" s="2" t="inlineStr">
        <is>
          <t>Articulado</t>
        </is>
      </c>
      <c r="Z1423" s="2" t="inlineStr">
        <is>
          <t>Aditamento (Artigo PPL)</t>
        </is>
      </c>
      <c r="AA1423" s="2" t="inlineStr">
        <is>
          <t>Rejeitado(a) em Comissão</t>
        </is>
      </c>
      <c r="AB1423" s="2" t="inlineStr"/>
      <c r="AC1423" s="2" t="inlineStr"/>
      <c r="AD1423" s="2" t="inlineStr">
        <is>
          <t>1</t>
        </is>
      </c>
      <c r="AE1423" s="2" t="inlineStr">
        <is>
          <t>24594</t>
        </is>
      </c>
      <c r="AF1423" s="2" t="inlineStr">
        <is>
          <t>https://www.parlamento.pt/OrcamentoEstado/Paginas/DetalhePropostaAlteracao.aspx?BID=24594</t>
        </is>
      </c>
      <c r="AG1423" s="2" t="inlineStr">
        <is>
          <t>https://app.parlamento.pt/webutils/docs/doc.pdf?path=6148523063484d364c793942556b356c6443397a6158526c63793959566b6c4a544556484c3039464c7a49774d6a59794d4449314d5441774f5339515153396d595467344d4759334e79316c4e5441354c54526859545974596a59774d53307a595445344d4459774e5467334d6d51756347526d&amp;Fich=fa880f77-e509-4aa6-b601-3a180605872d.pdf&amp;Inline=true</t>
        </is>
      </c>
      <c r="AH1423" s="3" t="n">
        <v>46321.77847222222</v>
      </c>
      <c r="AI1423" s="3" t="n">
        <v>46321.78055555555</v>
      </c>
      <c r="AJ1423" s="2" t="inlineStr"/>
    </row>
    <row r="1424">
      <c r="A1424" s="2" t="n">
        <v>1423</v>
      </c>
      <c r="B1424" s="2" t="inlineStr">
        <is>
          <t>1349C</t>
        </is>
      </c>
      <c r="C1424" s="3" t="n">
        <v>45968.56805555556</v>
      </c>
      <c r="D1424" s="2" t="inlineStr">
        <is>
          <t>Original</t>
        </is>
      </c>
      <c r="E1424" s="2" t="inlineStr">
        <is>
          <t>PCP</t>
        </is>
      </c>
      <c r="F1424" s="2" t="inlineStr">
        <is>
          <t>Alfredo Maia; Paula Santos; Paulo Raimundo</t>
        </is>
      </c>
      <c r="G1424" s="2" t="inlineStr">
        <is>
          <t>Art. 125.º-A (aditamento)</t>
        </is>
      </c>
      <c r="H1424" s="2" t="n"/>
      <c r="I1424" s="2" t="n"/>
      <c r="J1424" s="2" t="n"/>
      <c r="K1424" s="2" t="n"/>
      <c r="L1424" s="2" t="inlineStr">
        <is>
          <t>Artigo 125.º-A (Passe inter-regional intermodal)</t>
        </is>
      </c>
      <c r="M1424" s="4" t="n"/>
      <c r="N1424" s="4" t="n"/>
      <c r="O1424" s="2" t="n"/>
      <c r="P1424" s="2" t="n"/>
      <c r="Q1424" s="2" t="n"/>
      <c r="R1424" s="2" t="n"/>
      <c r="S1424" s="2" t="inlineStr">
        <is>
          <t>Rejeitado(a) em Comissão</t>
        </is>
      </c>
      <c r="T1424" s="2" t="inlineStr">
        <is>
          <t>Rejeitada</t>
        </is>
      </c>
      <c r="U1424" s="2" t="inlineStr">
        <is>
          <t>Favor: L, PCP, BE, PAN; Contra: PSD, IL, CDS-PP; Abstenção: CH, PS</t>
        </is>
      </c>
      <c r="V1424" s="3" t="n">
        <v>45985</v>
      </c>
      <c r="W1424" s="2" t="inlineStr">
        <is>
          <t>AR: https://www.parlamento.pt/OrcamentoEstado/Paginas/DetalhePropostaAlteracao.aspx?BID=24595 PDF: https://app.parlamento.pt/webutils/docs/doc.pdf?path=6148523063484d364c793942556b356c6443397a6158526c63793959566b6c4a544556484c3039464c7a49774d6a59794d4449314d5441774f53395151533969597a4d325a6a686b4f53316d4d6a637a4c54526959574d744f4445784d5330324f54597a4e446c6c595455324d4755756347526d&amp;Fich=bc36f8d9-f273-4bac-8111-696349ea560e.pdf&amp;Inline=true</t>
        </is>
      </c>
      <c r="X1424" s="2" t="inlineStr">
        <is>
          <t>Infraestruturas, Mobilidade e Habitação</t>
        </is>
      </c>
      <c r="Y1424" s="2" t="inlineStr">
        <is>
          <t>Articulado</t>
        </is>
      </c>
      <c r="Z1424" s="2" t="inlineStr">
        <is>
          <t>Aditamento (Artigo PPL)</t>
        </is>
      </c>
      <c r="AA1424" s="2" t="inlineStr">
        <is>
          <t>Rejeitado(a) em Comissão</t>
        </is>
      </c>
      <c r="AB1424" s="2" t="inlineStr"/>
      <c r="AC1424" s="2" t="inlineStr"/>
      <c r="AD1424" s="2" t="inlineStr">
        <is>
          <t>1</t>
        </is>
      </c>
      <c r="AE1424" s="2" t="inlineStr">
        <is>
          <t>24595</t>
        </is>
      </c>
      <c r="AF1424" s="2" t="inlineStr">
        <is>
          <t>https://www.parlamento.pt/OrcamentoEstado/Paginas/DetalhePropostaAlteracao.aspx?BID=24595</t>
        </is>
      </c>
      <c r="AG1424" s="2" t="inlineStr">
        <is>
          <t>https://app.parlamento.pt/webutils/docs/doc.pdf?path=6148523063484d364c793942556b356c6443397a6158526c63793959566b6c4a544556484c3039464c7a49774d6a59794d4449314d5441774f53395151533969597a4d325a6a686b4f53316d4d6a637a4c54526959574d744f4445784d5330324f54597a4e446c6c595455324d4755756347526d&amp;Fich=bc36f8d9-f273-4bac-8111-696349ea560e.pdf&amp;Inline=true</t>
        </is>
      </c>
      <c r="AH1424" s="3" t="n">
        <v>46321.77847222222</v>
      </c>
      <c r="AI1424" s="3" t="n">
        <v>46321.78055555555</v>
      </c>
      <c r="AJ1424" s="2" t="inlineStr"/>
    </row>
    <row r="1425">
      <c r="A1425" s="2" t="n">
        <v>1424</v>
      </c>
      <c r="B1425" s="2" t="inlineStr">
        <is>
          <t>1350C</t>
        </is>
      </c>
      <c r="C1425" s="3" t="n">
        <v>45968.56805555556</v>
      </c>
      <c r="D1425" s="2" t="inlineStr">
        <is>
          <t>Original</t>
        </is>
      </c>
      <c r="E1425" s="2" t="inlineStr">
        <is>
          <t>PAN</t>
        </is>
      </c>
      <c r="F1425" s="2" t="inlineStr">
        <is>
          <t>Inês de Sousa Real</t>
        </is>
      </c>
      <c r="G1425" s="2" t="inlineStr">
        <is>
          <t>Art. 118.º-A (aditamento)</t>
        </is>
      </c>
      <c r="H1425" s="2" t="n"/>
      <c r="I1425" s="2" t="n"/>
      <c r="J1425" s="2" t="n"/>
      <c r="K1425" s="2" t="n"/>
      <c r="L1425" s="2" t="inlineStr">
        <is>
          <t>Artigo 118.º-A (Programa de melhoria do atendimento e acompanhamento das vítimas violência sexual no Serviço Nacional de Saúde)</t>
        </is>
      </c>
      <c r="M1425" s="4" t="n"/>
      <c r="N1425" s="4" t="n"/>
      <c r="O1425" s="2" t="n"/>
      <c r="P1425" s="2" t="n"/>
      <c r="Q1425" s="2" t="n"/>
      <c r="R1425" s="2" t="n"/>
      <c r="S1425" s="2" t="inlineStr">
        <is>
          <t>Rejeitado(a) em Comissão</t>
        </is>
      </c>
      <c r="T1425" s="2" t="inlineStr">
        <is>
          <t>Rejeitada</t>
        </is>
      </c>
      <c r="U1425" s="2" t="inlineStr">
        <is>
          <t>Favor: CH, IL, L, PCP, BE, PAN; Contra: PSD, CDS-PP; Abstenção: PS</t>
        </is>
      </c>
      <c r="V1425" s="3" t="n">
        <v>45985</v>
      </c>
      <c r="W1425" s="2" t="inlineStr">
        <is>
          <t>AR: https://www.parlamento.pt/OrcamentoEstado/Paginas/DetalhePropostaAlteracao.aspx?BID=24596 PDF: https://app.parlamento.pt/webutils/docs/doc.pdf?path=6148523063484d364c793942556b356c6443397a6158526c63793959566b6c4a544556484c3039464c7a49774d6a59794d4449314d5441774f533951515338784d6a46684e44466a4e69316d4f4759354c54526d4f545174595745304e5331694d7a6b324e3245304d3246694d6a4d756347526d&amp;Fich=121a41c6-f8f9-4f94-aa45-b3967a43ab23.pdf&amp;Inline=true</t>
        </is>
      </c>
      <c r="X1425" s="2" t="inlineStr">
        <is>
          <t>Assuntos Constitucionais, Direitos, Liberdades e Garantias; Saúde</t>
        </is>
      </c>
      <c r="Y1425" s="2" t="inlineStr">
        <is>
          <t>Articulado</t>
        </is>
      </c>
      <c r="Z1425" s="2" t="inlineStr">
        <is>
          <t>Aditamento (Artigo PPL)</t>
        </is>
      </c>
      <c r="AA1425" s="2" t="inlineStr">
        <is>
          <t>Rejeitado(a) em Comissão</t>
        </is>
      </c>
      <c r="AB1425" s="2" t="inlineStr"/>
      <c r="AC1425" s="2" t="inlineStr"/>
      <c r="AD1425" s="2" t="inlineStr">
        <is>
          <t>1</t>
        </is>
      </c>
      <c r="AE1425" s="2" t="inlineStr">
        <is>
          <t>24596</t>
        </is>
      </c>
      <c r="AF1425" s="2" t="inlineStr">
        <is>
          <t>https://www.parlamento.pt/OrcamentoEstado/Paginas/DetalhePropostaAlteracao.aspx?BID=24596</t>
        </is>
      </c>
      <c r="AG1425" s="2" t="inlineStr">
        <is>
          <t>https://app.parlamento.pt/webutils/docs/doc.pdf?path=6148523063484d364c793942556b356c6443397a6158526c63793959566b6c4a544556484c3039464c7a49774d6a59794d4449314d5441774f533951515338784d6a46684e44466a4e69316d4f4759354c54526d4f545174595745304e5331694d7a6b324e3245304d3246694d6a4d756347526d&amp;Fich=121a41c6-f8f9-4f94-aa45-b3967a43ab23.pdf&amp;Inline=true</t>
        </is>
      </c>
      <c r="AH1425" s="3" t="n">
        <v>46321.77847222222</v>
      </c>
      <c r="AI1425" s="3" t="n">
        <v>46321.78055555555</v>
      </c>
      <c r="AJ1425" s="2" t="inlineStr"/>
    </row>
    <row r="1426">
      <c r="A1426" s="2" t="n">
        <v>1425</v>
      </c>
      <c r="B1426" s="2" t="inlineStr">
        <is>
          <t>1351C</t>
        </is>
      </c>
      <c r="C1426" s="3" t="n">
        <v>45968.56805555556</v>
      </c>
      <c r="D1426" s="2" t="inlineStr">
        <is>
          <t>Original</t>
        </is>
      </c>
      <c r="E1426" s="2" t="inlineStr">
        <is>
          <t>PAN</t>
        </is>
      </c>
      <c r="F1426" s="2" t="inlineStr">
        <is>
          <t>Inês de Sousa Real</t>
        </is>
      </c>
      <c r="G1426" s="2" t="inlineStr">
        <is>
          <t>Art. 20.º-A (aditamento)</t>
        </is>
      </c>
      <c r="H1426" s="2" t="n"/>
      <c r="I1426" s="2" t="n"/>
      <c r="J1426" s="2" t="n"/>
      <c r="K1426" s="2" t="n"/>
      <c r="L1426" s="2" t="inlineStr">
        <is>
          <t>Artigo 20.º-A (Mecanismo extraordinário de garantia de proteção social dos trabalhadores do Ministério dos Negócios Estrangeiros)</t>
        </is>
      </c>
      <c r="M1426" s="4" t="n"/>
      <c r="N1426" s="4" t="n"/>
      <c r="O1426" s="2" t="n"/>
      <c r="P1426" s="2" t="n"/>
      <c r="Q1426" s="2" t="n"/>
      <c r="R1426" s="2" t="n"/>
      <c r="S1426" s="2" t="inlineStr">
        <is>
          <t>Rejeitado(a) em Comissão</t>
        </is>
      </c>
      <c r="T1426" s="2" t="inlineStr">
        <is>
          <t>Rejeitada</t>
        </is>
      </c>
      <c r="U1426" s="2" t="inlineStr">
        <is>
          <t>Favor: CH, L, PCP, BE, PAN; Contra: PSD, CDS-PP; Abstenção: PS, IL</t>
        </is>
      </c>
      <c r="V1426" s="3" t="n">
        <v>45981</v>
      </c>
      <c r="W1426" s="2" t="inlineStr">
        <is>
          <t>AR: https://www.parlamento.pt/OrcamentoEstado/Paginas/DetalhePropostaAlteracao.aspx?BID=24597 PDF: https://app.parlamento.pt/webutils/docs/doc.pdf?path=6148523063484d364c793942556b356c6443397a6158526c63793959566b6c4a544556484c3039464c7a49774d6a59794d4449314d5441774f533951515338794e5745344e7a4a694f53316b4d4755794c5451784f44517459546b335a4330784d5455785a6a51315a5749775a6a55756347526d&amp;Fich=25a872b9-d0e2-4184-a97d-1151f45eb0f5.pdf&amp;Inline=true</t>
        </is>
      </c>
      <c r="X1426" s="2" t="inlineStr">
        <is>
          <t>Negócios Estrangeiros e Comunidades Portuguesas</t>
        </is>
      </c>
      <c r="Y1426" s="2" t="inlineStr">
        <is>
          <t>Articulado</t>
        </is>
      </c>
      <c r="Z1426" s="2" t="inlineStr">
        <is>
          <t>Aditamento (Artigo PPL)</t>
        </is>
      </c>
      <c r="AA1426" s="2" t="inlineStr">
        <is>
          <t>Rejeitado(a) em Comissão</t>
        </is>
      </c>
      <c r="AB1426" s="2" t="inlineStr"/>
      <c r="AC1426" s="2" t="inlineStr"/>
      <c r="AD1426" s="2" t="inlineStr">
        <is>
          <t>1</t>
        </is>
      </c>
      <c r="AE1426" s="2" t="inlineStr">
        <is>
          <t>24597</t>
        </is>
      </c>
      <c r="AF1426" s="2" t="inlineStr">
        <is>
          <t>https://www.parlamento.pt/OrcamentoEstado/Paginas/DetalhePropostaAlteracao.aspx?BID=24597</t>
        </is>
      </c>
      <c r="AG1426" s="2" t="inlineStr">
        <is>
          <t>https://app.parlamento.pt/webutils/docs/doc.pdf?path=6148523063484d364c793942556b356c6443397a6158526c63793959566b6c4a544556484c3039464c7a49774d6a59794d4449314d5441774f533951515338794e5745344e7a4a694f53316b4d4755794c5451784f44517459546b335a4330784d5455785a6a51315a5749775a6a55756347526d&amp;Fich=25a872b9-d0e2-4184-a97d-1151f45eb0f5.pdf&amp;Inline=true</t>
        </is>
      </c>
      <c r="AH1426" s="3" t="n">
        <v>46321.77847222222</v>
      </c>
      <c r="AI1426" s="3" t="n">
        <v>46321.78055555555</v>
      </c>
      <c r="AJ1426" s="2" t="inlineStr"/>
    </row>
    <row r="1427">
      <c r="A1427" s="2" t="n">
        <v>1426</v>
      </c>
      <c r="B1427" s="2" t="inlineStr">
        <is>
          <t>1352C-1</t>
        </is>
      </c>
      <c r="C1427" s="3" t="n">
        <v>45968.56875</v>
      </c>
      <c r="D1427" s="2" t="inlineStr">
        <is>
          <t>Original</t>
        </is>
      </c>
      <c r="E1427" s="2" t="inlineStr">
        <is>
          <t>PCP</t>
        </is>
      </c>
      <c r="F1427" s="2" t="inlineStr">
        <is>
          <t>Alfredo Maia; Paula Santos; Paulo Raimundo</t>
        </is>
      </c>
      <c r="G1427" s="2" t="inlineStr">
        <is>
          <t>Art. 136.º-A (aditamento)</t>
        </is>
      </c>
      <c r="H1427" s="2" t="n"/>
      <c r="I1427" s="2" t="n"/>
      <c r="J1427" s="2" t="n"/>
      <c r="K1427" s="2" t="n"/>
      <c r="L1427" s="2" t="inlineStr">
        <is>
          <t>Artigo 136.º-A (Alteração ao Decreto-Lei n.º 3/2010, de 5 de janeiro)</t>
        </is>
      </c>
      <c r="M1427" s="4" t="n"/>
      <c r="N1427" s="4" t="n"/>
      <c r="O1427" s="2" t="n"/>
      <c r="P1427" s="2" t="n"/>
      <c r="Q1427" s="2" t="n"/>
      <c r="R1427" s="2" t="n"/>
      <c r="S1427" s="2" t="inlineStr">
        <is>
          <t>Rejeitado(a) em Comissão</t>
        </is>
      </c>
      <c r="T1427" s="2" t="inlineStr">
        <is>
          <t>Rejeitada</t>
        </is>
      </c>
      <c r="U1427" s="2" t="inlineStr">
        <is>
          <t>Favor: L, PCP, BE, PAN; Contra: PSD, IL, CDS-PP; Abstenção: CH, PS</t>
        </is>
      </c>
      <c r="V1427" s="3" t="n">
        <v>45987</v>
      </c>
      <c r="W1427" s="2" t="inlineStr">
        <is>
          <t>AR: https://www.parlamento.pt/OrcamentoEstado/Paginas/DetalhePropostaAlteracao.aspx?BID=24598 PDF: https://app.parlamento.pt/webutils/docs/doc.pdf?path=6148523063484d364c793942556b356c6443397a6158526c63793959566b6c4a544556484c3039464c7a49774d6a59794d4449314d5441774f533951515339684d6d4e684d575a6c596931694e6a55774c5452684e6a5574595755304d693169596a6b7a4d5451324e545a694d5759756347526d&amp;Fich=a2ca1feb-b650-4a65-ae42-bb9314656b1f.pdf&amp;Inline=true</t>
        </is>
      </c>
      <c r="X1427" s="2" t="inlineStr">
        <is>
          <t>Orçamento, Finanças e Administração Pública</t>
        </is>
      </c>
      <c r="Y1427" s="2" t="inlineStr">
        <is>
          <t>Articulado</t>
        </is>
      </c>
      <c r="Z1427" s="2" t="inlineStr">
        <is>
          <t>Aditamento (Artigo PPL)</t>
        </is>
      </c>
      <c r="AA1427" s="2" t="inlineStr">
        <is>
          <t>Rejeitado(a) em Comissão</t>
        </is>
      </c>
      <c r="AB1427" s="2" t="inlineStr"/>
      <c r="AC1427" s="2" t="inlineStr">
        <is>
          <t>1</t>
        </is>
      </c>
      <c r="AD1427" s="2" t="inlineStr">
        <is>
          <t>1</t>
        </is>
      </c>
      <c r="AE1427" s="2" t="inlineStr">
        <is>
          <t>24598</t>
        </is>
      </c>
      <c r="AF1427" s="2" t="inlineStr">
        <is>
          <t>https://www.parlamento.pt/OrcamentoEstado/Paginas/DetalhePropostaAlteracao.aspx?BID=24598</t>
        </is>
      </c>
      <c r="AG1427" s="2" t="inlineStr">
        <is>
          <t>https://app.parlamento.pt/webutils/docs/doc.pdf?path=6148523063484d364c793942556b356c6443397a6158526c63793959566b6c4a544556484c3039464c7a49774d6a59794d4449314d5441774f533951515339684d6d4e684d575a6c596931694e6a55774c5452684e6a5574595755304d693169596a6b7a4d5451324e545a694d5759756347526d&amp;Fich=a2ca1feb-b650-4a65-ae42-bb9314656b1f.pdf&amp;Inline=true</t>
        </is>
      </c>
      <c r="AH1427" s="3" t="n">
        <v>46321.77847222222</v>
      </c>
      <c r="AI1427" s="3" t="n">
        <v>46321.78055555555</v>
      </c>
      <c r="AJ1427" s="2" t="inlineStr"/>
    </row>
    <row r="1428">
      <c r="A1428" s="2" t="n">
        <v>1427</v>
      </c>
      <c r="B1428" s="2" t="inlineStr">
        <is>
          <t>1352C-2</t>
        </is>
      </c>
      <c r="C1428" s="3" t="n">
        <v>45968.56875</v>
      </c>
      <c r="D1428" s="2" t="inlineStr">
        <is>
          <t>Original</t>
        </is>
      </c>
      <c r="E1428" s="2" t="inlineStr">
        <is>
          <t>PCP</t>
        </is>
      </c>
      <c r="F1428" s="2" t="inlineStr">
        <is>
          <t>Alfredo Maia; Paula Santos; Paulo Raimundo</t>
        </is>
      </c>
      <c r="G1428" s="2" t="inlineStr">
        <is>
          <t>Art. 136.º-B (aditamento)</t>
        </is>
      </c>
      <c r="H1428" s="2" t="n"/>
      <c r="I1428" s="2" t="n"/>
      <c r="J1428" s="2" t="n"/>
      <c r="K1428" s="2" t="n"/>
      <c r="L1428" s="2" t="inlineStr">
        <is>
          <t>Artigo 136.º-B (Alteração ao Decreto-Lei n.º 3/2010, de 5 de janeiro)</t>
        </is>
      </c>
      <c r="M1428" s="4" t="n"/>
      <c r="N1428" s="4" t="n"/>
      <c r="O1428" s="2" t="n"/>
      <c r="P1428" s="2" t="n"/>
      <c r="Q1428" s="2" t="n"/>
      <c r="R1428" s="2" t="n"/>
      <c r="S1428" s="2" t="inlineStr">
        <is>
          <t>Rejeitado(a) em Comissão</t>
        </is>
      </c>
      <c r="T1428" s="2" t="inlineStr">
        <is>
          <t>Rejeitada</t>
        </is>
      </c>
      <c r="U1428" s="2" t="inlineStr">
        <is>
          <t>Favor: L, PCP, BE, PAN; Contra: PSD, IL, CDS-PP; Abstenção: CH, PS</t>
        </is>
      </c>
      <c r="V1428" s="3" t="n">
        <v>45987</v>
      </c>
      <c r="W1428" s="2" t="inlineStr">
        <is>
          <t>AR: https://www.parlamento.pt/OrcamentoEstado/Paginas/DetalhePropostaAlteracao.aspx?BID=25336 PDF: https://app.parlamento.pt/webutils/docs/doc.pdf?path=6148523063484d364c793942556b356c6443397a6158526c63793959566b6c4a544556484c3039464c7a49774d6a59794d4449314d5441774f5339515153383559544a6c4d6a55794f5330335a5749794c5451344e6a55745954686a5a433033596d457a4d54686b4f54466c596d4d756347526d&amp;Fich=9a2e2529-7eb2-4865-a8cd-7ba318d91ebc.pdf&amp;Inline=true</t>
        </is>
      </c>
      <c r="X1428" s="2" t="inlineStr">
        <is>
          <t>Orçamento, Finanças e Administração Pública</t>
        </is>
      </c>
      <c r="Y1428" s="2" t="inlineStr">
        <is>
          <t>Articulado</t>
        </is>
      </c>
      <c r="Z1428" s="2" t="inlineStr">
        <is>
          <t>Aditamento (Artigo PPL)</t>
        </is>
      </c>
      <c r="AA1428" s="2" t="inlineStr">
        <is>
          <t>Rejeitado(a) em Comissão</t>
        </is>
      </c>
      <c r="AB1428" s="2" t="inlineStr"/>
      <c r="AC1428" s="2" t="inlineStr">
        <is>
          <t>2</t>
        </is>
      </c>
      <c r="AD1428" s="2" t="inlineStr">
        <is>
          <t>1</t>
        </is>
      </c>
      <c r="AE1428" s="2" t="inlineStr">
        <is>
          <t>25336</t>
        </is>
      </c>
      <c r="AF1428" s="2" t="inlineStr">
        <is>
          <t>https://www.parlamento.pt/OrcamentoEstado/Paginas/DetalhePropostaAlteracao.aspx?BID=25336</t>
        </is>
      </c>
      <c r="AG1428" s="2" t="inlineStr">
        <is>
          <t>https://app.parlamento.pt/webutils/docs/doc.pdf?path=6148523063484d364c793942556b356c6443397a6158526c63793959566b6c4a544556484c3039464c7a49774d6a59794d4449314d5441774f5339515153383559544a6c4d6a55794f5330335a5749794c5451344e6a55745954686a5a433033596d457a4d54686b4f54466c596d4d756347526d&amp;Fich=9a2e2529-7eb2-4865-a8cd-7ba318d91ebc.pdf&amp;Inline=true</t>
        </is>
      </c>
      <c r="AH1428" s="3" t="n">
        <v>46321.77847222222</v>
      </c>
      <c r="AI1428" s="3" t="n">
        <v>46321.78055555555</v>
      </c>
      <c r="AJ1428" s="2" t="inlineStr"/>
    </row>
    <row r="1429">
      <c r="A1429" s="2" t="n">
        <v>1428</v>
      </c>
      <c r="B1429" s="2" t="inlineStr">
        <is>
          <t>1352C-3</t>
        </is>
      </c>
      <c r="C1429" s="3" t="n">
        <v>45968.56875</v>
      </c>
      <c r="D1429" s="2" t="inlineStr">
        <is>
          <t>Original</t>
        </is>
      </c>
      <c r="E1429" s="2" t="inlineStr">
        <is>
          <t>PCP</t>
        </is>
      </c>
      <c r="F1429" s="2" t="inlineStr">
        <is>
          <t>Alfredo Maia; Paula Santos; Paulo Raimundo</t>
        </is>
      </c>
      <c r="G1429" s="2" t="inlineStr">
        <is>
          <t>Art. 136.º-C (aditamento)</t>
        </is>
      </c>
      <c r="H1429" s="2" t="n"/>
      <c r="I1429" s="2" t="n"/>
      <c r="J1429" s="2" t="n"/>
      <c r="K1429" s="2" t="n"/>
      <c r="L1429" s="2" t="inlineStr">
        <is>
          <t>Artigo 136.º-C (Alteração ao Decreto-Lei n.º 27-C/2000, de 10 março)</t>
        </is>
      </c>
      <c r="M1429" s="4" t="n"/>
      <c r="N1429" s="4" t="n"/>
      <c r="O1429" s="2" t="n"/>
      <c r="P1429" s="2" t="n"/>
      <c r="Q1429" s="2" t="n"/>
      <c r="R1429" s="2" t="n"/>
      <c r="S1429" s="2" t="inlineStr">
        <is>
          <t>Rejeitado(a) em Comissão</t>
        </is>
      </c>
      <c r="T1429" s="2" t="inlineStr">
        <is>
          <t>Rejeitada</t>
        </is>
      </c>
      <c r="U1429" s="2" t="inlineStr">
        <is>
          <t>Favor: IL, L, PCP, BE, PAN; Contra: PSD, CDS-PP; Abstenção: CH, PS</t>
        </is>
      </c>
      <c r="V1429" s="3" t="n">
        <v>45987</v>
      </c>
      <c r="W1429" s="2" t="inlineStr">
        <is>
          <t>AR: https://www.parlamento.pt/OrcamentoEstado/Paginas/DetalhePropostaAlteracao.aspx?BID=25337 PDF: https://app.parlamento.pt/webutils/docs/doc.pdf?path=6148523063484d364c793942556b356c6443397a6158526c63793959566b6c4a544556484c3039464c7a49774d6a59794d4449314d5441774f533951515338354f544532593256694d79316c4d6d4d354c545132596d557459546b774d69307a4e4456684e7a4a6d4d7a55775a6a63756347526d&amp;Fich=9916ceb3-e2c9-46be-a902-345a72f350f7.pdf&amp;Inline=true</t>
        </is>
      </c>
      <c r="X1429" s="2" t="inlineStr">
        <is>
          <t>Orçamento, Finanças e Administração Pública</t>
        </is>
      </c>
      <c r="Y1429" s="2" t="inlineStr">
        <is>
          <t>Articulado</t>
        </is>
      </c>
      <c r="Z1429" s="2" t="inlineStr">
        <is>
          <t>Aditamento (Artigo PPL)</t>
        </is>
      </c>
      <c r="AA1429" s="2" t="inlineStr">
        <is>
          <t>Rejeitado(a) em Comissão</t>
        </is>
      </c>
      <c r="AB1429" s="2" t="inlineStr"/>
      <c r="AC1429" s="2" t="inlineStr">
        <is>
          <t>3</t>
        </is>
      </c>
      <c r="AD1429" s="2" t="inlineStr">
        <is>
          <t>1</t>
        </is>
      </c>
      <c r="AE1429" s="2" t="inlineStr">
        <is>
          <t>25337</t>
        </is>
      </c>
      <c r="AF1429" s="2" t="inlineStr">
        <is>
          <t>https://www.parlamento.pt/OrcamentoEstado/Paginas/DetalhePropostaAlteracao.aspx?BID=25337</t>
        </is>
      </c>
      <c r="AG1429" s="2" t="inlineStr">
        <is>
          <t>https://app.parlamento.pt/webutils/docs/doc.pdf?path=6148523063484d364c793942556b356c6443397a6158526c63793959566b6c4a544556484c3039464c7a49774d6a59794d4449314d5441774f533951515338354f544532593256694d79316c4d6d4d354c545132596d557459546b774d69307a4e4456684e7a4a6d4d7a55775a6a63756347526d&amp;Fich=9916ceb3-e2c9-46be-a902-345a72f350f7.pdf&amp;Inline=true</t>
        </is>
      </c>
      <c r="AH1429" s="3" t="n">
        <v>46321.77847222222</v>
      </c>
      <c r="AI1429" s="3" t="n">
        <v>46321.78055555555</v>
      </c>
      <c r="AJ1429" s="2" t="inlineStr"/>
    </row>
    <row r="1430">
      <c r="A1430" s="2" t="n">
        <v>1429</v>
      </c>
      <c r="B1430" s="2" t="inlineStr">
        <is>
          <t>1353C</t>
        </is>
      </c>
      <c r="C1430" s="3" t="n">
        <v>45968.56875</v>
      </c>
      <c r="D1430" s="2" t="inlineStr">
        <is>
          <t>Original</t>
        </is>
      </c>
      <c r="E1430" s="2" t="inlineStr">
        <is>
          <t>PCP</t>
        </is>
      </c>
      <c r="F1430" s="2" t="inlineStr">
        <is>
          <t>Alfredo Maia; Paula Santos; Paulo Raimundo</t>
        </is>
      </c>
      <c r="G1430" s="2" t="inlineStr">
        <is>
          <t>Art. 38.º-A (aditamento)</t>
        </is>
      </c>
      <c r="H1430" s="2" t="n"/>
      <c r="I1430" s="2" t="n"/>
      <c r="J1430" s="2" t="n"/>
      <c r="K1430" s="2" t="n"/>
      <c r="L1430" s="2" t="inlineStr">
        <is>
          <t>Artigo 38.º-A (Valorização das longas carreiras contributivas)</t>
        </is>
      </c>
      <c r="M1430" s="4" t="n"/>
      <c r="N1430" s="4" t="n"/>
      <c r="O1430" s="2" t="n"/>
      <c r="P1430" s="2" t="n"/>
      <c r="Q1430" s="2" t="n"/>
      <c r="R1430" s="2" t="n"/>
      <c r="S1430" s="2" t="inlineStr">
        <is>
          <t>Rejeitado(a) em Comissão</t>
        </is>
      </c>
      <c r="T1430" s="2" t="inlineStr">
        <is>
          <t>Rejeitada</t>
        </is>
      </c>
      <c r="U1430" s="2" t="inlineStr">
        <is>
          <t>Favor: CH, L, PCP, BE, PAN; Contra: PSD, PS, IL, CDS-PP</t>
        </is>
      </c>
      <c r="V1430" s="3" t="n">
        <v>45981</v>
      </c>
      <c r="W1430" s="2" t="inlineStr">
        <is>
          <t>AR: https://www.parlamento.pt/OrcamentoEstado/Paginas/DetalhePropostaAlteracao.aspx?BID=24599 PDF: https://app.parlamento.pt/webutils/docs/doc.pdf?path=6148523063484d364c793942556b356c6443397a6158526c63793959566b6c4a544556484c3039464c7a49774d6a59794d4449314d5441774f533951515338314f4449314d5463335a4330345a446b354c545133597a6b74596a417a5a4330345a4459304d7a51335954426a4d6a4d756347526d&amp;Fich=5825177d-8d99-47c9-b03d-8d64347a0c23.pdf&amp;Inline=true</t>
        </is>
      </c>
      <c r="X1430" s="2" t="inlineStr">
        <is>
          <t>Trabalho, Segurança Social e Inclusão</t>
        </is>
      </c>
      <c r="Y1430" s="2" t="inlineStr">
        <is>
          <t>Articulado</t>
        </is>
      </c>
      <c r="Z1430" s="2" t="inlineStr">
        <is>
          <t>Aditamento (Artigo PPL)</t>
        </is>
      </c>
      <c r="AA1430" s="2" t="inlineStr">
        <is>
          <t>Rejeitado(a) em Comissão</t>
        </is>
      </c>
      <c r="AB1430" s="2" t="inlineStr"/>
      <c r="AC1430" s="2" t="inlineStr"/>
      <c r="AD1430" s="2" t="inlineStr">
        <is>
          <t>1</t>
        </is>
      </c>
      <c r="AE1430" s="2" t="inlineStr">
        <is>
          <t>24599</t>
        </is>
      </c>
      <c r="AF1430" s="2" t="inlineStr">
        <is>
          <t>https://www.parlamento.pt/OrcamentoEstado/Paginas/DetalhePropostaAlteracao.aspx?BID=24599</t>
        </is>
      </c>
      <c r="AG1430" s="2" t="inlineStr">
        <is>
          <t>https://app.parlamento.pt/webutils/docs/doc.pdf?path=6148523063484d364c793942556b356c6443397a6158526c63793959566b6c4a544556484c3039464c7a49774d6a59794d4449314d5441774f533951515338314f4449314d5463335a4330345a446b354c545133597a6b74596a417a5a4330345a4459304d7a51335954426a4d6a4d756347526d&amp;Fich=5825177d-8d99-47c9-b03d-8d64347a0c23.pdf&amp;Inline=true</t>
        </is>
      </c>
      <c r="AH1430" s="3" t="n">
        <v>46321.77847222222</v>
      </c>
      <c r="AI1430" s="3" t="n">
        <v>46321.78055555555</v>
      </c>
      <c r="AJ1430" s="2" t="inlineStr"/>
    </row>
    <row r="1431">
      <c r="A1431" s="2" t="n">
        <v>1430</v>
      </c>
      <c r="B1431" s="2" t="inlineStr">
        <is>
          <t>1354C</t>
        </is>
      </c>
      <c r="C1431" s="3" t="n">
        <v>45968.56944444445</v>
      </c>
      <c r="D1431" s="2" t="inlineStr">
        <is>
          <t>Original</t>
        </is>
      </c>
      <c r="E1431" s="2" t="inlineStr">
        <is>
          <t>PAN</t>
        </is>
      </c>
      <c r="F1431" s="2" t="inlineStr">
        <is>
          <t>Inês de Sousa Real</t>
        </is>
      </c>
      <c r="G1431" s="2" t="inlineStr">
        <is>
          <t>Art. 118.º-A (aditamento)</t>
        </is>
      </c>
      <c r="H1431" s="2" t="n"/>
      <c r="I1431" s="2" t="n"/>
      <c r="J1431" s="2" t="n"/>
      <c r="K1431" s="2" t="n"/>
      <c r="L1431" s="2" t="inlineStr">
        <is>
          <t>Artigo 118.º-A (Programa de formação relativo ao atendimento das vítimas de abuso sexual e de violação)</t>
        </is>
      </c>
      <c r="M1431" s="4" t="n"/>
      <c r="N1431" s="4" t="n"/>
      <c r="O1431" s="2" t="n"/>
      <c r="P1431" s="2" t="n"/>
      <c r="Q1431" s="2" t="n"/>
      <c r="R1431" s="2" t="n"/>
      <c r="S1431" s="2" t="inlineStr">
        <is>
          <t>Rejeitado(a) em Comissão</t>
        </is>
      </c>
      <c r="T1431" s="2" t="inlineStr">
        <is>
          <t>Rejeitada</t>
        </is>
      </c>
      <c r="U1431" s="2" t="inlineStr">
        <is>
          <t>Favor: CH, IL, L, PCP, BE, PAN; Contra: PSD, CDS-PP; Abstenção: PS</t>
        </is>
      </c>
      <c r="V1431" s="3" t="n">
        <v>45985</v>
      </c>
      <c r="W1431" s="2" t="inlineStr">
        <is>
          <t>AR: https://www.parlamento.pt/OrcamentoEstado/Paginas/DetalhePropostaAlteracao.aspx?BID=24600 PDF: https://app.parlamento.pt/webutils/docs/doc.pdf?path=6148523063484d364c793942556b356c6443397a6158526c63793959566b6c4a544556484c3039464c7a49774d6a59794d4449314d5441774f53395151533969597a51304d3255774d79316c4f5749324c54517a4d6a4d744f5467774d53316d5a446b335a4452694d545130596a51756347526d&amp;Fich=bc443e03-e9b6-4323-9801-fd97d4b144b4.pdf&amp;Inline=true</t>
        </is>
      </c>
      <c r="X1431" s="2" t="inlineStr">
        <is>
          <t>Assuntos Constitucionais, Direitos, Liberdades e Garantias; Saúde</t>
        </is>
      </c>
      <c r="Y1431" s="2" t="inlineStr">
        <is>
          <t>Articulado</t>
        </is>
      </c>
      <c r="Z1431" s="2" t="inlineStr">
        <is>
          <t>Aditamento (Artigo PPL)</t>
        </is>
      </c>
      <c r="AA1431" s="2" t="inlineStr">
        <is>
          <t>Rejeitado(a) em Comissão</t>
        </is>
      </c>
      <c r="AB1431" s="2" t="inlineStr"/>
      <c r="AC1431" s="2" t="inlineStr"/>
      <c r="AD1431" s="2" t="inlineStr">
        <is>
          <t>1</t>
        </is>
      </c>
      <c r="AE1431" s="2" t="inlineStr">
        <is>
          <t>24600</t>
        </is>
      </c>
      <c r="AF1431" s="2" t="inlineStr">
        <is>
          <t>https://www.parlamento.pt/OrcamentoEstado/Paginas/DetalhePropostaAlteracao.aspx?BID=24600</t>
        </is>
      </c>
      <c r="AG1431" s="2" t="inlineStr">
        <is>
          <t>https://app.parlamento.pt/webutils/docs/doc.pdf?path=6148523063484d364c793942556b356c6443397a6158526c63793959566b6c4a544556484c3039464c7a49774d6a59794d4449314d5441774f53395151533969597a51304d3255774d79316c4f5749324c54517a4d6a4d744f5467774d53316d5a446b335a4452694d545130596a51756347526d&amp;Fich=bc443e03-e9b6-4323-9801-fd97d4b144b4.pdf&amp;Inline=true</t>
        </is>
      </c>
      <c r="AH1431" s="3" t="n">
        <v>46321.77847222222</v>
      </c>
      <c r="AI1431" s="3" t="n">
        <v>46321.78055555555</v>
      </c>
      <c r="AJ1431" s="2" t="inlineStr"/>
    </row>
    <row r="1432">
      <c r="A1432" s="2" t="n">
        <v>1431</v>
      </c>
      <c r="B1432" s="2" t="inlineStr">
        <is>
          <t>1355C</t>
        </is>
      </c>
      <c r="C1432" s="3" t="n">
        <v>45968.56944444445</v>
      </c>
      <c r="D1432" s="2" t="inlineStr">
        <is>
          <t>Original</t>
        </is>
      </c>
      <c r="E1432" s="2" t="inlineStr">
        <is>
          <t>PCP</t>
        </is>
      </c>
      <c r="F1432" s="2" t="inlineStr">
        <is>
          <t>Alfredo Maia; Paula Santos; Paulo Raimundo</t>
        </is>
      </c>
      <c r="G1432" s="2" t="inlineStr">
        <is>
          <t>Art. 38.º-A (aditamento)</t>
        </is>
      </c>
      <c r="H1432" s="2" t="n"/>
      <c r="I1432" s="2" t="n"/>
      <c r="J1432" s="2" t="n"/>
      <c r="K1432" s="2" t="n"/>
      <c r="L1432" s="2" t="inlineStr">
        <is>
          <t>Artigo 38.º-A (Reposição da idade legal da reforma nos 65 anos)</t>
        </is>
      </c>
      <c r="M1432" s="4" t="n"/>
      <c r="N1432" s="4" t="n"/>
      <c r="O1432" s="2" t="n"/>
      <c r="P1432" s="2" t="n"/>
      <c r="Q1432" s="2" t="n"/>
      <c r="R1432" s="2" t="n"/>
      <c r="S1432" s="2" t="inlineStr">
        <is>
          <t>Rejeitado(a) em Comissão</t>
        </is>
      </c>
      <c r="T1432" s="2" t="inlineStr">
        <is>
          <t>Rejeitada</t>
        </is>
      </c>
      <c r="U1432" s="2" t="inlineStr">
        <is>
          <t>Favor: CH, L, PCP, BE, PAN; Contra: PSD, PS, IL, CDS-PP</t>
        </is>
      </c>
      <c r="V1432" s="3" t="n">
        <v>45981</v>
      </c>
      <c r="W1432" s="2" t="inlineStr">
        <is>
          <t>AR: https://www.parlamento.pt/OrcamentoEstado/Paginas/DetalhePropostaAlteracao.aspx?BID=24601 PDF: https://app.parlamento.pt/webutils/docs/doc.pdf?path=6148523063484d364c793942556b356c6443397a6158526c63793959566b6c4a544556484c3039464c7a49774d6a59794d4449314d5441774f533951515338304e7a4977595463345a5330794e7a55784c5451354e7a6b74596a526a597931684e574e6d5a6d466b4d5455314f4749756347526d&amp;Fich=4720a78e-2751-4979-b4cc-a5cffad1558b.pdf&amp;Inline=true</t>
        </is>
      </c>
      <c r="X1432" s="2" t="inlineStr">
        <is>
          <t>Trabalho, Segurança Social e Inclusão</t>
        </is>
      </c>
      <c r="Y1432" s="2" t="inlineStr">
        <is>
          <t>Articulado</t>
        </is>
      </c>
      <c r="Z1432" s="2" t="inlineStr">
        <is>
          <t>Aditamento (Artigo PPL)</t>
        </is>
      </c>
      <c r="AA1432" s="2" t="inlineStr">
        <is>
          <t>Rejeitado(a) em Comissão</t>
        </is>
      </c>
      <c r="AB1432" s="2" t="inlineStr"/>
      <c r="AC1432" s="2" t="inlineStr"/>
      <c r="AD1432" s="2" t="inlineStr">
        <is>
          <t>1</t>
        </is>
      </c>
      <c r="AE1432" s="2" t="inlineStr">
        <is>
          <t>24601</t>
        </is>
      </c>
      <c r="AF1432" s="2" t="inlineStr">
        <is>
          <t>https://www.parlamento.pt/OrcamentoEstado/Paginas/DetalhePropostaAlteracao.aspx?BID=24601</t>
        </is>
      </c>
      <c r="AG1432" s="2" t="inlineStr">
        <is>
          <t>https://app.parlamento.pt/webutils/docs/doc.pdf?path=6148523063484d364c793942556b356c6443397a6158526c63793959566b6c4a544556484c3039464c7a49774d6a59794d4449314d5441774f533951515338304e7a4977595463345a5330794e7a55784c5451354e7a6b74596a526a597931684e574e6d5a6d466b4d5455314f4749756347526d&amp;Fich=4720a78e-2751-4979-b4cc-a5cffad1558b.pdf&amp;Inline=true</t>
        </is>
      </c>
      <c r="AH1432" s="3" t="n">
        <v>46321.77847222222</v>
      </c>
      <c r="AI1432" s="3" t="n">
        <v>46321.78055555555</v>
      </c>
      <c r="AJ1432" s="2" t="inlineStr"/>
    </row>
    <row r="1433">
      <c r="A1433" s="2" t="n">
        <v>1432</v>
      </c>
      <c r="B1433" s="2" t="inlineStr">
        <is>
          <t>1356C</t>
        </is>
      </c>
      <c r="C1433" s="3" t="n">
        <v>45968.57013888889</v>
      </c>
      <c r="D1433" s="2" t="inlineStr">
        <is>
          <t>Original</t>
        </is>
      </c>
      <c r="E1433" s="2" t="inlineStr">
        <is>
          <t>PAN</t>
        </is>
      </c>
      <c r="F1433" s="2" t="inlineStr">
        <is>
          <t>Inês de Sousa Real</t>
        </is>
      </c>
      <c r="G1433" s="2" t="inlineStr">
        <is>
          <t>Art. 21.º-A (aditamento)</t>
        </is>
      </c>
      <c r="H1433" s="2" t="n"/>
      <c r="I1433" s="2" t="n"/>
      <c r="J1433" s="2" t="n"/>
      <c r="K1433" s="2" t="n"/>
      <c r="L1433" s="2" t="inlineStr">
        <is>
          <t>Artigo 21.º-A (Atualização do posicionamento remuneratório dos Chefes de Chancelaria e Contabilidade dos Serviços Periféricos Externos do Ministério dos Negócios Estrangeiros)</t>
        </is>
      </c>
      <c r="M1433" s="4" t="n"/>
      <c r="N1433" s="4" t="n"/>
      <c r="O1433" s="2" t="n"/>
      <c r="P1433" s="2" t="n"/>
      <c r="Q1433" s="2" t="n"/>
      <c r="R1433" s="2" t="n"/>
      <c r="S1433" s="2" t="inlineStr">
        <is>
          <t>Rejeitado(a) em Comissão</t>
        </is>
      </c>
      <c r="T1433" s="2" t="inlineStr">
        <is>
          <t>Rejeitada</t>
        </is>
      </c>
      <c r="U1433" s="2" t="inlineStr">
        <is>
          <t>Favor: CH, L, PCP, BE, PAN; Contra: PSD, CDS-PP; Abstenção: PS, IL</t>
        </is>
      </c>
      <c r="V1433" s="3" t="n">
        <v>45981</v>
      </c>
      <c r="W1433" s="2" t="inlineStr">
        <is>
          <t>AR: https://www.parlamento.pt/OrcamentoEstado/Paginas/DetalhePropostaAlteracao.aspx?BID=24602 PDF: https://app.parlamento.pt/webutils/docs/doc.pdf?path=6148523063484d364c793942556b356c6443397a6158526c63793959566b6c4a544556484c3039464c7a49774d6a59794d4449314d5441774f533951515338344d7a6b784f546b31595330785a54426c4c5452694e545174595456684e4330324d6a45774f54557759545a69595455756347526d&amp;Fich=8391995a-1e0e-4b54-a5a4-6210950a6ba5.pdf&amp;Inline=true</t>
        </is>
      </c>
      <c r="X1433" s="2" t="inlineStr">
        <is>
          <t>Negócios Estrangeiros e Comunidades Portuguesas</t>
        </is>
      </c>
      <c r="Y1433" s="2" t="inlineStr">
        <is>
          <t>Articulado</t>
        </is>
      </c>
      <c r="Z1433" s="2" t="inlineStr">
        <is>
          <t>Aditamento (Artigo PPL)</t>
        </is>
      </c>
      <c r="AA1433" s="2" t="inlineStr">
        <is>
          <t>Rejeitado(a) em Comissão</t>
        </is>
      </c>
      <c r="AB1433" s="2" t="inlineStr"/>
      <c r="AC1433" s="2" t="inlineStr"/>
      <c r="AD1433" s="2" t="inlineStr">
        <is>
          <t>1</t>
        </is>
      </c>
      <c r="AE1433" s="2" t="inlineStr">
        <is>
          <t>24602</t>
        </is>
      </c>
      <c r="AF1433" s="2" t="inlineStr">
        <is>
          <t>https://www.parlamento.pt/OrcamentoEstado/Paginas/DetalhePropostaAlteracao.aspx?BID=24602</t>
        </is>
      </c>
      <c r="AG1433" s="2" t="inlineStr">
        <is>
          <t>https://app.parlamento.pt/webutils/docs/doc.pdf?path=6148523063484d364c793942556b356c6443397a6158526c63793959566b6c4a544556484c3039464c7a49774d6a59794d4449314d5441774f533951515338344d7a6b784f546b31595330785a54426c4c5452694e545174595456684e4330324d6a45774f54557759545a69595455756347526d&amp;Fich=8391995a-1e0e-4b54-a5a4-6210950a6ba5.pdf&amp;Inline=true</t>
        </is>
      </c>
      <c r="AH1433" s="3" t="n">
        <v>46321.77847222222</v>
      </c>
      <c r="AI1433" s="3" t="n">
        <v>46321.78055555555</v>
      </c>
      <c r="AJ1433" s="2" t="inlineStr"/>
    </row>
    <row r="1434">
      <c r="A1434" s="2" t="n">
        <v>1433</v>
      </c>
      <c r="B1434" s="2" t="inlineStr">
        <is>
          <t>1357C</t>
        </is>
      </c>
      <c r="C1434" s="3" t="n">
        <v>45968.57013888889</v>
      </c>
      <c r="D1434" s="2" t="inlineStr">
        <is>
          <t>Original</t>
        </is>
      </c>
      <c r="E1434" s="2" t="inlineStr">
        <is>
          <t>PCP</t>
        </is>
      </c>
      <c r="F1434" s="2" t="inlineStr">
        <is>
          <t>Alfredo Maia; Paula Santos; Paulo Raimundo</t>
        </is>
      </c>
      <c r="G1434" s="2" t="inlineStr">
        <is>
          <t>Art. 38.º-A (aditamento)</t>
        </is>
      </c>
      <c r="H1434" s="2" t="n"/>
      <c r="I1434" s="2" t="n"/>
      <c r="J1434" s="2" t="n"/>
      <c r="K1434" s="2" t="n"/>
      <c r="L1434" s="2" t="inlineStr">
        <is>
          <t>Artigo 38.º-A (Aumento do valor de referência e melhora as condições de atribuição do Complemento Solidário para Idosos)</t>
        </is>
      </c>
      <c r="M1434" s="4" t="n"/>
      <c r="N1434" s="4" t="n"/>
      <c r="O1434" s="2" t="n"/>
      <c r="P1434" s="2" t="n"/>
      <c r="Q1434" s="2" t="n"/>
      <c r="R1434" s="2" t="n"/>
      <c r="S1434" s="2" t="inlineStr">
        <is>
          <t>Rejeitado(a) em Comissão</t>
        </is>
      </c>
      <c r="T1434" s="2" t="inlineStr">
        <is>
          <t>Rejeitada</t>
        </is>
      </c>
      <c r="U1434" s="2" t="inlineStr">
        <is>
          <t>Favor: CH, L, PCP, BE, PAN; Contra: PSD, IL, CDS-PP; Abstenção: PS</t>
        </is>
      </c>
      <c r="V1434" s="3" t="n">
        <v>45981</v>
      </c>
      <c r="W1434" s="2" t="inlineStr">
        <is>
          <t>AR: https://www.parlamento.pt/OrcamentoEstado/Paginas/DetalhePropostaAlteracao.aspx?BID=24603 PDF: https://app.parlamento.pt/webutils/docs/doc.pdf?path=6148523063484d364c793942556b356c6443397a6158526c63793959566b6c4a544556484c3039464c7a49774d6a59794d4449314d5441774f5339515153387a4d444e694f474a6c4d69316b5a4451304c5451774e5755744f5441314d7930354e6a67355a444178593249334e546b756347526d&amp;Fich=303b8be2-dd44-405e-9053-9689d01cb759.pdf&amp;Inline=true</t>
        </is>
      </c>
      <c r="X1434" s="2" t="inlineStr">
        <is>
          <t>Trabalho, Segurança Social e Inclusão</t>
        </is>
      </c>
      <c r="Y1434" s="2" t="inlineStr">
        <is>
          <t>Articulado</t>
        </is>
      </c>
      <c r="Z1434" s="2" t="inlineStr">
        <is>
          <t>Aditamento (Artigo PPL)</t>
        </is>
      </c>
      <c r="AA1434" s="2" t="inlineStr">
        <is>
          <t>Rejeitado(a) em Comissão</t>
        </is>
      </c>
      <c r="AB1434" s="2" t="inlineStr"/>
      <c r="AC1434" s="2" t="inlineStr"/>
      <c r="AD1434" s="2" t="inlineStr">
        <is>
          <t>1</t>
        </is>
      </c>
      <c r="AE1434" s="2" t="inlineStr">
        <is>
          <t>24603</t>
        </is>
      </c>
      <c r="AF1434" s="2" t="inlineStr">
        <is>
          <t>https://www.parlamento.pt/OrcamentoEstado/Paginas/DetalhePropostaAlteracao.aspx?BID=24603</t>
        </is>
      </c>
      <c r="AG1434" s="2" t="inlineStr">
        <is>
          <t>https://app.parlamento.pt/webutils/docs/doc.pdf?path=6148523063484d364c793942556b356c6443397a6158526c63793959566b6c4a544556484c3039464c7a49774d6a59794d4449314d5441774f5339515153387a4d444e694f474a6c4d69316b5a4451304c5451774e5755744f5441314d7930354e6a67355a444178593249334e546b756347526d&amp;Fich=303b8be2-dd44-405e-9053-9689d01cb759.pdf&amp;Inline=true</t>
        </is>
      </c>
      <c r="AH1434" s="3" t="n">
        <v>46321.77847222222</v>
      </c>
      <c r="AI1434" s="3" t="n">
        <v>46321.78055555555</v>
      </c>
      <c r="AJ1434" s="2" t="inlineStr"/>
    </row>
    <row r="1435">
      <c r="A1435" s="2" t="n">
        <v>1434</v>
      </c>
      <c r="B1435" s="2" t="inlineStr">
        <is>
          <t>1358C</t>
        </is>
      </c>
      <c r="C1435" s="3" t="n">
        <v>45968.57013888889</v>
      </c>
      <c r="D1435" s="2" t="inlineStr">
        <is>
          <t>Original</t>
        </is>
      </c>
      <c r="E1435" s="2" t="inlineStr">
        <is>
          <t>PAN</t>
        </is>
      </c>
      <c r="F1435" s="2" t="inlineStr">
        <is>
          <t>Inês de Sousa Real</t>
        </is>
      </c>
      <c r="G1435" s="2" t="inlineStr">
        <is>
          <t>Art. 120.º-A (aditamento)</t>
        </is>
      </c>
      <c r="H1435" s="2" t="n"/>
      <c r="I1435" s="2" t="n"/>
      <c r="J1435" s="2" t="n"/>
      <c r="K1435" s="2" t="n"/>
      <c r="L1435" s="2" t="inlineStr">
        <is>
          <t>Artigo 120.º-A (Prevenção da violência sexual em contexto hospitalar)</t>
        </is>
      </c>
      <c r="M1435" s="4" t="n"/>
      <c r="N1435" s="4" t="n"/>
      <c r="O1435" s="2" t="n"/>
      <c r="P1435" s="2" t="n"/>
      <c r="Q1435" s="2" t="n"/>
      <c r="R1435" s="2" t="n"/>
      <c r="S1435" s="2" t="inlineStr">
        <is>
          <t>Rejeitado(a) em Comissão</t>
        </is>
      </c>
      <c r="T1435" s="2" t="inlineStr">
        <is>
          <t>Rejeitada</t>
        </is>
      </c>
      <c r="U1435" s="2" t="inlineStr">
        <is>
          <t>Favor: CH, IL, L, PCP, BE, PAN; Contra: PSD; Abstenção: PS, CDS-PP</t>
        </is>
      </c>
      <c r="V1435" s="3" t="n">
        <v>45985</v>
      </c>
      <c r="W1435" s="2" t="inlineStr">
        <is>
          <t>AR: https://www.parlamento.pt/OrcamentoEstado/Paginas/DetalhePropostaAlteracao.aspx?BID=24604 PDF: https://app.parlamento.pt/webutils/docs/doc.pdf?path=6148523063484d364c793942556b356c6443397a6158526c63793959566b6c4a544556484c3039464c7a49774d6a59794d4449314d5441774f53395151533831595464694f5455335a5330345a54426b4c5451304f574974596d4d304e53316c4d6a553059546b334f5449795a4459756347526d&amp;Fich=5a7b957e-8e0d-449b-bc45-e254a97922d6.pdf&amp;Inline=true</t>
        </is>
      </c>
      <c r="X1435" s="2" t="inlineStr">
        <is>
          <t>Saúde</t>
        </is>
      </c>
      <c r="Y1435" s="2" t="inlineStr">
        <is>
          <t>Articulado</t>
        </is>
      </c>
      <c r="Z1435" s="2" t="inlineStr">
        <is>
          <t>Aditamento (Artigo PPL)</t>
        </is>
      </c>
      <c r="AA1435" s="2" t="inlineStr">
        <is>
          <t>Rejeitado(a) em Comissão</t>
        </is>
      </c>
      <c r="AB1435" s="2" t="inlineStr"/>
      <c r="AC1435" s="2" t="inlineStr"/>
      <c r="AD1435" s="2" t="inlineStr">
        <is>
          <t>1</t>
        </is>
      </c>
      <c r="AE1435" s="2" t="inlineStr">
        <is>
          <t>24604</t>
        </is>
      </c>
      <c r="AF1435" s="2" t="inlineStr">
        <is>
          <t>https://www.parlamento.pt/OrcamentoEstado/Paginas/DetalhePropostaAlteracao.aspx?BID=24604</t>
        </is>
      </c>
      <c r="AG1435" s="2" t="inlineStr">
        <is>
          <t>https://app.parlamento.pt/webutils/docs/doc.pdf?path=6148523063484d364c793942556b356c6443397a6158526c63793959566b6c4a544556484c3039464c7a49774d6a59794d4449314d5441774f53395151533831595464694f5455335a5330345a54426b4c5451304f574974596d4d304e53316c4d6a553059546b334f5449795a4459756347526d&amp;Fich=5a7b957e-8e0d-449b-bc45-e254a97922d6.pdf&amp;Inline=true</t>
        </is>
      </c>
      <c r="AH1435" s="3" t="n">
        <v>46321.77847222222</v>
      </c>
      <c r="AI1435" s="3" t="n">
        <v>46321.78055555555</v>
      </c>
      <c r="AJ1435" s="2" t="inlineStr"/>
    </row>
    <row r="1436">
      <c r="A1436" s="2" t="n">
        <v>1435</v>
      </c>
      <c r="B1436" s="2" t="inlineStr">
        <is>
          <t>1359C</t>
        </is>
      </c>
      <c r="C1436" s="3" t="n">
        <v>45968.57083333333</v>
      </c>
      <c r="D1436" s="2" t="inlineStr">
        <is>
          <t>Original</t>
        </is>
      </c>
      <c r="E1436" s="2" t="inlineStr">
        <is>
          <t>PCP</t>
        </is>
      </c>
      <c r="F1436" s="2" t="inlineStr">
        <is>
          <t>Alfredo Maia; Paula Santos; Paulo Raimundo</t>
        </is>
      </c>
      <c r="G1436" s="2" t="inlineStr">
        <is>
          <t>Art. 46.º-A (aditamento)</t>
        </is>
      </c>
      <c r="H1436" s="2" t="n"/>
      <c r="I1436" s="2" t="n"/>
      <c r="J1436" s="2" t="n"/>
      <c r="K1436" s="2" t="n"/>
      <c r="L1436" s="2" t="inlineStr">
        <is>
          <t>Artigo 46º-A (Rede pública de estruturas residenciais para pessoas idosas)</t>
        </is>
      </c>
      <c r="M1436" s="4" t="n"/>
      <c r="N1436" s="4" t="n"/>
      <c r="O1436" s="2" t="n"/>
      <c r="P1436" s="2" t="n"/>
      <c r="Q1436" s="2" t="n"/>
      <c r="R1436" s="2" t="n"/>
      <c r="S1436" s="2" t="inlineStr">
        <is>
          <t>Rejeitado(a) em Comissão</t>
        </is>
      </c>
      <c r="T1436" s="2" t="inlineStr">
        <is>
          <t>Rejeitada</t>
        </is>
      </c>
      <c r="U1436" s="2" t="inlineStr">
        <is>
          <t>Favor: CH, L, PCP, BE, PAN; Contra: PSD, IL, CDS-PP; Abstenção: PS</t>
        </is>
      </c>
      <c r="V1436" s="3" t="n">
        <v>45981</v>
      </c>
      <c r="W1436" s="2" t="inlineStr">
        <is>
          <t>AR: https://www.parlamento.pt/OrcamentoEstado/Paginas/DetalhePropostaAlteracao.aspx?BID=24605 PDF: https://app.parlamento.pt/webutils/docs/doc.pdf?path=6148523063484d364c793942556b356c6443397a6158526c63793959566b6c4a544556484c3039464c7a49774d6a59794d4449314d5441774f533951515338314e4455304e57526a4e6930344d3251354c5451795a6a59744f44526d5a693032596a59314f475a6c4f54466d4f5751756347526d&amp;Fich=54545dc6-83d9-42f6-84ff-6b658fe91f9d.pdf&amp;Inline=true</t>
        </is>
      </c>
      <c r="X1436" s="2" t="inlineStr">
        <is>
          <t>Trabalho, Segurança Social e Inclusão</t>
        </is>
      </c>
      <c r="Y1436" s="2" t="inlineStr">
        <is>
          <t>Articulado</t>
        </is>
      </c>
      <c r="Z1436" s="2" t="inlineStr">
        <is>
          <t>Aditamento (Artigo PPL)</t>
        </is>
      </c>
      <c r="AA1436" s="2" t="inlineStr">
        <is>
          <t>Rejeitado(a) em Comissão</t>
        </is>
      </c>
      <c r="AB1436" s="2" t="inlineStr"/>
      <c r="AC1436" s="2" t="inlineStr"/>
      <c r="AD1436" s="2" t="inlineStr">
        <is>
          <t>1</t>
        </is>
      </c>
      <c r="AE1436" s="2" t="inlineStr">
        <is>
          <t>24605</t>
        </is>
      </c>
      <c r="AF1436" s="2" t="inlineStr">
        <is>
          <t>https://www.parlamento.pt/OrcamentoEstado/Paginas/DetalhePropostaAlteracao.aspx?BID=24605</t>
        </is>
      </c>
      <c r="AG1436" s="2" t="inlineStr">
        <is>
          <t>https://app.parlamento.pt/webutils/docs/doc.pdf?path=6148523063484d364c793942556b356c6443397a6158526c63793959566b6c4a544556484c3039464c7a49774d6a59794d4449314d5441774f533951515338314e4455304e57526a4e6930344d3251354c5451795a6a59744f44526d5a693032596a59314f475a6c4f54466d4f5751756347526d&amp;Fich=54545dc6-83d9-42f6-84ff-6b658fe91f9d.pdf&amp;Inline=true</t>
        </is>
      </c>
      <c r="AH1436" s="3" t="n">
        <v>46321.77847222222</v>
      </c>
      <c r="AI1436" s="3" t="n">
        <v>46321.78055555555</v>
      </c>
      <c r="AJ1436" s="2" t="inlineStr"/>
    </row>
    <row r="1437">
      <c r="A1437" s="2" t="n">
        <v>1436</v>
      </c>
      <c r="B1437" s="2" t="inlineStr">
        <is>
          <t>1360C</t>
        </is>
      </c>
      <c r="C1437" s="3" t="n">
        <v>45968.57152777778</v>
      </c>
      <c r="D1437" s="2" t="inlineStr">
        <is>
          <t>Original</t>
        </is>
      </c>
      <c r="E1437" s="2" t="inlineStr">
        <is>
          <t>PAN</t>
        </is>
      </c>
      <c r="F1437" s="2" t="inlineStr">
        <is>
          <t>Inês de Sousa Real</t>
        </is>
      </c>
      <c r="G1437" s="2" t="inlineStr">
        <is>
          <t>Art. 21.º-B (aditamento)</t>
        </is>
      </c>
      <c r="H1437" s="2" t="n"/>
      <c r="I1437" s="2" t="n"/>
      <c r="J1437" s="2" t="n"/>
      <c r="K1437" s="2" t="n"/>
      <c r="L1437" s="2" t="inlineStr">
        <is>
          <t>Artigo 21.º-B (Plano de saúde mental no Ministério dos Negócios Estrangeiros)</t>
        </is>
      </c>
      <c r="M1437" s="4" t="n"/>
      <c r="N1437" s="4" t="n"/>
      <c r="O1437" s="2" t="n"/>
      <c r="P1437" s="2" t="n"/>
      <c r="Q1437" s="2" t="n"/>
      <c r="R1437" s="2" t="n"/>
      <c r="S1437" s="2" t="inlineStr">
        <is>
          <t>Rejeitado(a) em Comissão</t>
        </is>
      </c>
      <c r="T1437" s="2" t="inlineStr">
        <is>
          <t>Rejeitada</t>
        </is>
      </c>
      <c r="U1437" s="2" t="inlineStr">
        <is>
          <t>Favor: CH, IL, L, PCP, BE, PAN; Contra: PSD, CDS-PP; Abstenção: PS</t>
        </is>
      </c>
      <c r="V1437" s="3" t="n">
        <v>45981</v>
      </c>
      <c r="W1437" s="2" t="inlineStr">
        <is>
          <t>AR: https://www.parlamento.pt/OrcamentoEstado/Paginas/DetalhePropostaAlteracao.aspx?BID=24606 PDF: https://app.parlamento.pt/webutils/docs/doc.pdf?path=6148523063484d364c793942556b356c6443397a6158526c63793959566b6c4a544556484c3039464c7a49774d6a59794d4449314d5441774f533951515339695932497a4e3246684e79316c4d32497a4c5451354d4441744f5467354d43316a4e6a6b79597a63334e5445774d6d4d756347526d&amp;Fich=bcb37aa7-e3b3-4900-9890-c692c775102c.pdf&amp;Inline=true</t>
        </is>
      </c>
      <c r="X1437" s="2" t="inlineStr">
        <is>
          <t>Negócios Estrangeiros e Comunidades Portuguesas</t>
        </is>
      </c>
      <c r="Y1437" s="2" t="inlineStr">
        <is>
          <t>Articulado</t>
        </is>
      </c>
      <c r="Z1437" s="2" t="inlineStr">
        <is>
          <t>Aditamento (Artigo PPL)</t>
        </is>
      </c>
      <c r="AA1437" s="2" t="inlineStr">
        <is>
          <t>Rejeitado(a) em Comissão</t>
        </is>
      </c>
      <c r="AB1437" s="2" t="inlineStr"/>
      <c r="AC1437" s="2" t="inlineStr"/>
      <c r="AD1437" s="2" t="inlineStr">
        <is>
          <t>1</t>
        </is>
      </c>
      <c r="AE1437" s="2" t="inlineStr">
        <is>
          <t>24606</t>
        </is>
      </c>
      <c r="AF1437" s="2" t="inlineStr">
        <is>
          <t>https://www.parlamento.pt/OrcamentoEstado/Paginas/DetalhePropostaAlteracao.aspx?BID=24606</t>
        </is>
      </c>
      <c r="AG1437" s="2" t="inlineStr">
        <is>
          <t>https://app.parlamento.pt/webutils/docs/doc.pdf?path=6148523063484d364c793942556b356c6443397a6158526c63793959566b6c4a544556484c3039464c7a49774d6a59794d4449314d5441774f533951515339695932497a4e3246684e79316c4d32497a4c5451354d4441744f5467354d43316a4e6a6b79597a63334e5445774d6d4d756347526d&amp;Fich=bcb37aa7-e3b3-4900-9890-c692c775102c.pdf&amp;Inline=true</t>
        </is>
      </c>
      <c r="AH1437" s="3" t="n">
        <v>46321.77847222222</v>
      </c>
      <c r="AI1437" s="3" t="n">
        <v>46321.78055555555</v>
      </c>
      <c r="AJ1437" s="2" t="inlineStr"/>
    </row>
    <row r="1438">
      <c r="A1438" s="2" t="n">
        <v>1437</v>
      </c>
      <c r="B1438" s="2" t="inlineStr">
        <is>
          <t>1361C</t>
        </is>
      </c>
      <c r="C1438" s="3" t="n">
        <v>45968.57152777778</v>
      </c>
      <c r="D1438" s="2" t="inlineStr">
        <is>
          <t>Original</t>
        </is>
      </c>
      <c r="E1438" s="2" t="inlineStr">
        <is>
          <t>PCP</t>
        </is>
      </c>
      <c r="F1438" s="2" t="inlineStr">
        <is>
          <t>Alfredo Maia; Paula Santos; Paulo Raimundo</t>
        </is>
      </c>
      <c r="G1438" s="2" t="inlineStr">
        <is>
          <t>Art. 136.º-A (aditamento)</t>
        </is>
      </c>
      <c r="H1438" s="2" t="n"/>
      <c r="I1438" s="2" t="n"/>
      <c r="J1438" s="2" t="n"/>
      <c r="K1438" s="2" t="n"/>
      <c r="L1438" s="2" t="inlineStr">
        <is>
          <t>Artigo 136.º-A (Universalidade e alteração dos limites dos escalões do abono de família para crianças e jovens (Alteração ao Decreto-lei n.º 176/2003, de 2 de agosto))</t>
        </is>
      </c>
      <c r="M1438" s="4" t="n"/>
      <c r="N1438" s="4" t="n"/>
      <c r="O1438" s="2" t="n"/>
      <c r="P1438" s="2" t="n"/>
      <c r="Q1438" s="2" t="n"/>
      <c r="R1438" s="2" t="n"/>
      <c r="S1438" s="2" t="inlineStr">
        <is>
          <t>Rejeitado(a) em Comissão</t>
        </is>
      </c>
      <c r="T1438" s="2" t="inlineStr">
        <is>
          <t>Rejeitada</t>
        </is>
      </c>
      <c r="U1438" s="2" t="inlineStr">
        <is>
          <t>Favor: L, PCP, BE, PAN; Contra: PSD, IL, CDS-PP; Abstenção: CH, PS</t>
        </is>
      </c>
      <c r="V1438" s="3" t="n">
        <v>45987</v>
      </c>
      <c r="W1438" s="2" t="inlineStr">
        <is>
          <t>AR: https://www.parlamento.pt/OrcamentoEstado/Paginas/DetalhePropostaAlteracao.aspx?BID=24607 PDF: https://app.parlamento.pt/webutils/docs/doc.pdf?path=6148523063484d364c793942556b356c6443397a6158526c63793959566b6c4a544556484c3039464c7a49774d6a59794d4449314d5441774f5339515153396a4e5467354e6d52694e6930794d3246684c5451315a6a5974596d466b595330314d446b304d4463794d5445305a6a51756347526d&amp;Fich=c5896db6-23aa-45f6-bada-5094072114f4.pdf&amp;Inline=true</t>
        </is>
      </c>
      <c r="X1438" s="2" t="inlineStr">
        <is>
          <t>Trabalho, Segurança Social e Inclusão</t>
        </is>
      </c>
      <c r="Y1438" s="2" t="inlineStr">
        <is>
          <t>Articulado</t>
        </is>
      </c>
      <c r="Z1438" s="2" t="inlineStr">
        <is>
          <t>Aditamento (Artigo PPL)</t>
        </is>
      </c>
      <c r="AA1438" s="2" t="inlineStr">
        <is>
          <t>Rejeitado(a) em Comissão</t>
        </is>
      </c>
      <c r="AB1438" s="2" t="inlineStr"/>
      <c r="AC1438" s="2" t="inlineStr"/>
      <c r="AD1438" s="2" t="inlineStr">
        <is>
          <t>1</t>
        </is>
      </c>
      <c r="AE1438" s="2" t="inlineStr">
        <is>
          <t>24607</t>
        </is>
      </c>
      <c r="AF1438" s="2" t="inlineStr">
        <is>
          <t>https://www.parlamento.pt/OrcamentoEstado/Paginas/DetalhePropostaAlteracao.aspx?BID=24607</t>
        </is>
      </c>
      <c r="AG1438" s="2" t="inlineStr">
        <is>
          <t>https://app.parlamento.pt/webutils/docs/doc.pdf?path=6148523063484d364c793942556b356c6443397a6158526c63793959566b6c4a544556484c3039464c7a49774d6a59794d4449314d5441774f5339515153396a4e5467354e6d52694e6930794d3246684c5451315a6a5974596d466b595330314d446b304d4463794d5445305a6a51756347526d&amp;Fich=c5896db6-23aa-45f6-bada-5094072114f4.pdf&amp;Inline=true</t>
        </is>
      </c>
      <c r="AH1438" s="3" t="n">
        <v>46321.77847222222</v>
      </c>
      <c r="AI1438" s="3" t="n">
        <v>46321.78055555555</v>
      </c>
      <c r="AJ1438" s="2" t="inlineStr"/>
    </row>
    <row r="1439">
      <c r="A1439" s="2" t="n">
        <v>1438</v>
      </c>
      <c r="B1439" s="2" t="inlineStr">
        <is>
          <t>1362C</t>
        </is>
      </c>
      <c r="C1439" s="3" t="n">
        <v>45968.57222222222</v>
      </c>
      <c r="D1439" s="2" t="inlineStr">
        <is>
          <t>Original</t>
        </is>
      </c>
      <c r="E1439" s="2" t="inlineStr">
        <is>
          <t>PAN</t>
        </is>
      </c>
      <c r="F1439" s="2" t="inlineStr">
        <is>
          <t>Inês de Sousa Real</t>
        </is>
      </c>
      <c r="G1439" s="2" t="inlineStr">
        <is>
          <t>Art. 118.º-A (aditamento)</t>
        </is>
      </c>
      <c r="H1439" s="2" t="n"/>
      <c r="I1439" s="2" t="n"/>
      <c r="J1439" s="2" t="n"/>
      <c r="K1439" s="2" t="n"/>
      <c r="L1439" s="2" t="inlineStr">
        <is>
          <t>Artigo 118.º-A (Preço máximo da refeição social no âmbito do sistema de acção social do ensino superior)</t>
        </is>
      </c>
      <c r="M1439" s="4" t="n"/>
      <c r="N1439" s="4" t="n"/>
      <c r="O1439" s="2" t="n"/>
      <c r="P1439" s="2" t="n"/>
      <c r="Q1439" s="2" t="n"/>
      <c r="R1439" s="2" t="n"/>
      <c r="S1439" s="2" t="inlineStr">
        <is>
          <t>Rejeitado(a) em Comissão</t>
        </is>
      </c>
      <c r="T1439" s="2" t="inlineStr">
        <is>
          <t>Rejeitada</t>
        </is>
      </c>
      <c r="U1439" s="2" t="inlineStr">
        <is>
          <t>Favor: L, PCP, BE, PAN; Contra: PSD, IL, CDS-PP; Abstenção: CH, PS</t>
        </is>
      </c>
      <c r="V1439" s="3" t="n">
        <v>45985</v>
      </c>
      <c r="W1439" s="2" t="inlineStr">
        <is>
          <t>AR: https://www.parlamento.pt/OrcamentoEstado/Paginas/DetalhePropostaAlteracao.aspx?BID=24608 PDF: https://app.parlamento.pt/webutils/docs/doc.pdf?path=6148523063484d364c793942556b356c6443397a6158526c63793959566b6c4a544556484c3039464c7a49774d6a59794d4449314d5441774f5339515153396d4e7a55305a6d56685979316d5a6a45784c54526c4e6d5174596d51314e53316b4e474a6a5a4449315a574a695a5463756347526d&amp;Fich=f754feac-ff11-4e6d-bd55-d4bcd25ebbe7.pdf&amp;Inline=true</t>
        </is>
      </c>
      <c r="X1439" s="2" t="inlineStr">
        <is>
          <t>Educação e Ciência</t>
        </is>
      </c>
      <c r="Y1439" s="2" t="inlineStr">
        <is>
          <t>Articulado</t>
        </is>
      </c>
      <c r="Z1439" s="2" t="inlineStr">
        <is>
          <t>Aditamento (Artigo PPL)</t>
        </is>
      </c>
      <c r="AA1439" s="2" t="inlineStr">
        <is>
          <t>Rejeitado(a) em Comissão</t>
        </is>
      </c>
      <c r="AB1439" s="2" t="inlineStr"/>
      <c r="AC1439" s="2" t="inlineStr"/>
      <c r="AD1439" s="2" t="inlineStr">
        <is>
          <t>1</t>
        </is>
      </c>
      <c r="AE1439" s="2" t="inlineStr">
        <is>
          <t>24608</t>
        </is>
      </c>
      <c r="AF1439" s="2" t="inlineStr">
        <is>
          <t>https://www.parlamento.pt/OrcamentoEstado/Paginas/DetalhePropostaAlteracao.aspx?BID=24608</t>
        </is>
      </c>
      <c r="AG1439" s="2" t="inlineStr">
        <is>
          <t>https://app.parlamento.pt/webutils/docs/doc.pdf?path=6148523063484d364c793942556b356c6443397a6158526c63793959566b6c4a544556484c3039464c7a49774d6a59794d4449314d5441774f5339515153396d4e7a55305a6d56685979316d5a6a45784c54526c4e6d5174596d51314e53316b4e474a6a5a4449315a574a695a5463756347526d&amp;Fich=f754feac-ff11-4e6d-bd55-d4bcd25ebbe7.pdf&amp;Inline=true</t>
        </is>
      </c>
      <c r="AH1439" s="3" t="n">
        <v>46321.77847222222</v>
      </c>
      <c r="AI1439" s="3" t="n">
        <v>46321.78055555555</v>
      </c>
      <c r="AJ1439" s="2" t="inlineStr"/>
    </row>
    <row r="1440">
      <c r="A1440" s="2" t="n">
        <v>1439</v>
      </c>
      <c r="B1440" s="2" t="inlineStr">
        <is>
          <t>1363C</t>
        </is>
      </c>
      <c r="C1440" s="3" t="n">
        <v>45968.57222222222</v>
      </c>
      <c r="D1440" s="2" t="inlineStr">
        <is>
          <t>Original</t>
        </is>
      </c>
      <c r="E1440" s="2" t="inlineStr">
        <is>
          <t>PCP</t>
        </is>
      </c>
      <c r="F1440" s="2" t="inlineStr">
        <is>
          <t>Alfredo Maia; Paula Santos; Paulo Raimundo</t>
        </is>
      </c>
      <c r="G1440" s="2" t="inlineStr">
        <is>
          <t>Art. 117.º (aditamento)</t>
        </is>
      </c>
      <c r="H1440" s="2" t="n"/>
      <c r="I1440" s="2" t="n"/>
      <c r="J1440" s="2" t="n"/>
      <c r="K1440" s="2" t="n"/>
      <c r="L1440" s="2" t="inlineStr">
        <is>
          <t>Novo N.º 2, Artigo 117.º</t>
        </is>
      </c>
      <c r="M1440" s="4" t="n"/>
      <c r="N1440" s="4" t="n"/>
      <c r="O1440" s="2" t="n"/>
      <c r="P1440" s="2" t="n"/>
      <c r="Q1440" s="2" t="n"/>
      <c r="R1440" s="2" t="n"/>
      <c r="S1440" s="2" t="inlineStr">
        <is>
          <t>Rejeitado(a) em Comissão</t>
        </is>
      </c>
      <c r="T1440" s="2" t="inlineStr">
        <is>
          <t>Rejeitada</t>
        </is>
      </c>
      <c r="U1440" s="2" t="inlineStr">
        <is>
          <t>Favor: L, PCP, BE, PAN; Contra: PSD, CH, CDS-PP; Abstenção: PS, IL</t>
        </is>
      </c>
      <c r="V1440" s="3" t="n">
        <v>45985</v>
      </c>
      <c r="W1440" s="2" t="inlineStr">
        <is>
          <t>AR: https://www.parlamento.pt/OrcamentoEstado/Paginas/DetalhePropostaAlteracao.aspx?BID=24609 PDF: https://app.parlamento.pt/webutils/docs/doc.pdf?path=6148523063484d364c793942556b356c6443397a6158526c63793959566b6c4a544556484c3039464c7a49774d6a59794d4449314d5441774f5339515153396a4e474a6b4f4449774e69316a5a5451324c5452684f546774596a55334e4330354f575931595455784f444668596a6b756347526d&amp;Fich=c4bd8206-ce46-4a98-b574-99f5a5181ab9.pdf&amp;Inline=true</t>
        </is>
      </c>
      <c r="X1440" s="2" t="inlineStr">
        <is>
          <t>Educação e Ciência</t>
        </is>
      </c>
      <c r="Y1440" s="2" t="inlineStr">
        <is>
          <t>Articulado</t>
        </is>
      </c>
      <c r="Z1440" s="2" t="inlineStr">
        <is>
          <t>Aditamento (Números e Alíneas)</t>
        </is>
      </c>
      <c r="AA1440" s="2" t="inlineStr">
        <is>
          <t>Rejeitado(a) em Comissão</t>
        </is>
      </c>
      <c r="AB1440" s="2" t="inlineStr"/>
      <c r="AC1440" s="2" t="inlineStr"/>
      <c r="AD1440" s="2" t="inlineStr">
        <is>
          <t>1</t>
        </is>
      </c>
      <c r="AE1440" s="2" t="inlineStr">
        <is>
          <t>24609</t>
        </is>
      </c>
      <c r="AF1440" s="2" t="inlineStr">
        <is>
          <t>https://www.parlamento.pt/OrcamentoEstado/Paginas/DetalhePropostaAlteracao.aspx?BID=24609</t>
        </is>
      </c>
      <c r="AG1440" s="2" t="inlineStr">
        <is>
          <t>https://app.parlamento.pt/webutils/docs/doc.pdf?path=6148523063484d364c793942556b356c6443397a6158526c63793959566b6c4a544556484c3039464c7a49774d6a59794d4449314d5441774f5339515153396a4e474a6b4f4449774e69316a5a5451324c5452684f546774596a55334e4330354f575931595455784f444668596a6b756347526d&amp;Fich=c4bd8206-ce46-4a98-b574-99f5a5181ab9.pdf&amp;Inline=true</t>
        </is>
      </c>
      <c r="AH1440" s="3" t="n">
        <v>46321.77847222222</v>
      </c>
      <c r="AI1440" s="3" t="n">
        <v>46321.78055555555</v>
      </c>
      <c r="AJ1440" s="2" t="inlineStr"/>
    </row>
    <row r="1441">
      <c r="A1441" s="2" t="n">
        <v>1440</v>
      </c>
      <c r="B1441" s="2" t="inlineStr">
        <is>
          <t>1364C</t>
        </is>
      </c>
      <c r="C1441" s="3" t="n">
        <v>45968.57361111111</v>
      </c>
      <c r="D1441" s="2" t="inlineStr">
        <is>
          <t>Original</t>
        </is>
      </c>
      <c r="E1441" s="2" t="inlineStr">
        <is>
          <t>PAN</t>
        </is>
      </c>
      <c r="F1441" s="2" t="inlineStr">
        <is>
          <t>Inês de Sousa Real</t>
        </is>
      </c>
      <c r="G1441" s="2" t="inlineStr">
        <is>
          <t>Art. 46.º-A (aditamento)</t>
        </is>
      </c>
      <c r="H1441" s="2" t="n"/>
      <c r="I1441" s="2" t="n"/>
      <c r="J1441" s="2" t="n"/>
      <c r="K1441" s="2" t="n"/>
      <c r="L1441" s="2" t="inlineStr">
        <is>
          <t>Artigo 46.º-A (Majoração do abono de família para crianças até aos seis anos)</t>
        </is>
      </c>
      <c r="M1441" s="4" t="n"/>
      <c r="N1441" s="4" t="n"/>
      <c r="O1441" s="2" t="n"/>
      <c r="P1441" s="2" t="n"/>
      <c r="Q1441" s="2" t="n"/>
      <c r="R1441" s="2" t="n"/>
      <c r="S1441" s="2" t="inlineStr">
        <is>
          <t>Rejeitado(a) em Comissão</t>
        </is>
      </c>
      <c r="T1441" s="2" t="inlineStr">
        <is>
          <t>Rejeitada</t>
        </is>
      </c>
      <c r="U1441" s="2" t="inlineStr">
        <is>
          <t>Favor: CH, IL, L, PCP, BE, PAN; Contra: PSD, CDS-PP; Abstenção: PS</t>
        </is>
      </c>
      <c r="V1441" s="3" t="n">
        <v>45981</v>
      </c>
      <c r="W1441" s="2" t="inlineStr">
        <is>
          <t>AR: https://www.parlamento.pt/OrcamentoEstado/Paginas/DetalhePropostaAlteracao.aspx?BID=24610 PDF: https://app.parlamento.pt/webutils/docs/doc.pdf?path=6148523063484d364c793942556b356c6443397a6158526c63793959566b6c4a544556484c3039464c7a49774d6a59794d4449314d5441774f533951515339685a5451794f47526d4e4330774e3245304c5451315a5449744f444d775953316b597a4d774d7a52685a5451324e4445756347526d&amp;Fich=ae428df4-07a4-45e2-830a-dc3034ae4641.pdf&amp;Inline=true</t>
        </is>
      </c>
      <c r="X1441" s="2" t="inlineStr">
        <is>
          <t>Trabalho, Segurança Social e Inclusão</t>
        </is>
      </c>
      <c r="Y1441" s="2" t="inlineStr">
        <is>
          <t>Articulado</t>
        </is>
      </c>
      <c r="Z1441" s="2" t="inlineStr">
        <is>
          <t>Aditamento (Artigo PPL)</t>
        </is>
      </c>
      <c r="AA1441" s="2" t="inlineStr">
        <is>
          <t>Rejeitado(a) em Comissão</t>
        </is>
      </c>
      <c r="AB1441" s="2" t="inlineStr"/>
      <c r="AC1441" s="2" t="inlineStr"/>
      <c r="AD1441" s="2" t="inlineStr">
        <is>
          <t>1</t>
        </is>
      </c>
      <c r="AE1441" s="2" t="inlineStr">
        <is>
          <t>24610</t>
        </is>
      </c>
      <c r="AF1441" s="2" t="inlineStr">
        <is>
          <t>https://www.parlamento.pt/OrcamentoEstado/Paginas/DetalhePropostaAlteracao.aspx?BID=24610</t>
        </is>
      </c>
      <c r="AG1441" s="2" t="inlineStr">
        <is>
          <t>https://app.parlamento.pt/webutils/docs/doc.pdf?path=6148523063484d364c793942556b356c6443397a6158526c63793959566b6c4a544556484c3039464c7a49774d6a59794d4449314d5441774f533951515339685a5451794f47526d4e4330774e3245304c5451315a5449744f444d775953316b597a4d774d7a52685a5451324e4445756347526d&amp;Fich=ae428df4-07a4-45e2-830a-dc3034ae4641.pdf&amp;Inline=true</t>
        </is>
      </c>
      <c r="AH1441" s="3" t="n">
        <v>46321.77847222222</v>
      </c>
      <c r="AI1441" s="3" t="n">
        <v>46321.78055555555</v>
      </c>
      <c r="AJ1441" s="2" t="inlineStr"/>
    </row>
    <row r="1442">
      <c r="A1442" s="2" t="n">
        <v>1441</v>
      </c>
      <c r="B1442" s="2" t="inlineStr">
        <is>
          <t>1365C</t>
        </is>
      </c>
      <c r="C1442" s="3" t="n">
        <v>45968.57361111111</v>
      </c>
      <c r="D1442" s="2" t="inlineStr">
        <is>
          <t>Original</t>
        </is>
      </c>
      <c r="E1442" s="2" t="inlineStr">
        <is>
          <t>PAN</t>
        </is>
      </c>
      <c r="F1442" s="2" t="inlineStr">
        <is>
          <t>Inês de Sousa Real</t>
        </is>
      </c>
      <c r="G1442" s="2" t="inlineStr">
        <is>
          <t>Art. 133.º-A (aditamento)</t>
        </is>
      </c>
      <c r="H1442" s="2" t="n"/>
      <c r="I1442" s="2" t="n"/>
      <c r="J1442" s="2" t="n"/>
      <c r="K1442" s="2" t="n"/>
      <c r="L1442" s="2" t="inlineStr">
        <is>
          <t>Artigo 133.º-A (Acordos de conversão de dívida em financiamento climático)</t>
        </is>
      </c>
      <c r="M1442" s="4" t="n"/>
      <c r="N1442" s="4" t="n"/>
      <c r="O1442" s="2" t="n"/>
      <c r="P1442" s="2" t="n"/>
      <c r="Q1442" s="2" t="n"/>
      <c r="R1442" s="2" t="n"/>
      <c r="S1442" s="2" t="inlineStr">
        <is>
          <t>Rejeitado(a) em Comissão</t>
        </is>
      </c>
      <c r="T1442" s="2" t="inlineStr">
        <is>
          <t>Rejeitada</t>
        </is>
      </c>
      <c r="U1442" s="2" t="inlineStr">
        <is>
          <t>Favor: BE, PAN; Contra: PSD, CH, IL, PCP, CDS-PP; Abstenção: PS, L</t>
        </is>
      </c>
      <c r="V1442" s="3" t="n">
        <v>45985</v>
      </c>
      <c r="W1442" s="2" t="inlineStr">
        <is>
          <t>AR: https://www.parlamento.pt/OrcamentoEstado/Paginas/DetalhePropostaAlteracao.aspx?BID=24611 PDF: https://app.parlamento.pt/webutils/docs/doc.pdf?path=6148523063484d364c793942556b356c6443397a6158526c63793959566b6c4a544556484c3039464c7a49774d6a59794d4449314d5441774f533951515338784d6d5a6a4d574d774f53316c4e7a5a6a4c54526a4e475974596a51794e79316d4e54466c4f44686c4d5441354f5455756347526d&amp;Fich=12fc1c09-e76c-4c4f-b427-f51e88e10995.pdf&amp;Inline=true</t>
        </is>
      </c>
      <c r="X1442" s="2" t="inlineStr">
        <is>
          <t>Ambiente e Energia</t>
        </is>
      </c>
      <c r="Y1442" s="2" t="inlineStr">
        <is>
          <t>Articulado</t>
        </is>
      </c>
      <c r="Z1442" s="2" t="inlineStr">
        <is>
          <t>Aditamento (Artigo PPL)</t>
        </is>
      </c>
      <c r="AA1442" s="2" t="inlineStr">
        <is>
          <t>Rejeitado(a) em Comissão</t>
        </is>
      </c>
      <c r="AB1442" s="2" t="inlineStr"/>
      <c r="AC1442" s="2" t="inlineStr"/>
      <c r="AD1442" s="2" t="inlineStr">
        <is>
          <t>1</t>
        </is>
      </c>
      <c r="AE1442" s="2" t="inlineStr">
        <is>
          <t>24611</t>
        </is>
      </c>
      <c r="AF1442" s="2" t="inlineStr">
        <is>
          <t>https://www.parlamento.pt/OrcamentoEstado/Paginas/DetalhePropostaAlteracao.aspx?BID=24611</t>
        </is>
      </c>
      <c r="AG1442" s="2" t="inlineStr">
        <is>
          <t>https://app.parlamento.pt/webutils/docs/doc.pdf?path=6148523063484d364c793942556b356c6443397a6158526c63793959566b6c4a544556484c3039464c7a49774d6a59794d4449314d5441774f533951515338784d6d5a6a4d574d774f53316c4e7a5a6a4c54526a4e475974596a51794e79316d4e54466c4f44686c4d5441354f5455756347526d&amp;Fich=12fc1c09-e76c-4c4f-b427-f51e88e10995.pdf&amp;Inline=true</t>
        </is>
      </c>
      <c r="AH1442" s="3" t="n">
        <v>46321.77847222222</v>
      </c>
      <c r="AI1442" s="3" t="n">
        <v>46321.78055555555</v>
      </c>
      <c r="AJ1442" s="2" t="inlineStr"/>
    </row>
    <row r="1443">
      <c r="A1443" s="2" t="n">
        <v>1442</v>
      </c>
      <c r="B1443" s="2" t="inlineStr">
        <is>
          <t>1366C</t>
        </is>
      </c>
      <c r="C1443" s="3" t="n">
        <v>45968.57430555556</v>
      </c>
      <c r="D1443" s="2" t="inlineStr">
        <is>
          <t>Original</t>
        </is>
      </c>
      <c r="E1443" s="2" t="inlineStr">
        <is>
          <t>PS</t>
        </is>
      </c>
      <c r="F1443" s="2" t="inlineStr">
        <is>
          <t>Ana Bernardo; António Mendonça Mendes; Eurico Brilhante Dias; José Luís Carneiro; Marina Gonçalves; Miguel Cabrita; Miguel Matos</t>
        </is>
      </c>
      <c r="G1443" s="2" t="inlineStr">
        <is>
          <t>Art. 38.º-A (aditamento)</t>
        </is>
      </c>
      <c r="H1443" s="2" t="n"/>
      <c r="I1443" s="2" t="n"/>
      <c r="J1443" s="2" t="n"/>
      <c r="K1443" s="2" t="n"/>
      <c r="L1443" s="2" t="inlineStr">
        <is>
          <t>Artigo 38.º-A (Atualização extraordinária de pensões)</t>
        </is>
      </c>
      <c r="M1443" s="4" t="n"/>
      <c r="N1443" s="4" t="n"/>
      <c r="O1443" s="2" t="n"/>
      <c r="P1443" s="2" t="n"/>
      <c r="Q1443" s="2" t="n"/>
      <c r="R1443" s="2" t="n"/>
      <c r="S1443" s="2" t="inlineStr">
        <is>
          <t>Rejeitado(a) em Plenário</t>
        </is>
      </c>
      <c r="T1443" s="2" t="inlineStr">
        <is>
          <t>Rejeitada</t>
        </is>
      </c>
      <c r="U1443" s="2" t="inlineStr">
        <is>
          <t>Favor: PS, L, PCP, BE, PAN, JPP; Contra: PSD, CH, IL, CDS-PP</t>
        </is>
      </c>
      <c r="V1443" s="3" t="n">
        <v>45982</v>
      </c>
      <c r="W1443" s="2" t="inlineStr">
        <is>
          <t>Avocada a Plenário. AR: https://www.parlamento.pt/OrcamentoEstado/Paginas/DetalhePropostaAlteracao.aspx?BID=24612 PDF: https://app.parlamento.pt/webutils/docs/doc.pdf?path=6148523063484d364c793942556b356c6443397a6158526c63793959566b6c4a544556484c3039464c7a49774d6a59794d4449314d5441774f5339515153387a4e6a4532595449345a5330784e54686b4c5452684d544174595746694d7930344d54637a4d574d35597a4a6b4e4441756347526d&amp;Fich=3616a28e-158d-4a10-aab3-81731c9c2d40.pdf&amp;Inline=true</t>
        </is>
      </c>
      <c r="X1443" s="2" t="inlineStr">
        <is>
          <t>Orçamento, Finanças e Administração Pública; Trabalho, Segurança Social e Inclusão</t>
        </is>
      </c>
      <c r="Y1443" s="2" t="inlineStr">
        <is>
          <t>Articulado</t>
        </is>
      </c>
      <c r="Z1443" s="2" t="inlineStr">
        <is>
          <t>Aditamento (Artigo PPL)</t>
        </is>
      </c>
      <c r="AA1443" s="2" t="inlineStr">
        <is>
          <t>Rejeitado(a) em Plenário</t>
        </is>
      </c>
      <c r="AB1443" s="2" t="inlineStr">
        <is>
          <t>S</t>
        </is>
      </c>
      <c r="AC1443" s="2" t="inlineStr"/>
      <c r="AD1443" s="2" t="inlineStr">
        <is>
          <t>2</t>
        </is>
      </c>
      <c r="AE1443" s="2" t="inlineStr">
        <is>
          <t>24612</t>
        </is>
      </c>
      <c r="AF1443" s="2" t="inlineStr">
        <is>
          <t>https://www.parlamento.pt/OrcamentoEstado/Paginas/DetalhePropostaAlteracao.aspx?BID=24612</t>
        </is>
      </c>
      <c r="AG1443" s="2" t="inlineStr">
        <is>
          <t>https://app.parlamento.pt/webutils/docs/doc.pdf?path=6148523063484d364c793942556b356c6443397a6158526c63793959566b6c4a544556484c3039464c7a49774d6a59794d4449314d5441774f5339515153387a4e6a4532595449345a5330784e54686b4c5452684d544174595746694d7930344d54637a4d574d35597a4a6b4e4441756347526d&amp;Fich=3616a28e-158d-4a10-aab3-81731c9c2d40.pdf&amp;Inline=true</t>
        </is>
      </c>
      <c r="AH1443" s="3" t="n">
        <v>46321.77847222222</v>
      </c>
      <c r="AI1443" s="3" t="n">
        <v>46321.78055555555</v>
      </c>
      <c r="AJ1443" s="2" t="inlineStr"/>
    </row>
    <row r="1444">
      <c r="A1444" s="2" t="n">
        <v>1443</v>
      </c>
      <c r="B1444" s="2" t="inlineStr">
        <is>
          <t>1367C</t>
        </is>
      </c>
      <c r="C1444" s="3" t="n">
        <v>45968.575</v>
      </c>
      <c r="D1444" s="2" t="inlineStr">
        <is>
          <t>Original</t>
        </is>
      </c>
      <c r="E1444" s="2" t="inlineStr">
        <is>
          <t>PAN</t>
        </is>
      </c>
      <c r="F1444" s="2" t="inlineStr">
        <is>
          <t>Inês de Sousa Real</t>
        </is>
      </c>
      <c r="G1444" s="2" t="inlineStr">
        <is>
          <t>Art. 125.º-C (aditamento)</t>
        </is>
      </c>
      <c r="H1444" s="2" t="n"/>
      <c r="I1444" s="2" t="n"/>
      <c r="J1444" s="2" t="n"/>
      <c r="K1444" s="2" t="n"/>
      <c r="L1444" s="2" t="inlineStr">
        <is>
          <t>Artigo 125.º-C (Passe Circula PT)</t>
        </is>
      </c>
      <c r="M1444" s="4" t="n"/>
      <c r="N1444" s="4" t="n"/>
      <c r="O1444" s="2" t="n"/>
      <c r="P1444" s="2" t="n"/>
      <c r="Q1444" s="2" t="n"/>
      <c r="R1444" s="2" t="n"/>
      <c r="S1444" s="2" t="inlineStr">
        <is>
          <t>Rejeitado(a) em Comissão</t>
        </is>
      </c>
      <c r="T1444" s="2" t="inlineStr">
        <is>
          <t>Rejeitada</t>
        </is>
      </c>
      <c r="U1444" s="2" t="inlineStr">
        <is>
          <t>Favor: L, PCP, BE, PAN; Contra: PSD, IL, CDS-PP; Abstenção: CH, PS</t>
        </is>
      </c>
      <c r="V1444" s="3" t="n">
        <v>45985</v>
      </c>
      <c r="W1444" s="2" t="inlineStr">
        <is>
          <t>AR: https://www.parlamento.pt/OrcamentoEstado/Paginas/DetalhePropostaAlteracao.aspx?BID=24613 PDF: https://app.parlamento.pt/webutils/docs/doc.pdf?path=6148523063484d364c793942556b356c6443397a6158526c63793959566b6c4a544556484c3039464c7a49774d6a59794d4449314d5441774f533951515338774e3246684d57566c5a6930794e6a4e6a4c54526d4d4751744f4467334e43316b5a6a493359324a6d4e546c6a4d544d756347526d&amp;Fich=07aa1eef-263c-4f0d-8874-df27cbf59c13.pdf&amp;Inline=true</t>
        </is>
      </c>
      <c r="X1444" s="2" t="inlineStr">
        <is>
          <t>Infraestruturas, Mobilidade e Habitação</t>
        </is>
      </c>
      <c r="Y1444" s="2" t="inlineStr">
        <is>
          <t>Articulado</t>
        </is>
      </c>
      <c r="Z1444" s="2" t="inlineStr">
        <is>
          <t>Aditamento (Artigo PPL)</t>
        </is>
      </c>
      <c r="AA1444" s="2" t="inlineStr">
        <is>
          <t>Rejeitado(a) em Comissão</t>
        </is>
      </c>
      <c r="AB1444" s="2" t="inlineStr"/>
      <c r="AC1444" s="2" t="inlineStr"/>
      <c r="AD1444" s="2" t="inlineStr">
        <is>
          <t>1</t>
        </is>
      </c>
      <c r="AE1444" s="2" t="inlineStr">
        <is>
          <t>24613</t>
        </is>
      </c>
      <c r="AF1444" s="2" t="inlineStr">
        <is>
          <t>https://www.parlamento.pt/OrcamentoEstado/Paginas/DetalhePropostaAlteracao.aspx?BID=24613</t>
        </is>
      </c>
      <c r="AG1444" s="2" t="inlineStr">
        <is>
          <t>https://app.parlamento.pt/webutils/docs/doc.pdf?path=6148523063484d364c793942556b356c6443397a6158526c63793959566b6c4a544556484c3039464c7a49774d6a59794d4449314d5441774f533951515338774e3246684d57566c5a6930794e6a4e6a4c54526d4d4751744f4467334e43316b5a6a493359324a6d4e546c6a4d544d756347526d&amp;Fich=07aa1eef-263c-4f0d-8874-df27cbf59c13.pdf&amp;Inline=true</t>
        </is>
      </c>
      <c r="AH1444" s="3" t="n">
        <v>46321.77847222222</v>
      </c>
      <c r="AI1444" s="3" t="n">
        <v>46321.78055555555</v>
      </c>
      <c r="AJ1444" s="2" t="inlineStr"/>
    </row>
    <row r="1445">
      <c r="A1445" s="2" t="n">
        <v>1444</v>
      </c>
      <c r="B1445" s="2" t="inlineStr">
        <is>
          <t>1368C</t>
        </is>
      </c>
      <c r="C1445" s="3" t="n">
        <v>45968.575</v>
      </c>
      <c r="D1445" s="2" t="inlineStr">
        <is>
          <t>Original</t>
        </is>
      </c>
      <c r="E1445" s="2" t="inlineStr">
        <is>
          <t>PS</t>
        </is>
      </c>
      <c r="F1445" s="2" t="inlineStr">
        <is>
          <t>António Mendonça Mendes; Eurico Brilhante Dias; José Luís Carneiro; Marina Gonçalves; Miguel Matos</t>
        </is>
      </c>
      <c r="G1445" s="2" t="inlineStr">
        <is>
          <t>Art. 72.º-A (aditamento)</t>
        </is>
      </c>
      <c r="H1445" s="2" t="n"/>
      <c r="I1445" s="2" t="n"/>
      <c r="J1445" s="2" t="n"/>
      <c r="K1445" s="2" t="n"/>
      <c r="L1445" s="2" t="inlineStr">
        <is>
          <t>Artigo 72.º-A (Afetação da receita fiscal resultante da eliminação do desconto em vigor no Imposto sobre os Produtos Petrolíferos e Energéticos)</t>
        </is>
      </c>
      <c r="M1445" s="4" t="n"/>
      <c r="N1445" s="4" t="n"/>
      <c r="O1445" s="2" t="n"/>
      <c r="P1445" s="2" t="n"/>
      <c r="Q1445" s="2" t="n"/>
      <c r="R1445" s="2" t="n"/>
      <c r="S1445" s="2" t="inlineStr">
        <is>
          <t>Rejeitado(a) em Plenário</t>
        </is>
      </c>
      <c r="T1445" s="2" t="inlineStr">
        <is>
          <t>Rejeitada</t>
        </is>
      </c>
      <c r="U1445" s="2" t="inlineStr">
        <is>
          <t>Favor: PS, PAN, JPP; Contra: PSD, CH, IL, CDS-PP; Abstenção: L, PCP, BE</t>
        </is>
      </c>
      <c r="V1445" s="3" t="n">
        <v>45985</v>
      </c>
      <c r="W1445" s="2" t="inlineStr">
        <is>
          <t>Avocada a Plenário. AR: https://www.parlamento.pt/OrcamentoEstado/Paginas/DetalhePropostaAlteracao.aspx?BID=24614 PDF: https://app.parlamento.pt/webutils/docs/doc.pdf?path=6148523063484d364c793942556b356c6443397a6158526c63793959566b6c4a544556484c3039464c7a49774d6a59794d4449314d5441774f5339515153396c4e7a42684d5749304d6930324f446c6b4c54517a4d4441744f446b35597930795a54426a4f5452694e575130597a67756347526d&amp;Fich=e70a1b42-689d-4300-899c-2e0c94b5d4c8.pdf&amp;Inline=true</t>
        </is>
      </c>
      <c r="X1445" s="2" t="inlineStr">
        <is>
          <t>Orçamento, Finanças e Administração Pública</t>
        </is>
      </c>
      <c r="Y1445" s="2" t="inlineStr">
        <is>
          <t>Articulado</t>
        </is>
      </c>
      <c r="Z1445" s="2" t="inlineStr">
        <is>
          <t>Aditamento (Artigo PPL)</t>
        </is>
      </c>
      <c r="AA1445" s="2" t="inlineStr">
        <is>
          <t>Rejeitado(a) em Plenário</t>
        </is>
      </c>
      <c r="AB1445" s="2" t="inlineStr">
        <is>
          <t>S</t>
        </is>
      </c>
      <c r="AC1445" s="2" t="inlineStr"/>
      <c r="AD1445" s="2" t="inlineStr">
        <is>
          <t>2</t>
        </is>
      </c>
      <c r="AE1445" s="2" t="inlineStr">
        <is>
          <t>24614</t>
        </is>
      </c>
      <c r="AF1445" s="2" t="inlineStr">
        <is>
          <t>https://www.parlamento.pt/OrcamentoEstado/Paginas/DetalhePropostaAlteracao.aspx?BID=24614</t>
        </is>
      </c>
      <c r="AG1445" s="2" t="inlineStr">
        <is>
          <t>https://app.parlamento.pt/webutils/docs/doc.pdf?path=6148523063484d364c793942556b356c6443397a6158526c63793959566b6c4a544556484c3039464c7a49774d6a59794d4449314d5441774f5339515153396c4e7a42684d5749304d6930324f446c6b4c54517a4d4441744f446b35597930795a54426a4f5452694e575130597a67756347526d&amp;Fich=e70a1b42-689d-4300-899c-2e0c94b5d4c8.pdf&amp;Inline=true</t>
        </is>
      </c>
      <c r="AH1445" s="3" t="n">
        <v>46321.77847222222</v>
      </c>
      <c r="AI1445" s="3" t="n">
        <v>46321.78055555555</v>
      </c>
      <c r="AJ1445" s="2" t="inlineStr"/>
    </row>
    <row r="1446">
      <c r="A1446" s="2" t="n">
        <v>1445</v>
      </c>
      <c r="B1446" s="2" t="inlineStr">
        <is>
          <t>1369C</t>
        </is>
      </c>
      <c r="C1446" s="3" t="n">
        <v>45968.57569444444</v>
      </c>
      <c r="D1446" s="2" t="inlineStr">
        <is>
          <t>Original</t>
        </is>
      </c>
      <c r="E1446" s="2" t="inlineStr">
        <is>
          <t>PAN</t>
        </is>
      </c>
      <c r="F1446" s="2" t="inlineStr">
        <is>
          <t>Inês de Sousa Real</t>
        </is>
      </c>
      <c r="G1446" s="2" t="inlineStr">
        <is>
          <t>Art. 127.º-A (aditamento)</t>
        </is>
      </c>
      <c r="H1446" s="2" t="n"/>
      <c r="I1446" s="2" t="n"/>
      <c r="J1446" s="2" t="n"/>
      <c r="K1446" s="2" t="n"/>
      <c r="L1446" s="2" t="inlineStr">
        <is>
          <t>Artigo 127.º-A (Suspensão do projeto “Central Solar Sophia”)</t>
        </is>
      </c>
      <c r="M1446" s="4" t="n"/>
      <c r="N1446" s="4" t="n"/>
      <c r="O1446" s="2" t="n"/>
      <c r="P1446" s="2" t="n"/>
      <c r="Q1446" s="2" t="n"/>
      <c r="R1446" s="2" t="n"/>
      <c r="S1446" s="2" t="inlineStr">
        <is>
          <t>Rejeitado(a) em Plenário</t>
        </is>
      </c>
      <c r="T1446" s="2" t="inlineStr">
        <is>
          <t>Rejeitada</t>
        </is>
      </c>
      <c r="U1446" s="2" t="inlineStr">
        <is>
          <t>Favor: CH, L, PCP, BE, PAN, JPP; Contra: PSD, CDS-PP; Abstenção: PS, IL</t>
        </is>
      </c>
      <c r="V1446" s="3" t="n">
        <v>45987</v>
      </c>
      <c r="W1446" s="2" t="inlineStr">
        <is>
          <t>Avocada a Plenário. AR: https://www.parlamento.pt/OrcamentoEstado/Paginas/DetalhePropostaAlteracao.aspx?BID=24615 PDF: https://app.parlamento.pt/webutils/docs/doc.pdf?path=6148523063484d364c793942556b356c6443397a6158526c63793959566b6c4a544556484c3039464c7a49774d6a59794d4449314d5441774f533951515338344f44593559574d345979316b5a475a6c4c54526c59324d7459544a68596930344e324d324e5459315932557a4e4467756347526d&amp;Fich=8869ac8c-ddfe-4ecc-a2ab-87c6565ce348.pdf&amp;Inline=true</t>
        </is>
      </c>
      <c r="X1446" s="2" t="inlineStr">
        <is>
          <t>Ambiente e Energia</t>
        </is>
      </c>
      <c r="Y1446" s="2" t="inlineStr">
        <is>
          <t>Articulado</t>
        </is>
      </c>
      <c r="Z1446" s="2" t="inlineStr">
        <is>
          <t>Aditamento (Artigo PPL)</t>
        </is>
      </c>
      <c r="AA1446" s="2" t="inlineStr">
        <is>
          <t>Rejeitado(a) em Plenário</t>
        </is>
      </c>
      <c r="AB1446" s="2" t="inlineStr">
        <is>
          <t>S</t>
        </is>
      </c>
      <c r="AC1446" s="2" t="inlineStr"/>
      <c r="AD1446" s="2" t="inlineStr">
        <is>
          <t>2</t>
        </is>
      </c>
      <c r="AE1446" s="2" t="inlineStr">
        <is>
          <t>24615</t>
        </is>
      </c>
      <c r="AF1446" s="2" t="inlineStr">
        <is>
          <t>https://www.parlamento.pt/OrcamentoEstado/Paginas/DetalhePropostaAlteracao.aspx?BID=24615</t>
        </is>
      </c>
      <c r="AG1446" s="2" t="inlineStr">
        <is>
          <t>https://app.parlamento.pt/webutils/docs/doc.pdf?path=6148523063484d364c793942556b356c6443397a6158526c63793959566b6c4a544556484c3039464c7a49774d6a59794d4449314d5441774f533951515338344f44593559574d345979316b5a475a6c4c54526c59324d7459544a68596930344e324d324e5459315932557a4e4467756347526d&amp;Fich=8869ac8c-ddfe-4ecc-a2ab-87c6565ce348.pdf&amp;Inline=true</t>
        </is>
      </c>
      <c r="AH1446" s="3" t="n">
        <v>46321.77847222222</v>
      </c>
      <c r="AI1446" s="3" t="n">
        <v>46321.78055555555</v>
      </c>
      <c r="AJ1446" s="2" t="inlineStr"/>
    </row>
    <row r="1447">
      <c r="A1447" s="2" t="n">
        <v>1446</v>
      </c>
      <c r="B1447" s="2" t="inlineStr">
        <is>
          <t>1370C</t>
        </is>
      </c>
      <c r="C1447" s="3" t="n">
        <v>45968.57638888889</v>
      </c>
      <c r="D1447" s="2" t="inlineStr">
        <is>
          <t>Original</t>
        </is>
      </c>
      <c r="E1447" s="2" t="inlineStr">
        <is>
          <t>PAN</t>
        </is>
      </c>
      <c r="F1447" s="2" t="inlineStr">
        <is>
          <t>Inês de Sousa Real</t>
        </is>
      </c>
      <c r="G1447" s="2" t="inlineStr">
        <is>
          <t>Art. 125.º-B (aditamento)</t>
        </is>
      </c>
      <c r="H1447" s="2" t="n"/>
      <c r="I1447" s="2" t="n"/>
      <c r="J1447" s="2" t="n"/>
      <c r="K1447" s="2" t="n"/>
      <c r="L1447" s="2" t="inlineStr">
        <is>
          <t>Artigo 125.º-B (Passe gratuito para jovens)</t>
        </is>
      </c>
      <c r="M1447" s="4" t="n"/>
      <c r="N1447" s="4" t="n"/>
      <c r="O1447" s="2" t="n"/>
      <c r="P1447" s="2" t="n"/>
      <c r="Q1447" s="2" t="n"/>
      <c r="R1447" s="2" t="n"/>
      <c r="S1447" s="2" t="inlineStr">
        <is>
          <t>Rejeitado(a) em Comissão</t>
        </is>
      </c>
      <c r="T1447" s="2" t="inlineStr">
        <is>
          <t>Rejeitada</t>
        </is>
      </c>
      <c r="U1447" s="2" t="inlineStr">
        <is>
          <t>Favor: CH, L, PCP, BE, PAN; Contra: PSD, IL, CDS-PP; Abstenção: PS</t>
        </is>
      </c>
      <c r="V1447" s="3" t="n">
        <v>45985</v>
      </c>
      <c r="W1447" s="2" t="inlineStr">
        <is>
          <t>AR: https://www.parlamento.pt/OrcamentoEstado/Paginas/DetalhePropostaAlteracao.aspx?BID=24616 PDF: https://app.parlamento.pt/webutils/docs/doc.pdf?path=6148523063484d364c793942556b356c6443397a6158526c63793959566b6c4a544556484c3039464c7a49774d6a59794d4449314d5441774f533951515338794d6d45355a474a6c4e433169593259324c54526d4e6a5174596a5a6c4e79316a4d7a41354d57457a595455324d6d55756347526d&amp;Fich=22a9dbe4-bcf6-4f64-b6e7-c3091a3a562e.pdf&amp;Inline=true</t>
        </is>
      </c>
      <c r="X1447" s="2" t="inlineStr">
        <is>
          <t>Infraestruturas, Mobilidade e Habitação</t>
        </is>
      </c>
      <c r="Y1447" s="2" t="inlineStr">
        <is>
          <t>Articulado</t>
        </is>
      </c>
      <c r="Z1447" s="2" t="inlineStr">
        <is>
          <t>Aditamento (Artigo PPL)</t>
        </is>
      </c>
      <c r="AA1447" s="2" t="inlineStr">
        <is>
          <t>Rejeitado(a) em Comissão</t>
        </is>
      </c>
      <c r="AB1447" s="2" t="inlineStr"/>
      <c r="AC1447" s="2" t="inlineStr"/>
      <c r="AD1447" s="2" t="inlineStr">
        <is>
          <t>1</t>
        </is>
      </c>
      <c r="AE1447" s="2" t="inlineStr">
        <is>
          <t>24616</t>
        </is>
      </c>
      <c r="AF1447" s="2" t="inlineStr">
        <is>
          <t>https://www.parlamento.pt/OrcamentoEstado/Paginas/DetalhePropostaAlteracao.aspx?BID=24616</t>
        </is>
      </c>
      <c r="AG1447" s="2" t="inlineStr">
        <is>
          <t>https://app.parlamento.pt/webutils/docs/doc.pdf?path=6148523063484d364c793942556b356c6443397a6158526c63793959566b6c4a544556484c3039464c7a49774d6a59794d4449314d5441774f533951515338794d6d45355a474a6c4e433169593259324c54526d4e6a5174596a5a6c4e79316a4d7a41354d57457a595455324d6d55756347526d&amp;Fich=22a9dbe4-bcf6-4f64-b6e7-c3091a3a562e.pdf&amp;Inline=true</t>
        </is>
      </c>
      <c r="AH1447" s="3" t="n">
        <v>46321.77847222222</v>
      </c>
      <c r="AI1447" s="3" t="n">
        <v>46321.78055555555</v>
      </c>
      <c r="AJ1447" s="2" t="inlineStr"/>
    </row>
    <row r="1448">
      <c r="A1448" s="2" t="n">
        <v>1447</v>
      </c>
      <c r="B1448" s="2" t="inlineStr">
        <is>
          <t>1371C-1</t>
        </is>
      </c>
      <c r="C1448" s="3" t="n">
        <v>45968.57708333333</v>
      </c>
      <c r="D1448" s="2" t="inlineStr">
        <is>
          <t>Original</t>
        </is>
      </c>
      <c r="E1448" s="2" t="inlineStr">
        <is>
          <t>PS</t>
        </is>
      </c>
      <c r="F1448" s="2" t="inlineStr">
        <is>
          <t>António Mendonça Mendes; Eurico Brilhante Dias; José Luís Carneiro; Luís Dias; Marina Gonçalves; Miguel Matos</t>
        </is>
      </c>
      <c r="G1448" s="2" t="inlineStr">
        <is>
          <t>Art. 46.º-A (aditamento)</t>
        </is>
      </c>
      <c r="H1448" s="2" t="n"/>
      <c r="I1448" s="2" t="n"/>
      <c r="J1448" s="2" t="n"/>
      <c r="K1448" s="2" t="n"/>
      <c r="L1448" s="2" t="inlineStr">
        <is>
          <t>Artigo 46.º-A (Atualização do Suplemento Especial de Pensão dos Antigos Combatentes (Alteração à Lei n.º 3/2009, de 13 de janeiro))</t>
        </is>
      </c>
      <c r="M1448" s="4" t="n"/>
      <c r="N1448" s="4" t="n"/>
      <c r="O1448" s="2" t="n"/>
      <c r="P1448" s="2" t="n"/>
      <c r="Q1448" s="2" t="n"/>
      <c r="R1448" s="2" t="n"/>
      <c r="S1448" s="2" t="inlineStr">
        <is>
          <t>Aprovado(a) em Comissão</t>
        </is>
      </c>
      <c r="T1448" s="2" t="inlineStr">
        <is>
          <t>Aprovada</t>
        </is>
      </c>
      <c r="U1448" s="2" t="inlineStr">
        <is>
          <t>Favor: CH, PS, IL, L, PCP, BE, PAN; Contra: PSD, CDS-PP</t>
        </is>
      </c>
      <c r="V1448" s="3" t="n">
        <v>45981</v>
      </c>
      <c r="W1448" s="2" t="inlineStr">
        <is>
          <t>AR: https://www.parlamento.pt/OrcamentoEstado/Paginas/DetalhePropostaAlteracao.aspx?BID=24617 PDF: https://app.parlamento.pt/webutils/docs/doc.pdf?path=6148523063484d364c793942556b356c6443397a6158526c63793959566b6c4a544556484c3039464c7a49774d6a59794d4449314d5441774f5339515153387959574e684d44566c4d5330355a6a63774c5451774d545574595749335a6930344e546b314d5463304e7a5a6a4e4463756347526d&amp;Fich=2aca05e1-9f70-4015-ab7f-859517476c47.pdf&amp;Inline=true</t>
        </is>
      </c>
      <c r="X1448" s="2" t="inlineStr">
        <is>
          <t>Defesa Nacional; Orçamento, Finanças e Administração Pública</t>
        </is>
      </c>
      <c r="Y1448" s="2" t="inlineStr">
        <is>
          <t>Articulado</t>
        </is>
      </c>
      <c r="Z1448" s="2" t="inlineStr">
        <is>
          <t>Aditamento (Artigo PPL)</t>
        </is>
      </c>
      <c r="AA1448" s="2" t="inlineStr">
        <is>
          <t>Aprovado(a) em Comissão</t>
        </is>
      </c>
      <c r="AB1448" s="2" t="inlineStr"/>
      <c r="AC1448" s="2" t="inlineStr">
        <is>
          <t>1</t>
        </is>
      </c>
      <c r="AD1448" s="2" t="inlineStr">
        <is>
          <t>1</t>
        </is>
      </c>
      <c r="AE1448" s="2" t="inlineStr">
        <is>
          <t>24617</t>
        </is>
      </c>
      <c r="AF1448" s="2" t="inlineStr">
        <is>
          <t>https://www.parlamento.pt/OrcamentoEstado/Paginas/DetalhePropostaAlteracao.aspx?BID=24617</t>
        </is>
      </c>
      <c r="AG1448" s="2" t="inlineStr">
        <is>
          <t>https://app.parlamento.pt/webutils/docs/doc.pdf?path=6148523063484d364c793942556b356c6443397a6158526c63793959566b6c4a544556484c3039464c7a49774d6a59794d4449314d5441774f5339515153387959574e684d44566c4d5330355a6a63774c5451774d545574595749335a6930344e546b314d5463304e7a5a6a4e4463756347526d&amp;Fich=2aca05e1-9f70-4015-ab7f-859517476c47.pdf&amp;Inline=true</t>
        </is>
      </c>
      <c r="AH1448" s="3" t="n">
        <v>46321.77847222222</v>
      </c>
      <c r="AI1448" s="3" t="n">
        <v>46321.78055555555</v>
      </c>
      <c r="AJ1448" s="2" t="inlineStr"/>
    </row>
    <row r="1449">
      <c r="A1449" s="2" t="n">
        <v>1448</v>
      </c>
      <c r="B1449" s="2" t="inlineStr">
        <is>
          <t>1371C-2</t>
        </is>
      </c>
      <c r="C1449" s="3" t="n">
        <v>45968.57708333333</v>
      </c>
      <c r="D1449" s="2" t="inlineStr">
        <is>
          <t>Original</t>
        </is>
      </c>
      <c r="E1449" s="2" t="inlineStr">
        <is>
          <t>PS</t>
        </is>
      </c>
      <c r="F1449" s="2" t="inlineStr">
        <is>
          <t>António Mendonça Mendes; Eurico Brilhante Dias; José Luís Carneiro; Luís Dias; Marina Gonçalves; Miguel Matos</t>
        </is>
      </c>
      <c r="G1449" s="2" t="inlineStr">
        <is>
          <t>Art. 46.º-B (aditamento)</t>
        </is>
      </c>
      <c r="H1449" s="2" t="n"/>
      <c r="I1449" s="2" t="n"/>
      <c r="J1449" s="2" t="n"/>
      <c r="K1449" s="2" t="n"/>
      <c r="L1449" s="2" t="inlineStr">
        <is>
          <t>Artigo 46.º-B (Atualização do Complemento Especial de Pensão dos Antigos Combatentes (Alteração à Lei n.º 9/2002, de 11 de fevereiro))</t>
        </is>
      </c>
      <c r="M1449" s="4" t="n"/>
      <c r="N1449" s="4" t="n"/>
      <c r="O1449" s="2" t="n"/>
      <c r="P1449" s="2" t="n"/>
      <c r="Q1449" s="2" t="n"/>
      <c r="R1449" s="2" t="n"/>
      <c r="S1449" s="2" t="inlineStr">
        <is>
          <t>Aprovado(a) em Comissão</t>
        </is>
      </c>
      <c r="T1449" s="2" t="inlineStr">
        <is>
          <t>Aprovada</t>
        </is>
      </c>
      <c r="U1449" s="2" t="inlineStr">
        <is>
          <t>Favor: CH, PS, L, PCP, BE, PAN; Contra: PSD, CDS-PP; Abstenção: IL</t>
        </is>
      </c>
      <c r="V1449" s="3" t="n">
        <v>45981</v>
      </c>
      <c r="W1449" s="2" t="inlineStr">
        <is>
          <t>AR: https://www.parlamento.pt/OrcamentoEstado/Paginas/DetalhePropostaAlteracao.aspx?BID=25373 PDF: https://app.parlamento.pt/webutils/docs/doc.pdf?path=6148523063484d364c793942556b356c6443397a6158526c63793959566b6c4a544556484c3039464c7a49774d6a59794d4449314d5441774f533951515338774e7a426c596d49314e7930774d6a46684c5451794d6d4574596d4a6b5a6930794e6a56684f544a694e544e6c596d59756347526d&amp;Fich=070ebb57-021a-422a-bbdf-265a92b53ebf.pdf&amp;Inline=true</t>
        </is>
      </c>
      <c r="X1449" s="2" t="inlineStr">
        <is>
          <t>Defesa Nacional; Orçamento, Finanças e Administração Pública</t>
        </is>
      </c>
      <c r="Y1449" s="2" t="inlineStr">
        <is>
          <t>Articulado</t>
        </is>
      </c>
      <c r="Z1449" s="2" t="inlineStr">
        <is>
          <t>Aditamento (Artigo PPL)</t>
        </is>
      </c>
      <c r="AA1449" s="2" t="inlineStr">
        <is>
          <t>Aprovado(a) em Comissão</t>
        </is>
      </c>
      <c r="AB1449" s="2" t="inlineStr"/>
      <c r="AC1449" s="2" t="inlineStr">
        <is>
          <t>2</t>
        </is>
      </c>
      <c r="AD1449" s="2" t="inlineStr">
        <is>
          <t>1</t>
        </is>
      </c>
      <c r="AE1449" s="2" t="inlineStr">
        <is>
          <t>25373</t>
        </is>
      </c>
      <c r="AF1449" s="2" t="inlineStr">
        <is>
          <t>https://www.parlamento.pt/OrcamentoEstado/Paginas/DetalhePropostaAlteracao.aspx?BID=25373</t>
        </is>
      </c>
      <c r="AG1449" s="2" t="inlineStr">
        <is>
          <t>https://app.parlamento.pt/webutils/docs/doc.pdf?path=6148523063484d364c793942556b356c6443397a6158526c63793959566b6c4a544556484c3039464c7a49774d6a59794d4449314d5441774f533951515338774e7a426c596d49314e7930774d6a46684c5451794d6d4574596d4a6b5a6930794e6a56684f544a694e544e6c596d59756347526d&amp;Fich=070ebb57-021a-422a-bbdf-265a92b53ebf.pdf&amp;Inline=true</t>
        </is>
      </c>
      <c r="AH1449" s="3" t="n">
        <v>46321.77847222222</v>
      </c>
      <c r="AI1449" s="3" t="n">
        <v>46321.78055555555</v>
      </c>
      <c r="AJ1449" s="2" t="inlineStr"/>
    </row>
    <row r="1450">
      <c r="A1450" s="2" t="n">
        <v>1449</v>
      </c>
      <c r="B1450" s="2" t="inlineStr">
        <is>
          <t>1371C-3</t>
        </is>
      </c>
      <c r="C1450" s="3" t="n">
        <v>45968.57708333333</v>
      </c>
      <c r="D1450" s="2" t="inlineStr">
        <is>
          <t>Original</t>
        </is>
      </c>
      <c r="E1450" s="2" t="inlineStr">
        <is>
          <t>PS</t>
        </is>
      </c>
      <c r="F1450" s="2" t="inlineStr">
        <is>
          <t>António Mendonça Mendes; Eurico Brilhante Dias; José Luís Carneiro; Luís Dias; Marina Gonçalves; Miguel Matos</t>
        </is>
      </c>
      <c r="G1450" s="2" t="inlineStr">
        <is>
          <t>Art. 46.º-C (aditamento)</t>
        </is>
      </c>
      <c r="H1450" s="2" t="n"/>
      <c r="I1450" s="2" t="n"/>
      <c r="J1450" s="2" t="n"/>
      <c r="K1450" s="2" t="n"/>
      <c r="L1450" s="2" t="inlineStr">
        <is>
          <t>Artigo 46.º-C (Disposição transitória)</t>
        </is>
      </c>
      <c r="M1450" s="4" t="n"/>
      <c r="N1450" s="4" t="n"/>
      <c r="O1450" s="2" t="n"/>
      <c r="P1450" s="2" t="n"/>
      <c r="Q1450" s="2" t="n"/>
      <c r="R1450" s="2" t="n"/>
      <c r="S1450" s="2" t="inlineStr">
        <is>
          <t>Aprovado(a) em Comissão</t>
        </is>
      </c>
      <c r="T1450" s="2" t="inlineStr">
        <is>
          <t>Aprovada</t>
        </is>
      </c>
      <c r="U1450" s="2" t="inlineStr">
        <is>
          <t>Favor: CH, PS, L, PCP, BE, PAN; Contra: PSD, CDS-PP; Abstenção: IL</t>
        </is>
      </c>
      <c r="V1450" s="3" t="n">
        <v>45981</v>
      </c>
      <c r="W1450" s="2" t="inlineStr">
        <is>
          <t>AR: https://www.parlamento.pt/OrcamentoEstado/Paginas/DetalhePropostaAlteracao.aspx?BID=25374 PDF: https://app.parlamento.pt/webutils/docs/doc.pdf?path=6148523063484d364c793942556b356c6443397a6158526c63793959566b6c4a544556484c3039464c7a49774d6a59794d4449314d5441774f5339515153396a5a446869596d526d4d7930784e3255314c5451324e7a6374595455794d4331684f446c684d6a41354d6a4578596d49756347526d&amp;Fich=cd8bbdf3-17e5-4677-a520-a89a209211bb.pdf&amp;Inline=true</t>
        </is>
      </c>
      <c r="X1450" s="2" t="inlineStr">
        <is>
          <t>Defesa Nacional; Orçamento, Finanças e Administração Pública</t>
        </is>
      </c>
      <c r="Y1450" s="2" t="inlineStr">
        <is>
          <t>Articulado</t>
        </is>
      </c>
      <c r="Z1450" s="2" t="inlineStr">
        <is>
          <t>Aditamento (Artigo PPL)</t>
        </is>
      </c>
      <c r="AA1450" s="2" t="inlineStr">
        <is>
          <t>Aprovado(a) em Comissão</t>
        </is>
      </c>
      <c r="AB1450" s="2" t="inlineStr"/>
      <c r="AC1450" s="2" t="inlineStr">
        <is>
          <t>3</t>
        </is>
      </c>
      <c r="AD1450" s="2" t="inlineStr">
        <is>
          <t>1</t>
        </is>
      </c>
      <c r="AE1450" s="2" t="inlineStr">
        <is>
          <t>25374</t>
        </is>
      </c>
      <c r="AF1450" s="2" t="inlineStr">
        <is>
          <t>https://www.parlamento.pt/OrcamentoEstado/Paginas/DetalhePropostaAlteracao.aspx?BID=25374</t>
        </is>
      </c>
      <c r="AG1450" s="2" t="inlineStr">
        <is>
          <t>https://app.parlamento.pt/webutils/docs/doc.pdf?path=6148523063484d364c793942556b356c6443397a6158526c63793959566b6c4a544556484c3039464c7a49774d6a59794d4449314d5441774f5339515153396a5a446869596d526d4d7930784e3255314c5451324e7a6374595455794d4331684f446c684d6a41354d6a4578596d49756347526d&amp;Fich=cd8bbdf3-17e5-4677-a520-a89a209211bb.pdf&amp;Inline=true</t>
        </is>
      </c>
      <c r="AH1450" s="3" t="n">
        <v>46321.77847222222</v>
      </c>
      <c r="AI1450" s="3" t="n">
        <v>46321.78055555555</v>
      </c>
      <c r="AJ1450" s="2" t="inlineStr"/>
    </row>
    <row r="1451">
      <c r="A1451" s="2" t="n">
        <v>1450</v>
      </c>
      <c r="B1451" s="2" t="inlineStr">
        <is>
          <t>1372C</t>
        </is>
      </c>
      <c r="C1451" s="3" t="n">
        <v>45968.57777777778</v>
      </c>
      <c r="D1451" s="2" t="inlineStr">
        <is>
          <t>Original</t>
        </is>
      </c>
      <c r="E1451" s="2" t="inlineStr">
        <is>
          <t>PAN</t>
        </is>
      </c>
      <c r="F1451" s="2" t="inlineStr">
        <is>
          <t>Inês de Sousa Real</t>
        </is>
      </c>
      <c r="G1451" s="2" t="inlineStr">
        <is>
          <t>Art. 125.º-A (aditamento)</t>
        </is>
      </c>
      <c r="H1451" s="2" t="n"/>
      <c r="I1451" s="2" t="n"/>
      <c r="J1451" s="2" t="n"/>
      <c r="K1451" s="2" t="n"/>
      <c r="L1451" s="2" t="inlineStr">
        <is>
          <t>Artigo 125.º-A (Redução da tarifa dos passes de transportes públicos)</t>
        </is>
      </c>
      <c r="M1451" s="4" t="n"/>
      <c r="N1451" s="4" t="n"/>
      <c r="O1451" s="2" t="n"/>
      <c r="P1451" s="2" t="n"/>
      <c r="Q1451" s="2" t="n"/>
      <c r="R1451" s="2" t="n"/>
      <c r="S1451" s="2" t="inlineStr">
        <is>
          <t>Rejeitado(a) em Comissão</t>
        </is>
      </c>
      <c r="T1451" s="2" t="inlineStr">
        <is>
          <t>Rejeitada</t>
        </is>
      </c>
      <c r="U1451" s="2" t="inlineStr">
        <is>
          <t>Favor: L, PCP, BE, PAN; Contra: PSD, IL, CDS-PP; Abstenção: CH, PS</t>
        </is>
      </c>
      <c r="V1451" s="3" t="n">
        <v>45985</v>
      </c>
      <c r="W1451" s="2" t="inlineStr">
        <is>
          <t>AR: https://www.parlamento.pt/OrcamentoEstado/Paginas/DetalhePropostaAlteracao.aspx?BID=24618 PDF: https://app.parlamento.pt/webutils/docs/doc.pdf?path=6148523063484d364c793942556b356c6443397a6158526c63793959566b6c4a544556484c3039464c7a49774d6a59794d4449314d5441774f5339515153396c5a6a646a4d6a63325979316b596d52694c5451344d6a6774595455314e79303359545935596a45774f5745304e6d4d756347526d&amp;Fich=ef7c276c-dbdb-4828-a557-7a69b109a46c.pdf&amp;Inline=true</t>
        </is>
      </c>
      <c r="X1451" s="2" t="inlineStr">
        <is>
          <t>Infraestruturas, Mobilidade e Habitação</t>
        </is>
      </c>
      <c r="Y1451" s="2" t="inlineStr">
        <is>
          <t>Articulado</t>
        </is>
      </c>
      <c r="Z1451" s="2" t="inlineStr">
        <is>
          <t>Aditamento (Artigo PPL)</t>
        </is>
      </c>
      <c r="AA1451" s="2" t="inlineStr">
        <is>
          <t>Rejeitado(a) em Comissão</t>
        </is>
      </c>
      <c r="AB1451" s="2" t="inlineStr"/>
      <c r="AC1451" s="2" t="inlineStr"/>
      <c r="AD1451" s="2" t="inlineStr">
        <is>
          <t>1</t>
        </is>
      </c>
      <c r="AE1451" s="2" t="inlineStr">
        <is>
          <t>24618</t>
        </is>
      </c>
      <c r="AF1451" s="2" t="inlineStr">
        <is>
          <t>https://www.parlamento.pt/OrcamentoEstado/Paginas/DetalhePropostaAlteracao.aspx?BID=24618</t>
        </is>
      </c>
      <c r="AG1451" s="2" t="inlineStr">
        <is>
          <t>https://app.parlamento.pt/webutils/docs/doc.pdf?path=6148523063484d364c793942556b356c6443397a6158526c63793959566b6c4a544556484c3039464c7a49774d6a59794d4449314d5441774f5339515153396c5a6a646a4d6a63325979316b596d52694c5451344d6a6774595455314e79303359545935596a45774f5745304e6d4d756347526d&amp;Fich=ef7c276c-dbdb-4828-a557-7a69b109a46c.pdf&amp;Inline=true</t>
        </is>
      </c>
      <c r="AH1451" s="3" t="n">
        <v>46321.77847222222</v>
      </c>
      <c r="AI1451" s="3" t="n">
        <v>46321.78055555555</v>
      </c>
      <c r="AJ1451" s="2" t="inlineStr"/>
    </row>
    <row r="1452">
      <c r="A1452" s="2" t="n">
        <v>1451</v>
      </c>
      <c r="B1452" s="2" t="inlineStr">
        <is>
          <t>1373C-1</t>
        </is>
      </c>
      <c r="C1452" s="3" t="n">
        <v>45968.57847222222</v>
      </c>
      <c r="D1452" s="2" t="inlineStr">
        <is>
          <t>Original</t>
        </is>
      </c>
      <c r="E1452" s="2" t="inlineStr">
        <is>
          <t>PS</t>
        </is>
      </c>
      <c r="F1452" s="2" t="inlineStr">
        <is>
          <t>André Rijo; António Mendonça Mendes; Eurico Brilhante Dias; Isabel Alves Moreira; José Luís Carneiro; Marina Gonçalves; Miguel Matos; Pedro Delgado Alves; Pedro Vaz</t>
        </is>
      </c>
      <c r="G1452" s="2" t="inlineStr">
        <is>
          <t>Art. 60.º (substituição)</t>
        </is>
      </c>
      <c r="H1452" s="2" t="n"/>
      <c r="I1452" s="2" t="n"/>
      <c r="J1452" s="2" t="n"/>
      <c r="K1452" s="2" t="n"/>
      <c r="L1452" s="2" t="inlineStr">
        <is>
          <t>N.º 7, Artigo 12.º do Código do IRS</t>
        </is>
      </c>
      <c r="M1452" s="4" t="n"/>
      <c r="N1452" s="4" t="n"/>
      <c r="O1452" s="2" t="n"/>
      <c r="P1452" s="2" t="n"/>
      <c r="Q1452" s="2" t="n"/>
      <c r="R1452" s="2" t="n"/>
      <c r="S1452" s="2" t="inlineStr">
        <is>
          <t>Aprovado(a) em Comissão</t>
        </is>
      </c>
      <c r="T1452" s="2" t="inlineStr">
        <is>
          <t>Aprovada</t>
        </is>
      </c>
      <c r="U1452" s="2" t="inlineStr">
        <is>
          <t>Favor: PSD, PS, IL, L, PCP, CDS-PP, BE, PAN; Abstenção: CH</t>
        </is>
      </c>
      <c r="V1452" s="3" t="n">
        <v>45981</v>
      </c>
      <c r="W1452" s="2" t="inlineStr">
        <is>
          <t>AR: https://www.parlamento.pt/OrcamentoEstado/Paginas/DetalhePropostaAlteracao.aspx?BID=24619 PDF: https://app.parlamento.pt/webutils/docs/doc.pdf?path=6148523063484d364c793942556b356c6443397a6158526c63793959566b6c4a544556484c3039464c7a49774d6a59794d4449314d5441774f533951515339684f5455354d544a6b4d79316c4d6a55324c5451334d4745744f54633459533077597a5932597a55785a5446684e6d51756347526d&amp;Fich=a95912d3-e256-470a-978a-0c66c51e1a6d.pdf&amp;Inline=true</t>
        </is>
      </c>
      <c r="X1452" s="2" t="inlineStr">
        <is>
          <t>Assuntos Constitucionais, Direitos, Liberdades e Garantias; Orçamento, Finanças e Administração Pública</t>
        </is>
      </c>
      <c r="Y1452" s="2" t="inlineStr">
        <is>
          <t>Articulado</t>
        </is>
      </c>
      <c r="Z1452" s="2" t="inlineStr">
        <is>
          <t>Substituição</t>
        </is>
      </c>
      <c r="AA1452" s="2" t="inlineStr">
        <is>
          <t>Aprovado(a) em Comissão</t>
        </is>
      </c>
      <c r="AB1452" s="2" t="inlineStr"/>
      <c r="AC1452" s="2" t="inlineStr">
        <is>
          <t>1</t>
        </is>
      </c>
      <c r="AD1452" s="2" t="inlineStr">
        <is>
          <t>1</t>
        </is>
      </c>
      <c r="AE1452" s="2" t="inlineStr">
        <is>
          <t>24619</t>
        </is>
      </c>
      <c r="AF1452" s="2" t="inlineStr">
        <is>
          <t>https://www.parlamento.pt/OrcamentoEstado/Paginas/DetalhePropostaAlteracao.aspx?BID=24619</t>
        </is>
      </c>
      <c r="AG1452" s="2" t="inlineStr">
        <is>
          <t>https://app.parlamento.pt/webutils/docs/doc.pdf?path=6148523063484d364c793942556b356c6443397a6158526c63793959566b6c4a544556484c3039464c7a49774d6a59794d4449314d5441774f533951515339684f5455354d544a6b4d79316c4d6a55324c5451334d4745744f54633459533077597a5932597a55785a5446684e6d51756347526d&amp;Fich=a95912d3-e256-470a-978a-0c66c51e1a6d.pdf&amp;Inline=true</t>
        </is>
      </c>
      <c r="AH1452" s="3" t="n">
        <v>46321.77847222222</v>
      </c>
      <c r="AI1452" s="3" t="n">
        <v>46321.78055555555</v>
      </c>
      <c r="AJ1452" s="2" t="inlineStr"/>
    </row>
    <row r="1453">
      <c r="A1453" s="2" t="n">
        <v>1452</v>
      </c>
      <c r="B1453" s="2" t="inlineStr">
        <is>
          <t>1373C-2</t>
        </is>
      </c>
      <c r="C1453" s="3" t="n">
        <v>45968.57847222222</v>
      </c>
      <c r="D1453" s="2" t="inlineStr">
        <is>
          <t>Original</t>
        </is>
      </c>
      <c r="E1453" s="2" t="inlineStr">
        <is>
          <t>PS</t>
        </is>
      </c>
      <c r="F1453" s="2" t="inlineStr">
        <is>
          <t>André Rijo; António Mendonça Mendes; Eurico Brilhante Dias; Isabel Alves Moreira; José Luís Carneiro; Marina Gonçalves; Miguel Matos; Pedro Delgado Alves; Pedro Vaz</t>
        </is>
      </c>
      <c r="G1453" s="2" t="inlineStr">
        <is>
          <t>Art. 60.º (substituição)</t>
        </is>
      </c>
      <c r="H1453" s="2" t="n"/>
      <c r="I1453" s="2" t="n"/>
      <c r="J1453" s="2" t="n"/>
      <c r="K1453" s="2" t="n"/>
      <c r="L1453" s="2" t="inlineStr">
        <is>
          <t>N.º 19, Artigo 72.º do Código do IRS</t>
        </is>
      </c>
      <c r="M1453" s="4" t="n"/>
      <c r="N1453" s="4" t="n"/>
      <c r="O1453" s="2" t="n"/>
      <c r="P1453" s="2" t="n"/>
      <c r="Q1453" s="2" t="n"/>
      <c r="R1453" s="2" t="n"/>
      <c r="S1453" s="2" t="inlineStr">
        <is>
          <t>Aprovado(a) em Comissão</t>
        </is>
      </c>
      <c r="T1453" s="2" t="inlineStr">
        <is>
          <t>Aprovada</t>
        </is>
      </c>
      <c r="U1453" s="2" t="inlineStr">
        <is>
          <t>Favor: PSD, PS, IL, L, PCP, CDS-PP, BE, PAN; Abstenção: CH</t>
        </is>
      </c>
      <c r="V1453" s="3" t="n">
        <v>45981</v>
      </c>
      <c r="W1453" s="2" t="inlineStr">
        <is>
          <t>AR: https://www.parlamento.pt/OrcamentoEstado/Paginas/DetalhePropostaAlteracao.aspx?BID=25356 PDF: https://app.parlamento.pt/webutils/docs/doc.pdf?path=6148523063484d364c793942556b356c6443397a6158526c63793959566b6c4a544556484c3039464c7a49774d6a59794d4449314d5441774f5339515153396b4e5749314e7a493359693035596a55784c5451334d6a49745954466a596930354e6d5a694d575178597a41785a546b756347526d&amp;Fich=d5b5727b-9b51-4722-a1cb-96fb1d1c01e9.pdf&amp;Inline=true</t>
        </is>
      </c>
      <c r="X1453" s="2" t="inlineStr">
        <is>
          <t>Assuntos Constitucionais, Direitos, Liberdades e Garantias; Orçamento, Finanças e Administração Pública</t>
        </is>
      </c>
      <c r="Y1453" s="2" t="inlineStr">
        <is>
          <t>Articulado</t>
        </is>
      </c>
      <c r="Z1453" s="2" t="inlineStr">
        <is>
          <t>Substituição</t>
        </is>
      </c>
      <c r="AA1453" s="2" t="inlineStr">
        <is>
          <t>Aprovado(a) em Comissão</t>
        </is>
      </c>
      <c r="AB1453" s="2" t="inlineStr"/>
      <c r="AC1453" s="2" t="inlineStr">
        <is>
          <t>2</t>
        </is>
      </c>
      <c r="AD1453" s="2" t="inlineStr">
        <is>
          <t>1</t>
        </is>
      </c>
      <c r="AE1453" s="2" t="inlineStr">
        <is>
          <t>25356</t>
        </is>
      </c>
      <c r="AF1453" s="2" t="inlineStr">
        <is>
          <t>https://www.parlamento.pt/OrcamentoEstado/Paginas/DetalhePropostaAlteracao.aspx?BID=25356</t>
        </is>
      </c>
      <c r="AG1453" s="2" t="inlineStr">
        <is>
          <t>https://app.parlamento.pt/webutils/docs/doc.pdf?path=6148523063484d364c793942556b356c6443397a6158526c63793959566b6c4a544556484c3039464c7a49774d6a59794d4449314d5441774f5339515153396b4e5749314e7a493359693035596a55784c5451334d6a49745954466a596930354e6d5a694d575178597a41785a546b756347526d&amp;Fich=d5b5727b-9b51-4722-a1cb-96fb1d1c01e9.pdf&amp;Inline=true</t>
        </is>
      </c>
      <c r="AH1453" s="3" t="n">
        <v>46321.77847222222</v>
      </c>
      <c r="AI1453" s="3" t="n">
        <v>46321.78055555555</v>
      </c>
      <c r="AJ1453" s="2" t="inlineStr"/>
    </row>
    <row r="1454">
      <c r="A1454" s="2" t="n">
        <v>1453</v>
      </c>
      <c r="B1454" s="2" t="inlineStr">
        <is>
          <t>1374C</t>
        </is>
      </c>
      <c r="C1454" s="3" t="n">
        <v>45968.57847222222</v>
      </c>
      <c r="D1454" s="2" t="inlineStr">
        <is>
          <t>Original</t>
        </is>
      </c>
      <c r="E1454" s="2" t="inlineStr">
        <is>
          <t>PAN</t>
        </is>
      </c>
      <c r="F1454" s="2" t="inlineStr">
        <is>
          <t>Inês de Sousa Real</t>
        </is>
      </c>
      <c r="G1454" s="2" t="inlineStr">
        <is>
          <t>Art. 113.º-B (aditamento)</t>
        </is>
      </c>
      <c r="H1454" s="2" t="n"/>
      <c r="I1454" s="2" t="n"/>
      <c r="J1454" s="2" t="n"/>
      <c r="K1454" s="2" t="n"/>
      <c r="L1454" s="2" t="inlineStr">
        <is>
          <t>Artigo 113.º-B (Alteração ao Decreto-Lei n.º 74-A/2017, de 23 de junho)</t>
        </is>
      </c>
      <c r="M1454" s="4" t="n"/>
      <c r="N1454" s="4" t="n"/>
      <c r="O1454" s="2" t="n"/>
      <c r="P1454" s="2" t="n"/>
      <c r="Q1454" s="2" t="n"/>
      <c r="R1454" s="2" t="n"/>
      <c r="S1454" s="2" t="inlineStr">
        <is>
          <t>Rejeitado(a) em Comissão</t>
        </is>
      </c>
      <c r="T1454" s="2" t="inlineStr">
        <is>
          <t>Rejeitada</t>
        </is>
      </c>
      <c r="U1454" s="2" t="inlineStr">
        <is>
          <t>Favor: CH, L, PCP, BE, PAN; Contra: PSD, IL, CDS-PP; Abstenção: PS</t>
        </is>
      </c>
      <c r="V1454" s="3" t="n">
        <v>45985</v>
      </c>
      <c r="W1454" s="2" t="inlineStr">
        <is>
          <t>AR: https://www.parlamento.pt/OrcamentoEstado/Paginas/DetalhePropostaAlteracao.aspx?BID=24620 PDF: https://app.parlamento.pt/webutils/docs/doc.pdf?path=6148523063484d364c793942556b356c6443397a6158526c63793959566b6c4a544556484c3039464c7a49774d6a59794d4449314d5441774f533951515338324e44566d4d4451344f5330344e32597a4c545131596a45744f4445794d53316b4d6a526a4d54633259324e6d4d6a6b756347526d&amp;Fich=645f0489-87f3-45b1-8121-d24c176ccf29.pdf&amp;Inline=true</t>
        </is>
      </c>
      <c r="X1454" s="2" t="inlineStr">
        <is>
          <t>Orçamento, Finanças e Administração Pública</t>
        </is>
      </c>
      <c r="Y1454" s="2" t="inlineStr">
        <is>
          <t>Articulado</t>
        </is>
      </c>
      <c r="Z1454" s="2" t="inlineStr">
        <is>
          <t>Aditamento (Artigo PPL)</t>
        </is>
      </c>
      <c r="AA1454" s="2" t="inlineStr">
        <is>
          <t>Rejeitado(a) em Comissão</t>
        </is>
      </c>
      <c r="AB1454" s="2" t="inlineStr"/>
      <c r="AC1454" s="2" t="inlineStr"/>
      <c r="AD1454" s="2" t="inlineStr">
        <is>
          <t>1</t>
        </is>
      </c>
      <c r="AE1454" s="2" t="inlineStr">
        <is>
          <t>24620</t>
        </is>
      </c>
      <c r="AF1454" s="2" t="inlineStr">
        <is>
          <t>https://www.parlamento.pt/OrcamentoEstado/Paginas/DetalhePropostaAlteracao.aspx?BID=24620</t>
        </is>
      </c>
      <c r="AG1454" s="2" t="inlineStr">
        <is>
          <t>https://app.parlamento.pt/webutils/docs/doc.pdf?path=6148523063484d364c793942556b356c6443397a6158526c63793959566b6c4a544556484c3039464c7a49774d6a59794d4449314d5441774f533951515338324e44566d4d4451344f5330344e32597a4c545131596a45744f4445794d53316b4d6a526a4d54633259324e6d4d6a6b756347526d&amp;Fich=645f0489-87f3-45b1-8121-d24c176ccf29.pdf&amp;Inline=true</t>
        </is>
      </c>
      <c r="AH1454" s="3" t="n">
        <v>46321.77847222222</v>
      </c>
      <c r="AI1454" s="3" t="n">
        <v>46321.78055555555</v>
      </c>
      <c r="AJ1454" s="2" t="inlineStr"/>
    </row>
    <row r="1455">
      <c r="A1455" s="2" t="n">
        <v>1454</v>
      </c>
      <c r="B1455" s="2" t="inlineStr">
        <is>
          <t>1375C</t>
        </is>
      </c>
      <c r="C1455" s="3" t="n">
        <v>45968.57916666667</v>
      </c>
      <c r="D1455" s="2" t="inlineStr">
        <is>
          <t>Original</t>
        </is>
      </c>
      <c r="E1455" s="2" t="inlineStr">
        <is>
          <t>PAN</t>
        </is>
      </c>
      <c r="F1455" s="2" t="inlineStr">
        <is>
          <t>Inês de Sousa Real</t>
        </is>
      </c>
      <c r="G1455" s="2" t="inlineStr">
        <is>
          <t>Art. 63.º-A (aditamento)</t>
        </is>
      </c>
      <c r="H1455" s="2" t="n"/>
      <c r="I1455" s="2" t="n"/>
      <c r="J1455" s="2" t="n"/>
      <c r="K1455" s="2" t="n"/>
      <c r="L1455" s="2" t="inlineStr">
        <is>
          <t>Artigo 63.º-A (Aditamento à lista I anexa ao Código do Imposto sobre o Valor Acrescentado)</t>
        </is>
      </c>
      <c r="M1455" s="4" t="n"/>
      <c r="N1455" s="4" t="n"/>
      <c r="O1455" s="2" t="n"/>
      <c r="P1455" s="2" t="n"/>
      <c r="Q1455" s="2" t="n"/>
      <c r="R1455" s="2" t="n"/>
      <c r="S1455" s="2" t="inlineStr">
        <is>
          <t>Rejeitado(a) em Comissão</t>
        </is>
      </c>
      <c r="T1455" s="2" t="inlineStr">
        <is>
          <t>Rejeitada</t>
        </is>
      </c>
      <c r="U1455" s="2" t="inlineStr">
        <is>
          <t>Favor: L, BE, PAN; Contra: PSD, CDS-PP; Abstenção: CH, PS, IL, PCP</t>
        </is>
      </c>
      <c r="V1455" s="3" t="n">
        <v>45982</v>
      </c>
      <c r="W1455" s="2" t="inlineStr">
        <is>
          <t>AR: https://www.parlamento.pt/OrcamentoEstado/Paginas/DetalhePropostaAlteracao.aspx?BID=24621 PDF: https://app.parlamento.pt/webutils/docs/doc.pdf?path=6148523063484d364c793942556b356c6443397a6158526c63793959566b6c4a544556484c3039464c7a49774d6a59794d4449314d5441774f533951515338354d5759795a544269596931684e47566a4c5451304e325174596a6b334e6931684e5455774d444d334e3259325a5759756347526d&amp;Fich=91f2e0bb-a4ec-447d-b976-a5500377f6ef.pdf&amp;Inline=true</t>
        </is>
      </c>
      <c r="X1455" s="2" t="inlineStr">
        <is>
          <t>Ambiente e Energia; Orçamento, Finanças e Administração Pública</t>
        </is>
      </c>
      <c r="Y1455" s="2" t="inlineStr">
        <is>
          <t>Articulado</t>
        </is>
      </c>
      <c r="Z1455" s="2" t="inlineStr">
        <is>
          <t>Aditamento (Artigo PPL)</t>
        </is>
      </c>
      <c r="AA1455" s="2" t="inlineStr">
        <is>
          <t>Rejeitado(a) em Comissão</t>
        </is>
      </c>
      <c r="AB1455" s="2" t="inlineStr"/>
      <c r="AC1455" s="2" t="inlineStr"/>
      <c r="AD1455" s="2" t="inlineStr">
        <is>
          <t>1</t>
        </is>
      </c>
      <c r="AE1455" s="2" t="inlineStr">
        <is>
          <t>24621</t>
        </is>
      </c>
      <c r="AF1455" s="2" t="inlineStr">
        <is>
          <t>https://www.parlamento.pt/OrcamentoEstado/Paginas/DetalhePropostaAlteracao.aspx?BID=24621</t>
        </is>
      </c>
      <c r="AG1455" s="2" t="inlineStr">
        <is>
          <t>https://app.parlamento.pt/webutils/docs/doc.pdf?path=6148523063484d364c793942556b356c6443397a6158526c63793959566b6c4a544556484c3039464c7a49774d6a59794d4449314d5441774f533951515338354d5759795a544269596931684e47566a4c5451304e325174596a6b334e6931684e5455774d444d334e3259325a5759756347526d&amp;Fich=91f2e0bb-a4ec-447d-b976-a5500377f6ef.pdf&amp;Inline=true</t>
        </is>
      </c>
      <c r="AH1455" s="3" t="n">
        <v>46321.77847222222</v>
      </c>
      <c r="AI1455" s="3" t="n">
        <v>46321.78055555555</v>
      </c>
      <c r="AJ1455" s="2" t="inlineStr"/>
    </row>
    <row r="1456">
      <c r="A1456" s="2" t="n">
        <v>1455</v>
      </c>
      <c r="B1456" s="2" t="inlineStr">
        <is>
          <t>1376C</t>
        </is>
      </c>
      <c r="C1456" s="3" t="n">
        <v>45968.57916666667</v>
      </c>
      <c r="D1456" s="2" t="inlineStr">
        <is>
          <t>Original</t>
        </is>
      </c>
      <c r="E1456" s="2" t="inlineStr">
        <is>
          <t>PS</t>
        </is>
      </c>
      <c r="F1456" s="2" t="inlineStr">
        <is>
          <t>André Rijo; António Mendonça Mendes; Eurico Brilhante Dias; Isabel Alves Moreira; José Luís Carneiro; Marina Gonçalves; Miguel Matos; Pedro Delgado Alves; Pedro Vaz</t>
        </is>
      </c>
      <c r="G1456" s="2" t="inlineStr">
        <is>
          <t>Art. 113.º (aditamento)</t>
        </is>
      </c>
      <c r="H1456" s="2" t="n"/>
      <c r="I1456" s="2" t="n"/>
      <c r="J1456" s="2" t="n"/>
      <c r="K1456" s="2" t="n"/>
      <c r="L1456" s="2" t="inlineStr">
        <is>
          <t>N.º 5, N.º 6, Artigo 113.º</t>
        </is>
      </c>
      <c r="M1456" s="4" t="n"/>
      <c r="N1456" s="4" t="n"/>
      <c r="O1456" s="2" t="n"/>
      <c r="P1456" s="2" t="n"/>
      <c r="Q1456" s="2" t="n"/>
      <c r="R1456" s="2" t="n"/>
      <c r="S1456" s="2" t="inlineStr">
        <is>
          <t>Rejeitado(a) em Comissão</t>
        </is>
      </c>
      <c r="T1456" s="2" t="inlineStr">
        <is>
          <t>Rejeitada</t>
        </is>
      </c>
      <c r="U1456" s="2" t="inlineStr">
        <is>
          <t>Favor: PS, IL, L, BE, PAN; Contra: PSD, PCP, CDS-PP; Abstenção: CH</t>
        </is>
      </c>
      <c r="V1456" s="3" t="n">
        <v>45985</v>
      </c>
      <c r="W1456" s="2" t="inlineStr">
        <is>
          <t>AR: https://www.parlamento.pt/OrcamentoEstado/Paginas/DetalhePropostaAlteracao.aspx?BID=24622 PDF: https://app.parlamento.pt/webutils/docs/doc.pdf?path=6148523063484d364c793942556b356c6443397a6158526c63793959566b6c4a544556484c3039464c7a49774d6a59794d4449314d5441774f533951515338785a474e6a4d6a4a6c595330324f5449784c54526d5a475974595449304e7930344e7a67334e325a6c5a446869593251756347526d&amp;Fich=1dcc22ea-6921-4fdf-a247-87877fed8bcd.pdf&amp;Inline=true</t>
        </is>
      </c>
      <c r="X1456" s="2" t="inlineStr">
        <is>
          <t>Assuntos Constitucionais, Direitos, Liberdades e Garantias; Orçamento, Finanças e Administração Pública</t>
        </is>
      </c>
      <c r="Y1456" s="2" t="inlineStr">
        <is>
          <t>Articulado</t>
        </is>
      </c>
      <c r="Z1456" s="2" t="inlineStr">
        <is>
          <t>Aditamento (Números e Alíneas)</t>
        </is>
      </c>
      <c r="AA1456" s="2" t="inlineStr">
        <is>
          <t>Rejeitado(a) em Comissão</t>
        </is>
      </c>
      <c r="AB1456" s="2" t="inlineStr"/>
      <c r="AC1456" s="2" t="inlineStr"/>
      <c r="AD1456" s="2" t="inlineStr">
        <is>
          <t>2</t>
        </is>
      </c>
      <c r="AE1456" s="2" t="inlineStr">
        <is>
          <t>24622</t>
        </is>
      </c>
      <c r="AF1456" s="2" t="inlineStr">
        <is>
          <t>https://www.parlamento.pt/OrcamentoEstado/Paginas/DetalhePropostaAlteracao.aspx?BID=24622</t>
        </is>
      </c>
      <c r="AG1456" s="2" t="inlineStr">
        <is>
          <t>https://app.parlamento.pt/webutils/docs/doc.pdf?path=6148523063484d364c793942556b356c6443397a6158526c63793959566b6c4a544556484c3039464c7a49774d6a59794d4449314d5441774f533951515338785a474e6a4d6a4a6c595330324f5449784c54526d5a475974595449304e7930344e7a67334e325a6c5a446869593251756347526d&amp;Fich=1dcc22ea-6921-4fdf-a247-87877fed8bcd.pdf&amp;Inline=true</t>
        </is>
      </c>
      <c r="AH1456" s="3" t="n">
        <v>46321.77847222222</v>
      </c>
      <c r="AI1456" s="3" t="n">
        <v>46321.78055555555</v>
      </c>
      <c r="AJ1456" s="2" t="inlineStr"/>
    </row>
    <row r="1457">
      <c r="A1457" s="2" t="n">
        <v>1456</v>
      </c>
      <c r="B1457" s="2" t="inlineStr">
        <is>
          <t>1377C</t>
        </is>
      </c>
      <c r="C1457" s="3" t="n">
        <v>45968.57986111111</v>
      </c>
      <c r="D1457" s="2" t="inlineStr">
        <is>
          <t>Original</t>
        </is>
      </c>
      <c r="E1457" s="2" t="inlineStr">
        <is>
          <t>BE</t>
        </is>
      </c>
      <c r="F1457" s="2" t="inlineStr">
        <is>
          <t>Mariana Mortágua</t>
        </is>
      </c>
      <c r="G1457" s="2" t="inlineStr">
        <is>
          <t>Art. 112.º-A (aditamento)</t>
        </is>
      </c>
      <c r="H1457" s="2" t="n"/>
      <c r="I1457" s="2" t="n"/>
      <c r="J1457" s="2" t="n"/>
      <c r="K1457" s="2" t="n"/>
      <c r="L1457" s="2" t="inlineStr">
        <is>
          <t>Artigo 112.º-A (Programa de financiamento dos estágios da Ordem dos Solicitadores e Agentes de Execução)</t>
        </is>
      </c>
      <c r="M1457" s="4" t="n"/>
      <c r="N1457" s="4" t="n"/>
      <c r="O1457" s="2" t="n"/>
      <c r="P1457" s="2" t="n"/>
      <c r="Q1457" s="2" t="n"/>
      <c r="R1457" s="2" t="n"/>
      <c r="S1457" s="2" t="inlineStr">
        <is>
          <t>Rejeitado(a) em Comissão</t>
        </is>
      </c>
      <c r="T1457" s="2" t="inlineStr">
        <is>
          <t>Rejeitada</t>
        </is>
      </c>
      <c r="U1457" s="2" t="inlineStr">
        <is>
          <t>Favor: CH, L, BE, PAN; Contra: PSD, PS, IL, CDS-PP; Abstenção: PCP</t>
        </is>
      </c>
      <c r="V1457" s="3" t="n">
        <v>45982</v>
      </c>
      <c r="W1457" s="2" t="inlineStr">
        <is>
          <t>AR: https://www.parlamento.pt/OrcamentoEstado/Paginas/DetalhePropostaAlteracao.aspx?BID=24623 PDF: https://app.parlamento.pt/webutils/docs/doc.pdf?path=6148523063484d364c793942556b356c6443397a6158526c63793959566b6c4a544556484c3039464c7a49774d6a59794d4449314d5441774f533951515339684d3245774e32557a4e43316d4d546b344c54513159546b74596a497a595330304f574d774d574e6d5a6d566b596a41756347526d&amp;Fich=a3a07e34-f198-45a9-b23a-49c01cffedb0.pdf&amp;Inline=true</t>
        </is>
      </c>
      <c r="X1457" s="2" t="inlineStr">
        <is>
          <t>Assuntos Constitucionais, Direitos, Liberdades e Garantias</t>
        </is>
      </c>
      <c r="Y1457" s="2" t="inlineStr">
        <is>
          <t>Articulado</t>
        </is>
      </c>
      <c r="Z1457" s="2" t="inlineStr">
        <is>
          <t>Aditamento (Artigo PPL)</t>
        </is>
      </c>
      <c r="AA1457" s="2" t="inlineStr">
        <is>
          <t>Rejeitado(a) em Comissão</t>
        </is>
      </c>
      <c r="AB1457" s="2" t="inlineStr"/>
      <c r="AC1457" s="2" t="inlineStr"/>
      <c r="AD1457" s="2" t="inlineStr">
        <is>
          <t>1</t>
        </is>
      </c>
      <c r="AE1457" s="2" t="inlineStr">
        <is>
          <t>24623</t>
        </is>
      </c>
      <c r="AF1457" s="2" t="inlineStr">
        <is>
          <t>https://www.parlamento.pt/OrcamentoEstado/Paginas/DetalhePropostaAlteracao.aspx?BID=24623</t>
        </is>
      </c>
      <c r="AG1457" s="2" t="inlineStr">
        <is>
          <t>https://app.parlamento.pt/webutils/docs/doc.pdf?path=6148523063484d364c793942556b356c6443397a6158526c63793959566b6c4a544556484c3039464c7a49774d6a59794d4449314d5441774f533951515339684d3245774e32557a4e43316d4d546b344c54513159546b74596a497a595330304f574d774d574e6d5a6d566b596a41756347526d&amp;Fich=a3a07e34-f198-45a9-b23a-49c01cffedb0.pdf&amp;Inline=true</t>
        </is>
      </c>
      <c r="AH1457" s="3" t="n">
        <v>46321.77847222222</v>
      </c>
      <c r="AI1457" s="3" t="n">
        <v>46321.78055555555</v>
      </c>
      <c r="AJ1457" s="2" t="inlineStr"/>
    </row>
    <row r="1458">
      <c r="A1458" s="2" t="n">
        <v>1457</v>
      </c>
      <c r="B1458" s="2" t="inlineStr">
        <is>
          <t>1378C</t>
        </is>
      </c>
      <c r="C1458" s="3" t="n">
        <v>45968.58055555556</v>
      </c>
      <c r="D1458" s="2" t="inlineStr">
        <is>
          <t>Original</t>
        </is>
      </c>
      <c r="E1458" s="2" t="inlineStr">
        <is>
          <t>PAN</t>
        </is>
      </c>
      <c r="F1458" s="2" t="inlineStr">
        <is>
          <t>Inês de Sousa Real</t>
        </is>
      </c>
      <c r="G1458" s="2" t="inlineStr">
        <is>
          <t>Art. 73.º-A (aditamento)</t>
        </is>
      </c>
      <c r="H1458" s="2" t="n"/>
      <c r="I1458" s="2" t="n"/>
      <c r="J1458" s="2" t="n"/>
      <c r="K1458" s="2" t="n"/>
      <c r="L1458" s="2" t="inlineStr">
        <is>
          <t>Artigo 73.º-A (Aditamento ao Decreto-Lei n.º 134/2023, de 28 de dezembro)</t>
        </is>
      </c>
      <c r="M1458" s="4" t="n"/>
      <c r="N1458" s="4" t="n"/>
      <c r="O1458" s="2" t="n"/>
      <c r="P1458" s="2" t="n"/>
      <c r="Q1458" s="2" t="n"/>
      <c r="R1458" s="2" t="n"/>
      <c r="S1458" s="2" t="inlineStr">
        <is>
          <t>Rejeitado(a) em Plenário</t>
        </is>
      </c>
      <c r="T1458" s="2" t="inlineStr">
        <is>
          <t>Rejeitada</t>
        </is>
      </c>
      <c r="U1458" s="2" t="inlineStr">
        <is>
          <t>Favor: PS, IL, L, PAN, JPP; Contra: PSD, CDS-PP; Abstenção: CH, PCP, BE</t>
        </is>
      </c>
      <c r="V1458" s="3" t="n">
        <v>45985</v>
      </c>
      <c r="W1458" s="2" t="inlineStr">
        <is>
          <t>Avocada a Plenário. AR: https://www.parlamento.pt/OrcamentoEstado/Paginas/DetalhePropostaAlteracao.aspx?BID=24624 PDF: https://app.parlamento.pt/webutils/docs/doc.pdf?path=6148523063484d364c793942556b356c6443397a6158526c63793959566b6c4a544556484c3039464c7a49774d6a59794d4449314d5441774f5339515153396a596d59774d5445354d7930344d6a59324c54513559575174596d526c4e53316859544d7a4f4467305a4745344e6a49756347526d&amp;Fich=cbf01193-8266-49ad-bde5-aa33884da862.pdf&amp;Inline=true</t>
        </is>
      </c>
      <c r="X1458" s="2" t="inlineStr">
        <is>
          <t>Orçamento, Finanças e Administração Pública</t>
        </is>
      </c>
      <c r="Y1458" s="2" t="inlineStr">
        <is>
          <t>Articulado</t>
        </is>
      </c>
      <c r="Z1458" s="2" t="inlineStr">
        <is>
          <t>Aditamento (Artigo PPL)</t>
        </is>
      </c>
      <c r="AA1458" s="2" t="inlineStr">
        <is>
          <t>Rejeitado(a) em Plenário</t>
        </is>
      </c>
      <c r="AB1458" s="2" t="inlineStr">
        <is>
          <t>S</t>
        </is>
      </c>
      <c r="AC1458" s="2" t="inlineStr"/>
      <c r="AD1458" s="2" t="inlineStr">
        <is>
          <t>2</t>
        </is>
      </c>
      <c r="AE1458" s="2" t="inlineStr">
        <is>
          <t>24624</t>
        </is>
      </c>
      <c r="AF1458" s="2" t="inlineStr">
        <is>
          <t>https://www.parlamento.pt/OrcamentoEstado/Paginas/DetalhePropostaAlteracao.aspx?BID=24624</t>
        </is>
      </c>
      <c r="AG1458" s="2" t="inlineStr">
        <is>
          <t>https://app.parlamento.pt/webutils/docs/doc.pdf?path=6148523063484d364c793942556b356c6443397a6158526c63793959566b6c4a544556484c3039464c7a49774d6a59794d4449314d5441774f5339515153396a596d59774d5445354d7930344d6a59324c54513559575174596d526c4e53316859544d7a4f4467305a4745344e6a49756347526d&amp;Fich=cbf01193-8266-49ad-bde5-aa33884da862.pdf&amp;Inline=true</t>
        </is>
      </c>
      <c r="AH1458" s="3" t="n">
        <v>46321.77847222222</v>
      </c>
      <c r="AI1458" s="3" t="n">
        <v>46321.78055555555</v>
      </c>
      <c r="AJ1458" s="2" t="inlineStr"/>
    </row>
    <row r="1459">
      <c r="A1459" s="2" t="n">
        <v>1458</v>
      </c>
      <c r="B1459" s="2" t="inlineStr">
        <is>
          <t>1379C-1</t>
        </is>
      </c>
      <c r="C1459" s="3" t="n">
        <v>45968.58055555556</v>
      </c>
      <c r="D1459" s="2" t="inlineStr">
        <is>
          <t>Original</t>
        </is>
      </c>
      <c r="E1459" s="2" t="inlineStr">
        <is>
          <t>PS</t>
        </is>
      </c>
      <c r="F1459" s="2" t="inlineStr">
        <is>
          <t>André Rijo; António Mendonça Mendes; Eurico Brilhante Dias; Isabel Alves Moreira; José Luís Carneiro; Marina Gonçalves; Miguel Matos; Pedro Delgado Alves; Pedro Vaz</t>
        </is>
      </c>
      <c r="G1459" s="2" t="inlineStr">
        <is>
          <t>Art. 28.º-A (aditamento)</t>
        </is>
      </c>
      <c r="H1459" s="2" t="n"/>
      <c r="I1459" s="2" t="n"/>
      <c r="J1459" s="2" t="n"/>
      <c r="K1459" s="2" t="n"/>
      <c r="L1459" s="2" t="inlineStr">
        <is>
          <t>Artigo 28.º-A (Alteração ao Sistema Remuneratório dos Militares da Guarda Nacional Republicana)</t>
        </is>
      </c>
      <c r="M1459" s="4" t="n"/>
      <c r="N1459" s="4" t="n"/>
      <c r="O1459" s="2" t="n"/>
      <c r="P1459" s="2" t="n"/>
      <c r="Q1459" s="2" t="n"/>
      <c r="R1459" s="2" t="n"/>
      <c r="S1459" s="2" t="inlineStr">
        <is>
          <t>Aprovado(a) em Plenário</t>
        </is>
      </c>
      <c r="T1459" s="2" t="inlineStr">
        <is>
          <t>Aprovada</t>
        </is>
      </c>
      <c r="U1459" s="2" t="inlineStr">
        <is>
          <t>Favor: CH, PS, L, PCP, BE, PAN, JPP; Contra: PSD, CDS-PP; Abstenção: IL</t>
        </is>
      </c>
      <c r="V1459" s="3" t="n">
        <v>45982</v>
      </c>
      <c r="W1459" s="2" t="inlineStr">
        <is>
          <t>Avocada a Plenário. AR: https://www.parlamento.pt/OrcamentoEstado/Paginas/DetalhePropostaAlteracao.aspx?BID=24625 PDF: https://app.parlamento.pt/webutils/docs/doc.pdf?path=6148523063484d364c793942556b356c6443397a6158526c63793959566b6c4a544556484c3039464c7a49774d6a59794d4449314d5441774f533951515338304f54646a596a59774f5330314e47566a4c5451304f474574595459314d6930334e5451354f5459795a6a526a5a4455756347526d&amp;Fich=497cb609-54ec-448a-a652-7549962f4cd5.pdf&amp;Inline=true</t>
        </is>
      </c>
      <c r="X1459" s="2" t="inlineStr">
        <is>
          <t>Assuntos Constitucionais, Direitos, Liberdades e Garantias; Orçamento, Finanças e Administração Pública</t>
        </is>
      </c>
      <c r="Y1459" s="2" t="inlineStr">
        <is>
          <t>Articulado</t>
        </is>
      </c>
      <c r="Z1459" s="2" t="inlineStr">
        <is>
          <t>Aditamento (Artigo PPL)</t>
        </is>
      </c>
      <c r="AA1459" s="2" t="inlineStr">
        <is>
          <t>Aprovado(a) em Plenário</t>
        </is>
      </c>
      <c r="AB1459" s="2" t="inlineStr">
        <is>
          <t>S</t>
        </is>
      </c>
      <c r="AC1459" s="2" t="inlineStr">
        <is>
          <t>1</t>
        </is>
      </c>
      <c r="AD1459" s="2" t="inlineStr">
        <is>
          <t>2</t>
        </is>
      </c>
      <c r="AE1459" s="2" t="inlineStr">
        <is>
          <t>24625</t>
        </is>
      </c>
      <c r="AF1459" s="2" t="inlineStr">
        <is>
          <t>https://www.parlamento.pt/OrcamentoEstado/Paginas/DetalhePropostaAlteracao.aspx?BID=24625</t>
        </is>
      </c>
      <c r="AG1459" s="2" t="inlineStr">
        <is>
          <t>https://app.parlamento.pt/webutils/docs/doc.pdf?path=6148523063484d364c793942556b356c6443397a6158526c63793959566b6c4a544556484c3039464c7a49774d6a59794d4449314d5441774f533951515338304f54646a596a59774f5330314e47566a4c5451304f474574595459314d6930334e5451354f5459795a6a526a5a4455756347526d&amp;Fich=497cb609-54ec-448a-a652-7549962f4cd5.pdf&amp;Inline=true</t>
        </is>
      </c>
      <c r="AH1459" s="3" t="n">
        <v>46321.77847222222</v>
      </c>
      <c r="AI1459" s="3" t="n">
        <v>46321.78055555555</v>
      </c>
      <c r="AJ1459" s="2" t="inlineStr"/>
    </row>
    <row r="1460">
      <c r="A1460" s="2" t="n">
        <v>1459</v>
      </c>
      <c r="B1460" s="2" t="inlineStr">
        <is>
          <t>1379C-2</t>
        </is>
      </c>
      <c r="C1460" s="3" t="n">
        <v>45968.58055555556</v>
      </c>
      <c r="D1460" s="2" t="inlineStr">
        <is>
          <t>Original</t>
        </is>
      </c>
      <c r="E1460" s="2" t="inlineStr">
        <is>
          <t>PS</t>
        </is>
      </c>
      <c r="F1460" s="2" t="inlineStr">
        <is>
          <t>André Rijo; António Mendonça Mendes; Eurico Brilhante Dias; Isabel Alves Moreira; José Luís Carneiro; Marina Gonçalves; Miguel Matos; Pedro Delgado Alves; Pedro Vaz</t>
        </is>
      </c>
      <c r="G1460" s="2" t="inlineStr">
        <is>
          <t>Art. 28.º-B (aditamento)</t>
        </is>
      </c>
      <c r="H1460" s="2" t="n"/>
      <c r="I1460" s="2" t="n"/>
      <c r="J1460" s="2" t="n"/>
      <c r="K1460" s="2" t="n"/>
      <c r="L1460" s="2" t="inlineStr">
        <is>
          <t>Artigo 28.º-B (Alteração ao Estatuto Profissional do Pessoal com Funções Policiais da Polícia de Segurança Pública)</t>
        </is>
      </c>
      <c r="M1460" s="4" t="n"/>
      <c r="N1460" s="4" t="n"/>
      <c r="O1460" s="2" t="n"/>
      <c r="P1460" s="2" t="n"/>
      <c r="Q1460" s="2" t="n"/>
      <c r="R1460" s="2" t="n"/>
      <c r="S1460" s="2" t="inlineStr">
        <is>
          <t>Aprovado(a) em Plenário</t>
        </is>
      </c>
      <c r="T1460" s="2" t="inlineStr">
        <is>
          <t>Aprovada</t>
        </is>
      </c>
      <c r="U1460" s="2" t="inlineStr">
        <is>
          <t>Favor: CH, PS, L, PCP, BE, PAN, JPP; Contra: PSD, CDS-PP; Abstenção: IL</t>
        </is>
      </c>
      <c r="V1460" s="3" t="n">
        <v>45982</v>
      </c>
      <c r="W1460" s="2" t="inlineStr">
        <is>
          <t>Avocada a Plenário. AR: https://www.parlamento.pt/OrcamentoEstado/Paginas/DetalhePropostaAlteracao.aspx?BID=25277 PDF: https://app.parlamento.pt/webutils/docs/doc.pdf?path=6148523063484d364c793942556b356c6443397a6158526c63793959566b6c4a544556484c3039464c7a49774d6a59794d4449314d5441774f5339515153396d4d7a4d79596a6334596930324e544e694c5452694d5755744f5449784e693034596a4a6d5a6a67305a5749774d6a67756347526d&amp;Fich=f332b78b-653b-4b1e-9216-8b2ff84eb028.pdf&amp;Inline=true</t>
        </is>
      </c>
      <c r="X1460" s="2" t="inlineStr">
        <is>
          <t>Assuntos Constitucionais, Direitos, Liberdades e Garantias; Orçamento, Finanças e Administração Pública</t>
        </is>
      </c>
      <c r="Y1460" s="2" t="inlineStr">
        <is>
          <t>Articulado</t>
        </is>
      </c>
      <c r="Z1460" s="2" t="inlineStr">
        <is>
          <t>Aditamento (Artigo PPL)</t>
        </is>
      </c>
      <c r="AA1460" s="2" t="inlineStr">
        <is>
          <t>Aprovado(a) em Plenário</t>
        </is>
      </c>
      <c r="AB1460" s="2" t="inlineStr">
        <is>
          <t>S</t>
        </is>
      </c>
      <c r="AC1460" s="2" t="inlineStr">
        <is>
          <t>2</t>
        </is>
      </c>
      <c r="AD1460" s="2" t="inlineStr">
        <is>
          <t>2</t>
        </is>
      </c>
      <c r="AE1460" s="2" t="inlineStr">
        <is>
          <t>25277</t>
        </is>
      </c>
      <c r="AF1460" s="2" t="inlineStr">
        <is>
          <t>https://www.parlamento.pt/OrcamentoEstado/Paginas/DetalhePropostaAlteracao.aspx?BID=25277</t>
        </is>
      </c>
      <c r="AG1460" s="2" t="inlineStr">
        <is>
          <t>https://app.parlamento.pt/webutils/docs/doc.pdf?path=6148523063484d364c793942556b356c6443397a6158526c63793959566b6c4a544556484c3039464c7a49774d6a59794d4449314d5441774f5339515153396d4d7a4d79596a6334596930324e544e694c5452694d5755744f5449784e693034596a4a6d5a6a67305a5749774d6a67756347526d&amp;Fich=f332b78b-653b-4b1e-9216-8b2ff84eb028.pdf&amp;Inline=true</t>
        </is>
      </c>
      <c r="AH1460" s="3" t="n">
        <v>46321.77847222222</v>
      </c>
      <c r="AI1460" s="3" t="n">
        <v>46321.78055555555</v>
      </c>
      <c r="AJ1460" s="2" t="inlineStr"/>
    </row>
    <row r="1461">
      <c r="A1461" s="2" t="n">
        <v>1460</v>
      </c>
      <c r="B1461" s="2" t="inlineStr">
        <is>
          <t>1379C-3</t>
        </is>
      </c>
      <c r="C1461" s="3" t="n">
        <v>45968.58055555556</v>
      </c>
      <c r="D1461" s="2" t="inlineStr">
        <is>
          <t>Original</t>
        </is>
      </c>
      <c r="E1461" s="2" t="inlineStr">
        <is>
          <t>PS</t>
        </is>
      </c>
      <c r="F1461" s="2" t="inlineStr">
        <is>
          <t>André Rijo; António Mendonça Mendes; Eurico Brilhante Dias; Isabel Alves Moreira; José Luís Carneiro; Marina Gonçalves; Miguel Matos; Pedro Delgado Alves; Pedro Vaz</t>
        </is>
      </c>
      <c r="G1461" s="2" t="inlineStr">
        <is>
          <t>Art. 28.º-C (aditamento)</t>
        </is>
      </c>
      <c r="H1461" s="2" t="n"/>
      <c r="I1461" s="2" t="n"/>
      <c r="J1461" s="2" t="n"/>
      <c r="K1461" s="2" t="n"/>
      <c r="L1461" s="2" t="inlineStr">
        <is>
          <t>Artigo 28.º-C (Aditamento ao Estatuto Profissional do Pessoal com Funções Policiais da Polícia de Segurança Pública)</t>
        </is>
      </c>
      <c r="M1461" s="4" t="n"/>
      <c r="N1461" s="4" t="n"/>
      <c r="O1461" s="2" t="n"/>
      <c r="P1461" s="2" t="n"/>
      <c r="Q1461" s="2" t="n"/>
      <c r="R1461" s="2" t="n"/>
      <c r="S1461" s="2" t="inlineStr">
        <is>
          <t>Aprovado(a) em Plenário</t>
        </is>
      </c>
      <c r="T1461" s="2" t="inlineStr">
        <is>
          <t>Aprovada</t>
        </is>
      </c>
      <c r="U1461" s="2" t="inlineStr">
        <is>
          <t>Favor: CH, PS, L, PCP, BE, PAN, JPP; Contra: PSD, CDS-PP; Abstenção: IL</t>
        </is>
      </c>
      <c r="V1461" s="3" t="n">
        <v>45982</v>
      </c>
      <c r="W1461" s="2" t="inlineStr">
        <is>
          <t>Avocada a Plenário. AR: https://www.parlamento.pt/OrcamentoEstado/Paginas/DetalhePropostaAlteracao.aspx?BID=25278 PDF: https://app.parlamento.pt/webutils/docs/doc.pdf?path=6148523063484d364c793942556b356c6443397a6158526c63793959566b6c4a544556484c3039464c7a49774d6a59794d4449314d5441774f5339515153396c4d44686b4d6a6b784e79316a59544a6b4c5452694f446774595451304d6930345957457a4d3255314e44517a5a6a67756347526d&amp;Fich=e08d2917-ca2d-4b88-a442-8aa33e5443f8.pdf&amp;Inline=true</t>
        </is>
      </c>
      <c r="X1461" s="2" t="inlineStr">
        <is>
          <t>Assuntos Constitucionais, Direitos, Liberdades e Garantias; Orçamento, Finanças e Administração Pública</t>
        </is>
      </c>
      <c r="Y1461" s="2" t="inlineStr">
        <is>
          <t>Articulado</t>
        </is>
      </c>
      <c r="Z1461" s="2" t="inlineStr">
        <is>
          <t>Aditamento (Artigo PPL)</t>
        </is>
      </c>
      <c r="AA1461" s="2" t="inlineStr">
        <is>
          <t>Aprovado(a) em Plenário</t>
        </is>
      </c>
      <c r="AB1461" s="2" t="inlineStr">
        <is>
          <t>S</t>
        </is>
      </c>
      <c r="AC1461" s="2" t="inlineStr">
        <is>
          <t>3</t>
        </is>
      </c>
      <c r="AD1461" s="2" t="inlineStr">
        <is>
          <t>2</t>
        </is>
      </c>
      <c r="AE1461" s="2" t="inlineStr">
        <is>
          <t>25278</t>
        </is>
      </c>
      <c r="AF1461" s="2" t="inlineStr">
        <is>
          <t>https://www.parlamento.pt/OrcamentoEstado/Paginas/DetalhePropostaAlteracao.aspx?BID=25278</t>
        </is>
      </c>
      <c r="AG1461" s="2" t="inlineStr">
        <is>
          <t>https://app.parlamento.pt/webutils/docs/doc.pdf?path=6148523063484d364c793942556b356c6443397a6158526c63793959566b6c4a544556484c3039464c7a49774d6a59794d4449314d5441774f5339515153396c4d44686b4d6a6b784e79316a59544a6b4c5452694f446774595451304d6930345957457a4d3255314e44517a5a6a67756347526d&amp;Fich=e08d2917-ca2d-4b88-a442-8aa33e5443f8.pdf&amp;Inline=true</t>
        </is>
      </c>
      <c r="AH1461" s="3" t="n">
        <v>46321.77847222222</v>
      </c>
      <c r="AI1461" s="3" t="n">
        <v>46321.78055555555</v>
      </c>
      <c r="AJ1461" s="2" t="inlineStr"/>
    </row>
    <row r="1462">
      <c r="A1462" s="2" t="n">
        <v>1461</v>
      </c>
      <c r="B1462" s="2" t="inlineStr">
        <is>
          <t>1380C</t>
        </is>
      </c>
      <c r="C1462" s="3" t="n">
        <v>45968.58125</v>
      </c>
      <c r="D1462" s="2" t="inlineStr">
        <is>
          <t>Original</t>
        </is>
      </c>
      <c r="E1462" s="2" t="inlineStr">
        <is>
          <t>BE</t>
        </is>
      </c>
      <c r="F1462" s="2" t="inlineStr">
        <is>
          <t>Mariana Mortágua</t>
        </is>
      </c>
      <c r="G1462" s="2" t="inlineStr">
        <is>
          <t>Art. 112.º-A (aditamento)</t>
        </is>
      </c>
      <c r="H1462" s="2" t="n"/>
      <c r="I1462" s="2" t="n"/>
      <c r="J1462" s="2" t="n"/>
      <c r="K1462" s="2" t="n"/>
      <c r="L1462" s="2" t="inlineStr">
        <is>
          <t>Artigo 112.º-A (Programa de financiamento dos estágios da Ordem dos Advogados)</t>
        </is>
      </c>
      <c r="M1462" s="4" t="n"/>
      <c r="N1462" s="4" t="n"/>
      <c r="O1462" s="2" t="n"/>
      <c r="P1462" s="2" t="n"/>
      <c r="Q1462" s="2" t="n"/>
      <c r="R1462" s="2" t="n"/>
      <c r="S1462" s="2" t="inlineStr">
        <is>
          <t>Rejeitado(a) em Comissão</t>
        </is>
      </c>
      <c r="T1462" s="2" t="inlineStr">
        <is>
          <t>Rejeitada</t>
        </is>
      </c>
      <c r="U1462" s="2" t="inlineStr">
        <is>
          <t>Favor: CH, L, BE, PAN; Contra: PSD, PS, IL, CDS-PP; Abstenção: PCP</t>
        </is>
      </c>
      <c r="V1462" s="3" t="n">
        <v>45982</v>
      </c>
      <c r="W1462" s="2" t="inlineStr">
        <is>
          <t>AR: https://www.parlamento.pt/OrcamentoEstado/Paginas/DetalhePropostaAlteracao.aspx?BID=24626 PDF: https://app.parlamento.pt/webutils/docs/doc.pdf?path=6148523063484d364c793942556b356c6443397a6158526c63793959566b6c4a544556484c3039464c7a49774d6a59794d4449314d5441774f533951515339685a6a64684f475577596930784e6d4d304c545178596a6774596d49794f4330344e7a68684e7a41324d6a526d4e474d756347526d&amp;Fich=af7a8e0b-16c4-41b8-bb28-878a70624f4c.pdf&amp;Inline=true</t>
        </is>
      </c>
      <c r="X1462" s="2" t="inlineStr">
        <is>
          <t>Assuntos Constitucionais, Direitos, Liberdades e Garantias</t>
        </is>
      </c>
      <c r="Y1462" s="2" t="inlineStr">
        <is>
          <t>Articulado</t>
        </is>
      </c>
      <c r="Z1462" s="2" t="inlineStr">
        <is>
          <t>Aditamento (Artigo PPL)</t>
        </is>
      </c>
      <c r="AA1462" s="2" t="inlineStr">
        <is>
          <t>Rejeitado(a) em Comissão</t>
        </is>
      </c>
      <c r="AB1462" s="2" t="inlineStr"/>
      <c r="AC1462" s="2" t="inlineStr"/>
      <c r="AD1462" s="2" t="inlineStr">
        <is>
          <t>1</t>
        </is>
      </c>
      <c r="AE1462" s="2" t="inlineStr">
        <is>
          <t>24626</t>
        </is>
      </c>
      <c r="AF1462" s="2" t="inlineStr">
        <is>
          <t>https://www.parlamento.pt/OrcamentoEstado/Paginas/DetalhePropostaAlteracao.aspx?BID=24626</t>
        </is>
      </c>
      <c r="AG1462" s="2" t="inlineStr">
        <is>
          <t>https://app.parlamento.pt/webutils/docs/doc.pdf?path=6148523063484d364c793942556b356c6443397a6158526c63793959566b6c4a544556484c3039464c7a49774d6a59794d4449314d5441774f533951515339685a6a64684f475577596930784e6d4d304c545178596a6774596d49794f4330344e7a68684e7a41324d6a526d4e474d756347526d&amp;Fich=af7a8e0b-16c4-41b8-bb28-878a70624f4c.pdf&amp;Inline=true</t>
        </is>
      </c>
      <c r="AH1462" s="3" t="n">
        <v>46321.77847222222</v>
      </c>
      <c r="AI1462" s="3" t="n">
        <v>46321.78055555555</v>
      </c>
      <c r="AJ1462" s="2" t="inlineStr"/>
    </row>
    <row r="1463">
      <c r="A1463" s="2" t="n">
        <v>1462</v>
      </c>
      <c r="B1463" s="2" t="inlineStr">
        <is>
          <t>1381C</t>
        </is>
      </c>
      <c r="C1463" s="3" t="n">
        <v>45968.58125</v>
      </c>
      <c r="D1463" s="2" t="inlineStr">
        <is>
          <t>Original</t>
        </is>
      </c>
      <c r="E1463" s="2" t="inlineStr">
        <is>
          <t>PAN</t>
        </is>
      </c>
      <c r="F1463" s="2" t="inlineStr">
        <is>
          <t>Inês de Sousa Real</t>
        </is>
      </c>
      <c r="G1463" s="2" t="inlineStr">
        <is>
          <t>Art. 115.º-A (aditamento)</t>
        </is>
      </c>
      <c r="H1463" s="2" t="n"/>
      <c r="I1463" s="2" t="n"/>
      <c r="J1463" s="2" t="n"/>
      <c r="K1463" s="2" t="n"/>
      <c r="L1463" s="2" t="inlineStr">
        <is>
          <t>Artigo 115.º-A (Implementação da Estratégia da União Europeia para os têxteis sustentáveis e circulares)</t>
        </is>
      </c>
      <c r="M1463" s="4" t="n"/>
      <c r="N1463" s="4" t="n"/>
      <c r="O1463" s="2" t="n"/>
      <c r="P1463" s="2" t="n"/>
      <c r="Q1463" s="2" t="n"/>
      <c r="R1463" s="2" t="n"/>
      <c r="S1463" s="2" t="inlineStr">
        <is>
          <t>Rejeitado(a) em Comissão</t>
        </is>
      </c>
      <c r="T1463" s="2" t="inlineStr">
        <is>
          <t>Rejeitada</t>
        </is>
      </c>
      <c r="U1463" s="2" t="inlineStr">
        <is>
          <t>Favor: IL, L, BE, PAN; Contra: PSD, CH, PCP, CDS-PP; Abstenção: PS</t>
        </is>
      </c>
      <c r="V1463" s="3" t="n">
        <v>45985</v>
      </c>
      <c r="W1463" s="2" t="inlineStr">
        <is>
          <t>AR: https://www.parlamento.pt/OrcamentoEstado/Paginas/DetalhePropostaAlteracao.aspx?BID=24627 PDF: https://app.parlamento.pt/webutils/docs/doc.pdf?path=6148523063484d364c793942556b356c6443397a6158526c63793959566b6c4a544556484c3039464c7a49774d6a59794d4449314d5441774f533951515338324f444e68596a41334e5330775a6d4a694c545133596a63744f44686b5a4330345a475a6d4d6d55314d5451795a6a41756347526d&amp;Fich=683ab075-0fbb-47b7-88dd-8dff2e5142f0.pdf&amp;Inline=true</t>
        </is>
      </c>
      <c r="X1463" s="2" t="inlineStr">
        <is>
          <t>Ambiente e Energia</t>
        </is>
      </c>
      <c r="Y1463" s="2" t="inlineStr">
        <is>
          <t>Articulado</t>
        </is>
      </c>
      <c r="Z1463" s="2" t="inlineStr">
        <is>
          <t>Aditamento (Artigo PPL)</t>
        </is>
      </c>
      <c r="AA1463" s="2" t="inlineStr">
        <is>
          <t>Rejeitado(a) em Comissão</t>
        </is>
      </c>
      <c r="AB1463" s="2" t="inlineStr"/>
      <c r="AC1463" s="2" t="inlineStr"/>
      <c r="AD1463" s="2" t="inlineStr">
        <is>
          <t>1</t>
        </is>
      </c>
      <c r="AE1463" s="2" t="inlineStr">
        <is>
          <t>24627</t>
        </is>
      </c>
      <c r="AF1463" s="2" t="inlineStr">
        <is>
          <t>https://www.parlamento.pt/OrcamentoEstado/Paginas/DetalhePropostaAlteracao.aspx?BID=24627</t>
        </is>
      </c>
      <c r="AG1463" s="2" t="inlineStr">
        <is>
          <t>https://app.parlamento.pt/webutils/docs/doc.pdf?path=6148523063484d364c793942556b356c6443397a6158526c63793959566b6c4a544556484c3039464c7a49774d6a59794d4449314d5441774f533951515338324f444e68596a41334e5330775a6d4a694c545133596a63744f44686b5a4330345a475a6d4d6d55314d5451795a6a41756347526d&amp;Fich=683ab075-0fbb-47b7-88dd-8dff2e5142f0.pdf&amp;Inline=true</t>
        </is>
      </c>
      <c r="AH1463" s="3" t="n">
        <v>46321.77847222222</v>
      </c>
      <c r="AI1463" s="3" t="n">
        <v>46321.78055555555</v>
      </c>
      <c r="AJ1463" s="2" t="inlineStr"/>
    </row>
    <row r="1464">
      <c r="A1464" s="2" t="n">
        <v>1463</v>
      </c>
      <c r="B1464" s="2" t="inlineStr">
        <is>
          <t>1382C</t>
        </is>
      </c>
      <c r="C1464" s="3" t="n">
        <v>45968.58194444444</v>
      </c>
      <c r="D1464" s="2" t="inlineStr">
        <is>
          <t>Original</t>
        </is>
      </c>
      <c r="E1464" s="2" t="inlineStr">
        <is>
          <t>PS</t>
        </is>
      </c>
      <c r="F1464" s="2" t="inlineStr">
        <is>
          <t>António Mendonça Mendes; Eurico Brilhante Dias; Hugo Costa; José Luís Carneiro; Marina Gonçalves; Miguel Matos; Nuno Fazenda</t>
        </is>
      </c>
      <c r="G1464" s="2" t="inlineStr">
        <is>
          <t>Art. 8.º-A (aditamento)</t>
        </is>
      </c>
      <c r="H1464" s="2" t="n"/>
      <c r="I1464" s="2" t="n"/>
      <c r="J1464" s="2" t="n"/>
      <c r="K1464" s="2" t="n"/>
      <c r="L1464" s="2" t="inlineStr">
        <is>
          <t>Artigo 8.º-A (Garantia da continuidade dos investimentos inscritos no PRR)</t>
        </is>
      </c>
      <c r="M1464" s="4" t="n"/>
      <c r="N1464" s="4" t="n"/>
      <c r="O1464" s="2" t="n"/>
      <c r="P1464" s="2" t="n"/>
      <c r="Q1464" s="2" t="n"/>
      <c r="R1464" s="2" t="n"/>
      <c r="S1464" s="2" t="inlineStr">
        <is>
          <t>Rejeitado(a) em Comissão</t>
        </is>
      </c>
      <c r="T1464" s="2" t="inlineStr">
        <is>
          <t>Rejeitada</t>
        </is>
      </c>
      <c r="U1464" s="2" t="inlineStr">
        <is>
          <t>Favor: PS, L, PCP, BE, PAN; Contra: PSD, CH, IL, CDS-PP</t>
        </is>
      </c>
      <c r="V1464" s="3" t="n">
        <v>45981</v>
      </c>
      <c r="W1464" s="2" t="inlineStr">
        <is>
          <t>AR: https://www.parlamento.pt/OrcamentoEstado/Paginas/DetalhePropostaAlteracao.aspx?BID=24628 PDF: https://app.parlamento.pt/webutils/docs/doc.pdf?path=6148523063484d364c793942556b356c6443397a6158526c63793959566b6c4a544556484c3039464c7a49774d6a59794d4449314d5441774f533951515338344e6d466b4e6a41784f5330354e4751334c54517859324574596d557a59533033596a5a6b4d7a45784d7a5533596a41756347526d&amp;Fich=86ad6019-94d7-41ca-be3a-7b6d311357b0.pdf&amp;Inline=true</t>
        </is>
      </c>
      <c r="X1464" s="2" t="inlineStr">
        <is>
          <t>Comissão de Economia e Coesão Territorial; Orçamento, Finanças e Administração Pública</t>
        </is>
      </c>
      <c r="Y1464" s="2" t="inlineStr">
        <is>
          <t>Articulado</t>
        </is>
      </c>
      <c r="Z1464" s="2" t="inlineStr">
        <is>
          <t>Aditamento (Artigo PPL)</t>
        </is>
      </c>
      <c r="AA1464" s="2" t="inlineStr">
        <is>
          <t>Rejeitado(a) em Comissão</t>
        </is>
      </c>
      <c r="AB1464" s="2" t="inlineStr"/>
      <c r="AC1464" s="2" t="inlineStr"/>
      <c r="AD1464" s="2" t="inlineStr">
        <is>
          <t>1</t>
        </is>
      </c>
      <c r="AE1464" s="2" t="inlineStr">
        <is>
          <t>24628</t>
        </is>
      </c>
      <c r="AF1464" s="2" t="inlineStr">
        <is>
          <t>https://www.parlamento.pt/OrcamentoEstado/Paginas/DetalhePropostaAlteracao.aspx?BID=24628</t>
        </is>
      </c>
      <c r="AG1464" s="2" t="inlineStr">
        <is>
          <t>https://app.parlamento.pt/webutils/docs/doc.pdf?path=6148523063484d364c793942556b356c6443397a6158526c63793959566b6c4a544556484c3039464c7a49774d6a59794d4449314d5441774f533951515338344e6d466b4e6a41784f5330354e4751334c54517859324574596d557a59533033596a5a6b4d7a45784d7a5533596a41756347526d&amp;Fich=86ad6019-94d7-41ca-be3a-7b6d311357b0.pdf&amp;Inline=true</t>
        </is>
      </c>
      <c r="AH1464" s="3" t="n">
        <v>46321.77847222222</v>
      </c>
      <c r="AI1464" s="3" t="n">
        <v>46321.78055555555</v>
      </c>
      <c r="AJ1464" s="2" t="inlineStr"/>
    </row>
    <row r="1465">
      <c r="A1465" s="2" t="n">
        <v>1464</v>
      </c>
      <c r="B1465" s="2" t="inlineStr">
        <is>
          <t>1383C</t>
        </is>
      </c>
      <c r="C1465" s="3" t="n">
        <v>45968.58263888889</v>
      </c>
      <c r="D1465" s="2" t="inlineStr">
        <is>
          <t>Original</t>
        </is>
      </c>
      <c r="E1465" s="2" t="inlineStr">
        <is>
          <t>PAN</t>
        </is>
      </c>
      <c r="F1465" s="2" t="inlineStr">
        <is>
          <t>Inês de Sousa Real</t>
        </is>
      </c>
      <c r="G1465" s="2" t="inlineStr">
        <is>
          <t>Art. 45.º-A (aditamento)</t>
        </is>
      </c>
      <c r="H1465" s="2" t="n"/>
      <c r="I1465" s="2" t="n"/>
      <c r="J1465" s="2" t="n"/>
      <c r="K1465" s="2" t="n"/>
      <c r="L1465" s="2" t="inlineStr">
        <is>
          <t>Artigo 45.º-A (Plano de ação para os cuidadores informais)</t>
        </is>
      </c>
      <c r="M1465" s="4" t="n"/>
      <c r="N1465" s="4" t="n"/>
      <c r="O1465" s="2" t="n"/>
      <c r="P1465" s="2" t="n"/>
      <c r="Q1465" s="2" t="n"/>
      <c r="R1465" s="2" t="n"/>
      <c r="S1465" s="2" t="inlineStr">
        <is>
          <t>Rejeitado(a) em Comissão</t>
        </is>
      </c>
      <c r="T1465" s="2" t="inlineStr">
        <is>
          <t>Rejeitada</t>
        </is>
      </c>
      <c r="U1465" s="2" t="inlineStr">
        <is>
          <t>Favor: L, PCP, BE, PAN; Contra: PSD, IL, CDS-PP; Abstenção: CH, PS</t>
        </is>
      </c>
      <c r="V1465" s="3" t="n">
        <v>45981</v>
      </c>
      <c r="W1465" s="2" t="inlineStr">
        <is>
          <t>AR: https://www.parlamento.pt/OrcamentoEstado/Paginas/DetalhePropostaAlteracao.aspx?BID=24629 PDF: https://app.parlamento.pt/webutils/docs/doc.pdf?path=6148523063484d364c793942556b356c6443397a6158526c63793959566b6c4a544556484c3039464c7a49774d6a59794d4449314d5441774f533951515338794e57453059574e694d6930775a444e6b4c5451324d5459744f574d304e7930324f475a6c4e44646d4d5442695a5755756347526d&amp;Fich=25a4acb2-0d3d-4616-9c47-68fe47f10bee.pdf&amp;Inline=true</t>
        </is>
      </c>
      <c r="X1465" s="2" t="inlineStr">
        <is>
          <t>Trabalho, Segurança Social e Inclusão</t>
        </is>
      </c>
      <c r="Y1465" s="2" t="inlineStr">
        <is>
          <t>Articulado</t>
        </is>
      </c>
      <c r="Z1465" s="2" t="inlineStr">
        <is>
          <t>Aditamento (Artigo PPL)</t>
        </is>
      </c>
      <c r="AA1465" s="2" t="inlineStr">
        <is>
          <t>Rejeitado(a) em Comissão</t>
        </is>
      </c>
      <c r="AB1465" s="2" t="inlineStr"/>
      <c r="AC1465" s="2" t="inlineStr"/>
      <c r="AD1465" s="2" t="inlineStr">
        <is>
          <t>1</t>
        </is>
      </c>
      <c r="AE1465" s="2" t="inlineStr">
        <is>
          <t>24629</t>
        </is>
      </c>
      <c r="AF1465" s="2" t="inlineStr">
        <is>
          <t>https://www.parlamento.pt/OrcamentoEstado/Paginas/DetalhePropostaAlteracao.aspx?BID=24629</t>
        </is>
      </c>
      <c r="AG1465" s="2" t="inlineStr">
        <is>
          <t>https://app.parlamento.pt/webutils/docs/doc.pdf?path=6148523063484d364c793942556b356c6443397a6158526c63793959566b6c4a544556484c3039464c7a49774d6a59794d4449314d5441774f533951515338794e57453059574e694d6930775a444e6b4c5451324d5459744f574d304e7930324f475a6c4e44646d4d5442695a5755756347526d&amp;Fich=25a4acb2-0d3d-4616-9c47-68fe47f10bee.pdf&amp;Inline=true</t>
        </is>
      </c>
      <c r="AH1465" s="3" t="n">
        <v>46321.77847222222</v>
      </c>
      <c r="AI1465" s="3" t="n">
        <v>46321.78055555555</v>
      </c>
      <c r="AJ1465" s="2" t="inlineStr"/>
    </row>
    <row r="1466">
      <c r="A1466" s="2" t="n">
        <v>1465</v>
      </c>
      <c r="B1466" s="2" t="inlineStr">
        <is>
          <t>1384C</t>
        </is>
      </c>
      <c r="C1466" s="3" t="n">
        <v>45968.58263888889</v>
      </c>
      <c r="D1466" s="2" t="inlineStr">
        <is>
          <t>Original</t>
        </is>
      </c>
      <c r="E1466" s="2" t="inlineStr">
        <is>
          <t>PAN</t>
        </is>
      </c>
      <c r="F1466" s="2" t="inlineStr">
        <is>
          <t>Inês de Sousa Real</t>
        </is>
      </c>
      <c r="G1466" s="2" t="inlineStr">
        <is>
          <t>Art. 116.º-C (aditamento)</t>
        </is>
      </c>
      <c r="H1466" s="2" t="n"/>
      <c r="I1466" s="2" t="n"/>
      <c r="J1466" s="2" t="n"/>
      <c r="K1466" s="2" t="n"/>
      <c r="L1466" s="2" t="inlineStr">
        <is>
          <t>Artigo 116.º-C (Calculadora do impacto ambiental do vestuário e calçado)</t>
        </is>
      </c>
      <c r="M1466" s="4" t="n"/>
      <c r="N1466" s="4" t="n"/>
      <c r="O1466" s="2" t="n"/>
      <c r="P1466" s="2" t="n"/>
      <c r="Q1466" s="2" t="n"/>
      <c r="R1466" s="2" t="n"/>
      <c r="S1466" s="2" t="inlineStr">
        <is>
          <t>Rejeitado(a) em Comissão</t>
        </is>
      </c>
      <c r="T1466" s="2" t="inlineStr">
        <is>
          <t>Rejeitada</t>
        </is>
      </c>
      <c r="U1466" s="2" t="inlineStr">
        <is>
          <t>Favor: L, BE, PAN; Contra: PSD, CH, IL, CDS-PP; Abstenção: PS, PCP</t>
        </is>
      </c>
      <c r="V1466" s="3" t="n">
        <v>45985</v>
      </c>
      <c r="W1466" s="2" t="inlineStr">
        <is>
          <t>AR: https://www.parlamento.pt/OrcamentoEstado/Paginas/DetalhePropostaAlteracao.aspx?BID=24630 PDF: https://app.parlamento.pt/webutils/docs/doc.pdf?path=6148523063484d364c793942556b356c6443397a6158526c63793959566b6c4a544556484c3039464c7a49774d6a59794d4449314d5441774f533951515339684d474534596a6c6a4f5330314d6a45794c5451774e6a5574596a41305a6930774d3252694e6a557a596a6c6b4f5445756347526d&amp;Fich=a0a8b9c9-5212-4065-b04f-03db653b9d91.pdf&amp;Inline=true</t>
        </is>
      </c>
      <c r="X1466" s="2" t="inlineStr">
        <is>
          <t>Ambiente e Energia</t>
        </is>
      </c>
      <c r="Y1466" s="2" t="inlineStr">
        <is>
          <t>Articulado</t>
        </is>
      </c>
      <c r="Z1466" s="2" t="inlineStr">
        <is>
          <t>Aditamento (Artigo PPL)</t>
        </is>
      </c>
      <c r="AA1466" s="2" t="inlineStr">
        <is>
          <t>Rejeitado(a) em Comissão</t>
        </is>
      </c>
      <c r="AB1466" s="2" t="inlineStr"/>
      <c r="AC1466" s="2" t="inlineStr"/>
      <c r="AD1466" s="2" t="inlineStr">
        <is>
          <t>1</t>
        </is>
      </c>
      <c r="AE1466" s="2" t="inlineStr">
        <is>
          <t>24630</t>
        </is>
      </c>
      <c r="AF1466" s="2" t="inlineStr">
        <is>
          <t>https://www.parlamento.pt/OrcamentoEstado/Paginas/DetalhePropostaAlteracao.aspx?BID=24630</t>
        </is>
      </c>
      <c r="AG1466" s="2" t="inlineStr">
        <is>
          <t>https://app.parlamento.pt/webutils/docs/doc.pdf?path=6148523063484d364c793942556b356c6443397a6158526c63793959566b6c4a544556484c3039464c7a49774d6a59794d4449314d5441774f533951515339684d474534596a6c6a4f5330314d6a45794c5451774e6a5574596a41305a6930774d3252694e6a557a596a6c6b4f5445756347526d&amp;Fich=a0a8b9c9-5212-4065-b04f-03db653b9d91.pdf&amp;Inline=true</t>
        </is>
      </c>
      <c r="AH1466" s="3" t="n">
        <v>46321.77847222222</v>
      </c>
      <c r="AI1466" s="3" t="n">
        <v>46321.78055555555</v>
      </c>
      <c r="AJ1466" s="2" t="inlineStr"/>
    </row>
    <row r="1467">
      <c r="A1467" s="2" t="n">
        <v>1466</v>
      </c>
      <c r="B1467" s="2" t="inlineStr">
        <is>
          <t>1385C</t>
        </is>
      </c>
      <c r="C1467" s="3" t="n">
        <v>45968.58263888889</v>
      </c>
      <c r="D1467" s="2" t="inlineStr">
        <is>
          <t>Original</t>
        </is>
      </c>
      <c r="E1467" s="2" t="inlineStr">
        <is>
          <t>PS</t>
        </is>
      </c>
      <c r="F1467" s="2" t="inlineStr">
        <is>
          <t>António Mendonça Mendes; Eurico Brilhante Dias; José Luís Carneiro; Mariana Vieira da Silva; Marina Gonçalves; Miguel Matos; Sofia Pereira; Susana Correia</t>
        </is>
      </c>
      <c r="G1467" s="2" t="inlineStr">
        <is>
          <t>Art. 119.º-A (aditamento)</t>
        </is>
      </c>
      <c r="H1467" s="2" t="n"/>
      <c r="I1467" s="2" t="n"/>
      <c r="J1467" s="2" t="n"/>
      <c r="K1467" s="2" t="n"/>
      <c r="L1467" s="2" t="inlineStr">
        <is>
          <t>Artigo 119.º-A (Acesso provisório aos cuidados de saúde primários por estudantes deslocados)</t>
        </is>
      </c>
      <c r="M1467" s="4" t="n"/>
      <c r="N1467" s="4" t="n"/>
      <c r="O1467" s="2" t="n"/>
      <c r="P1467" s="2" t="n"/>
      <c r="Q1467" s="2" t="n"/>
      <c r="R1467" s="2" t="n"/>
      <c r="S1467" s="2" t="inlineStr">
        <is>
          <t>Aprovado(a) em Comissão</t>
        </is>
      </c>
      <c r="T1467" s="2" t="inlineStr">
        <is>
          <t>Aprovada</t>
        </is>
      </c>
      <c r="U1467" s="2" t="inlineStr">
        <is>
          <t>Favor: CH, PS, L, PCP, BE, PAN; Contra: PSD, IL, CDS-PP</t>
        </is>
      </c>
      <c r="V1467" s="3" t="n">
        <v>45985</v>
      </c>
      <c r="W1467" s="2" t="inlineStr">
        <is>
          <t>AR: https://www.parlamento.pt/OrcamentoEstado/Paginas/DetalhePropostaAlteracao.aspx?BID=24631 PDF: https://app.parlamento.pt/webutils/docs/doc.pdf?path=6148523063484d364c793942556b356c6443397a6158526c63793959566b6c4a544556484c3039464c7a49774d6a59794d4449314d5441774f5339515153396a4d6d46684d6a63324e6930774d6a4d794c54526c5a6a6374595441784d7930784e324e6b4d7a55794e6d526a4d6d59756347526d&amp;Fich=c2aa2766-0232-4ef7-a013-17cd3526dc2f.pdf&amp;Inline=true</t>
        </is>
      </c>
      <c r="X1467" s="2" t="inlineStr">
        <is>
          <t>Orçamento, Finanças e Administração Pública; Saúde</t>
        </is>
      </c>
      <c r="Y1467" s="2" t="inlineStr">
        <is>
          <t>Articulado</t>
        </is>
      </c>
      <c r="Z1467" s="2" t="inlineStr">
        <is>
          <t>Aditamento (Artigo PPL)</t>
        </is>
      </c>
      <c r="AA1467" s="2" t="inlineStr">
        <is>
          <t>Aprovado(a) em Comissão</t>
        </is>
      </c>
      <c r="AB1467" s="2" t="inlineStr"/>
      <c r="AC1467" s="2" t="inlineStr"/>
      <c r="AD1467" s="2" t="inlineStr">
        <is>
          <t>1</t>
        </is>
      </c>
      <c r="AE1467" s="2" t="inlineStr">
        <is>
          <t>24631</t>
        </is>
      </c>
      <c r="AF1467" s="2" t="inlineStr">
        <is>
          <t>https://www.parlamento.pt/OrcamentoEstado/Paginas/DetalhePropostaAlteracao.aspx?BID=24631</t>
        </is>
      </c>
      <c r="AG1467" s="2" t="inlineStr">
        <is>
          <t>https://app.parlamento.pt/webutils/docs/doc.pdf?path=6148523063484d364c793942556b356c6443397a6158526c63793959566b6c4a544556484c3039464c7a49774d6a59794d4449314d5441774f5339515153396a4d6d46684d6a63324e6930774d6a4d794c54526c5a6a6374595441784d7930784e324e6b4d7a55794e6d526a4d6d59756347526d&amp;Fich=c2aa2766-0232-4ef7-a013-17cd3526dc2f.pdf&amp;Inline=true</t>
        </is>
      </c>
      <c r="AH1467" s="3" t="n">
        <v>46321.77847222222</v>
      </c>
      <c r="AI1467" s="3" t="n">
        <v>46321.78055555555</v>
      </c>
      <c r="AJ1467" s="2" t="inlineStr"/>
    </row>
    <row r="1468">
      <c r="A1468" s="2" t="n">
        <v>1467</v>
      </c>
      <c r="B1468" s="2" t="inlineStr">
        <is>
          <t>1386C</t>
        </is>
      </c>
      <c r="C1468" s="3" t="n">
        <v>45968.58402777778</v>
      </c>
      <c r="D1468" s="2" t="inlineStr">
        <is>
          <t>Original</t>
        </is>
      </c>
      <c r="E1468" s="2" t="inlineStr">
        <is>
          <t>PAN</t>
        </is>
      </c>
      <c r="F1468" s="2" t="inlineStr">
        <is>
          <t>Inês de Sousa Real</t>
        </is>
      </c>
      <c r="G1468" s="2" t="inlineStr">
        <is>
          <t>Art. 45.º-B (aditamento)</t>
        </is>
      </c>
      <c r="H1468" s="2" t="n"/>
      <c r="I1468" s="2" t="n"/>
      <c r="J1468" s="2" t="n"/>
      <c r="K1468" s="2" t="n"/>
      <c r="L1468" s="2" t="inlineStr">
        <is>
          <t>Artigo 45.º-B (Reforço do apoio aos cuidadores informais)</t>
        </is>
      </c>
      <c r="M1468" s="4" t="n"/>
      <c r="N1468" s="4" t="n"/>
      <c r="O1468" s="2" t="n"/>
      <c r="P1468" s="2" t="n"/>
      <c r="Q1468" s="2" t="n"/>
      <c r="R1468" s="2" t="n"/>
      <c r="S1468" s="2" t="inlineStr">
        <is>
          <t>Rejeitado(a) em Comissão</t>
        </is>
      </c>
      <c r="T1468" s="2" t="inlineStr">
        <is>
          <t>Rejeitada</t>
        </is>
      </c>
      <c r="U1468" s="2" t="inlineStr">
        <is>
          <t>Favor: CH, L, PCP, BE, PAN; Contra: PSD, IL, CDS-PP; Abstenção: PS</t>
        </is>
      </c>
      <c r="V1468" s="3" t="n">
        <v>45981</v>
      </c>
      <c r="W1468" s="2" t="inlineStr">
        <is>
          <t>AR: https://www.parlamento.pt/OrcamentoEstado/Paginas/DetalhePropostaAlteracao.aspx?BID=24632 PDF: https://app.parlamento.pt/webutils/docs/doc.pdf?path=6148523063484d364c793942556b356c6443397a6158526c63793959566b6c4a544556484c3039464c7a49774d6a59794d4449314d5441774f53395151533878596a5a694d5755344f5330314d4467794c545179596d5174596d4e6b4d433078597a686b4d57566b4d3259784f4463756347526d&amp;Fich=1b6b1e89-5082-42bd-bcd0-1c8d1ed3f187.pdf&amp;Inline=true</t>
        </is>
      </c>
      <c r="X1468" s="2" t="inlineStr">
        <is>
          <t>Trabalho, Segurança Social e Inclusão</t>
        </is>
      </c>
      <c r="Y1468" s="2" t="inlineStr">
        <is>
          <t>Articulado</t>
        </is>
      </c>
      <c r="Z1468" s="2" t="inlineStr">
        <is>
          <t>Aditamento (Artigo PPL)</t>
        </is>
      </c>
      <c r="AA1468" s="2" t="inlineStr">
        <is>
          <t>Rejeitado(a) em Comissão</t>
        </is>
      </c>
      <c r="AB1468" s="2" t="inlineStr"/>
      <c r="AC1468" s="2" t="inlineStr"/>
      <c r="AD1468" s="2" t="inlineStr">
        <is>
          <t>1</t>
        </is>
      </c>
      <c r="AE1468" s="2" t="inlineStr">
        <is>
          <t>24632</t>
        </is>
      </c>
      <c r="AF1468" s="2" t="inlineStr">
        <is>
          <t>https://www.parlamento.pt/OrcamentoEstado/Paginas/DetalhePropostaAlteracao.aspx?BID=24632</t>
        </is>
      </c>
      <c r="AG1468" s="2" t="inlineStr">
        <is>
          <t>https://app.parlamento.pt/webutils/docs/doc.pdf?path=6148523063484d364c793942556b356c6443397a6158526c63793959566b6c4a544556484c3039464c7a49774d6a59794d4449314d5441774f53395151533878596a5a694d5755344f5330314d4467794c545179596d5174596d4e6b4d433078597a686b4d57566b4d3259784f4463756347526d&amp;Fich=1b6b1e89-5082-42bd-bcd0-1c8d1ed3f187.pdf&amp;Inline=true</t>
        </is>
      </c>
      <c r="AH1468" s="3" t="n">
        <v>46321.77847222222</v>
      </c>
      <c r="AI1468" s="3" t="n">
        <v>46321.78055555555</v>
      </c>
      <c r="AJ1468" s="2" t="inlineStr"/>
    </row>
    <row r="1469">
      <c r="A1469" s="2" t="n">
        <v>1468</v>
      </c>
      <c r="B1469" s="2" t="inlineStr">
        <is>
          <t>1387C</t>
        </is>
      </c>
      <c r="C1469" s="3" t="n">
        <v>45968.58402777778</v>
      </c>
      <c r="D1469" s="2" t="inlineStr">
        <is>
          <t>Original</t>
        </is>
      </c>
      <c r="E1469" s="2" t="inlineStr">
        <is>
          <t>PS</t>
        </is>
      </c>
      <c r="F1469" s="2" t="inlineStr">
        <is>
          <t>António Mendonça Mendes; Eurico Brilhante Dias; Hugo Costa; José Luís Carneiro; Marina Gonçalves; Miguel Matos; Nuno Fazenda; Sofia Pereira</t>
        </is>
      </c>
      <c r="G1469" s="2" t="inlineStr">
        <is>
          <t>Art. 51.º-A (aditamento)</t>
        </is>
      </c>
      <c r="H1469" s="2" t="n"/>
      <c r="I1469" s="2" t="n"/>
      <c r="J1469" s="2" t="n"/>
      <c r="K1469" s="2" t="n"/>
      <c r="L1469" s="2" t="inlineStr">
        <is>
          <t>Artigo 51.º-A (Capitalização da Banco Português de Fomento para o investimento na economia azul)</t>
        </is>
      </c>
      <c r="M1469" s="4" t="n"/>
      <c r="N1469" s="4" t="n"/>
      <c r="O1469" s="2" t="n"/>
      <c r="P1469" s="2" t="n"/>
      <c r="Q1469" s="2" t="n"/>
      <c r="R1469" s="2" t="n"/>
      <c r="S1469" s="2" t="inlineStr">
        <is>
          <t>Rejeitado(a) em Comissão</t>
        </is>
      </c>
      <c r="T1469" s="2" t="inlineStr">
        <is>
          <t>Rejeitada</t>
        </is>
      </c>
      <c r="U1469" s="2" t="inlineStr">
        <is>
          <t>Favor: PS, PAN; Contra: PSD, CH, IL, PCP, CDS-PP; Abstenção: L, BE</t>
        </is>
      </c>
      <c r="V1469" s="3" t="n">
        <v>45981</v>
      </c>
      <c r="W1469" s="2" t="inlineStr">
        <is>
          <t>AR: https://www.parlamento.pt/OrcamentoEstado/Paginas/DetalhePropostaAlteracao.aspx?BID=24633 PDF: https://app.parlamento.pt/webutils/docs/doc.pdf?path=6148523063484d364c793942556b356c6443397a6158526c63793959566b6c4a544556484c3039464c7a49774d6a59794d4449314d5441774f533951515338334f5749795a6a46694e4330324d6a4e694c5451354d5745744f4749774f4330304d6d59795a47466b5a6a6b314e7a59756347526d&amp;Fich=79b2f1b4-623b-491a-8b08-42f2dadf9576.pdf&amp;Inline=true</t>
        </is>
      </c>
      <c r="X1469" s="2" t="inlineStr">
        <is>
          <t>Comissão de Economia e Coesão Territorial; Orçamento, Finanças e Administração Pública</t>
        </is>
      </c>
      <c r="Y1469" s="2" t="inlineStr">
        <is>
          <t>Articulado</t>
        </is>
      </c>
      <c r="Z1469" s="2" t="inlineStr">
        <is>
          <t>Aditamento (Artigo PPL)</t>
        </is>
      </c>
      <c r="AA1469" s="2" t="inlineStr">
        <is>
          <t>Rejeitado(a) em Comissão</t>
        </is>
      </c>
      <c r="AB1469" s="2" t="inlineStr"/>
      <c r="AC1469" s="2" t="inlineStr"/>
      <c r="AD1469" s="2" t="inlineStr">
        <is>
          <t>1</t>
        </is>
      </c>
      <c r="AE1469" s="2" t="inlineStr">
        <is>
          <t>24633</t>
        </is>
      </c>
      <c r="AF1469" s="2" t="inlineStr">
        <is>
          <t>https://www.parlamento.pt/OrcamentoEstado/Paginas/DetalhePropostaAlteracao.aspx?BID=24633</t>
        </is>
      </c>
      <c r="AG1469" s="2" t="inlineStr">
        <is>
          <t>https://app.parlamento.pt/webutils/docs/doc.pdf?path=6148523063484d364c793942556b356c6443397a6158526c63793959566b6c4a544556484c3039464c7a49774d6a59794d4449314d5441774f533951515338334f5749795a6a46694e4330324d6a4e694c5451354d5745744f4749774f4330304d6d59795a47466b5a6a6b314e7a59756347526d&amp;Fich=79b2f1b4-623b-491a-8b08-42f2dadf9576.pdf&amp;Inline=true</t>
        </is>
      </c>
      <c r="AH1469" s="3" t="n">
        <v>46321.77847222222</v>
      </c>
      <c r="AI1469" s="3" t="n">
        <v>46321.78055555555</v>
      </c>
      <c r="AJ1469" s="2" t="inlineStr"/>
    </row>
    <row r="1470">
      <c r="A1470" s="2" t="n">
        <v>1469</v>
      </c>
      <c r="B1470" s="2" t="inlineStr">
        <is>
          <t>1388C</t>
        </is>
      </c>
      <c r="C1470" s="3" t="n">
        <v>45968.58402777778</v>
      </c>
      <c r="D1470" s="2" t="inlineStr">
        <is>
          <t>Original</t>
        </is>
      </c>
      <c r="E1470" s="2" t="inlineStr">
        <is>
          <t>PAN</t>
        </is>
      </c>
      <c r="F1470" s="2" t="inlineStr">
        <is>
          <t>Inês de Sousa Real</t>
        </is>
      </c>
      <c r="G1470" s="2" t="inlineStr">
        <is>
          <t>Art. 116.º-B (aditamento)</t>
        </is>
      </c>
      <c r="H1470" s="2" t="n"/>
      <c r="I1470" s="2" t="n"/>
      <c r="J1470" s="2" t="n"/>
      <c r="K1470" s="2" t="n"/>
      <c r="L1470" s="2" t="inlineStr">
        <is>
          <t>Artigo 116.º-B (Programa Veste Consciência)</t>
        </is>
      </c>
      <c r="M1470" s="4" t="n"/>
      <c r="N1470" s="4" t="n"/>
      <c r="O1470" s="2" t="n"/>
      <c r="P1470" s="2" t="n"/>
      <c r="Q1470" s="2" t="n"/>
      <c r="R1470" s="2" t="n"/>
      <c r="S1470" s="2" t="inlineStr">
        <is>
          <t>Rejeitado(a) em Comissão</t>
        </is>
      </c>
      <c r="T1470" s="2" t="inlineStr">
        <is>
          <t>Rejeitada</t>
        </is>
      </c>
      <c r="U1470" s="2" t="inlineStr">
        <is>
          <t>Favor: L, BE, PAN; Contra: PSD, CH, IL, CDS-PP; Abstenção: PS, PCP</t>
        </is>
      </c>
      <c r="V1470" s="3" t="n">
        <v>45985</v>
      </c>
      <c r="W1470" s="2" t="inlineStr">
        <is>
          <t>AR: https://www.parlamento.pt/OrcamentoEstado/Paginas/DetalhePropostaAlteracao.aspx?BID=24634 PDF: https://app.parlamento.pt/webutils/docs/doc.pdf?path=6148523063484d364c793942556b356c6443397a6158526c63793959566b6c4a544556484c3039464c7a49774d6a59794d4449314d5441774f533951515338304d3249774d6a566c5979316d4d4464694c5451335a444d744f54526b597930785a574d7a4e6d4d345a4745354d6d59756347526d&amp;Fich=43b025ec-f07b-47d3-94dc-1ec36c8da92f.pdf&amp;Inline=true</t>
        </is>
      </c>
      <c r="X1470" s="2" t="inlineStr">
        <is>
          <t>Ambiente e Energia</t>
        </is>
      </c>
      <c r="Y1470" s="2" t="inlineStr">
        <is>
          <t>Articulado</t>
        </is>
      </c>
      <c r="Z1470" s="2" t="inlineStr">
        <is>
          <t>Aditamento (Artigo PPL)</t>
        </is>
      </c>
      <c r="AA1470" s="2" t="inlineStr">
        <is>
          <t>Rejeitado(a) em Comissão</t>
        </is>
      </c>
      <c r="AB1470" s="2" t="inlineStr"/>
      <c r="AC1470" s="2" t="inlineStr"/>
      <c r="AD1470" s="2" t="inlineStr">
        <is>
          <t>1</t>
        </is>
      </c>
      <c r="AE1470" s="2" t="inlineStr">
        <is>
          <t>24634</t>
        </is>
      </c>
      <c r="AF1470" s="2" t="inlineStr">
        <is>
          <t>https://www.parlamento.pt/OrcamentoEstado/Paginas/DetalhePropostaAlteracao.aspx?BID=24634</t>
        </is>
      </c>
      <c r="AG1470" s="2" t="inlineStr">
        <is>
          <t>https://app.parlamento.pt/webutils/docs/doc.pdf?path=6148523063484d364c793942556b356c6443397a6158526c63793959566b6c4a544556484c3039464c7a49774d6a59794d4449314d5441774f533951515338304d3249774d6a566c5979316d4d4464694c5451335a444d744f54526b597930785a574d7a4e6d4d345a4745354d6d59756347526d&amp;Fich=43b025ec-f07b-47d3-94dc-1ec36c8da92f.pdf&amp;Inline=true</t>
        </is>
      </c>
      <c r="AH1470" s="3" t="n">
        <v>46321.77847222222</v>
      </c>
      <c r="AI1470" s="3" t="n">
        <v>46321.78055555555</v>
      </c>
      <c r="AJ1470" s="2" t="inlineStr"/>
    </row>
    <row r="1471">
      <c r="A1471" s="2" t="n">
        <v>1470</v>
      </c>
      <c r="B1471" s="2" t="inlineStr">
        <is>
          <t>1389C-1</t>
        </is>
      </c>
      <c r="C1471" s="3" t="n">
        <v>45968.58472222222</v>
      </c>
      <c r="D1471" s="2" t="inlineStr">
        <is>
          <t>Original</t>
        </is>
      </c>
      <c r="E1471" s="2" t="inlineStr">
        <is>
          <t>PS</t>
        </is>
      </c>
      <c r="F1471" s="2" t="inlineStr">
        <is>
          <t>Aida Carvalho; António Mendonça Mendes; Eurico Brilhante Dias; José Luís Carneiro; Marina Gonçalves; Miguel Matos; Porfírio Silva; Sofia Pereira</t>
        </is>
      </c>
      <c r="G1471" s="2" t="inlineStr">
        <is>
          <t>Art. 118.º (substituição)</t>
        </is>
      </c>
      <c r="H1471" s="2" t="n"/>
      <c r="I1471" s="2" t="n"/>
      <c r="J1471" s="2" t="n"/>
      <c r="K1471" s="2" t="n"/>
      <c r="L1471" s="2" t="inlineStr">
        <is>
          <t>N.º 1, Artigo 118.º</t>
        </is>
      </c>
      <c r="M1471" s="4" t="n"/>
      <c r="N1471" s="4" t="n"/>
      <c r="O1471" s="2" t="n"/>
      <c r="P1471" s="2" t="n"/>
      <c r="Q1471" s="2" t="n"/>
      <c r="R1471" s="2" t="n"/>
      <c r="S1471" s="2" t="inlineStr">
        <is>
          <t>Rejeitado(a) em Plenário</t>
        </is>
      </c>
      <c r="T1471" s="2" t="inlineStr">
        <is>
          <t>Rejeitada</t>
        </is>
      </c>
      <c r="U1471" s="2" t="inlineStr">
        <is>
          <t>Favor: PS, L, PCP, BE, PAN, JPP; Contra: PSD, CDS-PP; Abstenção: CH, IL</t>
        </is>
      </c>
      <c r="V1471" s="3" t="n">
        <v>45987</v>
      </c>
      <c r="W1471" s="2" t="inlineStr">
        <is>
          <t>Avocada a Plenário. AR: https://www.parlamento.pt/OrcamentoEstado/Paginas/DetalhePropostaAlteracao.aspx?BID=24635 PDF: https://app.parlamento.pt/webutils/docs/doc.pdf?path=6148523063484d364c793942556b356c6443397a6158526c63793959566b6c4a544556484c3039464c7a49774d6a59794d4449314d5441774f533951515338774f54457a4d3255354f5331694e7a59324c545177596a49744f444a6d5a43307a4d5449334f4759784f44686a4e5441756347526d&amp;Fich=09133e99-b766-40b2-82fd-31278f188c50.pdf&amp;Inline=true</t>
        </is>
      </c>
      <c r="X1471" s="2" t="inlineStr">
        <is>
          <t>Educação e Ciência; Orçamento, Finanças e Administração Pública</t>
        </is>
      </c>
      <c r="Y1471" s="2" t="inlineStr">
        <is>
          <t>Articulado</t>
        </is>
      </c>
      <c r="Z1471" s="2" t="inlineStr">
        <is>
          <t>Substituição</t>
        </is>
      </c>
      <c r="AA1471" s="2" t="inlineStr">
        <is>
          <t>Rejeitado(a) em Plenário</t>
        </is>
      </c>
      <c r="AB1471" s="2" t="inlineStr">
        <is>
          <t>S</t>
        </is>
      </c>
      <c r="AC1471" s="2" t="inlineStr">
        <is>
          <t>1</t>
        </is>
      </c>
      <c r="AD1471" s="2" t="inlineStr">
        <is>
          <t>2</t>
        </is>
      </c>
      <c r="AE1471" s="2" t="inlineStr">
        <is>
          <t>24635</t>
        </is>
      </c>
      <c r="AF1471" s="2" t="inlineStr">
        <is>
          <t>https://www.parlamento.pt/OrcamentoEstado/Paginas/DetalhePropostaAlteracao.aspx?BID=24635</t>
        </is>
      </c>
      <c r="AG1471" s="2" t="inlineStr">
        <is>
          <t>https://app.parlamento.pt/webutils/docs/doc.pdf?path=6148523063484d364c793942556b356c6443397a6158526c63793959566b6c4a544556484c3039464c7a49774d6a59794d4449314d5441774f533951515338774f54457a4d3255354f5331694e7a59324c545177596a49744f444a6d5a43307a4d5449334f4759784f44686a4e5441756347526d&amp;Fich=09133e99-b766-40b2-82fd-31278f188c50.pdf&amp;Inline=true</t>
        </is>
      </c>
      <c r="AH1471" s="3" t="n">
        <v>46321.77847222222</v>
      </c>
      <c r="AI1471" s="3" t="n">
        <v>46321.78055555555</v>
      </c>
      <c r="AJ1471" s="2" t="inlineStr"/>
    </row>
    <row r="1472">
      <c r="A1472" s="2" t="n">
        <v>1471</v>
      </c>
      <c r="B1472" s="2" t="inlineStr">
        <is>
          <t>1389C-2</t>
        </is>
      </c>
      <c r="C1472" s="3" t="n">
        <v>45968.58472222222</v>
      </c>
      <c r="D1472" s="2" t="inlineStr">
        <is>
          <t>Original</t>
        </is>
      </c>
      <c r="E1472" s="2" t="inlineStr">
        <is>
          <t>PS</t>
        </is>
      </c>
      <c r="F1472" s="2" t="inlineStr">
        <is>
          <t>Aida Carvalho; António Mendonça Mendes; Eurico Brilhante Dias; José Luís Carneiro; Marina Gonçalves; Miguel Matos; Porfírio Silva; Sofia Pereira</t>
        </is>
      </c>
      <c r="G1472" s="2" t="inlineStr">
        <is>
          <t>Art. 118.º (aditamento)</t>
        </is>
      </c>
      <c r="H1472" s="2" t="n"/>
      <c r="I1472" s="2" t="n"/>
      <c r="J1472" s="2" t="n"/>
      <c r="K1472" s="2" t="n"/>
      <c r="L1472" s="2" t="inlineStr">
        <is>
          <t>N.º 3, N.º 4, N.º 5, N.º 6, Artigo 118.º</t>
        </is>
      </c>
      <c r="M1472" s="4" t="n"/>
      <c r="N1472" s="4" t="n"/>
      <c r="O1472" s="2" t="n"/>
      <c r="P1472" s="2" t="n"/>
      <c r="Q1472" s="2" t="n"/>
      <c r="R1472" s="2" t="n"/>
      <c r="S1472" s="2" t="inlineStr">
        <is>
          <t>Rejeitado(a) em Plenário</t>
        </is>
      </c>
      <c r="T1472" s="2" t="inlineStr">
        <is>
          <t>Rejeitada</t>
        </is>
      </c>
      <c r="U1472" s="2" t="inlineStr">
        <is>
          <t>Favor: PS, L, PAN, JPP; Contra: PSD, CDS-PP; Abstenção: CH, IL, PCP, BE</t>
        </is>
      </c>
      <c r="V1472" s="3" t="n">
        <v>45987</v>
      </c>
      <c r="W1472" s="2" t="inlineStr">
        <is>
          <t>Avocada a Plenário. AR: https://www.parlamento.pt/OrcamentoEstado/Paginas/DetalhePropostaAlteracao.aspx?BID=25375 PDF: https://app.parlamento.pt/webutils/docs/doc.pdf?path=6148523063484d364c793942556b356c6443397a6158526c63793959566b6c4a544556484c3039464c7a49774d6a59794d4449314d5441774f533951515338304e32466d59324a684d43316d4d3255774c54526b4e6a457459544a6d4f4330784e4459344d57566d5a5755774d5451756347526d&amp;Fich=47afcba0-f3e0-4d61-a2f8-14681efee014.pdf&amp;Inline=true</t>
        </is>
      </c>
      <c r="X1472" s="2" t="inlineStr">
        <is>
          <t>Educação e Ciência; Orçamento, Finanças e Administração Pública</t>
        </is>
      </c>
      <c r="Y1472" s="2" t="inlineStr">
        <is>
          <t>Articulado</t>
        </is>
      </c>
      <c r="Z1472" s="2" t="inlineStr">
        <is>
          <t>Aditamento (Números e Alíneas)</t>
        </is>
      </c>
      <c r="AA1472" s="2" t="inlineStr">
        <is>
          <t>Rejeitado(a) em Plenário</t>
        </is>
      </c>
      <c r="AB1472" s="2" t="inlineStr">
        <is>
          <t>S</t>
        </is>
      </c>
      <c r="AC1472" s="2" t="inlineStr">
        <is>
          <t>2</t>
        </is>
      </c>
      <c r="AD1472" s="2" t="inlineStr">
        <is>
          <t>4</t>
        </is>
      </c>
      <c r="AE1472" s="2" t="inlineStr">
        <is>
          <t>25375</t>
        </is>
      </c>
      <c r="AF1472" s="2" t="inlineStr">
        <is>
          <t>https://www.parlamento.pt/OrcamentoEstado/Paginas/DetalhePropostaAlteracao.aspx?BID=25375</t>
        </is>
      </c>
      <c r="AG1472" s="2" t="inlineStr">
        <is>
          <t>https://app.parlamento.pt/webutils/docs/doc.pdf?path=6148523063484d364c793942556b356c6443397a6158526c63793959566b6c4a544556484c3039464c7a49774d6a59794d4449314d5441774f533951515338304e32466d59324a684d43316d4d3255774c54526b4e6a457459544a6d4f4330784e4459344d57566d5a5755774d5451756347526d&amp;Fich=47afcba0-f3e0-4d61-a2f8-14681efee014.pdf&amp;Inline=true</t>
        </is>
      </c>
      <c r="AH1472" s="3" t="n">
        <v>46321.77847222222</v>
      </c>
      <c r="AI1472" s="3" t="n">
        <v>46321.78055555555</v>
      </c>
      <c r="AJ1472" s="2" t="inlineStr"/>
    </row>
    <row r="1473">
      <c r="A1473" s="2" t="n">
        <v>1472</v>
      </c>
      <c r="B1473" s="2" t="inlineStr">
        <is>
          <t>1390C</t>
        </is>
      </c>
      <c r="C1473" s="3" t="n">
        <v>45968.58472222222</v>
      </c>
      <c r="D1473" s="2" t="inlineStr">
        <is>
          <t>Original</t>
        </is>
      </c>
      <c r="E1473" s="2" t="inlineStr">
        <is>
          <t>PAN</t>
        </is>
      </c>
      <c r="F1473" s="2" t="inlineStr">
        <is>
          <t>Inês de Sousa Real</t>
        </is>
      </c>
      <c r="G1473" s="2" t="inlineStr">
        <is>
          <t>Articulado</t>
        </is>
      </c>
      <c r="H1473" s="2" t="n"/>
      <c r="I1473" s="2" t="n"/>
      <c r="J1473" s="2" t="n"/>
      <c r="K1473" s="2" t="n"/>
      <c r="L1473" s="2" t="inlineStr">
        <is>
          <t>Artigo 116.º-A Cheque Repara &amp; Reusa</t>
        </is>
      </c>
      <c r="M1473" s="4" t="n"/>
      <c r="N1473" s="4" t="n"/>
      <c r="O1473" s="2" t="n"/>
      <c r="P1473" s="2" t="n"/>
      <c r="Q1473" s="2" t="n"/>
      <c r="R1473" s="2" t="n"/>
      <c r="S1473" s="2" t="inlineStr">
        <is>
          <t>Não Admitida</t>
        </is>
      </c>
      <c r="T1473" s="2" t="inlineStr"/>
      <c r="U1473" s="2" t="inlineStr"/>
      <c r="V1473" s="3" t="n"/>
      <c r="W1473" s="2" t="inlineStr">
        <is>
          <t>AR: https://www.parlamento.pt/OrcamentoEstado/Paginas/DetalhePropostaAlteracao.aspx?BID=24636 PDF: https://app.parlamento.pt/webutils/docs/doc.pdf?path=6148523063484d364c793942556b356c6443397a6158526c63793959566b6c4a544556484c3039464c7a49774d6a59794d4449314d5441774f533951515338304f545134597a49345a5330774d546b774c5451304e4467744f545a6c596930345a4751314d6a63775a54526d5a6a49756347526d&amp;Fich=4948c28e-0190-4448-96eb-8dd5270e4ff2.pdf&amp;Inline=true</t>
        </is>
      </c>
      <c r="X1473" s="2" t="inlineStr">
        <is>
          <t>Ambiente e Energia</t>
        </is>
      </c>
      <c r="Y1473" s="2" t="inlineStr">
        <is>
          <t>Articulado</t>
        </is>
      </c>
      <c r="Z1473" s="2" t="inlineStr">
        <is>
          <t>Por Definir</t>
        </is>
      </c>
      <c r="AA1473" s="2" t="inlineStr">
        <is>
          <t>Não Admitida</t>
        </is>
      </c>
      <c r="AB1473" s="2" t="inlineStr"/>
      <c r="AC1473" s="2" t="inlineStr"/>
      <c r="AD1473" s="2" t="inlineStr">
        <is>
          <t>0</t>
        </is>
      </c>
      <c r="AE1473" s="2" t="inlineStr">
        <is>
          <t>24636</t>
        </is>
      </c>
      <c r="AF1473" s="2" t="inlineStr">
        <is>
          <t>https://www.parlamento.pt/OrcamentoEstado/Paginas/DetalhePropostaAlteracao.aspx?BID=24636</t>
        </is>
      </c>
      <c r="AG1473" s="2" t="inlineStr">
        <is>
          <t>https://app.parlamento.pt/webutils/docs/doc.pdf?path=6148523063484d364c793942556b356c6443397a6158526c63793959566b6c4a544556484c3039464c7a49774d6a59794d4449314d5441774f533951515338304f545134597a49345a5330774d546b774c5451304e4467744f545a6c596930345a4751314d6a63775a54526d5a6a49756347526d&amp;Fich=4948c28e-0190-4448-96eb-8dd5270e4ff2.pdf&amp;Inline=true</t>
        </is>
      </c>
      <c r="AH1473" s="3" t="n">
        <v>46321.77847222222</v>
      </c>
      <c r="AI1473" s="3" t="n">
        <v>46321.78055555555</v>
      </c>
      <c r="AJ1473" s="2" t="inlineStr"/>
    </row>
    <row r="1474">
      <c r="A1474" s="2" t="n">
        <v>1473</v>
      </c>
      <c r="B1474" s="2" t="inlineStr">
        <is>
          <t>1391C</t>
        </is>
      </c>
      <c r="C1474" s="3" t="n">
        <v>45968.58541666667</v>
      </c>
      <c r="D1474" s="2" t="inlineStr">
        <is>
          <t>Original</t>
        </is>
      </c>
      <c r="E1474" s="2" t="inlineStr">
        <is>
          <t>PAN</t>
        </is>
      </c>
      <c r="F1474" s="2" t="inlineStr">
        <is>
          <t>Inês de Sousa Real</t>
        </is>
      </c>
      <c r="G1474" s="2" t="inlineStr">
        <is>
          <t>Art. 45.º-C (aditamento)</t>
        </is>
      </c>
      <c r="H1474" s="2" t="n"/>
      <c r="I1474" s="2" t="n"/>
      <c r="J1474" s="2" t="n"/>
      <c r="K1474" s="2" t="n"/>
      <c r="L1474" s="2" t="inlineStr">
        <is>
          <t>Artigo 45.º-C (Criação de canal de atendimento e reforço dos direitos dos cuidadores informais)</t>
        </is>
      </c>
      <c r="M1474" s="4" t="n"/>
      <c r="N1474" s="4" t="n"/>
      <c r="O1474" s="2" t="n"/>
      <c r="P1474" s="2" t="n"/>
      <c r="Q1474" s="2" t="n"/>
      <c r="R1474" s="2" t="n"/>
      <c r="S1474" s="2" t="inlineStr">
        <is>
          <t>Rejeitado(a) em Comissão</t>
        </is>
      </c>
      <c r="T1474" s="2" t="inlineStr">
        <is>
          <t>Rejeitada</t>
        </is>
      </c>
      <c r="U1474" s="2" t="inlineStr">
        <is>
          <t>Favor: CH, L, PCP, BE, PAN; Contra: PSD, IL, CDS-PP; Abstenção: PS</t>
        </is>
      </c>
      <c r="V1474" s="3" t="n">
        <v>45981</v>
      </c>
      <c r="W1474" s="2" t="inlineStr">
        <is>
          <t>AR: https://www.parlamento.pt/OrcamentoEstado/Paginas/DetalhePropostaAlteracao.aspx?BID=24637 PDF: https://app.parlamento.pt/webutils/docs/doc.pdf?path=6148523063484d364c793942556b356c6443397a6158526c63793959566b6c4a544556484c3039464c7a49774d6a59794d4449314d5441774f533951515339684d7a45354f4468695a6930304d444e6d4c54517a5a54597459544d314d69307a5a6a67784e47526d4e3249304d7a4d756347526d&amp;Fich=a31988bf-403f-43e6-a352-3f814df7b433.pdf&amp;Inline=true</t>
        </is>
      </c>
      <c r="X1474" s="2" t="inlineStr">
        <is>
          <t>Trabalho, Segurança Social e Inclusão</t>
        </is>
      </c>
      <c r="Y1474" s="2" t="inlineStr">
        <is>
          <t>Articulado</t>
        </is>
      </c>
      <c r="Z1474" s="2" t="inlineStr">
        <is>
          <t>Aditamento (Artigo PPL)</t>
        </is>
      </c>
      <c r="AA1474" s="2" t="inlineStr">
        <is>
          <t>Rejeitado(a) em Comissão</t>
        </is>
      </c>
      <c r="AB1474" s="2" t="inlineStr"/>
      <c r="AC1474" s="2" t="inlineStr"/>
      <c r="AD1474" s="2" t="inlineStr">
        <is>
          <t>1</t>
        </is>
      </c>
      <c r="AE1474" s="2" t="inlineStr">
        <is>
          <t>24637</t>
        </is>
      </c>
      <c r="AF1474" s="2" t="inlineStr">
        <is>
          <t>https://www.parlamento.pt/OrcamentoEstado/Paginas/DetalhePropostaAlteracao.aspx?BID=24637</t>
        </is>
      </c>
      <c r="AG1474" s="2" t="inlineStr">
        <is>
          <t>https://app.parlamento.pt/webutils/docs/doc.pdf?path=6148523063484d364c793942556b356c6443397a6158526c63793959566b6c4a544556484c3039464c7a49774d6a59794d4449314d5441774f533951515339684d7a45354f4468695a6930304d444e6d4c54517a5a54597459544d314d69307a5a6a67784e47526d4e3249304d7a4d756347526d&amp;Fich=a31988bf-403f-43e6-a352-3f814df7b433.pdf&amp;Inline=true</t>
        </is>
      </c>
      <c r="AH1474" s="3" t="n">
        <v>46321.77847222222</v>
      </c>
      <c r="AI1474" s="3" t="n">
        <v>46321.78055555555</v>
      </c>
      <c r="AJ1474" s="2" t="inlineStr"/>
    </row>
    <row r="1475">
      <c r="A1475" s="2" t="n">
        <v>1474</v>
      </c>
      <c r="B1475" s="2" t="inlineStr">
        <is>
          <t>1392C</t>
        </is>
      </c>
      <c r="C1475" s="3" t="n">
        <v>45968.58541666667</v>
      </c>
      <c r="D1475" s="2" t="inlineStr">
        <is>
          <t>Original</t>
        </is>
      </c>
      <c r="E1475" s="2" t="inlineStr">
        <is>
          <t>PS</t>
        </is>
      </c>
      <c r="F1475" s="2" t="inlineStr">
        <is>
          <t>António Mendonça Mendes; Eurico Brilhante Dias; José Luís Carneiro; Luís Graça; Marina Gonçalves; Miguel Matos; Pedro Vaz; Sofia Pereira</t>
        </is>
      </c>
      <c r="G1475" s="2" t="inlineStr">
        <is>
          <t>Art. 127.º-A (aditamento)</t>
        </is>
      </c>
      <c r="H1475" s="2" t="n"/>
      <c r="I1475" s="2" t="n"/>
      <c r="J1475" s="2" t="n"/>
      <c r="K1475" s="2" t="n"/>
      <c r="L1475" s="2" t="inlineStr">
        <is>
          <t>Artigo 127.º-A (Comunidades de energia de serviço público)</t>
        </is>
      </c>
      <c r="M1475" s="4" t="n"/>
      <c r="N1475" s="4" t="n"/>
      <c r="O1475" s="2" t="n"/>
      <c r="P1475" s="2" t="n"/>
      <c r="Q1475" s="2" t="n"/>
      <c r="R1475" s="2" t="n"/>
      <c r="S1475" s="2" t="inlineStr">
        <is>
          <t>Rejeitado(a) em Comissão</t>
        </is>
      </c>
      <c r="T1475" s="2" t="inlineStr">
        <is>
          <t>Rejeitada</t>
        </is>
      </c>
      <c r="U1475" s="2" t="inlineStr">
        <is>
          <t>Favor: PS, L, PCP, BE, PAN; Contra: PSD, IL, CDS-PP; Abstenção: CH</t>
        </is>
      </c>
      <c r="V1475" s="3" t="n">
        <v>45985</v>
      </c>
      <c r="W1475" s="2" t="inlineStr">
        <is>
          <t>AR: https://www.parlamento.pt/OrcamentoEstado/Paginas/DetalhePropostaAlteracao.aspx?BID=24638 PDF: https://app.parlamento.pt/webutils/docs/doc.pdf?path=6148523063484d364c793942556b356c6443397a6158526c63793959566b6c4a544556484c3039464c7a49774d6a59794d4449314d5441774f5339515153396a4d5759355a6d51354e6930314e4445794c54517859325574595467774e43316a5a44686b5a6a566b597a686d5a5759756347526d&amp;Fich=c1f9fd96-5412-41ce-a804-cd8df5dc8fef.pdf&amp;Inline=true</t>
        </is>
      </c>
      <c r="X1475" s="2" t="inlineStr">
        <is>
          <t>Ambiente e Energia; Orçamento, Finanças e Administração Pública</t>
        </is>
      </c>
      <c r="Y1475" s="2" t="inlineStr">
        <is>
          <t>Articulado</t>
        </is>
      </c>
      <c r="Z1475" s="2" t="inlineStr">
        <is>
          <t>Aditamento (Artigo PPL)</t>
        </is>
      </c>
      <c r="AA1475" s="2" t="inlineStr">
        <is>
          <t>Rejeitado(a) em Comissão</t>
        </is>
      </c>
      <c r="AB1475" s="2" t="inlineStr"/>
      <c r="AC1475" s="2" t="inlineStr"/>
      <c r="AD1475" s="2" t="inlineStr">
        <is>
          <t>1</t>
        </is>
      </c>
      <c r="AE1475" s="2" t="inlineStr">
        <is>
          <t>24638</t>
        </is>
      </c>
      <c r="AF1475" s="2" t="inlineStr">
        <is>
          <t>https://www.parlamento.pt/OrcamentoEstado/Paginas/DetalhePropostaAlteracao.aspx?BID=24638</t>
        </is>
      </c>
      <c r="AG1475" s="2" t="inlineStr">
        <is>
          <t>https://app.parlamento.pt/webutils/docs/doc.pdf?path=6148523063484d364c793942556b356c6443397a6158526c63793959566b6c4a544556484c3039464c7a49774d6a59794d4449314d5441774f5339515153396a4d5759355a6d51354e6930314e4445794c54517859325574595467774e43316a5a44686b5a6a566b597a686d5a5759756347526d&amp;Fich=c1f9fd96-5412-41ce-a804-cd8df5dc8fef.pdf&amp;Inline=true</t>
        </is>
      </c>
      <c r="AH1475" s="3" t="n">
        <v>46321.77847222222</v>
      </c>
      <c r="AI1475" s="3" t="n">
        <v>46321.78055555555</v>
      </c>
      <c r="AJ1475" s="2" t="inlineStr"/>
    </row>
    <row r="1476">
      <c r="A1476" s="2" t="n">
        <v>1475</v>
      </c>
      <c r="B1476" s="2" t="inlineStr">
        <is>
          <t>1393C</t>
        </is>
      </c>
      <c r="C1476" s="3" t="n">
        <v>45968.58680555555</v>
      </c>
      <c r="D1476" s="2" t="inlineStr">
        <is>
          <t>Original</t>
        </is>
      </c>
      <c r="E1476" s="2" t="inlineStr">
        <is>
          <t>IL</t>
        </is>
      </c>
      <c r="F1476" s="2" t="inlineStr">
        <is>
          <t>Angélique Da Teresa; Carlos Guimarães Pinto; Joana Cordeiro; Jorge Miguel Teixeira; Mariana Leitão; Mário Amorim Lopes; Miguel Rangel; Rodrigo Saraiva; Rui Rocha</t>
        </is>
      </c>
      <c r="G1476" s="2" t="inlineStr">
        <is>
          <t>Art. 34.º-A (aditamento)</t>
        </is>
      </c>
      <c r="H1476" s="2" t="n"/>
      <c r="I1476" s="2" t="n"/>
      <c r="J1476" s="2" t="n"/>
      <c r="K1476" s="2" t="n"/>
      <c r="L1476" s="2" t="inlineStr">
        <is>
          <t>Artigo 34.º-A (Projeto-piloto para a implementação de Entidades Públicas Autónomas na Saúde)</t>
        </is>
      </c>
      <c r="M1476" s="4" t="n"/>
      <c r="N1476" s="4" t="n"/>
      <c r="O1476" s="2" t="n"/>
      <c r="P1476" s="2" t="n"/>
      <c r="Q1476" s="2" t="n"/>
      <c r="R1476" s="2" t="n"/>
      <c r="S1476" s="2" t="inlineStr">
        <is>
          <t>Rejeitado(a) em Comissão</t>
        </is>
      </c>
      <c r="T1476" s="2" t="inlineStr">
        <is>
          <t>Rejeitada</t>
        </is>
      </c>
      <c r="U1476" s="2" t="inlineStr">
        <is>
          <t>Favor: IL, PAN; Contra: PSD, CH, PS, L, PCP, CDS-PP, BE</t>
        </is>
      </c>
      <c r="V1476" s="3" t="n">
        <v>45982</v>
      </c>
      <c r="W1476" s="2" t="inlineStr">
        <is>
          <t>AR: https://www.parlamento.pt/OrcamentoEstado/Paginas/DetalhePropostaAlteracao.aspx?BID=24639 PDF: https://app.parlamento.pt/webutils/docs/doc.pdf?path=6148523063484d364c793942556b356c6443397a6158526c63793959566b6c4a544556484c3039464c7a49774d6a59794d4449314d5441774f53395151533877596d51304d4749354e5330334e6a49344c5451314d6a4d744f5451774d5330794f444d3459574a684d474d314d6a59756347526d&amp;Fich=0bd40b95-7628-4523-9401-2838aba0c526.pdf&amp;Inline=true</t>
        </is>
      </c>
      <c r="X1476" s="2" t="inlineStr">
        <is>
          <t>Saúde</t>
        </is>
      </c>
      <c r="Y1476" s="2" t="inlineStr">
        <is>
          <t>Articulado</t>
        </is>
      </c>
      <c r="Z1476" s="2" t="inlineStr">
        <is>
          <t>Aditamento (Artigo PPL)</t>
        </is>
      </c>
      <c r="AA1476" s="2" t="inlineStr">
        <is>
          <t>Rejeitado(a) em Comissão</t>
        </is>
      </c>
      <c r="AB1476" s="2" t="inlineStr"/>
      <c r="AC1476" s="2" t="inlineStr"/>
      <c r="AD1476" s="2" t="inlineStr">
        <is>
          <t>1</t>
        </is>
      </c>
      <c r="AE1476" s="2" t="inlineStr">
        <is>
          <t>24639</t>
        </is>
      </c>
      <c r="AF1476" s="2" t="inlineStr">
        <is>
          <t>https://www.parlamento.pt/OrcamentoEstado/Paginas/DetalhePropostaAlteracao.aspx?BID=24639</t>
        </is>
      </c>
      <c r="AG1476" s="2" t="inlineStr">
        <is>
          <t>https://app.parlamento.pt/webutils/docs/doc.pdf?path=6148523063484d364c793942556b356c6443397a6158526c63793959566b6c4a544556484c3039464c7a49774d6a59794d4449314d5441774f53395151533877596d51304d4749354e5330334e6a49344c5451314d6a4d744f5451774d5330794f444d3459574a684d474d314d6a59756347526d&amp;Fich=0bd40b95-7628-4523-9401-2838aba0c526.pdf&amp;Inline=true</t>
        </is>
      </c>
      <c r="AH1476" s="3" t="n">
        <v>46321.77847222222</v>
      </c>
      <c r="AI1476" s="3" t="n">
        <v>46321.78055555555</v>
      </c>
      <c r="AJ1476" s="2" t="inlineStr"/>
    </row>
    <row r="1477">
      <c r="A1477" s="2" t="n">
        <v>1476</v>
      </c>
      <c r="B1477" s="2" t="inlineStr">
        <is>
          <t>1394C</t>
        </is>
      </c>
      <c r="C1477" s="3" t="n">
        <v>45968.58680555555</v>
      </c>
      <c r="D1477" s="2" t="inlineStr">
        <is>
          <t>Original</t>
        </is>
      </c>
      <c r="E1477" s="2" t="inlineStr">
        <is>
          <t>PAN</t>
        </is>
      </c>
      <c r="F1477" s="2" t="inlineStr">
        <is>
          <t>Inês de Sousa Real</t>
        </is>
      </c>
      <c r="G1477" s="2" t="inlineStr">
        <is>
          <t>Art. 63.º-A (aditamento)</t>
        </is>
      </c>
      <c r="H1477" s="2" t="n"/>
      <c r="I1477" s="2" t="n"/>
      <c r="J1477" s="2" t="n"/>
      <c r="K1477" s="2" t="n"/>
      <c r="L1477" s="2" t="inlineStr">
        <is>
          <t>Artigo 63.º-A (Aditamento à lista I anexa ao Código do Imposto sobre o Valor Acrescentado)</t>
        </is>
      </c>
      <c r="M1477" s="4" t="n"/>
      <c r="N1477" s="4" t="n"/>
      <c r="O1477" s="2" t="n"/>
      <c r="P1477" s="2" t="n"/>
      <c r="Q1477" s="2" t="n"/>
      <c r="R1477" s="2" t="n"/>
      <c r="S1477" s="2" t="inlineStr">
        <is>
          <t>Rejeitado(a) em Comissão</t>
        </is>
      </c>
      <c r="T1477" s="2" t="inlineStr">
        <is>
          <t>Rejeitada</t>
        </is>
      </c>
      <c r="U1477" s="2" t="inlineStr">
        <is>
          <t>Favor: L, PCP, BE, PAN; Contra: PSD, CDS-PP; Abstenção: CH, PS, IL</t>
        </is>
      </c>
      <c r="V1477" s="3" t="n">
        <v>45982</v>
      </c>
      <c r="W1477" s="2" t="inlineStr">
        <is>
          <t>AR: https://www.parlamento.pt/OrcamentoEstado/Paginas/DetalhePropostaAlteracao.aspx?BID=24640 PDF: https://app.parlamento.pt/webutils/docs/doc.pdf?path=6148523063484d364c793942556b356c6443397a6158526c63793959566b6c4a544556484c3039464c7a49774d6a59794d4449314d5441774f5339515153396c5a474d794d47517a4d7931684e57466b4c545131596d5574595451325a533169597a49314f54566c4e475a694f5463756347526d&amp;Fich=edc20d33-a5ad-45be-a46e-bc2595e4fb97.pdf&amp;Inline=true</t>
        </is>
      </c>
      <c r="X1477" s="2" t="inlineStr">
        <is>
          <t>Ambiente e Energia; Orçamento, Finanças e Administração Pública</t>
        </is>
      </c>
      <c r="Y1477" s="2" t="inlineStr">
        <is>
          <t>Articulado</t>
        </is>
      </c>
      <c r="Z1477" s="2" t="inlineStr">
        <is>
          <t>Aditamento (Artigo PPL)</t>
        </is>
      </c>
      <c r="AA1477" s="2" t="inlineStr">
        <is>
          <t>Rejeitado(a) em Comissão</t>
        </is>
      </c>
      <c r="AB1477" s="2" t="inlineStr"/>
      <c r="AC1477" s="2" t="inlineStr"/>
      <c r="AD1477" s="2" t="inlineStr">
        <is>
          <t>1</t>
        </is>
      </c>
      <c r="AE1477" s="2" t="inlineStr">
        <is>
          <t>24640</t>
        </is>
      </c>
      <c r="AF1477" s="2" t="inlineStr">
        <is>
          <t>https://www.parlamento.pt/OrcamentoEstado/Paginas/DetalhePropostaAlteracao.aspx?BID=24640</t>
        </is>
      </c>
      <c r="AG1477" s="2" t="inlineStr">
        <is>
          <t>https://app.parlamento.pt/webutils/docs/doc.pdf?path=6148523063484d364c793942556b356c6443397a6158526c63793959566b6c4a544556484c3039464c7a49774d6a59794d4449314d5441774f5339515153396c5a474d794d47517a4d7931684e57466b4c545131596d5574595451325a533169597a49314f54566c4e475a694f5463756347526d&amp;Fich=edc20d33-a5ad-45be-a46e-bc2595e4fb97.pdf&amp;Inline=true</t>
        </is>
      </c>
      <c r="AH1477" s="3" t="n">
        <v>46321.77847222222</v>
      </c>
      <c r="AI1477" s="3" t="n">
        <v>46321.78055555555</v>
      </c>
      <c r="AJ1477" s="2" t="inlineStr"/>
    </row>
    <row r="1478">
      <c r="A1478" s="2" t="n">
        <v>1477</v>
      </c>
      <c r="B1478" s="2" t="inlineStr">
        <is>
          <t>1395C</t>
        </is>
      </c>
      <c r="C1478" s="3" t="n">
        <v>45968.58680555555</v>
      </c>
      <c r="D1478" s="2" t="inlineStr">
        <is>
          <t>Original</t>
        </is>
      </c>
      <c r="E1478" s="2" t="inlineStr">
        <is>
          <t>PAN</t>
        </is>
      </c>
      <c r="F1478" s="2" t="inlineStr">
        <is>
          <t>Inês de Sousa Real</t>
        </is>
      </c>
      <c r="G1478" s="2" t="inlineStr">
        <is>
          <t>Art. 78.º-A (aditamento)</t>
        </is>
      </c>
      <c r="H1478" s="2" t="n"/>
      <c r="I1478" s="2" t="n"/>
      <c r="J1478" s="2" t="n"/>
      <c r="K1478" s="2" t="n"/>
      <c r="L1478" s="2" t="inlineStr">
        <is>
          <t>Artigo 78.º-A (Imposto sobre os serviços digitais)</t>
        </is>
      </c>
      <c r="M1478" s="4" t="n"/>
      <c r="N1478" s="4" t="n"/>
      <c r="O1478" s="2" t="n"/>
      <c r="P1478" s="2" t="n"/>
      <c r="Q1478" s="2" t="n"/>
      <c r="R1478" s="2" t="n"/>
      <c r="S1478" s="2" t="inlineStr">
        <is>
          <t>Rejeitado(a) em Comissão</t>
        </is>
      </c>
      <c r="T1478" s="2" t="inlineStr">
        <is>
          <t>Rejeitada</t>
        </is>
      </c>
      <c r="U1478" s="2" t="inlineStr">
        <is>
          <t>Favor: L, PCP, BE, PAN; Contra: PSD, CH, IL, CDS-PP; Abstenção: PS</t>
        </is>
      </c>
      <c r="V1478" s="3" t="n">
        <v>45982</v>
      </c>
      <c r="W1478" s="2" t="inlineStr">
        <is>
          <t>AR: https://www.parlamento.pt/OrcamentoEstado/Paginas/DetalhePropostaAlteracao.aspx?BID=24641 PDF: https://app.parlamento.pt/webutils/docs/doc.pdf?path=6148523063484d364c793942556b356c6443397a6158526c63793959566b6c4a544556484c3039464c7a49774d6a59794d4449314d5441774f533951515338774e5751354d7a426b596931684e7a49774c5451354d5749744f4449334f53316a4f5751344e5441794e4759794d5467756347526d&amp;Fich=05d930db-a720-491b-8279-c9d85024f218.pdf&amp;Inline=true</t>
        </is>
      </c>
      <c r="X1478" s="2" t="inlineStr">
        <is>
          <t>Orçamento, Finanças e Administração Pública</t>
        </is>
      </c>
      <c r="Y1478" s="2" t="inlineStr">
        <is>
          <t>Articulado</t>
        </is>
      </c>
      <c r="Z1478" s="2" t="inlineStr">
        <is>
          <t>Aditamento (Artigo PPL)</t>
        </is>
      </c>
      <c r="AA1478" s="2" t="inlineStr">
        <is>
          <t>Rejeitado(a) em Comissão</t>
        </is>
      </c>
      <c r="AB1478" s="2" t="inlineStr"/>
      <c r="AC1478" s="2" t="inlineStr"/>
      <c r="AD1478" s="2" t="inlineStr">
        <is>
          <t>1</t>
        </is>
      </c>
      <c r="AE1478" s="2" t="inlineStr">
        <is>
          <t>24641</t>
        </is>
      </c>
      <c r="AF1478" s="2" t="inlineStr">
        <is>
          <t>https://www.parlamento.pt/OrcamentoEstado/Paginas/DetalhePropostaAlteracao.aspx?BID=24641</t>
        </is>
      </c>
      <c r="AG1478" s="2" t="inlineStr">
        <is>
          <t>https://app.parlamento.pt/webutils/docs/doc.pdf?path=6148523063484d364c793942556b356c6443397a6158526c63793959566b6c4a544556484c3039464c7a49774d6a59794d4449314d5441774f533951515338774e5751354d7a426b596931684e7a49774c5451354d5749744f4449334f53316a4f5751344e5441794e4759794d5467756347526d&amp;Fich=05d930db-a720-491b-8279-c9d85024f218.pdf&amp;Inline=true</t>
        </is>
      </c>
      <c r="AH1478" s="3" t="n">
        <v>46321.77847222222</v>
      </c>
      <c r="AI1478" s="3" t="n">
        <v>46321.78055555555</v>
      </c>
      <c r="AJ1478" s="2" t="inlineStr"/>
    </row>
    <row r="1479">
      <c r="A1479" s="2" t="n">
        <v>1478</v>
      </c>
      <c r="B1479" s="2" t="inlineStr">
        <is>
          <t>1396C</t>
        </is>
      </c>
      <c r="C1479" s="3" t="n">
        <v>45968.5875</v>
      </c>
      <c r="D1479" s="2" t="inlineStr">
        <is>
          <t>Original</t>
        </is>
      </c>
      <c r="E1479" s="2" t="inlineStr">
        <is>
          <t>PCP</t>
        </is>
      </c>
      <c r="F1479" s="2" t="inlineStr">
        <is>
          <t>Alfredo Maia; Paula Santos; Paulo Raimundo</t>
        </is>
      </c>
      <c r="G1479" s="2" t="inlineStr">
        <is>
          <t>Art. 28.º-A (aditamento)</t>
        </is>
      </c>
      <c r="H1479" s="2" t="n"/>
      <c r="I1479" s="2" t="n"/>
      <c r="J1479" s="2" t="n"/>
      <c r="K1479" s="2" t="n"/>
      <c r="L1479" s="2" t="inlineStr">
        <is>
          <t>Artigo 28.º-A (Admissão de trabalhadores para o Instituto da Segurança Social, I.P. e para o Instituto de Informática da Segurança Social, I.P)</t>
        </is>
      </c>
      <c r="M1479" s="4" t="n"/>
      <c r="N1479" s="4" t="n"/>
      <c r="O1479" s="2" t="n"/>
      <c r="P1479" s="2" t="n"/>
      <c r="Q1479" s="2" t="n"/>
      <c r="R1479" s="2" t="n"/>
      <c r="S1479" s="2" t="inlineStr">
        <is>
          <t>Rejeitado(a) em Comissão</t>
        </is>
      </c>
      <c r="T1479" s="2" t="inlineStr">
        <is>
          <t>Rejeitada</t>
        </is>
      </c>
      <c r="U1479" s="2" t="inlineStr">
        <is>
          <t>Favor: PCP, BE, PAN; Contra: PSD, IL, CDS-PP; Abstenção: CH, PS, L</t>
        </is>
      </c>
      <c r="V1479" s="3" t="n">
        <v>45981</v>
      </c>
      <c r="W1479" s="2" t="inlineStr">
        <is>
          <t>AR: https://www.parlamento.pt/OrcamentoEstado/Paginas/DetalhePropostaAlteracao.aspx?BID=24642 PDF: https://app.parlamento.pt/webutils/docs/doc.pdf?path=6148523063484d364c793942556b356c6443397a6158526c63793959566b6c4a544556484c3039464c7a49774d6a59794d4449314d5441774f533951515338334f574e684d5749325969316c5a6d4e6b4c54526a4f5755744f4751774f5330334e7a64694d7a4d354d6a6469595445756347526d&amp;Fich=79ca1b6b-efcd-4c9e-8d09-777b33927ba1.pdf&amp;Inline=true</t>
        </is>
      </c>
      <c r="X1479" s="2" t="inlineStr">
        <is>
          <t>Trabalho, Segurança Social e Inclusão</t>
        </is>
      </c>
      <c r="Y1479" s="2" t="inlineStr">
        <is>
          <t>Articulado</t>
        </is>
      </c>
      <c r="Z1479" s="2" t="inlineStr">
        <is>
          <t>Aditamento (Artigo PPL)</t>
        </is>
      </c>
      <c r="AA1479" s="2" t="inlineStr">
        <is>
          <t>Rejeitado(a) em Comissão</t>
        </is>
      </c>
      <c r="AB1479" s="2" t="inlineStr"/>
      <c r="AC1479" s="2" t="inlineStr"/>
      <c r="AD1479" s="2" t="inlineStr">
        <is>
          <t>1</t>
        </is>
      </c>
      <c r="AE1479" s="2" t="inlineStr">
        <is>
          <t>24642</t>
        </is>
      </c>
      <c r="AF1479" s="2" t="inlineStr">
        <is>
          <t>https://www.parlamento.pt/OrcamentoEstado/Paginas/DetalhePropostaAlteracao.aspx?BID=24642</t>
        </is>
      </c>
      <c r="AG1479" s="2" t="inlineStr">
        <is>
          <t>https://app.parlamento.pt/webutils/docs/doc.pdf?path=6148523063484d364c793942556b356c6443397a6158526c63793959566b6c4a544556484c3039464c7a49774d6a59794d4449314d5441774f533951515338334f574e684d5749325969316c5a6d4e6b4c54526a4f5755744f4751774f5330334e7a64694d7a4d354d6a6469595445756347526d&amp;Fich=79ca1b6b-efcd-4c9e-8d09-777b33927ba1.pdf&amp;Inline=true</t>
        </is>
      </c>
      <c r="AH1479" s="3" t="n">
        <v>46321.77847222222</v>
      </c>
      <c r="AI1479" s="3" t="n">
        <v>46321.78055555555</v>
      </c>
      <c r="AJ1479" s="2" t="inlineStr"/>
    </row>
    <row r="1480">
      <c r="A1480" s="2" t="n">
        <v>1479</v>
      </c>
      <c r="B1480" s="2" t="inlineStr">
        <is>
          <t>1397C-1</t>
        </is>
      </c>
      <c r="C1480" s="3" t="n">
        <v>45968.5875</v>
      </c>
      <c r="D1480" s="2" t="inlineStr">
        <is>
          <t>Original</t>
        </is>
      </c>
      <c r="E1480" s="2" t="inlineStr">
        <is>
          <t>PS</t>
        </is>
      </c>
      <c r="F1480" s="2" t="inlineStr">
        <is>
          <t>Aida Carvalho; António Mendonça Mendes; Eurico Brilhante Dias; José Luís Carneiro; Marina Gonçalves; Miguel Matos; Porfírio Silva; Sofia Pereira</t>
        </is>
      </c>
      <c r="G1480" s="2" t="inlineStr">
        <is>
          <t>Art. 118.º-A (aditamento)</t>
        </is>
      </c>
      <c r="H1480" s="2" t="n"/>
      <c r="I1480" s="2" t="n"/>
      <c r="J1480" s="2" t="n"/>
      <c r="K1480" s="2" t="n"/>
      <c r="L1480" s="2" t="inlineStr">
        <is>
          <t>Artigo 118.º-A (Limitação das propinas em todos os ciclos de estudo)</t>
        </is>
      </c>
      <c r="M1480" s="4" t="n"/>
      <c r="N1480" s="4" t="n"/>
      <c r="O1480" s="2" t="n"/>
      <c r="P1480" s="2" t="n"/>
      <c r="Q1480" s="2" t="n"/>
      <c r="R1480" s="2" t="n"/>
      <c r="S1480" s="2" t="inlineStr">
        <is>
          <t>Aprovado(a) em Plenário</t>
        </is>
      </c>
      <c r="T1480" s="2" t="inlineStr">
        <is>
          <t>Aprovada</t>
        </is>
      </c>
      <c r="U1480" s="2" t="inlineStr">
        <is>
          <t>Favor: CH, PS, L, PCP, BE, PAN, JPP; Contra: PSD, IL, CDS-PP</t>
        </is>
      </c>
      <c r="V1480" s="3" t="n">
        <v>45987</v>
      </c>
      <c r="W1480" s="2" t="inlineStr">
        <is>
          <t>Avocada a Plenário. AR: https://www.parlamento.pt/OrcamentoEstado/Paginas/DetalhePropostaAlteracao.aspx?BID=24643 PDF: https://app.parlamento.pt/webutils/docs/doc.pdf?path=6148523063484d364c793942556b356c6443397a6158526c63793959566b6c4a544556484c3039464c7a49774d6a59794d4449314d5441774f533951515338335a54517a4d6a557a5979316d59324d334c54526d4d6d4d744f544d354f43316d4d7a633459546c69596a55305a5449756347526d&amp;Fich=7e43253c-fcc7-4f2c-9398-f378a9bb54e2.pdf&amp;Inline=true</t>
        </is>
      </c>
      <c r="X1480" s="2" t="inlineStr">
        <is>
          <t>Educação e Ciência; Orçamento, Finanças e Administração Pública</t>
        </is>
      </c>
      <c r="Y1480" s="2" t="inlineStr">
        <is>
          <t>Articulado</t>
        </is>
      </c>
      <c r="Z1480" s="2" t="inlineStr">
        <is>
          <t>Aditamento (Artigo PPL)</t>
        </is>
      </c>
      <c r="AA1480" s="2" t="inlineStr">
        <is>
          <t>Aprovado(a) em Plenário</t>
        </is>
      </c>
      <c r="AB1480" s="2" t="inlineStr">
        <is>
          <t>S</t>
        </is>
      </c>
      <c r="AC1480" s="2" t="inlineStr">
        <is>
          <t>1</t>
        </is>
      </c>
      <c r="AD1480" s="2" t="inlineStr">
        <is>
          <t>2</t>
        </is>
      </c>
      <c r="AE1480" s="2" t="inlineStr">
        <is>
          <t>24643</t>
        </is>
      </c>
      <c r="AF1480" s="2" t="inlineStr">
        <is>
          <t>https://www.parlamento.pt/OrcamentoEstado/Paginas/DetalhePropostaAlteracao.aspx?BID=24643</t>
        </is>
      </c>
      <c r="AG1480" s="2" t="inlineStr">
        <is>
          <t>https://app.parlamento.pt/webutils/docs/doc.pdf?path=6148523063484d364c793942556b356c6443397a6158526c63793959566b6c4a544556484c3039464c7a49774d6a59794d4449314d5441774f533951515338335a54517a4d6a557a5979316d59324d334c54526d4d6d4d744f544d354f43316d4d7a633459546c69596a55305a5449756347526d&amp;Fich=7e43253c-fcc7-4f2c-9398-f378a9bb54e2.pdf&amp;Inline=true</t>
        </is>
      </c>
      <c r="AH1480" s="3" t="n">
        <v>46321.77847222222</v>
      </c>
      <c r="AI1480" s="3" t="n">
        <v>46321.78055555555</v>
      </c>
      <c r="AJ1480" s="2" t="inlineStr"/>
    </row>
    <row r="1481">
      <c r="A1481" s="2" t="n">
        <v>1480</v>
      </c>
      <c r="B1481" s="2" t="inlineStr">
        <is>
          <t>1397C-2</t>
        </is>
      </c>
      <c r="C1481" s="3" t="n">
        <v>45968.5875</v>
      </c>
      <c r="D1481" s="2" t="inlineStr">
        <is>
          <t>Original</t>
        </is>
      </c>
      <c r="E1481" s="2" t="inlineStr">
        <is>
          <t>PS</t>
        </is>
      </c>
      <c r="F1481" s="2" t="inlineStr">
        <is>
          <t>Aida Carvalho; António Mendonça Mendes; Eurico Brilhante Dias; José Luís Carneiro; Marina Gonçalves; Miguel Matos; Porfírio Silva; Sofia Pereira</t>
        </is>
      </c>
      <c r="G1481" s="2" t="inlineStr">
        <is>
          <t>Art. 118.º-B (aditamento)</t>
        </is>
      </c>
      <c r="H1481" s="2" t="n"/>
      <c r="I1481" s="2" t="n"/>
      <c r="J1481" s="2" t="n"/>
      <c r="K1481" s="2" t="n"/>
      <c r="L1481" s="2" t="inlineStr">
        <is>
          <t>Artigo 118.º-B (Levantamento e diálogo sobre o valor das propinas ciclo de estudos com grau de mestre)</t>
        </is>
      </c>
      <c r="M1481" s="4" t="n"/>
      <c r="N1481" s="4" t="n"/>
      <c r="O1481" s="2" t="n"/>
      <c r="P1481" s="2" t="n"/>
      <c r="Q1481" s="2" t="n"/>
      <c r="R1481" s="2" t="n"/>
      <c r="S1481" s="2" t="inlineStr">
        <is>
          <t>Rejeitado(a) em Comissão</t>
        </is>
      </c>
      <c r="T1481" s="2" t="inlineStr">
        <is>
          <t>Rejeitada</t>
        </is>
      </c>
      <c r="U1481" s="2" t="inlineStr">
        <is>
          <t>Favor: PS, L, PAN; Contra: PSD, CH, IL, CDS-PP; Abstenção: PCP, BE</t>
        </is>
      </c>
      <c r="V1481" s="3" t="n">
        <v>45985</v>
      </c>
      <c r="W1481" s="2" t="inlineStr">
        <is>
          <t>AR: https://www.parlamento.pt/OrcamentoEstado/Paginas/DetalhePropostaAlteracao.aspx?BID=25376 PDF: https://app.parlamento.pt/webutils/docs/doc.pdf?path=6148523063484d364c793942556b356c6443397a6158526c63793959566b6c4a544556484c3039464c7a49774d6a59794d4449314d5441774f533951515339685a6d49784f574d7a4e793077596d52684c54526c4d324d744f5749354f4330334e44677a4f44646a4f5449325a474d756347526d&amp;Fich=afb19c37-0bda-4e3c-9b98-748387c926dc.pdf&amp;Inline=true</t>
        </is>
      </c>
      <c r="X1481" s="2" t="inlineStr">
        <is>
          <t>Educação e Ciência; Orçamento, Finanças e Administração Pública</t>
        </is>
      </c>
      <c r="Y1481" s="2" t="inlineStr">
        <is>
          <t>Articulado</t>
        </is>
      </c>
      <c r="Z1481" s="2" t="inlineStr">
        <is>
          <t>Aditamento (Artigo PPL)</t>
        </is>
      </c>
      <c r="AA1481" s="2" t="inlineStr">
        <is>
          <t>Rejeitado(a) em Comissão</t>
        </is>
      </c>
      <c r="AB1481" s="2" t="inlineStr"/>
      <c r="AC1481" s="2" t="inlineStr">
        <is>
          <t>2</t>
        </is>
      </c>
      <c r="AD1481" s="2" t="inlineStr">
        <is>
          <t>1</t>
        </is>
      </c>
      <c r="AE1481" s="2" t="inlineStr">
        <is>
          <t>25376</t>
        </is>
      </c>
      <c r="AF1481" s="2" t="inlineStr">
        <is>
          <t>https://www.parlamento.pt/OrcamentoEstado/Paginas/DetalhePropostaAlteracao.aspx?BID=25376</t>
        </is>
      </c>
      <c r="AG1481" s="2" t="inlineStr">
        <is>
          <t>https://app.parlamento.pt/webutils/docs/doc.pdf?path=6148523063484d364c793942556b356c6443397a6158526c63793959566b6c4a544556484c3039464c7a49774d6a59794d4449314d5441774f533951515339685a6d49784f574d7a4e793077596d52684c54526c4d324d744f5749354f4330334e44677a4f44646a4f5449325a474d756347526d&amp;Fich=afb19c37-0bda-4e3c-9b98-748387c926dc.pdf&amp;Inline=true</t>
        </is>
      </c>
      <c r="AH1481" s="3" t="n">
        <v>46321.77847222222</v>
      </c>
      <c r="AI1481" s="3" t="n">
        <v>46321.78055555555</v>
      </c>
      <c r="AJ1481" s="2" t="inlineStr"/>
    </row>
    <row r="1482">
      <c r="A1482" s="2" t="n">
        <v>1481</v>
      </c>
      <c r="B1482" s="2" t="inlineStr">
        <is>
          <t>1398C</t>
        </is>
      </c>
      <c r="C1482" s="3" t="n">
        <v>45968.5875</v>
      </c>
      <c r="D1482" s="2" t="inlineStr">
        <is>
          <t>Original</t>
        </is>
      </c>
      <c r="E1482" s="2" t="inlineStr">
        <is>
          <t>PCP</t>
        </is>
      </c>
      <c r="F1482" s="2" t="inlineStr">
        <is>
          <t>Alfredo Maia; Paula Santos; Paulo Raimundo</t>
        </is>
      </c>
      <c r="G1482" s="2" t="inlineStr">
        <is>
          <t>Art. 28.º-A (aditamento)</t>
        </is>
      </c>
      <c r="H1482" s="2" t="n"/>
      <c r="I1482" s="2" t="n"/>
      <c r="J1482" s="2" t="n"/>
      <c r="K1482" s="2" t="n"/>
      <c r="L1482" s="2" t="inlineStr">
        <is>
          <t>Artigo 28.º-A (Integração dos trabalhadores dos centros de contacto do Instituto da Segurança Social)</t>
        </is>
      </c>
      <c r="M1482" s="4" t="n"/>
      <c r="N1482" s="4" t="n"/>
      <c r="O1482" s="2" t="n"/>
      <c r="P1482" s="2" t="n"/>
      <c r="Q1482" s="2" t="n"/>
      <c r="R1482" s="2" t="n"/>
      <c r="S1482" s="2" t="inlineStr">
        <is>
          <t>Rejeitado(a) em Comissão</t>
        </is>
      </c>
      <c r="T1482" s="2" t="inlineStr">
        <is>
          <t>Rejeitada</t>
        </is>
      </c>
      <c r="U1482" s="2" t="inlineStr">
        <is>
          <t>Favor: CH, L, PCP, BE, PAN; Contra: PSD, IL, CDS-PP; Abstenção: PS</t>
        </is>
      </c>
      <c r="V1482" s="3" t="n">
        <v>45981</v>
      </c>
      <c r="W1482" s="2" t="inlineStr">
        <is>
          <t>AR: https://www.parlamento.pt/OrcamentoEstado/Paginas/DetalhePropostaAlteracao.aspx?BID=24644 PDF: https://app.parlamento.pt/webutils/docs/doc.pdf?path=6148523063484d364c793942556b356c6443397a6158526c63793959566b6c4a544556484c3039464c7a49774d6a59794d4449314d5441774f533951515338344e444a695a6d4a6b4f4330354d544d794c5451324d7a6b744f4759324d4330314f545930596a686c4d4467794f5759756347526d&amp;Fich=842bfbd8-9132-4639-8f60-5964b8e0829f.pdf&amp;Inline=true</t>
        </is>
      </c>
      <c r="X1482" s="2" t="inlineStr">
        <is>
          <t>Trabalho, Segurança Social e Inclusão</t>
        </is>
      </c>
      <c r="Y1482" s="2" t="inlineStr">
        <is>
          <t>Articulado</t>
        </is>
      </c>
      <c r="Z1482" s="2" t="inlineStr">
        <is>
          <t>Aditamento (Artigo PPL)</t>
        </is>
      </c>
      <c r="AA1482" s="2" t="inlineStr">
        <is>
          <t>Rejeitado(a) em Comissão</t>
        </is>
      </c>
      <c r="AB1482" s="2" t="inlineStr"/>
      <c r="AC1482" s="2" t="inlineStr"/>
      <c r="AD1482" s="2" t="inlineStr">
        <is>
          <t>1</t>
        </is>
      </c>
      <c r="AE1482" s="2" t="inlineStr">
        <is>
          <t>24644</t>
        </is>
      </c>
      <c r="AF1482" s="2" t="inlineStr">
        <is>
          <t>https://www.parlamento.pt/OrcamentoEstado/Paginas/DetalhePropostaAlteracao.aspx?BID=24644</t>
        </is>
      </c>
      <c r="AG1482" s="2" t="inlineStr">
        <is>
          <t>https://app.parlamento.pt/webutils/docs/doc.pdf?path=6148523063484d364c793942556b356c6443397a6158526c63793959566b6c4a544556484c3039464c7a49774d6a59794d4449314d5441774f533951515338344e444a695a6d4a6b4f4330354d544d794c5451324d7a6b744f4759324d4330314f545930596a686c4d4467794f5759756347526d&amp;Fich=842bfbd8-9132-4639-8f60-5964b8e0829f.pdf&amp;Inline=true</t>
        </is>
      </c>
      <c r="AH1482" s="3" t="n">
        <v>46321.77847222222</v>
      </c>
      <c r="AI1482" s="3" t="n">
        <v>46321.78055555555</v>
      </c>
      <c r="AJ1482" s="2" t="inlineStr"/>
    </row>
    <row r="1483">
      <c r="A1483" s="2" t="n">
        <v>1482</v>
      </c>
      <c r="B1483" s="2" t="inlineStr">
        <is>
          <t>1399C</t>
        </is>
      </c>
      <c r="C1483" s="3" t="n">
        <v>45968.58819444444</v>
      </c>
      <c r="D1483" s="2" t="inlineStr">
        <is>
          <t>Original</t>
        </is>
      </c>
      <c r="E1483" s="2" t="inlineStr">
        <is>
          <t>PAN</t>
        </is>
      </c>
      <c r="F1483" s="2" t="inlineStr">
        <is>
          <t>Inês de Sousa Real</t>
        </is>
      </c>
      <c r="G1483" s="2" t="inlineStr">
        <is>
          <t>Art. 108.º-A (aditamento)</t>
        </is>
      </c>
      <c r="H1483" s="2" t="n"/>
      <c r="I1483" s="2" t="n"/>
      <c r="J1483" s="2" t="n"/>
      <c r="K1483" s="2" t="n"/>
      <c r="L1483" s="2" t="inlineStr">
        <is>
          <t>Artigo 108.º-A (Criação de santuários de animais)</t>
        </is>
      </c>
      <c r="M1483" s="4" t="n"/>
      <c r="N1483" s="4" t="n"/>
      <c r="O1483" s="2" t="n"/>
      <c r="P1483" s="2" t="n"/>
      <c r="Q1483" s="2" t="n"/>
      <c r="R1483" s="2" t="n"/>
      <c r="S1483" s="2" t="inlineStr">
        <is>
          <t>Rejeitado(a) em Comissão</t>
        </is>
      </c>
      <c r="T1483" s="2" t="inlineStr">
        <is>
          <t>Rejeitada</t>
        </is>
      </c>
      <c r="U1483" s="2" t="inlineStr">
        <is>
          <t>Favor: L, BE, PAN; Contra: PSD, IL, CDS-PP; Abstenção: CH, PS, PCP</t>
        </is>
      </c>
      <c r="V1483" s="3" t="n">
        <v>45982</v>
      </c>
      <c r="W1483" s="2" t="inlineStr">
        <is>
          <t>AR: https://www.parlamento.pt/OrcamentoEstado/Paginas/DetalhePropostaAlteracao.aspx?BID=24645 PDF: https://app.parlamento.pt/webutils/docs/doc.pdf?path=6148523063484d364c793942556b356c6443397a6158526c63793959566b6c4a544556484c3039464c7a49774d6a59794d4449314d5441774f53395151533877595451305a475535596930304f4759334c54526c4d445974595463304e43307a4e7a67785a54686a4d6d4d7a597a4d756347526d&amp;Fich=0a44de9b-48f7-4e06-a744-3781e8c2c3c3.pdf&amp;Inline=true</t>
        </is>
      </c>
      <c r="X1483" s="2" t="inlineStr">
        <is>
          <t>Agricultura e Pescas</t>
        </is>
      </c>
      <c r="Y1483" s="2" t="inlineStr">
        <is>
          <t>Articulado</t>
        </is>
      </c>
      <c r="Z1483" s="2" t="inlineStr">
        <is>
          <t>Aditamento (Artigo PPL)</t>
        </is>
      </c>
      <c r="AA1483" s="2" t="inlineStr">
        <is>
          <t>Rejeitado(a) em Comissão</t>
        </is>
      </c>
      <c r="AB1483" s="2" t="inlineStr"/>
      <c r="AC1483" s="2" t="inlineStr"/>
      <c r="AD1483" s="2" t="inlineStr">
        <is>
          <t>1</t>
        </is>
      </c>
      <c r="AE1483" s="2" t="inlineStr">
        <is>
          <t>24645</t>
        </is>
      </c>
      <c r="AF1483" s="2" t="inlineStr">
        <is>
          <t>https://www.parlamento.pt/OrcamentoEstado/Paginas/DetalhePropostaAlteracao.aspx?BID=24645</t>
        </is>
      </c>
      <c r="AG1483" s="2" t="inlineStr">
        <is>
          <t>https://app.parlamento.pt/webutils/docs/doc.pdf?path=6148523063484d364c793942556b356c6443397a6158526c63793959566b6c4a544556484c3039464c7a49774d6a59794d4449314d5441774f53395151533877595451305a475535596930304f4759334c54526c4d445974595463304e43307a4e7a67785a54686a4d6d4d7a597a4d756347526d&amp;Fich=0a44de9b-48f7-4e06-a744-3781e8c2c3c3.pdf&amp;Inline=true</t>
        </is>
      </c>
      <c r="AH1483" s="3" t="n">
        <v>46321.77847222222</v>
      </c>
      <c r="AI1483" s="3" t="n">
        <v>46321.78055555555</v>
      </c>
      <c r="AJ1483" s="2" t="inlineStr"/>
    </row>
    <row r="1484">
      <c r="A1484" s="2" t="n">
        <v>1483</v>
      </c>
      <c r="B1484" s="2" t="inlineStr">
        <is>
          <t>1400C</t>
        </is>
      </c>
      <c r="C1484" s="3" t="n">
        <v>45968.58819444444</v>
      </c>
      <c r="D1484" s="2" t="inlineStr">
        <is>
          <t>Original</t>
        </is>
      </c>
      <c r="E1484" s="2" t="inlineStr">
        <is>
          <t>PCP</t>
        </is>
      </c>
      <c r="F1484" s="2" t="inlineStr">
        <is>
          <t>Alfredo Maia; Paula Santos; Paulo Raimundo</t>
        </is>
      </c>
      <c r="G1484" s="2" t="inlineStr">
        <is>
          <t>Art. 38.º-A (aditamento)</t>
        </is>
      </c>
      <c r="H1484" s="2" t="n"/>
      <c r="I1484" s="2" t="n"/>
      <c r="J1484" s="2" t="n"/>
      <c r="K1484" s="2" t="n"/>
      <c r="L1484" s="2" t="inlineStr">
        <is>
          <t>Artigo 38.º-A (Atualiza o 4.º escalão e cria dois escalões de pensões mínimas e altera a percentagem de indexação aos IAS das restantes pensões)</t>
        </is>
      </c>
      <c r="M1484" s="4" t="n"/>
      <c r="N1484" s="4" t="n"/>
      <c r="O1484" s="2" t="n"/>
      <c r="P1484" s="2" t="n"/>
      <c r="Q1484" s="2" t="n"/>
      <c r="R1484" s="2" t="n"/>
      <c r="S1484" s="2" t="inlineStr">
        <is>
          <t>Rejeitado(a) em Comissão</t>
        </is>
      </c>
      <c r="T1484" s="2" t="inlineStr">
        <is>
          <t>Rejeitada</t>
        </is>
      </c>
      <c r="U1484" s="2" t="inlineStr">
        <is>
          <t>Favor: L, PCP, BE, PAN; Contra: PSD, PS, IL, CDS-PP; Abstenção: CH</t>
        </is>
      </c>
      <c r="V1484" s="3" t="n">
        <v>45981</v>
      </c>
      <c r="W1484" s="2" t="inlineStr">
        <is>
          <t>AR: https://www.parlamento.pt/OrcamentoEstado/Paginas/DetalhePropostaAlteracao.aspx?BID=24646 PDF: https://app.parlamento.pt/webutils/docs/doc.pdf?path=6148523063484d364c793942556b356c6443397a6158526c63793959566b6c4a544556484c3039464c7a49774d6a59794d4449314d5441774f5339515153396d4d54566a4e4745784e7930785954526c4c54526a597a4d744f474e69597930795a474d35593251774e4755344f5455756347526d&amp;Fich=f15c4a17-1a4e-4cc3-8cbc-2dc9cd04e895.pdf&amp;Inline=true</t>
        </is>
      </c>
      <c r="X1484" s="2" t="inlineStr">
        <is>
          <t>Trabalho, Segurança Social e Inclusão</t>
        </is>
      </c>
      <c r="Y1484" s="2" t="inlineStr">
        <is>
          <t>Articulado</t>
        </is>
      </c>
      <c r="Z1484" s="2" t="inlineStr">
        <is>
          <t>Aditamento (Artigo PPL)</t>
        </is>
      </c>
      <c r="AA1484" s="2" t="inlineStr">
        <is>
          <t>Rejeitado(a) em Comissão</t>
        </is>
      </c>
      <c r="AB1484" s="2" t="inlineStr"/>
      <c r="AC1484" s="2" t="inlineStr"/>
      <c r="AD1484" s="2" t="inlineStr">
        <is>
          <t>1</t>
        </is>
      </c>
      <c r="AE1484" s="2" t="inlineStr">
        <is>
          <t>24646</t>
        </is>
      </c>
      <c r="AF1484" s="2" t="inlineStr">
        <is>
          <t>https://www.parlamento.pt/OrcamentoEstado/Paginas/DetalhePropostaAlteracao.aspx?BID=24646</t>
        </is>
      </c>
      <c r="AG1484" s="2" t="inlineStr">
        <is>
          <t>https://app.parlamento.pt/webutils/docs/doc.pdf?path=6148523063484d364c793942556b356c6443397a6158526c63793959566b6c4a544556484c3039464c7a49774d6a59794d4449314d5441774f5339515153396d4d54566a4e4745784e7930785954526c4c54526a597a4d744f474e69597930795a474d35593251774e4755344f5455756347526d&amp;Fich=f15c4a17-1a4e-4cc3-8cbc-2dc9cd04e895.pdf&amp;Inline=true</t>
        </is>
      </c>
      <c r="AH1484" s="3" t="n">
        <v>46321.77847222222</v>
      </c>
      <c r="AI1484" s="3" t="n">
        <v>46321.78055555555</v>
      </c>
      <c r="AJ1484" s="2" t="inlineStr"/>
    </row>
    <row r="1485">
      <c r="A1485" s="2" t="n">
        <v>1484</v>
      </c>
      <c r="B1485" s="2" t="inlineStr">
        <is>
          <t>1401C</t>
        </is>
      </c>
      <c r="C1485" s="3" t="n">
        <v>45968.58819444444</v>
      </c>
      <c r="D1485" s="2" t="inlineStr">
        <is>
          <t>Original</t>
        </is>
      </c>
      <c r="E1485" s="2" t="inlineStr">
        <is>
          <t>PS</t>
        </is>
      </c>
      <c r="F1485" s="2" t="inlineStr">
        <is>
          <t>Ana Bernardo; António Mendonça Mendes; Eurico Brilhante Dias; José Luís Carneiro; Marina Gonçalves; Miguel Cabrita; Miguel Matos; Sofia Pereira</t>
        </is>
      </c>
      <c r="G1485" s="2" t="inlineStr">
        <is>
          <t>Art. 61.º (aditamento)</t>
        </is>
      </c>
      <c r="H1485" s="2" t="n"/>
      <c r="I1485" s="2" t="n"/>
      <c r="J1485" s="2" t="n"/>
      <c r="K1485" s="2" t="n"/>
      <c r="L1485" s="2" t="inlineStr">
        <is>
          <t>Alínea c), N.º 2, N.º 17, Artigo 43.º do Código do IRC</t>
        </is>
      </c>
      <c r="M1485" s="4" t="n"/>
      <c r="N1485" s="4" t="n"/>
      <c r="O1485" s="2" t="n"/>
      <c r="P1485" s="2" t="n"/>
      <c r="Q1485" s="2" t="n"/>
      <c r="R1485" s="2" t="n"/>
      <c r="S1485" s="2" t="inlineStr">
        <is>
          <t>Aprovado(a) em Comissão</t>
        </is>
      </c>
      <c r="T1485" s="2" t="inlineStr">
        <is>
          <t>Aprovada</t>
        </is>
      </c>
      <c r="U1485" s="2" t="inlineStr">
        <is>
          <t>Favor: CH, PS, IL, L, PAN; Contra: PSD, PCP, CDS-PP, BE</t>
        </is>
      </c>
      <c r="V1485" s="3" t="n">
        <v>45981</v>
      </c>
      <c r="W1485" s="2" t="inlineStr">
        <is>
          <t>AR: https://www.parlamento.pt/OrcamentoEstado/Paginas/DetalhePropostaAlteracao.aspx?BID=24647 PDF: https://app.parlamento.pt/webutils/docs/doc.pdf?path=6148523063484d364c793942556b356c6443397a6158526c63793959566b6c4a544556484c3039464c7a49774d6a59794d4449314d5441774f533951515338774d5451334f5759354d43316c5a544a6d4c54526c5a575574596d4a685969316a4e6a526c4f47566c4e54557a4d5441756347526d&amp;Fich=01479f90-ee2f-4eee-bbab-c64e8ee55310.pdf&amp;Inline=true</t>
        </is>
      </c>
      <c r="X1485" s="2" t="inlineStr">
        <is>
          <t>Orçamento, Finanças e Administração Pública; Trabalho, Segurança Social e Inclusão</t>
        </is>
      </c>
      <c r="Y1485" s="2" t="inlineStr">
        <is>
          <t>Articulado</t>
        </is>
      </c>
      <c r="Z1485" s="2" t="inlineStr">
        <is>
          <t>Aditamento (Números e Alíneas)</t>
        </is>
      </c>
      <c r="AA1485" s="2" t="inlineStr">
        <is>
          <t>Aprovado(a) em Comissão</t>
        </is>
      </c>
      <c r="AB1485" s="2" t="inlineStr"/>
      <c r="AC1485" s="2" t="inlineStr"/>
      <c r="AD1485" s="2" t="inlineStr">
        <is>
          <t>1</t>
        </is>
      </c>
      <c r="AE1485" s="2" t="inlineStr">
        <is>
          <t>24647</t>
        </is>
      </c>
      <c r="AF1485" s="2" t="inlineStr">
        <is>
          <t>https://www.parlamento.pt/OrcamentoEstado/Paginas/DetalhePropostaAlteracao.aspx?BID=24647</t>
        </is>
      </c>
      <c r="AG1485" s="2" t="inlineStr">
        <is>
          <t>https://app.parlamento.pt/webutils/docs/doc.pdf?path=6148523063484d364c793942556b356c6443397a6158526c63793959566b6c4a544556484c3039464c7a49774d6a59794d4449314d5441774f533951515338774d5451334f5759354d43316c5a544a6d4c54526c5a575574596d4a685969316a4e6a526c4f47566c4e54557a4d5441756347526d&amp;Fich=01479f90-ee2f-4eee-bbab-c64e8ee55310.pdf&amp;Inline=true</t>
        </is>
      </c>
      <c r="AH1485" s="3" t="n">
        <v>46321.77847222222</v>
      </c>
      <c r="AI1485" s="3" t="n">
        <v>46321.78055555555</v>
      </c>
      <c r="AJ1485" s="2" t="inlineStr"/>
    </row>
    <row r="1486">
      <c r="A1486" s="2" t="n">
        <v>1485</v>
      </c>
      <c r="B1486" s="2" t="inlineStr">
        <is>
          <t>1402C</t>
        </is>
      </c>
      <c r="C1486" s="3" t="n">
        <v>45968.58888888889</v>
      </c>
      <c r="D1486" s="2" t="inlineStr">
        <is>
          <t>Original</t>
        </is>
      </c>
      <c r="E1486" s="2" t="inlineStr">
        <is>
          <t>PAN</t>
        </is>
      </c>
      <c r="F1486" s="2" t="inlineStr">
        <is>
          <t>Inês de Sousa Real</t>
        </is>
      </c>
      <c r="G1486" s="2" t="inlineStr">
        <is>
          <t>Art. 12.º-A (aditamento)</t>
        </is>
      </c>
      <c r="H1486" s="2" t="n"/>
      <c r="I1486" s="2" t="n"/>
      <c r="J1486" s="2" t="n"/>
      <c r="K1486" s="2" t="n"/>
      <c r="L1486" s="2" t="inlineStr">
        <is>
          <t>Artigo 12.º-A (Transparência nas políticas de cooperação para o desenvolvimento)</t>
        </is>
      </c>
      <c r="M1486" s="4" t="n"/>
      <c r="N1486" s="4" t="n"/>
      <c r="O1486" s="2" t="n"/>
      <c r="P1486" s="2" t="n"/>
      <c r="Q1486" s="2" t="n"/>
      <c r="R1486" s="2" t="n"/>
      <c r="S1486" s="2" t="inlineStr">
        <is>
          <t>Rejeitado(a) em Comissão</t>
        </is>
      </c>
      <c r="T1486" s="2" t="inlineStr">
        <is>
          <t>Rejeitada</t>
        </is>
      </c>
      <c r="U1486" s="2" t="inlineStr">
        <is>
          <t>Favor: PS, IL, L, PCP, BE, PAN; Contra: PSD, CH, CDS-PP</t>
        </is>
      </c>
      <c r="V1486" s="3" t="n">
        <v>45981</v>
      </c>
      <c r="W1486" s="2" t="inlineStr">
        <is>
          <t>AR: https://www.parlamento.pt/OrcamentoEstado/Paginas/DetalhePropostaAlteracao.aspx?BID=24648 PDF: https://app.parlamento.pt/webutils/docs/doc.pdf?path=6148523063484d364c793942556b356c6443397a6158526c63793959566b6c4a544556484c3039464c7a49774d6a59794d4449314d5441774f533951515338794d6a4d7a59546b784d6930304d6a45794c54526c596a63744f4445314f43316c597a63784d32466b4d546b324f446b756347526d&amp;Fich=2233a912-4212-4eb7-8158-ec713ad19689.pdf&amp;Inline=true</t>
        </is>
      </c>
      <c r="X1486" s="2" t="inlineStr">
        <is>
          <t>Negócios Estrangeiros e Comunidades Portuguesas</t>
        </is>
      </c>
      <c r="Y1486" s="2" t="inlineStr">
        <is>
          <t>Articulado</t>
        </is>
      </c>
      <c r="Z1486" s="2" t="inlineStr">
        <is>
          <t>Aditamento (Artigo PPL)</t>
        </is>
      </c>
      <c r="AA1486" s="2" t="inlineStr">
        <is>
          <t>Rejeitado(a) em Comissão</t>
        </is>
      </c>
      <c r="AB1486" s="2" t="inlineStr"/>
      <c r="AC1486" s="2" t="inlineStr"/>
      <c r="AD1486" s="2" t="inlineStr">
        <is>
          <t>1</t>
        </is>
      </c>
      <c r="AE1486" s="2" t="inlineStr">
        <is>
          <t>24648</t>
        </is>
      </c>
      <c r="AF1486" s="2" t="inlineStr">
        <is>
          <t>https://www.parlamento.pt/OrcamentoEstado/Paginas/DetalhePropostaAlteracao.aspx?BID=24648</t>
        </is>
      </c>
      <c r="AG1486" s="2" t="inlineStr">
        <is>
          <t>https://app.parlamento.pt/webutils/docs/doc.pdf?path=6148523063484d364c793942556b356c6443397a6158526c63793959566b6c4a544556484c3039464c7a49774d6a59794d4449314d5441774f533951515338794d6a4d7a59546b784d6930304d6a45794c54526c596a63744f4445314f43316c597a63784d32466b4d546b324f446b756347526d&amp;Fich=2233a912-4212-4eb7-8158-ec713ad19689.pdf&amp;Inline=true</t>
        </is>
      </c>
      <c r="AH1486" s="3" t="n">
        <v>46321.77847222222</v>
      </c>
      <c r="AI1486" s="3" t="n">
        <v>46321.78055555555</v>
      </c>
      <c r="AJ1486" s="2" t="inlineStr"/>
    </row>
    <row r="1487">
      <c r="A1487" s="2" t="n">
        <v>1486</v>
      </c>
      <c r="B1487" s="2" t="inlineStr">
        <is>
          <t>1403C</t>
        </is>
      </c>
      <c r="C1487" s="3" t="n">
        <v>45968.58888888889</v>
      </c>
      <c r="D1487" s="2" t="inlineStr">
        <is>
          <t>Original</t>
        </is>
      </c>
      <c r="E1487" s="2" t="inlineStr">
        <is>
          <t>PCP</t>
        </is>
      </c>
      <c r="F1487" s="2" t="inlineStr">
        <is>
          <t>Alfredo Maia; Paula Santos; Paulo Raimundo</t>
        </is>
      </c>
      <c r="G1487" s="2" t="inlineStr">
        <is>
          <t>Art. 38.º-A (aditamento)</t>
        </is>
      </c>
      <c r="H1487" s="2" t="n"/>
      <c r="I1487" s="2" t="n"/>
      <c r="J1487" s="2" t="n"/>
      <c r="K1487" s="2" t="n"/>
      <c r="L1487" s="2" t="inlineStr">
        <is>
          <t>Artigo 38.º-A (Elimina o fator de sustentabilidade e outras penalizações aos montantes das pensões antecipadas e recalcula os montantes das pensões dos trabalhadores que já acederam à reforma)</t>
        </is>
      </c>
      <c r="M1487" s="4" t="n"/>
      <c r="N1487" s="4" t="n"/>
      <c r="O1487" s="2" t="n"/>
      <c r="P1487" s="2" t="n"/>
      <c r="Q1487" s="2" t="n"/>
      <c r="R1487" s="2" t="n"/>
      <c r="S1487" s="2" t="inlineStr">
        <is>
          <t>Rejeitado(a) em Comissão</t>
        </is>
      </c>
      <c r="T1487" s="2" t="inlineStr">
        <is>
          <t>Rejeitada</t>
        </is>
      </c>
      <c r="U1487" s="2" t="inlineStr">
        <is>
          <t>Favor: L, PCP, BE, PAN; Contra: PSD, PS, IL, CDS-PP; Abstenção: CH</t>
        </is>
      </c>
      <c r="V1487" s="3" t="n">
        <v>45981</v>
      </c>
      <c r="W1487" s="2" t="inlineStr">
        <is>
          <t>AR: https://www.parlamento.pt/OrcamentoEstado/Paginas/DetalhePropostaAlteracao.aspx?BID=24649 PDF: https://app.parlamento.pt/webutils/docs/doc.pdf?path=6148523063484d364c793942556b356c6443397a6158526c63793959566b6c4a544556484c3039464c7a49774d6a59794d4449314d5441774f5339515153396c596a5930597a686c5a4331694f5749354c545179596d4574595749314d5330305a6a466b5a57566c597a677a595759756347526d&amp;Fich=eb64c8ed-b9b9-42ba-ab51-4f1deeec83af.pdf&amp;Inline=true</t>
        </is>
      </c>
      <c r="X1487" s="2" t="inlineStr">
        <is>
          <t>Trabalho, Segurança Social e Inclusão</t>
        </is>
      </c>
      <c r="Y1487" s="2" t="inlineStr">
        <is>
          <t>Articulado</t>
        </is>
      </c>
      <c r="Z1487" s="2" t="inlineStr">
        <is>
          <t>Aditamento (Artigo PPL)</t>
        </is>
      </c>
      <c r="AA1487" s="2" t="inlineStr">
        <is>
          <t>Rejeitado(a) em Comissão</t>
        </is>
      </c>
      <c r="AB1487" s="2" t="inlineStr"/>
      <c r="AC1487" s="2" t="inlineStr"/>
      <c r="AD1487" s="2" t="inlineStr">
        <is>
          <t>1</t>
        </is>
      </c>
      <c r="AE1487" s="2" t="inlineStr">
        <is>
          <t>24649</t>
        </is>
      </c>
      <c r="AF1487" s="2" t="inlineStr">
        <is>
          <t>https://www.parlamento.pt/OrcamentoEstado/Paginas/DetalhePropostaAlteracao.aspx?BID=24649</t>
        </is>
      </c>
      <c r="AG1487" s="2" t="inlineStr">
        <is>
          <t>https://app.parlamento.pt/webutils/docs/doc.pdf?path=6148523063484d364c793942556b356c6443397a6158526c63793959566b6c4a544556484c3039464c7a49774d6a59794d4449314d5441774f5339515153396c596a5930597a686c5a4331694f5749354c545179596d4574595749314d5330305a6a466b5a57566c597a677a595759756347526d&amp;Fich=eb64c8ed-b9b9-42ba-ab51-4f1deeec83af.pdf&amp;Inline=true</t>
        </is>
      </c>
      <c r="AH1487" s="3" t="n">
        <v>46321.77847222222</v>
      </c>
      <c r="AI1487" s="3" t="n">
        <v>46321.78055555555</v>
      </c>
      <c r="AJ1487" s="2" t="inlineStr"/>
    </row>
    <row r="1488">
      <c r="A1488" s="2" t="n">
        <v>1487</v>
      </c>
      <c r="B1488" s="2" t="inlineStr">
        <is>
          <t>1404C</t>
        </is>
      </c>
      <c r="C1488" s="3" t="n">
        <v>45968.58958333333</v>
      </c>
      <c r="D1488" s="2" t="inlineStr">
        <is>
          <t>Original</t>
        </is>
      </c>
      <c r="E1488" s="2" t="inlineStr">
        <is>
          <t>PCP</t>
        </is>
      </c>
      <c r="F1488" s="2" t="inlineStr">
        <is>
          <t>Alfredo Maia; Paula Santos; Paulo Raimundo</t>
        </is>
      </c>
      <c r="G1488" s="2" t="inlineStr">
        <is>
          <t>Art. 38.º-A (aditamento)</t>
        </is>
      </c>
      <c r="H1488" s="2" t="n"/>
      <c r="I1488" s="2" t="n"/>
      <c r="J1488" s="2" t="n"/>
      <c r="K1488" s="2" t="n"/>
      <c r="L1488" s="2" t="inlineStr">
        <is>
          <t>Artigo 38.º-A (Recálculo das pensões)</t>
        </is>
      </c>
      <c r="M1488" s="4" t="n"/>
      <c r="N1488" s="4" t="n"/>
      <c r="O1488" s="2" t="n"/>
      <c r="P1488" s="2" t="n"/>
      <c r="Q1488" s="2" t="n"/>
      <c r="R1488" s="2" t="n"/>
      <c r="S1488" s="2" t="inlineStr">
        <is>
          <t>Rejeitado(a) em Comissão</t>
        </is>
      </c>
      <c r="T1488" s="2" t="inlineStr">
        <is>
          <t>Rejeitada</t>
        </is>
      </c>
      <c r="U1488" s="2" t="inlineStr">
        <is>
          <t>Favor: CH, L, PCP, BE, PAN; Contra: PSD, PS, IL, CDS-PP</t>
        </is>
      </c>
      <c r="V1488" s="3" t="n">
        <v>45981</v>
      </c>
      <c r="W1488" s="2" t="inlineStr">
        <is>
          <t>AR: https://www.parlamento.pt/OrcamentoEstado/Paginas/DetalhePropostaAlteracao.aspx?BID=24650 PDF: https://app.parlamento.pt/webutils/docs/doc.pdf?path=6148523063484d364c793942556b356c6443397a6158526c63793959566b6c4a544556484c3039464c7a49774d6a59794d4449314d5441774f5339515153396d4d574d794d474d334e5330304f4446694c5451354d5459744f4445794d43316c4e324d334e44677a597a4e6c5a5445756347526d&amp;Fich=f1c20c75-481b-4916-8120-e7c7483c3ee1.pdf&amp;Inline=true</t>
        </is>
      </c>
      <c r="X1488" s="2" t="inlineStr">
        <is>
          <t>Trabalho, Segurança Social e Inclusão</t>
        </is>
      </c>
      <c r="Y1488" s="2" t="inlineStr">
        <is>
          <t>Articulado</t>
        </is>
      </c>
      <c r="Z1488" s="2" t="inlineStr">
        <is>
          <t>Aditamento (Artigo PPL)</t>
        </is>
      </c>
      <c r="AA1488" s="2" t="inlineStr">
        <is>
          <t>Rejeitado(a) em Comissão</t>
        </is>
      </c>
      <c r="AB1488" s="2" t="inlineStr"/>
      <c r="AC1488" s="2" t="inlineStr"/>
      <c r="AD1488" s="2" t="inlineStr">
        <is>
          <t>1</t>
        </is>
      </c>
      <c r="AE1488" s="2" t="inlineStr">
        <is>
          <t>24650</t>
        </is>
      </c>
      <c r="AF1488" s="2" t="inlineStr">
        <is>
          <t>https://www.parlamento.pt/OrcamentoEstado/Paginas/DetalhePropostaAlteracao.aspx?BID=24650</t>
        </is>
      </c>
      <c r="AG1488" s="2" t="inlineStr">
        <is>
          <t>https://app.parlamento.pt/webutils/docs/doc.pdf?path=6148523063484d364c793942556b356c6443397a6158526c63793959566b6c4a544556484c3039464c7a49774d6a59794d4449314d5441774f5339515153396d4d574d794d474d334e5330304f4446694c5451354d5459744f4445794d43316c4e324d334e44677a597a4e6c5a5445756347526d&amp;Fich=f1c20c75-481b-4916-8120-e7c7483c3ee1.pdf&amp;Inline=true</t>
        </is>
      </c>
      <c r="AH1488" s="3" t="n">
        <v>46321.77847222222</v>
      </c>
      <c r="AI1488" s="3" t="n">
        <v>46321.78055555555</v>
      </c>
      <c r="AJ1488" s="2" t="inlineStr"/>
    </row>
    <row r="1489">
      <c r="A1489" s="2" t="n">
        <v>1488</v>
      </c>
      <c r="B1489" s="2" t="inlineStr">
        <is>
          <t>1405C-1</t>
        </is>
      </c>
      <c r="C1489" s="3" t="n">
        <v>45968.58958333333</v>
      </c>
      <c r="D1489" s="2" t="inlineStr">
        <is>
          <t>Original</t>
        </is>
      </c>
      <c r="E1489" s="2" t="inlineStr">
        <is>
          <t>PAN</t>
        </is>
      </c>
      <c r="F1489" s="2" t="inlineStr">
        <is>
          <t>Inês de Sousa Real</t>
        </is>
      </c>
      <c r="G1489" s="2" t="inlineStr">
        <is>
          <t>Art. 108.º-A (aditamento)</t>
        </is>
      </c>
      <c r="H1489" s="2" t="n"/>
      <c r="I1489" s="2" t="n"/>
      <c r="J1489" s="2" t="n"/>
      <c r="K1489" s="2" t="n"/>
      <c r="L1489" s="2" t="inlineStr">
        <is>
          <t>Artigo 108.º-A (Alteração ao Código do Trabalho)</t>
        </is>
      </c>
      <c r="M1489" s="4" t="n"/>
      <c r="N1489" s="4" t="n"/>
      <c r="O1489" s="2" t="n"/>
      <c r="P1489" s="2" t="n"/>
      <c r="Q1489" s="2" t="n"/>
      <c r="R1489" s="2" t="n"/>
      <c r="S1489" s="2" t="inlineStr">
        <is>
          <t>Rejeitado(a) em Comissão</t>
        </is>
      </c>
      <c r="T1489" s="2" t="inlineStr">
        <is>
          <t>Rejeitada</t>
        </is>
      </c>
      <c r="U1489" s="2" t="inlineStr">
        <is>
          <t>Favor: L, BE, PAN; Contra: PSD, IL, PCP, CDS-PP; Abstenção: CH, PS</t>
        </is>
      </c>
      <c r="V1489" s="3" t="n">
        <v>45982</v>
      </c>
      <c r="W1489" s="2" t="inlineStr">
        <is>
          <t>AR: https://www.parlamento.pt/OrcamentoEstado/Paginas/DetalhePropostaAlteracao.aspx?BID=24651 PDF: https://app.parlamento.pt/webutils/docs/doc.pdf?path=6148523063484d364c793942556b356c6443397a6158526c63793959566b6c4a544556484c3039464c7a49774d6a59794d4449314d5441774f533951515338315a4755344f5759305969316c596a686b4c54526b4f5459745957526c597930794d445133596d5178597a6b344e6a41756347526d&amp;Fich=5de89f4b-eb8d-4d96-adec-2047bd1c9860.pdf&amp;Inline=true</t>
        </is>
      </c>
      <c r="X1489" s="2" t="inlineStr">
        <is>
          <t>Trabalho, Segurança Social e Inclusão</t>
        </is>
      </c>
      <c r="Y1489" s="2" t="inlineStr">
        <is>
          <t>Articulado</t>
        </is>
      </c>
      <c r="Z1489" s="2" t="inlineStr">
        <is>
          <t>Aditamento (Artigo PPL)</t>
        </is>
      </c>
      <c r="AA1489" s="2" t="inlineStr">
        <is>
          <t>Rejeitado(a) em Comissão</t>
        </is>
      </c>
      <c r="AB1489" s="2" t="inlineStr"/>
      <c r="AC1489" s="2" t="inlineStr">
        <is>
          <t>1</t>
        </is>
      </c>
      <c r="AD1489" s="2" t="inlineStr">
        <is>
          <t>1</t>
        </is>
      </c>
      <c r="AE1489" s="2" t="inlineStr">
        <is>
          <t>24651</t>
        </is>
      </c>
      <c r="AF1489" s="2" t="inlineStr">
        <is>
          <t>https://www.parlamento.pt/OrcamentoEstado/Paginas/DetalhePropostaAlteracao.aspx?BID=24651</t>
        </is>
      </c>
      <c r="AG1489" s="2" t="inlineStr">
        <is>
          <t>https://app.parlamento.pt/webutils/docs/doc.pdf?path=6148523063484d364c793942556b356c6443397a6158526c63793959566b6c4a544556484c3039464c7a49774d6a59794d4449314d5441774f533951515338315a4755344f5759305969316c596a686b4c54526b4f5459745957526c597930794d445133596d5178597a6b344e6a41756347526d&amp;Fich=5de89f4b-eb8d-4d96-adec-2047bd1c9860.pdf&amp;Inline=true</t>
        </is>
      </c>
      <c r="AH1489" s="3" t="n">
        <v>46321.77847222222</v>
      </c>
      <c r="AI1489" s="3" t="n">
        <v>46321.78055555555</v>
      </c>
      <c r="AJ1489" s="2" t="inlineStr"/>
    </row>
    <row r="1490">
      <c r="A1490" s="2" t="n">
        <v>1489</v>
      </c>
      <c r="B1490" s="2" t="inlineStr">
        <is>
          <t>1405C-2</t>
        </is>
      </c>
      <c r="C1490" s="3" t="n">
        <v>45968.58958333333</v>
      </c>
      <c r="D1490" s="2" t="inlineStr">
        <is>
          <t>Original</t>
        </is>
      </c>
      <c r="E1490" s="2" t="inlineStr">
        <is>
          <t>PAN</t>
        </is>
      </c>
      <c r="F1490" s="2" t="inlineStr">
        <is>
          <t>Inês de Sousa Real</t>
        </is>
      </c>
      <c r="G1490" s="2" t="inlineStr">
        <is>
          <t>Art. 108.º-B (aditamento)</t>
        </is>
      </c>
      <c r="H1490" s="2" t="n"/>
      <c r="I1490" s="2" t="n"/>
      <c r="J1490" s="2" t="n"/>
      <c r="K1490" s="2" t="n"/>
      <c r="L1490" s="2" t="inlineStr">
        <is>
          <t>Artigo 108.º-B (Alterações à Lei Geral do Trabalho em Funções Públicas)</t>
        </is>
      </c>
      <c r="M1490" s="4" t="n"/>
      <c r="N1490" s="4" t="n"/>
      <c r="O1490" s="2" t="n"/>
      <c r="P1490" s="2" t="n"/>
      <c r="Q1490" s="2" t="n"/>
      <c r="R1490" s="2" t="n"/>
      <c r="S1490" s="2" t="inlineStr">
        <is>
          <t>Rejeitado(a) em Comissão</t>
        </is>
      </c>
      <c r="T1490" s="2" t="inlineStr">
        <is>
          <t>Rejeitada</t>
        </is>
      </c>
      <c r="U1490" s="2" t="inlineStr">
        <is>
          <t>Favor: L, PCP, BE; Contra: PSD, IL, CDS-PP, PAN; Abstenção: CH, PS</t>
        </is>
      </c>
      <c r="V1490" s="3" t="n">
        <v>45982</v>
      </c>
      <c r="W1490" s="2" t="inlineStr">
        <is>
          <t>AR: https://www.parlamento.pt/OrcamentoEstado/Paginas/DetalhePropostaAlteracao.aspx?BID=25380 PDF: https://app.parlamento.pt/webutils/docs/doc.pdf?path=6148523063484d364c793942556b356c6443397a6158526c63793959566b6c4a544556484c3039464c7a49774d6a59794d4449314d5441774f533951515338795a545a68596a4e6d595330344d4455354c5451334d7a49744f444d304e4330785a57597a4d6a5177595755344d4749756347526d&amp;Fich=2e6ab3fa-8059-4732-8344-1ef3240ae80b.pdf&amp;Inline=true</t>
        </is>
      </c>
      <c r="X1490" s="2" t="inlineStr">
        <is>
          <t>Trabalho, Segurança Social e Inclusão</t>
        </is>
      </c>
      <c r="Y1490" s="2" t="inlineStr">
        <is>
          <t>Articulado</t>
        </is>
      </c>
      <c r="Z1490" s="2" t="inlineStr">
        <is>
          <t>Aditamento (Artigo PPL)</t>
        </is>
      </c>
      <c r="AA1490" s="2" t="inlineStr">
        <is>
          <t>Rejeitado(a) em Comissão</t>
        </is>
      </c>
      <c r="AB1490" s="2" t="inlineStr"/>
      <c r="AC1490" s="2" t="inlineStr">
        <is>
          <t>2</t>
        </is>
      </c>
      <c r="AD1490" s="2" t="inlineStr">
        <is>
          <t>1</t>
        </is>
      </c>
      <c r="AE1490" s="2" t="inlineStr">
        <is>
          <t>25380</t>
        </is>
      </c>
      <c r="AF1490" s="2" t="inlineStr">
        <is>
          <t>https://www.parlamento.pt/OrcamentoEstado/Paginas/DetalhePropostaAlteracao.aspx?BID=25380</t>
        </is>
      </c>
      <c r="AG1490" s="2" t="inlineStr">
        <is>
          <t>https://app.parlamento.pt/webutils/docs/doc.pdf?path=6148523063484d364c793942556b356c6443397a6158526c63793959566b6c4a544556484c3039464c7a49774d6a59794d4449314d5441774f533951515338795a545a68596a4e6d595330344d4455354c5451334d7a49744f444d304e4330785a57597a4d6a5177595755344d4749756347526d&amp;Fich=2e6ab3fa-8059-4732-8344-1ef3240ae80b.pdf&amp;Inline=true</t>
        </is>
      </c>
      <c r="AH1490" s="3" t="n">
        <v>46321.77847222222</v>
      </c>
      <c r="AI1490" s="3" t="n">
        <v>46321.78055555555</v>
      </c>
      <c r="AJ1490" s="2" t="inlineStr"/>
    </row>
    <row r="1491">
      <c r="A1491" s="2" t="n">
        <v>1490</v>
      </c>
      <c r="B1491" s="2" t="inlineStr">
        <is>
          <t>1406C</t>
        </is>
      </c>
      <c r="C1491" s="3" t="n">
        <v>45968.58958333333</v>
      </c>
      <c r="D1491" s="2" t="inlineStr">
        <is>
          <t>Original</t>
        </is>
      </c>
      <c r="E1491" s="2" t="inlineStr">
        <is>
          <t>PS</t>
        </is>
      </c>
      <c r="F1491" s="2" t="inlineStr">
        <is>
          <t>Ana Bernardo; António Mendonça Mendes; Eurico Brilhante Dias; José Luís Carneiro; Marina Gonçalves; Miguel Cabrita; Miguel Matos; Sofia Pereira</t>
        </is>
      </c>
      <c r="G1491" s="2" t="inlineStr">
        <is>
          <t>Art. 136.º-A (aditamento)</t>
        </is>
      </c>
      <c r="H1491" s="2" t="n"/>
      <c r="I1491" s="2" t="n"/>
      <c r="J1491" s="2" t="n"/>
      <c r="K1491" s="2" t="n"/>
      <c r="L1491" s="2" t="inlineStr">
        <is>
          <t>Artigo 136.º-A (Programa de pleno emprego jovem)</t>
        </is>
      </c>
      <c r="M1491" s="4" t="n"/>
      <c r="N1491" s="4" t="n"/>
      <c r="O1491" s="2" t="n"/>
      <c r="P1491" s="2" t="n"/>
      <c r="Q1491" s="2" t="n"/>
      <c r="R1491" s="2" t="n"/>
      <c r="S1491" s="2" t="inlineStr">
        <is>
          <t>Rejeitado(a) em Comissão</t>
        </is>
      </c>
      <c r="T1491" s="2" t="inlineStr">
        <is>
          <t>Rejeitada</t>
        </is>
      </c>
      <c r="U1491" s="2" t="inlineStr">
        <is>
          <t>Favor: PS, L, BE, PAN; Contra: PSD, PCP, CDS-PP; Abstenção: CH, IL</t>
        </is>
      </c>
      <c r="V1491" s="3" t="n">
        <v>45987</v>
      </c>
      <c r="W1491" s="2" t="inlineStr">
        <is>
          <t>AR: https://www.parlamento.pt/OrcamentoEstado/Paginas/DetalhePropostaAlteracao.aspx?BID=24652 PDF: https://app.parlamento.pt/webutils/docs/doc.pdf?path=6148523063484d364c793942556b356c6443397a6158526c63793959566b6c4a544556484c3039464c7a49774d6a59794d4449314d5441774f533951515338784f4759304d475268595330324d4749334c5451784e546374596d566b5a53316d596d55325a6a49344e6d49344e444d756347526d&amp;Fich=18f40daa-60b7-4157-bede-fbe6f286b843.pdf&amp;Inline=true</t>
        </is>
      </c>
      <c r="X1491" s="2" t="inlineStr">
        <is>
          <t>Orçamento, Finanças e Administração Pública; Trabalho, Segurança Social e Inclusão</t>
        </is>
      </c>
      <c r="Y1491" s="2" t="inlineStr">
        <is>
          <t>Articulado</t>
        </is>
      </c>
      <c r="Z1491" s="2" t="inlineStr">
        <is>
          <t>Aditamento (Artigo PPL)</t>
        </is>
      </c>
      <c r="AA1491" s="2" t="inlineStr">
        <is>
          <t>Rejeitado(a) em Comissão</t>
        </is>
      </c>
      <c r="AB1491" s="2" t="inlineStr"/>
      <c r="AC1491" s="2" t="inlineStr"/>
      <c r="AD1491" s="2" t="inlineStr">
        <is>
          <t>1</t>
        </is>
      </c>
      <c r="AE1491" s="2" t="inlineStr">
        <is>
          <t>24652</t>
        </is>
      </c>
      <c r="AF1491" s="2" t="inlineStr">
        <is>
          <t>https://www.parlamento.pt/OrcamentoEstado/Paginas/DetalhePropostaAlteracao.aspx?BID=24652</t>
        </is>
      </c>
      <c r="AG1491" s="2" t="inlineStr">
        <is>
          <t>https://app.parlamento.pt/webutils/docs/doc.pdf?path=6148523063484d364c793942556b356c6443397a6158526c63793959566b6c4a544556484c3039464c7a49774d6a59794d4449314d5441774f533951515338784f4759304d475268595330324d4749334c5451784e546374596d566b5a53316d596d55325a6a49344e6d49344e444d756347526d&amp;Fich=18f40daa-60b7-4157-bede-fbe6f286b843.pdf&amp;Inline=true</t>
        </is>
      </c>
      <c r="AH1491" s="3" t="n">
        <v>46321.77847222222</v>
      </c>
      <c r="AI1491" s="3" t="n">
        <v>46321.78055555555</v>
      </c>
      <c r="AJ1491" s="2" t="inlineStr"/>
    </row>
    <row r="1492">
      <c r="A1492" s="2" t="n">
        <v>1491</v>
      </c>
      <c r="B1492" s="2" t="inlineStr">
        <is>
          <t>1407C</t>
        </is>
      </c>
      <c r="C1492" s="3" t="n">
        <v>45968.59027777778</v>
      </c>
      <c r="D1492" s="2" t="inlineStr">
        <is>
          <t>Original</t>
        </is>
      </c>
      <c r="E1492" s="2" t="inlineStr">
        <is>
          <t>PCP</t>
        </is>
      </c>
      <c r="F1492" s="2" t="inlineStr">
        <is>
          <t>Alfredo Maia; Paula Santos; Paulo Raimundo</t>
        </is>
      </c>
      <c r="G1492" s="2" t="inlineStr">
        <is>
          <t>Art. 38.º-A (aditamento)</t>
        </is>
      </c>
      <c r="H1492" s="2" t="n"/>
      <c r="I1492" s="2" t="n"/>
      <c r="J1492" s="2" t="n"/>
      <c r="K1492" s="2" t="n"/>
      <c r="L1492" s="2" t="inlineStr">
        <is>
          <t>Artigo 38.º-A (Recálculo das reformas com penalização por aplicação do fator de sustentabilidade nos regimes de antecipação de idade da reforma do regime geral de segurança social)</t>
        </is>
      </c>
      <c r="M1492" s="4" t="n"/>
      <c r="N1492" s="4" t="n"/>
      <c r="O1492" s="2" t="n"/>
      <c r="P1492" s="2" t="n"/>
      <c r="Q1492" s="2" t="n"/>
      <c r="R1492" s="2" t="n"/>
      <c r="S1492" s="2" t="inlineStr">
        <is>
          <t>Rejeitado(a) em Comissão</t>
        </is>
      </c>
      <c r="T1492" s="2" t="inlineStr">
        <is>
          <t>Rejeitada</t>
        </is>
      </c>
      <c r="U1492" s="2" t="inlineStr">
        <is>
          <t>Favor: L, PCP, BE, PAN; Contra: PSD, PS, IL, CDS-PP; Abstenção: CH</t>
        </is>
      </c>
      <c r="V1492" s="3" t="n">
        <v>45981</v>
      </c>
      <c r="W1492" s="2" t="inlineStr">
        <is>
          <t>AR: https://www.parlamento.pt/OrcamentoEstado/Paginas/DetalhePropostaAlteracao.aspx?BID=24653 PDF: https://app.parlamento.pt/webutils/docs/doc.pdf?path=6148523063484d364c793942556b356c6443397a6158526c63793959566b6c4a544556484c3039464c7a49774d6a59794d4449314d5441774f5339515153396c4d7a686a4d7a5931596930785a4759304c5451334d7a45744f5449774f4330304d324e685a574534596d5932595749756347526d&amp;Fich=e38c365b-1df4-4731-9208-43caea8bf6ab.pdf&amp;Inline=true</t>
        </is>
      </c>
      <c r="X1492" s="2" t="inlineStr">
        <is>
          <t>Trabalho, Segurança Social e Inclusão</t>
        </is>
      </c>
      <c r="Y1492" s="2" t="inlineStr">
        <is>
          <t>Articulado</t>
        </is>
      </c>
      <c r="Z1492" s="2" t="inlineStr">
        <is>
          <t>Aditamento (Artigo PPL)</t>
        </is>
      </c>
      <c r="AA1492" s="2" t="inlineStr">
        <is>
          <t>Rejeitado(a) em Comissão</t>
        </is>
      </c>
      <c r="AB1492" s="2" t="inlineStr"/>
      <c r="AC1492" s="2" t="inlineStr"/>
      <c r="AD1492" s="2" t="inlineStr">
        <is>
          <t>1</t>
        </is>
      </c>
      <c r="AE1492" s="2" t="inlineStr">
        <is>
          <t>24653</t>
        </is>
      </c>
      <c r="AF1492" s="2" t="inlineStr">
        <is>
          <t>https://www.parlamento.pt/OrcamentoEstado/Paginas/DetalhePropostaAlteracao.aspx?BID=24653</t>
        </is>
      </c>
      <c r="AG1492" s="2" t="inlineStr">
        <is>
          <t>https://app.parlamento.pt/webutils/docs/doc.pdf?path=6148523063484d364c793942556b356c6443397a6158526c63793959566b6c4a544556484c3039464c7a49774d6a59794d4449314d5441774f5339515153396c4d7a686a4d7a5931596930785a4759304c5451334d7a45744f5449774f4330304d324e685a574534596d5932595749756347526d&amp;Fich=e38c365b-1df4-4731-9208-43caea8bf6ab.pdf&amp;Inline=true</t>
        </is>
      </c>
      <c r="AH1492" s="3" t="n">
        <v>46321.77847222222</v>
      </c>
      <c r="AI1492" s="3" t="n">
        <v>46321.78055555555</v>
      </c>
      <c r="AJ1492" s="2" t="inlineStr"/>
    </row>
    <row r="1493">
      <c r="A1493" s="2" t="n">
        <v>1492</v>
      </c>
      <c r="B1493" s="2" t="inlineStr">
        <is>
          <t>1408C</t>
        </is>
      </c>
      <c r="C1493" s="3" t="n">
        <v>45968.59027777778</v>
      </c>
      <c r="D1493" s="2" t="inlineStr">
        <is>
          <t>Original</t>
        </is>
      </c>
      <c r="E1493" s="2" t="inlineStr">
        <is>
          <t>PCP</t>
        </is>
      </c>
      <c r="F1493" s="2" t="inlineStr">
        <is>
          <t>Alfredo Maia; Paula Santos; Paulo Raimundo</t>
        </is>
      </c>
      <c r="G1493" s="2" t="inlineStr">
        <is>
          <t>Art. 46.º-A (aditamento)</t>
        </is>
      </c>
      <c r="H1493" s="2" t="n"/>
      <c r="I1493" s="2" t="n"/>
      <c r="J1493" s="2" t="n"/>
      <c r="K1493" s="2" t="n"/>
      <c r="L1493" s="2" t="inlineStr">
        <is>
          <t>Artigo 46.º-A (Apoio às associações de reformados, pensionistas e idosos)</t>
        </is>
      </c>
      <c r="M1493" s="4" t="n"/>
      <c r="N1493" s="4" t="n"/>
      <c r="O1493" s="2" t="n"/>
      <c r="P1493" s="2" t="n"/>
      <c r="Q1493" s="2" t="n"/>
      <c r="R1493" s="2" t="n"/>
      <c r="S1493" s="2" t="inlineStr">
        <is>
          <t>Rejeitado(a) em Comissão</t>
        </is>
      </c>
      <c r="T1493" s="2" t="inlineStr">
        <is>
          <t>Rejeitada</t>
        </is>
      </c>
      <c r="U1493" s="2" t="inlineStr">
        <is>
          <t>Favor: CH, L, PCP, BE, PAN; Contra: PSD, IL, CDS-PP; Abstenção: PS</t>
        </is>
      </c>
      <c r="V1493" s="3" t="n">
        <v>45981</v>
      </c>
      <c r="W1493" s="2" t="inlineStr">
        <is>
          <t>AR: https://www.parlamento.pt/OrcamentoEstado/Paginas/DetalhePropostaAlteracao.aspx?BID=24654 PDF: https://app.parlamento.pt/webutils/docs/doc.pdf?path=6148523063484d364c793942556b356c6443397a6158526c63793959566b6c4a544556484c3039464c7a49774d6a59794d4449314d5441774f5339515153396c5a5455305a4441314e433033596a4a6a4c5451334e6a45744f4468684f5330354e474d324d7a597a5a575a6a4d4455756347526d&amp;Fich=ee54d054-7b2c-4761-88a9-94c6363efc05.pdf&amp;Inline=true</t>
        </is>
      </c>
      <c r="X1493" s="2" t="inlineStr">
        <is>
          <t>Trabalho, Segurança Social e Inclusão</t>
        </is>
      </c>
      <c r="Y1493" s="2" t="inlineStr">
        <is>
          <t>Articulado</t>
        </is>
      </c>
      <c r="Z1493" s="2" t="inlineStr">
        <is>
          <t>Aditamento (Artigo PPL)</t>
        </is>
      </c>
      <c r="AA1493" s="2" t="inlineStr">
        <is>
          <t>Rejeitado(a) em Comissão</t>
        </is>
      </c>
      <c r="AB1493" s="2" t="inlineStr"/>
      <c r="AC1493" s="2" t="inlineStr"/>
      <c r="AD1493" s="2" t="inlineStr">
        <is>
          <t>1</t>
        </is>
      </c>
      <c r="AE1493" s="2" t="inlineStr">
        <is>
          <t>24654</t>
        </is>
      </c>
      <c r="AF1493" s="2" t="inlineStr">
        <is>
          <t>https://www.parlamento.pt/OrcamentoEstado/Paginas/DetalhePropostaAlteracao.aspx?BID=24654</t>
        </is>
      </c>
      <c r="AG1493" s="2" t="inlineStr">
        <is>
          <t>https://app.parlamento.pt/webutils/docs/doc.pdf?path=6148523063484d364c793942556b356c6443397a6158526c63793959566b6c4a544556484c3039464c7a49774d6a59794d4449314d5441774f5339515153396c5a5455305a4441314e433033596a4a6a4c5451334e6a45744f4468684f5330354e474d324d7a597a5a575a6a4d4455756347526d&amp;Fich=ee54d054-7b2c-4761-88a9-94c6363efc05.pdf&amp;Inline=true</t>
        </is>
      </c>
      <c r="AH1493" s="3" t="n">
        <v>46321.77847222222</v>
      </c>
      <c r="AI1493" s="3" t="n">
        <v>46321.78055555555</v>
      </c>
      <c r="AJ1493" s="2" t="inlineStr"/>
    </row>
    <row r="1494">
      <c r="A1494" s="2" t="n">
        <v>1493</v>
      </c>
      <c r="B1494" s="2" t="inlineStr">
        <is>
          <t>1409C</t>
        </is>
      </c>
      <c r="C1494" s="3" t="n">
        <v>45968.59097222222</v>
      </c>
      <c r="D1494" s="2" t="inlineStr">
        <is>
          <t>Original</t>
        </is>
      </c>
      <c r="E1494" s="2" t="inlineStr">
        <is>
          <t>PAN</t>
        </is>
      </c>
      <c r="F1494" s="2" t="inlineStr">
        <is>
          <t>Inês de Sousa Real</t>
        </is>
      </c>
      <c r="G1494" s="2" t="inlineStr">
        <is>
          <t>Art. 12.º-B (aditamento)</t>
        </is>
      </c>
      <c r="H1494" s="2" t="n"/>
      <c r="I1494" s="2" t="n"/>
      <c r="J1494" s="2" t="n"/>
      <c r="K1494" s="2" t="n"/>
      <c r="L1494" s="2" t="inlineStr">
        <is>
          <t>Artigo 12.º-B (Estratégia da Cooperação Portuguesa 2030)</t>
        </is>
      </c>
      <c r="M1494" s="4" t="n"/>
      <c r="N1494" s="4" t="n"/>
      <c r="O1494" s="2" t="n"/>
      <c r="P1494" s="2" t="n"/>
      <c r="Q1494" s="2" t="n"/>
      <c r="R1494" s="2" t="n"/>
      <c r="S1494" s="2" t="inlineStr">
        <is>
          <t>Rejeitado(a) em Comissão</t>
        </is>
      </c>
      <c r="T1494" s="2" t="inlineStr">
        <is>
          <t>Rejeitada</t>
        </is>
      </c>
      <c r="U1494" s="2" t="inlineStr">
        <is>
          <t>Favor: L, PCP, BE, PAN; Contra: PSD, CH, CDS-PP; Abstenção: PS, IL</t>
        </is>
      </c>
      <c r="V1494" s="3" t="n">
        <v>45981</v>
      </c>
      <c r="W1494" s="2" t="inlineStr">
        <is>
          <t>AR: https://www.parlamento.pt/OrcamentoEstado/Paginas/DetalhePropostaAlteracao.aspx?BID=24655 PDF: https://app.parlamento.pt/webutils/docs/doc.pdf?path=6148523063484d364c793942556b356c6443397a6158526c63793959566b6c4a544556484c3039464c7a49774d6a59794d4449314d5441774f533951515338795a5751774d3259305a6930795a5452694c5451795a445974596a597a4e793033597a566c4d5745334d7a6b785a4759756347526d&amp;Fich=2ed03f4f-2e4b-42d6-b637-7c5e1a7391df.pdf&amp;Inline=true</t>
        </is>
      </c>
      <c r="X1494" s="2" t="inlineStr">
        <is>
          <t>Negócios Estrangeiros e Comunidades Portuguesas</t>
        </is>
      </c>
      <c r="Y1494" s="2" t="inlineStr">
        <is>
          <t>Articulado</t>
        </is>
      </c>
      <c r="Z1494" s="2" t="inlineStr">
        <is>
          <t>Aditamento (Artigo PPL)</t>
        </is>
      </c>
      <c r="AA1494" s="2" t="inlineStr">
        <is>
          <t>Rejeitado(a) em Comissão</t>
        </is>
      </c>
      <c r="AB1494" s="2" t="inlineStr"/>
      <c r="AC1494" s="2" t="inlineStr"/>
      <c r="AD1494" s="2" t="inlineStr">
        <is>
          <t>1</t>
        </is>
      </c>
      <c r="AE1494" s="2" t="inlineStr">
        <is>
          <t>24655</t>
        </is>
      </c>
      <c r="AF1494" s="2" t="inlineStr">
        <is>
          <t>https://www.parlamento.pt/OrcamentoEstado/Paginas/DetalhePropostaAlteracao.aspx?BID=24655</t>
        </is>
      </c>
      <c r="AG1494" s="2" t="inlineStr">
        <is>
          <t>https://app.parlamento.pt/webutils/docs/doc.pdf?path=6148523063484d364c793942556b356c6443397a6158526c63793959566b6c4a544556484c3039464c7a49774d6a59794d4449314d5441774f533951515338795a5751774d3259305a6930795a5452694c5451795a445974596a597a4e793033597a566c4d5745334d7a6b785a4759756347526d&amp;Fich=2ed03f4f-2e4b-42d6-b637-7c5e1a7391df.pdf&amp;Inline=true</t>
        </is>
      </c>
      <c r="AH1494" s="3" t="n">
        <v>46321.77847222222</v>
      </c>
      <c r="AI1494" s="3" t="n">
        <v>46321.78055555555</v>
      </c>
      <c r="AJ1494" s="2" t="inlineStr"/>
    </row>
    <row r="1495">
      <c r="A1495" s="2" t="n">
        <v>1494</v>
      </c>
      <c r="B1495" s="2" t="inlineStr">
        <is>
          <t>1410C</t>
        </is>
      </c>
      <c r="C1495" s="3" t="n">
        <v>45968.59097222222</v>
      </c>
      <c r="D1495" s="2" t="inlineStr">
        <is>
          <t>Original</t>
        </is>
      </c>
      <c r="E1495" s="2" t="inlineStr">
        <is>
          <t>PAN</t>
        </is>
      </c>
      <c r="F1495" s="2" t="inlineStr">
        <is>
          <t>Inês de Sousa Real</t>
        </is>
      </c>
      <c r="G1495" s="2" t="inlineStr">
        <is>
          <t>Art. 135.º-B (aditamento)</t>
        </is>
      </c>
      <c r="H1495" s="2" t="n"/>
      <c r="I1495" s="2" t="n"/>
      <c r="J1495" s="2" t="n"/>
      <c r="K1495" s="2" t="n"/>
      <c r="L1495" s="2" t="inlineStr">
        <is>
          <t>Artigo 135.º-B ( Alteração ao Decreto-Lei n.º 101/2011, de 30 de setembro)</t>
        </is>
      </c>
      <c r="M1495" s="4" t="n"/>
      <c r="N1495" s="4" t="n"/>
      <c r="O1495" s="2" t="n"/>
      <c r="P1495" s="2" t="n"/>
      <c r="Q1495" s="2" t="n"/>
      <c r="R1495" s="2" t="n"/>
      <c r="S1495" s="2" t="inlineStr">
        <is>
          <t>Rejeitado(a) em Comissão</t>
        </is>
      </c>
      <c r="T1495" s="2" t="inlineStr">
        <is>
          <t>Rejeitada</t>
        </is>
      </c>
      <c r="U1495" s="2" t="inlineStr">
        <is>
          <t>Favor: CH, IL, L, PCP, BE, PAN; Contra: PSD, CDS-PP; Abstenção: PS</t>
        </is>
      </c>
      <c r="V1495" s="3" t="n">
        <v>45987</v>
      </c>
      <c r="W1495" s="2" t="inlineStr">
        <is>
          <t>AR: https://www.parlamento.pt/OrcamentoEstado/Paginas/DetalhePropostaAlteracao.aspx?BID=24656 PDF: https://app.parlamento.pt/webutils/docs/doc.pdf?path=6148523063484d364c793942556b356c6443397a6158526c63793959566b6c4a544556484c3039464c7a49774d6a59794d4449314d5441774f5339515153396c5a6d4e684d54646a596930774f444e6b4c5451334f5451744f4749334d7930324d474d32595459324f5455324d4463756347526d&amp;Fich=efca17cb-083d-4794-8b73-60c6a6695607.pdf&amp;Inline=true</t>
        </is>
      </c>
      <c r="X1495" s="2" t="inlineStr">
        <is>
          <t>Orçamento, Finanças e Administração Pública</t>
        </is>
      </c>
      <c r="Y1495" s="2" t="inlineStr">
        <is>
          <t>Articulado</t>
        </is>
      </c>
      <c r="Z1495" s="2" t="inlineStr">
        <is>
          <t>Aditamento (Artigo PPL)</t>
        </is>
      </c>
      <c r="AA1495" s="2" t="inlineStr">
        <is>
          <t>Rejeitado(a) em Comissão</t>
        </is>
      </c>
      <c r="AB1495" s="2" t="inlineStr"/>
      <c r="AC1495" s="2" t="inlineStr"/>
      <c r="AD1495" s="2" t="inlineStr">
        <is>
          <t>1</t>
        </is>
      </c>
      <c r="AE1495" s="2" t="inlineStr">
        <is>
          <t>24656</t>
        </is>
      </c>
      <c r="AF1495" s="2" t="inlineStr">
        <is>
          <t>https://www.parlamento.pt/OrcamentoEstado/Paginas/DetalhePropostaAlteracao.aspx?BID=24656</t>
        </is>
      </c>
      <c r="AG1495" s="2" t="inlineStr">
        <is>
          <t>https://app.parlamento.pt/webutils/docs/doc.pdf?path=6148523063484d364c793942556b356c6443397a6158526c63793959566b6c4a544556484c3039464c7a49774d6a59794d4449314d5441774f5339515153396c5a6d4e684d54646a596930774f444e6b4c5451334f5451744f4749334d7930324d474d32595459324f5455324d4463756347526d&amp;Fich=efca17cb-083d-4794-8b73-60c6a6695607.pdf&amp;Inline=true</t>
        </is>
      </c>
      <c r="AH1495" s="3" t="n">
        <v>46321.77847222222</v>
      </c>
      <c r="AI1495" s="3" t="n">
        <v>46321.78055555555</v>
      </c>
      <c r="AJ1495" s="2" t="inlineStr"/>
    </row>
    <row r="1496">
      <c r="A1496" s="2" t="n">
        <v>1495</v>
      </c>
      <c r="B1496" s="2" t="inlineStr">
        <is>
          <t>1411C</t>
        </is>
      </c>
      <c r="C1496" s="3" t="n">
        <v>45968.59236111111</v>
      </c>
      <c r="D1496" s="2" t="inlineStr">
        <is>
          <t>Original</t>
        </is>
      </c>
      <c r="E1496" s="2" t="inlineStr">
        <is>
          <t>PCP</t>
        </is>
      </c>
      <c r="F1496" s="2" t="inlineStr">
        <is>
          <t>Alfredo Maia; Paula Santos; Paulo Raimundo</t>
        </is>
      </c>
      <c r="G1496" s="2" t="inlineStr">
        <is>
          <t>Art. 38.º-A (aditamento)</t>
        </is>
      </c>
      <c r="H1496" s="2" t="n"/>
      <c r="I1496" s="2" t="n"/>
      <c r="J1496" s="2" t="n"/>
      <c r="K1496" s="2" t="n"/>
      <c r="L1496" s="2" t="inlineStr">
        <is>
          <t>Artigo 38.º-A (Prestação social para a inclusão)</t>
        </is>
      </c>
      <c r="M1496" s="4" t="n"/>
      <c r="N1496" s="4" t="n"/>
      <c r="O1496" s="2" t="n"/>
      <c r="P1496" s="2" t="n"/>
      <c r="Q1496" s="2" t="n"/>
      <c r="R1496" s="2" t="n"/>
      <c r="S1496" s="2" t="inlineStr">
        <is>
          <t>Rejeitado(a) em Comissão</t>
        </is>
      </c>
      <c r="T1496" s="2" t="inlineStr">
        <is>
          <t>Rejeitada</t>
        </is>
      </c>
      <c r="U1496" s="2" t="inlineStr">
        <is>
          <t>Favor: L, PCP, BE, PAN; Contra: PSD, CH, IL, CDS-PP; Abstenção: PS</t>
        </is>
      </c>
      <c r="V1496" s="3" t="n">
        <v>45981</v>
      </c>
      <c r="W1496" s="2" t="inlineStr">
        <is>
          <t>AR: https://www.parlamento.pt/OrcamentoEstado/Paginas/DetalhePropostaAlteracao.aspx?BID=24657 PDF: https://app.parlamento.pt/webutils/docs/doc.pdf?path=6148523063484d364c793942556b356c6443397a6158526c63793959566b6c4a544556484c3039464c7a49774d6a59794d4449314d5441774f533951515338334d7a51774d6a63775a433169595441334c5452695a574d74596d566d4d7931695a575932596a426b4d3252684f474d756347526d&amp;Fich=7340270d-ba07-4bec-bef3-bef6b0d3da8c.pdf&amp;Inline=true</t>
        </is>
      </c>
      <c r="X1496" s="2" t="inlineStr">
        <is>
          <t>Trabalho, Segurança Social e Inclusão</t>
        </is>
      </c>
      <c r="Y1496" s="2" t="inlineStr">
        <is>
          <t>Articulado</t>
        </is>
      </c>
      <c r="Z1496" s="2" t="inlineStr">
        <is>
          <t>Aditamento (Artigo PPL)</t>
        </is>
      </c>
      <c r="AA1496" s="2" t="inlineStr">
        <is>
          <t>Rejeitado(a) em Comissão</t>
        </is>
      </c>
      <c r="AB1496" s="2" t="inlineStr"/>
      <c r="AC1496" s="2" t="inlineStr"/>
      <c r="AD1496" s="2" t="inlineStr">
        <is>
          <t>1</t>
        </is>
      </c>
      <c r="AE1496" s="2" t="inlineStr">
        <is>
          <t>24657</t>
        </is>
      </c>
      <c r="AF1496" s="2" t="inlineStr">
        <is>
          <t>https://www.parlamento.pt/OrcamentoEstado/Paginas/DetalhePropostaAlteracao.aspx?BID=24657</t>
        </is>
      </c>
      <c r="AG1496" s="2" t="inlineStr">
        <is>
          <t>https://app.parlamento.pt/webutils/docs/doc.pdf?path=6148523063484d364c793942556b356c6443397a6158526c63793959566b6c4a544556484c3039464c7a49774d6a59794d4449314d5441774f533951515338334d7a51774d6a63775a433169595441334c5452695a574d74596d566d4d7931695a575932596a426b4d3252684f474d756347526d&amp;Fich=7340270d-ba07-4bec-bef3-bef6b0d3da8c.pdf&amp;Inline=true</t>
        </is>
      </c>
      <c r="AH1496" s="3" t="n">
        <v>46321.77847222222</v>
      </c>
      <c r="AI1496" s="3" t="n">
        <v>46321.78055555555</v>
      </c>
      <c r="AJ1496" s="2" t="inlineStr"/>
    </row>
    <row r="1497">
      <c r="A1497" s="2" t="n">
        <v>1496</v>
      </c>
      <c r="B1497" s="2" t="inlineStr">
        <is>
          <t>1412C</t>
        </is>
      </c>
      <c r="C1497" s="3" t="n">
        <v>45968.59236111111</v>
      </c>
      <c r="D1497" s="2" t="inlineStr">
        <is>
          <t>Original</t>
        </is>
      </c>
      <c r="E1497" s="2" t="inlineStr">
        <is>
          <t>PAN</t>
        </is>
      </c>
      <c r="F1497" s="2" t="inlineStr">
        <is>
          <t>Inês de Sousa Real</t>
        </is>
      </c>
      <c r="G1497" s="2" t="inlineStr">
        <is>
          <t>Art. 133.º-A (aditamento)</t>
        </is>
      </c>
      <c r="H1497" s="2" t="n"/>
      <c r="I1497" s="2" t="n"/>
      <c r="J1497" s="2" t="n"/>
      <c r="K1497" s="2" t="n"/>
      <c r="L1497" s="2" t="inlineStr">
        <is>
          <t>Artigo 133.º-A (Acolhimento e tratamento médico especializado de crianças da Faixa de Gaza)</t>
        </is>
      </c>
      <c r="M1497" s="4" t="n"/>
      <c r="N1497" s="4" t="n"/>
      <c r="O1497" s="2" t="n"/>
      <c r="P1497" s="2" t="n"/>
      <c r="Q1497" s="2" t="n"/>
      <c r="R1497" s="2" t="n"/>
      <c r="S1497" s="2" t="inlineStr">
        <is>
          <t>Rejeitado(a) em Comissão</t>
        </is>
      </c>
      <c r="T1497" s="2" t="inlineStr">
        <is>
          <t>Rejeitada</t>
        </is>
      </c>
      <c r="U1497" s="2" t="inlineStr">
        <is>
          <t>Favor: PS, L, PCP, BE, PAN; Contra: PSD, CH, CDS-PP; Abstenção: IL</t>
        </is>
      </c>
      <c r="V1497" s="3" t="n">
        <v>45985</v>
      </c>
      <c r="W1497" s="2" t="inlineStr">
        <is>
          <t>AR: https://www.parlamento.pt/OrcamentoEstado/Paginas/DetalhePropostaAlteracao.aspx?BID=24658 PDF: https://app.parlamento.pt/webutils/docs/doc.pdf?path=6148523063484d364c793942556b356c6443397a6158526c63793959566b6c4a544556484c3039464c7a49774d6a59794d4449314d5441774f5339515153396d4d5464694e7a566a5a69316a4e446b304c54526b5a546b744f5759354d53303059324d774e5455795a6a6c6d4e4759756347526d&amp;Fich=f17b75cf-c494-4de9-9f91-4cc0552f9f4f.pdf&amp;Inline=true</t>
        </is>
      </c>
      <c r="X1497" s="2" t="inlineStr">
        <is>
          <t>Negócios Estrangeiros e Comunidades Portuguesas</t>
        </is>
      </c>
      <c r="Y1497" s="2" t="inlineStr">
        <is>
          <t>Articulado</t>
        </is>
      </c>
      <c r="Z1497" s="2" t="inlineStr">
        <is>
          <t>Aditamento (Artigo PPL)</t>
        </is>
      </c>
      <c r="AA1497" s="2" t="inlineStr">
        <is>
          <t>Rejeitado(a) em Comissão</t>
        </is>
      </c>
      <c r="AB1497" s="2" t="inlineStr"/>
      <c r="AC1497" s="2" t="inlineStr"/>
      <c r="AD1497" s="2" t="inlineStr">
        <is>
          <t>1</t>
        </is>
      </c>
      <c r="AE1497" s="2" t="inlineStr">
        <is>
          <t>24658</t>
        </is>
      </c>
      <c r="AF1497" s="2" t="inlineStr">
        <is>
          <t>https://www.parlamento.pt/OrcamentoEstado/Paginas/DetalhePropostaAlteracao.aspx?BID=24658</t>
        </is>
      </c>
      <c r="AG1497" s="2" t="inlineStr">
        <is>
          <t>https://app.parlamento.pt/webutils/docs/doc.pdf?path=6148523063484d364c793942556b356c6443397a6158526c63793959566b6c4a544556484c3039464c7a49774d6a59794d4449314d5441774f5339515153396d4d5464694e7a566a5a69316a4e446b304c54526b5a546b744f5759354d53303059324d774e5455795a6a6c6d4e4759756347526d&amp;Fich=f17b75cf-c494-4de9-9f91-4cc0552f9f4f.pdf&amp;Inline=true</t>
        </is>
      </c>
      <c r="AH1497" s="3" t="n">
        <v>46321.77847222222</v>
      </c>
      <c r="AI1497" s="3" t="n">
        <v>46321.78055555555</v>
      </c>
      <c r="AJ1497" s="2" t="inlineStr"/>
    </row>
    <row r="1498">
      <c r="A1498" s="2" t="n">
        <v>1497</v>
      </c>
      <c r="B1498" s="2" t="inlineStr">
        <is>
          <t>1413C</t>
        </is>
      </c>
      <c r="C1498" s="3" t="n">
        <v>45968.59305555555</v>
      </c>
      <c r="D1498" s="2" t="inlineStr">
        <is>
          <t>Original</t>
        </is>
      </c>
      <c r="E1498" s="2" t="inlineStr">
        <is>
          <t>PAN</t>
        </is>
      </c>
      <c r="F1498" s="2" t="inlineStr">
        <is>
          <t>Inês de Sousa Real</t>
        </is>
      </c>
      <c r="G1498" s="2" t="inlineStr">
        <is>
          <t>Art. 135.º-A (aditamento)</t>
        </is>
      </c>
      <c r="H1498" s="2" t="n"/>
      <c r="I1498" s="2" t="n"/>
      <c r="J1498" s="2" t="n"/>
      <c r="K1498" s="2" t="n"/>
      <c r="L1498" s="2" t="inlineStr">
        <is>
          <t>Artigo 135.º-A (Alteração ao Decreto-Lei n.º 15/2022, de 14 de Janeiro)</t>
        </is>
      </c>
      <c r="M1498" s="4" t="n"/>
      <c r="N1498" s="4" t="n"/>
      <c r="O1498" s="2" t="n"/>
      <c r="P1498" s="2" t="n"/>
      <c r="Q1498" s="2" t="n"/>
      <c r="R1498" s="2" t="n"/>
      <c r="S1498" s="2" t="inlineStr">
        <is>
          <t>Rejeitado(a) em Comissão</t>
        </is>
      </c>
      <c r="T1498" s="2" t="inlineStr">
        <is>
          <t>Rejeitada</t>
        </is>
      </c>
      <c r="U1498" s="2" t="inlineStr">
        <is>
          <t>Favor: IL, L, PCP, BE, PAN; Contra: PSD, CDS-PP; Abstenção: CH, PS</t>
        </is>
      </c>
      <c r="V1498" s="3" t="n">
        <v>45987</v>
      </c>
      <c r="W1498" s="2" t="inlineStr">
        <is>
          <t>AR: https://www.parlamento.pt/OrcamentoEstado/Paginas/DetalhePropostaAlteracao.aspx?BID=24659 PDF: https://app.parlamento.pt/webutils/docs/doc.pdf?path=6148523063484d364c793942556b356c6443397a6158526c63793959566b6c4a544556484c3039464c7a49774d6a59794d4449314d5441774f533951515338794e6d4a6a4d6a51325979316b5954417a4c5451334e7a4574596d566d4e69316d5a6a51314f4464684d5441334e7a51756347526d&amp;Fich=26bc246c-da03-4771-bef6-ff4587a10774.pdf&amp;Inline=true</t>
        </is>
      </c>
      <c r="X1498" s="2" t="inlineStr">
        <is>
          <t>Orçamento, Finanças e Administração Pública</t>
        </is>
      </c>
      <c r="Y1498" s="2" t="inlineStr">
        <is>
          <t>Articulado</t>
        </is>
      </c>
      <c r="Z1498" s="2" t="inlineStr">
        <is>
          <t>Aditamento (Artigo PPL)</t>
        </is>
      </c>
      <c r="AA1498" s="2" t="inlineStr">
        <is>
          <t>Rejeitado(a) em Comissão</t>
        </is>
      </c>
      <c r="AB1498" s="2" t="inlineStr"/>
      <c r="AC1498" s="2" t="inlineStr"/>
      <c r="AD1498" s="2" t="inlineStr">
        <is>
          <t>1</t>
        </is>
      </c>
      <c r="AE1498" s="2" t="inlineStr">
        <is>
          <t>24659</t>
        </is>
      </c>
      <c r="AF1498" s="2" t="inlineStr">
        <is>
          <t>https://www.parlamento.pt/OrcamentoEstado/Paginas/DetalhePropostaAlteracao.aspx?BID=24659</t>
        </is>
      </c>
      <c r="AG1498" s="2" t="inlineStr">
        <is>
          <t>https://app.parlamento.pt/webutils/docs/doc.pdf?path=6148523063484d364c793942556b356c6443397a6158526c63793959566b6c4a544556484c3039464c7a49774d6a59794d4449314d5441774f533951515338794e6d4a6a4d6a51325979316b5954417a4c5451334e7a4574596d566d4e69316d5a6a51314f4464684d5441334e7a51756347526d&amp;Fich=26bc246c-da03-4771-bef6-ff4587a10774.pdf&amp;Inline=true</t>
        </is>
      </c>
      <c r="AH1498" s="3" t="n">
        <v>46321.77847222222</v>
      </c>
      <c r="AI1498" s="3" t="n">
        <v>46321.78055555555</v>
      </c>
      <c r="AJ1498" s="2" t="inlineStr"/>
    </row>
    <row r="1499">
      <c r="A1499" s="2" t="n">
        <v>1498</v>
      </c>
      <c r="B1499" s="2" t="inlineStr">
        <is>
          <t>1414C</t>
        </is>
      </c>
      <c r="C1499" s="3" t="n">
        <v>45968.59305555555</v>
      </c>
      <c r="D1499" s="2" t="inlineStr">
        <is>
          <t>Original</t>
        </is>
      </c>
      <c r="E1499" s="2" t="inlineStr">
        <is>
          <t>BE</t>
        </is>
      </c>
      <c r="F1499" s="2" t="inlineStr">
        <is>
          <t>Mariana Mortágua</t>
        </is>
      </c>
      <c r="G1499" s="2" t="inlineStr">
        <is>
          <t>Art. 73.º-A (aditamento)</t>
        </is>
      </c>
      <c r="H1499" s="2" t="n"/>
      <c r="I1499" s="2" t="n"/>
      <c r="J1499" s="2" t="n"/>
      <c r="K1499" s="2" t="n"/>
      <c r="L1499" s="2" t="inlineStr">
        <is>
          <t>Artigo 73.º-A (Alteração ao Código Fiscal do Investimento)</t>
        </is>
      </c>
      <c r="M1499" s="4" t="n"/>
      <c r="N1499" s="4" t="n"/>
      <c r="O1499" s="2" t="n"/>
      <c r="P1499" s="2" t="n"/>
      <c r="Q1499" s="2" t="n"/>
      <c r="R1499" s="2" t="n"/>
      <c r="S1499" s="2" t="inlineStr">
        <is>
          <t>Rejeitado(a) em Comissão</t>
        </is>
      </c>
      <c r="T1499" s="2" t="inlineStr">
        <is>
          <t>Rejeitada</t>
        </is>
      </c>
      <c r="U1499" s="2" t="inlineStr">
        <is>
          <t>Favor: L, PCP, BE, PAN; Contra: PSD, CH, IL, CDS-PP; Abstenção: PS</t>
        </is>
      </c>
      <c r="V1499" s="3" t="n">
        <v>45982</v>
      </c>
      <c r="W1499" s="2" t="inlineStr">
        <is>
          <t>AR: https://www.parlamento.pt/OrcamentoEstado/Paginas/DetalhePropostaAlteracao.aspx?BID=24660 PDF: https://app.parlamento.pt/webutils/docs/doc.pdf?path=6148523063484d364c793942556b356c6443397a6158526c63793959566b6c4a544556484c3039464c7a49774d6a59794d4449314d5441774f533951515339695a44466a4e6a45345a53316d4e6a45324c5452694e7a4574596a64684e5330785a6a686c4d4441304d5451775a6a6b756347526d&amp;Fich=bd1c618e-f616-4b71-b7a5-1f8e004140f9.pdf&amp;Inline=true</t>
        </is>
      </c>
      <c r="X1499" s="2" t="inlineStr">
        <is>
          <t>Orçamento, Finanças e Administração Pública</t>
        </is>
      </c>
      <c r="Y1499" s="2" t="inlineStr">
        <is>
          <t>Articulado</t>
        </is>
      </c>
      <c r="Z1499" s="2" t="inlineStr">
        <is>
          <t>Aditamento (Artigo PPL)</t>
        </is>
      </c>
      <c r="AA1499" s="2" t="inlineStr">
        <is>
          <t>Rejeitado(a) em Comissão</t>
        </is>
      </c>
      <c r="AB1499" s="2" t="inlineStr"/>
      <c r="AC1499" s="2" t="inlineStr"/>
      <c r="AD1499" s="2" t="inlineStr">
        <is>
          <t>1</t>
        </is>
      </c>
      <c r="AE1499" s="2" t="inlineStr">
        <is>
          <t>24660</t>
        </is>
      </c>
      <c r="AF1499" s="2" t="inlineStr">
        <is>
          <t>https://www.parlamento.pt/OrcamentoEstado/Paginas/DetalhePropostaAlteracao.aspx?BID=24660</t>
        </is>
      </c>
      <c r="AG1499" s="2" t="inlineStr">
        <is>
          <t>https://app.parlamento.pt/webutils/docs/doc.pdf?path=6148523063484d364c793942556b356c6443397a6158526c63793959566b6c4a544556484c3039464c7a49774d6a59794d4449314d5441774f533951515339695a44466a4e6a45345a53316d4e6a45324c5452694e7a4574596a64684e5330785a6a686c4d4441304d5451775a6a6b756347526d&amp;Fich=bd1c618e-f616-4b71-b7a5-1f8e004140f9.pdf&amp;Inline=true</t>
        </is>
      </c>
      <c r="AH1499" s="3" t="n">
        <v>46321.77847222222</v>
      </c>
      <c r="AI1499" s="3" t="n">
        <v>46321.78055555555</v>
      </c>
      <c r="AJ1499" s="2" t="inlineStr"/>
    </row>
    <row r="1500">
      <c r="A1500" s="2" t="n">
        <v>1499</v>
      </c>
      <c r="B1500" s="2" t="inlineStr">
        <is>
          <t>1415C</t>
        </is>
      </c>
      <c r="C1500" s="3" t="n">
        <v>45968.59375</v>
      </c>
      <c r="D1500" s="2" t="inlineStr">
        <is>
          <t>Original</t>
        </is>
      </c>
      <c r="E1500" s="2" t="inlineStr">
        <is>
          <t>PAN</t>
        </is>
      </c>
      <c r="F1500" s="2" t="inlineStr">
        <is>
          <t>Inês de Sousa Real</t>
        </is>
      </c>
      <c r="G1500" s="2" t="inlineStr">
        <is>
          <t>Art. 117.º-A (aditamento)</t>
        </is>
      </c>
      <c r="H1500" s="2" t="n"/>
      <c r="I1500" s="2" t="n"/>
      <c r="J1500" s="2" t="n"/>
      <c r="K1500" s="2" t="n"/>
      <c r="L1500" s="2" t="inlineStr">
        <is>
          <t>Artigo 117.º-A (Acessibilidade no alojamento no ensino superior)</t>
        </is>
      </c>
      <c r="M1500" s="4" t="n"/>
      <c r="N1500" s="4" t="n"/>
      <c r="O1500" s="2" t="n"/>
      <c r="P1500" s="2" t="n"/>
      <c r="Q1500" s="2" t="n"/>
      <c r="R1500" s="2" t="n"/>
      <c r="S1500" s="2" t="inlineStr">
        <is>
          <t>Aprovado(a) em Comissão</t>
        </is>
      </c>
      <c r="T1500" s="2" t="inlineStr">
        <is>
          <t>Aprovada</t>
        </is>
      </c>
      <c r="U1500" s="2" t="inlineStr">
        <is>
          <t>Favor: PSD, CH, PS, IL, L, PCP, CDS-PP, BE, PAN</t>
        </is>
      </c>
      <c r="V1500" s="3" t="n">
        <v>45985</v>
      </c>
      <c r="W1500" s="2" t="inlineStr">
        <is>
          <t>AR: https://www.parlamento.pt/OrcamentoEstado/Paginas/DetalhePropostaAlteracao.aspx?BID=24661 PDF: https://app.parlamento.pt/webutils/docs/doc.pdf?path=6148523063484d364c793942556b356c6443397a6158526c63793959566b6c4a544556484c3039464c7a49774d6a59794d4449314d5441774f5339515153387a4d4451344d54526d4e53316c4e57526d4c54526d595463744f545a6a595331694d7a4e685a5467324d5463794d474d756347526d&amp;Fich=304814f5-e5df-4fa7-96ca-b33ae861720c.pdf&amp;Inline=true</t>
        </is>
      </c>
      <c r="X1500" s="2" t="inlineStr">
        <is>
          <t>Educação e Ciência; Trabalho, Segurança Social e Inclusão</t>
        </is>
      </c>
      <c r="Y1500" s="2" t="inlineStr">
        <is>
          <t>Articulado</t>
        </is>
      </c>
      <c r="Z1500" s="2" t="inlineStr">
        <is>
          <t>Aditamento (Artigo PPL)</t>
        </is>
      </c>
      <c r="AA1500" s="2" t="inlineStr">
        <is>
          <t>Aprovado(a) em Comissão</t>
        </is>
      </c>
      <c r="AB1500" s="2" t="inlineStr"/>
      <c r="AC1500" s="2" t="inlineStr"/>
      <c r="AD1500" s="2" t="inlineStr">
        <is>
          <t>1</t>
        </is>
      </c>
      <c r="AE1500" s="2" t="inlineStr">
        <is>
          <t>24661</t>
        </is>
      </c>
      <c r="AF1500" s="2" t="inlineStr">
        <is>
          <t>https://www.parlamento.pt/OrcamentoEstado/Paginas/DetalhePropostaAlteracao.aspx?BID=24661</t>
        </is>
      </c>
      <c r="AG1500" s="2" t="inlineStr">
        <is>
          <t>https://app.parlamento.pt/webutils/docs/doc.pdf?path=6148523063484d364c793942556b356c6443397a6158526c63793959566b6c4a544556484c3039464c7a49774d6a59794d4449314d5441774f5339515153387a4d4451344d54526d4e53316c4e57526d4c54526d595463744f545a6a595331694d7a4e685a5467324d5463794d474d756347526d&amp;Fich=304814f5-e5df-4fa7-96ca-b33ae861720c.pdf&amp;Inline=true</t>
        </is>
      </c>
      <c r="AH1500" s="3" t="n">
        <v>46321.77847222222</v>
      </c>
      <c r="AI1500" s="3" t="n">
        <v>46321.78055555555</v>
      </c>
      <c r="AJ1500" s="2" t="inlineStr"/>
    </row>
    <row r="1501">
      <c r="A1501" s="2" t="n">
        <v>1500</v>
      </c>
      <c r="B1501" s="2" t="inlineStr">
        <is>
          <t>1416C</t>
        </is>
      </c>
      <c r="C1501" s="3" t="n">
        <v>45968.59444444445</v>
      </c>
      <c r="D1501" s="2" t="inlineStr">
        <is>
          <t>Original</t>
        </is>
      </c>
      <c r="E1501" s="2" t="inlineStr">
        <is>
          <t>PAN</t>
        </is>
      </c>
      <c r="F1501" s="2" t="inlineStr">
        <is>
          <t>Inês de Sousa Real</t>
        </is>
      </c>
      <c r="G1501" s="2" t="inlineStr">
        <is>
          <t>Art. 112.º-A (aditamento)</t>
        </is>
      </c>
      <c r="H1501" s="2" t="n"/>
      <c r="I1501" s="2" t="n"/>
      <c r="J1501" s="2" t="n"/>
      <c r="K1501" s="2" t="n"/>
      <c r="L1501" s="2" t="inlineStr">
        <is>
          <t>Artigo 112.º-A (Alteração à Lei n.º 4/2007, de 16 de janeiro)</t>
        </is>
      </c>
      <c r="M1501" s="4" t="n"/>
      <c r="N1501" s="4" t="n"/>
      <c r="O1501" s="2" t="n"/>
      <c r="P1501" s="2" t="n"/>
      <c r="Q1501" s="2" t="n"/>
      <c r="R1501" s="2" t="n"/>
      <c r="S1501" s="2" t="inlineStr">
        <is>
          <t>Rejeitado(a) em Comissão</t>
        </is>
      </c>
      <c r="T1501" s="2" t="inlineStr">
        <is>
          <t>Rejeitada</t>
        </is>
      </c>
      <c r="U1501" s="2" t="inlineStr">
        <is>
          <t>Favor: CH, L, PCP, BE, PAN; Contra: PSD, PS, IL, CDS-PP</t>
        </is>
      </c>
      <c r="V1501" s="3" t="n">
        <v>45982</v>
      </c>
      <c r="W1501" s="2" t="inlineStr">
        <is>
          <t>AR: https://www.parlamento.pt/OrcamentoEstado/Paginas/DetalhePropostaAlteracao.aspx?BID=24662 PDF: https://app.parlamento.pt/webutils/docs/doc.pdf?path=6148523063484d364c793942556b356c6443397a6158526c63793959566b6c4a544556484c3039464c7a49774d6a59794d4449314d5441774f5339515153396d5a4455355a474a6d5979316a596a417a4c54526d593245744f5751324f43316a4d5749325a6a6b304e6a4a6d4e4441756347526d&amp;Fich=fd59dbfc-cb03-4fca-9d68-c1b6f9462f40.pdf&amp;Inline=true</t>
        </is>
      </c>
      <c r="X1501" s="2" t="inlineStr">
        <is>
          <t>Trabalho, Segurança Social e Inclusão</t>
        </is>
      </c>
      <c r="Y1501" s="2" t="inlineStr">
        <is>
          <t>Articulado</t>
        </is>
      </c>
      <c r="Z1501" s="2" t="inlineStr">
        <is>
          <t>Aditamento (Artigo PPL)</t>
        </is>
      </c>
      <c r="AA1501" s="2" t="inlineStr">
        <is>
          <t>Rejeitado(a) em Comissão</t>
        </is>
      </c>
      <c r="AB1501" s="2" t="inlineStr"/>
      <c r="AC1501" s="2" t="inlineStr"/>
      <c r="AD1501" s="2" t="inlineStr">
        <is>
          <t>1</t>
        </is>
      </c>
      <c r="AE1501" s="2" t="inlineStr">
        <is>
          <t>24662</t>
        </is>
      </c>
      <c r="AF1501" s="2" t="inlineStr">
        <is>
          <t>https://www.parlamento.pt/OrcamentoEstado/Paginas/DetalhePropostaAlteracao.aspx?BID=24662</t>
        </is>
      </c>
      <c r="AG1501" s="2" t="inlineStr">
        <is>
          <t>https://app.parlamento.pt/webutils/docs/doc.pdf?path=6148523063484d364c793942556b356c6443397a6158526c63793959566b6c4a544556484c3039464c7a49774d6a59794d4449314d5441774f5339515153396d5a4455355a474a6d5979316a596a417a4c54526d593245744f5751324f43316a4d5749325a6a6b304e6a4a6d4e4441756347526d&amp;Fich=fd59dbfc-cb03-4fca-9d68-c1b6f9462f40.pdf&amp;Inline=true</t>
        </is>
      </c>
      <c r="AH1501" s="3" t="n">
        <v>46321.77847222222</v>
      </c>
      <c r="AI1501" s="3" t="n">
        <v>46321.78055555555</v>
      </c>
      <c r="AJ1501" s="2" t="inlineStr"/>
    </row>
    <row r="1502">
      <c r="A1502" s="2" t="n">
        <v>1501</v>
      </c>
      <c r="B1502" s="2" t="inlineStr">
        <is>
          <t>1417C</t>
        </is>
      </c>
      <c r="C1502" s="3" t="n">
        <v>45968.59513888889</v>
      </c>
      <c r="D1502" s="2" t="inlineStr">
        <is>
          <t>Original</t>
        </is>
      </c>
      <c r="E1502" s="2" t="inlineStr">
        <is>
          <t>BE</t>
        </is>
      </c>
      <c r="F1502" s="2" t="inlineStr">
        <is>
          <t>Mariana Mortágua</t>
        </is>
      </c>
      <c r="G1502" s="2" t="inlineStr">
        <is>
          <t>Art. 112.º-A (aditamento)</t>
        </is>
      </c>
      <c r="H1502" s="2" t="n"/>
      <c r="I1502" s="2" t="n"/>
      <c r="J1502" s="2" t="n"/>
      <c r="K1502" s="2" t="n"/>
      <c r="L1502" s="2" t="inlineStr">
        <is>
          <t>Artigo 112.º-A (Proibição da importação ou venda de bens, serviços e recursos naturais originários de colonatos ilegais em territórios ocupados)</t>
        </is>
      </c>
      <c r="M1502" s="4" t="n"/>
      <c r="N1502" s="4" t="n"/>
      <c r="O1502" s="2" t="n"/>
      <c r="P1502" s="2" t="n"/>
      <c r="Q1502" s="2" t="n"/>
      <c r="R1502" s="2" t="n"/>
      <c r="S1502" s="2" t="inlineStr">
        <is>
          <t>Rejeitado(a) em Comissão</t>
        </is>
      </c>
      <c r="T1502" s="2" t="inlineStr">
        <is>
          <t>Rejeitada</t>
        </is>
      </c>
      <c r="U1502" s="2" t="inlineStr">
        <is>
          <t>Favor: L, PCP, BE, PAN; Contra: PSD, CH, IL, CDS-PP; Abstenção: PS</t>
        </is>
      </c>
      <c r="V1502" s="3" t="n">
        <v>45982</v>
      </c>
      <c r="W1502" s="2" t="inlineStr">
        <is>
          <t>AR: https://www.parlamento.pt/OrcamentoEstado/Paginas/DetalhePropostaAlteracao.aspx?BID=24663 PDF: https://app.parlamento.pt/webutils/docs/doc.pdf?path=6148523063484d364c793942556b356c6443397a6158526c63793959566b6c4a544556484c3039464c7a49774d6a59794d4449314d5441774f533951515338314e7a4933596a67324e7931695a57566c4c54526b595749744f54677a4e53316b4e5445305a6a526b4e575979596a63756347526d&amp;Fich=5727b867-beee-4dab-9835-d514f4d5f2b7.pdf&amp;Inline=true</t>
        </is>
      </c>
      <c r="X1502" s="2" t="inlineStr">
        <is>
          <t>Negócios Estrangeiros e Comunidades Portuguesas</t>
        </is>
      </c>
      <c r="Y1502" s="2" t="inlineStr">
        <is>
          <t>Articulado</t>
        </is>
      </c>
      <c r="Z1502" s="2" t="inlineStr">
        <is>
          <t>Aditamento (Artigo PPL)</t>
        </is>
      </c>
      <c r="AA1502" s="2" t="inlineStr">
        <is>
          <t>Rejeitado(a) em Comissão</t>
        </is>
      </c>
      <c r="AB1502" s="2" t="inlineStr"/>
      <c r="AC1502" s="2" t="inlineStr"/>
      <c r="AD1502" s="2" t="inlineStr">
        <is>
          <t>1</t>
        </is>
      </c>
      <c r="AE1502" s="2" t="inlineStr">
        <is>
          <t>24663</t>
        </is>
      </c>
      <c r="AF1502" s="2" t="inlineStr">
        <is>
          <t>https://www.parlamento.pt/OrcamentoEstado/Paginas/DetalhePropostaAlteracao.aspx?BID=24663</t>
        </is>
      </c>
      <c r="AG1502" s="2" t="inlineStr">
        <is>
          <t>https://app.parlamento.pt/webutils/docs/doc.pdf?path=6148523063484d364c793942556b356c6443397a6158526c63793959566b6c4a544556484c3039464c7a49774d6a59794d4449314d5441774f533951515338314e7a4933596a67324e7931695a57566c4c54526b595749744f54677a4e53316b4e5445305a6a526b4e575979596a63756347526d&amp;Fich=5727b867-beee-4dab-9835-d514f4d5f2b7.pdf&amp;Inline=true</t>
        </is>
      </c>
      <c r="AH1502" s="3" t="n">
        <v>46321.77847222222</v>
      </c>
      <c r="AI1502" s="3" t="n">
        <v>46321.78055555555</v>
      </c>
      <c r="AJ1502" s="2" t="inlineStr"/>
    </row>
    <row r="1503">
      <c r="A1503" s="2" t="n">
        <v>1502</v>
      </c>
      <c r="B1503" s="2" t="inlineStr">
        <is>
          <t>1418C-1</t>
        </is>
      </c>
      <c r="C1503" s="3" t="n">
        <v>45968.59513888889</v>
      </c>
      <c r="D1503" s="2" t="inlineStr">
        <is>
          <t>Original</t>
        </is>
      </c>
      <c r="E1503" s="2" t="inlineStr">
        <is>
          <t>IL</t>
        </is>
      </c>
      <c r="F1503" s="2" t="inlineStr">
        <is>
          <t>Angélique Da Teresa; Carlos Guimarães Pinto; Joana Cordeiro; Jorge Miguel Teixeira; Mariana Leitão; Mário Amorim Lopes; Miguel Rangel; Rodrigo Saraiva; Rui Rocha</t>
        </is>
      </c>
      <c r="G1503" s="2" t="inlineStr">
        <is>
          <t>Art. 79.º-A (aditamento)</t>
        </is>
      </c>
      <c r="H1503" s="2" t="n"/>
      <c r="I1503" s="2" t="n"/>
      <c r="J1503" s="2" t="n"/>
      <c r="K1503" s="2" t="n"/>
      <c r="L1503" s="2" t="inlineStr">
        <is>
          <t>Artigo 79.º-A (Alteração ao Código do Imposto Único de Circulação)</t>
        </is>
      </c>
      <c r="M1503" s="4" t="n"/>
      <c r="N1503" s="4" t="n"/>
      <c r="O1503" s="2" t="n"/>
      <c r="P1503" s="2" t="n"/>
      <c r="Q1503" s="2" t="n"/>
      <c r="R1503" s="2" t="n"/>
      <c r="S1503" s="2" t="inlineStr">
        <is>
          <t>Rejeitado(a) em Comissão</t>
        </is>
      </c>
      <c r="T1503" s="2" t="inlineStr">
        <is>
          <t>Rejeitada</t>
        </is>
      </c>
      <c r="U1503" s="2" t="inlineStr">
        <is>
          <t>Favor: IL, PAN; Contra: PSD, PS, L, PCP, CDS-PP, BE; Abstenção: CH</t>
        </is>
      </c>
      <c r="V1503" s="3" t="n">
        <v>45982</v>
      </c>
      <c r="W1503" s="2" t="inlineStr">
        <is>
          <t>AR: https://www.parlamento.pt/OrcamentoEstado/Paginas/DetalhePropostaAlteracao.aspx?BID=24664 PDF: https://app.parlamento.pt/webutils/docs/doc.pdf?path=6148523063484d364c793942556b356c6443397a6158526c63793959566b6c4a544556484c3039464c7a49774d6a59794d4449314d5441774f533951515338324f575a6b4e5445784f533035597a517a4c545135596a5174595759795a533077596a55344d444a6a4e57466d4d7a59756347526d&amp;Fich=69fd5119-9c43-49b4-af2e-0b5802c5af36.pdf&amp;Inline=true</t>
        </is>
      </c>
      <c r="X1503" s="2" t="inlineStr">
        <is>
          <t>Orçamento, Finanças e Administração Pública</t>
        </is>
      </c>
      <c r="Y1503" s="2" t="inlineStr">
        <is>
          <t>Articulado</t>
        </is>
      </c>
      <c r="Z1503" s="2" t="inlineStr">
        <is>
          <t>Aditamento (Artigo PPL)</t>
        </is>
      </c>
      <c r="AA1503" s="2" t="inlineStr">
        <is>
          <t>Rejeitado(a) em Comissão</t>
        </is>
      </c>
      <c r="AB1503" s="2" t="inlineStr"/>
      <c r="AC1503" s="2" t="inlineStr">
        <is>
          <t>1</t>
        </is>
      </c>
      <c r="AD1503" s="2" t="inlineStr">
        <is>
          <t>1</t>
        </is>
      </c>
      <c r="AE1503" s="2" t="inlineStr">
        <is>
          <t>24664</t>
        </is>
      </c>
      <c r="AF1503" s="2" t="inlineStr">
        <is>
          <t>https://www.parlamento.pt/OrcamentoEstado/Paginas/DetalhePropostaAlteracao.aspx?BID=24664</t>
        </is>
      </c>
      <c r="AG1503" s="2" t="inlineStr">
        <is>
          <t>https://app.parlamento.pt/webutils/docs/doc.pdf?path=6148523063484d364c793942556b356c6443397a6158526c63793959566b6c4a544556484c3039464c7a49774d6a59794d4449314d5441774f533951515338324f575a6b4e5445784f533035597a517a4c545135596a5174595759795a533077596a55344d444a6a4e57466d4d7a59756347526d&amp;Fich=69fd5119-9c43-49b4-af2e-0b5802c5af36.pdf&amp;Inline=true</t>
        </is>
      </c>
      <c r="AH1503" s="3" t="n">
        <v>46321.77847222222</v>
      </c>
      <c r="AI1503" s="3" t="n">
        <v>46321.78055555555</v>
      </c>
      <c r="AJ1503" s="2" t="inlineStr"/>
    </row>
    <row r="1504">
      <c r="A1504" s="2" t="n">
        <v>1503</v>
      </c>
      <c r="B1504" s="2" t="inlineStr">
        <is>
          <t>1418C-2</t>
        </is>
      </c>
      <c r="C1504" s="3" t="n">
        <v>45968.59513888889</v>
      </c>
      <c r="D1504" s="2" t="inlineStr">
        <is>
          <t>Original</t>
        </is>
      </c>
      <c r="E1504" s="2" t="inlineStr">
        <is>
          <t>IL</t>
        </is>
      </c>
      <c r="F1504" s="2" t="inlineStr">
        <is>
          <t>Angélique Da Teresa; Carlos Guimarães Pinto; Joana Cordeiro; Jorge Miguel Teixeira; Mariana Leitão; Mário Amorim Lopes; Miguel Rangel; Rodrigo Saraiva; Rui Rocha</t>
        </is>
      </c>
      <c r="G1504" s="2" t="inlineStr">
        <is>
          <t>Art. 113.º-A (aditamento)</t>
        </is>
      </c>
      <c r="H1504" s="2" t="n"/>
      <c r="I1504" s="2" t="n"/>
      <c r="J1504" s="2" t="n"/>
      <c r="K1504" s="2" t="n"/>
      <c r="L1504" s="2" t="inlineStr">
        <is>
          <t>Artigo 113.º-A (Alteração ao Código da Estrada)</t>
        </is>
      </c>
      <c r="M1504" s="4" t="n"/>
      <c r="N1504" s="4" t="n"/>
      <c r="O1504" s="2" t="n"/>
      <c r="P1504" s="2" t="n"/>
      <c r="Q1504" s="2" t="n"/>
      <c r="R1504" s="2" t="n"/>
      <c r="S1504" s="2" t="inlineStr">
        <is>
          <t>Rejeitado(a) em Comissão</t>
        </is>
      </c>
      <c r="T1504" s="2" t="inlineStr">
        <is>
          <t>Rejeitada</t>
        </is>
      </c>
      <c r="U1504" s="2" t="inlineStr">
        <is>
          <t>Favor: IL, PAN; Contra: PSD, PS, L, PCP, CDS-PP, BE; Abstenção: CH</t>
        </is>
      </c>
      <c r="V1504" s="3" t="n">
        <v>45985</v>
      </c>
      <c r="W1504" s="2" t="inlineStr">
        <is>
          <t>AR: https://www.parlamento.pt/OrcamentoEstado/Paginas/DetalhePropostaAlteracao.aspx?BID=25389 PDF: https://app.parlamento.pt/webutils/docs/doc.pdf?path=6148523063484d364c793942556b356c6443397a6158526c63793959566b6c4a544556484c3039464c7a49774d6a59794d4449314d5441774f533951515338304e5455335a4463334d5330784e57526d4c5451354f575574596a497a5a4330324d6d4e6a5932457a597a59784e5463756347526d&amp;Fich=4557d771-15df-499e-b23d-62ccca3c6157.pdf&amp;Inline=true</t>
        </is>
      </c>
      <c r="X1504" s="2" t="inlineStr">
        <is>
          <t>Orçamento, Finanças e Administração Pública</t>
        </is>
      </c>
      <c r="Y1504" s="2" t="inlineStr">
        <is>
          <t>Articulado</t>
        </is>
      </c>
      <c r="Z1504" s="2" t="inlineStr">
        <is>
          <t>Aditamento (Artigo PPL)</t>
        </is>
      </c>
      <c r="AA1504" s="2" t="inlineStr">
        <is>
          <t>Rejeitado(a) em Comissão</t>
        </is>
      </c>
      <c r="AB1504" s="2" t="inlineStr"/>
      <c r="AC1504" s="2" t="inlineStr">
        <is>
          <t>2</t>
        </is>
      </c>
      <c r="AD1504" s="2" t="inlineStr">
        <is>
          <t>1</t>
        </is>
      </c>
      <c r="AE1504" s="2" t="inlineStr">
        <is>
          <t>25389</t>
        </is>
      </c>
      <c r="AF1504" s="2" t="inlineStr">
        <is>
          <t>https://www.parlamento.pt/OrcamentoEstado/Paginas/DetalhePropostaAlteracao.aspx?BID=25389</t>
        </is>
      </c>
      <c r="AG1504" s="2" t="inlineStr">
        <is>
          <t>https://app.parlamento.pt/webutils/docs/doc.pdf?path=6148523063484d364c793942556b356c6443397a6158526c63793959566b6c4a544556484c3039464c7a49774d6a59794d4449314d5441774f533951515338304e5455335a4463334d5330784e57526d4c5451354f575574596a497a5a4330324d6d4e6a5932457a597a59784e5463756347526d&amp;Fich=4557d771-15df-499e-b23d-62ccca3c6157.pdf&amp;Inline=true</t>
        </is>
      </c>
      <c r="AH1504" s="3" t="n">
        <v>46321.77847222222</v>
      </c>
      <c r="AI1504" s="3" t="n">
        <v>46321.78055555555</v>
      </c>
      <c r="AJ1504" s="2" t="inlineStr"/>
    </row>
    <row r="1505">
      <c r="A1505" s="2" t="n">
        <v>1504</v>
      </c>
      <c r="B1505" s="2" t="inlineStr">
        <is>
          <t>1419C</t>
        </is>
      </c>
      <c r="C1505" s="3" t="n">
        <v>45968.59513888889</v>
      </c>
      <c r="D1505" s="2" t="inlineStr">
        <is>
          <t>Original</t>
        </is>
      </c>
      <c r="E1505" s="2" t="inlineStr">
        <is>
          <t>L</t>
        </is>
      </c>
      <c r="F1505" s="2" t="inlineStr">
        <is>
          <t>Filipa Pinto; Isabel Mendes Lopes; Jorge Pinto; Patrícia Gonçalves; Paulo Muacho; Rui Tavares</t>
        </is>
      </c>
      <c r="G1505" s="2" t="inlineStr">
        <is>
          <t>Art. 118.º-A (aditamento)</t>
        </is>
      </c>
      <c r="H1505" s="2" t="n"/>
      <c r="I1505" s="2" t="n"/>
      <c r="J1505" s="2" t="n"/>
      <c r="K1505" s="2" t="n"/>
      <c r="L1505" s="2" t="inlineStr">
        <is>
          <t>Artigo 118.º-A (Orçamento Participativo do Ensino Superior)</t>
        </is>
      </c>
      <c r="M1505" s="4" t="n"/>
      <c r="N1505" s="4" t="n"/>
      <c r="O1505" s="2" t="n"/>
      <c r="P1505" s="2" t="n"/>
      <c r="Q1505" s="2" t="n"/>
      <c r="R1505" s="2" t="n"/>
      <c r="S1505" s="2" t="inlineStr">
        <is>
          <t>Rejeitado(a) em Comissão</t>
        </is>
      </c>
      <c r="T1505" s="2" t="inlineStr">
        <is>
          <t>Rejeitada</t>
        </is>
      </c>
      <c r="U1505" s="2" t="inlineStr">
        <is>
          <t>Favor: L, BE, PAN; Contra: PSD, CDS-PP; Abstenção: CH, PS, IL, PCP</t>
        </is>
      </c>
      <c r="V1505" s="3" t="n">
        <v>45985</v>
      </c>
      <c r="W1505" s="2" t="inlineStr">
        <is>
          <t>AR: https://www.parlamento.pt/OrcamentoEstado/Paginas/DetalhePropostaAlteracao.aspx?BID=24665 PDF: https://app.parlamento.pt/webutils/docs/doc.pdf?path=6148523063484d364c793942556b356c6443397a6158526c63793959566b6c4a544556484c3039464c7a49774d6a59794d4449314d5441774f533951515338784e574e6a596d4d354f4330344d32517a4c5451774e6a4174596a4a6c4e79316d595451314e54597a4d47566c4d324d756347526d&amp;Fich=15ccbc98-83d3-4060-b2e7-fa455630ee3c.pdf&amp;Inline=true</t>
        </is>
      </c>
      <c r="X1505" s="2" t="inlineStr">
        <is>
          <t>Educação e Ciência</t>
        </is>
      </c>
      <c r="Y1505" s="2" t="inlineStr">
        <is>
          <t>Articulado</t>
        </is>
      </c>
      <c r="Z1505" s="2" t="inlineStr">
        <is>
          <t>Aditamento (Artigo PPL)</t>
        </is>
      </c>
      <c r="AA1505" s="2" t="inlineStr">
        <is>
          <t>Rejeitado(a) em Comissão</t>
        </is>
      </c>
      <c r="AB1505" s="2" t="inlineStr"/>
      <c r="AC1505" s="2" t="inlineStr"/>
      <c r="AD1505" s="2" t="inlineStr">
        <is>
          <t>1</t>
        </is>
      </c>
      <c r="AE1505" s="2" t="inlineStr">
        <is>
          <t>24665</t>
        </is>
      </c>
      <c r="AF1505" s="2" t="inlineStr">
        <is>
          <t>https://www.parlamento.pt/OrcamentoEstado/Paginas/DetalhePropostaAlteracao.aspx?BID=24665</t>
        </is>
      </c>
      <c r="AG1505" s="2" t="inlineStr">
        <is>
          <t>https://app.parlamento.pt/webutils/docs/doc.pdf?path=6148523063484d364c793942556b356c6443397a6158526c63793959566b6c4a544556484c3039464c7a49774d6a59794d4449314d5441774f533951515338784e574e6a596d4d354f4330344d32517a4c5451774e6a4174596a4a6c4e79316d595451314e54597a4d47566c4d324d756347526d&amp;Fich=15ccbc98-83d3-4060-b2e7-fa455630ee3c.pdf&amp;Inline=true</t>
        </is>
      </c>
      <c r="AH1505" s="3" t="n">
        <v>46321.77847222222</v>
      </c>
      <c r="AI1505" s="3" t="n">
        <v>46321.78055555555</v>
      </c>
      <c r="AJ1505" s="2" t="inlineStr"/>
    </row>
    <row r="1506">
      <c r="A1506" s="2" t="n">
        <v>1505</v>
      </c>
      <c r="B1506" s="2" t="inlineStr">
        <is>
          <t>1420C</t>
        </is>
      </c>
      <c r="C1506" s="3" t="n">
        <v>45968.59583333333</v>
      </c>
      <c r="D1506" s="2" t="inlineStr">
        <is>
          <t>Original</t>
        </is>
      </c>
      <c r="E1506" s="2" t="inlineStr">
        <is>
          <t>PS</t>
        </is>
      </c>
      <c r="F1506" s="2" t="inlineStr">
        <is>
          <t>António Mendonça Mendes; Eurico Brilhante Dias; José Luís Carneiro; Marina Gonçalves; Miguel Matos; Paulo Lopes Silva; Porfírio Silva; Sofia Pereira</t>
        </is>
      </c>
      <c r="G1506" s="2" t="inlineStr">
        <is>
          <t>Art. 136.º-A (aditamento)</t>
        </is>
      </c>
      <c r="H1506" s="2" t="n"/>
      <c r="I1506" s="2" t="n"/>
      <c r="J1506" s="2" t="n"/>
      <c r="K1506" s="2" t="n"/>
      <c r="L1506" s="2" t="inlineStr">
        <is>
          <t>Artigo 136.º-A (Projeto-piloto jovens criadores)</t>
        </is>
      </c>
      <c r="M1506" s="4" t="n"/>
      <c r="N1506" s="4" t="n"/>
      <c r="O1506" s="2" t="n"/>
      <c r="P1506" s="2" t="n"/>
      <c r="Q1506" s="2" t="n"/>
      <c r="R1506" s="2" t="n"/>
      <c r="S1506" s="2" t="inlineStr">
        <is>
          <t>Rejeitado(a) em Comissão</t>
        </is>
      </c>
      <c r="T1506" s="2" t="inlineStr">
        <is>
          <t>Rejeitada</t>
        </is>
      </c>
      <c r="U1506" s="2" t="inlineStr">
        <is>
          <t>Favor: PS, L, PCP, BE, PAN; Contra: PSD, CH, CDS-PP; Abstenção: IL</t>
        </is>
      </c>
      <c r="V1506" s="3" t="n">
        <v>45987</v>
      </c>
      <c r="W1506" s="2" t="inlineStr">
        <is>
          <t>AR: https://www.parlamento.pt/OrcamentoEstado/Paginas/DetalhePropostaAlteracao.aspx?BID=24666 PDF: https://app.parlamento.pt/webutils/docs/doc.pdf?path=6148523063484d364c793942556b356c6443397a6158526c63793959566b6c4a544556484c3039464c7a49774d6a59794d4449314d5441774f533951515338784d444a685a4751354d4330324d6a55344c54513559546774596a55314f53316b593249774d324979595451334e5441756347526d&amp;Fich=102add90-6258-49a8-b559-dcb03b2a4750.pdf&amp;Inline=true</t>
        </is>
      </c>
      <c r="X1506" s="2" t="inlineStr">
        <is>
          <t>Cultura, Comunicação, Juventude e Desporto; Orçamento, Finanças e Administração Pública</t>
        </is>
      </c>
      <c r="Y1506" s="2" t="inlineStr">
        <is>
          <t>Articulado</t>
        </is>
      </c>
      <c r="Z1506" s="2" t="inlineStr">
        <is>
          <t>Aditamento (Artigo PPL)</t>
        </is>
      </c>
      <c r="AA1506" s="2" t="inlineStr">
        <is>
          <t>Rejeitado(a) em Comissão</t>
        </is>
      </c>
      <c r="AB1506" s="2" t="inlineStr"/>
      <c r="AC1506" s="2" t="inlineStr"/>
      <c r="AD1506" s="2" t="inlineStr">
        <is>
          <t>1</t>
        </is>
      </c>
      <c r="AE1506" s="2" t="inlineStr">
        <is>
          <t>24666</t>
        </is>
      </c>
      <c r="AF1506" s="2" t="inlineStr">
        <is>
          <t>https://www.parlamento.pt/OrcamentoEstado/Paginas/DetalhePropostaAlteracao.aspx?BID=24666</t>
        </is>
      </c>
      <c r="AG1506" s="2" t="inlineStr">
        <is>
          <t>https://app.parlamento.pt/webutils/docs/doc.pdf?path=6148523063484d364c793942556b356c6443397a6158526c63793959566b6c4a544556484c3039464c7a49774d6a59794d4449314d5441774f533951515338784d444a685a4751354d4330324d6a55344c54513559546774596a55314f53316b593249774d324979595451334e5441756347526d&amp;Fich=102add90-6258-49a8-b559-dcb03b2a4750.pdf&amp;Inline=true</t>
        </is>
      </c>
      <c r="AH1506" s="3" t="n">
        <v>46321.77847222222</v>
      </c>
      <c r="AI1506" s="3" t="n">
        <v>46321.78055555555</v>
      </c>
      <c r="AJ1506" s="2" t="inlineStr"/>
    </row>
    <row r="1507">
      <c r="A1507" s="2" t="n">
        <v>1506</v>
      </c>
      <c r="B1507" s="2" t="inlineStr">
        <is>
          <t>1421C</t>
        </is>
      </c>
      <c r="C1507" s="3" t="n">
        <v>45968.59583333333</v>
      </c>
      <c r="D1507" s="2" t="inlineStr">
        <is>
          <t>Original</t>
        </is>
      </c>
      <c r="E1507" s="2" t="inlineStr">
        <is>
          <t>BE</t>
        </is>
      </c>
      <c r="F1507" s="2" t="inlineStr">
        <is>
          <t>Mariana Mortágua</t>
        </is>
      </c>
      <c r="G1507" s="2" t="inlineStr">
        <is>
          <t>Art. 63.º-A (aditamento)</t>
        </is>
      </c>
      <c r="H1507" s="2" t="n"/>
      <c r="I1507" s="2" t="n"/>
      <c r="J1507" s="2" t="n"/>
      <c r="K1507" s="2" t="n"/>
      <c r="L1507" s="2" t="inlineStr">
        <is>
          <t>Artigo 63.º-A (Alteração ao Decreto-Lei n.º 394-B/84, de 26 de dezembro que aprovou o Código do Imposto sobre o Valor Acrescentado)</t>
        </is>
      </c>
      <c r="M1507" s="4" t="n"/>
      <c r="N1507" s="4" t="n"/>
      <c r="O1507" s="2" t="n"/>
      <c r="P1507" s="2" t="n"/>
      <c r="Q1507" s="2" t="n"/>
      <c r="R1507" s="2" t="n"/>
      <c r="S1507" s="2" t="inlineStr">
        <is>
          <t>Rejeitado(a) em Comissão</t>
        </is>
      </c>
      <c r="T1507" s="2" t="inlineStr">
        <is>
          <t>Rejeitada</t>
        </is>
      </c>
      <c r="U1507" s="2" t="inlineStr">
        <is>
          <t>Favor: CH, L, PCP, BE, PAN; Contra: PSD, CDS-PP; Abstenção: PS, IL</t>
        </is>
      </c>
      <c r="V1507" s="3" t="n">
        <v>45982</v>
      </c>
      <c r="W1507" s="2" t="inlineStr">
        <is>
          <t>AR: https://www.parlamento.pt/OrcamentoEstado/Paginas/DetalhePropostaAlteracao.aspx?BID=24667 PDF: https://app.parlamento.pt/webutils/docs/doc.pdf?path=6148523063484d364c793942556b356c6443397a6158526c63793959566b6c4a544556484c3039464c7a49774d6a59794d4449314d5441774f533951515338355a6a45794d544a684d4330794d32566c4c5451344d446374596d4e6a4d4330794e6a646d5a6d55354d7a59794f4751756347526d&amp;Fich=9f1212a0-23ee-4807-bcc0-267ffe93628d.pdf&amp;Inline=true</t>
        </is>
      </c>
      <c r="X1507" s="2" t="inlineStr">
        <is>
          <t>Orçamento, Finanças e Administração Pública</t>
        </is>
      </c>
      <c r="Y1507" s="2" t="inlineStr">
        <is>
          <t>Articulado</t>
        </is>
      </c>
      <c r="Z1507" s="2" t="inlineStr">
        <is>
          <t>Aditamento (Artigo PPL)</t>
        </is>
      </c>
      <c r="AA1507" s="2" t="inlineStr">
        <is>
          <t>Rejeitado(a) em Comissão</t>
        </is>
      </c>
      <c r="AB1507" s="2" t="inlineStr"/>
      <c r="AC1507" s="2" t="inlineStr"/>
      <c r="AD1507" s="2" t="inlineStr">
        <is>
          <t>1</t>
        </is>
      </c>
      <c r="AE1507" s="2" t="inlineStr">
        <is>
          <t>24667</t>
        </is>
      </c>
      <c r="AF1507" s="2" t="inlineStr">
        <is>
          <t>https://www.parlamento.pt/OrcamentoEstado/Paginas/DetalhePropostaAlteracao.aspx?BID=24667</t>
        </is>
      </c>
      <c r="AG1507" s="2" t="inlineStr">
        <is>
          <t>https://app.parlamento.pt/webutils/docs/doc.pdf?path=6148523063484d364c793942556b356c6443397a6158526c63793959566b6c4a544556484c3039464c7a49774d6a59794d4449314d5441774f533951515338355a6a45794d544a684d4330794d32566c4c5451344d446374596d4e6a4d4330794e6a646d5a6d55354d7a59794f4751756347526d&amp;Fich=9f1212a0-23ee-4807-bcc0-267ffe93628d.pdf&amp;Inline=true</t>
        </is>
      </c>
      <c r="AH1507" s="3" t="n">
        <v>46321.77847222222</v>
      </c>
      <c r="AI1507" s="3" t="n">
        <v>46321.78055555555</v>
      </c>
      <c r="AJ1507" s="2" t="inlineStr"/>
    </row>
    <row r="1508">
      <c r="A1508" s="2" t="n">
        <v>1507</v>
      </c>
      <c r="B1508" s="2" t="inlineStr">
        <is>
          <t>1422C</t>
        </is>
      </c>
      <c r="C1508" s="3" t="n">
        <v>45968.59652777778</v>
      </c>
      <c r="D1508" s="2" t="inlineStr">
        <is>
          <t>Original</t>
        </is>
      </c>
      <c r="E1508" s="2" t="inlineStr">
        <is>
          <t>PS</t>
        </is>
      </c>
      <c r="F1508" s="2" t="inlineStr">
        <is>
          <t>Ana Bernardo; António Mendonça Mendes; Eurico Brilhante Dias; Hugo Costa; José Luís Carneiro; Marina Gonçalves; Miguel Cabrita; Miguel Matos; Nuno Fazenda</t>
        </is>
      </c>
      <c r="G1508" s="2" t="inlineStr">
        <is>
          <t>Art. 136.º-A (aditamento)</t>
        </is>
      </c>
      <c r="H1508" s="2" t="n"/>
      <c r="I1508" s="2" t="n"/>
      <c r="J1508" s="2" t="n"/>
      <c r="K1508" s="2" t="n"/>
      <c r="L1508" s="2" t="inlineStr">
        <is>
          <t>Artigo 136.º-A (Majoração dos apoios financeiro às IPSS, Misericórdias e Instituições Equiparadas que prestem Serviço de Apoio Domiciliário nos Territórios de Baixa Densidade)</t>
        </is>
      </c>
      <c r="M1508" s="4" t="n"/>
      <c r="N1508" s="4" t="n"/>
      <c r="O1508" s="2" t="n"/>
      <c r="P1508" s="2" t="n"/>
      <c r="Q1508" s="2" t="n"/>
      <c r="R1508" s="2" t="n"/>
      <c r="S1508" s="2" t="inlineStr">
        <is>
          <t>Rejeitado(a) em Comissão</t>
        </is>
      </c>
      <c r="T1508" s="2" t="inlineStr">
        <is>
          <t>Rejeitada</t>
        </is>
      </c>
      <c r="U1508" s="2" t="inlineStr">
        <is>
          <t>Favor: PS, L, PCP, BE, PAN; Contra: PSD, CDS-PP; Abstenção: CH, IL</t>
        </is>
      </c>
      <c r="V1508" s="3" t="n">
        <v>45987</v>
      </c>
      <c r="W1508" s="2" t="inlineStr">
        <is>
          <t>AR: https://www.parlamento.pt/OrcamentoEstado/Paginas/DetalhePropostaAlteracao.aspx?BID=24668 PDF: https://app.parlamento.pt/webutils/docs/doc.pdf?path=6148523063484d364c793942556b356c6443397a6158526c63793959566b6c4a544556484c3039464c7a49774d6a59794d4449314d5441774f533951515338305a44526d4d324d784d6930794d474d344c5451774f5449744f54686d4e6930794f446b794d7a45324e32557a4f4455756347526d&amp;Fich=4d4f3c12-20c8-4092-98f6-28923167e385.pdf&amp;Inline=true</t>
        </is>
      </c>
      <c r="X1508" s="2" t="inlineStr">
        <is>
          <t>Comissão de Economia e Coesão Territorial; Orçamento, Finanças e Administração Pública; Trabalho, Segurança Social e Inclusão</t>
        </is>
      </c>
      <c r="Y1508" s="2" t="inlineStr">
        <is>
          <t>Articulado</t>
        </is>
      </c>
      <c r="Z1508" s="2" t="inlineStr">
        <is>
          <t>Aditamento (Artigo PPL)</t>
        </is>
      </c>
      <c r="AA1508" s="2" t="inlineStr">
        <is>
          <t>Rejeitado(a) em Comissão</t>
        </is>
      </c>
      <c r="AB1508" s="2" t="inlineStr"/>
      <c r="AC1508" s="2" t="inlineStr"/>
      <c r="AD1508" s="2" t="inlineStr">
        <is>
          <t>1</t>
        </is>
      </c>
      <c r="AE1508" s="2" t="inlineStr">
        <is>
          <t>24668</t>
        </is>
      </c>
      <c r="AF1508" s="2" t="inlineStr">
        <is>
          <t>https://www.parlamento.pt/OrcamentoEstado/Paginas/DetalhePropostaAlteracao.aspx?BID=24668</t>
        </is>
      </c>
      <c r="AG1508" s="2" t="inlineStr">
        <is>
          <t>https://app.parlamento.pt/webutils/docs/doc.pdf?path=6148523063484d364c793942556b356c6443397a6158526c63793959566b6c4a544556484c3039464c7a49774d6a59794d4449314d5441774f533951515338305a44526d4d324d784d6930794d474d344c5451774f5449744f54686d4e6930794f446b794d7a45324e32557a4f4455756347526d&amp;Fich=4d4f3c12-20c8-4092-98f6-28923167e385.pdf&amp;Inline=true</t>
        </is>
      </c>
      <c r="AH1508" s="3" t="n">
        <v>46321.77847222222</v>
      </c>
      <c r="AI1508" s="3" t="n">
        <v>46321.78055555555</v>
      </c>
      <c r="AJ1508" s="2" t="inlineStr"/>
    </row>
    <row r="1509">
      <c r="A1509" s="2" t="n">
        <v>1508</v>
      </c>
      <c r="B1509" s="2" t="inlineStr">
        <is>
          <t>1423C</t>
        </is>
      </c>
      <c r="C1509" s="3" t="n">
        <v>45968.59652777778</v>
      </c>
      <c r="D1509" s="2" t="inlineStr">
        <is>
          <t>Original</t>
        </is>
      </c>
      <c r="E1509" s="2" t="inlineStr">
        <is>
          <t>PS</t>
        </is>
      </c>
      <c r="F1509" s="2" t="inlineStr">
        <is>
          <t>Aida Carvalho; António Mendonça Mendes; Eurico Brilhante Dias; José Luís Carneiro; Marina Gonçalves; Miguel Matos; Porfírio Silva; Sofia Pereira</t>
        </is>
      </c>
      <c r="G1509" s="2" t="inlineStr">
        <is>
          <t>Art. 118.º-A (aditamento)</t>
        </is>
      </c>
      <c r="H1509" s="2" t="n"/>
      <c r="I1509" s="2" t="n"/>
      <c r="J1509" s="2" t="n"/>
      <c r="K1509" s="2" t="n"/>
      <c r="L1509" s="2" t="inlineStr">
        <is>
          <t>Artigo 118.º-A (Regulamentação de taxas e emolumentos)</t>
        </is>
      </c>
      <c r="M1509" s="4" t="n"/>
      <c r="N1509" s="4" t="n"/>
      <c r="O1509" s="2" t="n"/>
      <c r="P1509" s="2" t="n"/>
      <c r="Q1509" s="2" t="n"/>
      <c r="R1509" s="2" t="n"/>
      <c r="S1509" s="2" t="inlineStr">
        <is>
          <t>Rejeitado(a) em Comissão</t>
        </is>
      </c>
      <c r="T1509" s="2" t="inlineStr">
        <is>
          <t>Rejeitada</t>
        </is>
      </c>
      <c r="U1509" s="2" t="inlineStr">
        <is>
          <t>Favor: PS, IL, BE, PAN; Contra: PSD, CH, PCP, CDS-PP; Abstenção: L</t>
        </is>
      </c>
      <c r="V1509" s="3" t="n">
        <v>45985</v>
      </c>
      <c r="W1509" s="2" t="inlineStr">
        <is>
          <t>AR: https://www.parlamento.pt/OrcamentoEstado/Paginas/DetalhePropostaAlteracao.aspx?BID=24669 PDF: https://app.parlamento.pt/webutils/docs/doc.pdf?path=6148523063484d364c793942556b356c6443397a6158526c63793959566b6c4a544556484c3039464c7a49774d6a59794d4449314d5441774f533951515338314d3249344d6d466d5a43316b5a4459794c545134596d55744f574a6d4e7930334e6a51354e6a46684d474d7a595467756347526d&amp;Fich=53b82afd-dd62-48be-9bf7-764961a0c3a8.pdf&amp;Inline=true</t>
        </is>
      </c>
      <c r="X1509" s="2" t="inlineStr">
        <is>
          <t>Educação e Ciência; Orçamento, Finanças e Administração Pública</t>
        </is>
      </c>
      <c r="Y1509" s="2" t="inlineStr">
        <is>
          <t>Articulado</t>
        </is>
      </c>
      <c r="Z1509" s="2" t="inlineStr">
        <is>
          <t>Aditamento (Artigo PPL)</t>
        </is>
      </c>
      <c r="AA1509" s="2" t="inlineStr">
        <is>
          <t>Rejeitado(a) em Comissão</t>
        </is>
      </c>
      <c r="AB1509" s="2" t="inlineStr"/>
      <c r="AC1509" s="2" t="inlineStr"/>
      <c r="AD1509" s="2" t="inlineStr">
        <is>
          <t>1</t>
        </is>
      </c>
      <c r="AE1509" s="2" t="inlineStr">
        <is>
          <t>24669</t>
        </is>
      </c>
      <c r="AF1509" s="2" t="inlineStr">
        <is>
          <t>https://www.parlamento.pt/OrcamentoEstado/Paginas/DetalhePropostaAlteracao.aspx?BID=24669</t>
        </is>
      </c>
      <c r="AG1509" s="2" t="inlineStr">
        <is>
          <t>https://app.parlamento.pt/webutils/docs/doc.pdf?path=6148523063484d364c793942556b356c6443397a6158526c63793959566b6c4a544556484c3039464c7a49774d6a59794d4449314d5441774f533951515338314d3249344d6d466d5a43316b5a4459794c545134596d55744f574a6d4e7930334e6a51354e6a46684d474d7a595467756347526d&amp;Fich=53b82afd-dd62-48be-9bf7-764961a0c3a8.pdf&amp;Inline=true</t>
        </is>
      </c>
      <c r="AH1509" s="3" t="n">
        <v>46321.77847222222</v>
      </c>
      <c r="AI1509" s="3" t="n">
        <v>46321.78055555555</v>
      </c>
      <c r="AJ1509" s="2" t="inlineStr"/>
    </row>
    <row r="1510">
      <c r="A1510" s="2" t="n">
        <v>1509</v>
      </c>
      <c r="B1510" s="2" t="inlineStr">
        <is>
          <t>1424C</t>
        </is>
      </c>
      <c r="C1510" s="3" t="n">
        <v>45968.59722222222</v>
      </c>
      <c r="D1510" s="2" t="inlineStr">
        <is>
          <t>Original</t>
        </is>
      </c>
      <c r="E1510" s="2" t="inlineStr">
        <is>
          <t>PAN</t>
        </is>
      </c>
      <c r="F1510" s="2" t="inlineStr">
        <is>
          <t>Inês de Sousa Real</t>
        </is>
      </c>
      <c r="G1510" s="2" t="inlineStr">
        <is>
          <t>Art. 120.º-A (aditamento)</t>
        </is>
      </c>
      <c r="H1510" s="2" t="n"/>
      <c r="I1510" s="2" t="n"/>
      <c r="J1510" s="2" t="n"/>
      <c r="K1510" s="2" t="n"/>
      <c r="L1510" s="2" t="inlineStr">
        <is>
          <t>Artigo 120.º-A (Comparticipação pública de programas de exercício físico)</t>
        </is>
      </c>
      <c r="M1510" s="4" t="n"/>
      <c r="N1510" s="4" t="n"/>
      <c r="O1510" s="2" t="n"/>
      <c r="P1510" s="2" t="n"/>
      <c r="Q1510" s="2" t="n"/>
      <c r="R1510" s="2" t="n"/>
      <c r="S1510" s="2" t="inlineStr">
        <is>
          <t>Rejeitado(a) em Comissão</t>
        </is>
      </c>
      <c r="T1510" s="2" t="inlineStr">
        <is>
          <t>Rejeitada</t>
        </is>
      </c>
      <c r="U1510" s="2" t="inlineStr">
        <is>
          <t>Favor: CH, L, PAN; Contra: PSD, PCP, CDS-PP; Abstenção: PS, IL, BE</t>
        </is>
      </c>
      <c r="V1510" s="3" t="n">
        <v>45985</v>
      </c>
      <c r="W1510" s="2" t="inlineStr">
        <is>
          <t>AR: https://www.parlamento.pt/OrcamentoEstado/Paginas/DetalhePropostaAlteracao.aspx?BID=24670 PDF: https://app.parlamento.pt/webutils/docs/doc.pdf?path=6148523063484d364c793942556b356c6443397a6158526c63793959566b6c4a544556484c3039464c7a49774d6a59794d4449314d5441774f533951515338784f44526d596a4e6a5a5330775a6d45794c5452684d4459744f4441315a4330324d6d51794e5452694d6a49354f5455756347526d&amp;Fich=184fb3ce-0fa2-4a06-805d-62d254b22995.pdf&amp;Inline=true</t>
        </is>
      </c>
      <c r="X1510" s="2" t="inlineStr">
        <is>
          <t>Cultura, Comunicação, Juventude e Desporto</t>
        </is>
      </c>
      <c r="Y1510" s="2" t="inlineStr">
        <is>
          <t>Articulado</t>
        </is>
      </c>
      <c r="Z1510" s="2" t="inlineStr">
        <is>
          <t>Aditamento (Artigo PPL)</t>
        </is>
      </c>
      <c r="AA1510" s="2" t="inlineStr">
        <is>
          <t>Rejeitado(a) em Comissão</t>
        </is>
      </c>
      <c r="AB1510" s="2" t="inlineStr"/>
      <c r="AC1510" s="2" t="inlineStr"/>
      <c r="AD1510" s="2" t="inlineStr">
        <is>
          <t>1</t>
        </is>
      </c>
      <c r="AE1510" s="2" t="inlineStr">
        <is>
          <t>24670</t>
        </is>
      </c>
      <c r="AF1510" s="2" t="inlineStr">
        <is>
          <t>https://www.parlamento.pt/OrcamentoEstado/Paginas/DetalhePropostaAlteracao.aspx?BID=24670</t>
        </is>
      </c>
      <c r="AG1510" s="2" t="inlineStr">
        <is>
          <t>https://app.parlamento.pt/webutils/docs/doc.pdf?path=6148523063484d364c793942556b356c6443397a6158526c63793959566b6c4a544556484c3039464c7a49774d6a59794d4449314d5441774f533951515338784f44526d596a4e6a5a5330775a6d45794c5452684d4459744f4441315a4330324d6d51794e5452694d6a49354f5455756347526d&amp;Fich=184fb3ce-0fa2-4a06-805d-62d254b22995.pdf&amp;Inline=true</t>
        </is>
      </c>
      <c r="AH1510" s="3" t="n">
        <v>46321.77847222222</v>
      </c>
      <c r="AI1510" s="3" t="n">
        <v>46321.78055555555</v>
      </c>
      <c r="AJ1510" s="2" t="inlineStr"/>
    </row>
    <row r="1511">
      <c r="A1511" s="2" t="n">
        <v>1510</v>
      </c>
      <c r="B1511" s="2" t="inlineStr">
        <is>
          <t>1425C</t>
        </is>
      </c>
      <c r="C1511" s="3" t="n">
        <v>45968.59722222222</v>
      </c>
      <c r="D1511" s="2" t="inlineStr">
        <is>
          <t>Original</t>
        </is>
      </c>
      <c r="E1511" s="2" t="inlineStr">
        <is>
          <t>BE</t>
        </is>
      </c>
      <c r="F1511" s="2" t="inlineStr">
        <is>
          <t>Mariana Mortágua</t>
        </is>
      </c>
      <c r="G1511" s="2" t="inlineStr">
        <is>
          <t>Art. 63.º-A (aditamento)</t>
        </is>
      </c>
      <c r="H1511" s="2" t="n"/>
      <c r="I1511" s="2" t="n"/>
      <c r="J1511" s="2" t="n"/>
      <c r="K1511" s="2" t="n"/>
      <c r="L1511" s="2" t="inlineStr">
        <is>
          <t>Artigo 63.º-A (Alteração ao Decreto-Lei n.º 394-B/84, de 26 de dezembro que aprovou o Código do Imposto sobre o Valor Acrescentado)</t>
        </is>
      </c>
      <c r="M1511" s="4" t="n"/>
      <c r="N1511" s="4" t="n"/>
      <c r="O1511" s="2" t="n"/>
      <c r="P1511" s="2" t="n"/>
      <c r="Q1511" s="2" t="n"/>
      <c r="R1511" s="2" t="n"/>
      <c r="S1511" s="2" t="inlineStr">
        <is>
          <t>Rejeitado(a) em Comissão</t>
        </is>
      </c>
      <c r="T1511" s="2" t="inlineStr">
        <is>
          <t>Rejeitada</t>
        </is>
      </c>
      <c r="U1511" s="2" t="inlineStr">
        <is>
          <t>Favor: CH, L, PCP, BE, PAN; Contra: PSD, CDS-PP; Abstenção: PS, IL</t>
        </is>
      </c>
      <c r="V1511" s="3" t="n">
        <v>45982</v>
      </c>
      <c r="W1511" s="2" t="inlineStr">
        <is>
          <t>AR: https://www.parlamento.pt/OrcamentoEstado/Paginas/DetalhePropostaAlteracao.aspx?BID=24671 PDF: https://app.parlamento.pt/webutils/docs/doc.pdf?path=6148523063484d364c793942556b356c6443397a6158526c63793959566b6c4a544556484c3039464c7a49774d6a59794d4449314d5441774f533951515339695a446b33595751334d433035597a526a4c5451314d6a59744f544d3159693033596a493459574e6a5a6a5a6c4f4759756347526d&amp;Fich=bd97ad70-9c4c-4526-935b-7b28accf6e8f.pdf&amp;Inline=true</t>
        </is>
      </c>
      <c r="X1511" s="2" t="inlineStr">
        <is>
          <t>Orçamento, Finanças e Administração Pública</t>
        </is>
      </c>
      <c r="Y1511" s="2" t="inlineStr">
        <is>
          <t>Articulado</t>
        </is>
      </c>
      <c r="Z1511" s="2" t="inlineStr">
        <is>
          <t>Aditamento (Artigo PPL)</t>
        </is>
      </c>
      <c r="AA1511" s="2" t="inlineStr">
        <is>
          <t>Rejeitado(a) em Comissão</t>
        </is>
      </c>
      <c r="AB1511" s="2" t="inlineStr"/>
      <c r="AC1511" s="2" t="inlineStr"/>
      <c r="AD1511" s="2" t="inlineStr">
        <is>
          <t>1</t>
        </is>
      </c>
      <c r="AE1511" s="2" t="inlineStr">
        <is>
          <t>24671</t>
        </is>
      </c>
      <c r="AF1511" s="2" t="inlineStr">
        <is>
          <t>https://www.parlamento.pt/OrcamentoEstado/Paginas/DetalhePropostaAlteracao.aspx?BID=24671</t>
        </is>
      </c>
      <c r="AG1511" s="2" t="inlineStr">
        <is>
          <t>https://app.parlamento.pt/webutils/docs/doc.pdf?path=6148523063484d364c793942556b356c6443397a6158526c63793959566b6c4a544556484c3039464c7a49774d6a59794d4449314d5441774f533951515339695a446b33595751334d433035597a526a4c5451314d6a59744f544d3159693033596a493459574e6a5a6a5a6c4f4759756347526d&amp;Fich=bd97ad70-9c4c-4526-935b-7b28accf6e8f.pdf&amp;Inline=true</t>
        </is>
      </c>
      <c r="AH1511" s="3" t="n">
        <v>46321.77847222222</v>
      </c>
      <c r="AI1511" s="3" t="n">
        <v>46321.78055555555</v>
      </c>
      <c r="AJ1511" s="2" t="inlineStr"/>
    </row>
    <row r="1512">
      <c r="A1512" s="2" t="n">
        <v>1511</v>
      </c>
      <c r="B1512" s="2" t="inlineStr">
        <is>
          <t>1426C</t>
        </is>
      </c>
      <c r="C1512" s="3" t="n">
        <v>45968.59722222222</v>
      </c>
      <c r="D1512" s="2" t="inlineStr">
        <is>
          <t>Original</t>
        </is>
      </c>
      <c r="E1512" s="2" t="inlineStr">
        <is>
          <t>L</t>
        </is>
      </c>
      <c r="F1512" s="2" t="inlineStr">
        <is>
          <t>Filipa Pinto; Isabel Mendes Lopes; Jorge Pinto; Patrícia Gonçalves; Paulo Muacho; Rui Tavares</t>
        </is>
      </c>
      <c r="G1512" s="2" t="inlineStr">
        <is>
          <t>Art. 118.º (substituição)</t>
        </is>
      </c>
      <c r="H1512" s="2" t="n"/>
      <c r="I1512" s="2" t="n"/>
      <c r="J1512" s="2" t="n"/>
      <c r="K1512" s="2" t="n"/>
      <c r="L1512" s="2" t="inlineStr">
        <is>
          <t>N.º 1, Artigo 118.º</t>
        </is>
      </c>
      <c r="M1512" s="4" t="n"/>
      <c r="N1512" s="4" t="n"/>
      <c r="O1512" s="2" t="n"/>
      <c r="P1512" s="2" t="n"/>
      <c r="Q1512" s="2" t="n"/>
      <c r="R1512" s="2" t="n"/>
      <c r="S1512" s="2" t="inlineStr">
        <is>
          <t>Rejeitado(a) em Comissão</t>
        </is>
      </c>
      <c r="T1512" s="2" t="inlineStr">
        <is>
          <t>Rejeitada</t>
        </is>
      </c>
      <c r="U1512" s="2" t="inlineStr">
        <is>
          <t>Favor: L, PCP, BE, PAN; Contra: PSD, IL, CDS-PP; Abstenção: CH, PS</t>
        </is>
      </c>
      <c r="V1512" s="3" t="n">
        <v>45985</v>
      </c>
      <c r="W1512" s="2" t="inlineStr">
        <is>
          <t>AR: https://www.parlamento.pt/OrcamentoEstado/Paginas/DetalhePropostaAlteracao.aspx?BID=24672 PDF: https://app.parlamento.pt/webutils/docs/doc.pdf?path=6148523063484d364c793942556b356c6443397a6158526c63793959566b6c4a544556484c3039464c7a49774d6a59794d4449314d5441774f533951515338314d5459774d474a6a5a4330774e4452684c545178596a63744f444a6a597930355a6d526c5a47566d4d6a4d334d3249756347526d&amp;Fich=51600bcd-044a-41b7-82cc-9fdedef2373b.pdf&amp;Inline=true</t>
        </is>
      </c>
      <c r="X1512" s="2" t="inlineStr">
        <is>
          <t>Educação e Ciência</t>
        </is>
      </c>
      <c r="Y1512" s="2" t="inlineStr">
        <is>
          <t>Articulado</t>
        </is>
      </c>
      <c r="Z1512" s="2" t="inlineStr">
        <is>
          <t>Substituição</t>
        </is>
      </c>
      <c r="AA1512" s="2" t="inlineStr">
        <is>
          <t>Rejeitado(a) em Comissão</t>
        </is>
      </c>
      <c r="AB1512" s="2" t="inlineStr"/>
      <c r="AC1512" s="2" t="inlineStr"/>
      <c r="AD1512" s="2" t="inlineStr">
        <is>
          <t>1</t>
        </is>
      </c>
      <c r="AE1512" s="2" t="inlineStr">
        <is>
          <t>24672</t>
        </is>
      </c>
      <c r="AF1512" s="2" t="inlineStr">
        <is>
          <t>https://www.parlamento.pt/OrcamentoEstado/Paginas/DetalhePropostaAlteracao.aspx?BID=24672</t>
        </is>
      </c>
      <c r="AG1512" s="2" t="inlineStr">
        <is>
          <t>https://app.parlamento.pt/webutils/docs/doc.pdf?path=6148523063484d364c793942556b356c6443397a6158526c63793959566b6c4a544556484c3039464c7a49774d6a59794d4449314d5441774f533951515338314d5459774d474a6a5a4330774e4452684c545178596a63744f444a6a597930355a6d526c5a47566d4d6a4d334d3249756347526d&amp;Fich=51600bcd-044a-41b7-82cc-9fdedef2373b.pdf&amp;Inline=true</t>
        </is>
      </c>
      <c r="AH1512" s="3" t="n">
        <v>46321.77847222222</v>
      </c>
      <c r="AI1512" s="3" t="n">
        <v>46321.78055555555</v>
      </c>
      <c r="AJ1512" s="2" t="inlineStr"/>
    </row>
    <row r="1513">
      <c r="A1513" s="2" t="n">
        <v>1512</v>
      </c>
      <c r="B1513" s="2" t="inlineStr">
        <is>
          <t>1427C</t>
        </is>
      </c>
      <c r="C1513" s="3" t="n">
        <v>45968.59791666667</v>
      </c>
      <c r="D1513" s="2" t="inlineStr">
        <is>
          <t>Original</t>
        </is>
      </c>
      <c r="E1513" s="2" t="inlineStr">
        <is>
          <t>PCP</t>
        </is>
      </c>
      <c r="F1513" s="2" t="inlineStr">
        <is>
          <t>Alfredo Maia; Paula Santos; Paulo Raimundo</t>
        </is>
      </c>
      <c r="G1513" s="2" t="inlineStr">
        <is>
          <t>Art. 118.º-A (aditamento)</t>
        </is>
      </c>
      <c r="H1513" s="2" t="n"/>
      <c r="I1513" s="2" t="n"/>
      <c r="J1513" s="2" t="n"/>
      <c r="K1513" s="2" t="n"/>
      <c r="L1513" s="2" t="inlineStr">
        <is>
          <t>Artigo 118.º-A (Reforço da ação social escolar na escolaridade obrigatória)</t>
        </is>
      </c>
      <c r="M1513" s="4" t="n"/>
      <c r="N1513" s="4" t="n"/>
      <c r="O1513" s="2" t="n"/>
      <c r="P1513" s="2" t="n"/>
      <c r="Q1513" s="2" t="n"/>
      <c r="R1513" s="2" t="n"/>
      <c r="S1513" s="2" t="inlineStr">
        <is>
          <t>Rejeitado(a) em Comissão</t>
        </is>
      </c>
      <c r="T1513" s="2" t="inlineStr">
        <is>
          <t>Rejeitada</t>
        </is>
      </c>
      <c r="U1513" s="2" t="inlineStr">
        <is>
          <t>Favor: L, PCP, BE, PAN; Contra: PSD, CDS-PP; Abstenção: CH, PS, IL</t>
        </is>
      </c>
      <c r="V1513" s="3" t="n">
        <v>45985</v>
      </c>
      <c r="W1513" s="2" t="inlineStr">
        <is>
          <t>AR: https://www.parlamento.pt/OrcamentoEstado/Paginas/DetalhePropostaAlteracao.aspx?BID=24673 PDF: https://app.parlamento.pt/webutils/docs/doc.pdf?path=6148523063484d364c793942556b356c6443397a6158526c63793959566b6c4a544556484c3039464c7a49774d6a59794d4449314d5441774f5339515153387a4f54566a4e325530595330314d546b794c5451794f446374596a51304e69316d596a686a5a4455354d7a67794f4463756347526d&amp;Fich=395c7e4a-5192-4287-b446-fb8cd5938287.pdf&amp;Inline=true</t>
        </is>
      </c>
      <c r="X1513" s="2" t="inlineStr">
        <is>
          <t>Educação e Ciência</t>
        </is>
      </c>
      <c r="Y1513" s="2" t="inlineStr">
        <is>
          <t>Articulado</t>
        </is>
      </c>
      <c r="Z1513" s="2" t="inlineStr">
        <is>
          <t>Aditamento (Artigo PPL)</t>
        </is>
      </c>
      <c r="AA1513" s="2" t="inlineStr">
        <is>
          <t>Rejeitado(a) em Comissão</t>
        </is>
      </c>
      <c r="AB1513" s="2" t="inlineStr"/>
      <c r="AC1513" s="2" t="inlineStr"/>
      <c r="AD1513" s="2" t="inlineStr">
        <is>
          <t>1</t>
        </is>
      </c>
      <c r="AE1513" s="2" t="inlineStr">
        <is>
          <t>24673</t>
        </is>
      </c>
      <c r="AF1513" s="2" t="inlineStr">
        <is>
          <t>https://www.parlamento.pt/OrcamentoEstado/Paginas/DetalhePropostaAlteracao.aspx?BID=24673</t>
        </is>
      </c>
      <c r="AG1513" s="2" t="inlineStr">
        <is>
          <t>https://app.parlamento.pt/webutils/docs/doc.pdf?path=6148523063484d364c793942556b356c6443397a6158526c63793959566b6c4a544556484c3039464c7a49774d6a59794d4449314d5441774f5339515153387a4f54566a4e325530595330314d546b794c5451794f446374596a51304e69316d596a686a5a4455354d7a67794f4463756347526d&amp;Fich=395c7e4a-5192-4287-b446-fb8cd5938287.pdf&amp;Inline=true</t>
        </is>
      </c>
      <c r="AH1513" s="3" t="n">
        <v>46321.77847222222</v>
      </c>
      <c r="AI1513" s="3" t="n">
        <v>46321.78055555555</v>
      </c>
      <c r="AJ1513" s="2" t="inlineStr"/>
    </row>
    <row r="1514">
      <c r="A1514" s="2" t="n">
        <v>1513</v>
      </c>
      <c r="B1514" s="2" t="inlineStr">
        <is>
          <t>1428C-1</t>
        </is>
      </c>
      <c r="C1514" s="3" t="n">
        <v>45968.59791666667</v>
      </c>
      <c r="D1514" s="2" t="inlineStr">
        <is>
          <t>Original</t>
        </is>
      </c>
      <c r="E1514" s="2" t="inlineStr">
        <is>
          <t>PS</t>
        </is>
      </c>
      <c r="F1514" s="2" t="inlineStr">
        <is>
          <t>António Mendonça Mendes; Eurico Brilhante Dias; José Luís Carneiro; Marina Gonçalves; Miguel Matos; Paulo Lopes Silva; Porfírio Silva</t>
        </is>
      </c>
      <c r="G1514" s="2" t="inlineStr">
        <is>
          <t>Art. 118.º-A (aditamento)</t>
        </is>
      </c>
      <c r="H1514" s="2" t="n"/>
      <c r="I1514" s="2" t="n"/>
      <c r="J1514" s="2" t="n"/>
      <c r="K1514" s="2" t="n"/>
      <c r="L1514" s="2" t="inlineStr">
        <is>
          <t>Artigo 118.º-A (Programa de Capacitação para Entidades da Cultura Popular e Tradicional)</t>
        </is>
      </c>
      <c r="M1514" s="4" t="n"/>
      <c r="N1514" s="4" t="n"/>
      <c r="O1514" s="2" t="n"/>
      <c r="P1514" s="2" t="n"/>
      <c r="Q1514" s="2" t="n"/>
      <c r="R1514" s="2" t="n"/>
      <c r="S1514" s="2" t="inlineStr">
        <is>
          <t>Rejeitado(a) em Comissão</t>
        </is>
      </c>
      <c r="T1514" s="2" t="inlineStr">
        <is>
          <t>Rejeitada</t>
        </is>
      </c>
      <c r="U1514" s="2" t="inlineStr">
        <is>
          <t>Favor: PS, L, PCP, BE; Contra: PSD, IL, CDS-PP; Abstenção: CH, PAN</t>
        </is>
      </c>
      <c r="V1514" s="3" t="n">
        <v>45985</v>
      </c>
      <c r="W1514" s="2" t="inlineStr">
        <is>
          <t>AR: https://www.parlamento.pt/OrcamentoEstado/Paginas/DetalhePropostaAlteracao.aspx?BID=24674 PDF: https://app.parlamento.pt/webutils/docs/doc.pdf?path=6148523063484d364c793942556b356c6443397a6158526c63793959566b6c4a544556484c3039464c7a49774d6a59794d4449314d5441774f53395151533830595759334d44646b4f43316b5a544e6b4c5451774e7a6b744f546c6a4d53316d4d7a45314d474977595441304e5445756347526d&amp;Fich=4af707d8-de3d-4079-99c1-f3150b0a0451.pdf&amp;Inline=true</t>
        </is>
      </c>
      <c r="X1514" s="2" t="inlineStr">
        <is>
          <t>Cultura, Comunicação, Juventude e Desporto; Orçamento, Finanças e Administração Pública</t>
        </is>
      </c>
      <c r="Y1514" s="2" t="inlineStr">
        <is>
          <t>Articulado</t>
        </is>
      </c>
      <c r="Z1514" s="2" t="inlineStr">
        <is>
          <t>Aditamento (Artigo PPL)</t>
        </is>
      </c>
      <c r="AA1514" s="2" t="inlineStr">
        <is>
          <t>Rejeitado(a) em Comissão</t>
        </is>
      </c>
      <c r="AB1514" s="2" t="inlineStr"/>
      <c r="AC1514" s="2" t="inlineStr">
        <is>
          <t>1</t>
        </is>
      </c>
      <c r="AD1514" s="2" t="inlineStr">
        <is>
          <t>1</t>
        </is>
      </c>
      <c r="AE1514" s="2" t="inlineStr">
        <is>
          <t>24674</t>
        </is>
      </c>
      <c r="AF1514" s="2" t="inlineStr">
        <is>
          <t>https://www.parlamento.pt/OrcamentoEstado/Paginas/DetalhePropostaAlteracao.aspx?BID=24674</t>
        </is>
      </c>
      <c r="AG1514" s="2" t="inlineStr">
        <is>
          <t>https://app.parlamento.pt/webutils/docs/doc.pdf?path=6148523063484d364c793942556b356c6443397a6158526c63793959566b6c4a544556484c3039464c7a49774d6a59794d4449314d5441774f53395151533830595759334d44646b4f43316b5a544e6b4c5451774e7a6b744f546c6a4d53316d4d7a45314d474977595441304e5445756347526d&amp;Fich=4af707d8-de3d-4079-99c1-f3150b0a0451.pdf&amp;Inline=true</t>
        </is>
      </c>
      <c r="AH1514" s="3" t="n">
        <v>46321.77847222222</v>
      </c>
      <c r="AI1514" s="3" t="n">
        <v>46321.78055555555</v>
      </c>
      <c r="AJ1514" s="2" t="inlineStr"/>
    </row>
    <row r="1515">
      <c r="A1515" s="2" t="n">
        <v>1514</v>
      </c>
      <c r="B1515" s="2" t="inlineStr">
        <is>
          <t>1428C-2</t>
        </is>
      </c>
      <c r="C1515" s="3" t="n">
        <v>45968.59791666667</v>
      </c>
      <c r="D1515" s="2" t="inlineStr">
        <is>
          <t>Original</t>
        </is>
      </c>
      <c r="E1515" s="2" t="inlineStr">
        <is>
          <t>PS</t>
        </is>
      </c>
      <c r="F1515" s="2" t="inlineStr">
        <is>
          <t>António Mendonça Mendes; Eurico Brilhante Dias; José Luís Carneiro; Marina Gonçalves; Miguel Matos; Paulo Lopes Silva; Porfírio Silva</t>
        </is>
      </c>
      <c r="G1515" s="2" t="inlineStr">
        <is>
          <t>Art. 7.º (aditamento)</t>
        </is>
      </c>
      <c r="H1515" s="2" t="n"/>
      <c r="I1515" s="2" t="n"/>
      <c r="J1515" s="2" t="n"/>
      <c r="K1515" s="2" t="n"/>
      <c r="L1515" s="2" t="inlineStr">
        <is>
          <t>Nova Verba 105, Mapa de alterações e transferências orçamentais, Artigo 7.º</t>
        </is>
      </c>
      <c r="M1515" s="4" t="n"/>
      <c r="N1515" s="4" t="n"/>
      <c r="O1515" s="2" t="n"/>
      <c r="P1515" s="2" t="n"/>
      <c r="Q1515" s="2" t="n"/>
      <c r="R1515" s="2" t="n"/>
      <c r="S1515" s="2" t="inlineStr">
        <is>
          <t>Rejeitado(a) em Comissão</t>
        </is>
      </c>
      <c r="T1515" s="2" t="inlineStr">
        <is>
          <t>Rejeitada</t>
        </is>
      </c>
      <c r="U1515" s="2" t="inlineStr">
        <is>
          <t>Favor: PS, L, PCP, BE; Contra: PSD, IL, CDS-PP; Abstenção: CH, PAN</t>
        </is>
      </c>
      <c r="V1515" s="3" t="n">
        <v>45987</v>
      </c>
      <c r="W1515" s="2" t="inlineStr">
        <is>
          <t>AR: https://www.parlamento.pt/OrcamentoEstado/Paginas/DetalhePropostaAlteracao.aspx?BID=25334 PDF: https://app.parlamento.pt/webutils/docs/doc.pdf?path=6148523063484d364c793942556b356c6443397a6158526c63793959566b6c4a544556484c3039464c7a49774d6a59794d4449314d5441774f5339515153396c4e47526b5a6a55334e6930354d5463344c5451324d6a4974596a45334d43316a5a4759304d5442685a474d31596a41756347526d&amp;Fich=e4ddf576-9178-4622-b170-cdf410adc5b0.pdf&amp;Inline=true</t>
        </is>
      </c>
      <c r="X1515" s="2" t="inlineStr">
        <is>
          <t>Cultura, Comunicação, Juventude e Desporto; Orçamento, Finanças e Administração Pública</t>
        </is>
      </c>
      <c r="Y1515" s="2" t="inlineStr">
        <is>
          <t>Articulado</t>
        </is>
      </c>
      <c r="Z1515" s="2" t="inlineStr">
        <is>
          <t>Aditamento (Números e Alíneas)</t>
        </is>
      </c>
      <c r="AA1515" s="2" t="inlineStr">
        <is>
          <t>Rejeitado(a) em Comissão</t>
        </is>
      </c>
      <c r="AB1515" s="2" t="inlineStr"/>
      <c r="AC1515" s="2" t="inlineStr">
        <is>
          <t>2</t>
        </is>
      </c>
      <c r="AD1515" s="2" t="inlineStr">
        <is>
          <t>1</t>
        </is>
      </c>
      <c r="AE1515" s="2" t="inlineStr">
        <is>
          <t>25334</t>
        </is>
      </c>
      <c r="AF1515" s="2" t="inlineStr">
        <is>
          <t>https://www.parlamento.pt/OrcamentoEstado/Paginas/DetalhePropostaAlteracao.aspx?BID=25334</t>
        </is>
      </c>
      <c r="AG1515" s="2" t="inlineStr">
        <is>
          <t>https://app.parlamento.pt/webutils/docs/doc.pdf?path=6148523063484d364c793942556b356c6443397a6158526c63793959566b6c4a544556484c3039464c7a49774d6a59794d4449314d5441774f5339515153396c4e47526b5a6a55334e6930354d5463344c5451324d6a4974596a45334d43316a5a4759304d5442685a474d31596a41756347526d&amp;Fich=e4ddf576-9178-4622-b170-cdf410adc5b0.pdf&amp;Inline=true</t>
        </is>
      </c>
      <c r="AH1515" s="3" t="n">
        <v>46321.77847222222</v>
      </c>
      <c r="AI1515" s="3" t="n">
        <v>46321.78055555555</v>
      </c>
      <c r="AJ1515" s="2" t="inlineStr"/>
    </row>
    <row r="1516">
      <c r="A1516" s="2" t="n">
        <v>1515</v>
      </c>
      <c r="B1516" s="2" t="inlineStr">
        <is>
          <t>1429C</t>
        </is>
      </c>
      <c r="C1516" s="3" t="n">
        <v>45968.59861111111</v>
      </c>
      <c r="D1516" s="2" t="inlineStr">
        <is>
          <t>Original</t>
        </is>
      </c>
      <c r="E1516" s="2" t="inlineStr">
        <is>
          <t>PCP</t>
        </is>
      </c>
      <c r="F1516" s="2" t="inlineStr">
        <is>
          <t>Alfredo Maia; Paula Santos; Paulo Raimundo</t>
        </is>
      </c>
      <c r="G1516" s="2" t="inlineStr">
        <is>
          <t>Art. 136.º-A (aditamento)</t>
        </is>
      </c>
      <c r="H1516" s="2" t="n"/>
      <c r="I1516" s="2" t="n"/>
      <c r="J1516" s="2" t="n"/>
      <c r="K1516" s="2" t="n"/>
      <c r="L1516" s="2" t="inlineStr">
        <is>
          <t>Artigo 136.º-A (Alteração à Lei n.º 47/2006, de 28 de agosto)</t>
        </is>
      </c>
      <c r="M1516" s="4" t="n"/>
      <c r="N1516" s="4" t="n"/>
      <c r="O1516" s="2" t="n"/>
      <c r="P1516" s="2" t="n"/>
      <c r="Q1516" s="2" t="n"/>
      <c r="R1516" s="2" t="n"/>
      <c r="S1516" s="2" t="inlineStr">
        <is>
          <t>Rejeitado(a) em Comissão</t>
        </is>
      </c>
      <c r="T1516" s="2" t="inlineStr">
        <is>
          <t>Rejeitada</t>
        </is>
      </c>
      <c r="U1516" s="2" t="inlineStr">
        <is>
          <t>Favor: L, PCP, BE, PAN; Contra: PSD, CDS-PP; Abstenção: CH, PS, IL</t>
        </is>
      </c>
      <c r="V1516" s="3" t="n">
        <v>45987</v>
      </c>
      <c r="W1516" s="2" t="inlineStr">
        <is>
          <t>AR: https://www.parlamento.pt/OrcamentoEstado/Paginas/DetalhePropostaAlteracao.aspx?BID=24675 PDF: https://app.parlamento.pt/webutils/docs/doc.pdf?path=6148523063484d364c793942556b356c6443397a6158526c63793959566b6c4a544556484c3039464c7a49774d6a59794d4449314d5441774f5339515153396d597a64695a44597a4f53316b5a54566a4c5451335a4467744f5756684f43307a59575530596a597a4e4445314e446b756347526d&amp;Fich=fc7bd639-de5c-47d8-9ea8-3ae4b6341549.pdf&amp;Inline=true</t>
        </is>
      </c>
      <c r="X1516" s="2" t="inlineStr">
        <is>
          <t>Educação e Ciência</t>
        </is>
      </c>
      <c r="Y1516" s="2" t="inlineStr">
        <is>
          <t>Articulado</t>
        </is>
      </c>
      <c r="Z1516" s="2" t="inlineStr">
        <is>
          <t>Aditamento (Artigo PPL)</t>
        </is>
      </c>
      <c r="AA1516" s="2" t="inlineStr">
        <is>
          <t>Rejeitado(a) em Comissão</t>
        </is>
      </c>
      <c r="AB1516" s="2" t="inlineStr"/>
      <c r="AC1516" s="2" t="inlineStr"/>
      <c r="AD1516" s="2" t="inlineStr">
        <is>
          <t>1</t>
        </is>
      </c>
      <c r="AE1516" s="2" t="inlineStr">
        <is>
          <t>24675</t>
        </is>
      </c>
      <c r="AF1516" s="2" t="inlineStr">
        <is>
          <t>https://www.parlamento.pt/OrcamentoEstado/Paginas/DetalhePropostaAlteracao.aspx?BID=24675</t>
        </is>
      </c>
      <c r="AG1516" s="2" t="inlineStr">
        <is>
          <t>https://app.parlamento.pt/webutils/docs/doc.pdf?path=6148523063484d364c793942556b356c6443397a6158526c63793959566b6c4a544556484c3039464c7a49774d6a59794d4449314d5441774f5339515153396d597a64695a44597a4f53316b5a54566a4c5451335a4467744f5756684f43307a59575530596a597a4e4445314e446b756347526d&amp;Fich=fc7bd639-de5c-47d8-9ea8-3ae4b6341549.pdf&amp;Inline=true</t>
        </is>
      </c>
      <c r="AH1516" s="3" t="n">
        <v>46321.77847222222</v>
      </c>
      <c r="AI1516" s="3" t="n">
        <v>46321.78055555555</v>
      </c>
      <c r="AJ1516" s="2" t="inlineStr"/>
    </row>
    <row r="1517">
      <c r="A1517" s="2" t="n">
        <v>1516</v>
      </c>
      <c r="B1517" s="2" t="inlineStr">
        <is>
          <t>1430C</t>
        </is>
      </c>
      <c r="C1517" s="3" t="n">
        <v>45968.59861111111</v>
      </c>
      <c r="D1517" s="2" t="inlineStr">
        <is>
          <t>Original</t>
        </is>
      </c>
      <c r="E1517" s="2" t="inlineStr">
        <is>
          <t>PAN</t>
        </is>
      </c>
      <c r="F1517" s="2" t="inlineStr">
        <is>
          <t>Inês de Sousa Real</t>
        </is>
      </c>
      <c r="G1517" s="2" t="inlineStr">
        <is>
          <t>Art. 115.º-A (aditamento)</t>
        </is>
      </c>
      <c r="H1517" s="2" t="n"/>
      <c r="I1517" s="2" t="n"/>
      <c r="J1517" s="2" t="n"/>
      <c r="K1517" s="2" t="n"/>
      <c r="L1517" s="2" t="inlineStr">
        <is>
          <t>Artigo 115.º-A (Plano Nacional de Combate à Violência Sexual Baseada em Imagens)</t>
        </is>
      </c>
      <c r="M1517" s="4" t="n"/>
      <c r="N1517" s="4" t="n"/>
      <c r="O1517" s="2" t="n"/>
      <c r="P1517" s="2" t="n"/>
      <c r="Q1517" s="2" t="n"/>
      <c r="R1517" s="2" t="n"/>
      <c r="S1517" s="2" t="inlineStr">
        <is>
          <t>Rejeitado(a) em Comissão</t>
        </is>
      </c>
      <c r="T1517" s="2" t="inlineStr">
        <is>
          <t>Rejeitada</t>
        </is>
      </c>
      <c r="U1517" s="2" t="inlineStr">
        <is>
          <t>Favor: CH, IL, L, PCP, BE, PAN; Contra: PSD, CDS-PP; Abstenção: PS</t>
        </is>
      </c>
      <c r="V1517" s="3" t="n">
        <v>45985</v>
      </c>
      <c r="W1517" s="2" t="inlineStr">
        <is>
          <t>AR: https://www.parlamento.pt/OrcamentoEstado/Paginas/DetalhePropostaAlteracao.aspx?BID=24676 PDF: https://app.parlamento.pt/webutils/docs/doc.pdf?path=6148523063484d364c793942556b356c6443397a6158526c63793959566b6c4a544556484c3039464c7a49774d6a59794d4449314d5441774f533951515338784e474d314f4759784d5330304d7a41304c54526c4e7a63744f5759795a433169597a6b7a4e7a6b344f5451354f5445756347526d&amp;Fich=14c58f11-4304-4e77-9f2d-bc9379894991.pdf&amp;Inline=true</t>
        </is>
      </c>
      <c r="X1517" s="2" t="inlineStr">
        <is>
          <t>Assuntos Constitucionais, Direitos, Liberdades e Garantias</t>
        </is>
      </c>
      <c r="Y1517" s="2" t="inlineStr">
        <is>
          <t>Articulado</t>
        </is>
      </c>
      <c r="Z1517" s="2" t="inlineStr">
        <is>
          <t>Aditamento (Artigo PPL)</t>
        </is>
      </c>
      <c r="AA1517" s="2" t="inlineStr">
        <is>
          <t>Rejeitado(a) em Comissão</t>
        </is>
      </c>
      <c r="AB1517" s="2" t="inlineStr"/>
      <c r="AC1517" s="2" t="inlineStr"/>
      <c r="AD1517" s="2" t="inlineStr">
        <is>
          <t>1</t>
        </is>
      </c>
      <c r="AE1517" s="2" t="inlineStr">
        <is>
          <t>24676</t>
        </is>
      </c>
      <c r="AF1517" s="2" t="inlineStr">
        <is>
          <t>https://www.parlamento.pt/OrcamentoEstado/Paginas/DetalhePropostaAlteracao.aspx?BID=24676</t>
        </is>
      </c>
      <c r="AG1517" s="2" t="inlineStr">
        <is>
          <t>https://app.parlamento.pt/webutils/docs/doc.pdf?path=6148523063484d364c793942556b356c6443397a6158526c63793959566b6c4a544556484c3039464c7a49774d6a59794d4449314d5441774f533951515338784e474d314f4759784d5330304d7a41304c54526c4e7a63744f5759795a433169597a6b7a4e7a6b344f5451354f5445756347526d&amp;Fich=14c58f11-4304-4e77-9f2d-bc9379894991.pdf&amp;Inline=true</t>
        </is>
      </c>
      <c r="AH1517" s="3" t="n">
        <v>46321.77847222222</v>
      </c>
      <c r="AI1517" s="3" t="n">
        <v>46321.78055555555</v>
      </c>
      <c r="AJ1517" s="2" t="inlineStr"/>
    </row>
    <row r="1518">
      <c r="A1518" s="2" t="n">
        <v>1517</v>
      </c>
      <c r="B1518" s="2" t="inlineStr">
        <is>
          <t>1431C</t>
        </is>
      </c>
      <c r="C1518" s="3" t="n">
        <v>45968.59861111111</v>
      </c>
      <c r="D1518" s="2" t="inlineStr">
        <is>
          <t>Original</t>
        </is>
      </c>
      <c r="E1518" s="2" t="inlineStr">
        <is>
          <t>JPP</t>
        </is>
      </c>
      <c r="F1518" s="2" t="inlineStr">
        <is>
          <t>Filipe Sousa</t>
        </is>
      </c>
      <c r="G1518" s="2" t="inlineStr">
        <is>
          <t>Art. 68.º-A (aditamento)</t>
        </is>
      </c>
      <c r="H1518" s="2" t="n"/>
      <c r="I1518" s="2" t="n"/>
      <c r="J1518" s="2" t="n"/>
      <c r="K1518" s="2" t="n"/>
      <c r="L1518" s="2" t="inlineStr">
        <is>
          <t>Artigo 68.º-A (Sujeição a IMI de imóveis públicos afetos à exploração privada)</t>
        </is>
      </c>
      <c r="M1518" s="4" t="n"/>
      <c r="N1518" s="4" t="n"/>
      <c r="O1518" s="2" t="n"/>
      <c r="P1518" s="2" t="n"/>
      <c r="Q1518" s="2" t="n"/>
      <c r="R1518" s="2" t="n"/>
      <c r="S1518" s="2" t="inlineStr">
        <is>
          <t>Rejeitado(a) em Comissão</t>
        </is>
      </c>
      <c r="T1518" s="2" t="inlineStr">
        <is>
          <t>Rejeitada</t>
        </is>
      </c>
      <c r="U1518" s="2" t="inlineStr">
        <is>
          <t>Favor: L, PCP, BE, PAN; Contra: PSD, CDS-PP; Abstenção: CH, PS, IL</t>
        </is>
      </c>
      <c r="V1518" s="3" t="n">
        <v>45982</v>
      </c>
      <c r="W1518" s="2" t="inlineStr">
        <is>
          <t>AR: https://www.parlamento.pt/OrcamentoEstado/Paginas/DetalhePropostaAlteracao.aspx?BID=24677 PDF: https://app.parlamento.pt/webutils/docs/doc.pdf?path=6148523063484d364c793942556b356c6443397a6158526c63793959566b6c4a544556484c3039464c7a49774d6a59794d4449314d5441774f533951515338355a445a6d4f544e6b4d6930354e6d526a4c54526a4e5745744f546c6c4d5330774f44457a4e6a49335a6a41345a5759756347526d&amp;Fich=9d6f93d2-96dc-4c5a-99e1-0813627f08ef.pdf&amp;Inline=true</t>
        </is>
      </c>
      <c r="X1518" s="2" t="inlineStr">
        <is>
          <t>Orçamento, Finanças e Administração Pública</t>
        </is>
      </c>
      <c r="Y1518" s="2" t="inlineStr">
        <is>
          <t>Articulado</t>
        </is>
      </c>
      <c r="Z1518" s="2" t="inlineStr">
        <is>
          <t>Aditamento (Artigo PPL)</t>
        </is>
      </c>
      <c r="AA1518" s="2" t="inlineStr">
        <is>
          <t>Rejeitado(a) em Comissão</t>
        </is>
      </c>
      <c r="AB1518" s="2" t="inlineStr"/>
      <c r="AC1518" s="2" t="inlineStr"/>
      <c r="AD1518" s="2" t="inlineStr">
        <is>
          <t>1</t>
        </is>
      </c>
      <c r="AE1518" s="2" t="inlineStr">
        <is>
          <t>24677</t>
        </is>
      </c>
      <c r="AF1518" s="2" t="inlineStr">
        <is>
          <t>https://www.parlamento.pt/OrcamentoEstado/Paginas/DetalhePropostaAlteracao.aspx?BID=24677</t>
        </is>
      </c>
      <c r="AG1518" s="2" t="inlineStr">
        <is>
          <t>https://app.parlamento.pt/webutils/docs/doc.pdf?path=6148523063484d364c793942556b356c6443397a6158526c63793959566b6c4a544556484c3039464c7a49774d6a59794d4449314d5441774f533951515338355a445a6d4f544e6b4d6930354e6d526a4c54526a4e5745744f546c6c4d5330774f44457a4e6a49335a6a41345a5759756347526d&amp;Fich=9d6f93d2-96dc-4c5a-99e1-0813627f08ef.pdf&amp;Inline=true</t>
        </is>
      </c>
      <c r="AH1518" s="3" t="n">
        <v>46321.77847222222</v>
      </c>
      <c r="AI1518" s="3" t="n">
        <v>46321.78055555555</v>
      </c>
      <c r="AJ1518" s="2" t="inlineStr"/>
    </row>
    <row r="1519">
      <c r="A1519" s="2" t="n">
        <v>1518</v>
      </c>
      <c r="B1519" s="2" t="inlineStr">
        <is>
          <t>1432C</t>
        </is>
      </c>
      <c r="C1519" s="3" t="n">
        <v>45968.59861111111</v>
      </c>
      <c r="D1519" s="2" t="inlineStr">
        <is>
          <t>Original</t>
        </is>
      </c>
      <c r="E1519" s="2" t="inlineStr">
        <is>
          <t>PS</t>
        </is>
      </c>
      <c r="F1519" s="2" t="inlineStr">
        <is>
          <t>António Mendonça Mendes; Eurico Brilhante Dias; José Luís Carneiro; Marina Gonçalves; Miguel Matos; Paulo Lopes Silva; Porfírio Silva</t>
        </is>
      </c>
      <c r="G1519" s="2" t="inlineStr">
        <is>
          <t>Art. 60.º (aditamento)</t>
        </is>
      </c>
      <c r="H1519" s="2" t="n"/>
      <c r="I1519" s="2" t="n"/>
      <c r="J1519" s="2" t="n"/>
      <c r="K1519" s="2" t="n"/>
      <c r="L1519" s="2" t="inlineStr">
        <is>
          <t>Alínea g), Alínea h), Alínea i), Alínea j), Alínea k), Alínea l), N.º 1, Artigo 78.º-F do Código do IRS</t>
        </is>
      </c>
      <c r="M1519" s="4" t="n"/>
      <c r="N1519" s="4" t="n"/>
      <c r="O1519" s="2" t="n"/>
      <c r="P1519" s="2" t="n"/>
      <c r="Q1519" s="2" t="n"/>
      <c r="R1519" s="2" t="n"/>
      <c r="S1519" s="2" t="inlineStr">
        <is>
          <t>Aprovado(a) em Comissão</t>
        </is>
      </c>
      <c r="T1519" s="2" t="inlineStr">
        <is>
          <t>Aprovada</t>
        </is>
      </c>
      <c r="U1519" s="2" t="inlineStr">
        <is>
          <t>Favor: PS, IL, L, BE, PAN; Abstenção: PSD, CH, PCP, CDS-PP</t>
        </is>
      </c>
      <c r="V1519" s="3" t="n">
        <v>45981</v>
      </c>
      <c r="W1519" s="2" t="inlineStr">
        <is>
          <t>AR: https://www.parlamento.pt/OrcamentoEstado/Paginas/DetalhePropostaAlteracao.aspx?BID=24678 PDF: https://app.parlamento.pt/webutils/docs/doc.pdf?path=6148523063484d364c793942556b356c6443397a6158526c63793959566b6c4a544556484c3039464c7a49774d6a59794d4449314d5441774f533951515338774e5451344e6a41785a69307a596a45794c5451334d6d4574596a46695953316d5957557a5a6a6778593249354d5451756347526d&amp;Fich=0548601f-3b12-472a-b1ba-fae3f81cb914.pdf&amp;Inline=true</t>
        </is>
      </c>
      <c r="X1519" s="2" t="inlineStr">
        <is>
          <t>Cultura, Comunicação, Juventude e Desporto; Orçamento, Finanças e Administração Pública</t>
        </is>
      </c>
      <c r="Y1519" s="2" t="inlineStr">
        <is>
          <t>Articulado</t>
        </is>
      </c>
      <c r="Z1519" s="2" t="inlineStr">
        <is>
          <t>Aditamento (Números e Alíneas)</t>
        </is>
      </c>
      <c r="AA1519" s="2" t="inlineStr">
        <is>
          <t>Aprovado(a) em Comissão</t>
        </is>
      </c>
      <c r="AB1519" s="2" t="inlineStr"/>
      <c r="AC1519" s="2" t="inlineStr"/>
      <c r="AD1519" s="2" t="inlineStr">
        <is>
          <t>1</t>
        </is>
      </c>
      <c r="AE1519" s="2" t="inlineStr">
        <is>
          <t>24678</t>
        </is>
      </c>
      <c r="AF1519" s="2" t="inlineStr">
        <is>
          <t>https://www.parlamento.pt/OrcamentoEstado/Paginas/DetalhePropostaAlteracao.aspx?BID=24678</t>
        </is>
      </c>
      <c r="AG1519" s="2" t="inlineStr">
        <is>
          <t>https://app.parlamento.pt/webutils/docs/doc.pdf?path=6148523063484d364c793942556b356c6443397a6158526c63793959566b6c4a544556484c3039464c7a49774d6a59794d4449314d5441774f533951515338774e5451344e6a41785a69307a596a45794c5451334d6d4574596a46695953316d5957557a5a6a6778593249354d5451756347526d&amp;Fich=0548601f-3b12-472a-b1ba-fae3f81cb914.pdf&amp;Inline=true</t>
        </is>
      </c>
      <c r="AH1519" s="3" t="n">
        <v>46321.77847222222</v>
      </c>
      <c r="AI1519" s="3" t="n">
        <v>46321.78055555555</v>
      </c>
      <c r="AJ1519" s="2" t="inlineStr"/>
    </row>
    <row r="1520">
      <c r="A1520" s="2" t="n">
        <v>1519</v>
      </c>
      <c r="B1520" s="2" t="inlineStr">
        <is>
          <t>1433C-1</t>
        </is>
      </c>
      <c r="C1520" s="3" t="n">
        <v>45968.59861111111</v>
      </c>
      <c r="D1520" s="2" t="inlineStr">
        <is>
          <t>Original</t>
        </is>
      </c>
      <c r="E1520" s="2" t="inlineStr">
        <is>
          <t>PS</t>
        </is>
      </c>
      <c r="F1520" s="2" t="inlineStr">
        <is>
          <t>António Mendonça Mendes; Eurico Brilhante Dias; Hugo Costa; José Luís Carneiro; Marina Gonçalves; Miguel Matos; Nuno Fazenda</t>
        </is>
      </c>
      <c r="G1520" s="2" t="inlineStr">
        <is>
          <t>Art. 136.º-A (aditamento)</t>
        </is>
      </c>
      <c r="H1520" s="2" t="n"/>
      <c r="I1520" s="2" t="n"/>
      <c r="J1520" s="2" t="n"/>
      <c r="K1520" s="2" t="n"/>
      <c r="L1520" s="2" t="inlineStr">
        <is>
          <t>Artigo 136.º-A (Contratos Territoriais de Desenvolvimento)</t>
        </is>
      </c>
      <c r="M1520" s="4" t="n"/>
      <c r="N1520" s="4" t="n"/>
      <c r="O1520" s="2" t="n"/>
      <c r="P1520" s="2" t="n"/>
      <c r="Q1520" s="2" t="n"/>
      <c r="R1520" s="2" t="n"/>
      <c r="S1520" s="2" t="inlineStr">
        <is>
          <t>Rejeitado(a) em Comissão</t>
        </is>
      </c>
      <c r="T1520" s="2" t="inlineStr">
        <is>
          <t>Rejeitada</t>
        </is>
      </c>
      <c r="U1520" s="2" t="inlineStr">
        <is>
          <t>Favor: PS, L, PCP, BE, PAN; Contra: PSD, IL, CDS-PP; Abstenção: CH</t>
        </is>
      </c>
      <c r="V1520" s="3" t="n">
        <v>45987</v>
      </c>
      <c r="W1520" s="2" t="inlineStr">
        <is>
          <t>AR: https://www.parlamento.pt/OrcamentoEstado/Paginas/DetalhePropostaAlteracao.aspx?BID=24679 PDF: https://app.parlamento.pt/webutils/docs/doc.pdf?path=6148523063484d364c793942556b356c6443397a6158526c63793959566b6c4a544556484c3039464c7a49774d6a59794d4449314d5441774f533951515338304e3259344f4752684d6930344d3255354c54526a5a4755744f44686c4e69316c4e6d55774d4749305a4441324d6a63756347526d&amp;Fich=47f88da2-83e9-4cde-88e6-e6e00b4d0627.pdf&amp;Inline=true</t>
        </is>
      </c>
      <c r="X1520" s="2" t="inlineStr">
        <is>
          <t>Comissão de Economia e Coesão Territorial; Orçamento, Finanças e Administração Pública</t>
        </is>
      </c>
      <c r="Y1520" s="2" t="inlineStr">
        <is>
          <t>Articulado</t>
        </is>
      </c>
      <c r="Z1520" s="2" t="inlineStr">
        <is>
          <t>Aditamento (Artigo PPL)</t>
        </is>
      </c>
      <c r="AA1520" s="2" t="inlineStr">
        <is>
          <t>Rejeitado(a) em Comissão</t>
        </is>
      </c>
      <c r="AB1520" s="2" t="inlineStr"/>
      <c r="AC1520" s="2" t="inlineStr">
        <is>
          <t>1</t>
        </is>
      </c>
      <c r="AD1520" s="2" t="inlineStr">
        <is>
          <t>1</t>
        </is>
      </c>
      <c r="AE1520" s="2" t="inlineStr">
        <is>
          <t>24679</t>
        </is>
      </c>
      <c r="AF1520" s="2" t="inlineStr">
        <is>
          <t>https://www.parlamento.pt/OrcamentoEstado/Paginas/DetalhePropostaAlteracao.aspx?BID=24679</t>
        </is>
      </c>
      <c r="AG1520" s="2" t="inlineStr">
        <is>
          <t>https://app.parlamento.pt/webutils/docs/doc.pdf?path=6148523063484d364c793942556b356c6443397a6158526c63793959566b6c4a544556484c3039464c7a49774d6a59794d4449314d5441774f533951515338304e3259344f4752684d6930344d3255354c54526a5a4755744f44686c4e69316c4e6d55774d4749305a4441324d6a63756347526d&amp;Fich=47f88da2-83e9-4cde-88e6-e6e00b4d0627.pdf&amp;Inline=true</t>
        </is>
      </c>
      <c r="AH1520" s="3" t="n">
        <v>46321.77847222222</v>
      </c>
      <c r="AI1520" s="3" t="n">
        <v>46321.78055555555</v>
      </c>
      <c r="AJ1520" s="2" t="inlineStr"/>
    </row>
    <row r="1521">
      <c r="A1521" s="2" t="n">
        <v>1520</v>
      </c>
      <c r="B1521" s="2" t="inlineStr">
        <is>
          <t>1433C-2</t>
        </is>
      </c>
      <c r="C1521" s="3" t="n">
        <v>45968.59861111111</v>
      </c>
      <c r="D1521" s="2" t="inlineStr">
        <is>
          <t>Original</t>
        </is>
      </c>
      <c r="E1521" s="2" t="inlineStr">
        <is>
          <t>PS</t>
        </is>
      </c>
      <c r="F1521" s="2" t="inlineStr">
        <is>
          <t>António Mendonça Mendes; Eurico Brilhante Dias; Hugo Costa; José Luís Carneiro; Marina Gonçalves; Miguel Matos; Nuno Fazenda</t>
        </is>
      </c>
      <c r="G1521" s="2" t="inlineStr">
        <is>
          <t>Art. 7.º (aditamento)</t>
        </is>
      </c>
      <c r="H1521" s="2" t="n"/>
      <c r="I1521" s="2" t="n"/>
      <c r="J1521" s="2" t="n"/>
      <c r="K1521" s="2" t="n"/>
      <c r="L1521" s="2" t="inlineStr">
        <is>
          <t>Verba 107, Mapa de alterações e transferências orçamentais, Artigo 7.º</t>
        </is>
      </c>
      <c r="M1521" s="4" t="n"/>
      <c r="N1521" s="4" t="n"/>
      <c r="O1521" s="2" t="n"/>
      <c r="P1521" s="2" t="n"/>
      <c r="Q1521" s="2" t="n"/>
      <c r="R1521" s="2" t="n"/>
      <c r="S1521" s="2" t="inlineStr">
        <is>
          <t>Rejeitado(a) em Comissão</t>
        </is>
      </c>
      <c r="T1521" s="2" t="inlineStr">
        <is>
          <t>Rejeitada</t>
        </is>
      </c>
      <c r="U1521" s="2" t="inlineStr">
        <is>
          <t>Favor: PS, L, PCP, BE, PAN; Contra: PSD, IL, CDS-PP; Abstenção: CH</t>
        </is>
      </c>
      <c r="V1521" s="3" t="n">
        <v>45987</v>
      </c>
      <c r="W1521" s="2" t="inlineStr">
        <is>
          <t>AR: https://www.parlamento.pt/OrcamentoEstado/Paginas/DetalhePropostaAlteracao.aspx?BID=25379 PDF: https://app.parlamento.pt/webutils/docs/doc.pdf?path=6148523063484d364c793942556b356c6443397a6158526c63793959566b6c4a544556484c3039464c7a49774d6a59794d4449314d5441774f533951515338354e475a6d4d7a68694d5330774e4463784c5451345a6a5974596d4a694d69316b595745305957466a5a5751345a4451756347526d&amp;Fich=94ff38b1-0471-48f6-bbb2-daa4aaced8d4.pdf&amp;Inline=true</t>
        </is>
      </c>
      <c r="X1521" s="2" t="inlineStr">
        <is>
          <t>Comissão de Economia e Coesão Territorial; Orçamento, Finanças e Administração Pública</t>
        </is>
      </c>
      <c r="Y1521" s="2" t="inlineStr">
        <is>
          <t>Articulado</t>
        </is>
      </c>
      <c r="Z1521" s="2" t="inlineStr">
        <is>
          <t>Aditamento (Números e Alíneas)</t>
        </is>
      </c>
      <c r="AA1521" s="2" t="inlineStr">
        <is>
          <t>Rejeitado(a) em Comissão</t>
        </is>
      </c>
      <c r="AB1521" s="2" t="inlineStr"/>
      <c r="AC1521" s="2" t="inlineStr">
        <is>
          <t>2</t>
        </is>
      </c>
      <c r="AD1521" s="2" t="inlineStr">
        <is>
          <t>1</t>
        </is>
      </c>
      <c r="AE1521" s="2" t="inlineStr">
        <is>
          <t>25379</t>
        </is>
      </c>
      <c r="AF1521" s="2" t="inlineStr">
        <is>
          <t>https://www.parlamento.pt/OrcamentoEstado/Paginas/DetalhePropostaAlteracao.aspx?BID=25379</t>
        </is>
      </c>
      <c r="AG1521" s="2" t="inlineStr">
        <is>
          <t>https://app.parlamento.pt/webutils/docs/doc.pdf?path=6148523063484d364c793942556b356c6443397a6158526c63793959566b6c4a544556484c3039464c7a49774d6a59794d4449314d5441774f533951515338354e475a6d4d7a68694d5330774e4463784c5451345a6a5974596d4a694d69316b595745305957466a5a5751345a4451756347526d&amp;Fich=94ff38b1-0471-48f6-bbb2-daa4aaced8d4.pdf&amp;Inline=true</t>
        </is>
      </c>
      <c r="AH1521" s="3" t="n">
        <v>46321.77847222222</v>
      </c>
      <c r="AI1521" s="3" t="n">
        <v>46321.78055555555</v>
      </c>
      <c r="AJ1521" s="2" t="inlineStr"/>
    </row>
    <row r="1522">
      <c r="A1522" s="2" t="n">
        <v>1521</v>
      </c>
      <c r="B1522" s="2" t="inlineStr">
        <is>
          <t>1434C-1</t>
        </is>
      </c>
      <c r="C1522" s="3" t="n">
        <v>45968.6</v>
      </c>
      <c r="D1522" s="2" t="inlineStr">
        <is>
          <t>Original</t>
        </is>
      </c>
      <c r="E1522" s="2" t="inlineStr">
        <is>
          <t>PS</t>
        </is>
      </c>
      <c r="F1522" s="2" t="inlineStr">
        <is>
          <t>António Mendonça Mendes; Eurico Brilhante Dias; José Luís Carneiro; Marina Gonçalves; Miguel Matos; Paulo Lopes Silva; Porfírio Silva</t>
        </is>
      </c>
      <c r="G1522" s="2" t="inlineStr">
        <is>
          <t>Art. 136.º-A (aditamento)</t>
        </is>
      </c>
      <c r="H1522" s="2" t="n"/>
      <c r="I1522" s="2" t="n"/>
      <c r="J1522" s="2" t="n"/>
      <c r="K1522" s="2" t="n"/>
      <c r="L1522" s="2" t="inlineStr">
        <is>
          <t>Artigo 136.º-A (Alteração ao Decreto-Lei n.º 103/2017, de 24 de agosto)</t>
        </is>
      </c>
      <c r="M1522" s="4" t="n"/>
      <c r="N1522" s="4" t="n"/>
      <c r="O1522" s="2" t="n"/>
      <c r="P1522" s="2" t="n"/>
      <c r="Q1522" s="2" t="n"/>
      <c r="R1522" s="2" t="n"/>
      <c r="S1522" s="2" t="inlineStr">
        <is>
          <t>Rejeitado(a) em Comissão</t>
        </is>
      </c>
      <c r="T1522" s="2" t="inlineStr">
        <is>
          <t>Rejeitada</t>
        </is>
      </c>
      <c r="U1522" s="2" t="inlineStr">
        <is>
          <t>Favor: PS, BE, PAN; Contra: PSD, CH, IL, CDS-PP; Abstenção: L, PCP</t>
        </is>
      </c>
      <c r="V1522" s="3" t="n">
        <v>45987</v>
      </c>
      <c r="W1522" s="2" t="inlineStr">
        <is>
          <t>AR: https://www.parlamento.pt/OrcamentoEstado/Paginas/DetalhePropostaAlteracao.aspx?BID=24680 PDF: https://app.parlamento.pt/webutils/docs/doc.pdf?path=6148523063484d364c793942556b356c6443397a6158526c63793959566b6c4a544556484c3039464c7a49774d6a59794d4449314d5441774f533951515338304d4445784d4451335a4330325a444e6b4c5452694e546374596a51314f5330795a474535593259324f4463344f5451756347526d&amp;Fich=4011047d-6d3d-4b57-b459-2da9cf687894.pdf&amp;Inline=true</t>
        </is>
      </c>
      <c r="X1522" s="2" t="inlineStr">
        <is>
          <t>Cultura, Comunicação, Juventude e Desporto; Orçamento, Finanças e Administração Pública</t>
        </is>
      </c>
      <c r="Y1522" s="2" t="inlineStr">
        <is>
          <t>Articulado</t>
        </is>
      </c>
      <c r="Z1522" s="2" t="inlineStr">
        <is>
          <t>Aditamento (Artigo PPL)</t>
        </is>
      </c>
      <c r="AA1522" s="2" t="inlineStr">
        <is>
          <t>Rejeitado(a) em Comissão</t>
        </is>
      </c>
      <c r="AB1522" s="2" t="inlineStr"/>
      <c r="AC1522" s="2" t="inlineStr">
        <is>
          <t>1</t>
        </is>
      </c>
      <c r="AD1522" s="2" t="inlineStr">
        <is>
          <t>1</t>
        </is>
      </c>
      <c r="AE1522" s="2" t="inlineStr">
        <is>
          <t>24680</t>
        </is>
      </c>
      <c r="AF1522" s="2" t="inlineStr">
        <is>
          <t>https://www.parlamento.pt/OrcamentoEstado/Paginas/DetalhePropostaAlteracao.aspx?BID=24680</t>
        </is>
      </c>
      <c r="AG1522" s="2" t="inlineStr">
        <is>
          <t>https://app.parlamento.pt/webutils/docs/doc.pdf?path=6148523063484d364c793942556b356c6443397a6158526c63793959566b6c4a544556484c3039464c7a49774d6a59794d4449314d5441774f533951515338304d4445784d4451335a4330325a444e6b4c5452694e546374596a51314f5330795a474535593259324f4463344f5451756347526d&amp;Fich=4011047d-6d3d-4b57-b459-2da9cf687894.pdf&amp;Inline=true</t>
        </is>
      </c>
      <c r="AH1522" s="3" t="n">
        <v>46321.77847222222</v>
      </c>
      <c r="AI1522" s="3" t="n">
        <v>46321.78055555555</v>
      </c>
      <c r="AJ1522" s="2" t="inlineStr"/>
    </row>
    <row r="1523">
      <c r="A1523" s="2" t="n">
        <v>1522</v>
      </c>
      <c r="B1523" s="2" t="inlineStr">
        <is>
          <t>1434C-2</t>
        </is>
      </c>
      <c r="C1523" s="3" t="n">
        <v>45968.6</v>
      </c>
      <c r="D1523" s="2" t="inlineStr">
        <is>
          <t>Original</t>
        </is>
      </c>
      <c r="E1523" s="2" t="inlineStr">
        <is>
          <t>PS</t>
        </is>
      </c>
      <c r="F1523" s="2" t="inlineStr">
        <is>
          <t>António Mendonça Mendes; Eurico Brilhante Dias; José Luís Carneiro; Marina Gonçalves; Miguel Matos; Paulo Lopes Silva; Porfírio Silva</t>
        </is>
      </c>
      <c r="G1523" s="2" t="inlineStr">
        <is>
          <t>Art. 136.º-B (aditamento)</t>
        </is>
      </c>
      <c r="H1523" s="2" t="n"/>
      <c r="I1523" s="2" t="n"/>
      <c r="J1523" s="2" t="n"/>
      <c r="K1523" s="2" t="n"/>
      <c r="L1523" s="2" t="inlineStr">
        <is>
          <t>Artigo 136.º-B (Aditamento ao Decreto-Lei n.º 103/2017, de 24 de agosto)</t>
        </is>
      </c>
      <c r="M1523" s="4" t="n"/>
      <c r="N1523" s="4" t="n"/>
      <c r="O1523" s="2" t="n"/>
      <c r="P1523" s="2" t="n"/>
      <c r="Q1523" s="2" t="n"/>
      <c r="R1523" s="2" t="n"/>
      <c r="S1523" s="2" t="inlineStr">
        <is>
          <t>Rejeitado(a) em Comissão</t>
        </is>
      </c>
      <c r="T1523" s="2" t="inlineStr">
        <is>
          <t>Rejeitada</t>
        </is>
      </c>
      <c r="U1523" s="2" t="inlineStr">
        <is>
          <t>Favor: PS, BE, PAN; Contra: PSD, CH, IL, CDS-PP; Abstenção: L, PCP</t>
        </is>
      </c>
      <c r="V1523" s="3" t="n">
        <v>45987</v>
      </c>
      <c r="W1523" s="2" t="inlineStr">
        <is>
          <t>AR: https://www.parlamento.pt/OrcamentoEstado/Paginas/DetalhePropostaAlteracao.aspx?BID=25339 PDF: https://app.parlamento.pt/webutils/docs/doc.pdf?path=6148523063484d364c793942556b356c6443397a6158526c63793959566b6c4a544556484c3039464c7a49774d6a59794d4449314d5441774f5339515153396b5a6d526d5954646b5a4330774e325a6a4c54513159545974595459335969307a4f47566d5a4445344d5755334e3259756347526d&amp;Fich=dfdfa7dd-07fc-45a6-a67b-38efd181e77f.pdf&amp;Inline=true</t>
        </is>
      </c>
      <c r="X1523" s="2" t="inlineStr">
        <is>
          <t>Cultura, Comunicação, Juventude e Desporto; Orçamento, Finanças e Administração Pública</t>
        </is>
      </c>
      <c r="Y1523" s="2" t="inlineStr">
        <is>
          <t>Articulado</t>
        </is>
      </c>
      <c r="Z1523" s="2" t="inlineStr">
        <is>
          <t>Aditamento (Artigo PPL)</t>
        </is>
      </c>
      <c r="AA1523" s="2" t="inlineStr">
        <is>
          <t>Rejeitado(a) em Comissão</t>
        </is>
      </c>
      <c r="AB1523" s="2" t="inlineStr"/>
      <c r="AC1523" s="2" t="inlineStr">
        <is>
          <t>2</t>
        </is>
      </c>
      <c r="AD1523" s="2" t="inlineStr">
        <is>
          <t>1</t>
        </is>
      </c>
      <c r="AE1523" s="2" t="inlineStr">
        <is>
          <t>25339</t>
        </is>
      </c>
      <c r="AF1523" s="2" t="inlineStr">
        <is>
          <t>https://www.parlamento.pt/OrcamentoEstado/Paginas/DetalhePropostaAlteracao.aspx?BID=25339</t>
        </is>
      </c>
      <c r="AG1523" s="2" t="inlineStr">
        <is>
          <t>https://app.parlamento.pt/webutils/docs/doc.pdf?path=6148523063484d364c793942556b356c6443397a6158526c63793959566b6c4a544556484c3039464c7a49774d6a59794d4449314d5441774f5339515153396b5a6d526d5954646b5a4330774e325a6a4c54513159545974595459335969307a4f47566d5a4445344d5755334e3259756347526d&amp;Fich=dfdfa7dd-07fc-45a6-a67b-38efd181e77f.pdf&amp;Inline=true</t>
        </is>
      </c>
      <c r="AH1523" s="3" t="n">
        <v>46321.77847222222</v>
      </c>
      <c r="AI1523" s="3" t="n">
        <v>46321.78055555555</v>
      </c>
      <c r="AJ1523" s="2" t="inlineStr"/>
    </row>
    <row r="1524">
      <c r="A1524" s="2" t="n">
        <v>1523</v>
      </c>
      <c r="B1524" s="2" t="inlineStr">
        <is>
          <t>1435C</t>
        </is>
      </c>
      <c r="C1524" s="3" t="n">
        <v>45968.6</v>
      </c>
      <c r="D1524" s="2" t="inlineStr">
        <is>
          <t>Original</t>
        </is>
      </c>
      <c r="E1524" s="2" t="inlineStr">
        <is>
          <t>PAN</t>
        </is>
      </c>
      <c r="F1524" s="2" t="inlineStr">
        <is>
          <t>Inês de Sousa Real</t>
        </is>
      </c>
      <c r="G1524" s="2" t="inlineStr">
        <is>
          <t>Art. 115.º-A (aditamento)</t>
        </is>
      </c>
      <c r="H1524" s="2" t="n"/>
      <c r="I1524" s="2" t="n"/>
      <c r="J1524" s="2" t="n"/>
      <c r="K1524" s="2" t="n"/>
      <c r="L1524" s="2" t="inlineStr">
        <is>
          <t>Artigo 115.º-A (Carreiras profissionais nas estruturas da Rede Nacional de Apoio a Vítimas de Violência Doméstica)</t>
        </is>
      </c>
      <c r="M1524" s="4" t="n"/>
      <c r="N1524" s="4" t="n"/>
      <c r="O1524" s="2" t="n"/>
      <c r="P1524" s="2" t="n"/>
      <c r="Q1524" s="2" t="n"/>
      <c r="R1524" s="2" t="n"/>
      <c r="S1524" s="2" t="inlineStr">
        <is>
          <t>Rejeitado(a) em Comissão</t>
        </is>
      </c>
      <c r="T1524" s="2" t="inlineStr">
        <is>
          <t>Rejeitada</t>
        </is>
      </c>
      <c r="U1524" s="2" t="inlineStr">
        <is>
          <t>Favor: CH, L, BE, PAN; Contra: PSD, IL, CDS-PP; Abstenção: PS, PCP</t>
        </is>
      </c>
      <c r="V1524" s="3" t="n">
        <v>45985</v>
      </c>
      <c r="W1524" s="2" t="inlineStr">
        <is>
          <t>AR: https://www.parlamento.pt/OrcamentoEstado/Paginas/DetalhePropostaAlteracao.aspx?BID=24681 PDF: https://app.parlamento.pt/webutils/docs/doc.pdf?path=6148523063484d364c793942556b356c6443397a6158526c63793959566b6c4a544556484c3039464c7a49774d6a59794d4449314d5441774f533951515338314d324e6a4e6a497a4f533078595467334c5451794e6a5174596a63775a5331695a575a685a6d5178595755775a4467756347526d&amp;Fich=53cc6239-1a87-4264-b70e-befafd1ae0d8.pdf&amp;Inline=true</t>
        </is>
      </c>
      <c r="X1524" s="2" t="inlineStr">
        <is>
          <t>Assuntos Constitucionais, Direitos, Liberdades e Garantias</t>
        </is>
      </c>
      <c r="Y1524" s="2" t="inlineStr">
        <is>
          <t>Articulado</t>
        </is>
      </c>
      <c r="Z1524" s="2" t="inlineStr">
        <is>
          <t>Aditamento (Artigo PPL)</t>
        </is>
      </c>
      <c r="AA1524" s="2" t="inlineStr">
        <is>
          <t>Rejeitado(a) em Comissão</t>
        </is>
      </c>
      <c r="AB1524" s="2" t="inlineStr"/>
      <c r="AC1524" s="2" t="inlineStr"/>
      <c r="AD1524" s="2" t="inlineStr">
        <is>
          <t>1</t>
        </is>
      </c>
      <c r="AE1524" s="2" t="inlineStr">
        <is>
          <t>24681</t>
        </is>
      </c>
      <c r="AF1524" s="2" t="inlineStr">
        <is>
          <t>https://www.parlamento.pt/OrcamentoEstado/Paginas/DetalhePropostaAlteracao.aspx?BID=24681</t>
        </is>
      </c>
      <c r="AG1524" s="2" t="inlineStr">
        <is>
          <t>https://app.parlamento.pt/webutils/docs/doc.pdf?path=6148523063484d364c793942556b356c6443397a6158526c63793959566b6c4a544556484c3039464c7a49774d6a59794d4449314d5441774f533951515338314d324e6a4e6a497a4f533078595467334c5451794e6a5174596a63775a5331695a575a685a6d5178595755775a4467756347526d&amp;Fich=53cc6239-1a87-4264-b70e-befafd1ae0d8.pdf&amp;Inline=true</t>
        </is>
      </c>
      <c r="AH1524" s="3" t="n">
        <v>46321.77847222222</v>
      </c>
      <c r="AI1524" s="3" t="n">
        <v>46321.78055555555</v>
      </c>
      <c r="AJ1524" s="2" t="inlineStr"/>
    </row>
    <row r="1525">
      <c r="A1525" s="2" t="n">
        <v>1524</v>
      </c>
      <c r="B1525" s="2" t="inlineStr">
        <is>
          <t>1436C</t>
        </is>
      </c>
      <c r="C1525" s="3" t="n">
        <v>45968.60069444445</v>
      </c>
      <c r="D1525" s="2" t="inlineStr">
        <is>
          <t>Original</t>
        </is>
      </c>
      <c r="E1525" s="2" t="inlineStr">
        <is>
          <t>PAN</t>
        </is>
      </c>
      <c r="F1525" s="2" t="inlineStr">
        <is>
          <t>Inês de Sousa Real</t>
        </is>
      </c>
      <c r="G1525" s="2" t="inlineStr">
        <is>
          <t>Art. 22.º-A (aditamento)</t>
        </is>
      </c>
      <c r="H1525" s="2" t="n"/>
      <c r="I1525" s="2" t="n"/>
      <c r="J1525" s="2" t="n"/>
      <c r="K1525" s="2" t="n"/>
      <c r="L1525" s="2" t="inlineStr">
        <is>
          <t>Artigo 22.º-A (Contratação de intérpretes de Língua Gestual Portuguesa)</t>
        </is>
      </c>
      <c r="M1525" s="4" t="n"/>
      <c r="N1525" s="4" t="n"/>
      <c r="O1525" s="2" t="n"/>
      <c r="P1525" s="2" t="n"/>
      <c r="Q1525" s="2" t="n"/>
      <c r="R1525" s="2" t="n"/>
      <c r="S1525" s="2" t="inlineStr">
        <is>
          <t>Rejeitado(a) em Comissão</t>
        </is>
      </c>
      <c r="T1525" s="2" t="inlineStr">
        <is>
          <t>Rejeitada</t>
        </is>
      </c>
      <c r="U1525" s="2" t="inlineStr">
        <is>
          <t>Favor: CH, IL, L, PCP, BE, PAN; Contra: PSD, CDS-PP; Abstenção: PS</t>
        </is>
      </c>
      <c r="V1525" s="3" t="n">
        <v>45981</v>
      </c>
      <c r="W1525" s="2" t="inlineStr">
        <is>
          <t>AR: https://www.parlamento.pt/OrcamentoEstado/Paginas/DetalhePropostaAlteracao.aspx?BID=24682 PDF: https://app.parlamento.pt/webutils/docs/doc.pdf?path=6148523063484d364c793942556b356c6443397a6158526c63793959566b6c4a544556484c3039464c7a49774d6a59794d4449314d5441774f5339515153387a5a6d45784f54426a4f43316d5a4445354c54526c4e44417459546b794f5330344d6d49314e44646d4f475a6c4e474d756347526d&amp;Fich=3fa190c8-fd19-4e40-a929-82b547f8fe4c.pdf&amp;Inline=true</t>
        </is>
      </c>
      <c r="X1525" s="2" t="inlineStr">
        <is>
          <t>Trabalho, Segurança Social e Inclusão</t>
        </is>
      </c>
      <c r="Y1525" s="2" t="inlineStr">
        <is>
          <t>Articulado</t>
        </is>
      </c>
      <c r="Z1525" s="2" t="inlineStr">
        <is>
          <t>Aditamento (Artigo PPL)</t>
        </is>
      </c>
      <c r="AA1525" s="2" t="inlineStr">
        <is>
          <t>Rejeitado(a) em Comissão</t>
        </is>
      </c>
      <c r="AB1525" s="2" t="inlineStr"/>
      <c r="AC1525" s="2" t="inlineStr"/>
      <c r="AD1525" s="2" t="inlineStr">
        <is>
          <t>1</t>
        </is>
      </c>
      <c r="AE1525" s="2" t="inlineStr">
        <is>
          <t>24682</t>
        </is>
      </c>
      <c r="AF1525" s="2" t="inlineStr">
        <is>
          <t>https://www.parlamento.pt/OrcamentoEstado/Paginas/DetalhePropostaAlteracao.aspx?BID=24682</t>
        </is>
      </c>
      <c r="AG1525" s="2" t="inlineStr">
        <is>
          <t>https://app.parlamento.pt/webutils/docs/doc.pdf?path=6148523063484d364c793942556b356c6443397a6158526c63793959566b6c4a544556484c3039464c7a49774d6a59794d4449314d5441774f5339515153387a5a6d45784f54426a4f43316d5a4445354c54526c4e44417459546b794f5330344d6d49314e44646d4f475a6c4e474d756347526d&amp;Fich=3fa190c8-fd19-4e40-a929-82b547f8fe4c.pdf&amp;Inline=true</t>
        </is>
      </c>
      <c r="AH1525" s="3" t="n">
        <v>46321.77847222222</v>
      </c>
      <c r="AI1525" s="3" t="n">
        <v>46321.78055555555</v>
      </c>
      <c r="AJ1525" s="2" t="inlineStr"/>
    </row>
    <row r="1526">
      <c r="A1526" s="2" t="n">
        <v>1525</v>
      </c>
      <c r="B1526" s="2" t="inlineStr">
        <is>
          <t>1437C</t>
        </is>
      </c>
      <c r="C1526" s="3" t="n">
        <v>45968.60069444445</v>
      </c>
      <c r="D1526" s="2" t="inlineStr">
        <is>
          <t>Original</t>
        </is>
      </c>
      <c r="E1526" s="2" t="inlineStr">
        <is>
          <t>JPP</t>
        </is>
      </c>
      <c r="F1526" s="2" t="inlineStr">
        <is>
          <t>Filipe Sousa</t>
        </is>
      </c>
      <c r="G1526" s="2" t="inlineStr">
        <is>
          <t>Art. 68.º-B (aditamento)</t>
        </is>
      </c>
      <c r="H1526" s="2" t="n"/>
      <c r="I1526" s="2" t="n"/>
      <c r="J1526" s="2" t="n"/>
      <c r="K1526" s="2" t="n"/>
      <c r="L1526" s="2" t="inlineStr">
        <is>
          <t>Artigo 68.º-B (Extensão da isenção de IMT e imposto do selo para aquisição de habitação própria e permanente — “Geração 1980”)</t>
        </is>
      </c>
      <c r="M1526" s="4" t="n"/>
      <c r="N1526" s="4" t="n"/>
      <c r="O1526" s="2" t="n"/>
      <c r="P1526" s="2" t="n"/>
      <c r="Q1526" s="2" t="n"/>
      <c r="R1526" s="2" t="n"/>
      <c r="S1526" s="2" t="inlineStr">
        <is>
          <t>Rejeitado(a) em Plenário</t>
        </is>
      </c>
      <c r="T1526" s="2" t="inlineStr">
        <is>
          <t>Rejeitada</t>
        </is>
      </c>
      <c r="U1526" s="2" t="inlineStr">
        <is>
          <t>Favor: PAN, JPP; Contra: PSD, PS, L, PCP, CDS-PP, BE; Abstenção: CH, IL</t>
        </is>
      </c>
      <c r="V1526" s="3" t="n">
        <v>45985</v>
      </c>
      <c r="W1526" s="2" t="inlineStr">
        <is>
          <t>Avocada a Plenário. AR: https://www.parlamento.pt/OrcamentoEstado/Paginas/DetalhePropostaAlteracao.aspx?BID=24683 PDF: https://app.parlamento.pt/webutils/docs/doc.pdf?path=6148523063484d364c793942556b356c6443397a6158526c63793959566b6c4a544556484c3039464c7a49774d6a59794d4449314d5441774f5339515153387a5a6a59325932557a5953316a4e54686c4c5452694e445974596a49315969316959574e6b4d54513259575133597a41756347526d&amp;Fich=3f66ce3a-c58e-4b46-b25b-bacd146ad7c0.pdf&amp;Inline=true</t>
        </is>
      </c>
      <c r="X1526" s="2" t="inlineStr">
        <is>
          <t>Orçamento, Finanças e Administração Pública</t>
        </is>
      </c>
      <c r="Y1526" s="2" t="inlineStr">
        <is>
          <t>Articulado</t>
        </is>
      </c>
      <c r="Z1526" s="2" t="inlineStr">
        <is>
          <t>Aditamento (Artigo PPL)</t>
        </is>
      </c>
      <c r="AA1526" s="2" t="inlineStr">
        <is>
          <t>Rejeitado(a) em Plenário</t>
        </is>
      </c>
      <c r="AB1526" s="2" t="inlineStr">
        <is>
          <t>S</t>
        </is>
      </c>
      <c r="AC1526" s="2" t="inlineStr"/>
      <c r="AD1526" s="2" t="inlineStr">
        <is>
          <t>2</t>
        </is>
      </c>
      <c r="AE1526" s="2" t="inlineStr">
        <is>
          <t>24683</t>
        </is>
      </c>
      <c r="AF1526" s="2" t="inlineStr">
        <is>
          <t>https://www.parlamento.pt/OrcamentoEstado/Paginas/DetalhePropostaAlteracao.aspx?BID=24683</t>
        </is>
      </c>
      <c r="AG1526" s="2" t="inlineStr">
        <is>
          <t>https://app.parlamento.pt/webutils/docs/doc.pdf?path=6148523063484d364c793942556b356c6443397a6158526c63793959566b6c4a544556484c3039464c7a49774d6a59794d4449314d5441774f5339515153387a5a6a59325932557a5953316a4e54686c4c5452694e445974596a49315969316959574e6b4d54513259575133597a41756347526d&amp;Fich=3f66ce3a-c58e-4b46-b25b-bacd146ad7c0.pdf&amp;Inline=true</t>
        </is>
      </c>
      <c r="AH1526" s="3" t="n">
        <v>46321.77847222222</v>
      </c>
      <c r="AI1526" s="3" t="n">
        <v>46321.78055555555</v>
      </c>
      <c r="AJ1526" s="2" t="inlineStr"/>
    </row>
    <row r="1527">
      <c r="A1527" s="2" t="n">
        <v>1526</v>
      </c>
      <c r="B1527" s="2" t="inlineStr">
        <is>
          <t>1438C</t>
        </is>
      </c>
      <c r="C1527" s="3" t="n">
        <v>45968.60069444445</v>
      </c>
      <c r="D1527" s="2" t="inlineStr">
        <is>
          <t>Original</t>
        </is>
      </c>
      <c r="E1527" s="2" t="inlineStr">
        <is>
          <t>L</t>
        </is>
      </c>
      <c r="F1527" s="2" t="inlineStr">
        <is>
          <t>Filipa Pinto; Isabel Mendes Lopes; Jorge Pinto; Patrícia Gonçalves; Paulo Muacho; Rui Tavares</t>
        </is>
      </c>
      <c r="G1527" s="2" t="inlineStr">
        <is>
          <t>Art. 116.º-A (aditamento)</t>
        </is>
      </c>
      <c r="H1527" s="2" t="n"/>
      <c r="I1527" s="2" t="n"/>
      <c r="J1527" s="2" t="n"/>
      <c r="K1527" s="2" t="n"/>
      <c r="L1527" s="2" t="inlineStr">
        <is>
          <t>Artigo 116.º-A (Alargamento das funcionalidades do Consulado virtual)</t>
        </is>
      </c>
      <c r="M1527" s="4" t="n"/>
      <c r="N1527" s="4" t="n"/>
      <c r="O1527" s="2" t="n"/>
      <c r="P1527" s="2" t="n"/>
      <c r="Q1527" s="2" t="n"/>
      <c r="R1527" s="2" t="n"/>
      <c r="S1527" s="2" t="inlineStr">
        <is>
          <t>Aprovado(a) em Comissão</t>
        </is>
      </c>
      <c r="T1527" s="2" t="inlineStr">
        <is>
          <t>Aprovada</t>
        </is>
      </c>
      <c r="U1527" s="2" t="inlineStr">
        <is>
          <t>Favor: CH, PS, IL, L, PCP, BE, PAN; Contra: PSD, CDS-PP</t>
        </is>
      </c>
      <c r="V1527" s="3" t="n">
        <v>45985</v>
      </c>
      <c r="W1527" s="2" t="inlineStr">
        <is>
          <t>AR: https://www.parlamento.pt/OrcamentoEstado/Paginas/DetalhePropostaAlteracao.aspx?BID=24684 PDF: https://app.parlamento.pt/webutils/docs/doc.pdf?path=6148523063484d364c793942556b356c6443397a6158526c63793959566b6c4a544556484c3039464c7a49774d6a59794d4449314d5441774f533951515338305932526c4e6a457a4e53316b595752694c5451304d6d51744f44677a4e79316a596a6c6c4f5749304d6a6b354d6a4d756347526d&amp;Fich=4cde6135-dadb-442d-8837-cb9e9b429923.pdf&amp;Inline=true</t>
        </is>
      </c>
      <c r="X1527" s="2" t="inlineStr">
        <is>
          <t>Negócios Estrangeiros e Comunidades Portuguesas</t>
        </is>
      </c>
      <c r="Y1527" s="2" t="inlineStr">
        <is>
          <t>Articulado</t>
        </is>
      </c>
      <c r="Z1527" s="2" t="inlineStr">
        <is>
          <t>Aditamento (Artigo PPL)</t>
        </is>
      </c>
      <c r="AA1527" s="2" t="inlineStr">
        <is>
          <t>Aprovado(a) em Comissão</t>
        </is>
      </c>
      <c r="AB1527" s="2" t="inlineStr"/>
      <c r="AC1527" s="2" t="inlineStr"/>
      <c r="AD1527" s="2" t="inlineStr">
        <is>
          <t>1</t>
        </is>
      </c>
      <c r="AE1527" s="2" t="inlineStr">
        <is>
          <t>24684</t>
        </is>
      </c>
      <c r="AF1527" s="2" t="inlineStr">
        <is>
          <t>https://www.parlamento.pt/OrcamentoEstado/Paginas/DetalhePropostaAlteracao.aspx?BID=24684</t>
        </is>
      </c>
      <c r="AG1527" s="2" t="inlineStr">
        <is>
          <t>https://app.parlamento.pt/webutils/docs/doc.pdf?path=6148523063484d364c793942556b356c6443397a6158526c63793959566b6c4a544556484c3039464c7a49774d6a59794d4449314d5441774f533951515338305932526c4e6a457a4e53316b595752694c5451304d6d51744f44677a4e79316a596a6c6c4f5749304d6a6b354d6a4d756347526d&amp;Fich=4cde6135-dadb-442d-8837-cb9e9b429923.pdf&amp;Inline=true</t>
        </is>
      </c>
      <c r="AH1527" s="3" t="n">
        <v>46321.77847222222</v>
      </c>
      <c r="AI1527" s="3" t="n">
        <v>46321.78055555555</v>
      </c>
      <c r="AJ1527" s="2" t="inlineStr"/>
    </row>
    <row r="1528">
      <c r="A1528" s="2" t="n">
        <v>1527</v>
      </c>
      <c r="B1528" s="2" t="inlineStr">
        <is>
          <t>1439C</t>
        </is>
      </c>
      <c r="C1528" s="3" t="n">
        <v>45968.60138888889</v>
      </c>
      <c r="D1528" s="2" t="inlineStr">
        <is>
          <t>Original</t>
        </is>
      </c>
      <c r="E1528" s="2" t="inlineStr">
        <is>
          <t>PS</t>
        </is>
      </c>
      <c r="F1528" s="2" t="inlineStr">
        <is>
          <t>António Mendonça Mendes; Eurico Brilhante Dias; Hugo Costa; José Luís Carneiro; Marina Gonçalves; Miguel Matos; Nuno Fazenda</t>
        </is>
      </c>
      <c r="G1528" s="2" t="inlineStr">
        <is>
          <t>Art. 136.º-A (aditamento)</t>
        </is>
      </c>
      <c r="H1528" s="2" t="n"/>
      <c r="I1528" s="2" t="n"/>
      <c r="J1528" s="2" t="n"/>
      <c r="K1528" s="2" t="n"/>
      <c r="L1528" s="2" t="inlineStr">
        <is>
          <t>Artigo 136.º-A (Instalação do Tribunal Central Administrativo da Região Centro)</t>
        </is>
      </c>
      <c r="M1528" s="4" t="n"/>
      <c r="N1528" s="4" t="n"/>
      <c r="O1528" s="2" t="n"/>
      <c r="P1528" s="2" t="n"/>
      <c r="Q1528" s="2" t="n"/>
      <c r="R1528" s="2" t="n"/>
      <c r="S1528" s="2" t="inlineStr">
        <is>
          <t>Aprovado(a) em Comissão</t>
        </is>
      </c>
      <c r="T1528" s="2" t="inlineStr">
        <is>
          <t>Aprovada</t>
        </is>
      </c>
      <c r="U1528" s="2" t="inlineStr">
        <is>
          <t>Favor: CH, PS, IL, L, PCP, BE, PAN; Contra: PSD, CDS-PP</t>
        </is>
      </c>
      <c r="V1528" s="3" t="n">
        <v>45987</v>
      </c>
      <c r="W1528" s="2" t="inlineStr">
        <is>
          <t>AR: https://www.parlamento.pt/OrcamentoEstado/Paginas/DetalhePropostaAlteracao.aspx?BID=24685 PDF: https://app.parlamento.pt/webutils/docs/doc.pdf?path=6148523063484d364c793942556b356c6443397a6158526c63793959566b6c4a544556484c3039464c7a49774d6a59794d4449314d5441774f533951515338794f4463325a6d51784e43316b4e446c6a4c54513459324d74596d51314e4330775a44637a4e5459774d6a4134596a6b756347526d&amp;Fich=2876fd14-d49c-48cc-bd54-0d73560208b9.pdf&amp;Inline=true</t>
        </is>
      </c>
      <c r="X1528" s="2" t="inlineStr">
        <is>
          <t>Comissão de Economia e Coesão Territorial; Orçamento, Finanças e Administração Pública</t>
        </is>
      </c>
      <c r="Y1528" s="2" t="inlineStr">
        <is>
          <t>Articulado</t>
        </is>
      </c>
      <c r="Z1528" s="2" t="inlineStr">
        <is>
          <t>Aditamento (Artigo PPL)</t>
        </is>
      </c>
      <c r="AA1528" s="2" t="inlineStr">
        <is>
          <t>Aprovado(a) em Comissão</t>
        </is>
      </c>
      <c r="AB1528" s="2" t="inlineStr"/>
      <c r="AC1528" s="2" t="inlineStr"/>
      <c r="AD1528" s="2" t="inlineStr">
        <is>
          <t>1</t>
        </is>
      </c>
      <c r="AE1528" s="2" t="inlineStr">
        <is>
          <t>24685</t>
        </is>
      </c>
      <c r="AF1528" s="2" t="inlineStr">
        <is>
          <t>https://www.parlamento.pt/OrcamentoEstado/Paginas/DetalhePropostaAlteracao.aspx?BID=24685</t>
        </is>
      </c>
      <c r="AG1528" s="2" t="inlineStr">
        <is>
          <t>https://app.parlamento.pt/webutils/docs/doc.pdf?path=6148523063484d364c793942556b356c6443397a6158526c63793959566b6c4a544556484c3039464c7a49774d6a59794d4449314d5441774f533951515338794f4463325a6d51784e43316b4e446c6a4c54513459324d74596d51314e4330775a44637a4e5459774d6a4134596a6b756347526d&amp;Fich=2876fd14-d49c-48cc-bd54-0d73560208b9.pdf&amp;Inline=true</t>
        </is>
      </c>
      <c r="AH1528" s="3" t="n">
        <v>46321.77847222222</v>
      </c>
      <c r="AI1528" s="3" t="n">
        <v>46321.78055555555</v>
      </c>
      <c r="AJ1528" s="2" t="inlineStr"/>
    </row>
    <row r="1529">
      <c r="A1529" s="2" t="n">
        <v>1528</v>
      </c>
      <c r="B1529" s="2" t="inlineStr">
        <is>
          <t>1440C</t>
        </is>
      </c>
      <c r="C1529" s="3" t="n">
        <v>45968.60138888889</v>
      </c>
      <c r="D1529" s="2" t="inlineStr">
        <is>
          <t>Original</t>
        </is>
      </c>
      <c r="E1529" s="2" t="inlineStr">
        <is>
          <t>PAN</t>
        </is>
      </c>
      <c r="F1529" s="2" t="inlineStr">
        <is>
          <t>Inês de Sousa Real</t>
        </is>
      </c>
      <c r="G1529" s="2" t="inlineStr">
        <is>
          <t>Art. 63.º (substituição)</t>
        </is>
      </c>
      <c r="H1529" s="2" t="n"/>
      <c r="I1529" s="2" t="n"/>
      <c r="J1529" s="2" t="n"/>
      <c r="K1529" s="2" t="n"/>
      <c r="L1529" s="2" t="inlineStr">
        <is>
          <t>Verba 2.36, Lista I anexa ao Código do IVA</t>
        </is>
      </c>
      <c r="M1529" s="4" t="n"/>
      <c r="N1529" s="4" t="n"/>
      <c r="O1529" s="2" t="n"/>
      <c r="P1529" s="2" t="n"/>
      <c r="Q1529" s="2" t="n"/>
      <c r="R1529" s="2" t="n"/>
      <c r="S1529" s="2" t="inlineStr">
        <is>
          <t>Rejeitado(a) em Comissão</t>
        </is>
      </c>
      <c r="T1529" s="2" t="inlineStr">
        <is>
          <t>Rejeitada</t>
        </is>
      </c>
      <c r="U1529" s="2" t="inlineStr">
        <is>
          <t>Favor: IL, L, PCP, BE, PAN; Contra: PSD, CDS-PP; Abstenção: CH, PS</t>
        </is>
      </c>
      <c r="V1529" s="3" t="n">
        <v>45982</v>
      </c>
      <c r="W1529" s="2" t="inlineStr">
        <is>
          <t>AR: https://www.parlamento.pt/OrcamentoEstado/Paginas/DetalhePropostaAlteracao.aspx?BID=24686 PDF: https://app.parlamento.pt/webutils/docs/doc.pdf?path=6148523063484d364c793942556b356c6443397a6158526c63793959566b6c4a544556484c3039464c7a49774d6a59794d4449314d5441774f533951515338344e545a6c4f5455305a6930325a4749334c5451344d5759744f5755344d6931684d6a41774e57526a4e3256694d4755756347526d&amp;Fich=856e954f-6db7-481f-9e82-a2005dc7eb0e.pdf&amp;Inline=true</t>
        </is>
      </c>
      <c r="X1529" s="2" t="inlineStr">
        <is>
          <t>Orçamento, Finanças e Administração Pública</t>
        </is>
      </c>
      <c r="Y1529" s="2" t="inlineStr">
        <is>
          <t>Articulado</t>
        </is>
      </c>
      <c r="Z1529" s="2" t="inlineStr">
        <is>
          <t>Substituição</t>
        </is>
      </c>
      <c r="AA1529" s="2" t="inlineStr">
        <is>
          <t>Rejeitado(a) em Comissão</t>
        </is>
      </c>
      <c r="AB1529" s="2" t="inlineStr"/>
      <c r="AC1529" s="2" t="inlineStr"/>
      <c r="AD1529" s="2" t="inlineStr">
        <is>
          <t>1</t>
        </is>
      </c>
      <c r="AE1529" s="2" t="inlineStr">
        <is>
          <t>24686</t>
        </is>
      </c>
      <c r="AF1529" s="2" t="inlineStr">
        <is>
          <t>https://www.parlamento.pt/OrcamentoEstado/Paginas/DetalhePropostaAlteracao.aspx?BID=24686</t>
        </is>
      </c>
      <c r="AG1529" s="2" t="inlineStr">
        <is>
          <t>https://app.parlamento.pt/webutils/docs/doc.pdf?path=6148523063484d364c793942556b356c6443397a6158526c63793959566b6c4a544556484c3039464c7a49774d6a59794d4449314d5441774f533951515338344e545a6c4f5455305a6930325a4749334c5451344d5759744f5755344d6931684d6a41774e57526a4e3256694d4755756347526d&amp;Fich=856e954f-6db7-481f-9e82-a2005dc7eb0e.pdf&amp;Inline=true</t>
        </is>
      </c>
      <c r="AH1529" s="3" t="n">
        <v>46321.77847222222</v>
      </c>
      <c r="AI1529" s="3" t="n">
        <v>46321.78055555555</v>
      </c>
      <c r="AJ1529" s="2" t="inlineStr"/>
    </row>
    <row r="1530">
      <c r="A1530" s="2" t="n">
        <v>1529</v>
      </c>
      <c r="B1530" s="2" t="inlineStr">
        <is>
          <t>1441C</t>
        </is>
      </c>
      <c r="C1530" s="3" t="n">
        <v>45968.60208333333</v>
      </c>
      <c r="D1530" s="2" t="inlineStr">
        <is>
          <t>Original</t>
        </is>
      </c>
      <c r="E1530" s="2" t="inlineStr">
        <is>
          <t>PAN</t>
        </is>
      </c>
      <c r="F1530" s="2" t="inlineStr">
        <is>
          <t>Inês de Sousa Real</t>
        </is>
      </c>
      <c r="G1530" s="2" t="inlineStr">
        <is>
          <t>Art. 60.º (aditamento)</t>
        </is>
      </c>
      <c r="H1530" s="2" t="n"/>
      <c r="I1530" s="2" t="n"/>
      <c r="J1530" s="2" t="n"/>
      <c r="K1530" s="2" t="n"/>
      <c r="L1530" s="2" t="inlineStr">
        <is>
          <t>N.º 10, Artigo 12.º-B do Código do IRS</t>
        </is>
      </c>
      <c r="M1530" s="4" t="n"/>
      <c r="N1530" s="4" t="n"/>
      <c r="O1530" s="2" t="n"/>
      <c r="P1530" s="2" t="n"/>
      <c r="Q1530" s="2" t="n"/>
      <c r="R1530" s="2" t="n"/>
      <c r="S1530" s="2" t="inlineStr">
        <is>
          <t>Rejeitado(a) em Comissão</t>
        </is>
      </c>
      <c r="T1530" s="2" t="inlineStr">
        <is>
          <t>Rejeitada</t>
        </is>
      </c>
      <c r="U1530" s="2" t="inlineStr">
        <is>
          <t>Favor: IL, PAN; Contra: PSD, PCP, CDS-PP; Abstenção: CH, PS, L, BE</t>
        </is>
      </c>
      <c r="V1530" s="3" t="n">
        <v>45981</v>
      </c>
      <c r="W1530" s="2" t="inlineStr">
        <is>
          <t>AR: https://www.parlamento.pt/OrcamentoEstado/Paginas/DetalhePropostaAlteracao.aspx?BID=24687 PDF: https://app.parlamento.pt/webutils/docs/doc.pdf?path=6148523063484d364c793942556b356c6443397a6158526c63793959566b6c4a544556484c3039464c7a49774d6a59794d4449314d5441774f533951515338304d6a55305a544d774e5330785a6a4d344c5451334d324974595745784d6931694d5459354e3249324f474a6a4e3259756347526d&amp;Fich=4254e305-1f38-473b-aa12-b1697b68bc7f.pdf&amp;Inline=true</t>
        </is>
      </c>
      <c r="X1530" s="2" t="inlineStr">
        <is>
          <t>Orçamento, Finanças e Administração Pública</t>
        </is>
      </c>
      <c r="Y1530" s="2" t="inlineStr">
        <is>
          <t>Articulado</t>
        </is>
      </c>
      <c r="Z1530" s="2" t="inlineStr">
        <is>
          <t>Aditamento (Números e Alíneas)</t>
        </is>
      </c>
      <c r="AA1530" s="2" t="inlineStr">
        <is>
          <t>Rejeitado(a) em Comissão</t>
        </is>
      </c>
      <c r="AB1530" s="2" t="inlineStr"/>
      <c r="AC1530" s="2" t="inlineStr"/>
      <c r="AD1530" s="2" t="inlineStr">
        <is>
          <t>1</t>
        </is>
      </c>
      <c r="AE1530" s="2" t="inlineStr">
        <is>
          <t>24687</t>
        </is>
      </c>
      <c r="AF1530" s="2" t="inlineStr">
        <is>
          <t>https://www.parlamento.pt/OrcamentoEstado/Paginas/DetalhePropostaAlteracao.aspx?BID=24687</t>
        </is>
      </c>
      <c r="AG1530" s="2" t="inlineStr">
        <is>
          <t>https://app.parlamento.pt/webutils/docs/doc.pdf?path=6148523063484d364c793942556b356c6443397a6158526c63793959566b6c4a544556484c3039464c7a49774d6a59794d4449314d5441774f533951515338304d6a55305a544d774e5330785a6a4d344c5451334d324974595745784d6931694d5459354e3249324f474a6a4e3259756347526d&amp;Fich=4254e305-1f38-473b-aa12-b1697b68bc7f.pdf&amp;Inline=true</t>
        </is>
      </c>
      <c r="AH1530" s="3" t="n">
        <v>46321.77847222222</v>
      </c>
      <c r="AI1530" s="3" t="n">
        <v>46321.78055555555</v>
      </c>
      <c r="AJ1530" s="2" t="inlineStr"/>
    </row>
    <row r="1531">
      <c r="A1531" s="2" t="n">
        <v>1530</v>
      </c>
      <c r="B1531" s="2" t="inlineStr">
        <is>
          <t>1442C</t>
        </is>
      </c>
      <c r="C1531" s="3" t="n">
        <v>45968.60208333333</v>
      </c>
      <c r="D1531" s="2" t="inlineStr">
        <is>
          <t>Original</t>
        </is>
      </c>
      <c r="E1531" s="2" t="inlineStr">
        <is>
          <t>PS</t>
        </is>
      </c>
      <c r="F1531" s="2" t="inlineStr">
        <is>
          <t>António Mendonça Mendes; Eurico Brilhante Dias; José Luís Carneiro; Marina Gonçalves; Miguel Matos; Paulo Lopes Silva; Porfírio Silva</t>
        </is>
      </c>
      <c r="G1531" s="2" t="inlineStr">
        <is>
          <t>Art. 136.º-A (aditamento)</t>
        </is>
      </c>
      <c r="H1531" s="2" t="n"/>
      <c r="I1531" s="2" t="n"/>
      <c r="J1531" s="2" t="n"/>
      <c r="K1531" s="2" t="n"/>
      <c r="L1531" s="2" t="inlineStr">
        <is>
          <t>Artigo 136.º-A (Programa “Artista em sala de Aula”, no âmbito do Plano Nacional das Artes)</t>
        </is>
      </c>
      <c r="M1531" s="4" t="n"/>
      <c r="N1531" s="4" t="n"/>
      <c r="O1531" s="2" t="n"/>
      <c r="P1531" s="2" t="n"/>
      <c r="Q1531" s="2" t="n"/>
      <c r="R1531" s="2" t="n"/>
      <c r="S1531" s="2" t="inlineStr">
        <is>
          <t>Rejeitado(a) em Comissão</t>
        </is>
      </c>
      <c r="T1531" s="2" t="inlineStr">
        <is>
          <t>Rejeitada</t>
        </is>
      </c>
      <c r="U1531" s="2" t="inlineStr">
        <is>
          <t>Favor: PS, L, PCP, BE, PAN; Contra: PSD, CH, CDS-PP; Abstenção: IL</t>
        </is>
      </c>
      <c r="V1531" s="3" t="n">
        <v>45987</v>
      </c>
      <c r="W1531" s="2" t="inlineStr">
        <is>
          <t>AR: https://www.parlamento.pt/OrcamentoEstado/Paginas/DetalhePropostaAlteracao.aspx?BID=24688 PDF: https://app.parlamento.pt/webutils/docs/doc.pdf?path=6148523063484d364c793942556b356c6443397a6158526c63793959566b6c4a544556484c3039464c7a49774d6a59794d4449314d5441774f533951515338774f5455325954526b5a69316d4e4464694c5451784e6a67745957566a4f4330784d4751354f474532595463324e4451756347526d&amp;Fich=0956a4df-f47b-4168-aec8-10d98a6a7644.pdf&amp;Inline=true</t>
        </is>
      </c>
      <c r="X1531" s="2" t="inlineStr">
        <is>
          <t>Cultura, Comunicação, Juventude e Desporto; Orçamento, Finanças e Administração Pública</t>
        </is>
      </c>
      <c r="Y1531" s="2" t="inlineStr">
        <is>
          <t>Articulado</t>
        </is>
      </c>
      <c r="Z1531" s="2" t="inlineStr">
        <is>
          <t>Aditamento (Artigo PPL)</t>
        </is>
      </c>
      <c r="AA1531" s="2" t="inlineStr">
        <is>
          <t>Rejeitado(a) em Comissão</t>
        </is>
      </c>
      <c r="AB1531" s="2" t="inlineStr"/>
      <c r="AC1531" s="2" t="inlineStr"/>
      <c r="AD1531" s="2" t="inlineStr">
        <is>
          <t>1</t>
        </is>
      </c>
      <c r="AE1531" s="2" t="inlineStr">
        <is>
          <t>24688</t>
        </is>
      </c>
      <c r="AF1531" s="2" t="inlineStr">
        <is>
          <t>https://www.parlamento.pt/OrcamentoEstado/Paginas/DetalhePropostaAlteracao.aspx?BID=24688</t>
        </is>
      </c>
      <c r="AG1531" s="2" t="inlineStr">
        <is>
          <t>https://app.parlamento.pt/webutils/docs/doc.pdf?path=6148523063484d364c793942556b356c6443397a6158526c63793959566b6c4a544556484c3039464c7a49774d6a59794d4449314d5441774f533951515338774f5455325954526b5a69316d4e4464694c5451784e6a67745957566a4f4330784d4751354f474532595463324e4451756347526d&amp;Fich=0956a4df-f47b-4168-aec8-10d98a6a7644.pdf&amp;Inline=true</t>
        </is>
      </c>
      <c r="AH1531" s="3" t="n">
        <v>46321.77847222222</v>
      </c>
      <c r="AI1531" s="3" t="n">
        <v>46321.78055555555</v>
      </c>
      <c r="AJ1531" s="2" t="inlineStr"/>
    </row>
    <row r="1532">
      <c r="A1532" s="2" t="n">
        <v>1531</v>
      </c>
      <c r="B1532" s="2" t="inlineStr">
        <is>
          <t>1443C</t>
        </is>
      </c>
      <c r="C1532" s="3" t="n">
        <v>45968.60277777778</v>
      </c>
      <c r="D1532" s="2" t="inlineStr">
        <is>
          <t>Original</t>
        </is>
      </c>
      <c r="E1532" s="2" t="inlineStr">
        <is>
          <t>PAN</t>
        </is>
      </c>
      <c r="F1532" s="2" t="inlineStr">
        <is>
          <t>Inês de Sousa Real</t>
        </is>
      </c>
      <c r="G1532" s="2" t="inlineStr">
        <is>
          <t>Art. 60.º (substituição)</t>
        </is>
      </c>
      <c r="H1532" s="2" t="n"/>
      <c r="I1532" s="2" t="n"/>
      <c r="J1532" s="2" t="n"/>
      <c r="K1532" s="2" t="n"/>
      <c r="L1532" s="2" t="inlineStr">
        <is>
          <t>N.º 1, Artigo 12.º-B do Código do IRS</t>
        </is>
      </c>
      <c r="M1532" s="4" t="n"/>
      <c r="N1532" s="4" t="n"/>
      <c r="O1532" s="2" t="n"/>
      <c r="P1532" s="2" t="n"/>
      <c r="Q1532" s="2" t="n"/>
      <c r="R1532" s="2" t="n"/>
      <c r="S1532" s="2" t="inlineStr">
        <is>
          <t>Rejeitado(a) em Comissão</t>
        </is>
      </c>
      <c r="T1532" s="2" t="inlineStr">
        <is>
          <t>Rejeitada</t>
        </is>
      </c>
      <c r="U1532" s="2" t="inlineStr">
        <is>
          <t>Favor: PAN; Contra: PSD, IL, L, PCP, CDS-PP, BE; Abstenção: CH, PS</t>
        </is>
      </c>
      <c r="V1532" s="3" t="n">
        <v>45981</v>
      </c>
      <c r="W1532" s="2" t="inlineStr">
        <is>
          <t>AR: https://www.parlamento.pt/OrcamentoEstado/Paginas/DetalhePropostaAlteracao.aspx?BID=24689 PDF: https://app.parlamento.pt/webutils/docs/doc.pdf?path=6148523063484d364c793942556b356c6443397a6158526c63793959566b6c4a544556484c3039464c7a49774d6a59794d4449314d5441774f533951515338354d4441314d4445344f533030596a566c4c5451314d4445744f546c6b4d693031595749314f4755354f4445794d4467756347526d&amp;Fich=90050189-4b5e-4501-99d2-5ab58e981208.pdf&amp;Inline=true</t>
        </is>
      </c>
      <c r="X1532" s="2" t="inlineStr">
        <is>
          <t>Orçamento, Finanças e Administração Pública</t>
        </is>
      </c>
      <c r="Y1532" s="2" t="inlineStr">
        <is>
          <t>Articulado</t>
        </is>
      </c>
      <c r="Z1532" s="2" t="inlineStr">
        <is>
          <t>Substituição</t>
        </is>
      </c>
      <c r="AA1532" s="2" t="inlineStr">
        <is>
          <t>Rejeitado(a) em Comissão</t>
        </is>
      </c>
      <c r="AB1532" s="2" t="inlineStr"/>
      <c r="AC1532" s="2" t="inlineStr"/>
      <c r="AD1532" s="2" t="inlineStr">
        <is>
          <t>1</t>
        </is>
      </c>
      <c r="AE1532" s="2" t="inlineStr">
        <is>
          <t>24689</t>
        </is>
      </c>
      <c r="AF1532" s="2" t="inlineStr">
        <is>
          <t>https://www.parlamento.pt/OrcamentoEstado/Paginas/DetalhePropostaAlteracao.aspx?BID=24689</t>
        </is>
      </c>
      <c r="AG1532" s="2" t="inlineStr">
        <is>
          <t>https://app.parlamento.pt/webutils/docs/doc.pdf?path=6148523063484d364c793942556b356c6443397a6158526c63793959566b6c4a544556484c3039464c7a49774d6a59794d4449314d5441774f533951515338354d4441314d4445344f533030596a566c4c5451314d4445744f546c6b4d693031595749314f4755354f4445794d4467756347526d&amp;Fich=90050189-4b5e-4501-99d2-5ab58e981208.pdf&amp;Inline=true</t>
        </is>
      </c>
      <c r="AH1532" s="3" t="n">
        <v>46321.77847222222</v>
      </c>
      <c r="AI1532" s="3" t="n">
        <v>46321.78055555555</v>
      </c>
      <c r="AJ1532" s="2" t="inlineStr"/>
    </row>
    <row r="1533">
      <c r="A1533" s="2" t="n">
        <v>1532</v>
      </c>
      <c r="B1533" s="2" t="inlineStr">
        <is>
          <t>1444C</t>
        </is>
      </c>
      <c r="C1533" s="3" t="n">
        <v>45968.60347222222</v>
      </c>
      <c r="D1533" s="2" t="inlineStr">
        <is>
          <t>Original</t>
        </is>
      </c>
      <c r="E1533" s="2" t="inlineStr">
        <is>
          <t>L</t>
        </is>
      </c>
      <c r="F1533" s="2" t="inlineStr">
        <is>
          <t>Filipa Pinto; Isabel Mendes Lopes; Jorge Pinto; Patrícia Gonçalves; Paulo Muacho; Rui Tavares</t>
        </is>
      </c>
      <c r="G1533" s="2" t="inlineStr">
        <is>
          <t>Art. 113.º-A (aditamento)</t>
        </is>
      </c>
      <c r="H1533" s="2" t="n"/>
      <c r="I1533" s="2" t="n"/>
      <c r="J1533" s="2" t="n"/>
      <c r="K1533" s="2" t="n"/>
      <c r="L1533" s="2" t="inlineStr">
        <is>
          <t>Artigo 113.º-A (Programa Casas de Função)</t>
        </is>
      </c>
      <c r="M1533" s="4" t="n"/>
      <c r="N1533" s="4" t="n"/>
      <c r="O1533" s="2" t="n"/>
      <c r="P1533" s="2" t="n"/>
      <c r="Q1533" s="2" t="n"/>
      <c r="R1533" s="2" t="n"/>
      <c r="S1533" s="2" t="inlineStr">
        <is>
          <t>Rejeitado(a) em Comissão</t>
        </is>
      </c>
      <c r="T1533" s="2" t="inlineStr">
        <is>
          <t>Rejeitada</t>
        </is>
      </c>
      <c r="U1533" s="2" t="inlineStr">
        <is>
          <t>Favor: L, PCP, BE, PAN; Contra: PSD, IL, CDS-PP; Abstenção: CH, PS</t>
        </is>
      </c>
      <c r="V1533" s="3" t="n">
        <v>45985</v>
      </c>
      <c r="W1533" s="2" t="inlineStr">
        <is>
          <t>AR: https://www.parlamento.pt/OrcamentoEstado/Paginas/DetalhePropostaAlteracao.aspx?BID=24690 PDF: https://app.parlamento.pt/webutils/docs/doc.pdf?path=6148523063484d364c793942556b356c6443397a6158526c63793959566b6c4a544556484c3039464c7a49774d6a59794d4449314d5441774f5339515153387a4f4451334d3259324e6930345a6a45794c54526d4e47457459575130595330315932493159546378597a51794d446b756347526d&amp;Fich=38473f66-8f12-4f4a-ad4a-5cb5a71c4209.pdf&amp;Inline=true</t>
        </is>
      </c>
      <c r="X1533" s="2" t="inlineStr">
        <is>
          <t>Infraestruturas, Mobilidade e Habitação</t>
        </is>
      </c>
      <c r="Y1533" s="2" t="inlineStr">
        <is>
          <t>Articulado</t>
        </is>
      </c>
      <c r="Z1533" s="2" t="inlineStr">
        <is>
          <t>Aditamento (Artigo PPL)</t>
        </is>
      </c>
      <c r="AA1533" s="2" t="inlineStr">
        <is>
          <t>Rejeitado(a) em Comissão</t>
        </is>
      </c>
      <c r="AB1533" s="2" t="inlineStr"/>
      <c r="AC1533" s="2" t="inlineStr"/>
      <c r="AD1533" s="2" t="inlineStr">
        <is>
          <t>1</t>
        </is>
      </c>
      <c r="AE1533" s="2" t="inlineStr">
        <is>
          <t>24690</t>
        </is>
      </c>
      <c r="AF1533" s="2" t="inlineStr">
        <is>
          <t>https://www.parlamento.pt/OrcamentoEstado/Paginas/DetalhePropostaAlteracao.aspx?BID=24690</t>
        </is>
      </c>
      <c r="AG1533" s="2" t="inlineStr">
        <is>
          <t>https://app.parlamento.pt/webutils/docs/doc.pdf?path=6148523063484d364c793942556b356c6443397a6158526c63793959566b6c4a544556484c3039464c7a49774d6a59794d4449314d5441774f5339515153387a4f4451334d3259324e6930345a6a45794c54526d4e47457459575130595330315932493159546378597a51794d446b756347526d&amp;Fich=38473f66-8f12-4f4a-ad4a-5cb5a71c4209.pdf&amp;Inline=true</t>
        </is>
      </c>
      <c r="AH1533" s="3" t="n">
        <v>46321.77847222222</v>
      </c>
      <c r="AI1533" s="3" t="n">
        <v>46321.78055555555</v>
      </c>
      <c r="AJ1533" s="2" t="inlineStr"/>
    </row>
    <row r="1534">
      <c r="A1534" s="2" t="n">
        <v>1533</v>
      </c>
      <c r="B1534" s="2" t="inlineStr">
        <is>
          <t>1445C</t>
        </is>
      </c>
      <c r="C1534" s="3" t="n">
        <v>45968.60347222222</v>
      </c>
      <c r="D1534" s="2" t="inlineStr">
        <is>
          <t>Original</t>
        </is>
      </c>
      <c r="E1534" s="2" t="inlineStr">
        <is>
          <t>JPP</t>
        </is>
      </c>
      <c r="F1534" s="2" t="inlineStr">
        <is>
          <t>Filipe Sousa</t>
        </is>
      </c>
      <c r="G1534" s="2" t="inlineStr">
        <is>
          <t>Art. 133.º-A (aditamento)</t>
        </is>
      </c>
      <c r="H1534" s="2" t="n"/>
      <c r="I1534" s="2" t="n"/>
      <c r="J1534" s="2" t="n"/>
      <c r="K1534" s="2" t="n"/>
      <c r="L1534" s="2" t="inlineStr">
        <is>
          <t>Artigo 133.º-A (Bombeiros municipais e sapadores — regime excecional e transitório de integração de trabalhadores recrutados noutras carreiras (2026–2028))</t>
        </is>
      </c>
      <c r="M1534" s="4" t="n"/>
      <c r="N1534" s="4" t="n"/>
      <c r="O1534" s="2" t="n"/>
      <c r="P1534" s="2" t="n"/>
      <c r="Q1534" s="2" t="n"/>
      <c r="R1534" s="2" t="n"/>
      <c r="S1534" s="2" t="inlineStr">
        <is>
          <t>Rejeitado(a) em Comissão</t>
        </is>
      </c>
      <c r="T1534" s="2" t="inlineStr">
        <is>
          <t>Rejeitada</t>
        </is>
      </c>
      <c r="U1534" s="2" t="inlineStr">
        <is>
          <t>Favor: L, PCP, BE, PAN; Contra: PSD, IL, CDS-PP; Abstenção: CH, PS</t>
        </is>
      </c>
      <c r="V1534" s="3" t="n">
        <v>45985</v>
      </c>
      <c r="W1534" s="2" t="inlineStr">
        <is>
          <t>AR: https://www.parlamento.pt/OrcamentoEstado/Paginas/DetalhePropostaAlteracao.aspx?BID=24691 PDF: https://app.parlamento.pt/webutils/docs/doc.pdf?path=6148523063484d364c793942556b356c6443397a6158526c63793959566b6c4a544556484c3039464c7a49774d6a59794d4449314d5441774f533951515338784f4751334e7a4134597931694e6d5a6a4c5451355a4467744f5745774d7930784e7a63344f4455315a6a4e6c597a67756347526d&amp;Fich=18d7708c-b6fc-49d8-9a03-1778855f3ec8.pdf&amp;Inline=true</t>
        </is>
      </c>
      <c r="X1534" s="2" t="inlineStr">
        <is>
          <t>Assuntos Constitucionais, Direitos, Liberdades e Garantias; Reforma do Estado e Poder Local</t>
        </is>
      </c>
      <c r="Y1534" s="2" t="inlineStr">
        <is>
          <t>Articulado</t>
        </is>
      </c>
      <c r="Z1534" s="2" t="inlineStr">
        <is>
          <t>Aditamento (Artigo PPL)</t>
        </is>
      </c>
      <c r="AA1534" s="2" t="inlineStr">
        <is>
          <t>Rejeitado(a) em Comissão</t>
        </is>
      </c>
      <c r="AB1534" s="2" t="inlineStr"/>
      <c r="AC1534" s="2" t="inlineStr"/>
      <c r="AD1534" s="2" t="inlineStr">
        <is>
          <t>1</t>
        </is>
      </c>
      <c r="AE1534" s="2" t="inlineStr">
        <is>
          <t>24691</t>
        </is>
      </c>
      <c r="AF1534" s="2" t="inlineStr">
        <is>
          <t>https://www.parlamento.pt/OrcamentoEstado/Paginas/DetalhePropostaAlteracao.aspx?BID=24691</t>
        </is>
      </c>
      <c r="AG1534" s="2" t="inlineStr">
        <is>
          <t>https://app.parlamento.pt/webutils/docs/doc.pdf?path=6148523063484d364c793942556b356c6443397a6158526c63793959566b6c4a544556484c3039464c7a49774d6a59794d4449314d5441774f533951515338784f4751334e7a4134597931694e6d5a6a4c5451355a4467744f5745774d7930784e7a63344f4455315a6a4e6c597a67756347526d&amp;Fich=18d7708c-b6fc-49d8-9a03-1778855f3ec8.pdf&amp;Inline=true</t>
        </is>
      </c>
      <c r="AH1534" s="3" t="n">
        <v>46321.77847222222</v>
      </c>
      <c r="AI1534" s="3" t="n">
        <v>46321.78055555555</v>
      </c>
      <c r="AJ1534" s="2" t="inlineStr"/>
    </row>
    <row r="1535">
      <c r="A1535" s="2" t="n">
        <v>1534</v>
      </c>
      <c r="B1535" s="2" t="inlineStr">
        <is>
          <t>1446C</t>
        </is>
      </c>
      <c r="C1535" s="3" t="n">
        <v>45968.60347222222</v>
      </c>
      <c r="D1535" s="2" t="inlineStr">
        <is>
          <t>Original</t>
        </is>
      </c>
      <c r="E1535" s="2" t="inlineStr">
        <is>
          <t>PS</t>
        </is>
      </c>
      <c r="F1535" s="2" t="inlineStr">
        <is>
          <t>António Mendonça Mendes; Eurico Brilhante Dias; José Luís Carneiro; Marina Gonçalves; Miguel Matos; Paulo Lopes Silva; Porfírio Silva</t>
        </is>
      </c>
      <c r="G1535" s="2" t="inlineStr">
        <is>
          <t>Art. 63.º-A (aditamento)</t>
        </is>
      </c>
      <c r="H1535" s="2" t="n"/>
      <c r="I1535" s="2" t="n"/>
      <c r="J1535" s="2" t="n"/>
      <c r="K1535" s="2" t="n"/>
      <c r="L1535" s="2" t="inlineStr">
        <is>
          <t>Artigo 63.º-A (Alterações ao Código do IVA)</t>
        </is>
      </c>
      <c r="M1535" s="4" t="n"/>
      <c r="N1535" s="4" t="n"/>
      <c r="O1535" s="2" t="n"/>
      <c r="P1535" s="2" t="n"/>
      <c r="Q1535" s="2" t="n"/>
      <c r="R1535" s="2" t="n"/>
      <c r="S1535" s="2" t="inlineStr">
        <is>
          <t>Aprovado(a) em Comissão</t>
        </is>
      </c>
      <c r="T1535" s="2" t="inlineStr">
        <is>
          <t>Aprovada</t>
        </is>
      </c>
      <c r="U1535" s="2" t="inlineStr">
        <is>
          <t>Favor: CH, PS, IL, L, BE; Contra: PSD, PCP, CDS-PP; Abstenção: PAN</t>
        </is>
      </c>
      <c r="V1535" s="3" t="n">
        <v>45985</v>
      </c>
      <c r="W1535" s="2" t="inlineStr">
        <is>
          <t>AR: https://www.parlamento.pt/OrcamentoEstado/Paginas/DetalhePropostaAlteracao.aspx?BID=24692 PDF: https://app.parlamento.pt/webutils/docs/doc.pdf?path=6148523063484d364c793942556b356c6443397a6158526c63793959566b6c4a544556484c3039464c7a49774d6a59794d4449314d5441774f533951515338774f5745325a6a4d324e79316c4f4449324c54526b596d55744f446c6b4f5331685a6d4a694d6a426c4e4446694e4449756347526d&amp;Fich=09a6f367-e826-4dbe-89d9-afbb20e41b42.pdf&amp;Inline=true</t>
        </is>
      </c>
      <c r="X1535" s="2" t="inlineStr">
        <is>
          <t>Cultura, Comunicação, Juventude e Desporto; Orçamento, Finanças e Administração Pública</t>
        </is>
      </c>
      <c r="Y1535" s="2" t="inlineStr">
        <is>
          <t>Articulado</t>
        </is>
      </c>
      <c r="Z1535" s="2" t="inlineStr">
        <is>
          <t>Aditamento (Artigo PPL)</t>
        </is>
      </c>
      <c r="AA1535" s="2" t="inlineStr">
        <is>
          <t>Aprovado(a) em Comissão</t>
        </is>
      </c>
      <c r="AB1535" s="2" t="inlineStr"/>
      <c r="AC1535" s="2" t="inlineStr"/>
      <c r="AD1535" s="2" t="inlineStr">
        <is>
          <t>1</t>
        </is>
      </c>
      <c r="AE1535" s="2" t="inlineStr">
        <is>
          <t>24692</t>
        </is>
      </c>
      <c r="AF1535" s="2" t="inlineStr">
        <is>
          <t>https://www.parlamento.pt/OrcamentoEstado/Paginas/DetalhePropostaAlteracao.aspx?BID=24692</t>
        </is>
      </c>
      <c r="AG1535" s="2" t="inlineStr">
        <is>
          <t>https://app.parlamento.pt/webutils/docs/doc.pdf?path=6148523063484d364c793942556b356c6443397a6158526c63793959566b6c4a544556484c3039464c7a49774d6a59794d4449314d5441774f533951515338774f5745325a6a4d324e79316c4f4449324c54526b596d55744f446c6b4f5331685a6d4a694d6a426c4e4446694e4449756347526d&amp;Fich=09a6f367-e826-4dbe-89d9-afbb20e41b42.pdf&amp;Inline=true</t>
        </is>
      </c>
      <c r="AH1535" s="3" t="n">
        <v>46321.77847222222</v>
      </c>
      <c r="AI1535" s="3" t="n">
        <v>46321.78055555555</v>
      </c>
      <c r="AJ1535" s="2" t="inlineStr"/>
    </row>
    <row r="1536">
      <c r="A1536" s="2" t="n">
        <v>1535</v>
      </c>
      <c r="B1536" s="2" t="inlineStr">
        <is>
          <t>1447C</t>
        </is>
      </c>
      <c r="C1536" s="3" t="n">
        <v>45968.60416666666</v>
      </c>
      <c r="D1536" s="2" t="inlineStr">
        <is>
          <t>Original</t>
        </is>
      </c>
      <c r="E1536" s="2" t="inlineStr">
        <is>
          <t>PAN</t>
        </is>
      </c>
      <c r="F1536" s="2" t="inlineStr">
        <is>
          <t>Inês de Sousa Real</t>
        </is>
      </c>
      <c r="G1536" s="2" t="inlineStr">
        <is>
          <t>Art. 60.º (aditamento)</t>
        </is>
      </c>
      <c r="H1536" s="2" t="n"/>
      <c r="I1536" s="2" t="n"/>
      <c r="J1536" s="2" t="n"/>
      <c r="K1536" s="2" t="n"/>
      <c r="L1536" s="2" t="inlineStr">
        <is>
          <t>Nova Alínea e), N.º 9, Artigo 12.º-B do Código do IRS</t>
        </is>
      </c>
      <c r="M1536" s="4" t="n"/>
      <c r="N1536" s="4" t="n"/>
      <c r="O1536" s="2" t="n"/>
      <c r="P1536" s="2" t="n"/>
      <c r="Q1536" s="2" t="n"/>
      <c r="R1536" s="2" t="n"/>
      <c r="S1536" s="2" t="inlineStr">
        <is>
          <t>Rejeitado(a) em Comissão</t>
        </is>
      </c>
      <c r="T1536" s="2" t="inlineStr">
        <is>
          <t>Rejeitada</t>
        </is>
      </c>
      <c r="U1536" s="2" t="inlineStr">
        <is>
          <t>Favor: L, BE, PAN; Contra: PSD, CH, IL, PCP, CDS-PP; Abstenção: PS</t>
        </is>
      </c>
      <c r="V1536" s="3" t="n">
        <v>45981</v>
      </c>
      <c r="W1536" s="2" t="inlineStr">
        <is>
          <t>AR: https://www.parlamento.pt/OrcamentoEstado/Paginas/DetalhePropostaAlteracao.aspx?BID=24693 PDF: https://app.parlamento.pt/webutils/docs/doc.pdf?path=6148523063484d364c793942556b356c6443397a6158526c63793959566b6c4a544556484c3039464c7a49774d6a59794d4449314d5441774f5339515153387a4e6a526d59324e685a53307a4e6a6b784c5451334f475974596d55354d433079597a453159574e694e6d55335a4449756347526d&amp;Fich=364fccae-3691-478f-be90-2c15acb6e7d2.pdf&amp;Inline=true</t>
        </is>
      </c>
      <c r="X1536" s="2" t="inlineStr">
        <is>
          <t>Orçamento, Finanças e Administração Pública</t>
        </is>
      </c>
      <c r="Y1536" s="2" t="inlineStr">
        <is>
          <t>Articulado</t>
        </is>
      </c>
      <c r="Z1536" s="2" t="inlineStr">
        <is>
          <t>Aditamento (Números e Alíneas)</t>
        </is>
      </c>
      <c r="AA1536" s="2" t="inlineStr">
        <is>
          <t>Rejeitado(a) em Comissão</t>
        </is>
      </c>
      <c r="AB1536" s="2" t="inlineStr"/>
      <c r="AC1536" s="2" t="inlineStr"/>
      <c r="AD1536" s="2" t="inlineStr">
        <is>
          <t>1</t>
        </is>
      </c>
      <c r="AE1536" s="2" t="inlineStr">
        <is>
          <t>24693</t>
        </is>
      </c>
      <c r="AF1536" s="2" t="inlineStr">
        <is>
          <t>https://www.parlamento.pt/OrcamentoEstado/Paginas/DetalhePropostaAlteracao.aspx?BID=24693</t>
        </is>
      </c>
      <c r="AG1536" s="2" t="inlineStr">
        <is>
          <t>https://app.parlamento.pt/webutils/docs/doc.pdf?path=6148523063484d364c793942556b356c6443397a6158526c63793959566b6c4a544556484c3039464c7a49774d6a59794d4449314d5441774f5339515153387a4e6a526d59324e685a53307a4e6a6b784c5451334f475974596d55354d433079597a453159574e694e6d55335a4449756347526d&amp;Fich=364fccae-3691-478f-be90-2c15acb6e7d2.pdf&amp;Inline=true</t>
        </is>
      </c>
      <c r="AH1536" s="3" t="n">
        <v>46321.77847222222</v>
      </c>
      <c r="AI1536" s="3" t="n">
        <v>46321.78055555555</v>
      </c>
      <c r="AJ1536" s="2" t="inlineStr"/>
    </row>
    <row r="1537">
      <c r="A1537" s="2" t="n">
        <v>1536</v>
      </c>
      <c r="B1537" s="2" t="inlineStr">
        <is>
          <t>1448C-1</t>
        </is>
      </c>
      <c r="C1537" s="3" t="n">
        <v>45968.60486111111</v>
      </c>
      <c r="D1537" s="2" t="inlineStr">
        <is>
          <t>Original</t>
        </is>
      </c>
      <c r="E1537" s="2" t="inlineStr">
        <is>
          <t>PS</t>
        </is>
      </c>
      <c r="F1537" s="2" t="inlineStr">
        <is>
          <t>António Mendonça Mendes; Eurico Brilhante Dias; José Luís Carneiro; Marina Gonçalves; Miguel Matos; Paulo Lopes Silva; Porfírio Silva</t>
        </is>
      </c>
      <c r="G1537" s="2" t="inlineStr">
        <is>
          <t>Art. 136.º-A (aditamento)</t>
        </is>
      </c>
      <c r="H1537" s="2" t="n"/>
      <c r="I1537" s="2" t="n"/>
      <c r="J1537" s="2" t="n"/>
      <c r="K1537" s="2" t="n"/>
      <c r="L1537" s="2" t="inlineStr">
        <is>
          <t>Artigo 136.º-A (Programa de Apoio à Resiliência Energética das Rádios Portuguesas)</t>
        </is>
      </c>
      <c r="M1537" s="4" t="n"/>
      <c r="N1537" s="4" t="n"/>
      <c r="O1537" s="2" t="n"/>
      <c r="P1537" s="2" t="n"/>
      <c r="Q1537" s="2" t="n"/>
      <c r="R1537" s="2" t="n"/>
      <c r="S1537" s="2" t="inlineStr">
        <is>
          <t>Rejeitado(a) em Comissão</t>
        </is>
      </c>
      <c r="T1537" s="2" t="inlineStr">
        <is>
          <t>Rejeitada</t>
        </is>
      </c>
      <c r="U1537" s="2" t="inlineStr">
        <is>
          <t>Favor: PS, L, PCP, BE, PAN; Contra: PSD, CH, CDS-PP; Abstenção: IL</t>
        </is>
      </c>
      <c r="V1537" s="3" t="n">
        <v>45987</v>
      </c>
      <c r="W1537" s="2" t="inlineStr">
        <is>
          <t>AR: https://www.parlamento.pt/OrcamentoEstado/Paginas/DetalhePropostaAlteracao.aspx?BID=24694 PDF: https://app.parlamento.pt/webutils/docs/doc.pdf?path=6148523063484d364c793942556b356c6443397a6158526c63793959566b6c4a544556484c3039464c7a49774d6a59794d4449314d5441774f5339515153396c4e5751354d7a6b325a4330354d32566d4c54526d4d7a4174596a6b7a4d43316a4e6a5977595449304f5746694e7a41756347526d&amp;Fich=e5d9396d-93ef-4f30-b930-c660a249ab70.pdf&amp;Inline=true</t>
        </is>
      </c>
      <c r="X1537" s="2" t="inlineStr">
        <is>
          <t>Cultura, Comunicação, Juventude e Desporto; Orçamento, Finanças e Administração Pública</t>
        </is>
      </c>
      <c r="Y1537" s="2" t="inlineStr">
        <is>
          <t>Articulado</t>
        </is>
      </c>
      <c r="Z1537" s="2" t="inlineStr">
        <is>
          <t>Aditamento (Artigo PPL)</t>
        </is>
      </c>
      <c r="AA1537" s="2" t="inlineStr">
        <is>
          <t>Rejeitado(a) em Comissão</t>
        </is>
      </c>
      <c r="AB1537" s="2" t="inlineStr"/>
      <c r="AC1537" s="2" t="inlineStr">
        <is>
          <t>1</t>
        </is>
      </c>
      <c r="AD1537" s="2" t="inlineStr">
        <is>
          <t>1</t>
        </is>
      </c>
      <c r="AE1537" s="2" t="inlineStr">
        <is>
          <t>24694</t>
        </is>
      </c>
      <c r="AF1537" s="2" t="inlineStr">
        <is>
          <t>https://www.parlamento.pt/OrcamentoEstado/Paginas/DetalhePropostaAlteracao.aspx?BID=24694</t>
        </is>
      </c>
      <c r="AG1537" s="2" t="inlineStr">
        <is>
          <t>https://app.parlamento.pt/webutils/docs/doc.pdf?path=6148523063484d364c793942556b356c6443397a6158526c63793959566b6c4a544556484c3039464c7a49774d6a59794d4449314d5441774f5339515153396c4e5751354d7a6b325a4330354d32566d4c54526d4d7a4174596a6b7a4d43316a4e6a5977595449304f5746694e7a41756347526d&amp;Fich=e5d9396d-93ef-4f30-b930-c660a249ab70.pdf&amp;Inline=true</t>
        </is>
      </c>
      <c r="AH1537" s="3" t="n">
        <v>46321.77847222222</v>
      </c>
      <c r="AI1537" s="3" t="n">
        <v>46321.78055555555</v>
      </c>
      <c r="AJ1537" s="2" t="inlineStr"/>
    </row>
    <row r="1538">
      <c r="A1538" s="2" t="n">
        <v>1537</v>
      </c>
      <c r="B1538" s="2" t="inlineStr">
        <is>
          <t>1448C-2</t>
        </is>
      </c>
      <c r="C1538" s="3" t="n">
        <v>45968.60486111111</v>
      </c>
      <c r="D1538" s="2" t="inlineStr">
        <is>
          <t>Original</t>
        </is>
      </c>
      <c r="E1538" s="2" t="inlineStr">
        <is>
          <t>PS</t>
        </is>
      </c>
      <c r="F1538" s="2" t="inlineStr">
        <is>
          <t>António Mendonça Mendes; Eurico Brilhante Dias; José Luís Carneiro; Marina Gonçalves; Miguel Matos; Paulo Lopes Silva; Porfírio Silva</t>
        </is>
      </c>
      <c r="G1538" s="2" t="inlineStr">
        <is>
          <t>Art. 7.º (aditamento)</t>
        </is>
      </c>
      <c r="H1538" s="2" t="n"/>
      <c r="I1538" s="2" t="n"/>
      <c r="J1538" s="2" t="n"/>
      <c r="K1538" s="2" t="n"/>
      <c r="L1538" s="2" t="inlineStr">
        <is>
          <t>Nova Verba 105, Mapa de alterações e transferências orçamentais, Artigo 7.º</t>
        </is>
      </c>
      <c r="M1538" s="4" t="n"/>
      <c r="N1538" s="4" t="n"/>
      <c r="O1538" s="2" t="n"/>
      <c r="P1538" s="2" t="n"/>
      <c r="Q1538" s="2" t="n"/>
      <c r="R1538" s="2" t="n"/>
      <c r="S1538" s="2" t="inlineStr">
        <is>
          <t>Rejeitado(a) em Comissão</t>
        </is>
      </c>
      <c r="T1538" s="2" t="inlineStr">
        <is>
          <t>Rejeitada</t>
        </is>
      </c>
      <c r="U1538" s="2" t="inlineStr">
        <is>
          <t>Favor: PS, L, PCP, BE, PAN; Contra: PSD, CH, CDS-PP; Abstenção: IL</t>
        </is>
      </c>
      <c r="V1538" s="3" t="n">
        <v>45987</v>
      </c>
      <c r="W1538" s="2" t="inlineStr">
        <is>
          <t>AR: https://www.parlamento.pt/OrcamentoEstado/Paginas/DetalhePropostaAlteracao.aspx?BID=25378 PDF: https://app.parlamento.pt/webutils/docs/doc.pdf?path=6148523063484d364c793942556b356c6443397a6158526c63793959566b6c4a544556484c3039464c7a49774d6a59794d4449314d5441774f533951515338775a5749794f5749304e53307a4e44686a4c5451774e6d5174596a5131595330304e6a67775a4451314f5449794f4455756347526d&amp;Fich=0eb29b45-348c-406d-b45a-4680d4592285.pdf&amp;Inline=true</t>
        </is>
      </c>
      <c r="X1538" s="2" t="inlineStr">
        <is>
          <t>Cultura, Comunicação, Juventude e Desporto</t>
        </is>
      </c>
      <c r="Y1538" s="2" t="inlineStr">
        <is>
          <t>Articulado</t>
        </is>
      </c>
      <c r="Z1538" s="2" t="inlineStr">
        <is>
          <t>Aditamento (Números e Alíneas)</t>
        </is>
      </c>
      <c r="AA1538" s="2" t="inlineStr">
        <is>
          <t>Rejeitado(a) em Comissão</t>
        </is>
      </c>
      <c r="AB1538" s="2" t="inlineStr"/>
      <c r="AC1538" s="2" t="inlineStr">
        <is>
          <t>2</t>
        </is>
      </c>
      <c r="AD1538" s="2" t="inlineStr">
        <is>
          <t>1</t>
        </is>
      </c>
      <c r="AE1538" s="2" t="inlineStr">
        <is>
          <t>25378</t>
        </is>
      </c>
      <c r="AF1538" s="2" t="inlineStr">
        <is>
          <t>https://www.parlamento.pt/OrcamentoEstado/Paginas/DetalhePropostaAlteracao.aspx?BID=25378</t>
        </is>
      </c>
      <c r="AG1538" s="2" t="inlineStr">
        <is>
          <t>https://app.parlamento.pt/webutils/docs/doc.pdf?path=6148523063484d364c793942556b356c6443397a6158526c63793959566b6c4a544556484c3039464c7a49774d6a59794d4449314d5441774f533951515338775a5749794f5749304e53307a4e44686a4c5451774e6d5174596a5131595330304e6a67775a4451314f5449794f4455756347526d&amp;Fich=0eb29b45-348c-406d-b45a-4680d4592285.pdf&amp;Inline=true</t>
        </is>
      </c>
      <c r="AH1538" s="3" t="n">
        <v>46321.77847222222</v>
      </c>
      <c r="AI1538" s="3" t="n">
        <v>46321.78055555555</v>
      </c>
      <c r="AJ1538" s="2" t="inlineStr"/>
    </row>
    <row r="1539">
      <c r="A1539" s="2" t="n">
        <v>1538</v>
      </c>
      <c r="B1539" s="2" t="inlineStr">
        <is>
          <t>1449C</t>
        </is>
      </c>
      <c r="C1539" s="3" t="n">
        <v>45968.60486111111</v>
      </c>
      <c r="D1539" s="2" t="inlineStr">
        <is>
          <t>Original</t>
        </is>
      </c>
      <c r="E1539" s="2" t="inlineStr">
        <is>
          <t>PAN</t>
        </is>
      </c>
      <c r="F1539" s="2" t="inlineStr">
        <is>
          <t>Inês de Sousa Real</t>
        </is>
      </c>
      <c r="G1539" s="2" t="inlineStr">
        <is>
          <t>Art. 108.º-A (aditamento)</t>
        </is>
      </c>
      <c r="H1539" s="2" t="n"/>
      <c r="I1539" s="2" t="n"/>
      <c r="J1539" s="2" t="n"/>
      <c r="K1539" s="2" t="n"/>
      <c r="L1539" s="2" t="inlineStr">
        <is>
          <t>Artigo 108.º-A (Criação de projeto-piloto “Vet no Bairro”)</t>
        </is>
      </c>
      <c r="M1539" s="4" t="n"/>
      <c r="N1539" s="4" t="n"/>
      <c r="O1539" s="2" t="n"/>
      <c r="P1539" s="2" t="n"/>
      <c r="Q1539" s="2" t="n"/>
      <c r="R1539" s="2" t="n"/>
      <c r="S1539" s="2" t="inlineStr">
        <is>
          <t>Rejeitado(a) em Comissão</t>
        </is>
      </c>
      <c r="T1539" s="2" t="inlineStr">
        <is>
          <t>Rejeitada</t>
        </is>
      </c>
      <c r="U1539" s="2" t="inlineStr">
        <is>
          <t>Favor: L, BE, PAN; Contra: PSD, IL, CDS-PP; Abstenção: CH, PS, PCP</t>
        </is>
      </c>
      <c r="V1539" s="3" t="n">
        <v>45982</v>
      </c>
      <c r="W1539" s="2" t="inlineStr">
        <is>
          <t>AR: https://www.parlamento.pt/OrcamentoEstado/Paginas/DetalhePropostaAlteracao.aspx?BID=24695 PDF: https://app.parlamento.pt/webutils/docs/doc.pdf?path=6148523063484d364c793942556b356c6443397a6158526c63793959566b6c4a544556484c3039464c7a49774d6a59794d4449314d5441774f533951515339694e6a4577595463785a4330304e6a67784c5451355a6a6b744f4442694d7930344e7a64684f5751324d474a6c596a67756347526d&amp;Fich=b610a71d-4681-49f9-80b3-877a9d60beb8.pdf&amp;Inline=true</t>
        </is>
      </c>
      <c r="X1539" s="2" t="inlineStr">
        <is>
          <t>Agricultura e Pescas</t>
        </is>
      </c>
      <c r="Y1539" s="2" t="inlineStr">
        <is>
          <t>Articulado</t>
        </is>
      </c>
      <c r="Z1539" s="2" t="inlineStr">
        <is>
          <t>Aditamento (Artigo PPL)</t>
        </is>
      </c>
      <c r="AA1539" s="2" t="inlineStr">
        <is>
          <t>Rejeitado(a) em Comissão</t>
        </is>
      </c>
      <c r="AB1539" s="2" t="inlineStr"/>
      <c r="AC1539" s="2" t="inlineStr"/>
      <c r="AD1539" s="2" t="inlineStr">
        <is>
          <t>1</t>
        </is>
      </c>
      <c r="AE1539" s="2" t="inlineStr">
        <is>
          <t>24695</t>
        </is>
      </c>
      <c r="AF1539" s="2" t="inlineStr">
        <is>
          <t>https://www.parlamento.pt/OrcamentoEstado/Paginas/DetalhePropostaAlteracao.aspx?BID=24695</t>
        </is>
      </c>
      <c r="AG1539" s="2" t="inlineStr">
        <is>
          <t>https://app.parlamento.pt/webutils/docs/doc.pdf?path=6148523063484d364c793942556b356c6443397a6158526c63793959566b6c4a544556484c3039464c7a49774d6a59794d4449314d5441774f533951515339694e6a4577595463785a4330304e6a67784c5451355a6a6b744f4442694d7930344e7a64684f5751324d474a6c596a67756347526d&amp;Fich=b610a71d-4681-49f9-80b3-877a9d60beb8.pdf&amp;Inline=true</t>
        </is>
      </c>
      <c r="AH1539" s="3" t="n">
        <v>46321.77847222222</v>
      </c>
      <c r="AI1539" s="3" t="n">
        <v>46321.78055555555</v>
      </c>
      <c r="AJ1539" s="2" t="inlineStr"/>
    </row>
    <row r="1540">
      <c r="A1540" s="2" t="n">
        <v>1539</v>
      </c>
      <c r="B1540" s="2" t="inlineStr">
        <is>
          <t>1450C</t>
        </is>
      </c>
      <c r="C1540" s="3" t="n">
        <v>45968.60555555556</v>
      </c>
      <c r="D1540" s="2" t="inlineStr">
        <is>
          <t>Original</t>
        </is>
      </c>
      <c r="E1540" s="2" t="inlineStr">
        <is>
          <t>PCP</t>
        </is>
      </c>
      <c r="F1540" s="2" t="inlineStr">
        <is>
          <t>Alfredo Maia; Paula Santos; Paulo Raimundo</t>
        </is>
      </c>
      <c r="G1540" s="2" t="inlineStr">
        <is>
          <t>Art. 46.º-A (aditamento)</t>
        </is>
      </c>
      <c r="H1540" s="2" t="n"/>
      <c r="I1540" s="2" t="n"/>
      <c r="J1540" s="2" t="n"/>
      <c r="K1540" s="2" t="n"/>
      <c r="L1540" s="2" t="inlineStr">
        <is>
          <t>Artigo 46.º-A (Atualização do Indexante dos Apoios Sociais)</t>
        </is>
      </c>
      <c r="M1540" s="4" t="n"/>
      <c r="N1540" s="4" t="n"/>
      <c r="O1540" s="2" t="n"/>
      <c r="P1540" s="2" t="n"/>
      <c r="Q1540" s="2" t="n"/>
      <c r="R1540" s="2" t="n"/>
      <c r="S1540" s="2" t="inlineStr">
        <is>
          <t>Rejeitado(a) em Comissão</t>
        </is>
      </c>
      <c r="T1540" s="2" t="inlineStr">
        <is>
          <t>Rejeitada</t>
        </is>
      </c>
      <c r="U1540" s="2" t="inlineStr">
        <is>
          <t>Favor: CH, L, PCP, BE, PAN; Contra: PSD, IL, CDS-PP; Abstenção: PS</t>
        </is>
      </c>
      <c r="V1540" s="3" t="n">
        <v>45981</v>
      </c>
      <c r="W1540" s="2" t="inlineStr">
        <is>
          <t>AR: https://www.parlamento.pt/OrcamentoEstado/Paginas/DetalhePropostaAlteracao.aspx?BID=24696 PDF: https://app.parlamento.pt/webutils/docs/doc.pdf?path=6148523063484d364c793942556b356c6443397a6158526c63793959566b6c4a544556484c3039464c7a49774d6a59794d4449314d5441774f533951515338324e6a526a4f546779596930304f5459344c5451314f5467744f5441354e69316c59324a694f54466b5a444d775a5455756347526d&amp;Fich=664c982b-4968-4598-9096-ecbb91dd30e5.pdf&amp;Inline=true</t>
        </is>
      </c>
      <c r="X1540" s="2" t="inlineStr">
        <is>
          <t>Trabalho, Segurança Social e Inclusão</t>
        </is>
      </c>
      <c r="Y1540" s="2" t="inlineStr">
        <is>
          <t>Articulado</t>
        </is>
      </c>
      <c r="Z1540" s="2" t="inlineStr">
        <is>
          <t>Aditamento (Artigo PPL)</t>
        </is>
      </c>
      <c r="AA1540" s="2" t="inlineStr">
        <is>
          <t>Rejeitado(a) em Comissão</t>
        </is>
      </c>
      <c r="AB1540" s="2" t="inlineStr"/>
      <c r="AC1540" s="2" t="inlineStr"/>
      <c r="AD1540" s="2" t="inlineStr">
        <is>
          <t>1</t>
        </is>
      </c>
      <c r="AE1540" s="2" t="inlineStr">
        <is>
          <t>24696</t>
        </is>
      </c>
      <c r="AF1540" s="2" t="inlineStr">
        <is>
          <t>https://www.parlamento.pt/OrcamentoEstado/Paginas/DetalhePropostaAlteracao.aspx?BID=24696</t>
        </is>
      </c>
      <c r="AG1540" s="2" t="inlineStr">
        <is>
          <t>https://app.parlamento.pt/webutils/docs/doc.pdf?path=6148523063484d364c793942556b356c6443397a6158526c63793959566b6c4a544556484c3039464c7a49774d6a59794d4449314d5441774f533951515338324e6a526a4f546779596930304f5459344c5451314f5467744f5441354e69316c59324a694f54466b5a444d775a5455756347526d&amp;Fich=664c982b-4968-4598-9096-ecbb91dd30e5.pdf&amp;Inline=true</t>
        </is>
      </c>
      <c r="AH1540" s="3" t="n">
        <v>46321.77847222222</v>
      </c>
      <c r="AI1540" s="3" t="n">
        <v>46321.78055555555</v>
      </c>
      <c r="AJ1540" s="2" t="inlineStr"/>
    </row>
    <row r="1541">
      <c r="A1541" s="2" t="n">
        <v>1540</v>
      </c>
      <c r="B1541" s="2" t="inlineStr">
        <is>
          <t>1451C</t>
        </is>
      </c>
      <c r="C1541" s="3" t="n">
        <v>45968.60694444444</v>
      </c>
      <c r="D1541" s="2" t="inlineStr">
        <is>
          <t>Original</t>
        </is>
      </c>
      <c r="E1541" s="2" t="inlineStr">
        <is>
          <t>BE</t>
        </is>
      </c>
      <c r="F1541" s="2" t="inlineStr">
        <is>
          <t>Mariana Mortágua</t>
        </is>
      </c>
      <c r="G1541" s="2" t="inlineStr">
        <is>
          <t>Art. 102.º-A (aditamento)</t>
        </is>
      </c>
      <c r="H1541" s="2" t="n"/>
      <c r="I1541" s="2" t="n"/>
      <c r="J1541" s="2" t="n"/>
      <c r="K1541" s="2" t="n"/>
      <c r="L1541" s="2" t="inlineStr">
        <is>
          <t>Artigo 102.º-A (Execução dos Plano de Recuperação e Resiliência ao nível da Cultura)</t>
        </is>
      </c>
      <c r="M1541" s="4" t="n"/>
      <c r="N1541" s="4" t="n"/>
      <c r="O1541" s="2" t="n"/>
      <c r="P1541" s="2" t="n"/>
      <c r="Q1541" s="2" t="n"/>
      <c r="R1541" s="2" t="n"/>
      <c r="S1541" s="2" t="inlineStr">
        <is>
          <t>Rejeitado(a) em Comissão</t>
        </is>
      </c>
      <c r="T1541" s="2" t="inlineStr">
        <is>
          <t>Rejeitada</t>
        </is>
      </c>
      <c r="U1541" s="2" t="inlineStr">
        <is>
          <t>Favor: PS, L, PCP, BE, PAN; Contra: PSD, IL, CDS-PP; Abstenção: CH</t>
        </is>
      </c>
      <c r="V1541" s="3" t="n">
        <v>45982</v>
      </c>
      <c r="W1541" s="2" t="inlineStr">
        <is>
          <t>AR: https://www.parlamento.pt/OrcamentoEstado/Paginas/DetalhePropostaAlteracao.aspx?BID=24697 PDF: https://app.parlamento.pt/webutils/docs/doc.pdf?path=6148523063484d364c793942556b356c6443397a6158526c63793959566b6c4a544556484c3039464c7a49774d6a59794d4449314d5441774f533951515338794e47457859544e6d5a4330354d54646b4c5451314d6a49744f44686b5a5330355a6a6c6a4e574d314d7a55774d4745756347526d&amp;Fich=24a1a3fd-917d-4522-88de-9f9c5c53500a.pdf&amp;Inline=true</t>
        </is>
      </c>
      <c r="X1541" s="2" t="inlineStr">
        <is>
          <t>Cultura, Comunicação, Juventude e Desporto</t>
        </is>
      </c>
      <c r="Y1541" s="2" t="inlineStr">
        <is>
          <t>Articulado</t>
        </is>
      </c>
      <c r="Z1541" s="2" t="inlineStr">
        <is>
          <t>Aditamento (Artigo PPL)</t>
        </is>
      </c>
      <c r="AA1541" s="2" t="inlineStr">
        <is>
          <t>Rejeitado(a) em Comissão</t>
        </is>
      </c>
      <c r="AB1541" s="2" t="inlineStr"/>
      <c r="AC1541" s="2" t="inlineStr"/>
      <c r="AD1541" s="2" t="inlineStr">
        <is>
          <t>1</t>
        </is>
      </c>
      <c r="AE1541" s="2" t="inlineStr">
        <is>
          <t>24697</t>
        </is>
      </c>
      <c r="AF1541" s="2" t="inlineStr">
        <is>
          <t>https://www.parlamento.pt/OrcamentoEstado/Paginas/DetalhePropostaAlteracao.aspx?BID=24697</t>
        </is>
      </c>
      <c r="AG1541" s="2" t="inlineStr">
        <is>
          <t>https://app.parlamento.pt/webutils/docs/doc.pdf?path=6148523063484d364c793942556b356c6443397a6158526c63793959566b6c4a544556484c3039464c7a49774d6a59794d4449314d5441774f533951515338794e47457859544e6d5a4330354d54646b4c5451314d6a49744f44686b5a5330355a6a6c6a4e574d314d7a55774d4745756347526d&amp;Fich=24a1a3fd-917d-4522-88de-9f9c5c53500a.pdf&amp;Inline=true</t>
        </is>
      </c>
      <c r="AH1541" s="3" t="n">
        <v>46321.77847222222</v>
      </c>
      <c r="AI1541" s="3" t="n">
        <v>46321.78055555555</v>
      </c>
      <c r="AJ1541" s="2" t="inlineStr"/>
    </row>
    <row r="1542">
      <c r="A1542" s="2" t="n">
        <v>1541</v>
      </c>
      <c r="B1542" s="2" t="inlineStr">
        <is>
          <t>1452C</t>
        </is>
      </c>
      <c r="C1542" s="3" t="n">
        <v>45968.60694444444</v>
      </c>
      <c r="D1542" s="2" t="inlineStr">
        <is>
          <t>Original</t>
        </is>
      </c>
      <c r="E1542" s="2" t="inlineStr">
        <is>
          <t>PCP</t>
        </is>
      </c>
      <c r="F1542" s="2" t="inlineStr">
        <is>
          <t>Alfredo Maia; Paula Santos; Paulo Raimundo</t>
        </is>
      </c>
      <c r="G1542" s="2" t="inlineStr">
        <is>
          <t>Art. 46.º-A (aditamento)</t>
        </is>
      </c>
      <c r="H1542" s="2" t="n"/>
      <c r="I1542" s="2" t="n"/>
      <c r="J1542" s="2" t="n"/>
      <c r="K1542" s="2" t="n"/>
      <c r="L1542" s="2" t="inlineStr">
        <is>
          <t>Artigo 46.º-A (Compromissos de cooperação para o setor social e solidário)</t>
        </is>
      </c>
      <c r="M1542" s="4" t="n"/>
      <c r="N1542" s="4" t="n"/>
      <c r="O1542" s="2" t="n"/>
      <c r="P1542" s="2" t="n"/>
      <c r="Q1542" s="2" t="n"/>
      <c r="R1542" s="2" t="n"/>
      <c r="S1542" s="2" t="inlineStr">
        <is>
          <t>Rejeitado(a) em Comissão</t>
        </is>
      </c>
      <c r="T1542" s="2" t="inlineStr">
        <is>
          <t>Rejeitada</t>
        </is>
      </c>
      <c r="U1542" s="2" t="inlineStr">
        <is>
          <t>Favor: L, PCP, BE, PAN; Contra: PSD, CDS-PP; Abstenção: CH, PS, IL</t>
        </is>
      </c>
      <c r="V1542" s="3" t="n">
        <v>45981</v>
      </c>
      <c r="W1542" s="2" t="inlineStr">
        <is>
          <t>AR: https://www.parlamento.pt/OrcamentoEstado/Paginas/DetalhePropostaAlteracao.aspx?BID=24698 PDF: https://app.parlamento.pt/webutils/docs/doc.pdf?path=6148523063484d364c793942556b356c6443397a6158526c63793959566b6c4a544556484c3039464c7a49774d6a59794d4449314d5441774f533951515338794e445130595756694d69316d4e5459314c5451335a4467744f546c6c5953316c4f54466c595441334d32557a4e6a41756347526d&amp;Fich=2444aeb2-f565-47d8-99ea-e91ea073e360.pdf&amp;Inline=true</t>
        </is>
      </c>
      <c r="X1542" s="2" t="inlineStr">
        <is>
          <t>Trabalho, Segurança Social e Inclusão</t>
        </is>
      </c>
      <c r="Y1542" s="2" t="inlineStr">
        <is>
          <t>Articulado</t>
        </is>
      </c>
      <c r="Z1542" s="2" t="inlineStr">
        <is>
          <t>Aditamento (Artigo PPL)</t>
        </is>
      </c>
      <c r="AA1542" s="2" t="inlineStr">
        <is>
          <t>Rejeitado(a) em Comissão</t>
        </is>
      </c>
      <c r="AB1542" s="2" t="inlineStr"/>
      <c r="AC1542" s="2" t="inlineStr"/>
      <c r="AD1542" s="2" t="inlineStr">
        <is>
          <t>1</t>
        </is>
      </c>
      <c r="AE1542" s="2" t="inlineStr">
        <is>
          <t>24698</t>
        </is>
      </c>
      <c r="AF1542" s="2" t="inlineStr">
        <is>
          <t>https://www.parlamento.pt/OrcamentoEstado/Paginas/DetalhePropostaAlteracao.aspx?BID=24698</t>
        </is>
      </c>
      <c r="AG1542" s="2" t="inlineStr">
        <is>
          <t>https://app.parlamento.pt/webutils/docs/doc.pdf?path=6148523063484d364c793942556b356c6443397a6158526c63793959566b6c4a544556484c3039464c7a49774d6a59794d4449314d5441774f533951515338794e445130595756694d69316d4e5459314c5451335a4467744f546c6c5953316c4f54466c595441334d32557a4e6a41756347526d&amp;Fich=2444aeb2-f565-47d8-99ea-e91ea073e360.pdf&amp;Inline=true</t>
        </is>
      </c>
      <c r="AH1542" s="3" t="n">
        <v>46321.77847222222</v>
      </c>
      <c r="AI1542" s="3" t="n">
        <v>46321.78055555555</v>
      </c>
      <c r="AJ1542" s="2" t="inlineStr"/>
    </row>
    <row r="1543">
      <c r="A1543" s="2" t="n">
        <v>1542</v>
      </c>
      <c r="B1543" s="2" t="inlineStr">
        <is>
          <t>1453C-1</t>
        </is>
      </c>
      <c r="C1543" s="3" t="n">
        <v>45968.60694444444</v>
      </c>
      <c r="D1543" s="2" t="inlineStr">
        <is>
          <t>Original</t>
        </is>
      </c>
      <c r="E1543" s="2" t="inlineStr">
        <is>
          <t>PS</t>
        </is>
      </c>
      <c r="F1543" s="2" t="inlineStr">
        <is>
          <t>António Mendonça Mendes; Eurico Brilhante Dias; José Luís Carneiro; Marina Gonçalves; Miguel Matos; Paulo Lopes Silva</t>
        </is>
      </c>
      <c r="G1543" s="2" t="inlineStr">
        <is>
          <t>Art. 136.º-A (aditamento)</t>
        </is>
      </c>
      <c r="H1543" s="2" t="n"/>
      <c r="I1543" s="2" t="n"/>
      <c r="J1543" s="2" t="n"/>
      <c r="K1543" s="2" t="n"/>
      <c r="L1543" s="2" t="inlineStr">
        <is>
          <t>Artigo 136.º-A (Alteração ao Regime Jurídico dos Jogos e Apostas Online)</t>
        </is>
      </c>
      <c r="M1543" s="4" t="n"/>
      <c r="N1543" s="4" t="n"/>
      <c r="O1543" s="2" t="n"/>
      <c r="P1543" s="2" t="n"/>
      <c r="Q1543" s="2" t="n"/>
      <c r="R1543" s="2" t="n"/>
      <c r="S1543" s="2" t="inlineStr">
        <is>
          <t>Rejeitado(a) em Plenário</t>
        </is>
      </c>
      <c r="T1543" s="2" t="inlineStr">
        <is>
          <t>Rejeitada</t>
        </is>
      </c>
      <c r="U1543" s="2" t="inlineStr">
        <is>
          <t>Favor: PS, IL, PAN, JPP; Contra: PSD, L, CDS-PP, BE; Abstenção: CH, PCP</t>
        </is>
      </c>
      <c r="V1543" s="3" t="n">
        <v>45988</v>
      </c>
      <c r="W1543" s="2" t="inlineStr">
        <is>
          <t>Avocada a Plenário. AR: https://www.parlamento.pt/OrcamentoEstado/Paginas/DetalhePropostaAlteracao.aspx?BID=24699 PDF: https://app.parlamento.pt/webutils/docs/doc.pdf?path=6148523063484d364c793942556b356c6443397a6158526c63793959566b6c4a544556484c3039464c7a49774d6a59794d4449314d5441774f533951515338354e324d785a6d55344d5330325a545a694c54517a4e7a6b744f5446685a4330784d574a6c4e6a426a4f574977595451756347526d&amp;Fich=97c1fe81-6e6b-4379-91ad-11be60c9b0a4.pdf&amp;Inline=true</t>
        </is>
      </c>
      <c r="X1543" s="2" t="inlineStr">
        <is>
          <t>Orçamento, Finanças e Administração Pública</t>
        </is>
      </c>
      <c r="Y1543" s="2" t="inlineStr">
        <is>
          <t>Articulado</t>
        </is>
      </c>
      <c r="Z1543" s="2" t="inlineStr">
        <is>
          <t>Aditamento (Artigo PPL)</t>
        </is>
      </c>
      <c r="AA1543" s="2" t="inlineStr">
        <is>
          <t>Rejeitado(a) em Plenário</t>
        </is>
      </c>
      <c r="AB1543" s="2" t="inlineStr">
        <is>
          <t>S</t>
        </is>
      </c>
      <c r="AC1543" s="2" t="inlineStr">
        <is>
          <t>1</t>
        </is>
      </c>
      <c r="AD1543" s="2" t="inlineStr">
        <is>
          <t>2</t>
        </is>
      </c>
      <c r="AE1543" s="2" t="inlineStr">
        <is>
          <t>24699</t>
        </is>
      </c>
      <c r="AF1543" s="2" t="inlineStr">
        <is>
          <t>https://www.parlamento.pt/OrcamentoEstado/Paginas/DetalhePropostaAlteracao.aspx?BID=24699</t>
        </is>
      </c>
      <c r="AG1543" s="2" t="inlineStr">
        <is>
          <t>https://app.parlamento.pt/webutils/docs/doc.pdf?path=6148523063484d364c793942556b356c6443397a6158526c63793959566b6c4a544556484c3039464c7a49774d6a59794d4449314d5441774f533951515338354e324d785a6d55344d5330325a545a694c54517a4e7a6b744f5446685a4330784d574a6c4e6a426a4f574977595451756347526d&amp;Fich=97c1fe81-6e6b-4379-91ad-11be60c9b0a4.pdf&amp;Inline=true</t>
        </is>
      </c>
      <c r="AH1543" s="3" t="n">
        <v>46321.77847222222</v>
      </c>
      <c r="AI1543" s="3" t="n">
        <v>46321.78055555555</v>
      </c>
      <c r="AJ1543" s="2" t="inlineStr"/>
    </row>
    <row r="1544">
      <c r="A1544" s="2" t="n">
        <v>1543</v>
      </c>
      <c r="B1544" s="2" t="inlineStr">
        <is>
          <t>1453C-2</t>
        </is>
      </c>
      <c r="C1544" s="3" t="n">
        <v>45968.60694444444</v>
      </c>
      <c r="D1544" s="2" t="inlineStr">
        <is>
          <t>Original</t>
        </is>
      </c>
      <c r="E1544" s="2" t="inlineStr">
        <is>
          <t>PS</t>
        </is>
      </c>
      <c r="F1544" s="2" t="inlineStr">
        <is>
          <t>António Mendonça Mendes; Eurico Brilhante Dias; José Luís Carneiro; Marina Gonçalves; Miguel Matos; Paulo Lopes Silva</t>
        </is>
      </c>
      <c r="G1544" s="2" t="inlineStr">
        <is>
          <t>Art. 136.º-B (aditamento)</t>
        </is>
      </c>
      <c r="H1544" s="2" t="n"/>
      <c r="I1544" s="2" t="n"/>
      <c r="J1544" s="2" t="n"/>
      <c r="K1544" s="2" t="n"/>
      <c r="L1544" s="2" t="inlineStr">
        <is>
          <t>Artigo 136.º-B (Aditamento ao Regime Jurídico dos Jogos e Apostas Online)</t>
        </is>
      </c>
      <c r="M1544" s="4" t="n"/>
      <c r="N1544" s="4" t="n"/>
      <c r="O1544" s="2" t="n"/>
      <c r="P1544" s="2" t="n"/>
      <c r="Q1544" s="2" t="n"/>
      <c r="R1544" s="2" t="n"/>
      <c r="S1544" s="2" t="inlineStr">
        <is>
          <t>Rejeitado(a) em Plenário</t>
        </is>
      </c>
      <c r="T1544" s="2" t="inlineStr">
        <is>
          <t>Rejeitada</t>
        </is>
      </c>
      <c r="U1544" s="2" t="inlineStr">
        <is>
          <t>Favor: PS, IL, PAN, JPP; Contra: PSD, L, CDS-PP, BE; Abstenção: CH, PCP</t>
        </is>
      </c>
      <c r="V1544" s="3" t="n">
        <v>45988</v>
      </c>
      <c r="W1544" s="2" t="inlineStr">
        <is>
          <t>Avocada a Plenário. AR: https://www.parlamento.pt/OrcamentoEstado/Paginas/DetalhePropostaAlteracao.aspx?BID=25340 PDF: https://app.parlamento.pt/webutils/docs/doc.pdf?path=6148523063484d364c793942556b356c6443397a6158526c63793959566b6c4a544556484c3039464c7a49774d6a59794d4449314d5441774f5339515153396b4e6d4e6a4d444d334d53316c5a44566a4c5451324e324d74596a426d4d5330794e5759344d6d566d5a5441304f5441756347526d&amp;Fich=d6cc0371-ed5c-467c-b0f1-25f82efe0490.pdf&amp;Inline=true</t>
        </is>
      </c>
      <c r="X1544" s="2" t="inlineStr">
        <is>
          <t>Orçamento, Finanças e Administração Pública</t>
        </is>
      </c>
      <c r="Y1544" s="2" t="inlineStr">
        <is>
          <t>Articulado</t>
        </is>
      </c>
      <c r="Z1544" s="2" t="inlineStr">
        <is>
          <t>Aditamento (Artigo PPL)</t>
        </is>
      </c>
      <c r="AA1544" s="2" t="inlineStr">
        <is>
          <t>Rejeitado(a) em Plenário</t>
        </is>
      </c>
      <c r="AB1544" s="2" t="inlineStr">
        <is>
          <t>S</t>
        </is>
      </c>
      <c r="AC1544" s="2" t="inlineStr">
        <is>
          <t>2</t>
        </is>
      </c>
      <c r="AD1544" s="2" t="inlineStr">
        <is>
          <t>2</t>
        </is>
      </c>
      <c r="AE1544" s="2" t="inlineStr">
        <is>
          <t>25340</t>
        </is>
      </c>
      <c r="AF1544" s="2" t="inlineStr">
        <is>
          <t>https://www.parlamento.pt/OrcamentoEstado/Paginas/DetalhePropostaAlteracao.aspx?BID=25340</t>
        </is>
      </c>
      <c r="AG1544" s="2" t="inlineStr">
        <is>
          <t>https://app.parlamento.pt/webutils/docs/doc.pdf?path=6148523063484d364c793942556b356c6443397a6158526c63793959566b6c4a544556484c3039464c7a49774d6a59794d4449314d5441774f5339515153396b4e6d4e6a4d444d334d53316c5a44566a4c5451324e324d74596a426d4d5330794e5759344d6d566d5a5441304f5441756347526d&amp;Fich=d6cc0371-ed5c-467c-b0f1-25f82efe0490.pdf&amp;Inline=true</t>
        </is>
      </c>
      <c r="AH1544" s="3" t="n">
        <v>46321.77847222222</v>
      </c>
      <c r="AI1544" s="3" t="n">
        <v>46321.78055555555</v>
      </c>
      <c r="AJ1544" s="2" t="inlineStr"/>
    </row>
    <row r="1545">
      <c r="A1545" s="2" t="n">
        <v>1544</v>
      </c>
      <c r="B1545" s="2" t="inlineStr">
        <is>
          <t>1454C</t>
        </is>
      </c>
      <c r="C1545" s="3" t="n">
        <v>45968.60763888889</v>
      </c>
      <c r="D1545" s="2" t="inlineStr">
        <is>
          <t>Original</t>
        </is>
      </c>
      <c r="E1545" s="2" t="inlineStr">
        <is>
          <t>L</t>
        </is>
      </c>
      <c r="F1545" s="2" t="inlineStr">
        <is>
          <t>Filipa Pinto; Isabel Mendes Lopes; Jorge Pinto; Patrícia Gonçalves; Paulo Muacho; Rui Tavares</t>
        </is>
      </c>
      <c r="G1545" s="2" t="inlineStr">
        <is>
          <t>Art. 112.º-A (aditamento)</t>
        </is>
      </c>
      <c r="H1545" s="2" t="n"/>
      <c r="I1545" s="2" t="n"/>
      <c r="J1545" s="2" t="n"/>
      <c r="K1545" s="2" t="n"/>
      <c r="L1545" s="2" t="inlineStr">
        <is>
          <t>Artigo 112.º-A (Limitação das propinas em todos os ciclos de estudo)</t>
        </is>
      </c>
      <c r="M1545" s="4" t="n"/>
      <c r="N1545" s="4" t="n"/>
      <c r="O1545" s="2" t="n"/>
      <c r="P1545" s="2" t="n"/>
      <c r="Q1545" s="2" t="n"/>
      <c r="R1545" s="2" t="n"/>
      <c r="S1545" s="2" t="inlineStr">
        <is>
          <t>Rejeitado(a) em Comissão</t>
        </is>
      </c>
      <c r="T1545" s="2" t="inlineStr">
        <is>
          <t>Rejeitada</t>
        </is>
      </c>
      <c r="U1545" s="2" t="inlineStr">
        <is>
          <t>Favor: L, PCP, BE, PAN; Contra: PSD, IL, CDS-PP; Abstenção: CH, PS</t>
        </is>
      </c>
      <c r="V1545" s="3" t="n">
        <v>45982</v>
      </c>
      <c r="W1545" s="2" t="inlineStr">
        <is>
          <t>AR: https://www.parlamento.pt/OrcamentoEstado/Paginas/DetalhePropostaAlteracao.aspx?BID=24700 PDF: https://app.parlamento.pt/webutils/docs/doc.pdf?path=6148523063484d364c793942556b356c6443397a6158526c63793959566b6c4a544556484c3039464c7a49774d6a59794d4449314d5441774f533951515338305a546c685a6d526a4f53316d5a6a6b7a4c545269593251744f4756685a4330314d5467345a546b324d544134596a67756347526d&amp;Fich=4e9afdc9-ff93-4bcd-8ead-5188e96108b8.pdf&amp;Inline=true</t>
        </is>
      </c>
      <c r="X1545" s="2" t="inlineStr">
        <is>
          <t>Educação e Ciência</t>
        </is>
      </c>
      <c r="Y1545" s="2" t="inlineStr">
        <is>
          <t>Articulado</t>
        </is>
      </c>
      <c r="Z1545" s="2" t="inlineStr">
        <is>
          <t>Aditamento (Artigo PPL)</t>
        </is>
      </c>
      <c r="AA1545" s="2" t="inlineStr">
        <is>
          <t>Rejeitado(a) em Comissão</t>
        </is>
      </c>
      <c r="AB1545" s="2" t="inlineStr"/>
      <c r="AC1545" s="2" t="inlineStr"/>
      <c r="AD1545" s="2" t="inlineStr">
        <is>
          <t>1</t>
        </is>
      </c>
      <c r="AE1545" s="2" t="inlineStr">
        <is>
          <t>24700</t>
        </is>
      </c>
      <c r="AF1545" s="2" t="inlineStr">
        <is>
          <t>https://www.parlamento.pt/OrcamentoEstado/Paginas/DetalhePropostaAlteracao.aspx?BID=24700</t>
        </is>
      </c>
      <c r="AG1545" s="2" t="inlineStr">
        <is>
          <t>https://app.parlamento.pt/webutils/docs/doc.pdf?path=6148523063484d364c793942556b356c6443397a6158526c63793959566b6c4a544556484c3039464c7a49774d6a59794d4449314d5441774f533951515338305a546c685a6d526a4f53316d5a6a6b7a4c545269593251744f4756685a4330314d5467345a546b324d544134596a67756347526d&amp;Fich=4e9afdc9-ff93-4bcd-8ead-5188e96108b8.pdf&amp;Inline=true</t>
        </is>
      </c>
      <c r="AH1545" s="3" t="n">
        <v>46321.77847222222</v>
      </c>
      <c r="AI1545" s="3" t="n">
        <v>46321.78055555555</v>
      </c>
      <c r="AJ1545" s="2" t="inlineStr"/>
    </row>
    <row r="1546">
      <c r="A1546" s="2" t="n">
        <v>1545</v>
      </c>
      <c r="B1546" s="2" t="inlineStr">
        <is>
          <t>1455C</t>
        </is>
      </c>
      <c r="C1546" s="3" t="n">
        <v>45968.60763888889</v>
      </c>
      <c r="D1546" s="2" t="inlineStr">
        <is>
          <t>Original</t>
        </is>
      </c>
      <c r="E1546" s="2" t="inlineStr">
        <is>
          <t>PCP</t>
        </is>
      </c>
      <c r="F1546" s="2" t="inlineStr">
        <is>
          <t>Alfredo Maia; Paula Santos; Paulo Raimundo</t>
        </is>
      </c>
      <c r="G1546" s="2" t="inlineStr">
        <is>
          <t>Art. 46.º-A (aditamento)</t>
        </is>
      </c>
      <c r="H1546" s="2" t="n"/>
      <c r="I1546" s="2" t="n"/>
      <c r="J1546" s="2" t="n"/>
      <c r="K1546" s="2" t="n"/>
      <c r="L1546" s="2" t="inlineStr">
        <is>
          <t>Artigo 46.º-A (Equipas comunitárias de apoio ao cuidador informal)</t>
        </is>
      </c>
      <c r="M1546" s="4" t="n"/>
      <c r="N1546" s="4" t="n"/>
      <c r="O1546" s="2" t="n"/>
      <c r="P1546" s="2" t="n"/>
      <c r="Q1546" s="2" t="n"/>
      <c r="R1546" s="2" t="n"/>
      <c r="S1546" s="2" t="inlineStr">
        <is>
          <t>Rejeitado(a) em Comissão</t>
        </is>
      </c>
      <c r="T1546" s="2" t="inlineStr">
        <is>
          <t>Rejeitada</t>
        </is>
      </c>
      <c r="U1546" s="2" t="inlineStr">
        <is>
          <t>Favor: L, PCP, BE, PAN; Contra: PSD, IL, CDS-PP; Abstenção: CH, PS</t>
        </is>
      </c>
      <c r="V1546" s="3" t="n">
        <v>45981</v>
      </c>
      <c r="W1546" s="2" t="inlineStr">
        <is>
          <t>AR: https://www.parlamento.pt/OrcamentoEstado/Paginas/DetalhePropostaAlteracao.aspx?BID=24701 PDF: https://app.parlamento.pt/webutils/docs/doc.pdf?path=6148523063484d364c793942556b356c6443397a6158526c63793959566b6c4a544556484c3039464c7a49774d6a59794d4449314d5441774f5339515153396b4e3245774d6d5a6b5a533078597a51304c5451785a474974596a4d794e7930354e6d5531595751344d7a59774d4455756347526d&amp;Fich=d7a02fde-1c44-41db-b327-96e5ad836005.pdf&amp;Inline=true</t>
        </is>
      </c>
      <c r="X1546" s="2" t="inlineStr">
        <is>
          <t>Trabalho, Segurança Social e Inclusão</t>
        </is>
      </c>
      <c r="Y1546" s="2" t="inlineStr">
        <is>
          <t>Articulado</t>
        </is>
      </c>
      <c r="Z1546" s="2" t="inlineStr">
        <is>
          <t>Aditamento (Artigo PPL)</t>
        </is>
      </c>
      <c r="AA1546" s="2" t="inlineStr">
        <is>
          <t>Rejeitado(a) em Comissão</t>
        </is>
      </c>
      <c r="AB1546" s="2" t="inlineStr"/>
      <c r="AC1546" s="2" t="inlineStr"/>
      <c r="AD1546" s="2" t="inlineStr">
        <is>
          <t>1</t>
        </is>
      </c>
      <c r="AE1546" s="2" t="inlineStr">
        <is>
          <t>24701</t>
        </is>
      </c>
      <c r="AF1546" s="2" t="inlineStr">
        <is>
          <t>https://www.parlamento.pt/OrcamentoEstado/Paginas/DetalhePropostaAlteracao.aspx?BID=24701</t>
        </is>
      </c>
      <c r="AG1546" s="2" t="inlineStr">
        <is>
          <t>https://app.parlamento.pt/webutils/docs/doc.pdf?path=6148523063484d364c793942556b356c6443397a6158526c63793959566b6c4a544556484c3039464c7a49774d6a59794d4449314d5441774f5339515153396b4e3245774d6d5a6b5a533078597a51304c5451785a474974596a4d794e7930354e6d5531595751344d7a59774d4455756347526d&amp;Fich=d7a02fde-1c44-41db-b327-96e5ad836005.pdf&amp;Inline=true</t>
        </is>
      </c>
      <c r="AH1546" s="3" t="n">
        <v>46321.77847222222</v>
      </c>
      <c r="AI1546" s="3" t="n">
        <v>46321.78055555555</v>
      </c>
      <c r="AJ1546" s="2" t="inlineStr"/>
    </row>
    <row r="1547">
      <c r="A1547" s="2" t="n">
        <v>1546</v>
      </c>
      <c r="B1547" s="2" t="inlineStr">
        <is>
          <t>1456C-1</t>
        </is>
      </c>
      <c r="C1547" s="3" t="n">
        <v>45968.60763888889</v>
      </c>
      <c r="D1547" s="2" t="inlineStr">
        <is>
          <t>Original</t>
        </is>
      </c>
      <c r="E1547" s="2" t="inlineStr">
        <is>
          <t>PS</t>
        </is>
      </c>
      <c r="F1547" s="2" t="inlineStr">
        <is>
          <t>António Mendonça Mendes; Eurico Brilhante Dias; José Luís Carneiro; Marina Gonçalves; Miguel Matos; Paulo Lopes Silva; Porfírio Silva</t>
        </is>
      </c>
      <c r="G1547" s="2" t="inlineStr">
        <is>
          <t>Art. 7.º (aditamento)</t>
        </is>
      </c>
      <c r="H1547" s="2" t="n"/>
      <c r="I1547" s="2" t="n"/>
      <c r="J1547" s="2" t="n"/>
      <c r="K1547" s="2" t="n"/>
      <c r="L1547" s="2" t="inlineStr">
        <is>
          <t>Nova Verba 105, Mapa de alterações e transferências orçamentais, Artigo 7.º</t>
        </is>
      </c>
      <c r="M1547" s="4" t="n"/>
      <c r="N1547" s="4" t="n"/>
      <c r="O1547" s="2" t="n"/>
      <c r="P1547" s="2" t="n"/>
      <c r="Q1547" s="2" t="n"/>
      <c r="R1547" s="2" t="n"/>
      <c r="S1547" s="2" t="inlineStr">
        <is>
          <t>Rejeitado(a) em Comissão</t>
        </is>
      </c>
      <c r="T1547" s="2" t="inlineStr">
        <is>
          <t>Rejeitada</t>
        </is>
      </c>
      <c r="U1547" s="2" t="inlineStr">
        <is>
          <t>Favor: PS, L, PCP, BE, PAN; Contra: PSD, CH, IL, CDS-PP</t>
        </is>
      </c>
      <c r="V1547" s="3" t="n">
        <v>45987</v>
      </c>
      <c r="W1547" s="2" t="inlineStr">
        <is>
          <t>AR: https://www.parlamento.pt/OrcamentoEstado/Paginas/DetalhePropostaAlteracao.aspx?BID=24702 PDF: https://app.parlamento.pt/webutils/docs/doc.pdf?path=6148523063484d364c793942556b356c6443397a6158526c63793959566b6c4a544556484c3039464c7a49774d6a59794d4449314d5441774f533951515338304e47466b4d446c6b595330304e546c6c4c5451794e7a4d744f474e6b4e69316b596a686a597a526d59546b354d7a67756347526d&amp;Fich=44ad09da-459e-4273-8cd6-db8cc4fa9938.pdf&amp;Inline=true</t>
        </is>
      </c>
      <c r="X1547" s="2" t="inlineStr">
        <is>
          <t>Cultura, Comunicação, Juventude e Desporto; Orçamento, Finanças e Administração Pública</t>
        </is>
      </c>
      <c r="Y1547" s="2" t="inlineStr">
        <is>
          <t>Articulado</t>
        </is>
      </c>
      <c r="Z1547" s="2" t="inlineStr">
        <is>
          <t>Aditamento (Números e Alíneas)</t>
        </is>
      </c>
      <c r="AA1547" s="2" t="inlineStr">
        <is>
          <t>Rejeitado(a) em Comissão</t>
        </is>
      </c>
      <c r="AB1547" s="2" t="inlineStr"/>
      <c r="AC1547" s="2" t="inlineStr">
        <is>
          <t>1</t>
        </is>
      </c>
      <c r="AD1547" s="2" t="inlineStr">
        <is>
          <t>1</t>
        </is>
      </c>
      <c r="AE1547" s="2" t="inlineStr">
        <is>
          <t>24702</t>
        </is>
      </c>
      <c r="AF1547" s="2" t="inlineStr">
        <is>
          <t>https://www.parlamento.pt/OrcamentoEstado/Paginas/DetalhePropostaAlteracao.aspx?BID=24702</t>
        </is>
      </c>
      <c r="AG1547" s="2" t="inlineStr">
        <is>
          <t>https://app.parlamento.pt/webutils/docs/doc.pdf?path=6148523063484d364c793942556b356c6443397a6158526c63793959566b6c4a544556484c3039464c7a49774d6a59794d4449314d5441774f533951515338304e47466b4d446c6b595330304e546c6c4c5451794e7a4d744f474e6b4e69316b596a686a597a526d59546b354d7a67756347526d&amp;Fich=44ad09da-459e-4273-8cd6-db8cc4fa9938.pdf&amp;Inline=true</t>
        </is>
      </c>
      <c r="AH1547" s="3" t="n">
        <v>46321.77847222222</v>
      </c>
      <c r="AI1547" s="3" t="n">
        <v>46321.78055555555</v>
      </c>
      <c r="AJ1547" s="2" t="inlineStr"/>
    </row>
    <row r="1548">
      <c r="A1548" s="2" t="n">
        <v>1547</v>
      </c>
      <c r="B1548" s="2" t="inlineStr">
        <is>
          <t>1456C-2</t>
        </is>
      </c>
      <c r="C1548" s="3" t="n">
        <v>45968.60763888889</v>
      </c>
      <c r="D1548" s="2" t="inlineStr">
        <is>
          <t>Original</t>
        </is>
      </c>
      <c r="E1548" s="2" t="inlineStr">
        <is>
          <t>PS</t>
        </is>
      </c>
      <c r="F1548" s="2" t="inlineStr">
        <is>
          <t>António Mendonça Mendes; Eurico Brilhante Dias; José Luís Carneiro; Marina Gonçalves; Miguel Matos; Paulo Lopes Silva; Porfírio Silva</t>
        </is>
      </c>
      <c r="G1548" s="2" t="inlineStr">
        <is>
          <t>Art. 136.º-A (aditamento)</t>
        </is>
      </c>
      <c r="H1548" s="2" t="n"/>
      <c r="I1548" s="2" t="n"/>
      <c r="J1548" s="2" t="n"/>
      <c r="K1548" s="2" t="n"/>
      <c r="L1548" s="2" t="inlineStr">
        <is>
          <t>Artigo 136.º-A (Programa de salvaguarda dos arquivos associativos)</t>
        </is>
      </c>
      <c r="M1548" s="4" t="n"/>
      <c r="N1548" s="4" t="n"/>
      <c r="O1548" s="2" t="n"/>
      <c r="P1548" s="2" t="n"/>
      <c r="Q1548" s="2" t="n"/>
      <c r="R1548" s="2" t="n"/>
      <c r="S1548" s="2" t="inlineStr">
        <is>
          <t>Rejeitado(a) em Comissão</t>
        </is>
      </c>
      <c r="T1548" s="2" t="inlineStr">
        <is>
          <t>Rejeitada</t>
        </is>
      </c>
      <c r="U1548" s="2" t="inlineStr">
        <is>
          <t>Favor: PS, L, PCP, BE, PAN; Contra: PSD, CH, IL, CDS-PP</t>
        </is>
      </c>
      <c r="V1548" s="3" t="n">
        <v>45987</v>
      </c>
      <c r="W1548" s="2" t="inlineStr">
        <is>
          <t>AR: https://www.parlamento.pt/OrcamentoEstado/Paginas/DetalhePropostaAlteracao.aspx?BID=25308 PDF: https://app.parlamento.pt/webutils/docs/doc.pdf?path=6148523063484d364c793942556b356c6443397a6158526c63793959566b6c4a544556484c3039464c7a49774d6a59794d4449314d5441774f5339515153396c59324d334e4749325a43316b4f5745304c54526b5a444574596d517a4d6930324d5749795a6a67784e4751324d6a45756347526d&amp;Fich=ecc74b6d-d9a4-4dd1-bd32-61b2f814d621.pdf&amp;Inline=true</t>
        </is>
      </c>
      <c r="X1548" s="2" t="inlineStr">
        <is>
          <t>Cultura, Comunicação, Juventude e Desporto; Orçamento, Finanças e Administração Pública</t>
        </is>
      </c>
      <c r="Y1548" s="2" t="inlineStr">
        <is>
          <t>Articulado</t>
        </is>
      </c>
      <c r="Z1548" s="2" t="inlineStr">
        <is>
          <t>Aditamento (Artigo PPL)</t>
        </is>
      </c>
      <c r="AA1548" s="2" t="inlineStr">
        <is>
          <t>Rejeitado(a) em Comissão</t>
        </is>
      </c>
      <c r="AB1548" s="2" t="inlineStr"/>
      <c r="AC1548" s="2" t="inlineStr">
        <is>
          <t>2</t>
        </is>
      </c>
      <c r="AD1548" s="2" t="inlineStr">
        <is>
          <t>1</t>
        </is>
      </c>
      <c r="AE1548" s="2" t="inlineStr">
        <is>
          <t>25308</t>
        </is>
      </c>
      <c r="AF1548" s="2" t="inlineStr">
        <is>
          <t>https://www.parlamento.pt/OrcamentoEstado/Paginas/DetalhePropostaAlteracao.aspx?BID=25308</t>
        </is>
      </c>
      <c r="AG1548" s="2" t="inlineStr">
        <is>
          <t>https://app.parlamento.pt/webutils/docs/doc.pdf?path=6148523063484d364c793942556b356c6443397a6158526c63793959566b6c4a544556484c3039464c7a49774d6a59794d4449314d5441774f5339515153396c59324d334e4749325a43316b4f5745304c54526b5a444574596d517a4d6930324d5749795a6a67784e4751324d6a45756347526d&amp;Fich=ecc74b6d-d9a4-4dd1-bd32-61b2f814d621.pdf&amp;Inline=true</t>
        </is>
      </c>
      <c r="AH1548" s="3" t="n">
        <v>46321.77847222222</v>
      </c>
      <c r="AI1548" s="3" t="n">
        <v>46321.78055555555</v>
      </c>
      <c r="AJ1548" s="2" t="inlineStr"/>
    </row>
    <row r="1549">
      <c r="A1549" s="2" t="n">
        <v>1548</v>
      </c>
      <c r="B1549" s="2" t="inlineStr">
        <is>
          <t>1457C</t>
        </is>
      </c>
      <c r="C1549" s="3" t="n">
        <v>45968.60833333333</v>
      </c>
      <c r="D1549" s="2" t="inlineStr">
        <is>
          <t>Original</t>
        </is>
      </c>
      <c r="E1549" s="2" t="inlineStr">
        <is>
          <t>PCP</t>
        </is>
      </c>
      <c r="F1549" s="2" t="inlineStr">
        <is>
          <t>Alfredo Maia; Paula Santos; Paulo Raimundo</t>
        </is>
      </c>
      <c r="G1549" s="2" t="inlineStr">
        <is>
          <t>Art. 63.º-A (aditamento)</t>
        </is>
      </c>
      <c r="H1549" s="2" t="n"/>
      <c r="I1549" s="2" t="n"/>
      <c r="J1549" s="2" t="n"/>
      <c r="K1549" s="2" t="n"/>
      <c r="L1549" s="2" t="inlineStr">
        <is>
          <t>Artigo 63.º-A (Aditamento à lista I anexa ao Código do Imposto sobre o Valor Acrescentado)</t>
        </is>
      </c>
      <c r="M1549" s="4" t="n"/>
      <c r="N1549" s="4" t="n"/>
      <c r="O1549" s="2" t="n"/>
      <c r="P1549" s="2" t="n"/>
      <c r="Q1549" s="2" t="n"/>
      <c r="R1549" s="2" t="n"/>
      <c r="S1549" s="2" t="inlineStr">
        <is>
          <t>Rejeitado(a) em Comissão</t>
        </is>
      </c>
      <c r="T1549" s="2" t="inlineStr">
        <is>
          <t>Rejeitada</t>
        </is>
      </c>
      <c r="U1549" s="2" t="inlineStr">
        <is>
          <t>Favor: CH, L, PCP, BE, PAN; Contra: PSD, IL, CDS-PP; Abstenção: PS</t>
        </is>
      </c>
      <c r="V1549" s="3" t="n">
        <v>45982</v>
      </c>
      <c r="W1549" s="2" t="inlineStr">
        <is>
          <t>AR: https://www.parlamento.pt/OrcamentoEstado/Paginas/DetalhePropostaAlteracao.aspx?BID=24703 PDF: https://app.parlamento.pt/webutils/docs/doc.pdf?path=6148523063484d364c793942556b356c6443397a6158526c63793959566b6c4a544556484c3039464c7a49774d6a59794d4449314d5441774f533951515338794d6a426d4e546c6a5a43316d4e3259344c54517859325974595755774e793032597a55354e545a6d4d5755345a6a55756347526d&amp;Fich=220f59cd-f7f8-41cf-ae07-6c5956f1e8f5.pdf&amp;Inline=true</t>
        </is>
      </c>
      <c r="X1549" s="2" t="inlineStr">
        <is>
          <t>Trabalho, Segurança Social e Inclusão</t>
        </is>
      </c>
      <c r="Y1549" s="2" t="inlineStr">
        <is>
          <t>Articulado</t>
        </is>
      </c>
      <c r="Z1549" s="2" t="inlineStr">
        <is>
          <t>Aditamento (Artigo PPL)</t>
        </is>
      </c>
      <c r="AA1549" s="2" t="inlineStr">
        <is>
          <t>Rejeitado(a) em Comissão</t>
        </is>
      </c>
      <c r="AB1549" s="2" t="inlineStr"/>
      <c r="AC1549" s="2" t="inlineStr"/>
      <c r="AD1549" s="2" t="inlineStr">
        <is>
          <t>1</t>
        </is>
      </c>
      <c r="AE1549" s="2" t="inlineStr">
        <is>
          <t>24703</t>
        </is>
      </c>
      <c r="AF1549" s="2" t="inlineStr">
        <is>
          <t>https://www.parlamento.pt/OrcamentoEstado/Paginas/DetalhePropostaAlteracao.aspx?BID=24703</t>
        </is>
      </c>
      <c r="AG1549" s="2" t="inlineStr">
        <is>
          <t>https://app.parlamento.pt/webutils/docs/doc.pdf?path=6148523063484d364c793942556b356c6443397a6158526c63793959566b6c4a544556484c3039464c7a49774d6a59794d4449314d5441774f533951515338794d6a426d4e546c6a5a43316d4e3259344c54517859325974595755774e793032597a55354e545a6d4d5755345a6a55756347526d&amp;Fich=220f59cd-f7f8-41cf-ae07-6c5956f1e8f5.pdf&amp;Inline=true</t>
        </is>
      </c>
      <c r="AH1549" s="3" t="n">
        <v>46321.77847222222</v>
      </c>
      <c r="AI1549" s="3" t="n">
        <v>46321.78055555555</v>
      </c>
      <c r="AJ1549" s="2" t="inlineStr"/>
    </row>
    <row r="1550">
      <c r="A1550" s="2" t="n">
        <v>1549</v>
      </c>
      <c r="B1550" s="2" t="inlineStr">
        <is>
          <t>1458C</t>
        </is>
      </c>
      <c r="C1550" s="3" t="n">
        <v>45968.60902777778</v>
      </c>
      <c r="D1550" s="2" t="inlineStr">
        <is>
          <t>Original</t>
        </is>
      </c>
      <c r="E1550" s="2" t="inlineStr">
        <is>
          <t>PCP</t>
        </is>
      </c>
      <c r="F1550" s="2" t="inlineStr">
        <is>
          <t>Alfredo Maia; Paula Santos; Paulo Raimundo</t>
        </is>
      </c>
      <c r="G1550" s="2" t="inlineStr">
        <is>
          <t>Art. 136.º-A (aditamento)</t>
        </is>
      </c>
      <c r="H1550" s="2" t="n"/>
      <c r="I1550" s="2" t="n"/>
      <c r="J1550" s="2" t="n"/>
      <c r="K1550" s="2" t="n"/>
      <c r="L1550" s="2" t="inlineStr">
        <is>
          <t>Artigo 136.º-A (Abono Pré-Natal)</t>
        </is>
      </c>
      <c r="M1550" s="4" t="n"/>
      <c r="N1550" s="4" t="n"/>
      <c r="O1550" s="2" t="n"/>
      <c r="P1550" s="2" t="n"/>
      <c r="Q1550" s="2" t="n"/>
      <c r="R1550" s="2" t="n"/>
      <c r="S1550" s="2" t="inlineStr">
        <is>
          <t>Rejeitado(a) em Comissão</t>
        </is>
      </c>
      <c r="T1550" s="2" t="inlineStr">
        <is>
          <t>Rejeitada</t>
        </is>
      </c>
      <c r="U1550" s="2" t="inlineStr">
        <is>
          <t>Favor: L, PCP, BE, PAN; Contra: PSD, IL, CDS-PP; Abstenção: CH, PS</t>
        </is>
      </c>
      <c r="V1550" s="3" t="n">
        <v>45987</v>
      </c>
      <c r="W1550" s="2" t="inlineStr">
        <is>
          <t>AR: https://www.parlamento.pt/OrcamentoEstado/Paginas/DetalhePropostaAlteracao.aspx?BID=24704 PDF: https://app.parlamento.pt/webutils/docs/doc.pdf?path=6148523063484d364c793942556b356c6443397a6158526c63793959566b6c4a544556484c3039464c7a49774d6a59794d4449314d5441774f5339515153396b5a47466b4d546b77595330354d5441344c5452694e5749744f54517a4e69316d4e324e6959324e684e7a63774e6a59756347526d&amp;Fich=ddad190a-9108-4b5b-9436-f7cbcca77066.pdf&amp;Inline=true</t>
        </is>
      </c>
      <c r="X1550" s="2" t="inlineStr">
        <is>
          <t>Trabalho, Segurança Social e Inclusão</t>
        </is>
      </c>
      <c r="Y1550" s="2" t="inlineStr">
        <is>
          <t>Articulado</t>
        </is>
      </c>
      <c r="Z1550" s="2" t="inlineStr">
        <is>
          <t>Aditamento (Artigo PPL)</t>
        </is>
      </c>
      <c r="AA1550" s="2" t="inlineStr">
        <is>
          <t>Rejeitado(a) em Comissão</t>
        </is>
      </c>
      <c r="AB1550" s="2" t="inlineStr"/>
      <c r="AC1550" s="2" t="inlineStr"/>
      <c r="AD1550" s="2" t="inlineStr">
        <is>
          <t>1</t>
        </is>
      </c>
      <c r="AE1550" s="2" t="inlineStr">
        <is>
          <t>24704</t>
        </is>
      </c>
      <c r="AF1550" s="2" t="inlineStr">
        <is>
          <t>https://www.parlamento.pt/OrcamentoEstado/Paginas/DetalhePropostaAlteracao.aspx?BID=24704</t>
        </is>
      </c>
      <c r="AG1550" s="2" t="inlineStr">
        <is>
          <t>https://app.parlamento.pt/webutils/docs/doc.pdf?path=6148523063484d364c793942556b356c6443397a6158526c63793959566b6c4a544556484c3039464c7a49774d6a59794d4449314d5441774f5339515153396b5a47466b4d546b77595330354d5441344c5452694e5749744f54517a4e69316d4e324e6959324e684e7a63774e6a59756347526d&amp;Fich=ddad190a-9108-4b5b-9436-f7cbcca77066.pdf&amp;Inline=true</t>
        </is>
      </c>
      <c r="AH1550" s="3" t="n">
        <v>46321.77847222222</v>
      </c>
      <c r="AI1550" s="3" t="n">
        <v>46321.78055555555</v>
      </c>
      <c r="AJ1550" s="2" t="inlineStr"/>
    </row>
    <row r="1551">
      <c r="A1551" s="2" t="n">
        <v>1550</v>
      </c>
      <c r="B1551" s="2" t="inlineStr">
        <is>
          <t>1459C</t>
        </is>
      </c>
      <c r="C1551" s="3" t="n">
        <v>45968.60902777778</v>
      </c>
      <c r="D1551" s="2" t="inlineStr">
        <is>
          <t>Original</t>
        </is>
      </c>
      <c r="E1551" s="2" t="inlineStr">
        <is>
          <t>PS</t>
        </is>
      </c>
      <c r="F1551" s="2" t="inlineStr">
        <is>
          <t>António Mendonça Mendes; Eurico Brilhante Dias; Hugo Costa; José Luís Carneiro; Marina Gonçalves; Miguel Matos; Nuno Fazenda</t>
        </is>
      </c>
      <c r="G1551" s="2" t="inlineStr">
        <is>
          <t>Art. 136.º-A (aditamento)</t>
        </is>
      </c>
      <c r="H1551" s="2" t="n"/>
      <c r="I1551" s="2" t="n"/>
      <c r="J1551" s="2" t="n"/>
      <c r="K1551" s="2" t="n"/>
      <c r="L1551" s="2" t="inlineStr">
        <is>
          <t>Artigo 136.º-A (Implementação do Programa de Revitalização da Serra da Estrela)</t>
        </is>
      </c>
      <c r="M1551" s="4" t="n"/>
      <c r="N1551" s="4" t="n"/>
      <c r="O1551" s="2" t="n"/>
      <c r="P1551" s="2" t="n"/>
      <c r="Q1551" s="2" t="n"/>
      <c r="R1551" s="2" t="n"/>
      <c r="S1551" s="2" t="inlineStr">
        <is>
          <t>Rejeitado(a) em Comissão</t>
        </is>
      </c>
      <c r="T1551" s="2" t="inlineStr">
        <is>
          <t>Rejeitada</t>
        </is>
      </c>
      <c r="U1551" s="2" t="inlineStr">
        <is>
          <t>Favor: PS, IL, L, PCP, BE, PAN; Contra: PSD, CDS-PP; Abstenção: CH</t>
        </is>
      </c>
      <c r="V1551" s="3" t="n">
        <v>45987</v>
      </c>
      <c r="W1551" s="2" t="inlineStr">
        <is>
          <t>AR: https://www.parlamento.pt/OrcamentoEstado/Paginas/DetalhePropostaAlteracao.aspx?BID=24705 PDF: https://app.parlamento.pt/webutils/docs/doc.pdf?path=6148523063484d364c793942556b356c6443397a6158526c63793959566b6c4a544556484c3039464c7a49774d6a59794d4449314d5441774f5339515153387a4d44526a5a6a4530597930314e544e6c4c54526a4e54417459546b3559533169596a51344d546c6b59546b304d4449756347526d&amp;Fich=304cf14c-553e-4c50-a99a-bb4819da9402.pdf&amp;Inline=true</t>
        </is>
      </c>
      <c r="X1551" s="2" t="inlineStr">
        <is>
          <t>Comissão de Economia e Coesão Territorial; Orçamento, Finanças e Administração Pública</t>
        </is>
      </c>
      <c r="Y1551" s="2" t="inlineStr">
        <is>
          <t>Articulado</t>
        </is>
      </c>
      <c r="Z1551" s="2" t="inlineStr">
        <is>
          <t>Aditamento (Artigo PPL)</t>
        </is>
      </c>
      <c r="AA1551" s="2" t="inlineStr">
        <is>
          <t>Rejeitado(a) em Comissão</t>
        </is>
      </c>
      <c r="AB1551" s="2" t="inlineStr"/>
      <c r="AC1551" s="2" t="inlineStr"/>
      <c r="AD1551" s="2" t="inlineStr">
        <is>
          <t>1</t>
        </is>
      </c>
      <c r="AE1551" s="2" t="inlineStr">
        <is>
          <t>24705</t>
        </is>
      </c>
      <c r="AF1551" s="2" t="inlineStr">
        <is>
          <t>https://www.parlamento.pt/OrcamentoEstado/Paginas/DetalhePropostaAlteracao.aspx?BID=24705</t>
        </is>
      </c>
      <c r="AG1551" s="2" t="inlineStr">
        <is>
          <t>https://app.parlamento.pt/webutils/docs/doc.pdf?path=6148523063484d364c793942556b356c6443397a6158526c63793959566b6c4a544556484c3039464c7a49774d6a59794d4449314d5441774f5339515153387a4d44526a5a6a4530597930314e544e6c4c54526a4e54417459546b3559533169596a51344d546c6b59546b304d4449756347526d&amp;Fich=304cf14c-553e-4c50-a99a-bb4819da9402.pdf&amp;Inline=true</t>
        </is>
      </c>
      <c r="AH1551" s="3" t="n">
        <v>46321.77847222222</v>
      </c>
      <c r="AI1551" s="3" t="n">
        <v>46321.78055555555</v>
      </c>
      <c r="AJ1551" s="2" t="inlineStr"/>
    </row>
    <row r="1552">
      <c r="A1552" s="2" t="n">
        <v>1551</v>
      </c>
      <c r="B1552" s="2" t="inlineStr">
        <is>
          <t>1460C</t>
        </is>
      </c>
      <c r="C1552" s="3" t="n">
        <v>45968.60972222222</v>
      </c>
      <c r="D1552" s="2" t="inlineStr">
        <is>
          <t>Original</t>
        </is>
      </c>
      <c r="E1552" s="2" t="inlineStr">
        <is>
          <t>PCP</t>
        </is>
      </c>
      <c r="F1552" s="2" t="inlineStr">
        <is>
          <t>Alfredo Maia; Paula Santos; Paulo Raimundo</t>
        </is>
      </c>
      <c r="G1552" s="2" t="inlineStr">
        <is>
          <t>Art. 136.º-A (aditamento)</t>
        </is>
      </c>
      <c r="H1552" s="2" t="n"/>
      <c r="I1552" s="2" t="n"/>
      <c r="J1552" s="2" t="n"/>
      <c r="K1552" s="2" t="n"/>
      <c r="L1552" s="2" t="inlineStr">
        <is>
          <t>Artigo 136.º-A (Alteração ao Decreto-Lei n.º 28/2004, de 4 de fevereiro)</t>
        </is>
      </c>
      <c r="M1552" s="4" t="n"/>
      <c r="N1552" s="4" t="n"/>
      <c r="O1552" s="2" t="n"/>
      <c r="P1552" s="2" t="n"/>
      <c r="Q1552" s="2" t="n"/>
      <c r="R1552" s="2" t="n"/>
      <c r="S1552" s="2" t="inlineStr">
        <is>
          <t>Rejeitado(a) em Comissão</t>
        </is>
      </c>
      <c r="T1552" s="2" t="inlineStr">
        <is>
          <t>Rejeitada</t>
        </is>
      </c>
      <c r="U1552" s="2" t="inlineStr">
        <is>
          <t>Favor: L, PCP, BE, PAN; Contra: PSD, IL, CDS-PP; Abstenção: CH, PS</t>
        </is>
      </c>
      <c r="V1552" s="3" t="n">
        <v>45987</v>
      </c>
      <c r="W1552" s="2" t="inlineStr">
        <is>
          <t>AR: https://www.parlamento.pt/OrcamentoEstado/Paginas/DetalhePropostaAlteracao.aspx?BID=24706 PDF: https://app.parlamento.pt/webutils/docs/doc.pdf?path=6148523063484d364c793942556b356c6443397a6158526c63793959566b6c4a544556484c3039464c7a49774d6a59794d4449314d5441774f533951515338354f54593459544a694f4330784d474a684c54526a597a5974596d4d775a69316a4d44426a4d4467784d6d46685a444d756347526d&amp;Fich=9968a2b8-10ba-4cc6-bc0f-c00c0812aad3.pdf&amp;Inline=true</t>
        </is>
      </c>
      <c r="X1552" s="2" t="inlineStr">
        <is>
          <t>Trabalho, Segurança Social e Inclusão</t>
        </is>
      </c>
      <c r="Y1552" s="2" t="inlineStr">
        <is>
          <t>Articulado</t>
        </is>
      </c>
      <c r="Z1552" s="2" t="inlineStr">
        <is>
          <t>Aditamento (Artigo PPL)</t>
        </is>
      </c>
      <c r="AA1552" s="2" t="inlineStr">
        <is>
          <t>Rejeitado(a) em Comissão</t>
        </is>
      </c>
      <c r="AB1552" s="2" t="inlineStr"/>
      <c r="AC1552" s="2" t="inlineStr"/>
      <c r="AD1552" s="2" t="inlineStr">
        <is>
          <t>1</t>
        </is>
      </c>
      <c r="AE1552" s="2" t="inlineStr">
        <is>
          <t>24706</t>
        </is>
      </c>
      <c r="AF1552" s="2" t="inlineStr">
        <is>
          <t>https://www.parlamento.pt/OrcamentoEstado/Paginas/DetalhePropostaAlteracao.aspx?BID=24706</t>
        </is>
      </c>
      <c r="AG1552" s="2" t="inlineStr">
        <is>
          <t>https://app.parlamento.pt/webutils/docs/doc.pdf?path=6148523063484d364c793942556b356c6443397a6158526c63793959566b6c4a544556484c3039464c7a49774d6a59794d4449314d5441774f533951515338354f54593459544a694f4330784d474a684c54526a597a5974596d4d775a69316a4d44426a4d4467784d6d46685a444d756347526d&amp;Fich=9968a2b8-10ba-4cc6-bc0f-c00c0812aad3.pdf&amp;Inline=true</t>
        </is>
      </c>
      <c r="AH1552" s="3" t="n">
        <v>46321.77847222222</v>
      </c>
      <c r="AI1552" s="3" t="n">
        <v>46321.78055555555</v>
      </c>
      <c r="AJ1552" s="2" t="inlineStr"/>
    </row>
    <row r="1553">
      <c r="A1553" s="2" t="n">
        <v>1552</v>
      </c>
      <c r="B1553" s="2" t="inlineStr">
        <is>
          <t>1461C</t>
        </is>
      </c>
      <c r="C1553" s="3" t="n">
        <v>45968.61041666667</v>
      </c>
      <c r="D1553" s="2" t="inlineStr">
        <is>
          <t>Original</t>
        </is>
      </c>
      <c r="E1553" s="2" t="inlineStr">
        <is>
          <t>PCP</t>
        </is>
      </c>
      <c r="F1553" s="2" t="inlineStr">
        <is>
          <t>Alfredo Maia; Paula Santos; Paulo Raimundo</t>
        </is>
      </c>
      <c r="G1553" s="2" t="inlineStr">
        <is>
          <t>Art. 46.º-A (aditamento)</t>
        </is>
      </c>
      <c r="H1553" s="2" t="n"/>
      <c r="I1553" s="2" t="n"/>
      <c r="J1553" s="2" t="n"/>
      <c r="K1553" s="2" t="n"/>
      <c r="L1553" s="2" t="inlineStr">
        <is>
          <t>Artigo 46.º-A (Diversificação e Ampliação das fontes de financiamento da Segurança Social)</t>
        </is>
      </c>
      <c r="M1553" s="4" t="n"/>
      <c r="N1553" s="4" t="n"/>
      <c r="O1553" s="2" t="n"/>
      <c r="P1553" s="2" t="n"/>
      <c r="Q1553" s="2" t="n"/>
      <c r="R1553" s="2" t="n"/>
      <c r="S1553" s="2" t="inlineStr">
        <is>
          <t>Rejeitado(a) em Comissão</t>
        </is>
      </c>
      <c r="T1553" s="2" t="inlineStr">
        <is>
          <t>Rejeitada</t>
        </is>
      </c>
      <c r="U1553" s="2" t="inlineStr">
        <is>
          <t>Favor: L, PCP, BE, PAN; Contra: PSD, CH, PS, IL, CDS-PP</t>
        </is>
      </c>
      <c r="V1553" s="3" t="n">
        <v>45981</v>
      </c>
      <c r="W1553" s="2" t="inlineStr">
        <is>
          <t>AR: https://www.parlamento.pt/OrcamentoEstado/Paginas/DetalhePropostaAlteracao.aspx?BID=24707 PDF: https://app.parlamento.pt/webutils/docs/doc.pdf?path=6148523063484d364c793942556b356c6443397a6158526c63793959566b6c4a544556484c3039464c7a49774d6a59794d4449314d5441774f533951515338325a6d45794d7a67785a433035597a51324c5451774d6a67744f4463354d43316a59324931596a4d795932526d4d4445756347526d&amp;Fich=6fa2381d-9c46-4028-8790-ccb5b32cdf01.pdf&amp;Inline=true</t>
        </is>
      </c>
      <c r="X1553" s="2" t="inlineStr">
        <is>
          <t>Trabalho, Segurança Social e Inclusão</t>
        </is>
      </c>
      <c r="Y1553" s="2" t="inlineStr">
        <is>
          <t>Articulado</t>
        </is>
      </c>
      <c r="Z1553" s="2" t="inlineStr">
        <is>
          <t>Aditamento (Artigo PPL)</t>
        </is>
      </c>
      <c r="AA1553" s="2" t="inlineStr">
        <is>
          <t>Rejeitado(a) em Comissão</t>
        </is>
      </c>
      <c r="AB1553" s="2" t="inlineStr"/>
      <c r="AC1553" s="2" t="inlineStr"/>
      <c r="AD1553" s="2" t="inlineStr">
        <is>
          <t>1</t>
        </is>
      </c>
      <c r="AE1553" s="2" t="inlineStr">
        <is>
          <t>24707</t>
        </is>
      </c>
      <c r="AF1553" s="2" t="inlineStr">
        <is>
          <t>https://www.parlamento.pt/OrcamentoEstado/Paginas/DetalhePropostaAlteracao.aspx?BID=24707</t>
        </is>
      </c>
      <c r="AG1553" s="2" t="inlineStr">
        <is>
          <t>https://app.parlamento.pt/webutils/docs/doc.pdf?path=6148523063484d364c793942556b356c6443397a6158526c63793959566b6c4a544556484c3039464c7a49774d6a59794d4449314d5441774f533951515338325a6d45794d7a67785a433035597a51324c5451774d6a67744f4463354d43316a59324931596a4d795932526d4d4445756347526d&amp;Fich=6fa2381d-9c46-4028-8790-ccb5b32cdf01.pdf&amp;Inline=true</t>
        </is>
      </c>
      <c r="AH1553" s="3" t="n">
        <v>46321.77847222222</v>
      </c>
      <c r="AI1553" s="3" t="n">
        <v>46321.78055555555</v>
      </c>
      <c r="AJ1553" s="2" t="inlineStr"/>
    </row>
    <row r="1554">
      <c r="A1554" s="2" t="n">
        <v>1553</v>
      </c>
      <c r="B1554" s="2" t="inlineStr">
        <is>
          <t>1462C</t>
        </is>
      </c>
      <c r="C1554" s="3" t="n">
        <v>45968.61111111111</v>
      </c>
      <c r="D1554" s="2" t="inlineStr">
        <is>
          <t>Original</t>
        </is>
      </c>
      <c r="E1554" s="2" t="inlineStr">
        <is>
          <t>PS</t>
        </is>
      </c>
      <c r="F1554" s="2" t="inlineStr">
        <is>
          <t>André Pinotes Batista; António Mendonça Mendes; Armando Mourisco; Eurico Brilhante Dias; Eurídice Pereira; Frederico Francisco; Hugo Costa; José Luís Carneiro; Júlia Rodrigues; Luís Moreira Testa; Marina Gonçalves; Miguel Matos; Nuno Fazenda; Pedro do Carmo</t>
        </is>
      </c>
      <c r="G1554" s="2" t="inlineStr">
        <is>
          <t>Art. 136.º-A (aditamento)</t>
        </is>
      </c>
      <c r="H1554" s="2" t="n"/>
      <c r="I1554" s="2" t="n"/>
      <c r="J1554" s="2" t="n"/>
      <c r="K1554" s="2" t="n"/>
      <c r="L1554" s="2" t="inlineStr">
        <is>
          <t>Artigo 136.º-A (Investimentos estruturantes na rodovia)</t>
        </is>
      </c>
      <c r="M1554" s="4" t="n"/>
      <c r="N1554" s="4" t="n"/>
      <c r="O1554" s="2" t="n"/>
      <c r="P1554" s="2" t="n"/>
      <c r="Q1554" s="2" t="n"/>
      <c r="R1554" s="2" t="n"/>
      <c r="S1554" s="2" t="inlineStr">
        <is>
          <t>Rejeitado(a) em Comissão</t>
        </is>
      </c>
      <c r="T1554" s="2" t="inlineStr">
        <is>
          <t>Rejeitada</t>
        </is>
      </c>
      <c r="U1554" s="2" t="inlineStr">
        <is>
          <t>Favor: PS, L, PCP, BE; Contra: PSD, CDS-PP; Abstenção: CH, IL, PAN</t>
        </is>
      </c>
      <c r="V1554" s="3" t="n">
        <v>45987</v>
      </c>
      <c r="W1554" s="2" t="inlineStr">
        <is>
          <t>AR: https://www.parlamento.pt/OrcamentoEstado/Paginas/DetalhePropostaAlteracao.aspx?BID=24708 PDF: https://app.parlamento.pt/webutils/docs/doc.pdf?path=6148523063484d364c793942556b356c6443397a6158526c63793959566b6c4a544556484c3039464c7a49774d6a59794d4449314d5441774f533951515338304e32466b4e6a646a5979316c595455774c545133596d45744f5755795a43307a595749774e6d5a684e574a694f4449756347526d&amp;Fich=47ad67cc-ea50-47ba-9e2d-3ab06fa5bb82.pdf&amp;Inline=true</t>
        </is>
      </c>
      <c r="X1554" s="2" t="inlineStr">
        <is>
          <t>Infraestruturas, Mobilidade e Habitação; Orçamento, Finanças e Administração Pública</t>
        </is>
      </c>
      <c r="Y1554" s="2" t="inlineStr">
        <is>
          <t>Articulado</t>
        </is>
      </c>
      <c r="Z1554" s="2" t="inlineStr">
        <is>
          <t>Aditamento (Artigo PPL)</t>
        </is>
      </c>
      <c r="AA1554" s="2" t="inlineStr">
        <is>
          <t>Rejeitado(a) em Comissão</t>
        </is>
      </c>
      <c r="AB1554" s="2" t="inlineStr"/>
      <c r="AC1554" s="2" t="inlineStr"/>
      <c r="AD1554" s="2" t="inlineStr">
        <is>
          <t>1</t>
        </is>
      </c>
      <c r="AE1554" s="2" t="inlineStr">
        <is>
          <t>24708</t>
        </is>
      </c>
      <c r="AF1554" s="2" t="inlineStr">
        <is>
          <t>https://www.parlamento.pt/OrcamentoEstado/Paginas/DetalhePropostaAlteracao.aspx?BID=24708</t>
        </is>
      </c>
      <c r="AG1554" s="2" t="inlineStr">
        <is>
          <t>https://app.parlamento.pt/webutils/docs/doc.pdf?path=6148523063484d364c793942556b356c6443397a6158526c63793959566b6c4a544556484c3039464c7a49774d6a59794d4449314d5441774f533951515338304e32466b4e6a646a5979316c595455774c545133596d45744f5755795a43307a595749774e6d5a684e574a694f4449756347526d&amp;Fich=47ad67cc-ea50-47ba-9e2d-3ab06fa5bb82.pdf&amp;Inline=true</t>
        </is>
      </c>
      <c r="AH1554" s="3" t="n">
        <v>46321.77847222222</v>
      </c>
      <c r="AI1554" s="3" t="n">
        <v>46321.78055555555</v>
      </c>
      <c r="AJ1554" s="2" t="inlineStr"/>
    </row>
    <row r="1555">
      <c r="A1555" s="2" t="n">
        <v>1554</v>
      </c>
      <c r="B1555" s="2" t="inlineStr">
        <is>
          <t>1463C</t>
        </is>
      </c>
      <c r="C1555" s="3" t="n">
        <v>45968.61319444444</v>
      </c>
      <c r="D1555" s="2" t="inlineStr">
        <is>
          <t>Original</t>
        </is>
      </c>
      <c r="E1555" s="2" t="inlineStr">
        <is>
          <t>PS</t>
        </is>
      </c>
      <c r="F1555" s="2" t="inlineStr">
        <is>
          <t>André Pinotes Batista; André Rijo; António Mendonça Mendes; Eduardo Pinheiro; Eurico Brilhante Dias; Eurídice Pereira; José Luís Carneiro; Luís Moreira Testa; Marina Gonçalves; Miguel Matos</t>
        </is>
      </c>
      <c r="G1555" s="2" t="inlineStr">
        <is>
          <t>Art. 136.º-A (aditamento)</t>
        </is>
      </c>
      <c r="H1555" s="2" t="n"/>
      <c r="I1555" s="2" t="n"/>
      <c r="J1555" s="2" t="n"/>
      <c r="K1555" s="2" t="n"/>
      <c r="L1555" s="2" t="inlineStr">
        <is>
          <t>Artigo 136.º-A (Investimentos estruturantes na mobilidade)</t>
        </is>
      </c>
      <c r="M1555" s="4" t="n"/>
      <c r="N1555" s="4" t="n"/>
      <c r="O1555" s="2" t="n"/>
      <c r="P1555" s="2" t="n"/>
      <c r="Q1555" s="2" t="n"/>
      <c r="R1555" s="2" t="n"/>
      <c r="S1555" s="2" t="inlineStr">
        <is>
          <t>Rejeitado(a) em Comissão</t>
        </is>
      </c>
      <c r="T1555" s="2" t="inlineStr">
        <is>
          <t>Rejeitada</t>
        </is>
      </c>
      <c r="U1555" s="2" t="inlineStr">
        <is>
          <t>Favor: PS, L, PCP, BE, PAN; Contra: PSD, CDS-PP; Abstenção: CH, IL</t>
        </is>
      </c>
      <c r="V1555" s="3" t="n">
        <v>45987</v>
      </c>
      <c r="W1555" s="2" t="inlineStr">
        <is>
          <t>AR: https://www.parlamento.pt/OrcamentoEstado/Paginas/DetalhePropostaAlteracao.aspx?BID=24709 PDF: https://app.parlamento.pt/webutils/docs/doc.pdf?path=6148523063484d364c793942556b356c6443397a6158526c63793959566b6c4a544556484c3039464c7a49774d6a59794d4449314d5441774f5339515153396c4e7a51324d6a45355a69316b597a42694c54526c4d7a4174596d4d304d7930785a4745335a474d31596d5a68596d59756347526d&amp;Fich=e746219f-dc0b-4e30-bc43-1da7dc5bfabf.pdf&amp;Inline=true</t>
        </is>
      </c>
      <c r="X1555" s="2" t="inlineStr">
        <is>
          <t>Infraestruturas, Mobilidade e Habitação; Orçamento, Finanças e Administração Pública</t>
        </is>
      </c>
      <c r="Y1555" s="2" t="inlineStr">
        <is>
          <t>Articulado</t>
        </is>
      </c>
      <c r="Z1555" s="2" t="inlineStr">
        <is>
          <t>Aditamento (Artigo PPL)</t>
        </is>
      </c>
      <c r="AA1555" s="2" t="inlineStr">
        <is>
          <t>Rejeitado(a) em Comissão</t>
        </is>
      </c>
      <c r="AB1555" s="2" t="inlineStr"/>
      <c r="AC1555" s="2" t="inlineStr"/>
      <c r="AD1555" s="2" t="inlineStr">
        <is>
          <t>1</t>
        </is>
      </c>
      <c r="AE1555" s="2" t="inlineStr">
        <is>
          <t>24709</t>
        </is>
      </c>
      <c r="AF1555" s="2" t="inlineStr">
        <is>
          <t>https://www.parlamento.pt/OrcamentoEstado/Paginas/DetalhePropostaAlteracao.aspx?BID=24709</t>
        </is>
      </c>
      <c r="AG1555" s="2" t="inlineStr">
        <is>
          <t>https://app.parlamento.pt/webutils/docs/doc.pdf?path=6148523063484d364c793942556b356c6443397a6158526c63793959566b6c4a544556484c3039464c7a49774d6a59794d4449314d5441774f5339515153396c4e7a51324d6a45355a69316b597a42694c54526c4d7a4174596d4d304d7930785a4745335a474d31596d5a68596d59756347526d&amp;Fich=e746219f-dc0b-4e30-bc43-1da7dc5bfabf.pdf&amp;Inline=true</t>
        </is>
      </c>
      <c r="AH1555" s="3" t="n">
        <v>46321.77847222222</v>
      </c>
      <c r="AI1555" s="3" t="n">
        <v>46321.78055555555</v>
      </c>
      <c r="AJ1555" s="2" t="inlineStr"/>
    </row>
    <row r="1556">
      <c r="A1556" s="2" t="n">
        <v>1555</v>
      </c>
      <c r="B1556" s="2" t="inlineStr">
        <is>
          <t>1464C</t>
        </is>
      </c>
      <c r="C1556" s="3" t="n">
        <v>45968.61458333334</v>
      </c>
      <c r="D1556" s="2" t="inlineStr">
        <is>
          <t>Original</t>
        </is>
      </c>
      <c r="E1556" s="2" t="inlineStr">
        <is>
          <t>PAN</t>
        </is>
      </c>
      <c r="F1556" s="2" t="inlineStr">
        <is>
          <t>Inês de Sousa Real</t>
        </is>
      </c>
      <c r="G1556" s="2" t="inlineStr">
        <is>
          <t>Articulado</t>
        </is>
      </c>
      <c r="H1556" s="2" t="n"/>
      <c r="I1556" s="2" t="n"/>
      <c r="J1556" s="2" t="n"/>
      <c r="K1556" s="2" t="n"/>
      <c r="L1556" s="2" t="inlineStr">
        <is>
          <t>Artigo 116.º-A Cheque Repara &amp; Reusa</t>
        </is>
      </c>
      <c r="M1556" s="4" t="n"/>
      <c r="N1556" s="4" t="n"/>
      <c r="O1556" s="2" t="n"/>
      <c r="P1556" s="2" t="n"/>
      <c r="Q1556" s="2" t="n"/>
      <c r="R1556" s="2" t="n"/>
      <c r="S1556" s="2" t="inlineStr">
        <is>
          <t>Não Admitida</t>
        </is>
      </c>
      <c r="T1556" s="2" t="inlineStr"/>
      <c r="U1556" s="2" t="inlineStr"/>
      <c r="V1556" s="3" t="n"/>
      <c r="W1556" s="2" t="inlineStr">
        <is>
          <t>AR: https://www.parlamento.pt/OrcamentoEstado/Paginas/DetalhePropostaAlteracao.aspx?BID=24711 PDF: https://app.parlamento.pt/webutils/docs/doc.pdf?path=6148523063484d364c793942556b356c6443397a6158526c63793959566b6c4a544556484c3039464c7a49774d6a59794d4449314d5441774f533951515338335a6d5535593259304f4330314d5746684c5452684e5451744f544d7a4d6930794d445179597a646859546b324d3249756347526d&amp;Fich=7fe9cf48-51aa-4a54-9332-2042c7aa963b.pdf&amp;Inline=true</t>
        </is>
      </c>
      <c r="X1556" s="2" t="inlineStr">
        <is>
          <t>Ambiente e Energia</t>
        </is>
      </c>
      <c r="Y1556" s="2" t="inlineStr">
        <is>
          <t>Articulado</t>
        </is>
      </c>
      <c r="Z1556" s="2" t="inlineStr">
        <is>
          <t>Por Definir</t>
        </is>
      </c>
      <c r="AA1556" s="2" t="inlineStr">
        <is>
          <t>Não Admitida</t>
        </is>
      </c>
      <c r="AB1556" s="2" t="inlineStr"/>
      <c r="AC1556" s="2" t="inlineStr"/>
      <c r="AD1556" s="2" t="inlineStr">
        <is>
          <t>0</t>
        </is>
      </c>
      <c r="AE1556" s="2" t="inlineStr">
        <is>
          <t>24711</t>
        </is>
      </c>
      <c r="AF1556" s="2" t="inlineStr">
        <is>
          <t>https://www.parlamento.pt/OrcamentoEstado/Paginas/DetalhePropostaAlteracao.aspx?BID=24711</t>
        </is>
      </c>
      <c r="AG1556" s="2" t="inlineStr">
        <is>
          <t>https://app.parlamento.pt/webutils/docs/doc.pdf?path=6148523063484d364c793942556b356c6443397a6158526c63793959566b6c4a544556484c3039464c7a49774d6a59794d4449314d5441774f533951515338335a6d5535593259304f4330314d5746684c5452684e5451744f544d7a4d6930794d445179597a646859546b324d3249756347526d&amp;Fich=7fe9cf48-51aa-4a54-9332-2042c7aa963b.pdf&amp;Inline=true</t>
        </is>
      </c>
      <c r="AH1556" s="3" t="n">
        <v>46321.77847222222</v>
      </c>
      <c r="AI1556" s="3" t="n">
        <v>46321.78055555555</v>
      </c>
      <c r="AJ1556" s="2" t="inlineStr"/>
    </row>
    <row r="1557">
      <c r="A1557" s="2" t="n">
        <v>1556</v>
      </c>
      <c r="B1557" s="2" t="inlineStr">
        <is>
          <t>1465C</t>
        </is>
      </c>
      <c r="C1557" s="3" t="n">
        <v>45968.61458333334</v>
      </c>
      <c r="D1557" s="2" t="inlineStr">
        <is>
          <t>Original</t>
        </is>
      </c>
      <c r="E1557" s="2" t="inlineStr">
        <is>
          <t>BE</t>
        </is>
      </c>
      <c r="F1557" s="2" t="inlineStr">
        <is>
          <t>Mariana Mortágua</t>
        </is>
      </c>
      <c r="G1557" s="2" t="inlineStr">
        <is>
          <t>Art. 63.º-A (aditamento)</t>
        </is>
      </c>
      <c r="H1557" s="2" t="n"/>
      <c r="I1557" s="2" t="n"/>
      <c r="J1557" s="2" t="n"/>
      <c r="K1557" s="2" t="n"/>
      <c r="L1557" s="2" t="inlineStr">
        <is>
          <t>Artigo 63.º-A (Alteração da taxa de IVA para reparação de equipamentos eletrônicos)</t>
        </is>
      </c>
      <c r="M1557" s="4" t="n"/>
      <c r="N1557" s="4" t="n"/>
      <c r="O1557" s="2" t="n"/>
      <c r="P1557" s="2" t="n"/>
      <c r="Q1557" s="2" t="n"/>
      <c r="R1557" s="2" t="n"/>
      <c r="S1557" s="2" t="inlineStr">
        <is>
          <t>Rejeitado(a) em Comissão</t>
        </is>
      </c>
      <c r="T1557" s="2" t="inlineStr">
        <is>
          <t>Rejeitada</t>
        </is>
      </c>
      <c r="U1557" s="2" t="inlineStr">
        <is>
          <t>Favor: CH, IL, L, PCP, BE, PAN; Contra: PSD, CDS-PP; Abstenção: PS</t>
        </is>
      </c>
      <c r="V1557" s="3" t="n">
        <v>45982</v>
      </c>
      <c r="W1557" s="2" t="inlineStr">
        <is>
          <t>AR: https://www.parlamento.pt/OrcamentoEstado/Paginas/DetalhePropostaAlteracao.aspx?BID=24712 PDF: https://app.parlamento.pt/webutils/docs/doc.pdf?path=6148523063484d364c793942556b356c6443397a6158526c63793959566b6c4a544556484c3039464c7a49774d6a59794d4449314d5441774f533951515339684d5749795a6a67795a4330784d44526c4c5451325a6d497459544e6b5979307a4d44686a4d6a59354e324e6b595451756347526d&amp;Fich=a1b2f82d-104e-46fb-a3dc-308c2697cda4.pdf&amp;Inline=true</t>
        </is>
      </c>
      <c r="X1557" s="2" t="inlineStr">
        <is>
          <t>Orçamento, Finanças e Administração Pública</t>
        </is>
      </c>
      <c r="Y1557" s="2" t="inlineStr">
        <is>
          <t>Articulado</t>
        </is>
      </c>
      <c r="Z1557" s="2" t="inlineStr">
        <is>
          <t>Aditamento (Artigo PPL)</t>
        </is>
      </c>
      <c r="AA1557" s="2" t="inlineStr">
        <is>
          <t>Rejeitado(a) em Comissão</t>
        </is>
      </c>
      <c r="AB1557" s="2" t="inlineStr"/>
      <c r="AC1557" s="2" t="inlineStr"/>
      <c r="AD1557" s="2" t="inlineStr">
        <is>
          <t>1</t>
        </is>
      </c>
      <c r="AE1557" s="2" t="inlineStr">
        <is>
          <t>24712</t>
        </is>
      </c>
      <c r="AF1557" s="2" t="inlineStr">
        <is>
          <t>https://www.parlamento.pt/OrcamentoEstado/Paginas/DetalhePropostaAlteracao.aspx?BID=24712</t>
        </is>
      </c>
      <c r="AG1557" s="2" t="inlineStr">
        <is>
          <t>https://app.parlamento.pt/webutils/docs/doc.pdf?path=6148523063484d364c793942556b356c6443397a6158526c63793959566b6c4a544556484c3039464c7a49774d6a59794d4449314d5441774f533951515339684d5749795a6a67795a4330784d44526c4c5451325a6d497459544e6b5979307a4d44686a4d6a59354e324e6b595451756347526d&amp;Fich=a1b2f82d-104e-46fb-a3dc-308c2697cda4.pdf&amp;Inline=true</t>
        </is>
      </c>
      <c r="AH1557" s="3" t="n">
        <v>46321.77847222222</v>
      </c>
      <c r="AI1557" s="3" t="n">
        <v>46321.78055555555</v>
      </c>
      <c r="AJ1557" s="2" t="inlineStr"/>
    </row>
    <row r="1558">
      <c r="A1558" s="2" t="n">
        <v>1557</v>
      </c>
      <c r="B1558" s="2" t="inlineStr">
        <is>
          <t>1466C</t>
        </is>
      </c>
      <c r="C1558" s="3" t="n">
        <v>45968.61527777778</v>
      </c>
      <c r="D1558" s="2" t="inlineStr">
        <is>
          <t>Original</t>
        </is>
      </c>
      <c r="E1558" s="2" t="inlineStr">
        <is>
          <t>PS</t>
        </is>
      </c>
      <c r="F1558" s="2" t="inlineStr">
        <is>
          <t>André Pinotes Batista; André Rijo; António Mendonça Mendes; Armando Mourisco; Eduardo Pinheiro; Eurico Brilhante Dias; Eurídice Pereira; Irene Costa; José Luís Carneiro; Luís Graça; Mariana Vieira da Silva; Marina Gonçalves; Miguel Matos; Pedro Delgado Alves; Pedro do Carmo; Susana Correia</t>
        </is>
      </c>
      <c r="G1558" s="2" t="inlineStr">
        <is>
          <t>Art. 120.º-A (aditamento)</t>
        </is>
      </c>
      <c r="H1558" s="2" t="n"/>
      <c r="I1558" s="2" t="n"/>
      <c r="J1558" s="2" t="n"/>
      <c r="K1558" s="2" t="n"/>
      <c r="L1558" s="2" t="inlineStr">
        <is>
          <t>Artigo 120.º-A (Investimentos estruturantes em infraestruturas e equipamentos do Serviço Nacional de Saúde)</t>
        </is>
      </c>
      <c r="M1558" s="4" t="n"/>
      <c r="N1558" s="4" t="n"/>
      <c r="O1558" s="2" t="n"/>
      <c r="P1558" s="2" t="n"/>
      <c r="Q1558" s="2" t="n"/>
      <c r="R1558" s="2" t="n"/>
      <c r="S1558" s="2" t="inlineStr">
        <is>
          <t>Aprovado(a) em Comissão</t>
        </is>
      </c>
      <c r="T1558" s="2" t="inlineStr">
        <is>
          <t>Aprovada</t>
        </is>
      </c>
      <c r="U1558" s="2" t="inlineStr">
        <is>
          <t>Favor: CH, PS, L, PCP, BE, PAN; Contra: PSD, CDS-PP; Abstenção: IL</t>
        </is>
      </c>
      <c r="V1558" s="3" t="n">
        <v>45985</v>
      </c>
      <c r="W1558" s="2" t="inlineStr">
        <is>
          <t>AR: https://www.parlamento.pt/OrcamentoEstado/Paginas/DetalhePropostaAlteracao.aspx?BID=24713 PDF: https://app.parlamento.pt/webutils/docs/doc.pdf?path=6148523063484d364c793942556b356c6443397a6158526c63793959566b6c4a544556484c3039464c7a49774d6a59794d4449314d5441774f5339515153396d4d4749324d57566c4d7930314d6a67774c54526b596a55744f44646a597930794d324e684f4459774d7a417a4e7a55756347526d&amp;Fich=f0b61ee3-5280-4db5-87cc-23ca86030375.pdf&amp;Inline=true</t>
        </is>
      </c>
      <c r="X1558" s="2" t="inlineStr">
        <is>
          <t>Infraestruturas, Mobilidade e Habitação; Orçamento, Finanças e Administração Pública</t>
        </is>
      </c>
      <c r="Y1558" s="2" t="inlineStr">
        <is>
          <t>Articulado</t>
        </is>
      </c>
      <c r="Z1558" s="2" t="inlineStr">
        <is>
          <t>Aditamento (Artigo PPL)</t>
        </is>
      </c>
      <c r="AA1558" s="2" t="inlineStr">
        <is>
          <t>Aprovado(a) em Comissão</t>
        </is>
      </c>
      <c r="AB1558" s="2" t="inlineStr"/>
      <c r="AC1558" s="2" t="inlineStr"/>
      <c r="AD1558" s="2" t="inlineStr">
        <is>
          <t>1</t>
        </is>
      </c>
      <c r="AE1558" s="2" t="inlineStr">
        <is>
          <t>24713</t>
        </is>
      </c>
      <c r="AF1558" s="2" t="inlineStr">
        <is>
          <t>https://www.parlamento.pt/OrcamentoEstado/Paginas/DetalhePropostaAlteracao.aspx?BID=24713</t>
        </is>
      </c>
      <c r="AG1558" s="2" t="inlineStr">
        <is>
          <t>https://app.parlamento.pt/webutils/docs/doc.pdf?path=6148523063484d364c793942556b356c6443397a6158526c63793959566b6c4a544556484c3039464c7a49774d6a59794d4449314d5441774f5339515153396d4d4749324d57566c4d7930314d6a67774c54526b596a55744f44646a597930794d324e684f4459774d7a417a4e7a55756347526d&amp;Fich=f0b61ee3-5280-4db5-87cc-23ca86030375.pdf&amp;Inline=true</t>
        </is>
      </c>
      <c r="AH1558" s="3" t="n">
        <v>46321.77847222222</v>
      </c>
      <c r="AI1558" s="3" t="n">
        <v>46321.78055555555</v>
      </c>
      <c r="AJ1558" s="2" t="inlineStr"/>
    </row>
    <row r="1559">
      <c r="A1559" s="2" t="n">
        <v>1558</v>
      </c>
      <c r="B1559" s="2" t="inlineStr">
        <is>
          <t>1467C</t>
        </is>
      </c>
      <c r="C1559" s="3" t="n">
        <v>45968.61666666667</v>
      </c>
      <c r="D1559" s="2" t="inlineStr">
        <is>
          <t>Original</t>
        </is>
      </c>
      <c r="E1559" s="2" t="inlineStr">
        <is>
          <t>PS</t>
        </is>
      </c>
      <c r="F1559" s="2" t="inlineStr">
        <is>
          <t>António Mendonça Mendes; Eurico Brilhante Dias; José Luís Carneiro; Luís Graça; Marina Gonçalves; Miguel Matos; Pedro Vaz</t>
        </is>
      </c>
      <c r="G1559" s="2" t="inlineStr">
        <is>
          <t>Art. 127.º-A (aditamento)</t>
        </is>
      </c>
      <c r="H1559" s="2" t="n"/>
      <c r="I1559" s="2" t="n"/>
      <c r="J1559" s="2" t="n"/>
      <c r="K1559" s="2" t="n"/>
      <c r="L1559" s="2" t="inlineStr">
        <is>
          <t>Artigo 127.º-A (Dragagens de manutenção dos portos de pesca do Algarve)</t>
        </is>
      </c>
      <c r="M1559" s="4" t="n"/>
      <c r="N1559" s="4" t="n"/>
      <c r="O1559" s="2" t="n"/>
      <c r="P1559" s="2" t="n"/>
      <c r="Q1559" s="2" t="n"/>
      <c r="R1559" s="2" t="n"/>
      <c r="S1559" s="2" t="inlineStr">
        <is>
          <t>Aprovado(a) em Comissão</t>
        </is>
      </c>
      <c r="T1559" s="2" t="inlineStr">
        <is>
          <t>Aprovada</t>
        </is>
      </c>
      <c r="U1559" s="2" t="inlineStr">
        <is>
          <t>Favor: CH, PS, IL, L, PCP, BE; Contra: PSD, CDS-PP, PAN</t>
        </is>
      </c>
      <c r="V1559" s="3" t="n">
        <v>45985</v>
      </c>
      <c r="W1559" s="2" t="inlineStr">
        <is>
          <t>AR: https://www.parlamento.pt/OrcamentoEstado/Paginas/DetalhePropostaAlteracao.aspx?BID=24714 PDF: https://app.parlamento.pt/webutils/docs/doc.pdf?path=6148523063484d364c793942556b356c6443397a6158526c63793959566b6c4a544556484c3039464c7a49774d6a59794d4449314d5441774f533951515338784d7a6b314f47566a4d533032595449314c54526a4d7a67744f446b334e5330354d7a56694e7a41794e6d51794d4759756347526d&amp;Fich=13958ec1-6a25-4c38-8975-935b7026d20f.pdf&amp;Inline=true</t>
        </is>
      </c>
      <c r="X1559" s="2" t="inlineStr">
        <is>
          <t>Ambiente e Energia; Orçamento, Finanças e Administração Pública</t>
        </is>
      </c>
      <c r="Y1559" s="2" t="inlineStr">
        <is>
          <t>Articulado</t>
        </is>
      </c>
      <c r="Z1559" s="2" t="inlineStr">
        <is>
          <t>Aditamento (Artigo PPL)</t>
        </is>
      </c>
      <c r="AA1559" s="2" t="inlineStr">
        <is>
          <t>Aprovado(a) em Comissão</t>
        </is>
      </c>
      <c r="AB1559" s="2" t="inlineStr"/>
      <c r="AC1559" s="2" t="inlineStr"/>
      <c r="AD1559" s="2" t="inlineStr">
        <is>
          <t>1</t>
        </is>
      </c>
      <c r="AE1559" s="2" t="inlineStr">
        <is>
          <t>24714</t>
        </is>
      </c>
      <c r="AF1559" s="2" t="inlineStr">
        <is>
          <t>https://www.parlamento.pt/OrcamentoEstado/Paginas/DetalhePropostaAlteracao.aspx?BID=24714</t>
        </is>
      </c>
      <c r="AG1559" s="2" t="inlineStr">
        <is>
          <t>https://app.parlamento.pt/webutils/docs/doc.pdf?path=6148523063484d364c793942556b356c6443397a6158526c63793959566b6c4a544556484c3039464c7a49774d6a59794d4449314d5441774f533951515338784d7a6b314f47566a4d533032595449314c54526a4d7a67744f446b334e5330354d7a56694e7a41794e6d51794d4759756347526d&amp;Fich=13958ec1-6a25-4c38-8975-935b7026d20f.pdf&amp;Inline=true</t>
        </is>
      </c>
      <c r="AH1559" s="3" t="n">
        <v>46321.77847222222</v>
      </c>
      <c r="AI1559" s="3" t="n">
        <v>46321.78055555555</v>
      </c>
      <c r="AJ1559" s="2" t="inlineStr"/>
    </row>
    <row r="1560">
      <c r="A1560" s="2" t="n">
        <v>1559</v>
      </c>
      <c r="B1560" s="2" t="inlineStr">
        <is>
          <t>1468C</t>
        </is>
      </c>
      <c r="C1560" s="3" t="n">
        <v>45968.61736111111</v>
      </c>
      <c r="D1560" s="2" t="inlineStr">
        <is>
          <t>Original</t>
        </is>
      </c>
      <c r="E1560" s="2" t="inlineStr">
        <is>
          <t>PS</t>
        </is>
      </c>
      <c r="F1560" s="2" t="inlineStr">
        <is>
          <t>André Pinotes Batista; António Mendonça Mendes; Eurico Brilhante Dias; Eurídice Pereira; José Luís Carneiro; Luís Graça; Marina Gonçalves; Miguel Matos; Pedro Vaz</t>
        </is>
      </c>
      <c r="G1560" s="2" t="inlineStr">
        <is>
          <t>Art. 127.º-A (aditamento)</t>
        </is>
      </c>
      <c r="H1560" s="2" t="n"/>
      <c r="I1560" s="2" t="n"/>
      <c r="J1560" s="2" t="n"/>
      <c r="K1560" s="2" t="n"/>
      <c r="L1560" s="2" t="inlineStr">
        <is>
          <t>Artigo 127.º-A (Descontaminação e remediação de solos contaminados nos territórios do Arco Ribeirinho Sul)</t>
        </is>
      </c>
      <c r="M1560" s="4" t="n"/>
      <c r="N1560" s="4" t="n"/>
      <c r="O1560" s="2" t="n"/>
      <c r="P1560" s="2" t="n"/>
      <c r="Q1560" s="2" t="n"/>
      <c r="R1560" s="2" t="n"/>
      <c r="S1560" s="2" t="inlineStr">
        <is>
          <t>Rejeitado(a) em Comissão</t>
        </is>
      </c>
      <c r="T1560" s="2" t="inlineStr">
        <is>
          <t>Rejeitada</t>
        </is>
      </c>
      <c r="U1560" s="2" t="inlineStr">
        <is>
          <t>Favor: PS, IL, L, PCP, BE, PAN; Contra: PSD, CDS-PP; Abstenção: CH</t>
        </is>
      </c>
      <c r="V1560" s="3" t="n">
        <v>45985</v>
      </c>
      <c r="W1560" s="2" t="inlineStr">
        <is>
          <t>AR: https://www.parlamento.pt/OrcamentoEstado/Paginas/DetalhePropostaAlteracao.aspx?BID=24715 PDF: https://app.parlamento.pt/webutils/docs/doc.pdf?path=6148523063484d364c793942556b356c6443397a6158526c63793959566b6c4a544556484c3039464c7a49774d6a59794d4449314d5441774f53395151533877595751334d5751774e43316b4e5752694c5451794d5449744f4749304d53316d5a546c6c4e5745334e47566b4d5751756347526d&amp;Fich=0ad71d04-d5db-4212-8b41-fe9e5a74ed1d.pdf&amp;Inline=true</t>
        </is>
      </c>
      <c r="X1560" s="2" t="inlineStr">
        <is>
          <t>Ambiente e Energia; Orçamento, Finanças e Administração Pública</t>
        </is>
      </c>
      <c r="Y1560" s="2" t="inlineStr">
        <is>
          <t>Articulado</t>
        </is>
      </c>
      <c r="Z1560" s="2" t="inlineStr">
        <is>
          <t>Aditamento (Artigo PPL)</t>
        </is>
      </c>
      <c r="AA1560" s="2" t="inlineStr">
        <is>
          <t>Rejeitado(a) em Comissão</t>
        </is>
      </c>
      <c r="AB1560" s="2" t="inlineStr"/>
      <c r="AC1560" s="2" t="inlineStr"/>
      <c r="AD1560" s="2" t="inlineStr">
        <is>
          <t>1</t>
        </is>
      </c>
      <c r="AE1560" s="2" t="inlineStr">
        <is>
          <t>24715</t>
        </is>
      </c>
      <c r="AF1560" s="2" t="inlineStr">
        <is>
          <t>https://www.parlamento.pt/OrcamentoEstado/Paginas/DetalhePropostaAlteracao.aspx?BID=24715</t>
        </is>
      </c>
      <c r="AG1560" s="2" t="inlineStr">
        <is>
          <t>https://app.parlamento.pt/webutils/docs/doc.pdf?path=6148523063484d364c793942556b356c6443397a6158526c63793959566b6c4a544556484c3039464c7a49774d6a59794d4449314d5441774f53395151533877595751334d5751774e43316b4e5752694c5451794d5449744f4749304d53316d5a546c6c4e5745334e47566b4d5751756347526d&amp;Fich=0ad71d04-d5db-4212-8b41-fe9e5a74ed1d.pdf&amp;Inline=true</t>
        </is>
      </c>
      <c r="AH1560" s="3" t="n">
        <v>46321.77847222222</v>
      </c>
      <c r="AI1560" s="3" t="n">
        <v>46321.78055555555</v>
      </c>
      <c r="AJ1560" s="2" t="inlineStr"/>
    </row>
    <row r="1561">
      <c r="A1561" s="2" t="n">
        <v>1560</v>
      </c>
      <c r="B1561" s="2" t="inlineStr">
        <is>
          <t>1469C</t>
        </is>
      </c>
      <c r="C1561" s="3" t="n">
        <v>45968.61805555555</v>
      </c>
      <c r="D1561" s="2" t="inlineStr">
        <is>
          <t>Original</t>
        </is>
      </c>
      <c r="E1561" s="2" t="inlineStr">
        <is>
          <t>PAN</t>
        </is>
      </c>
      <c r="F1561" s="2" t="inlineStr">
        <is>
          <t>Inês de Sousa Real</t>
        </is>
      </c>
      <c r="G1561" s="2" t="inlineStr">
        <is>
          <t>Art. 63.º-A (aditamento)</t>
        </is>
      </c>
      <c r="H1561" s="2" t="n"/>
      <c r="I1561" s="2" t="n"/>
      <c r="J1561" s="2" t="n"/>
      <c r="K1561" s="2" t="n"/>
      <c r="L1561" s="2" t="inlineStr">
        <is>
          <t>Artigo 63.º-A (Aditamento à lista I anexa ao Código do Imposto sobre o Valor Acrescentado)</t>
        </is>
      </c>
      <c r="M1561" s="4" t="n"/>
      <c r="N1561" s="4" t="n"/>
      <c r="O1561" s="2" t="n"/>
      <c r="P1561" s="2" t="n"/>
      <c r="Q1561" s="2" t="n"/>
      <c r="R1561" s="2" t="n"/>
      <c r="S1561" s="2" t="inlineStr">
        <is>
          <t>Rejeitado(a) em Comissão</t>
        </is>
      </c>
      <c r="T1561" s="2" t="inlineStr">
        <is>
          <t>Rejeitada</t>
        </is>
      </c>
      <c r="U1561" s="2" t="inlineStr">
        <is>
          <t>Favor: L, BE, PAN; Contra: PSD, CDS-PP; Abstenção: CH, PS, IL, PCP</t>
        </is>
      </c>
      <c r="V1561" s="3" t="n">
        <v>45982</v>
      </c>
      <c r="W1561" s="2" t="inlineStr">
        <is>
          <t>AR: https://www.parlamento.pt/OrcamentoEstado/Paginas/DetalhePropostaAlteracao.aspx?BID=24716 PDF: https://app.parlamento.pt/webutils/docs/doc.pdf?path=6148523063484d364c793942556b356c6443397a6158526c63793959566b6c4a544556484c3039464c7a49774d6a59794d4449314d5441774f5339515153387a4d54417a5a474d314d5330335a4452694c5452684d7a517459546c6d4f53316a4e44646d4f4467335a54566c4f4745756347526d&amp;Fich=3103dc51-7d4b-4a34-a9f9-c47f887e5e8a.pdf&amp;Inline=true</t>
        </is>
      </c>
      <c r="X1561" s="2" t="inlineStr">
        <is>
          <t>Orçamento, Finanças e Administração Pública</t>
        </is>
      </c>
      <c r="Y1561" s="2" t="inlineStr">
        <is>
          <t>Articulado</t>
        </is>
      </c>
      <c r="Z1561" s="2" t="inlineStr">
        <is>
          <t>Aditamento (Artigo PPL)</t>
        </is>
      </c>
      <c r="AA1561" s="2" t="inlineStr">
        <is>
          <t>Rejeitado(a) em Comissão</t>
        </is>
      </c>
      <c r="AB1561" s="2" t="inlineStr"/>
      <c r="AC1561" s="2" t="inlineStr"/>
      <c r="AD1561" s="2" t="inlineStr">
        <is>
          <t>1</t>
        </is>
      </c>
      <c r="AE1561" s="2" t="inlineStr">
        <is>
          <t>24716</t>
        </is>
      </c>
      <c r="AF1561" s="2" t="inlineStr">
        <is>
          <t>https://www.parlamento.pt/OrcamentoEstado/Paginas/DetalhePropostaAlteracao.aspx?BID=24716</t>
        </is>
      </c>
      <c r="AG1561" s="2" t="inlineStr">
        <is>
          <t>https://app.parlamento.pt/webutils/docs/doc.pdf?path=6148523063484d364c793942556b356c6443397a6158526c63793959566b6c4a544556484c3039464c7a49774d6a59794d4449314d5441774f5339515153387a4d54417a5a474d314d5330335a4452694c5452684d7a517459546c6d4f53316a4e44646d4f4467335a54566c4f4745756347526d&amp;Fich=3103dc51-7d4b-4a34-a9f9-c47f887e5e8a.pdf&amp;Inline=true</t>
        </is>
      </c>
      <c r="AH1561" s="3" t="n">
        <v>46321.77847222222</v>
      </c>
      <c r="AI1561" s="3" t="n">
        <v>46321.78055555555</v>
      </c>
      <c r="AJ1561" s="2" t="inlineStr"/>
    </row>
    <row r="1562">
      <c r="A1562" s="2" t="n">
        <v>1561</v>
      </c>
      <c r="B1562" s="2" t="inlineStr">
        <is>
          <t>1470C</t>
        </is>
      </c>
      <c r="C1562" s="3" t="n">
        <v>45968.61875</v>
      </c>
      <c r="D1562" s="2" t="inlineStr">
        <is>
          <t>Original</t>
        </is>
      </c>
      <c r="E1562" s="2" t="inlineStr">
        <is>
          <t>PAN</t>
        </is>
      </c>
      <c r="F1562" s="2" t="inlineStr">
        <is>
          <t>Inês de Sousa Real</t>
        </is>
      </c>
      <c r="G1562" s="2" t="inlineStr">
        <is>
          <t>Art. 128.º-A (aditamento)</t>
        </is>
      </c>
      <c r="H1562" s="2" t="n"/>
      <c r="I1562" s="2" t="n"/>
      <c r="J1562" s="2" t="n"/>
      <c r="K1562" s="2" t="n"/>
      <c r="L1562" s="2" t="inlineStr">
        <is>
          <t>Artigo 128.º-A (Apoio ao aumento da área em modo de produção biológico)</t>
        </is>
      </c>
      <c r="M1562" s="4" t="n"/>
      <c r="N1562" s="4" t="n"/>
      <c r="O1562" s="2" t="n"/>
      <c r="P1562" s="2" t="n"/>
      <c r="Q1562" s="2" t="n"/>
      <c r="R1562" s="2" t="n"/>
      <c r="S1562" s="2" t="inlineStr">
        <is>
          <t>Rejeitado(a) em Comissão</t>
        </is>
      </c>
      <c r="T1562" s="2" t="inlineStr">
        <is>
          <t>Rejeitada</t>
        </is>
      </c>
      <c r="U1562" s="2" t="inlineStr">
        <is>
          <t>Favor: L, BE, PAN; Contra: PSD, CH, IL, PCP, CDS-PP; Abstenção: PS</t>
        </is>
      </c>
      <c r="V1562" s="3" t="n">
        <v>45985</v>
      </c>
      <c r="W1562" s="2" t="inlineStr">
        <is>
          <t>AR: https://www.parlamento.pt/OrcamentoEstado/Paginas/DetalhePropostaAlteracao.aspx?BID=24717 PDF: https://app.parlamento.pt/webutils/docs/doc.pdf?path=6148523063484d364c793942556b356c6443397a6158526c63793959566b6c4a544556484c3039464c7a49774d6a59794d4449314d5441774f533951515338324f4749314d324d354d5330784f54566a4c5451314d44637459544d334d53316d4f5445785a6d46684f4467775a6a63756347526d&amp;Fich=68b53c91-195c-4507-a371-f911faa880f7.pdf&amp;Inline=true</t>
        </is>
      </c>
      <c r="X1562" s="2" t="inlineStr">
        <is>
          <t>Agricultura e Pescas</t>
        </is>
      </c>
      <c r="Y1562" s="2" t="inlineStr">
        <is>
          <t>Articulado</t>
        </is>
      </c>
      <c r="Z1562" s="2" t="inlineStr">
        <is>
          <t>Aditamento (Artigo PPL)</t>
        </is>
      </c>
      <c r="AA1562" s="2" t="inlineStr">
        <is>
          <t>Rejeitado(a) em Comissão</t>
        </is>
      </c>
      <c r="AB1562" s="2" t="inlineStr"/>
      <c r="AC1562" s="2" t="inlineStr"/>
      <c r="AD1562" s="2" t="inlineStr">
        <is>
          <t>1</t>
        </is>
      </c>
      <c r="AE1562" s="2" t="inlineStr">
        <is>
          <t>24717</t>
        </is>
      </c>
      <c r="AF1562" s="2" t="inlineStr">
        <is>
          <t>https://www.parlamento.pt/OrcamentoEstado/Paginas/DetalhePropostaAlteracao.aspx?BID=24717</t>
        </is>
      </c>
      <c r="AG1562" s="2" t="inlineStr">
        <is>
          <t>https://app.parlamento.pt/webutils/docs/doc.pdf?path=6148523063484d364c793942556b356c6443397a6158526c63793959566b6c4a544556484c3039464c7a49774d6a59794d4449314d5441774f533951515338324f4749314d324d354d5330784f54566a4c5451314d44637459544d334d53316d4f5445785a6d46684f4467775a6a63756347526d&amp;Fich=68b53c91-195c-4507-a371-f911faa880f7.pdf&amp;Inline=true</t>
        </is>
      </c>
      <c r="AH1562" s="3" t="n">
        <v>46321.77847222222</v>
      </c>
      <c r="AI1562" s="3" t="n">
        <v>46321.78055555555</v>
      </c>
      <c r="AJ1562" s="2" t="inlineStr"/>
    </row>
    <row r="1563">
      <c r="A1563" s="2" t="n">
        <v>1562</v>
      </c>
      <c r="B1563" s="2" t="inlineStr">
        <is>
          <t>1471C</t>
        </is>
      </c>
      <c r="C1563" s="3" t="n">
        <v>45968.61875</v>
      </c>
      <c r="D1563" s="2" t="inlineStr">
        <is>
          <t>Original</t>
        </is>
      </c>
      <c r="E1563" s="2" t="inlineStr">
        <is>
          <t>PS</t>
        </is>
      </c>
      <c r="F1563" s="2" t="inlineStr">
        <is>
          <t>André Pinotes Batista; António Mendonça Mendes; Eurico Brilhante Dias; Eurídice Pereira; José Luís Carneiro; Júlia Rodrigues; Marina Gonçalves; Miguel Matos; Pedro do Carmo</t>
        </is>
      </c>
      <c r="G1563" s="2" t="inlineStr">
        <is>
          <t>Art. 125.º-A (aditamento)</t>
        </is>
      </c>
      <c r="H1563" s="2" t="n"/>
      <c r="I1563" s="2" t="n"/>
      <c r="J1563" s="2" t="n"/>
      <c r="K1563" s="2" t="n"/>
      <c r="L1563" s="2" t="inlineStr">
        <is>
          <t>Artigo 125.º-A (Grupo multissetorial para monitorizar e avaliar a apanha de bivalves no Estuário do Tejo)</t>
        </is>
      </c>
      <c r="M1563" s="4" t="n"/>
      <c r="N1563" s="4" t="n"/>
      <c r="O1563" s="2" t="n"/>
      <c r="P1563" s="2" t="n"/>
      <c r="Q1563" s="2" t="n"/>
      <c r="R1563" s="2" t="n"/>
      <c r="S1563" s="2" t="inlineStr">
        <is>
          <t>Rejeitado(a) em Comissão</t>
        </is>
      </c>
      <c r="T1563" s="2" t="inlineStr">
        <is>
          <t>Rejeitada</t>
        </is>
      </c>
      <c r="U1563" s="2" t="inlineStr">
        <is>
          <t>Favor: PS, L, PCP, BE, PAN; Contra: PSD, CH, IL, CDS-PP</t>
        </is>
      </c>
      <c r="V1563" s="3" t="n">
        <v>45985</v>
      </c>
      <c r="W1563" s="2" t="inlineStr">
        <is>
          <t>AR: https://www.parlamento.pt/OrcamentoEstado/Paginas/DetalhePropostaAlteracao.aspx?BID=24718 PDF: https://app.parlamento.pt/webutils/docs/doc.pdf?path=6148523063484d364c793942556b356c6443397a6158526c63793959566b6c4a544556484c3039464c7a49774d6a59794d4449314d5441774f533951515338314d544e6d4e57466a596930784d44677a4c545131593251744f4755335a6930774e3245334f575a6d4e7a4d324d4445756347526d&amp;Fich=513f5acb-1083-45cd-8e7f-07a79ff73601.pdf&amp;Inline=true</t>
        </is>
      </c>
      <c r="X1563" s="2" t="inlineStr">
        <is>
          <t>Agricultura e Pescas; Orçamento, Finanças e Administração Pública</t>
        </is>
      </c>
      <c r="Y1563" s="2" t="inlineStr">
        <is>
          <t>Articulado</t>
        </is>
      </c>
      <c r="Z1563" s="2" t="inlineStr">
        <is>
          <t>Aditamento (Artigo PPL)</t>
        </is>
      </c>
      <c r="AA1563" s="2" t="inlineStr">
        <is>
          <t>Rejeitado(a) em Comissão</t>
        </is>
      </c>
      <c r="AB1563" s="2" t="inlineStr"/>
      <c r="AC1563" s="2" t="inlineStr"/>
      <c r="AD1563" s="2" t="inlineStr">
        <is>
          <t>1</t>
        </is>
      </c>
      <c r="AE1563" s="2" t="inlineStr">
        <is>
          <t>24718</t>
        </is>
      </c>
      <c r="AF1563" s="2" t="inlineStr">
        <is>
          <t>https://www.parlamento.pt/OrcamentoEstado/Paginas/DetalhePropostaAlteracao.aspx?BID=24718</t>
        </is>
      </c>
      <c r="AG1563" s="2" t="inlineStr">
        <is>
          <t>https://app.parlamento.pt/webutils/docs/doc.pdf?path=6148523063484d364c793942556b356c6443397a6158526c63793959566b6c4a544556484c3039464c7a49774d6a59794d4449314d5441774f533951515338314d544e6d4e57466a596930784d44677a4c545131593251744f4755335a6930774e3245334f575a6d4e7a4d324d4445756347526d&amp;Fich=513f5acb-1083-45cd-8e7f-07a79ff73601.pdf&amp;Inline=true</t>
        </is>
      </c>
      <c r="AH1563" s="3" t="n">
        <v>46321.77847222222</v>
      </c>
      <c r="AI1563" s="3" t="n">
        <v>46321.78055555555</v>
      </c>
      <c r="AJ1563" s="2" t="inlineStr"/>
    </row>
    <row r="1564">
      <c r="A1564" s="2" t="n">
        <v>1563</v>
      </c>
      <c r="B1564" s="2" t="inlineStr">
        <is>
          <t>1472C</t>
        </is>
      </c>
      <c r="C1564" s="3" t="n">
        <v>45968.61944444444</v>
      </c>
      <c r="D1564" s="2" t="inlineStr">
        <is>
          <t>Original</t>
        </is>
      </c>
      <c r="E1564" s="2" t="inlineStr">
        <is>
          <t>PCP</t>
        </is>
      </c>
      <c r="F1564" s="2" t="inlineStr">
        <is>
          <t>Alfredo Maia; Paula Santos; Paulo Raimundo</t>
        </is>
      </c>
      <c r="G1564" s="2" t="inlineStr">
        <is>
          <t>Art. 135.º-A (aditamento)</t>
        </is>
      </c>
      <c r="H1564" s="2" t="n"/>
      <c r="I1564" s="2" t="n"/>
      <c r="J1564" s="2" t="n"/>
      <c r="K1564" s="2" t="n"/>
      <c r="L1564" s="2" t="inlineStr">
        <is>
          <t>Artigo 135.º-A (Reabertura dos serviços públicos encerrados)</t>
        </is>
      </c>
      <c r="M1564" s="4" t="n"/>
      <c r="N1564" s="4" t="n"/>
      <c r="O1564" s="2" t="n"/>
      <c r="P1564" s="2" t="n"/>
      <c r="Q1564" s="2" t="n"/>
      <c r="R1564" s="2" t="n"/>
      <c r="S1564" s="2" t="inlineStr">
        <is>
          <t>Rejeitado(a) em Comissão</t>
        </is>
      </c>
      <c r="T1564" s="2" t="inlineStr">
        <is>
          <t>Rejeitada</t>
        </is>
      </c>
      <c r="U1564" s="2" t="inlineStr">
        <is>
          <t>Favor: CH, L, PCP, BE, PAN; Contra: PSD, IL, CDS-PP; Abstenção: PS</t>
        </is>
      </c>
      <c r="V1564" s="3" t="n">
        <v>45987</v>
      </c>
      <c r="W1564" s="2" t="inlineStr">
        <is>
          <t>AR: https://www.parlamento.pt/OrcamentoEstado/Paginas/DetalhePropostaAlteracao.aspx?BID=24719 PDF: https://app.parlamento.pt/webutils/docs/doc.pdf?path=6148523063484d364c793942556b356c6443397a6158526c63793959566b6c4a544556484c3039464c7a49774d6a59794d4449314d5441774f533951515338324d7a597a5a6d526b5953316a59575a684c545132596a6374596a45354f4330775a474d794e3245354e57466a5a6a4d756347526d&amp;Fich=6363fdda-cafa-46b7-b198-0dc27a95acf3.pdf&amp;Inline=true</t>
        </is>
      </c>
      <c r="X1564" s="2" t="inlineStr">
        <is>
          <t>Orçamento, Finanças e Administração Pública</t>
        </is>
      </c>
      <c r="Y1564" s="2" t="inlineStr">
        <is>
          <t>Articulado</t>
        </is>
      </c>
      <c r="Z1564" s="2" t="inlineStr">
        <is>
          <t>Aditamento (Artigo PPL)</t>
        </is>
      </c>
      <c r="AA1564" s="2" t="inlineStr">
        <is>
          <t>Rejeitado(a) em Comissão</t>
        </is>
      </c>
      <c r="AB1564" s="2" t="inlineStr"/>
      <c r="AC1564" s="2" t="inlineStr"/>
      <c r="AD1564" s="2" t="inlineStr">
        <is>
          <t>1</t>
        </is>
      </c>
      <c r="AE1564" s="2" t="inlineStr">
        <is>
          <t>24719</t>
        </is>
      </c>
      <c r="AF1564" s="2" t="inlineStr">
        <is>
          <t>https://www.parlamento.pt/OrcamentoEstado/Paginas/DetalhePropostaAlteracao.aspx?BID=24719</t>
        </is>
      </c>
      <c r="AG1564" s="2" t="inlineStr">
        <is>
          <t>https://app.parlamento.pt/webutils/docs/doc.pdf?path=6148523063484d364c793942556b356c6443397a6158526c63793959566b6c4a544556484c3039464c7a49774d6a59794d4449314d5441774f533951515338324d7a597a5a6d526b5953316a59575a684c545132596a6374596a45354f4330775a474d794e3245354e57466a5a6a4d756347526d&amp;Fich=6363fdda-cafa-46b7-b198-0dc27a95acf3.pdf&amp;Inline=true</t>
        </is>
      </c>
      <c r="AH1564" s="3" t="n">
        <v>46321.77847222222</v>
      </c>
      <c r="AI1564" s="3" t="n">
        <v>46321.78055555555</v>
      </c>
      <c r="AJ1564" s="2" t="inlineStr"/>
    </row>
    <row r="1565">
      <c r="A1565" s="2" t="n">
        <v>1564</v>
      </c>
      <c r="B1565" s="2" t="inlineStr">
        <is>
          <t>1473C</t>
        </is>
      </c>
      <c r="C1565" s="3" t="n">
        <v>45968.61944444444</v>
      </c>
      <c r="D1565" s="2" t="inlineStr">
        <is>
          <t>Original</t>
        </is>
      </c>
      <c r="E1565" s="2" t="inlineStr">
        <is>
          <t>BE</t>
        </is>
      </c>
      <c r="F1565" s="2" t="inlineStr">
        <is>
          <t>Mariana Mortágua</t>
        </is>
      </c>
      <c r="G1565" s="2" t="inlineStr">
        <is>
          <t>Art. 113.º-A (aditamento)</t>
        </is>
      </c>
      <c r="H1565" s="2" t="n"/>
      <c r="I1565" s="2" t="n"/>
      <c r="J1565" s="2" t="n"/>
      <c r="K1565" s="2" t="n"/>
      <c r="L1565" s="2" t="inlineStr">
        <is>
          <t>Artigo 113.º-A (Criação do Observatório do Parque Natural de Montesinho)</t>
        </is>
      </c>
      <c r="M1565" s="4" t="n"/>
      <c r="N1565" s="4" t="n"/>
      <c r="O1565" s="2" t="n"/>
      <c r="P1565" s="2" t="n"/>
      <c r="Q1565" s="2" t="n"/>
      <c r="R1565" s="2" t="n"/>
      <c r="S1565" s="2" t="inlineStr">
        <is>
          <t>Rejeitado(a) em Comissão</t>
        </is>
      </c>
      <c r="T1565" s="2" t="inlineStr">
        <is>
          <t>Rejeitada</t>
        </is>
      </c>
      <c r="U1565" s="2" t="inlineStr">
        <is>
          <t>Favor: PS, L, PCP, BE, PAN; Contra: PSD, CH, IL, CDS-PP</t>
        </is>
      </c>
      <c r="V1565" s="3" t="n">
        <v>45985</v>
      </c>
      <c r="W1565" s="2" t="inlineStr">
        <is>
          <t>AR: https://www.parlamento.pt/OrcamentoEstado/Paginas/DetalhePropostaAlteracao.aspx?BID=24720 PDF: https://app.parlamento.pt/webutils/docs/doc.pdf?path=6148523063484d364c793942556b356c6443397a6158526c63793959566b6c4a544556484c3039464c7a49774d6a59794d4449314d5441774f533951515338334e6a64695a5759305979316d4e7a6c684c54517a4f444574596a42694d6930785a6d51334e7a59354e6d526c595749756347526d&amp;Fich=767bef4c-f79a-4381-b0b2-1fd77696deab.pdf&amp;Inline=true</t>
        </is>
      </c>
      <c r="X1565" s="2" t="inlineStr">
        <is>
          <t>Ambiente e Energia</t>
        </is>
      </c>
      <c r="Y1565" s="2" t="inlineStr">
        <is>
          <t>Articulado</t>
        </is>
      </c>
      <c r="Z1565" s="2" t="inlineStr">
        <is>
          <t>Aditamento (Artigo PPL)</t>
        </is>
      </c>
      <c r="AA1565" s="2" t="inlineStr">
        <is>
          <t>Rejeitado(a) em Comissão</t>
        </is>
      </c>
      <c r="AB1565" s="2" t="inlineStr"/>
      <c r="AC1565" s="2" t="inlineStr"/>
      <c r="AD1565" s="2" t="inlineStr">
        <is>
          <t>1</t>
        </is>
      </c>
      <c r="AE1565" s="2" t="inlineStr">
        <is>
          <t>24720</t>
        </is>
      </c>
      <c r="AF1565" s="2" t="inlineStr">
        <is>
          <t>https://www.parlamento.pt/OrcamentoEstado/Paginas/DetalhePropostaAlteracao.aspx?BID=24720</t>
        </is>
      </c>
      <c r="AG1565" s="2" t="inlineStr">
        <is>
          <t>https://app.parlamento.pt/webutils/docs/doc.pdf?path=6148523063484d364c793942556b356c6443397a6158526c63793959566b6c4a544556484c3039464c7a49774d6a59794d4449314d5441774f533951515338334e6a64695a5759305979316d4e7a6c684c54517a4f444574596a42694d6930785a6d51334e7a59354e6d526c595749756347526d&amp;Fich=767bef4c-f79a-4381-b0b2-1fd77696deab.pdf&amp;Inline=true</t>
        </is>
      </c>
      <c r="AH1565" s="3" t="n">
        <v>46321.77847222222</v>
      </c>
      <c r="AI1565" s="3" t="n">
        <v>46321.78055555555</v>
      </c>
      <c r="AJ1565" s="2" t="inlineStr"/>
    </row>
    <row r="1566">
      <c r="A1566" s="2" t="n">
        <v>1565</v>
      </c>
      <c r="B1566" s="2" t="inlineStr">
        <is>
          <t>1474C</t>
        </is>
      </c>
      <c r="C1566" s="3" t="n">
        <v>45968.62013888889</v>
      </c>
      <c r="D1566" s="2" t="inlineStr">
        <is>
          <t>Original</t>
        </is>
      </c>
      <c r="E1566" s="2" t="inlineStr">
        <is>
          <t>PCP</t>
        </is>
      </c>
      <c r="F1566" s="2" t="inlineStr">
        <is>
          <t>Alfredo Maia; Paula Santos; Paulo Raimundo</t>
        </is>
      </c>
      <c r="G1566" s="2" t="inlineStr">
        <is>
          <t>Art. 18.º-A (aditamento)</t>
        </is>
      </c>
      <c r="H1566" s="2" t="n"/>
      <c r="I1566" s="2" t="n"/>
      <c r="J1566" s="2" t="n"/>
      <c r="K1566" s="2" t="n"/>
      <c r="L1566" s="2" t="inlineStr">
        <is>
          <t>Artigo 18.º-A (35 horas para todos os trabalhadores da Administração Pública)</t>
        </is>
      </c>
      <c r="M1566" s="4" t="n"/>
      <c r="N1566" s="4" t="n"/>
      <c r="O1566" s="2" t="n"/>
      <c r="P1566" s="2" t="n"/>
      <c r="Q1566" s="2" t="n"/>
      <c r="R1566" s="2" t="n"/>
      <c r="S1566" s="2" t="inlineStr">
        <is>
          <t>Rejeitado(a) em Comissão</t>
        </is>
      </c>
      <c r="T1566" s="2" t="inlineStr">
        <is>
          <t>Rejeitada</t>
        </is>
      </c>
      <c r="U1566" s="2" t="inlineStr">
        <is>
          <t>Favor: L, PCP, BE, PAN; Contra: PSD, IL, CDS-PP; Abstenção: CH, PS</t>
        </is>
      </c>
      <c r="V1566" s="3" t="n">
        <v>45981</v>
      </c>
      <c r="W1566" s="2" t="inlineStr">
        <is>
          <t>AR: https://www.parlamento.pt/OrcamentoEstado/Paginas/DetalhePropostaAlteracao.aspx?BID=24721 PDF: https://app.parlamento.pt/webutils/docs/doc.pdf?path=6148523063484d364c793942556b356c6443397a6158526c63793959566b6c4a544556484c3039464c7a49774d6a59794d4449314d5441774f5339515153387a5a6a5a6a596a6c6c4e7930304d6a59314c54526a4f546b74595749775979316d4e47466c4d6a41324f4449775a4455756347526d&amp;Fich=3f6cb9e7-4265-4c99-ab0c-f4ae206820d5.pdf&amp;Inline=true</t>
        </is>
      </c>
      <c r="X1566" s="2" t="inlineStr">
        <is>
          <t>Orçamento, Finanças e Administração Pública</t>
        </is>
      </c>
      <c r="Y1566" s="2" t="inlineStr">
        <is>
          <t>Articulado</t>
        </is>
      </c>
      <c r="Z1566" s="2" t="inlineStr">
        <is>
          <t>Aditamento (Artigo PPL)</t>
        </is>
      </c>
      <c r="AA1566" s="2" t="inlineStr">
        <is>
          <t>Rejeitado(a) em Comissão</t>
        </is>
      </c>
      <c r="AB1566" s="2" t="inlineStr"/>
      <c r="AC1566" s="2" t="inlineStr"/>
      <c r="AD1566" s="2" t="inlineStr">
        <is>
          <t>1</t>
        </is>
      </c>
      <c r="AE1566" s="2" t="inlineStr">
        <is>
          <t>24721</t>
        </is>
      </c>
      <c r="AF1566" s="2" t="inlineStr">
        <is>
          <t>https://www.parlamento.pt/OrcamentoEstado/Paginas/DetalhePropostaAlteracao.aspx?BID=24721</t>
        </is>
      </c>
      <c r="AG1566" s="2" t="inlineStr">
        <is>
          <t>https://app.parlamento.pt/webutils/docs/doc.pdf?path=6148523063484d364c793942556b356c6443397a6158526c63793959566b6c4a544556484c3039464c7a49774d6a59794d4449314d5441774f5339515153387a5a6a5a6a596a6c6c4e7930304d6a59314c54526a4f546b74595749775979316d4e47466c4d6a41324f4449775a4455756347526d&amp;Fich=3f6cb9e7-4265-4c99-ab0c-f4ae206820d5.pdf&amp;Inline=true</t>
        </is>
      </c>
      <c r="AH1566" s="3" t="n">
        <v>46321.77847222222</v>
      </c>
      <c r="AI1566" s="3" t="n">
        <v>46321.78055555555</v>
      </c>
      <c r="AJ1566" s="2" t="inlineStr"/>
    </row>
    <row r="1567">
      <c r="A1567" s="2" t="n">
        <v>1566</v>
      </c>
      <c r="B1567" s="2" t="inlineStr">
        <is>
          <t>1475C</t>
        </is>
      </c>
      <c r="C1567" s="3" t="n">
        <v>45968.62013888889</v>
      </c>
      <c r="D1567" s="2" t="inlineStr">
        <is>
          <t>Original</t>
        </is>
      </c>
      <c r="E1567" s="2" t="inlineStr">
        <is>
          <t>PS</t>
        </is>
      </c>
      <c r="F1567" s="2" t="inlineStr">
        <is>
          <t>António Mendonça Mendes; Armando Mourisco; Eurico Brilhante Dias; José Luís Carneiro; Marina Gonçalves; Miguel Matos; Paulo Lopes Silva; Porfírio Silva</t>
        </is>
      </c>
      <c r="G1567" s="2" t="inlineStr">
        <is>
          <t>Art. 136.º-A (aditamento)</t>
        </is>
      </c>
      <c r="H1567" s="2" t="n"/>
      <c r="I1567" s="2" t="n"/>
      <c r="J1567" s="2" t="n"/>
      <c r="K1567" s="2" t="n"/>
      <c r="L1567" s="2" t="inlineStr">
        <is>
          <t>Artigo 136.º-A (Museu Aristides de Sousa Mendes)</t>
        </is>
      </c>
      <c r="M1567" s="4" t="n"/>
      <c r="N1567" s="4" t="n"/>
      <c r="O1567" s="2" t="n"/>
      <c r="P1567" s="2" t="n"/>
      <c r="Q1567" s="2" t="n"/>
      <c r="R1567" s="2" t="n"/>
      <c r="S1567" s="2" t="inlineStr">
        <is>
          <t>Rejeitado(a) em Comissão</t>
        </is>
      </c>
      <c r="T1567" s="2" t="inlineStr">
        <is>
          <t>Rejeitada</t>
        </is>
      </c>
      <c r="U1567" s="2" t="inlineStr">
        <is>
          <t>Favor: PS, IL, L, PCP, BE, PAN; Contra: PSD, CDS-PP; Abstenção: CH</t>
        </is>
      </c>
      <c r="V1567" s="3" t="n">
        <v>45987</v>
      </c>
      <c r="W1567" s="2" t="inlineStr">
        <is>
          <t>AR: https://www.parlamento.pt/OrcamentoEstado/Paginas/DetalhePropostaAlteracao.aspx?BID=24722 PDF: https://app.parlamento.pt/webutils/docs/doc.pdf?path=6148523063484d364c793942556b356c6443397a6158526c63793959566b6c4a544556484c3039464c7a49774d6a59794d4449314d5441774f53395151533832596d526b4d6d59304e7930344e5463334c5452695a4449744f5467304f4330314d5441775a5449355a5759314d7a45756347526d&amp;Fich=6bdd2f47-8577-4bd2-9848-5100e29ef531.pdf&amp;Inline=true</t>
        </is>
      </c>
      <c r="X1567" s="2" t="inlineStr">
        <is>
          <t>Cultura, Comunicação, Juventude e Desporto; Orçamento, Finanças e Administração Pública</t>
        </is>
      </c>
      <c r="Y1567" s="2" t="inlineStr">
        <is>
          <t>Articulado</t>
        </is>
      </c>
      <c r="Z1567" s="2" t="inlineStr">
        <is>
          <t>Aditamento (Artigo PPL)</t>
        </is>
      </c>
      <c r="AA1567" s="2" t="inlineStr">
        <is>
          <t>Rejeitado(a) em Comissão</t>
        </is>
      </c>
      <c r="AB1567" s="2" t="inlineStr"/>
      <c r="AC1567" s="2" t="inlineStr"/>
      <c r="AD1567" s="2" t="inlineStr">
        <is>
          <t>1</t>
        </is>
      </c>
      <c r="AE1567" s="2" t="inlineStr">
        <is>
          <t>24722</t>
        </is>
      </c>
      <c r="AF1567" s="2" t="inlineStr">
        <is>
          <t>https://www.parlamento.pt/OrcamentoEstado/Paginas/DetalhePropostaAlteracao.aspx?BID=24722</t>
        </is>
      </c>
      <c r="AG1567" s="2" t="inlineStr">
        <is>
          <t>https://app.parlamento.pt/webutils/docs/doc.pdf?path=6148523063484d364c793942556b356c6443397a6158526c63793959566b6c4a544556484c3039464c7a49774d6a59794d4449314d5441774f53395151533832596d526b4d6d59304e7930344e5463334c5452695a4449744f5467304f4330314d5441775a5449355a5759314d7a45756347526d&amp;Fich=6bdd2f47-8577-4bd2-9848-5100e29ef531.pdf&amp;Inline=true</t>
        </is>
      </c>
      <c r="AH1567" s="3" t="n">
        <v>46321.77847222222</v>
      </c>
      <c r="AI1567" s="3" t="n">
        <v>46321.78055555555</v>
      </c>
      <c r="AJ1567" s="2" t="inlineStr"/>
    </row>
    <row r="1568">
      <c r="A1568" s="2" t="n">
        <v>1567</v>
      </c>
      <c r="B1568" s="2" t="inlineStr">
        <is>
          <t>1476C</t>
        </is>
      </c>
      <c r="C1568" s="3" t="n">
        <v>45968.62083333333</v>
      </c>
      <c r="D1568" s="2" t="inlineStr">
        <is>
          <t>Original</t>
        </is>
      </c>
      <c r="E1568" s="2" t="inlineStr">
        <is>
          <t>PAN</t>
        </is>
      </c>
      <c r="F1568" s="2" t="inlineStr">
        <is>
          <t>Inês de Sousa Real</t>
        </is>
      </c>
      <c r="G1568" s="2" t="inlineStr">
        <is>
          <t>Art. 63.º-A (aditamento)</t>
        </is>
      </c>
      <c r="H1568" s="2" t="n"/>
      <c r="I1568" s="2" t="n"/>
      <c r="J1568" s="2" t="n"/>
      <c r="K1568" s="2" t="n"/>
      <c r="L1568" s="2" t="inlineStr">
        <is>
          <t>Artigo 63.º-A (Aditamento à lista I anexa ao Código do Imposto sobre o Valor Acrescentado)</t>
        </is>
      </c>
      <c r="M1568" s="4" t="n"/>
      <c r="N1568" s="4" t="n"/>
      <c r="O1568" s="2" t="n"/>
      <c r="P1568" s="2" t="n"/>
      <c r="Q1568" s="2" t="n"/>
      <c r="R1568" s="2" t="n"/>
      <c r="S1568" s="2" t="inlineStr">
        <is>
          <t>Rejeitado(a) em Comissão</t>
        </is>
      </c>
      <c r="T1568" s="2" t="inlineStr">
        <is>
          <t>Rejeitada</t>
        </is>
      </c>
      <c r="U1568" s="2" t="inlineStr">
        <is>
          <t>Favor: CH, IL, L, PCP, BE, PAN; Contra: PSD, CDS-PP; Abstenção: PS</t>
        </is>
      </c>
      <c r="V1568" s="3" t="n">
        <v>45982</v>
      </c>
      <c r="W1568" s="2" t="inlineStr">
        <is>
          <t>AR: https://www.parlamento.pt/OrcamentoEstado/Paginas/DetalhePropostaAlteracao.aspx?BID=24723 PDF: https://app.parlamento.pt/webutils/docs/doc.pdf?path=6148523063484d364c793942556b356c6443397a6158526c63793959566b6c4a544556484c3039464c7a49774d6a59794d4449314d5441774f533951515339694f544d35596a646d5969316b595749784c54526d4d4449744f545a684e69316a5a444a6b595459305a446b7a4d5751756347526d&amp;Fich=b939b7fb-dab1-4f02-96a6-cd2da64d931d.pdf&amp;Inline=true</t>
        </is>
      </c>
      <c r="X1568" s="2" t="inlineStr">
        <is>
          <t>Ambiente e Energia; Orçamento, Finanças e Administração Pública</t>
        </is>
      </c>
      <c r="Y1568" s="2" t="inlineStr">
        <is>
          <t>Articulado</t>
        </is>
      </c>
      <c r="Z1568" s="2" t="inlineStr">
        <is>
          <t>Aditamento (Artigo PPL)</t>
        </is>
      </c>
      <c r="AA1568" s="2" t="inlineStr">
        <is>
          <t>Rejeitado(a) em Comissão</t>
        </is>
      </c>
      <c r="AB1568" s="2" t="inlineStr"/>
      <c r="AC1568" s="2" t="inlineStr"/>
      <c r="AD1568" s="2" t="inlineStr">
        <is>
          <t>1</t>
        </is>
      </c>
      <c r="AE1568" s="2" t="inlineStr">
        <is>
          <t>24723</t>
        </is>
      </c>
      <c r="AF1568" s="2" t="inlineStr">
        <is>
          <t>https://www.parlamento.pt/OrcamentoEstado/Paginas/DetalhePropostaAlteracao.aspx?BID=24723</t>
        </is>
      </c>
      <c r="AG1568" s="2" t="inlineStr">
        <is>
          <t>https://app.parlamento.pt/webutils/docs/doc.pdf?path=6148523063484d364c793942556b356c6443397a6158526c63793959566b6c4a544556484c3039464c7a49774d6a59794d4449314d5441774f533951515339694f544d35596a646d5969316b595749784c54526d4d4449744f545a684e69316a5a444a6b595459305a446b7a4d5751756347526d&amp;Fich=b939b7fb-dab1-4f02-96a6-cd2da64d931d.pdf&amp;Inline=true</t>
        </is>
      </c>
      <c r="AH1568" s="3" t="n">
        <v>46321.77847222222</v>
      </c>
      <c r="AI1568" s="3" t="n">
        <v>46321.78055555555</v>
      </c>
      <c r="AJ1568" s="2" t="inlineStr"/>
    </row>
    <row r="1569">
      <c r="A1569" s="2" t="n">
        <v>1568</v>
      </c>
      <c r="B1569" s="2" t="inlineStr">
        <is>
          <t>1477C</t>
        </is>
      </c>
      <c r="C1569" s="3" t="n">
        <v>45968.62083333333</v>
      </c>
      <c r="D1569" s="2" t="inlineStr">
        <is>
          <t>Original</t>
        </is>
      </c>
      <c r="E1569" s="2" t="inlineStr">
        <is>
          <t>PCP</t>
        </is>
      </c>
      <c r="F1569" s="2" t="inlineStr">
        <is>
          <t>Alfredo Maia; Paula Santos; Paulo Raimundo</t>
        </is>
      </c>
      <c r="G1569" s="2" t="inlineStr">
        <is>
          <t>Art. 18.º-A (aditamento)</t>
        </is>
      </c>
      <c r="H1569" s="2" t="n"/>
      <c r="I1569" s="2" t="n"/>
      <c r="J1569" s="2" t="n"/>
      <c r="K1569" s="2" t="n"/>
      <c r="L1569" s="2" t="inlineStr">
        <is>
          <t>Artigo 18.º-A (Subsídio de Transporte)</t>
        </is>
      </c>
      <c r="M1569" s="4" t="n"/>
      <c r="N1569" s="4" t="n"/>
      <c r="O1569" s="2" t="n"/>
      <c r="P1569" s="2" t="n"/>
      <c r="Q1569" s="2" t="n"/>
      <c r="R1569" s="2" t="n"/>
      <c r="S1569" s="2" t="inlineStr">
        <is>
          <t>Rejeitado(a) em Comissão</t>
        </is>
      </c>
      <c r="T1569" s="2" t="inlineStr">
        <is>
          <t>Rejeitada</t>
        </is>
      </c>
      <c r="U1569" s="2" t="inlineStr">
        <is>
          <t>Favor: L, PCP, BE, PAN; Contra: PSD, IL, CDS-PP; Abstenção: CH, PS</t>
        </is>
      </c>
      <c r="V1569" s="3" t="n">
        <v>45981</v>
      </c>
      <c r="W1569" s="2" t="inlineStr">
        <is>
          <t>AR: https://www.parlamento.pt/OrcamentoEstado/Paginas/DetalhePropostaAlteracao.aspx?BID=24724 PDF: https://app.parlamento.pt/webutils/docs/doc.pdf?path=6148523063484d364c793942556b356c6443397a6158526c63793959566b6c4a544556484c3039464c7a49774d6a59794d4449314d5441774f533951515338794e47526b4d474a695a6930324e546b344c5451344d325974595759794f43316c597a6777593249774d474d324f5749756347526d&amp;Fich=24dd0bbf-6598-483f-af28-ec80cb00c69b.pdf&amp;Inline=true</t>
        </is>
      </c>
      <c r="X1569" s="2" t="inlineStr">
        <is>
          <t>Orçamento, Finanças e Administração Pública</t>
        </is>
      </c>
      <c r="Y1569" s="2" t="inlineStr">
        <is>
          <t>Articulado</t>
        </is>
      </c>
      <c r="Z1569" s="2" t="inlineStr">
        <is>
          <t>Aditamento (Artigo PPL)</t>
        </is>
      </c>
      <c r="AA1569" s="2" t="inlineStr">
        <is>
          <t>Rejeitado(a) em Comissão</t>
        </is>
      </c>
      <c r="AB1569" s="2" t="inlineStr"/>
      <c r="AC1569" s="2" t="inlineStr"/>
      <c r="AD1569" s="2" t="inlineStr">
        <is>
          <t>1</t>
        </is>
      </c>
      <c r="AE1569" s="2" t="inlineStr">
        <is>
          <t>24724</t>
        </is>
      </c>
      <c r="AF1569" s="2" t="inlineStr">
        <is>
          <t>https://www.parlamento.pt/OrcamentoEstado/Paginas/DetalhePropostaAlteracao.aspx?BID=24724</t>
        </is>
      </c>
      <c r="AG1569" s="2" t="inlineStr">
        <is>
          <t>https://app.parlamento.pt/webutils/docs/doc.pdf?path=6148523063484d364c793942556b356c6443397a6158526c63793959566b6c4a544556484c3039464c7a49774d6a59794d4449314d5441774f533951515338794e47526b4d474a695a6930324e546b344c5451344d325974595759794f43316c597a6777593249774d474d324f5749756347526d&amp;Fich=24dd0bbf-6598-483f-af28-ec80cb00c69b.pdf&amp;Inline=true</t>
        </is>
      </c>
      <c r="AH1569" s="3" t="n">
        <v>46321.77847222222</v>
      </c>
      <c r="AI1569" s="3" t="n">
        <v>46321.78055555555</v>
      </c>
      <c r="AJ1569" s="2" t="inlineStr"/>
    </row>
    <row r="1570">
      <c r="A1570" s="2" t="n">
        <v>1569</v>
      </c>
      <c r="B1570" s="2" t="inlineStr">
        <is>
          <t>1478C</t>
        </is>
      </c>
      <c r="C1570" s="3" t="n">
        <v>45968.62083333333</v>
      </c>
      <c r="D1570" s="2" t="inlineStr">
        <is>
          <t>Original</t>
        </is>
      </c>
      <c r="E1570" s="2" t="inlineStr">
        <is>
          <t>PS</t>
        </is>
      </c>
      <c r="F1570" s="2" t="inlineStr">
        <is>
          <t>André Rijo; António Mendonça Mendes; Eurico Brilhante Dias; Jorge Botelho; José Luís Carneiro; Marina Gonçalves; Miguel Matos; Rui Jorge Santos</t>
        </is>
      </c>
      <c r="G1570" s="2" t="inlineStr">
        <is>
          <t>Art. 124.º (substituição)</t>
        </is>
      </c>
      <c r="H1570" s="2" t="n"/>
      <c r="I1570" s="2" t="n"/>
      <c r="J1570" s="2" t="n"/>
      <c r="K1570" s="2" t="n"/>
      <c r="L1570" s="2" t="inlineStr">
        <is>
          <t>Tabela, Artigo 124.º</t>
        </is>
      </c>
      <c r="M1570" s="4" t="n"/>
      <c r="N1570" s="4" t="n"/>
      <c r="O1570" s="2" t="n"/>
      <c r="P1570" s="2" t="n"/>
      <c r="Q1570" s="2" t="n"/>
      <c r="R1570" s="2" t="n"/>
      <c r="S1570" s="2" t="inlineStr">
        <is>
          <t>Rejeitado(a) em Comissão</t>
        </is>
      </c>
      <c r="T1570" s="2" t="inlineStr">
        <is>
          <t>Rejeitada</t>
        </is>
      </c>
      <c r="U1570" s="2" t="inlineStr">
        <is>
          <t>Favor: PS, L, BE, PAN; Contra: PSD, CDS-PP; Abstenção: CH, IL, PCP</t>
        </is>
      </c>
      <c r="V1570" s="3" t="n">
        <v>45985</v>
      </c>
      <c r="W1570" s="2" t="inlineStr">
        <is>
          <t>AR: https://www.parlamento.pt/OrcamentoEstado/Paginas/DetalhePropostaAlteracao.aspx?BID=24725 PDF: https://app.parlamento.pt/webutils/docs/doc.pdf?path=6148523063484d364c793942556b356c6443397a6158526c63793959566b6c4a544556484c3039464c7a49774d6a59794d4449314d5441774f533951515338775a6d566b4e7a526b596931694d4749344c5451784d446b744f44686a4f53316b4e4452694d4451304d444d7a5a5745756347526d&amp;Fich=0fed74db-b0b8-4109-88c9-d44b044033ea.pdf&amp;Inline=true</t>
        </is>
      </c>
      <c r="X1570" s="2" t="inlineStr">
        <is>
          <t>Orçamento, Finanças e Administração Pública; Reforma do Estado e Poder Local</t>
        </is>
      </c>
      <c r="Y1570" s="2" t="inlineStr">
        <is>
          <t>Articulado</t>
        </is>
      </c>
      <c r="Z1570" s="2" t="inlineStr">
        <is>
          <t>Substituição</t>
        </is>
      </c>
      <c r="AA1570" s="2" t="inlineStr">
        <is>
          <t>Rejeitado(a) em Comissão</t>
        </is>
      </c>
      <c r="AB1570" s="2" t="inlineStr"/>
      <c r="AC1570" s="2" t="inlineStr"/>
      <c r="AD1570" s="2" t="inlineStr">
        <is>
          <t>1</t>
        </is>
      </c>
      <c r="AE1570" s="2" t="inlineStr">
        <is>
          <t>24725</t>
        </is>
      </c>
      <c r="AF1570" s="2" t="inlineStr">
        <is>
          <t>https://www.parlamento.pt/OrcamentoEstado/Paginas/DetalhePropostaAlteracao.aspx?BID=24725</t>
        </is>
      </c>
      <c r="AG1570" s="2" t="inlineStr">
        <is>
          <t>https://app.parlamento.pt/webutils/docs/doc.pdf?path=6148523063484d364c793942556b356c6443397a6158526c63793959566b6c4a544556484c3039464c7a49774d6a59794d4449314d5441774f533951515338775a6d566b4e7a526b596931694d4749344c5451784d446b744f44686a4f53316b4e4452694d4451304d444d7a5a5745756347526d&amp;Fich=0fed74db-b0b8-4109-88c9-d44b044033ea.pdf&amp;Inline=true</t>
        </is>
      </c>
      <c r="AH1570" s="3" t="n">
        <v>46321.77847222222</v>
      </c>
      <c r="AI1570" s="3" t="n">
        <v>46321.78055555555</v>
      </c>
      <c r="AJ1570" s="2" t="inlineStr"/>
    </row>
    <row r="1571">
      <c r="A1571" s="2" t="n">
        <v>1570</v>
      </c>
      <c r="B1571" s="2" t="inlineStr">
        <is>
          <t>1479C</t>
        </is>
      </c>
      <c r="C1571" s="3" t="n">
        <v>45968.62152777778</v>
      </c>
      <c r="D1571" s="2" t="inlineStr">
        <is>
          <t>Original</t>
        </is>
      </c>
      <c r="E1571" s="2" t="inlineStr">
        <is>
          <t>PCP</t>
        </is>
      </c>
      <c r="F1571" s="2" t="inlineStr">
        <is>
          <t>Alfredo Maia; Paula Santos; Paulo Raimundo</t>
        </is>
      </c>
      <c r="G1571" s="2" t="inlineStr">
        <is>
          <t>Art. 18.º-A (aditamento)</t>
        </is>
      </c>
      <c r="H1571" s="2" t="n"/>
      <c r="I1571" s="2" t="n"/>
      <c r="J1571" s="2" t="n"/>
      <c r="K1571" s="2" t="n"/>
      <c r="L1571" s="2" t="inlineStr">
        <is>
          <t>Artigo 18.º-A (Suplemento de habitação e subsídio de deslocação aos trabalhadores colocados em posto de trabalho fora da localidade da residência habitual)</t>
        </is>
      </c>
      <c r="M1571" s="4" t="n"/>
      <c r="N1571" s="4" t="n"/>
      <c r="O1571" s="2" t="n"/>
      <c r="P1571" s="2" t="n"/>
      <c r="Q1571" s="2" t="n"/>
      <c r="R1571" s="2" t="n"/>
      <c r="S1571" s="2" t="inlineStr">
        <is>
          <t>Rejeitado(a) em Comissão</t>
        </is>
      </c>
      <c r="T1571" s="2" t="inlineStr">
        <is>
          <t>Rejeitada</t>
        </is>
      </c>
      <c r="U1571" s="2" t="inlineStr">
        <is>
          <t>Favor: CH, L, PCP, BE, PAN; Contra: PSD, IL, CDS-PP; Abstenção: PS</t>
        </is>
      </c>
      <c r="V1571" s="3" t="n">
        <v>45981</v>
      </c>
      <c r="W1571" s="2" t="inlineStr">
        <is>
          <t>AR: https://www.parlamento.pt/OrcamentoEstado/Paginas/DetalhePropostaAlteracao.aspx?BID=24726 PDF: https://app.parlamento.pt/webutils/docs/doc.pdf?path=6148523063484d364c793942556b356c6443397a6158526c63793959566b6c4a544556484c3039464c7a49774d6a59794d4449314d5441774f5339515153387859574e6a4e6d59304d69316d4d3249354c5451314e574974596a4a6a5953316d5a446b7a596a6c6b4f5445354d6d55756347526d&amp;Fich=1acc6f42-f3b9-455b-b2ca-fd93b9d9192e.pdf&amp;Inline=true</t>
        </is>
      </c>
      <c r="X1571" s="2" t="inlineStr">
        <is>
          <t>Orçamento, Finanças e Administração Pública</t>
        </is>
      </c>
      <c r="Y1571" s="2" t="inlineStr">
        <is>
          <t>Articulado</t>
        </is>
      </c>
      <c r="Z1571" s="2" t="inlineStr">
        <is>
          <t>Aditamento (Artigo PPL)</t>
        </is>
      </c>
      <c r="AA1571" s="2" t="inlineStr">
        <is>
          <t>Rejeitado(a) em Comissão</t>
        </is>
      </c>
      <c r="AB1571" s="2" t="inlineStr"/>
      <c r="AC1571" s="2" t="inlineStr"/>
      <c r="AD1571" s="2" t="inlineStr">
        <is>
          <t>1</t>
        </is>
      </c>
      <c r="AE1571" s="2" t="inlineStr">
        <is>
          <t>24726</t>
        </is>
      </c>
      <c r="AF1571" s="2" t="inlineStr">
        <is>
          <t>https://www.parlamento.pt/OrcamentoEstado/Paginas/DetalhePropostaAlteracao.aspx?BID=24726</t>
        </is>
      </c>
      <c r="AG1571" s="2" t="inlineStr">
        <is>
          <t>https://app.parlamento.pt/webutils/docs/doc.pdf?path=6148523063484d364c793942556b356c6443397a6158526c63793959566b6c4a544556484c3039464c7a49774d6a59794d4449314d5441774f5339515153387859574e6a4e6d59304d69316d4d3249354c5451314e574974596a4a6a5953316d5a446b7a596a6c6b4f5445354d6d55756347526d&amp;Fich=1acc6f42-f3b9-455b-b2ca-fd93b9d9192e.pdf&amp;Inline=true</t>
        </is>
      </c>
      <c r="AH1571" s="3" t="n">
        <v>46321.77847222222</v>
      </c>
      <c r="AI1571" s="3" t="n">
        <v>46321.78055555555</v>
      </c>
      <c r="AJ1571" s="2" t="inlineStr"/>
    </row>
    <row r="1572">
      <c r="A1572" s="2" t="n">
        <v>1571</v>
      </c>
      <c r="B1572" s="2" t="inlineStr">
        <is>
          <t>1480C</t>
        </is>
      </c>
      <c r="C1572" s="3" t="n">
        <v>45968.62152777778</v>
      </c>
      <c r="D1572" s="2" t="inlineStr">
        <is>
          <t>Original</t>
        </is>
      </c>
      <c r="E1572" s="2" t="inlineStr">
        <is>
          <t>PAN</t>
        </is>
      </c>
      <c r="F1572" s="2" t="inlineStr">
        <is>
          <t>Inês de Sousa Real</t>
        </is>
      </c>
      <c r="G1572" s="2" t="inlineStr">
        <is>
          <t>Art. 116.º-A (aditamento)</t>
        </is>
      </c>
      <c r="H1572" s="2" t="n"/>
      <c r="I1572" s="2" t="n"/>
      <c r="J1572" s="2" t="n"/>
      <c r="K1572" s="2" t="n"/>
      <c r="L1572" s="2" t="inlineStr">
        <is>
          <t>Artigo 116.º-A (Comparticipação de despesas complementares no âmbito do Programa Creche Feliz)</t>
        </is>
      </c>
      <c r="M1572" s="4" t="n"/>
      <c r="N1572" s="4" t="n"/>
      <c r="O1572" s="2" t="n"/>
      <c r="P1572" s="2" t="n"/>
      <c r="Q1572" s="2" t="n"/>
      <c r="R1572" s="2" t="n"/>
      <c r="S1572" s="2" t="inlineStr">
        <is>
          <t>Rejeitado(a) em Comissão</t>
        </is>
      </c>
      <c r="T1572" s="2" t="inlineStr">
        <is>
          <t>Rejeitada</t>
        </is>
      </c>
      <c r="U1572" s="2" t="inlineStr">
        <is>
          <t>Favor: L, BE, PAN; Contra: PSD, CDS-PP; Abstenção: CH, PS, IL, PCP</t>
        </is>
      </c>
      <c r="V1572" s="3" t="n">
        <v>45985</v>
      </c>
      <c r="W1572" s="2" t="inlineStr">
        <is>
          <t>AR: https://www.parlamento.pt/OrcamentoEstado/Paginas/DetalhePropostaAlteracao.aspx?BID=24727 PDF: https://app.parlamento.pt/webutils/docs/doc.pdf?path=6148523063484d364c793942556b356c6443397a6158526c63793959566b6c4a544556484c3039464c7a49774d6a59794d4449314d5441774f5339515153396d4e4467784e4759334d693169595749314c5451325a544d74596a67795a53316c5a6a646c4e5459784f5751344d4751756347526d&amp;Fich=f4814f72-bab5-46e3-b82e-ef7e5619d80d.pdf&amp;Inline=true</t>
        </is>
      </c>
      <c r="X1572" s="2" t="inlineStr">
        <is>
          <t>Trabalho, Segurança Social e Inclusão</t>
        </is>
      </c>
      <c r="Y1572" s="2" t="inlineStr">
        <is>
          <t>Articulado</t>
        </is>
      </c>
      <c r="Z1572" s="2" t="inlineStr">
        <is>
          <t>Aditamento (Artigo PPL)</t>
        </is>
      </c>
      <c r="AA1572" s="2" t="inlineStr">
        <is>
          <t>Rejeitado(a) em Comissão</t>
        </is>
      </c>
      <c r="AB1572" s="2" t="inlineStr"/>
      <c r="AC1572" s="2" t="inlineStr"/>
      <c r="AD1572" s="2" t="inlineStr">
        <is>
          <t>1</t>
        </is>
      </c>
      <c r="AE1572" s="2" t="inlineStr">
        <is>
          <t>24727</t>
        </is>
      </c>
      <c r="AF1572" s="2" t="inlineStr">
        <is>
          <t>https://www.parlamento.pt/OrcamentoEstado/Paginas/DetalhePropostaAlteracao.aspx?BID=24727</t>
        </is>
      </c>
      <c r="AG1572" s="2" t="inlineStr">
        <is>
          <t>https://app.parlamento.pt/webutils/docs/doc.pdf?path=6148523063484d364c793942556b356c6443397a6158526c63793959566b6c4a544556484c3039464c7a49774d6a59794d4449314d5441774f5339515153396d4e4467784e4759334d693169595749314c5451325a544d74596a67795a53316c5a6a646c4e5459784f5751344d4751756347526d&amp;Fich=f4814f72-bab5-46e3-b82e-ef7e5619d80d.pdf&amp;Inline=true</t>
        </is>
      </c>
      <c r="AH1572" s="3" t="n">
        <v>46321.77847222222</v>
      </c>
      <c r="AI1572" s="3" t="n">
        <v>46321.78055555555</v>
      </c>
      <c r="AJ1572" s="2" t="inlineStr"/>
    </row>
    <row r="1573">
      <c r="A1573" s="2" t="n">
        <v>1572</v>
      </c>
      <c r="B1573" s="2" t="inlineStr">
        <is>
          <t>1481C</t>
        </is>
      </c>
      <c r="C1573" s="3" t="n">
        <v>45968.62222222222</v>
      </c>
      <c r="D1573" s="2" t="inlineStr">
        <is>
          <t>Retirada</t>
        </is>
      </c>
      <c r="E1573" s="2" t="inlineStr">
        <is>
          <t>Vários</t>
        </is>
      </c>
      <c r="F1573" s="2" t="inlineStr">
        <is>
          <t>Alberto Fonseca; Carla Barros; Francisco Pimentel; Helga Correia; Hugo Carneiro; Hugo Soares; Isaura Morais; João Pinho de Almeida; Paulo Núncio</t>
        </is>
      </c>
      <c r="G1573" s="2" t="inlineStr">
        <is>
          <t>Articulado</t>
        </is>
      </c>
      <c r="H1573" s="2" t="n"/>
      <c r="I1573" s="2" t="n"/>
      <c r="J1573" s="2" t="n"/>
      <c r="K1573" s="2" t="n"/>
      <c r="L1573" s="2" t="inlineStr">
        <is>
          <t>Artigo 39.º-A (Alargamento e sustentabilidade do Serviço de Apoio à Vida Independente)</t>
        </is>
      </c>
      <c r="M1573" s="4" t="n"/>
      <c r="N1573" s="4" t="n"/>
      <c r="O1573" s="2" t="n"/>
      <c r="P1573" s="2" t="n"/>
      <c r="Q1573" s="2" t="n"/>
      <c r="R1573" s="2" t="n"/>
      <c r="S1573" s="2" t="inlineStr">
        <is>
          <t>Retirado(a)</t>
        </is>
      </c>
      <c r="T1573" s="2" t="inlineStr">
        <is>
          <t>Retirada</t>
        </is>
      </c>
      <c r="U1573" s="2" t="inlineStr"/>
      <c r="V1573" s="3" t="n"/>
      <c r="W1573" s="2" t="inlineStr">
        <is>
          <t>AR: https://www.parlamento.pt/OrcamentoEstado/Paginas/DetalhePropostaAlteracao.aspx?BID=24728 PDF: https://app.parlamento.pt/webutils/docs/doc.pdf?path=6148523063484d364c793942556b356c6443397a6158526c63793959566b6c4a544556484c3039464c7a49774d6a59794d4449314d5441774f533951515338324e474a6a4e7a63354e7930774d6a4e694c54526d595449744f4451335969307a4d474e6d5954686a4f446c6b4e6d55756347526d&amp;Fich=64bc7797-023b-4fa2-847b-30cfa8c89d6e.pdf&amp;Inline=true</t>
        </is>
      </c>
      <c r="X1573" s="2" t="inlineStr">
        <is>
          <t>Trabalho, Segurança Social e Inclusão</t>
        </is>
      </c>
      <c r="Y1573" s="2" t="inlineStr">
        <is>
          <t>Articulado</t>
        </is>
      </c>
      <c r="Z1573" s="2" t="inlineStr">
        <is>
          <t>Por Definir</t>
        </is>
      </c>
      <c r="AA1573" s="2" t="inlineStr">
        <is>
          <t>Retirado(a)</t>
        </is>
      </c>
      <c r="AB1573" s="2" t="inlineStr"/>
      <c r="AC1573" s="2" t="inlineStr"/>
      <c r="AD1573" s="2" t="inlineStr">
        <is>
          <t>0</t>
        </is>
      </c>
      <c r="AE1573" s="2" t="inlineStr">
        <is>
          <t>24728</t>
        </is>
      </c>
      <c r="AF1573" s="2" t="inlineStr">
        <is>
          <t>https://www.parlamento.pt/OrcamentoEstado/Paginas/DetalhePropostaAlteracao.aspx?BID=24728</t>
        </is>
      </c>
      <c r="AG1573" s="2" t="inlineStr">
        <is>
          <t>https://app.parlamento.pt/webutils/docs/doc.pdf?path=6148523063484d364c793942556b356c6443397a6158526c63793959566b6c4a544556484c3039464c7a49774d6a59794d4449314d5441774f533951515338324e474a6a4e7a63354e7930774d6a4e694c54526d595449744f4451335969307a4d474e6d5954686a4f446c6b4e6d55756347526d&amp;Fich=64bc7797-023b-4fa2-847b-30cfa8c89d6e.pdf&amp;Inline=true</t>
        </is>
      </c>
      <c r="AH1573" s="3" t="n">
        <v>46321.77847222222</v>
      </c>
      <c r="AI1573" s="3" t="n">
        <v>46321.78055555555</v>
      </c>
      <c r="AJ1573" s="2" t="inlineStr"/>
    </row>
    <row r="1574">
      <c r="A1574" s="2" t="n">
        <v>1573</v>
      </c>
      <c r="B1574" s="2" t="inlineStr">
        <is>
          <t>1482C</t>
        </is>
      </c>
      <c r="C1574" s="3" t="n">
        <v>45968.62222222222</v>
      </c>
      <c r="D1574" s="2" t="inlineStr">
        <is>
          <t>Original</t>
        </is>
      </c>
      <c r="E1574" s="2" t="inlineStr">
        <is>
          <t>PCP</t>
        </is>
      </c>
      <c r="F1574" s="2" t="inlineStr">
        <is>
          <t>Alfredo Maia; Paula Santos; Paulo Raimundo</t>
        </is>
      </c>
      <c r="G1574" s="2" t="inlineStr">
        <is>
          <t>Art. 20.º-A (aditamento)</t>
        </is>
      </c>
      <c r="H1574" s="2" t="n"/>
      <c r="I1574" s="2" t="n"/>
      <c r="J1574" s="2" t="n"/>
      <c r="K1574" s="2" t="n"/>
      <c r="L1574" s="2" t="inlineStr">
        <is>
          <t>Artigo 20.º-A (Reposição, criação e valorização das carreiras na Administração Pública)</t>
        </is>
      </c>
      <c r="M1574" s="4" t="n"/>
      <c r="N1574" s="4" t="n"/>
      <c r="O1574" s="2" t="n"/>
      <c r="P1574" s="2" t="n"/>
      <c r="Q1574" s="2" t="n"/>
      <c r="R1574" s="2" t="n"/>
      <c r="S1574" s="2" t="inlineStr">
        <is>
          <t>Rejeitado(a) em Comissão</t>
        </is>
      </c>
      <c r="T1574" s="2" t="inlineStr">
        <is>
          <t>Rejeitada</t>
        </is>
      </c>
      <c r="U1574" s="2" t="inlineStr">
        <is>
          <t>Favor: L, PCP, BE, PAN; Contra: PSD, CDS-PP; Abstenção: CH, PS, IL</t>
        </is>
      </c>
      <c r="V1574" s="3" t="n">
        <v>45981</v>
      </c>
      <c r="W1574" s="2" t="inlineStr">
        <is>
          <t>AR: https://www.parlamento.pt/OrcamentoEstado/Paginas/DetalhePropostaAlteracao.aspx?BID=24729 PDF: https://app.parlamento.pt/webutils/docs/doc.pdf?path=6148523063484d364c793942556b356c6443397a6158526c63793959566b6c4a544556484c3039464c7a49774d6a59794d4449314d5441774f533951515339694f47466d4f5451344e69316d4e324d314c5451794f446774595755794e79316a4e5467784e545a6d4f54566d5a6a63756347526d&amp;Fich=b8af9486-f7c5-4288-ae27-c58156f95ff7.pdf&amp;Inline=true</t>
        </is>
      </c>
      <c r="X1574" s="2" t="inlineStr">
        <is>
          <t>Orçamento, Finanças e Administração Pública</t>
        </is>
      </c>
      <c r="Y1574" s="2" t="inlineStr">
        <is>
          <t>Articulado</t>
        </is>
      </c>
      <c r="Z1574" s="2" t="inlineStr">
        <is>
          <t>Aditamento (Artigo PPL)</t>
        </is>
      </c>
      <c r="AA1574" s="2" t="inlineStr">
        <is>
          <t>Rejeitado(a) em Comissão</t>
        </is>
      </c>
      <c r="AB1574" s="2" t="inlineStr"/>
      <c r="AC1574" s="2" t="inlineStr"/>
      <c r="AD1574" s="2" t="inlineStr">
        <is>
          <t>1</t>
        </is>
      </c>
      <c r="AE1574" s="2" t="inlineStr">
        <is>
          <t>24729</t>
        </is>
      </c>
      <c r="AF1574" s="2" t="inlineStr">
        <is>
          <t>https://www.parlamento.pt/OrcamentoEstado/Paginas/DetalhePropostaAlteracao.aspx?BID=24729</t>
        </is>
      </c>
      <c r="AG1574" s="2" t="inlineStr">
        <is>
          <t>https://app.parlamento.pt/webutils/docs/doc.pdf?path=6148523063484d364c793942556b356c6443397a6158526c63793959566b6c4a544556484c3039464c7a49774d6a59794d4449314d5441774f533951515339694f47466d4f5451344e69316d4e324d314c5451794f446774595755794e79316a4e5467784e545a6d4f54566d5a6a63756347526d&amp;Fich=b8af9486-f7c5-4288-ae27-c58156f95ff7.pdf&amp;Inline=true</t>
        </is>
      </c>
      <c r="AH1574" s="3" t="n">
        <v>46321.77847222222</v>
      </c>
      <c r="AI1574" s="3" t="n">
        <v>46321.78055555555</v>
      </c>
      <c r="AJ1574" s="2" t="inlineStr"/>
    </row>
    <row r="1575">
      <c r="A1575" s="2" t="n">
        <v>1574</v>
      </c>
      <c r="B1575" s="2" t="inlineStr">
        <is>
          <t>1483C</t>
        </is>
      </c>
      <c r="C1575" s="3" t="n">
        <v>45968.62291666667</v>
      </c>
      <c r="D1575" s="2" t="inlineStr">
        <is>
          <t>Original</t>
        </is>
      </c>
      <c r="E1575" s="2" t="inlineStr">
        <is>
          <t>BE</t>
        </is>
      </c>
      <c r="F1575" s="2" t="inlineStr">
        <is>
          <t>Mariana Mortágua</t>
        </is>
      </c>
      <c r="G1575" s="2" t="inlineStr">
        <is>
          <t>Art. 113.º-A (aditamento)</t>
        </is>
      </c>
      <c r="H1575" s="2" t="n"/>
      <c r="I1575" s="2" t="n"/>
      <c r="J1575" s="2" t="n"/>
      <c r="K1575" s="2" t="n"/>
      <c r="L1575" s="2" t="inlineStr">
        <is>
          <t>Artigo 113.º-A (Devolução do Hospital de Serpa à gestão pública)</t>
        </is>
      </c>
      <c r="M1575" s="4" t="n"/>
      <c r="N1575" s="4" t="n"/>
      <c r="O1575" s="2" t="n"/>
      <c r="P1575" s="2" t="n"/>
      <c r="Q1575" s="2" t="n"/>
      <c r="R1575" s="2" t="n"/>
      <c r="S1575" s="2" t="inlineStr">
        <is>
          <t>Rejeitado(a) em Comissão</t>
        </is>
      </c>
      <c r="T1575" s="2" t="inlineStr">
        <is>
          <t>Rejeitada</t>
        </is>
      </c>
      <c r="U1575" s="2" t="inlineStr">
        <is>
          <t>Favor: L, PCP, BE, PAN; Contra: PSD, CH, IL, CDS-PP; Abstenção: PS</t>
        </is>
      </c>
      <c r="V1575" s="3" t="n">
        <v>45985</v>
      </c>
      <c r="W1575" s="2" t="inlineStr">
        <is>
          <t>AR: https://www.parlamento.pt/OrcamentoEstado/Paginas/DetalhePropostaAlteracao.aspx?BID=24730 PDF: https://app.parlamento.pt/webutils/docs/doc.pdf?path=6148523063484d364c793942556b356c6443397a6158526c63793959566b6c4a544556484c3039464c7a49774d6a59794d4449314d5441774f533951515338334e54517a4e47566b4e4331694d4749314c5451344d446374596a68685a5330774e6a5578596a517a4d6a637a4e4455756347526d&amp;Fich=75434ed4-b0b5-4807-b8ae-0651b4327345.pdf&amp;Inline=true</t>
        </is>
      </c>
      <c r="X1575" s="2" t="inlineStr">
        <is>
          <t>Saúde</t>
        </is>
      </c>
      <c r="Y1575" s="2" t="inlineStr">
        <is>
          <t>Articulado</t>
        </is>
      </c>
      <c r="Z1575" s="2" t="inlineStr">
        <is>
          <t>Aditamento (Artigo PPL)</t>
        </is>
      </c>
      <c r="AA1575" s="2" t="inlineStr">
        <is>
          <t>Rejeitado(a) em Comissão</t>
        </is>
      </c>
      <c r="AB1575" s="2" t="inlineStr"/>
      <c r="AC1575" s="2" t="inlineStr"/>
      <c r="AD1575" s="2" t="inlineStr">
        <is>
          <t>1</t>
        </is>
      </c>
      <c r="AE1575" s="2" t="inlineStr">
        <is>
          <t>24730</t>
        </is>
      </c>
      <c r="AF1575" s="2" t="inlineStr">
        <is>
          <t>https://www.parlamento.pt/OrcamentoEstado/Paginas/DetalhePropostaAlteracao.aspx?BID=24730</t>
        </is>
      </c>
      <c r="AG1575" s="2" t="inlineStr">
        <is>
          <t>https://app.parlamento.pt/webutils/docs/doc.pdf?path=6148523063484d364c793942556b356c6443397a6158526c63793959566b6c4a544556484c3039464c7a49774d6a59794d4449314d5441774f533951515338334e54517a4e47566b4e4331694d4749314c5451344d446374596a68685a5330774e6a5578596a517a4d6a637a4e4455756347526d&amp;Fich=75434ed4-b0b5-4807-b8ae-0651b4327345.pdf&amp;Inline=true</t>
        </is>
      </c>
      <c r="AH1575" s="3" t="n">
        <v>46321.77847222222</v>
      </c>
      <c r="AI1575" s="3" t="n">
        <v>46321.78055555555</v>
      </c>
      <c r="AJ1575" s="2" t="inlineStr"/>
    </row>
    <row r="1576">
      <c r="A1576" s="2" t="n">
        <v>1575</v>
      </c>
      <c r="B1576" s="2" t="inlineStr">
        <is>
          <t>1484C</t>
        </is>
      </c>
      <c r="C1576" s="3" t="n">
        <v>45968.62291666667</v>
      </c>
      <c r="D1576" s="2" t="inlineStr">
        <is>
          <t>Original</t>
        </is>
      </c>
      <c r="E1576" s="2" t="inlineStr">
        <is>
          <t>PCP</t>
        </is>
      </c>
      <c r="F1576" s="2" t="inlineStr">
        <is>
          <t>Alfredo Maia; Paula Santos; Paulo Raimundo</t>
        </is>
      </c>
      <c r="G1576" s="2" t="inlineStr">
        <is>
          <t>Art. 28.º-A (aditamento)</t>
        </is>
      </c>
      <c r="H1576" s="2" t="n"/>
      <c r="I1576" s="2" t="n"/>
      <c r="J1576" s="2" t="n"/>
      <c r="K1576" s="2" t="n"/>
      <c r="L1576" s="2" t="inlineStr">
        <is>
          <t>Artigo 28.º-A (Admissão de trabalhadores para o Instituto de Proteção e Assistência na Doença, I.P. (ADSE, I.P.))</t>
        </is>
      </c>
      <c r="M1576" s="4" t="n"/>
      <c r="N1576" s="4" t="n"/>
      <c r="O1576" s="2" t="n"/>
      <c r="P1576" s="2" t="n"/>
      <c r="Q1576" s="2" t="n"/>
      <c r="R1576" s="2" t="n"/>
      <c r="S1576" s="2" t="inlineStr">
        <is>
          <t>Rejeitado(a) em Comissão</t>
        </is>
      </c>
      <c r="T1576" s="2" t="inlineStr">
        <is>
          <t>Rejeitada</t>
        </is>
      </c>
      <c r="U1576" s="2" t="inlineStr">
        <is>
          <t>Favor: L, PCP, BE, PAN; Contra: PSD, IL, CDS-PP; Abstenção: CH, PS</t>
        </is>
      </c>
      <c r="V1576" s="3" t="n">
        <v>45981</v>
      </c>
      <c r="W1576" s="2" t="inlineStr">
        <is>
          <t>AR: https://www.parlamento.pt/OrcamentoEstado/Paginas/DetalhePropostaAlteracao.aspx?BID=24731 PDF: https://app.parlamento.pt/webutils/docs/doc.pdf?path=6148523063484d364c793942556b356c6443397a6158526c63793959566b6c4a544556484c3039464c7a49774d6a59794d4449314d5441774f533951515338314d6d45324d5459325a6931684d4751334c5451305a4463744f545578595330774e544e684e544d354e5445324f5459756347526d&amp;Fich=52a6166f-a0d7-44d7-951a-053a53951696.pdf&amp;Inline=true</t>
        </is>
      </c>
      <c r="X1576" s="2" t="inlineStr">
        <is>
          <t>Orçamento, Finanças e Administração Pública</t>
        </is>
      </c>
      <c r="Y1576" s="2" t="inlineStr">
        <is>
          <t>Articulado</t>
        </is>
      </c>
      <c r="Z1576" s="2" t="inlineStr">
        <is>
          <t>Aditamento (Artigo PPL)</t>
        </is>
      </c>
      <c r="AA1576" s="2" t="inlineStr">
        <is>
          <t>Rejeitado(a) em Comissão</t>
        </is>
      </c>
      <c r="AB1576" s="2" t="inlineStr"/>
      <c r="AC1576" s="2" t="inlineStr"/>
      <c r="AD1576" s="2" t="inlineStr">
        <is>
          <t>1</t>
        </is>
      </c>
      <c r="AE1576" s="2" t="inlineStr">
        <is>
          <t>24731</t>
        </is>
      </c>
      <c r="AF1576" s="2" t="inlineStr">
        <is>
          <t>https://www.parlamento.pt/OrcamentoEstado/Paginas/DetalhePropostaAlteracao.aspx?BID=24731</t>
        </is>
      </c>
      <c r="AG1576" s="2" t="inlineStr">
        <is>
          <t>https://app.parlamento.pt/webutils/docs/doc.pdf?path=6148523063484d364c793942556b356c6443397a6158526c63793959566b6c4a544556484c3039464c7a49774d6a59794d4449314d5441774f533951515338314d6d45324d5459325a6931684d4751334c5451305a4463744f545578595330774e544e684e544d354e5445324f5459756347526d&amp;Fich=52a6166f-a0d7-44d7-951a-053a53951696.pdf&amp;Inline=true</t>
        </is>
      </c>
      <c r="AH1576" s="3" t="n">
        <v>46321.77847222222</v>
      </c>
      <c r="AI1576" s="3" t="n">
        <v>46321.78055555555</v>
      </c>
      <c r="AJ1576" s="2" t="inlineStr"/>
    </row>
    <row r="1577">
      <c r="A1577" s="2" t="n">
        <v>1576</v>
      </c>
      <c r="B1577" s="2" t="inlineStr">
        <is>
          <t>1485C</t>
        </is>
      </c>
      <c r="C1577" s="3" t="n">
        <v>45968.62361111111</v>
      </c>
      <c r="D1577" s="2" t="inlineStr">
        <is>
          <t>Original</t>
        </is>
      </c>
      <c r="E1577" s="2" t="inlineStr">
        <is>
          <t>PCP</t>
        </is>
      </c>
      <c r="F1577" s="2" t="inlineStr">
        <is>
          <t>Alfredo Maia; Paula Santos; Paulo Raimundo</t>
        </is>
      </c>
      <c r="G1577" s="2" t="inlineStr">
        <is>
          <t>Art. 136.º-A (aditamento)</t>
        </is>
      </c>
      <c r="H1577" s="2" t="n"/>
      <c r="I1577" s="2" t="n"/>
      <c r="J1577" s="2" t="n"/>
      <c r="K1577" s="2" t="n"/>
      <c r="L1577" s="2" t="inlineStr">
        <is>
          <t>Artigo 136.º-A (Redução das contribuições dos beneficiários titulares para os subsistemas de saúde ADSE, SAD e ADM)</t>
        </is>
      </c>
      <c r="M1577" s="4" t="n"/>
      <c r="N1577" s="4" t="n"/>
      <c r="O1577" s="2" t="n"/>
      <c r="P1577" s="2" t="n"/>
      <c r="Q1577" s="2" t="n"/>
      <c r="R1577" s="2" t="n"/>
      <c r="S1577" s="2" t="inlineStr">
        <is>
          <t>Rejeitado(a) em Comissão</t>
        </is>
      </c>
      <c r="T1577" s="2" t="inlineStr">
        <is>
          <t>Rejeitada</t>
        </is>
      </c>
      <c r="U1577" s="2" t="inlineStr">
        <is>
          <t>Favor: L, PCP, BE, PAN; Contra: PSD, IL, CDS-PP; Abstenção: CH, PS</t>
        </is>
      </c>
      <c r="V1577" s="3" t="n">
        <v>45987</v>
      </c>
      <c r="W1577" s="2" t="inlineStr">
        <is>
          <t>AR: https://www.parlamento.pt/OrcamentoEstado/Paginas/DetalhePropostaAlteracao.aspx?BID=24732 PDF: https://app.parlamento.pt/webutils/docs/doc.pdf?path=6148523063484d364c793942556b356c6443397a6158526c63793959566b6c4a544556484c3039464c7a49774d6a59794d4449314d5441774f533951515338334d7a4d325a6a6c6d5a533079596a4e6c4c5451784e7a5974596d55354d6930324d57566c596a41795957526a4d5759756347526d&amp;Fich=7336f9fe-2b3e-4176-be92-61eeb02adc1f.pdf&amp;Inline=true</t>
        </is>
      </c>
      <c r="X1577" s="2" t="inlineStr">
        <is>
          <t>Orçamento, Finanças e Administração Pública</t>
        </is>
      </c>
      <c r="Y1577" s="2" t="inlineStr">
        <is>
          <t>Articulado</t>
        </is>
      </c>
      <c r="Z1577" s="2" t="inlineStr">
        <is>
          <t>Aditamento (Artigo PPL)</t>
        </is>
      </c>
      <c r="AA1577" s="2" t="inlineStr">
        <is>
          <t>Rejeitado(a) em Comissão</t>
        </is>
      </c>
      <c r="AB1577" s="2" t="inlineStr"/>
      <c r="AC1577" s="2" t="inlineStr"/>
      <c r="AD1577" s="2" t="inlineStr">
        <is>
          <t>1</t>
        </is>
      </c>
      <c r="AE1577" s="2" t="inlineStr">
        <is>
          <t>24732</t>
        </is>
      </c>
      <c r="AF1577" s="2" t="inlineStr">
        <is>
          <t>https://www.parlamento.pt/OrcamentoEstado/Paginas/DetalhePropostaAlteracao.aspx?BID=24732</t>
        </is>
      </c>
      <c r="AG1577" s="2" t="inlineStr">
        <is>
          <t>https://app.parlamento.pt/webutils/docs/doc.pdf?path=6148523063484d364c793942556b356c6443397a6158526c63793959566b6c4a544556484c3039464c7a49774d6a59794d4449314d5441774f533951515338334d7a4d325a6a6c6d5a533079596a4e6c4c5451784e7a5974596d55354d6930324d57566c596a41795957526a4d5759756347526d&amp;Fich=7336f9fe-2b3e-4176-be92-61eeb02adc1f.pdf&amp;Inline=true</t>
        </is>
      </c>
      <c r="AH1577" s="3" t="n">
        <v>46321.77847222222</v>
      </c>
      <c r="AI1577" s="3" t="n">
        <v>46321.78055555555</v>
      </c>
      <c r="AJ1577" s="2" t="inlineStr"/>
    </row>
    <row r="1578">
      <c r="A1578" s="2" t="n">
        <v>1577</v>
      </c>
      <c r="B1578" s="2" t="inlineStr">
        <is>
          <t>1486C</t>
        </is>
      </c>
      <c r="C1578" s="3" t="n">
        <v>45968.62361111111</v>
      </c>
      <c r="D1578" s="2" t="inlineStr">
        <is>
          <t>Original</t>
        </is>
      </c>
      <c r="E1578" s="2" t="inlineStr">
        <is>
          <t>PAN</t>
        </is>
      </c>
      <c r="F1578" s="2" t="inlineStr">
        <is>
          <t>Inês de Sousa Real</t>
        </is>
      </c>
      <c r="G1578" s="2" t="inlineStr">
        <is>
          <t>Art. 63.º (substituição)</t>
        </is>
      </c>
      <c r="H1578" s="2" t="n"/>
      <c r="I1578" s="2" t="n"/>
      <c r="J1578" s="2" t="n"/>
      <c r="K1578" s="2" t="n"/>
      <c r="L1578" s="2" t="inlineStr">
        <is>
          <t>Verba 2.14, Lista I anexa ao Código do IVA</t>
        </is>
      </c>
      <c r="M1578" s="4" t="n"/>
      <c r="N1578" s="4" t="n"/>
      <c r="O1578" s="2" t="n"/>
      <c r="P1578" s="2" t="n"/>
      <c r="Q1578" s="2" t="n"/>
      <c r="R1578" s="2" t="n"/>
      <c r="S1578" s="2" t="inlineStr">
        <is>
          <t>Rejeitado(a) em Comissão</t>
        </is>
      </c>
      <c r="T1578" s="2" t="inlineStr">
        <is>
          <t>Rejeitada</t>
        </is>
      </c>
      <c r="U1578" s="2" t="inlineStr">
        <is>
          <t>Favor: L, BE, PAN; Contra: PSD, CH, IL, PCP, CDS-PP; Abstenção: PS</t>
        </is>
      </c>
      <c r="V1578" s="3" t="n">
        <v>45982</v>
      </c>
      <c r="W1578" s="2" t="inlineStr">
        <is>
          <t>AR: https://www.parlamento.pt/OrcamentoEstado/Paginas/DetalhePropostaAlteracao.aspx?BID=24733 PDF: https://app.parlamento.pt/webutils/docs/doc.pdf?path=6148523063484d364c793942556b356c6443397a6158526c63793959566b6c4a544556484c3039464c7a49774d6a59794d4449314d5441774f533951515338344f44426b5a6a52684f5330334d6a526b4c5452685a6d4d744f4455354d5330334e54526c4f445a6c596a6b30595455756347526d&amp;Fich=880df4a9-724d-4afc-8591-754e86eb94a5.pdf&amp;Inline=true</t>
        </is>
      </c>
      <c r="X1578" s="2" t="inlineStr">
        <is>
          <t>Orçamento, Finanças e Administração Pública</t>
        </is>
      </c>
      <c r="Y1578" s="2" t="inlineStr">
        <is>
          <t>Articulado</t>
        </is>
      </c>
      <c r="Z1578" s="2" t="inlineStr">
        <is>
          <t>Substituição</t>
        </is>
      </c>
      <c r="AA1578" s="2" t="inlineStr">
        <is>
          <t>Rejeitado(a) em Comissão</t>
        </is>
      </c>
      <c r="AB1578" s="2" t="inlineStr"/>
      <c r="AC1578" s="2" t="inlineStr"/>
      <c r="AD1578" s="2" t="inlineStr">
        <is>
          <t>1</t>
        </is>
      </c>
      <c r="AE1578" s="2" t="inlineStr">
        <is>
          <t>24733</t>
        </is>
      </c>
      <c r="AF1578" s="2" t="inlineStr">
        <is>
          <t>https://www.parlamento.pt/OrcamentoEstado/Paginas/DetalhePropostaAlteracao.aspx?BID=24733</t>
        </is>
      </c>
      <c r="AG1578" s="2" t="inlineStr">
        <is>
          <t>https://app.parlamento.pt/webutils/docs/doc.pdf?path=6148523063484d364c793942556b356c6443397a6158526c63793959566b6c4a544556484c3039464c7a49774d6a59794d4449314d5441774f533951515338344f44426b5a6a52684f5330334d6a526b4c5452685a6d4d744f4455354d5330334e54526c4f445a6c596a6b30595455756347526d&amp;Fich=880df4a9-724d-4afc-8591-754e86eb94a5.pdf&amp;Inline=true</t>
        </is>
      </c>
      <c r="AH1578" s="3" t="n">
        <v>46321.77847222222</v>
      </c>
      <c r="AI1578" s="3" t="n">
        <v>46321.78055555555</v>
      </c>
      <c r="AJ1578" s="2" t="inlineStr"/>
    </row>
    <row r="1579">
      <c r="A1579" s="2" t="n">
        <v>1578</v>
      </c>
      <c r="B1579" s="2" t="inlineStr">
        <is>
          <t>1487C</t>
        </is>
      </c>
      <c r="C1579" s="3" t="n">
        <v>45968.62430555555</v>
      </c>
      <c r="D1579" s="2" t="inlineStr">
        <is>
          <t>Retirada</t>
        </is>
      </c>
      <c r="E1579" s="2" t="inlineStr">
        <is>
          <t>PCP</t>
        </is>
      </c>
      <c r="F1579" s="2" t="inlineStr">
        <is>
          <t>Alfredo Maia; Paula Santos; Paulo Raimundo</t>
        </is>
      </c>
      <c r="G1579" s="2" t="inlineStr">
        <is>
          <t>Articulado</t>
        </is>
      </c>
      <c r="H1579" s="2" t="n"/>
      <c r="I1579" s="2" t="n"/>
      <c r="J1579" s="2" t="n"/>
      <c r="K1579" s="2" t="n"/>
      <c r="L1579" s="2" t="inlineStr">
        <is>
          <t>PAdit art 136º-A ReducaoContribuicaoSubsistemasSaude</t>
        </is>
      </c>
      <c r="M1579" s="4" t="n"/>
      <c r="N1579" s="4" t="n"/>
      <c r="O1579" s="2" t="n"/>
      <c r="P1579" s="2" t="n"/>
      <c r="Q1579" s="2" t="n"/>
      <c r="R1579" s="2" t="n"/>
      <c r="S1579" s="2" t="inlineStr">
        <is>
          <t>Retirado(a)</t>
        </is>
      </c>
      <c r="T1579" s="2" t="inlineStr">
        <is>
          <t>Retirada</t>
        </is>
      </c>
      <c r="U1579" s="2" t="inlineStr"/>
      <c r="V1579" s="3" t="n"/>
      <c r="W1579" s="2" t="inlineStr">
        <is>
          <t>AR: https://www.parlamento.pt/OrcamentoEstado/Paginas/DetalhePropostaAlteracao.aspx?BID=24734 PDF: https://app.parlamento.pt/webutils/docs/doc.pdf?path=6148523063484d364c793942556b356c6443397a6158526c63793959566b6c4a544556484c3039464c7a49774d6a59794d4449314d5441774f533951515338795a4449324d5445784d79316c4f5756694c5451354d544d744f54686d4e4331685a6d59345957557759546b325a4455756347526d&amp;Fich=2d261113-e9eb-4913-98f4-aff8ae0a96d5.pdf&amp;Inline=true</t>
        </is>
      </c>
      <c r="X1579" s="2" t="inlineStr">
        <is>
          <t>Orçamento, Finanças e Administração Pública</t>
        </is>
      </c>
      <c r="Y1579" s="2" t="inlineStr">
        <is>
          <t>Articulado</t>
        </is>
      </c>
      <c r="Z1579" s="2" t="inlineStr">
        <is>
          <t>Por Definir</t>
        </is>
      </c>
      <c r="AA1579" s="2" t="inlineStr">
        <is>
          <t>Retirado(a)</t>
        </is>
      </c>
      <c r="AB1579" s="2" t="inlineStr"/>
      <c r="AC1579" s="2" t="inlineStr"/>
      <c r="AD1579" s="2" t="inlineStr">
        <is>
          <t>0</t>
        </is>
      </c>
      <c r="AE1579" s="2" t="inlineStr">
        <is>
          <t>24734</t>
        </is>
      </c>
      <c r="AF1579" s="2" t="inlineStr">
        <is>
          <t>https://www.parlamento.pt/OrcamentoEstado/Paginas/DetalhePropostaAlteracao.aspx?BID=24734</t>
        </is>
      </c>
      <c r="AG1579" s="2" t="inlineStr">
        <is>
          <t>https://app.parlamento.pt/webutils/docs/doc.pdf?path=6148523063484d364c793942556b356c6443397a6158526c63793959566b6c4a544556484c3039464c7a49774d6a59794d4449314d5441774f533951515338795a4449324d5445784d79316c4f5756694c5451354d544d744f54686d4e4331685a6d59345957557759546b325a4455756347526d&amp;Fich=2d261113-e9eb-4913-98f4-aff8ae0a96d5.pdf&amp;Inline=true</t>
        </is>
      </c>
      <c r="AH1579" s="3" t="n">
        <v>46321.77847222222</v>
      </c>
      <c r="AI1579" s="3" t="n">
        <v>46321.78055555555</v>
      </c>
      <c r="AJ1579" s="2" t="inlineStr"/>
    </row>
    <row r="1580">
      <c r="A1580" s="2" t="n">
        <v>1579</v>
      </c>
      <c r="B1580" s="2" t="inlineStr">
        <is>
          <t>1488C</t>
        </is>
      </c>
      <c r="C1580" s="3" t="n">
        <v>45968.62430555555</v>
      </c>
      <c r="D1580" s="2" t="inlineStr">
        <is>
          <t>Original</t>
        </is>
      </c>
      <c r="E1580" s="2" t="inlineStr">
        <is>
          <t>PAN</t>
        </is>
      </c>
      <c r="F1580" s="2" t="inlineStr">
        <is>
          <t>Inês de Sousa Real</t>
        </is>
      </c>
      <c r="G1580" s="2" t="inlineStr">
        <is>
          <t>Art. 108.º (aditamento)</t>
        </is>
      </c>
      <c r="H1580" s="2" t="n"/>
      <c r="I1580" s="2" t="n"/>
      <c r="J1580" s="2" t="n"/>
      <c r="K1580" s="2" t="n"/>
      <c r="L1580" s="2" t="inlineStr">
        <is>
          <t>Novo N.º 3, N.º 5, Artigo 108.º</t>
        </is>
      </c>
      <c r="M1580" s="4" t="n"/>
      <c r="N1580" s="4" t="n"/>
      <c r="O1580" s="2" t="n"/>
      <c r="P1580" s="2" t="n"/>
      <c r="Q1580" s="2" t="n"/>
      <c r="R1580" s="2" t="n"/>
      <c r="S1580" s="2" t="inlineStr">
        <is>
          <t>Rejeitado(a) em Comissão</t>
        </is>
      </c>
      <c r="T1580" s="2" t="inlineStr">
        <is>
          <t>Rejeitada</t>
        </is>
      </c>
      <c r="U1580" s="2" t="inlineStr">
        <is>
          <t>Favor: L, PCP, BE, PAN; Contra: PSD, IL, CDS-PP; Abstenção: CH, PS</t>
        </is>
      </c>
      <c r="V1580" s="3" t="n">
        <v>45982</v>
      </c>
      <c r="W1580" s="2" t="inlineStr">
        <is>
          <t>AR: https://www.parlamento.pt/OrcamentoEstado/Paginas/DetalhePropostaAlteracao.aspx?BID=24735 PDF: https://app.parlamento.pt/webutils/docs/doc.pdf?path=6148523063484d364c793942556b356c6443397a6158526c63793959566b6c4a544556484c3039464c7a49774d6a59794d4449314d5441774f533951515338325a4459794e4449315a4330324d5756694c5451314e7a6774596a4668597930314e7a41324f4752684d7a67324e6d59756347526d&amp;Fich=6d62425d-61eb-4578-b1ac-57068da3866f.pdf&amp;Inline=true</t>
        </is>
      </c>
      <c r="X1580" s="2" t="inlineStr">
        <is>
          <t>Agricultura e Pescas</t>
        </is>
      </c>
      <c r="Y1580" s="2" t="inlineStr">
        <is>
          <t>Articulado</t>
        </is>
      </c>
      <c r="Z1580" s="2" t="inlineStr">
        <is>
          <t>Aditamento (Números e Alíneas)</t>
        </is>
      </c>
      <c r="AA1580" s="2" t="inlineStr">
        <is>
          <t>Rejeitado(a) em Comissão</t>
        </is>
      </c>
      <c r="AB1580" s="2" t="inlineStr"/>
      <c r="AC1580" s="2" t="inlineStr"/>
      <c r="AD1580" s="2" t="inlineStr">
        <is>
          <t>2</t>
        </is>
      </c>
      <c r="AE1580" s="2" t="inlineStr">
        <is>
          <t>24735</t>
        </is>
      </c>
      <c r="AF1580" s="2" t="inlineStr">
        <is>
          <t>https://www.parlamento.pt/OrcamentoEstado/Paginas/DetalhePropostaAlteracao.aspx?BID=24735</t>
        </is>
      </c>
      <c r="AG1580" s="2" t="inlineStr">
        <is>
          <t>https://app.parlamento.pt/webutils/docs/doc.pdf?path=6148523063484d364c793942556b356c6443397a6158526c63793959566b6c4a544556484c3039464c7a49774d6a59794d4449314d5441774f533951515338325a4459794e4449315a4330324d5756694c5451314e7a6774596a4668597930314e7a41324f4752684d7a67324e6d59756347526d&amp;Fich=6d62425d-61eb-4578-b1ac-57068da3866f.pdf&amp;Inline=true</t>
        </is>
      </c>
      <c r="AH1580" s="3" t="n">
        <v>46321.77847222222</v>
      </c>
      <c r="AI1580" s="3" t="n">
        <v>46321.78055555555</v>
      </c>
      <c r="AJ1580" s="2" t="inlineStr"/>
    </row>
    <row r="1581">
      <c r="A1581" s="2" t="n">
        <v>1580</v>
      </c>
      <c r="B1581" s="2" t="inlineStr">
        <is>
          <t>1489C</t>
        </is>
      </c>
      <c r="C1581" s="3" t="n">
        <v>45968.62430555555</v>
      </c>
      <c r="D1581" s="2" t="inlineStr">
        <is>
          <t>Original</t>
        </is>
      </c>
      <c r="E1581" s="2" t="inlineStr">
        <is>
          <t>BE</t>
        </is>
      </c>
      <c r="F1581" s="2" t="inlineStr">
        <is>
          <t>Mariana Mortágua</t>
        </is>
      </c>
      <c r="G1581" s="2" t="inlineStr">
        <is>
          <t>Art. 7.º (aditamento)</t>
        </is>
      </c>
      <c r="H1581" s="2" t="n"/>
      <c r="I1581" s="2" t="n"/>
      <c r="J1581" s="2" t="n"/>
      <c r="K1581" s="2" t="n"/>
      <c r="L1581" s="2" t="inlineStr">
        <is>
          <t>Nova Verba 1, Mapa de alterações e transferências orçamentais, Artigo 7.º</t>
        </is>
      </c>
      <c r="M1581" s="4" t="n"/>
      <c r="N1581" s="4" t="n"/>
      <c r="O1581" s="2" t="n"/>
      <c r="P1581" s="2" t="n"/>
      <c r="Q1581" s="2" t="n"/>
      <c r="R1581" s="2" t="n"/>
      <c r="S1581" s="2" t="inlineStr">
        <is>
          <t>Rejeitado(a) em Comissão</t>
        </is>
      </c>
      <c r="T1581" s="2" t="inlineStr">
        <is>
          <t>Rejeitada</t>
        </is>
      </c>
      <c r="U1581" s="2" t="inlineStr">
        <is>
          <t>Favor: CH, IL, L, PCP, BE, PAN; Contra: PSD, CDS-PP; Abstenção: PS</t>
        </is>
      </c>
      <c r="V1581" s="3" t="n">
        <v>45987</v>
      </c>
      <c r="W1581" s="2" t="inlineStr">
        <is>
          <t>AR: https://www.parlamento.pt/OrcamentoEstado/Paginas/DetalhePropostaAlteracao.aspx?BID=24736 PDF: https://app.parlamento.pt/webutils/docs/doc.pdf?path=6148523063484d364c793942556b356c6443397a6158526c63793959566b6c4a544556484c3039464c7a49774d6a59794d4449314d5441774f533951515338794f544d7a4d4449325a5330334e54646b4c54526d4e545974596a67774d7930794f54466c4e7a517a4e7a49304d7a67756347526d&amp;Fich=2933026e-757d-4f56-b803-291e74372438.pdf&amp;Inline=true</t>
        </is>
      </c>
      <c r="X1581" s="2" t="inlineStr">
        <is>
          <t>Cultura, Comunicação, Juventude e Desporto</t>
        </is>
      </c>
      <c r="Y1581" s="2" t="inlineStr">
        <is>
          <t>Mapas</t>
        </is>
      </c>
      <c r="Z1581" s="2" t="inlineStr">
        <is>
          <t>Aditamento (Números e Alíneas)</t>
        </is>
      </c>
      <c r="AA1581" s="2" t="inlineStr">
        <is>
          <t>Rejeitado(a) em Comissão</t>
        </is>
      </c>
      <c r="AB1581" s="2" t="inlineStr"/>
      <c r="AC1581" s="2" t="inlineStr"/>
      <c r="AD1581" s="2" t="inlineStr">
        <is>
          <t>1</t>
        </is>
      </c>
      <c r="AE1581" s="2" t="inlineStr">
        <is>
          <t>24736</t>
        </is>
      </c>
      <c r="AF1581" s="2" t="inlineStr">
        <is>
          <t>https://www.parlamento.pt/OrcamentoEstado/Paginas/DetalhePropostaAlteracao.aspx?BID=24736</t>
        </is>
      </c>
      <c r="AG1581" s="2" t="inlineStr">
        <is>
          <t>https://app.parlamento.pt/webutils/docs/doc.pdf?path=6148523063484d364c793942556b356c6443397a6158526c63793959566b6c4a544556484c3039464c7a49774d6a59794d4449314d5441774f533951515338794f544d7a4d4449325a5330334e54646b4c54526d4e545974596a67774d7930794f54466c4e7a517a4e7a49304d7a67756347526d&amp;Fich=2933026e-757d-4f56-b803-291e74372438.pdf&amp;Inline=true</t>
        </is>
      </c>
      <c r="AH1581" s="3" t="n">
        <v>46321.77847222222</v>
      </c>
      <c r="AI1581" s="3" t="n">
        <v>46321.78055555555</v>
      </c>
      <c r="AJ1581" s="2" t="inlineStr"/>
    </row>
    <row r="1582">
      <c r="A1582" s="2" t="n">
        <v>1581</v>
      </c>
      <c r="B1582" s="2" t="inlineStr">
        <is>
          <t>1490C</t>
        </is>
      </c>
      <c r="C1582" s="3" t="n">
        <v>45968.625</v>
      </c>
      <c r="D1582" s="2" t="inlineStr">
        <is>
          <t>Original</t>
        </is>
      </c>
      <c r="E1582" s="2" t="inlineStr">
        <is>
          <t>CH</t>
        </is>
      </c>
      <c r="F158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582" s="2" t="inlineStr">
        <is>
          <t>Art. 19.º-A (aditamento)</t>
        </is>
      </c>
      <c r="H1582" s="2" t="n"/>
      <c r="I1582" s="2" t="n"/>
      <c r="J1582" s="2" t="n"/>
      <c r="K1582" s="2" t="n"/>
      <c r="L1582" s="2" t="inlineStr">
        <is>
          <t>Artigo 19.º-A (Subsídio de refeição)</t>
        </is>
      </c>
      <c r="M1582" s="4" t="n"/>
      <c r="N1582" s="4" t="n"/>
      <c r="O1582" s="2" t="n"/>
      <c r="P1582" s="2" t="n"/>
      <c r="Q1582" s="2" t="n"/>
      <c r="R1582" s="2" t="n"/>
      <c r="S1582" s="2" t="inlineStr">
        <is>
          <t>Rejeitado(a) em Comissão</t>
        </is>
      </c>
      <c r="T1582" s="2" t="inlineStr">
        <is>
          <t>Rejeitada</t>
        </is>
      </c>
      <c r="U1582" s="2" t="inlineStr">
        <is>
          <t>Favor: CH, BE, PAN; Contra: PSD, IL, CDS-PP; Abstenção: PS, L, PCP</t>
        </is>
      </c>
      <c r="V1582" s="3" t="n">
        <v>45981</v>
      </c>
      <c r="W1582" s="2" t="inlineStr">
        <is>
          <t>AR: https://www.parlamento.pt/OrcamentoEstado/Paginas/DetalhePropostaAlteracao.aspx?BID=24737 PDF: https://app.parlamento.pt/webutils/docs/doc.pdf?path=6148523063484d364c793942556b356c6443397a6158526c63793959566b6c4a544556484c3039464c7a49774d6a59794d4449314d5441774f5339515153387a4e574d314d4451334d53316b4f44466b4c545133597a63744f4751774e7930774f574a6c5a446b794e6d4d78596d45756347526d&amp;Fich=35c50471-d81d-47c7-8d07-09bed926c1ba.pdf&amp;Inline=true</t>
        </is>
      </c>
      <c r="X1582" s="2" t="inlineStr">
        <is>
          <t>Orçamento, Finanças e Administração Pública</t>
        </is>
      </c>
      <c r="Y1582" s="2" t="inlineStr">
        <is>
          <t>Articulado</t>
        </is>
      </c>
      <c r="Z1582" s="2" t="inlineStr">
        <is>
          <t>Aditamento (Artigo PPL)</t>
        </is>
      </c>
      <c r="AA1582" s="2" t="inlineStr">
        <is>
          <t>Rejeitado(a) em Comissão</t>
        </is>
      </c>
      <c r="AB1582" s="2" t="inlineStr"/>
      <c r="AC1582" s="2" t="inlineStr"/>
      <c r="AD1582" s="2" t="inlineStr">
        <is>
          <t>1</t>
        </is>
      </c>
      <c r="AE1582" s="2" t="inlineStr">
        <is>
          <t>24737</t>
        </is>
      </c>
      <c r="AF1582" s="2" t="inlineStr">
        <is>
          <t>https://www.parlamento.pt/OrcamentoEstado/Paginas/DetalhePropostaAlteracao.aspx?BID=24737</t>
        </is>
      </c>
      <c r="AG1582" s="2" t="inlineStr">
        <is>
          <t>https://app.parlamento.pt/webutils/docs/doc.pdf?path=6148523063484d364c793942556b356c6443397a6158526c63793959566b6c4a544556484c3039464c7a49774d6a59794d4449314d5441774f5339515153387a4e574d314d4451334d53316b4f44466b4c545133597a63744f4751774e7930774f574a6c5a446b794e6d4d78596d45756347526d&amp;Fich=35c50471-d81d-47c7-8d07-09bed926c1ba.pdf&amp;Inline=true</t>
        </is>
      </c>
      <c r="AH1582" s="3" t="n">
        <v>46321.77847222222</v>
      </c>
      <c r="AI1582" s="3" t="n">
        <v>46321.78055555555</v>
      </c>
      <c r="AJ1582" s="2" t="inlineStr"/>
    </row>
    <row r="1583">
      <c r="A1583" s="2" t="n">
        <v>1582</v>
      </c>
      <c r="B1583" s="2" t="inlineStr">
        <is>
          <t>1491C</t>
        </is>
      </c>
      <c r="C1583" s="3" t="n">
        <v>45968.625</v>
      </c>
      <c r="D1583" s="2" t="inlineStr">
        <is>
          <t>Original</t>
        </is>
      </c>
      <c r="E1583" s="2" t="inlineStr">
        <is>
          <t>PS</t>
        </is>
      </c>
      <c r="F1583" s="2" t="inlineStr">
        <is>
          <t>António Mendonça Mendes; Eurico Brilhante Dias; Frederico Francisco; José Luís Carneiro; Luís Dias; Luís Moreira Testa; Marina Gonçalves; Miguel Matos; Pedro do Carmo</t>
        </is>
      </c>
      <c r="G1583" s="2" t="inlineStr">
        <is>
          <t>Art. 136.º-A (aditamento)</t>
        </is>
      </c>
      <c r="H1583" s="2" t="n"/>
      <c r="I1583" s="2" t="n"/>
      <c r="J1583" s="2" t="n"/>
      <c r="K1583" s="2" t="n"/>
      <c r="L1583" s="2" t="inlineStr">
        <is>
          <t>Artigo 136.º-A (Isenções de Portagens)</t>
        </is>
      </c>
      <c r="M1583" s="4" t="n"/>
      <c r="N1583" s="4" t="n"/>
      <c r="O1583" s="2" t="n"/>
      <c r="P1583" s="2" t="n"/>
      <c r="Q1583" s="2" t="n"/>
      <c r="R1583" s="2" t="n"/>
      <c r="S1583" s="2" t="inlineStr">
        <is>
          <t>Aprovado(a) em Plenário</t>
        </is>
      </c>
      <c r="T1583" s="2" t="inlineStr">
        <is>
          <t>Aprovada</t>
        </is>
      </c>
      <c r="U1583" s="2" t="inlineStr">
        <is>
          <t>Favor: CH, PS, L, PCP, BE, PAN, JPP; Contra: PSD, IL, CDS-PP</t>
        </is>
      </c>
      <c r="V1583" s="3" t="n">
        <v>45988</v>
      </c>
      <c r="W1583" s="2" t="inlineStr">
        <is>
          <t>Avocada a Plenário. AR: https://www.parlamento.pt/OrcamentoEstado/Paginas/DetalhePropostaAlteracao.aspx?BID=24738 PDF: https://app.parlamento.pt/webutils/docs/doc.pdf?path=6148523063484d364c793942556b356c6443397a6158526c63793959566b6c4a544556484c3039464c7a49774d6a59794d4449314d5441774f533951515338794f474d32596a59794e79316b4d7a49354c5451314e6a45744f47557a597930325a6d4a684e4449355a446b32596d59756347526d&amp;Fich=28c6b627-d329-4561-8e3c-6fba429d96bf.pdf&amp;Inline=true</t>
        </is>
      </c>
      <c r="X1583" s="2" t="inlineStr">
        <is>
          <t>Infraestruturas, Mobilidade e Habitação; Orçamento, Finanças e Administração Pública</t>
        </is>
      </c>
      <c r="Y1583" s="2" t="inlineStr">
        <is>
          <t>Articulado</t>
        </is>
      </c>
      <c r="Z1583" s="2" t="inlineStr">
        <is>
          <t>Aditamento (Artigo PPL)</t>
        </is>
      </c>
      <c r="AA1583" s="2" t="inlineStr">
        <is>
          <t>Aprovado(a) em Plenário</t>
        </is>
      </c>
      <c r="AB1583" s="2" t="inlineStr">
        <is>
          <t>S</t>
        </is>
      </c>
      <c r="AC1583" s="2" t="inlineStr"/>
      <c r="AD1583" s="2" t="inlineStr">
        <is>
          <t>2</t>
        </is>
      </c>
      <c r="AE1583" s="2" t="inlineStr">
        <is>
          <t>24738</t>
        </is>
      </c>
      <c r="AF1583" s="2" t="inlineStr">
        <is>
          <t>https://www.parlamento.pt/OrcamentoEstado/Paginas/DetalhePropostaAlteracao.aspx?BID=24738</t>
        </is>
      </c>
      <c r="AG1583" s="2" t="inlineStr">
        <is>
          <t>https://app.parlamento.pt/webutils/docs/doc.pdf?path=6148523063484d364c793942556b356c6443397a6158526c63793959566b6c4a544556484c3039464c7a49774d6a59794d4449314d5441774f533951515338794f474d32596a59794e79316b4d7a49354c5451314e6a45744f47557a597930325a6d4a684e4449355a446b32596d59756347526d&amp;Fich=28c6b627-d329-4561-8e3c-6fba429d96bf.pdf&amp;Inline=true</t>
        </is>
      </c>
      <c r="AH1583" s="3" t="n">
        <v>46321.77847222222</v>
      </c>
      <c r="AI1583" s="3" t="n">
        <v>46321.78055555555</v>
      </c>
      <c r="AJ1583" s="2" t="inlineStr"/>
    </row>
    <row r="1584">
      <c r="A1584" s="2" t="n">
        <v>1583</v>
      </c>
      <c r="B1584" s="2" t="inlineStr">
        <is>
          <t>1492C</t>
        </is>
      </c>
      <c r="C1584" s="3" t="n">
        <v>45968.62569444445</v>
      </c>
      <c r="D1584" s="2" t="inlineStr">
        <is>
          <t>Original</t>
        </is>
      </c>
      <c r="E1584" s="2" t="inlineStr">
        <is>
          <t>PAN</t>
        </is>
      </c>
      <c r="F1584" s="2" t="inlineStr">
        <is>
          <t>Inês de Sousa Real</t>
        </is>
      </c>
      <c r="G1584" s="2" t="inlineStr">
        <is>
          <t>Art. 127.º-A (aditamento)</t>
        </is>
      </c>
      <c r="H1584" s="2" t="n"/>
      <c r="I1584" s="2" t="n"/>
      <c r="J1584" s="2" t="n"/>
      <c r="K1584" s="2" t="n"/>
      <c r="L1584" s="2" t="inlineStr">
        <is>
          <t>Artigo 127.º-A (Apoio à aquisição de espaços verdes de elevado valor ambiental)</t>
        </is>
      </c>
      <c r="M1584" s="4" t="n"/>
      <c r="N1584" s="4" t="n"/>
      <c r="O1584" s="2" t="n"/>
      <c r="P1584" s="2" t="n"/>
      <c r="Q1584" s="2" t="n"/>
      <c r="R1584" s="2" t="n"/>
      <c r="S1584" s="2" t="inlineStr">
        <is>
          <t>Rejeitado(a) em Comissão</t>
        </is>
      </c>
      <c r="T1584" s="2" t="inlineStr">
        <is>
          <t>Rejeitada</t>
        </is>
      </c>
      <c r="U1584" s="2" t="inlineStr">
        <is>
          <t>Favor: L, BE, PAN; Contra: PSD, CH, IL, CDS-PP; Abstenção: PS, PCP</t>
        </is>
      </c>
      <c r="V1584" s="3" t="n">
        <v>45985</v>
      </c>
      <c r="W1584" s="2" t="inlineStr">
        <is>
          <t>AR: https://www.parlamento.pt/OrcamentoEstado/Paginas/DetalhePropostaAlteracao.aspx?BID=24739 PDF: https://app.parlamento.pt/webutils/docs/doc.pdf?path=6148523063484d364c793942556b356c6443397a6158526c63793959566b6c4a544556484c3039464c7a49774d6a59794d4449314d5441774f5339515153383359544e6c4e544e6d4f533169596a67324c5451784e446b744f574a6c5a53316a4e6d49324e4452694d574d794e6a45756347526d&amp;Fich=7a3e53f9-bb86-4149-9bee-c6b644b1c261.pdf&amp;Inline=true</t>
        </is>
      </c>
      <c r="X1584" s="2" t="inlineStr">
        <is>
          <t>Ambiente e Energia</t>
        </is>
      </c>
      <c r="Y1584" s="2" t="inlineStr">
        <is>
          <t>Articulado</t>
        </is>
      </c>
      <c r="Z1584" s="2" t="inlineStr">
        <is>
          <t>Aditamento (Artigo PPL)</t>
        </is>
      </c>
      <c r="AA1584" s="2" t="inlineStr">
        <is>
          <t>Rejeitado(a) em Comissão</t>
        </is>
      </c>
      <c r="AB1584" s="2" t="inlineStr"/>
      <c r="AC1584" s="2" t="inlineStr"/>
      <c r="AD1584" s="2" t="inlineStr">
        <is>
          <t>1</t>
        </is>
      </c>
      <c r="AE1584" s="2" t="inlineStr">
        <is>
          <t>24739</t>
        </is>
      </c>
      <c r="AF1584" s="2" t="inlineStr">
        <is>
          <t>https://www.parlamento.pt/OrcamentoEstado/Paginas/DetalhePropostaAlteracao.aspx?BID=24739</t>
        </is>
      </c>
      <c r="AG1584" s="2" t="inlineStr">
        <is>
          <t>https://app.parlamento.pt/webutils/docs/doc.pdf?path=6148523063484d364c793942556b356c6443397a6158526c63793959566b6c4a544556484c3039464c7a49774d6a59794d4449314d5441774f5339515153383359544e6c4e544e6d4f533169596a67324c5451784e446b744f574a6c5a53316a4e6d49324e4452694d574d794e6a45756347526d&amp;Fich=7a3e53f9-bb86-4149-9bee-c6b644b1c261.pdf&amp;Inline=true</t>
        </is>
      </c>
      <c r="AH1584" s="3" t="n">
        <v>46321.77847222222</v>
      </c>
      <c r="AI1584" s="3" t="n">
        <v>46321.78055555555</v>
      </c>
      <c r="AJ1584" s="2" t="inlineStr"/>
    </row>
    <row r="1585">
      <c r="A1585" s="2" t="n">
        <v>1584</v>
      </c>
      <c r="B1585" s="2" t="inlineStr">
        <is>
          <t>1493C</t>
        </is>
      </c>
      <c r="C1585" s="3" t="n">
        <v>45968.62569444445</v>
      </c>
      <c r="D1585" s="2" t="inlineStr">
        <is>
          <t>Original</t>
        </is>
      </c>
      <c r="E1585" s="2" t="inlineStr">
        <is>
          <t>PAN</t>
        </is>
      </c>
      <c r="F1585" s="2" t="inlineStr">
        <is>
          <t>Inês de Sousa Real</t>
        </is>
      </c>
      <c r="G1585" s="2" t="inlineStr">
        <is>
          <t>Articulado</t>
        </is>
      </c>
      <c r="H1585" s="2" t="n"/>
      <c r="I1585" s="2" t="n"/>
      <c r="J1585" s="2" t="n"/>
      <c r="K1585" s="2" t="n"/>
      <c r="L1585" s="2" t="inlineStr">
        <is>
          <t>Artigo 43.º-A Programa Trabalhos &amp; Competências Verdes</t>
        </is>
      </c>
      <c r="M1585" s="4" t="n"/>
      <c r="N1585" s="4" t="n"/>
      <c r="O1585" s="2" t="n"/>
      <c r="P1585" s="2" t="n"/>
      <c r="Q1585" s="2" t="n"/>
      <c r="R1585" s="2" t="n"/>
      <c r="S1585" s="2" t="inlineStr">
        <is>
          <t>Não Admitida</t>
        </is>
      </c>
      <c r="T1585" s="2" t="inlineStr"/>
      <c r="U1585" s="2" t="inlineStr"/>
      <c r="V1585" s="3" t="n"/>
      <c r="W1585" s="2" t="inlineStr">
        <is>
          <t>AR: https://www.parlamento.pt/OrcamentoEstado/Paginas/DetalhePropostaAlteracao.aspx?BID=24740 PDF: https://app.parlamento.pt/webutils/docs/doc.pdf?path=6148523063484d364c793942556b356c6443397a6158526c63793959566b6c4a544556484c3039464c7a49774d6a59794d4449314d5441774f5339515153396a4e6a45325a6d45334d79307a4e4467794c5451344d6a59744f4745774e4330345a5441775a6a6b344e6a45794f5451756347526d&amp;Fich=c616fa73-3482-4826-8a04-8e00f9861294.pdf&amp;Inline=true</t>
        </is>
      </c>
      <c r="X1585" s="2" t="inlineStr">
        <is>
          <t>Orçamento, Finanças e Administração Pública</t>
        </is>
      </c>
      <c r="Y1585" s="2" t="inlineStr">
        <is>
          <t>Articulado</t>
        </is>
      </c>
      <c r="Z1585" s="2" t="inlineStr">
        <is>
          <t>Por Definir</t>
        </is>
      </c>
      <c r="AA1585" s="2" t="inlineStr">
        <is>
          <t>Não Admitida</t>
        </is>
      </c>
      <c r="AB1585" s="2" t="inlineStr"/>
      <c r="AC1585" s="2" t="inlineStr"/>
      <c r="AD1585" s="2" t="inlineStr">
        <is>
          <t>0</t>
        </is>
      </c>
      <c r="AE1585" s="2" t="inlineStr">
        <is>
          <t>24740</t>
        </is>
      </c>
      <c r="AF1585" s="2" t="inlineStr">
        <is>
          <t>https://www.parlamento.pt/OrcamentoEstado/Paginas/DetalhePropostaAlteracao.aspx?BID=24740</t>
        </is>
      </c>
      <c r="AG1585" s="2" t="inlineStr">
        <is>
          <t>https://app.parlamento.pt/webutils/docs/doc.pdf?path=6148523063484d364c793942556b356c6443397a6158526c63793959566b6c4a544556484c3039464c7a49774d6a59794d4449314d5441774f5339515153396a4e6a45325a6d45334d79307a4e4467794c5451344d6a59744f4745774e4330345a5441775a6a6b344e6a45794f5451756347526d&amp;Fich=c616fa73-3482-4826-8a04-8e00f9861294.pdf&amp;Inline=true</t>
        </is>
      </c>
      <c r="AH1585" s="3" t="n">
        <v>46321.77847222222</v>
      </c>
      <c r="AI1585" s="3" t="n">
        <v>46321.78055555555</v>
      </c>
      <c r="AJ1585" s="2" t="inlineStr"/>
    </row>
    <row r="1586">
      <c r="A1586" s="2" t="n">
        <v>1585</v>
      </c>
      <c r="B1586" s="2" t="inlineStr">
        <is>
          <t>1494C</t>
        </is>
      </c>
      <c r="C1586" s="3" t="n">
        <v>45968.62569444445</v>
      </c>
      <c r="D1586" s="2" t="inlineStr">
        <is>
          <t>Original</t>
        </is>
      </c>
      <c r="E1586" s="2" t="inlineStr">
        <is>
          <t>CH</t>
        </is>
      </c>
      <c r="F158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586" s="2" t="inlineStr">
        <is>
          <t>Art. 28.º-A (aditamento)</t>
        </is>
      </c>
      <c r="H1586" s="2" t="n"/>
      <c r="I1586" s="2" t="n"/>
      <c r="J1586" s="2" t="n"/>
      <c r="K1586" s="2" t="n"/>
      <c r="L1586" s="2" t="inlineStr">
        <is>
          <t>Artigo 28.º-A (Reforço de Profissionais de Saúde nos serviços prisionais)</t>
        </is>
      </c>
      <c r="M1586" s="4" t="n"/>
      <c r="N1586" s="4" t="n"/>
      <c r="O1586" s="2" t="n"/>
      <c r="P1586" s="2" t="n"/>
      <c r="Q1586" s="2" t="n"/>
      <c r="R1586" s="2" t="n"/>
      <c r="S1586" s="2" t="inlineStr">
        <is>
          <t>Rejeitado(a) em Comissão</t>
        </is>
      </c>
      <c r="T1586" s="2" t="inlineStr">
        <is>
          <t>Rejeitada</t>
        </is>
      </c>
      <c r="U1586" s="2" t="inlineStr">
        <is>
          <t>Favor: CH, BE, PAN; Contra: PSD, CDS-PP; Abstenção: PS, IL, L, PCP</t>
        </is>
      </c>
      <c r="V1586" s="3" t="n">
        <v>45981</v>
      </c>
      <c r="W1586" s="2" t="inlineStr">
        <is>
          <t>AR: https://www.parlamento.pt/OrcamentoEstado/Paginas/DetalhePropostaAlteracao.aspx?BID=24741 PDF: https://app.parlamento.pt/webutils/docs/doc.pdf?path=6148523063484d364c793942556b356c6443397a6158526c63793959566b6c4a544556484c3039464c7a49774d6a59794d4449314d5441774f5339515153396b5a5759305a544a6c4d4331695a5451794c54526a4e6d45744f4441774e4330344e3245775a575135595449344d4745756347526d&amp;Fich=def4e2e0-be42-4c6a-8004-87a0ed9a280a.pdf&amp;Inline=true</t>
        </is>
      </c>
      <c r="X1586" s="2" t="inlineStr">
        <is>
          <t>Saúde</t>
        </is>
      </c>
      <c r="Y1586" s="2" t="inlineStr">
        <is>
          <t>Articulado</t>
        </is>
      </c>
      <c r="Z1586" s="2" t="inlineStr">
        <is>
          <t>Aditamento (Artigo PPL)</t>
        </is>
      </c>
      <c r="AA1586" s="2" t="inlineStr">
        <is>
          <t>Rejeitado(a) em Comissão</t>
        </is>
      </c>
      <c r="AB1586" s="2" t="inlineStr"/>
      <c r="AC1586" s="2" t="inlineStr"/>
      <c r="AD1586" s="2" t="inlineStr">
        <is>
          <t>1</t>
        </is>
      </c>
      <c r="AE1586" s="2" t="inlineStr">
        <is>
          <t>24741</t>
        </is>
      </c>
      <c r="AF1586" s="2" t="inlineStr">
        <is>
          <t>https://www.parlamento.pt/OrcamentoEstado/Paginas/DetalhePropostaAlteracao.aspx?BID=24741</t>
        </is>
      </c>
      <c r="AG1586" s="2" t="inlineStr">
        <is>
          <t>https://app.parlamento.pt/webutils/docs/doc.pdf?path=6148523063484d364c793942556b356c6443397a6158526c63793959566b6c4a544556484c3039464c7a49774d6a59794d4449314d5441774f5339515153396b5a5759305a544a6c4d4331695a5451794c54526a4e6d45744f4441774e4330344e3245775a575135595449344d4745756347526d&amp;Fich=def4e2e0-be42-4c6a-8004-87a0ed9a280a.pdf&amp;Inline=true</t>
        </is>
      </c>
      <c r="AH1586" s="3" t="n">
        <v>46321.77847222222</v>
      </c>
      <c r="AI1586" s="3" t="n">
        <v>46321.78055555555</v>
      </c>
      <c r="AJ1586" s="2" t="inlineStr"/>
    </row>
    <row r="1587">
      <c r="A1587" s="2" t="n">
        <v>1586</v>
      </c>
      <c r="B1587" s="2" t="inlineStr">
        <is>
          <t>1495C</t>
        </is>
      </c>
      <c r="C1587" s="3" t="n">
        <v>45968.62638888889</v>
      </c>
      <c r="D1587" s="2" t="inlineStr">
        <is>
          <t>Original</t>
        </is>
      </c>
      <c r="E1587" s="2" t="inlineStr">
        <is>
          <t>CH</t>
        </is>
      </c>
      <c r="F158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587" s="2" t="inlineStr">
        <is>
          <t>Art. 43.º-A (aditamento)</t>
        </is>
      </c>
      <c r="H1587" s="2" t="n"/>
      <c r="I1587" s="2" t="n"/>
      <c r="J1587" s="2" t="n"/>
      <c r="K1587" s="2" t="n"/>
      <c r="L1587" s="2" t="inlineStr">
        <is>
          <t>Artigo 43.º-A (Financiamento de formação técnica setorial, estágios regionais e bolsas setoriais)</t>
        </is>
      </c>
      <c r="M1587" s="4" t="n"/>
      <c r="N1587" s="4" t="n"/>
      <c r="O1587" s="2" t="n"/>
      <c r="P1587" s="2" t="n"/>
      <c r="Q1587" s="2" t="n"/>
      <c r="R1587" s="2" t="n"/>
      <c r="S1587" s="2" t="inlineStr">
        <is>
          <t>Rejeitado(a) em Comissão</t>
        </is>
      </c>
      <c r="T1587" s="2" t="inlineStr">
        <is>
          <t>Rejeitada</t>
        </is>
      </c>
      <c r="U1587" s="2" t="inlineStr">
        <is>
          <t>Favor: CH; Contra: PSD, PS, PCP, CDS-PP; Abstenção: IL, L, BE, PAN</t>
        </is>
      </c>
      <c r="V1587" s="3" t="n">
        <v>45981</v>
      </c>
      <c r="W1587" s="2" t="inlineStr">
        <is>
          <t>AR: https://www.parlamento.pt/OrcamentoEstado/Paginas/DetalhePropostaAlteracao.aspx?BID=24742 PDF: https://app.parlamento.pt/webutils/docs/doc.pdf?path=6148523063484d364c793942556b356c6443397a6158526c63793959566b6c4a544556484c3039464c7a49774d6a59794d4449314d5441774f5339515153387a593245304e4749324f533078595745344c5451794f475574596a4e694f43316b5a474a6b4f54637a5a5445324e4445756347526d&amp;Fich=3ca44b69-1aa8-428e-b3b8-ddbd973e1641.pdf&amp;Inline=true</t>
        </is>
      </c>
      <c r="X1587" s="2" t="inlineStr">
        <is>
          <t>Trabalho, Segurança Social e Inclusão</t>
        </is>
      </c>
      <c r="Y1587" s="2" t="inlineStr">
        <is>
          <t>Articulado</t>
        </is>
      </c>
      <c r="Z1587" s="2" t="inlineStr">
        <is>
          <t>Aditamento (Artigo PPL)</t>
        </is>
      </c>
      <c r="AA1587" s="2" t="inlineStr">
        <is>
          <t>Rejeitado(a) em Comissão</t>
        </is>
      </c>
      <c r="AB1587" s="2" t="inlineStr"/>
      <c r="AC1587" s="2" t="inlineStr"/>
      <c r="AD1587" s="2" t="inlineStr">
        <is>
          <t>1</t>
        </is>
      </c>
      <c r="AE1587" s="2" t="inlineStr">
        <is>
          <t>24742</t>
        </is>
      </c>
      <c r="AF1587" s="2" t="inlineStr">
        <is>
          <t>https://www.parlamento.pt/OrcamentoEstado/Paginas/DetalhePropostaAlteracao.aspx?BID=24742</t>
        </is>
      </c>
      <c r="AG1587" s="2" t="inlineStr">
        <is>
          <t>https://app.parlamento.pt/webutils/docs/doc.pdf?path=6148523063484d364c793942556b356c6443397a6158526c63793959566b6c4a544556484c3039464c7a49774d6a59794d4449314d5441774f5339515153387a593245304e4749324f533078595745344c5451794f475574596a4e694f43316b5a474a6b4f54637a5a5445324e4445756347526d&amp;Fich=3ca44b69-1aa8-428e-b3b8-ddbd973e1641.pdf&amp;Inline=true</t>
        </is>
      </c>
      <c r="AH1587" s="3" t="n">
        <v>46321.77847222222</v>
      </c>
      <c r="AI1587" s="3" t="n">
        <v>46321.78055555555</v>
      </c>
      <c r="AJ1587" s="2" t="inlineStr"/>
    </row>
    <row r="1588">
      <c r="A1588" s="2" t="n">
        <v>1587</v>
      </c>
      <c r="B1588" s="2" t="inlineStr">
        <is>
          <t>1496C</t>
        </is>
      </c>
      <c r="C1588" s="3" t="n">
        <v>45968.62638888889</v>
      </c>
      <c r="D1588" s="2" t="inlineStr">
        <is>
          <t>Original</t>
        </is>
      </c>
      <c r="E1588" s="2" t="inlineStr">
        <is>
          <t>PCP</t>
        </is>
      </c>
      <c r="F1588" s="2" t="inlineStr">
        <is>
          <t>Alfredo Maia; Paula Santos; Paulo Raimundo</t>
        </is>
      </c>
      <c r="G1588" s="2" t="inlineStr">
        <is>
          <t>Art. 136.º-A (aditamento)</t>
        </is>
      </c>
      <c r="H1588" s="2" t="n"/>
      <c r="I1588" s="2" t="n"/>
      <c r="J1588" s="2" t="n"/>
      <c r="K1588" s="2" t="n"/>
      <c r="L1588" s="2" t="inlineStr">
        <is>
          <t>Artigo 136.º-A (Alteração aos sistemas de assistência na doença)</t>
        </is>
      </c>
      <c r="M1588" s="4" t="n"/>
      <c r="N1588" s="4" t="n"/>
      <c r="O1588" s="2" t="n"/>
      <c r="P1588" s="2" t="n"/>
      <c r="Q1588" s="2" t="n"/>
      <c r="R1588" s="2" t="n"/>
      <c r="S1588" s="2" t="inlineStr">
        <is>
          <t>Rejeitado(a) em Comissão</t>
        </is>
      </c>
      <c r="T1588" s="2" t="inlineStr">
        <is>
          <t>Rejeitada</t>
        </is>
      </c>
      <c r="U1588" s="2" t="inlineStr">
        <is>
          <t>Favor: L, PCP, BE, PAN; Contra: PSD, CDS-PP; Abstenção: CH, PS, IL</t>
        </is>
      </c>
      <c r="V1588" s="3" t="n">
        <v>45987</v>
      </c>
      <c r="W1588" s="2" t="inlineStr">
        <is>
          <t>AR: https://www.parlamento.pt/OrcamentoEstado/Paginas/DetalhePropostaAlteracao.aspx?BID=24743 PDF: https://app.parlamento.pt/webutils/docs/doc.pdf?path=6148523063484d364c793942556b356c6443397a6158526c63793959566b6c4a544556484c3039464c7a49774d6a59794d4449314d5441774f5339515153387a5a574e6a4e6a4e684d69316d4f574d314c54526a5a5451744f54646b4f53316c4d546b77596d4a6d5957466b4d574d756347526d&amp;Fich=3ecc63a2-f9c5-4ce4-97d9-e190bbfaad1c.pdf&amp;Inline=true</t>
        </is>
      </c>
      <c r="X1588" s="2" t="inlineStr">
        <is>
          <t>Orçamento, Finanças e Administração Pública</t>
        </is>
      </c>
      <c r="Y1588" s="2" t="inlineStr">
        <is>
          <t>Articulado</t>
        </is>
      </c>
      <c r="Z1588" s="2" t="inlineStr">
        <is>
          <t>Aditamento (Artigo PPL)</t>
        </is>
      </c>
      <c r="AA1588" s="2" t="inlineStr">
        <is>
          <t>Rejeitado(a) em Comissão</t>
        </is>
      </c>
      <c r="AB1588" s="2" t="inlineStr"/>
      <c r="AC1588" s="2" t="inlineStr"/>
      <c r="AD1588" s="2" t="inlineStr">
        <is>
          <t>1</t>
        </is>
      </c>
      <c r="AE1588" s="2" t="inlineStr">
        <is>
          <t>24743</t>
        </is>
      </c>
      <c r="AF1588" s="2" t="inlineStr">
        <is>
          <t>https://www.parlamento.pt/OrcamentoEstado/Paginas/DetalhePropostaAlteracao.aspx?BID=24743</t>
        </is>
      </c>
      <c r="AG1588" s="2" t="inlineStr">
        <is>
          <t>https://app.parlamento.pt/webutils/docs/doc.pdf?path=6148523063484d364c793942556b356c6443397a6158526c63793959566b6c4a544556484c3039464c7a49774d6a59794d4449314d5441774f5339515153387a5a574e6a4e6a4e684d69316d4f574d314c54526a5a5451744f54646b4f53316c4d546b77596d4a6d5957466b4d574d756347526d&amp;Fich=3ecc63a2-f9c5-4ce4-97d9-e190bbfaad1c.pdf&amp;Inline=true</t>
        </is>
      </c>
      <c r="AH1588" s="3" t="n">
        <v>46321.77847222222</v>
      </c>
      <c r="AI1588" s="3" t="n">
        <v>46321.78055555555</v>
      </c>
      <c r="AJ1588" s="2" t="inlineStr"/>
    </row>
    <row r="1589">
      <c r="A1589" s="2" t="n">
        <v>1588</v>
      </c>
      <c r="B1589" s="2" t="inlineStr">
        <is>
          <t>1497C</t>
        </is>
      </c>
      <c r="C1589" s="3" t="n">
        <v>45968.62638888889</v>
      </c>
      <c r="D1589" s="2" t="inlineStr">
        <is>
          <t>Original</t>
        </is>
      </c>
      <c r="E1589" s="2" t="inlineStr">
        <is>
          <t>PAN</t>
        </is>
      </c>
      <c r="F1589" s="2" t="inlineStr">
        <is>
          <t>Inês de Sousa Real</t>
        </is>
      </c>
      <c r="G1589" s="2" t="inlineStr">
        <is>
          <t>Art. 128.º-A (aditamento)</t>
        </is>
      </c>
      <c r="H1589" s="2" t="n"/>
      <c r="I1589" s="2" t="n"/>
      <c r="J1589" s="2" t="n"/>
      <c r="K1589" s="2" t="n"/>
      <c r="L1589" s="2" t="inlineStr">
        <is>
          <t>Artigo 128.º-A (Apoios à transição tecnológica no setor avícola e revisão da legislação relativa ao bem-estar animal)</t>
        </is>
      </c>
      <c r="M1589" s="4" t="n"/>
      <c r="N1589" s="4" t="n"/>
      <c r="O1589" s="2" t="n"/>
      <c r="P1589" s="2" t="n"/>
      <c r="Q1589" s="2" t="n"/>
      <c r="R1589" s="2" t="n"/>
      <c r="S1589" s="2" t="inlineStr">
        <is>
          <t>Rejeitado(a) em Comissão</t>
        </is>
      </c>
      <c r="T1589" s="2" t="inlineStr">
        <is>
          <t>Rejeitada</t>
        </is>
      </c>
      <c r="U1589" s="2" t="inlineStr">
        <is>
          <t>Favor: L, PCP, BE, PAN; Contra: PSD, CH, IL, CDS-PP; Abstenção: PS</t>
        </is>
      </c>
      <c r="V1589" s="3" t="n">
        <v>45985</v>
      </c>
      <c r="W1589" s="2" t="inlineStr">
        <is>
          <t>AR: https://www.parlamento.pt/OrcamentoEstado/Paginas/DetalhePropostaAlteracao.aspx?BID=24744 PDF: https://app.parlamento.pt/webutils/docs/doc.pdf?path=6148523063484d364c793942556b356c6443397a6158526c63793959566b6c4a544556484c3039464c7a49774d6a59794d4449314d5441774f5339515153387a4f474d315a575a6d4e6930774d6a59304c54526d4d445574596d5a6859533030596a4131596a46694f5463335a4441756347526d&amp;Fich=38c5eff6-0264-4f05-bfaa-4b05b1b977d0.pdf&amp;Inline=true</t>
        </is>
      </c>
      <c r="X1589" s="2" t="inlineStr">
        <is>
          <t>Agricultura e Pescas</t>
        </is>
      </c>
      <c r="Y1589" s="2" t="inlineStr">
        <is>
          <t>Articulado</t>
        </is>
      </c>
      <c r="Z1589" s="2" t="inlineStr">
        <is>
          <t>Aditamento (Artigo PPL)</t>
        </is>
      </c>
      <c r="AA1589" s="2" t="inlineStr">
        <is>
          <t>Rejeitado(a) em Comissão</t>
        </is>
      </c>
      <c r="AB1589" s="2" t="inlineStr"/>
      <c r="AC1589" s="2" t="inlineStr"/>
      <c r="AD1589" s="2" t="inlineStr">
        <is>
          <t>1</t>
        </is>
      </c>
      <c r="AE1589" s="2" t="inlineStr">
        <is>
          <t>24744</t>
        </is>
      </c>
      <c r="AF1589" s="2" t="inlineStr">
        <is>
          <t>https://www.parlamento.pt/OrcamentoEstado/Paginas/DetalhePropostaAlteracao.aspx?BID=24744</t>
        </is>
      </c>
      <c r="AG1589" s="2" t="inlineStr">
        <is>
          <t>https://app.parlamento.pt/webutils/docs/doc.pdf?path=6148523063484d364c793942556b356c6443397a6158526c63793959566b6c4a544556484c3039464c7a49774d6a59794d4449314d5441774f5339515153387a4f474d315a575a6d4e6930774d6a59304c54526d4d445574596d5a6859533030596a4131596a46694f5463335a4441756347526d&amp;Fich=38c5eff6-0264-4f05-bfaa-4b05b1b977d0.pdf&amp;Inline=true</t>
        </is>
      </c>
      <c r="AH1589" s="3" t="n">
        <v>46321.77847222222</v>
      </c>
      <c r="AI1589" s="3" t="n">
        <v>46321.78055555555</v>
      </c>
      <c r="AJ1589" s="2" t="inlineStr"/>
    </row>
    <row r="1590">
      <c r="A1590" s="2" t="n">
        <v>1589</v>
      </c>
      <c r="B1590" s="2" t="inlineStr">
        <is>
          <t>1498C</t>
        </is>
      </c>
      <c r="C1590" s="3" t="n">
        <v>45968.62708333333</v>
      </c>
      <c r="D1590" s="2" t="inlineStr">
        <is>
          <t>Original</t>
        </is>
      </c>
      <c r="E1590" s="2" t="inlineStr">
        <is>
          <t>PS</t>
        </is>
      </c>
      <c r="F1590" s="2" t="inlineStr">
        <is>
          <t>António Mendonça Mendes; Eduardo Pinheiro; Eurico Brilhante Dias; José Luís Carneiro; Luís Moreira Testa; Marina Gonçalves; Miguel Matos</t>
        </is>
      </c>
      <c r="G1590" s="2" t="inlineStr">
        <is>
          <t>Art. 136.º-A (aditamento)</t>
        </is>
      </c>
      <c r="H1590" s="2" t="n"/>
      <c r="I1590" s="2" t="n"/>
      <c r="J1590" s="2" t="n"/>
      <c r="K1590" s="2" t="n"/>
      <c r="L1590" s="2" t="inlineStr">
        <is>
          <t>Artigo 136.º-A (Alterações na Cobrança de Portagens)</t>
        </is>
      </c>
      <c r="M1590" s="4" t="n"/>
      <c r="N1590" s="4" t="n"/>
      <c r="O1590" s="2" t="n"/>
      <c r="P1590" s="2" t="n"/>
      <c r="Q1590" s="2" t="n"/>
      <c r="R1590" s="2" t="n"/>
      <c r="S1590" s="2" t="inlineStr">
        <is>
          <t>Aprovado(a) em Comissão</t>
        </is>
      </c>
      <c r="T1590" s="2" t="inlineStr">
        <is>
          <t>Aprovada</t>
        </is>
      </c>
      <c r="U1590" s="2" t="inlineStr">
        <is>
          <t>Favor: CH, PS, L, PAN; Contra: PSD, PCP, CDS-PP; Abstenção: IL, BE</t>
        </is>
      </c>
      <c r="V1590" s="3" t="n">
        <v>45987</v>
      </c>
      <c r="W1590" s="2" t="inlineStr">
        <is>
          <t>AR: https://www.parlamento.pt/OrcamentoEstado/Paginas/DetalhePropostaAlteracao.aspx?BID=24745 PDF: https://app.parlamento.pt/webutils/docs/doc.pdf?path=6148523063484d364c793942556b356c6443397a6158526c63793959566b6c4a544556484c3039464c7a49774d6a59794d4449314d5441774f533951515338334d7a6b35595759345a693077597a46684c5451344d3245744f546c6b596930335a6a6b7a597a4a6859574e6a596a63756347526d&amp;Fich=7399af8f-0c1a-483a-99db-7f93c2aaccb7.pdf&amp;Inline=true</t>
        </is>
      </c>
      <c r="X1590" s="2" t="inlineStr">
        <is>
          <t>Infraestruturas, Mobilidade e Habitação; Orçamento, Finanças e Administração Pública</t>
        </is>
      </c>
      <c r="Y1590" s="2" t="inlineStr">
        <is>
          <t>Articulado</t>
        </is>
      </c>
      <c r="Z1590" s="2" t="inlineStr">
        <is>
          <t>Aditamento (Artigo PPL)</t>
        </is>
      </c>
      <c r="AA1590" s="2" t="inlineStr">
        <is>
          <t>Aprovado(a) em Comissão</t>
        </is>
      </c>
      <c r="AB1590" s="2" t="inlineStr"/>
      <c r="AC1590" s="2" t="inlineStr"/>
      <c r="AD1590" s="2" t="inlineStr">
        <is>
          <t>1</t>
        </is>
      </c>
      <c r="AE1590" s="2" t="inlineStr">
        <is>
          <t>24745</t>
        </is>
      </c>
      <c r="AF1590" s="2" t="inlineStr">
        <is>
          <t>https://www.parlamento.pt/OrcamentoEstado/Paginas/DetalhePropostaAlteracao.aspx?BID=24745</t>
        </is>
      </c>
      <c r="AG1590" s="2" t="inlineStr">
        <is>
          <t>https://app.parlamento.pt/webutils/docs/doc.pdf?path=6148523063484d364c793942556b356c6443397a6158526c63793959566b6c4a544556484c3039464c7a49774d6a59794d4449314d5441774f533951515338334d7a6b35595759345a693077597a46684c5451344d3245744f546c6b596930335a6a6b7a597a4a6859574e6a596a63756347526d&amp;Fich=7399af8f-0c1a-483a-99db-7f93c2aaccb7.pdf&amp;Inline=true</t>
        </is>
      </c>
      <c r="AH1590" s="3" t="n">
        <v>46321.77847222222</v>
      </c>
      <c r="AI1590" s="3" t="n">
        <v>46321.78055555555</v>
      </c>
      <c r="AJ1590" s="2" t="inlineStr"/>
    </row>
    <row r="1591">
      <c r="A1591" s="2" t="n">
        <v>1590</v>
      </c>
      <c r="B1591" s="2" t="inlineStr">
        <is>
          <t>1499C</t>
        </is>
      </c>
      <c r="C1591" s="3" t="n">
        <v>45968.62708333333</v>
      </c>
      <c r="D1591" s="2" t="inlineStr">
        <is>
          <t>Original</t>
        </is>
      </c>
      <c r="E1591" s="2" t="inlineStr">
        <is>
          <t>PCP</t>
        </is>
      </c>
      <c r="F1591" s="2" t="inlineStr">
        <is>
          <t>Alfredo Maia; Paula Santos; Paulo Raimundo</t>
        </is>
      </c>
      <c r="G1591" s="2" t="inlineStr">
        <is>
          <t>Art. 136.º-A (aditamento)</t>
        </is>
      </c>
      <c r="H1591" s="2" t="n"/>
      <c r="I1591" s="2" t="n"/>
      <c r="J1591" s="2" t="n"/>
      <c r="K1591" s="2" t="n"/>
      <c r="L1591" s="2" t="inlineStr">
        <is>
          <t>Artigo 136.º-A (Alteração à Lei n.º 35/2014, de 20 de junho)</t>
        </is>
      </c>
      <c r="M1591" s="4" t="n"/>
      <c r="N1591" s="4" t="n"/>
      <c r="O1591" s="2" t="n"/>
      <c r="P1591" s="2" t="n"/>
      <c r="Q1591" s="2" t="n"/>
      <c r="R1591" s="2" t="n"/>
      <c r="S1591" s="2" t="inlineStr">
        <is>
          <t>Rejeitado(a) em Comissão</t>
        </is>
      </c>
      <c r="T1591" s="2" t="inlineStr">
        <is>
          <t>Rejeitada</t>
        </is>
      </c>
      <c r="U1591" s="2" t="inlineStr">
        <is>
          <t>Favor: L, PCP, BE, PAN; Contra: PSD, IL, CDS-PP; Abstenção: CH, PS</t>
        </is>
      </c>
      <c r="V1591" s="3" t="n">
        <v>45987</v>
      </c>
      <c r="W1591" s="2" t="inlineStr">
        <is>
          <t>AR: https://www.parlamento.pt/OrcamentoEstado/Paginas/DetalhePropostaAlteracao.aspx?BID=24746 PDF: https://app.parlamento.pt/webutils/docs/doc.pdf?path=6148523063484d364c793942556b356c6443397a6158526c63793959566b6c4a544556484c3039464c7a49774d6a59794d4449314d5441774f533951515338794d7a646c596a526a5a6930785a6d557a4c5452694e4449745957566d4e433034595451324d4459794d324a6d59574d756347526d&amp;Fich=237eb4cf-1fe3-4b42-aef4-8a460623bfac.pdf&amp;Inline=true</t>
        </is>
      </c>
      <c r="X1591" s="2" t="inlineStr">
        <is>
          <t>Orçamento, Finanças e Administração Pública</t>
        </is>
      </c>
      <c r="Y1591" s="2" t="inlineStr">
        <is>
          <t>Articulado</t>
        </is>
      </c>
      <c r="Z1591" s="2" t="inlineStr">
        <is>
          <t>Aditamento (Artigo PPL)</t>
        </is>
      </c>
      <c r="AA1591" s="2" t="inlineStr">
        <is>
          <t>Rejeitado(a) em Comissão</t>
        </is>
      </c>
      <c r="AB1591" s="2" t="inlineStr"/>
      <c r="AC1591" s="2" t="inlineStr"/>
      <c r="AD1591" s="2" t="inlineStr">
        <is>
          <t>1</t>
        </is>
      </c>
      <c r="AE1591" s="2" t="inlineStr">
        <is>
          <t>24746</t>
        </is>
      </c>
      <c r="AF1591" s="2" t="inlineStr">
        <is>
          <t>https://www.parlamento.pt/OrcamentoEstado/Paginas/DetalhePropostaAlteracao.aspx?BID=24746</t>
        </is>
      </c>
      <c r="AG1591" s="2" t="inlineStr">
        <is>
          <t>https://app.parlamento.pt/webutils/docs/doc.pdf?path=6148523063484d364c793942556b356c6443397a6158526c63793959566b6c4a544556484c3039464c7a49774d6a59794d4449314d5441774f533951515338794d7a646c596a526a5a6930785a6d557a4c5452694e4449745957566d4e433034595451324d4459794d324a6d59574d756347526d&amp;Fich=237eb4cf-1fe3-4b42-aef4-8a460623bfac.pdf&amp;Inline=true</t>
        </is>
      </c>
      <c r="AH1591" s="3" t="n">
        <v>46321.77847222222</v>
      </c>
      <c r="AI1591" s="3" t="n">
        <v>46321.78055555555</v>
      </c>
      <c r="AJ1591" s="2" t="inlineStr"/>
    </row>
    <row r="1592">
      <c r="A1592" s="2" t="n">
        <v>1591</v>
      </c>
      <c r="B1592" s="2" t="inlineStr">
        <is>
          <t>1500C</t>
        </is>
      </c>
      <c r="C1592" s="3" t="n">
        <v>45968.62777777778</v>
      </c>
      <c r="D1592" s="2" t="inlineStr">
        <is>
          <t>Original</t>
        </is>
      </c>
      <c r="E1592" s="2" t="inlineStr">
        <is>
          <t>PAN</t>
        </is>
      </c>
      <c r="F1592" s="2" t="inlineStr">
        <is>
          <t>Inês de Sousa Real</t>
        </is>
      </c>
      <c r="G1592" s="2" t="inlineStr">
        <is>
          <t>Art. 38.º-A (aditamento)</t>
        </is>
      </c>
      <c r="H1592" s="2" t="n"/>
      <c r="I1592" s="2" t="n"/>
      <c r="J1592" s="2" t="n"/>
      <c r="K1592" s="2" t="n"/>
      <c r="L1592" s="2" t="inlineStr">
        <is>
          <t>Artigo 38.º-A (Atribuição do estatuto de profissão de desgaste rápido aos vidreiros)</t>
        </is>
      </c>
      <c r="M1592" s="4" t="n"/>
      <c r="N1592" s="4" t="n"/>
      <c r="O1592" s="2" t="n"/>
      <c r="P1592" s="2" t="n"/>
      <c r="Q1592" s="2" t="n"/>
      <c r="R1592" s="2" t="n"/>
      <c r="S1592" s="2" t="inlineStr">
        <is>
          <t>Rejeitado(a) em Comissão</t>
        </is>
      </c>
      <c r="T1592" s="2" t="inlineStr">
        <is>
          <t>Rejeitada</t>
        </is>
      </c>
      <c r="U1592" s="2" t="inlineStr">
        <is>
          <t>Favor: L, PCP, BE, PAN; Contra: PSD, IL, CDS-PP; Abstenção: CH, PS</t>
        </is>
      </c>
      <c r="V1592" s="3" t="n">
        <v>45981</v>
      </c>
      <c r="W1592" s="2" t="inlineStr">
        <is>
          <t>AR: https://www.parlamento.pt/OrcamentoEstado/Paginas/DetalhePropostaAlteracao.aspx?BID=24747 PDF: https://app.parlamento.pt/webutils/docs/doc.pdf?path=6148523063484d364c793942556b356c6443397a6158526c63793959566b6c4a544556484c3039464c7a49774d6a59794d4449314d5441774f533951515338305a5451794e6a4e684e5330355a4459784c54526b4e324574596a4d354e79316b4f4449784f4441344d54566b596d59756347526d&amp;Fich=4e4263a5-9d61-4d7a-b397-d82180815dbf.pdf&amp;Inline=true</t>
        </is>
      </c>
      <c r="X1592" s="2" t="inlineStr">
        <is>
          <t>Trabalho, Segurança Social e Inclusão</t>
        </is>
      </c>
      <c r="Y1592" s="2" t="inlineStr">
        <is>
          <t>Articulado</t>
        </is>
      </c>
      <c r="Z1592" s="2" t="inlineStr">
        <is>
          <t>Aditamento (Artigo PPL)</t>
        </is>
      </c>
      <c r="AA1592" s="2" t="inlineStr">
        <is>
          <t>Rejeitado(a) em Comissão</t>
        </is>
      </c>
      <c r="AB1592" s="2" t="inlineStr"/>
      <c r="AC1592" s="2" t="inlineStr"/>
      <c r="AD1592" s="2" t="inlineStr">
        <is>
          <t>1</t>
        </is>
      </c>
      <c r="AE1592" s="2" t="inlineStr">
        <is>
          <t>24747</t>
        </is>
      </c>
      <c r="AF1592" s="2" t="inlineStr">
        <is>
          <t>https://www.parlamento.pt/OrcamentoEstado/Paginas/DetalhePropostaAlteracao.aspx?BID=24747</t>
        </is>
      </c>
      <c r="AG1592" s="2" t="inlineStr">
        <is>
          <t>https://app.parlamento.pt/webutils/docs/doc.pdf?path=6148523063484d364c793942556b356c6443397a6158526c63793959566b6c4a544556484c3039464c7a49774d6a59794d4449314d5441774f533951515338305a5451794e6a4e684e5330355a4459784c54526b4e324574596a4d354e79316b4f4449784f4441344d54566b596d59756347526d&amp;Fich=4e4263a5-9d61-4d7a-b397-d82180815dbf.pdf&amp;Inline=true</t>
        </is>
      </c>
      <c r="AH1592" s="3" t="n">
        <v>46321.77847222222</v>
      </c>
      <c r="AI1592" s="3" t="n">
        <v>46321.78055555555</v>
      </c>
      <c r="AJ1592" s="2" t="inlineStr"/>
    </row>
    <row r="1593">
      <c r="A1593" s="2" t="n">
        <v>1592</v>
      </c>
      <c r="B1593" s="2" t="inlineStr">
        <is>
          <t>1501C</t>
        </is>
      </c>
      <c r="C1593" s="3" t="n">
        <v>45968.62777777778</v>
      </c>
      <c r="D1593" s="2" t="inlineStr">
        <is>
          <t>Original</t>
        </is>
      </c>
      <c r="E1593" s="2" t="inlineStr">
        <is>
          <t>CH</t>
        </is>
      </c>
      <c r="F159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593" s="2" t="inlineStr">
        <is>
          <t>Art. 46.º-A (aditamento)</t>
        </is>
      </c>
      <c r="H1593" s="2" t="n"/>
      <c r="I1593" s="2" t="n"/>
      <c r="J1593" s="2" t="n"/>
      <c r="K1593" s="2" t="n"/>
      <c r="L1593" s="2" t="inlineStr">
        <is>
          <t>Artigo 46.º-A (Revisão dos critérios de atribuição e de continuidade do rendimento social de inserção e de prestações sociais equivalentes)</t>
        </is>
      </c>
      <c r="M1593" s="4" t="n"/>
      <c r="N1593" s="4" t="n"/>
      <c r="O1593" s="2" t="n"/>
      <c r="P1593" s="2" t="n"/>
      <c r="Q1593" s="2" t="n"/>
      <c r="R1593" s="2" t="n"/>
      <c r="S1593" s="2" t="inlineStr">
        <is>
          <t>Rejeitado(a) em Comissão</t>
        </is>
      </c>
      <c r="T1593" s="2" t="inlineStr">
        <is>
          <t>Rejeitada</t>
        </is>
      </c>
      <c r="U1593" s="2" t="inlineStr">
        <is>
          <t>Favor: CH; Contra: PSD, PS, IL, L, PCP, BE, PAN; Abstenção: CDS-PP</t>
        </is>
      </c>
      <c r="V1593" s="3" t="n">
        <v>45981</v>
      </c>
      <c r="W1593" s="2" t="inlineStr">
        <is>
          <t>AR: https://www.parlamento.pt/OrcamentoEstado/Paginas/DetalhePropostaAlteracao.aspx?BID=24748 PDF: https://app.parlamento.pt/webutils/docs/doc.pdf?path=6148523063484d364c793942556b356c6443397a6158526c63793959566b6c4a544556484c3039464c7a49774d6a59794d4449314d5441774f533951515339685a6a63324d7a67334e69307a595751344c5451324d7a5974595451354e7931684d445535597a6b354d6d4933596d49756347526d&amp;Fich=af763876-3ad8-4636-a497-a059c992b7bb.pdf&amp;Inline=true</t>
        </is>
      </c>
      <c r="X1593" s="2" t="inlineStr">
        <is>
          <t>Trabalho, Segurança Social e Inclusão</t>
        </is>
      </c>
      <c r="Y1593" s="2" t="inlineStr">
        <is>
          <t>Articulado</t>
        </is>
      </c>
      <c r="Z1593" s="2" t="inlineStr">
        <is>
          <t>Aditamento (Artigo PPL)</t>
        </is>
      </c>
      <c r="AA1593" s="2" t="inlineStr">
        <is>
          <t>Rejeitado(a) em Comissão</t>
        </is>
      </c>
      <c r="AB1593" s="2" t="inlineStr"/>
      <c r="AC1593" s="2" t="inlineStr"/>
      <c r="AD1593" s="2" t="inlineStr">
        <is>
          <t>1</t>
        </is>
      </c>
      <c r="AE1593" s="2" t="inlineStr">
        <is>
          <t>24748</t>
        </is>
      </c>
      <c r="AF1593" s="2" t="inlineStr">
        <is>
          <t>https://www.parlamento.pt/OrcamentoEstado/Paginas/DetalhePropostaAlteracao.aspx?BID=24748</t>
        </is>
      </c>
      <c r="AG1593" s="2" t="inlineStr">
        <is>
          <t>https://app.parlamento.pt/webutils/docs/doc.pdf?path=6148523063484d364c793942556b356c6443397a6158526c63793959566b6c4a544556484c3039464c7a49774d6a59794d4449314d5441774f533951515339685a6a63324d7a67334e69307a595751344c5451324d7a5974595451354e7931684d445535597a6b354d6d4933596d49756347526d&amp;Fich=af763876-3ad8-4636-a497-a059c992b7bb.pdf&amp;Inline=true</t>
        </is>
      </c>
      <c r="AH1593" s="3" t="n">
        <v>46321.77847222222</v>
      </c>
      <c r="AI1593" s="3" t="n">
        <v>46321.78055555555</v>
      </c>
      <c r="AJ1593" s="2" t="inlineStr"/>
    </row>
    <row r="1594">
      <c r="A1594" s="2" t="n">
        <v>1593</v>
      </c>
      <c r="B1594" s="2" t="inlineStr">
        <is>
          <t>1502C</t>
        </is>
      </c>
      <c r="C1594" s="3" t="n">
        <v>45968.62777777778</v>
      </c>
      <c r="D1594" s="2" t="inlineStr">
        <is>
          <t>Original</t>
        </is>
      </c>
      <c r="E1594" s="2" t="inlineStr">
        <is>
          <t>PAN</t>
        </is>
      </c>
      <c r="F1594" s="2" t="inlineStr">
        <is>
          <t>Inês de Sousa Real</t>
        </is>
      </c>
      <c r="G1594" s="2" t="inlineStr">
        <is>
          <t>Art. 61.º (substituição)</t>
        </is>
      </c>
      <c r="H1594" s="2" t="n"/>
      <c r="I1594" s="2" t="n"/>
      <c r="J1594" s="2" t="n"/>
      <c r="K1594" s="2" t="n"/>
      <c r="L1594" s="2" t="inlineStr">
        <is>
          <t>N.º 15, Artigo 43.º do Código do IRC</t>
        </is>
      </c>
      <c r="M1594" s="4" t="n"/>
      <c r="N1594" s="4" t="n"/>
      <c r="O1594" s="2" t="n"/>
      <c r="P1594" s="2" t="n"/>
      <c r="Q1594" s="2" t="n"/>
      <c r="R1594" s="2" t="n"/>
      <c r="S1594" s="2" t="inlineStr">
        <is>
          <t>Rejeitado(a) em Comissão</t>
        </is>
      </c>
      <c r="T1594" s="2" t="inlineStr">
        <is>
          <t>Rejeitada</t>
        </is>
      </c>
      <c r="U1594" s="2" t="inlineStr">
        <is>
          <t>Favor: CH, IL, L, PAN; Contra: PSD, PCP, CDS-PP, BE; Abstenção: PS</t>
        </is>
      </c>
      <c r="V1594" s="3" t="n">
        <v>45981</v>
      </c>
      <c r="W1594" s="2" t="inlineStr">
        <is>
          <t>AR: https://www.parlamento.pt/OrcamentoEstado/Paginas/DetalhePropostaAlteracao.aspx?BID=24749 PDF: https://app.parlamento.pt/webutils/docs/doc.pdf?path=6148523063484d364c793942556b356c6443397a6158526c63793959566b6c4a544556484c3039464c7a49774d6a59794d4449314d5441774f533951515338325957513559324d34597930325a5455794c5451345a4463744f446b784d433030597a59355a6a49795a5759354e544d756347526d&amp;Fich=6ad9cc8c-6e52-48d7-8910-4c69f22ef953.pdf&amp;Inline=true</t>
        </is>
      </c>
      <c r="X1594" s="2" t="inlineStr">
        <is>
          <t>Orçamento, Finanças e Administração Pública</t>
        </is>
      </c>
      <c r="Y1594" s="2" t="inlineStr">
        <is>
          <t>Articulado</t>
        </is>
      </c>
      <c r="Z1594" s="2" t="inlineStr">
        <is>
          <t>Substituição</t>
        </is>
      </c>
      <c r="AA1594" s="2" t="inlineStr">
        <is>
          <t>Rejeitado(a) em Comissão</t>
        </is>
      </c>
      <c r="AB1594" s="2" t="inlineStr"/>
      <c r="AC1594" s="2" t="inlineStr"/>
      <c r="AD1594" s="2" t="inlineStr">
        <is>
          <t>1</t>
        </is>
      </c>
      <c r="AE1594" s="2" t="inlineStr">
        <is>
          <t>24749</t>
        </is>
      </c>
      <c r="AF1594" s="2" t="inlineStr">
        <is>
          <t>https://www.parlamento.pt/OrcamentoEstado/Paginas/DetalhePropostaAlteracao.aspx?BID=24749</t>
        </is>
      </c>
      <c r="AG1594" s="2" t="inlineStr">
        <is>
          <t>https://app.parlamento.pt/webutils/docs/doc.pdf?path=6148523063484d364c793942556b356c6443397a6158526c63793959566b6c4a544556484c3039464c7a49774d6a59794d4449314d5441774f533951515338325957513559324d34597930325a5455794c5451345a4463744f446b784d433030597a59355a6a49795a5759354e544d756347526d&amp;Fich=6ad9cc8c-6e52-48d7-8910-4c69f22ef953.pdf&amp;Inline=true</t>
        </is>
      </c>
      <c r="AH1594" s="3" t="n">
        <v>46321.77847222222</v>
      </c>
      <c r="AI1594" s="3" t="n">
        <v>46321.78055555555</v>
      </c>
      <c r="AJ1594" s="2" t="inlineStr"/>
    </row>
    <row r="1595">
      <c r="A1595" s="2" t="n">
        <v>1594</v>
      </c>
      <c r="B1595" s="2" t="inlineStr">
        <is>
          <t>1503C</t>
        </is>
      </c>
      <c r="C1595" s="3" t="n">
        <v>45968.62777777778</v>
      </c>
      <c r="D1595" s="2" t="inlineStr">
        <is>
          <t>Original</t>
        </is>
      </c>
      <c r="E1595" s="2" t="inlineStr">
        <is>
          <t>PCP</t>
        </is>
      </c>
      <c r="F1595" s="2" t="inlineStr">
        <is>
          <t>Alfredo Maia; Paula Santos; Paulo Raimundo</t>
        </is>
      </c>
      <c r="G1595" s="2" t="inlineStr">
        <is>
          <t>Art. 18.º-A (aditamento)</t>
        </is>
      </c>
      <c r="H1595" s="2" t="n"/>
      <c r="I1595" s="2" t="n"/>
      <c r="J1595" s="2" t="n"/>
      <c r="K1595" s="2" t="n"/>
      <c r="L1595" s="2" t="inlineStr">
        <is>
          <t>Artigo 18.º-A (Recuperação de pontos do SIADAP)</t>
        </is>
      </c>
      <c r="M1595" s="4" t="n"/>
      <c r="N1595" s="4" t="n"/>
      <c r="O1595" s="2" t="n"/>
      <c r="P1595" s="2" t="n"/>
      <c r="Q1595" s="2" t="n"/>
      <c r="R1595" s="2" t="n"/>
      <c r="S1595" s="2" t="inlineStr">
        <is>
          <t>Rejeitado(a) em Comissão</t>
        </is>
      </c>
      <c r="T1595" s="2" t="inlineStr">
        <is>
          <t>Rejeitada</t>
        </is>
      </c>
      <c r="U1595" s="2" t="inlineStr">
        <is>
          <t>Favor: L, PCP, BE, PAN; Contra: PSD, IL, CDS-PP; Abstenção: CH, PS</t>
        </is>
      </c>
      <c r="V1595" s="3" t="n">
        <v>45981</v>
      </c>
      <c r="W1595" s="2" t="inlineStr">
        <is>
          <t>AR: https://www.parlamento.pt/OrcamentoEstado/Paginas/DetalhePropostaAlteracao.aspx?BID=24750 PDF: https://app.parlamento.pt/webutils/docs/doc.pdf?path=6148523063484d364c793942556b356c6443397a6158526c63793959566b6c4a544556484c3039464c7a49774d6a59794d4449314d5441774f5339515153396b597a55784e6d4d315a43307a4e6a45794c5451334f5455744f4455334d43307a4f545a6a596a4e69596a466c4e4445756347526d&amp;Fich=dc516c5d-3612-4795-8570-396cb3bb1e41.pdf&amp;Inline=true</t>
        </is>
      </c>
      <c r="X1595" s="2" t="inlineStr">
        <is>
          <t>Orçamento, Finanças e Administração Pública</t>
        </is>
      </c>
      <c r="Y1595" s="2" t="inlineStr">
        <is>
          <t>Articulado</t>
        </is>
      </c>
      <c r="Z1595" s="2" t="inlineStr">
        <is>
          <t>Aditamento (Artigo PPL)</t>
        </is>
      </c>
      <c r="AA1595" s="2" t="inlineStr">
        <is>
          <t>Rejeitado(a) em Comissão</t>
        </is>
      </c>
      <c r="AB1595" s="2" t="inlineStr"/>
      <c r="AC1595" s="2" t="inlineStr"/>
      <c r="AD1595" s="2" t="inlineStr">
        <is>
          <t>1</t>
        </is>
      </c>
      <c r="AE1595" s="2" t="inlineStr">
        <is>
          <t>24750</t>
        </is>
      </c>
      <c r="AF1595" s="2" t="inlineStr">
        <is>
          <t>https://www.parlamento.pt/OrcamentoEstado/Paginas/DetalhePropostaAlteracao.aspx?BID=24750</t>
        </is>
      </c>
      <c r="AG1595" s="2" t="inlineStr">
        <is>
          <t>https://app.parlamento.pt/webutils/docs/doc.pdf?path=6148523063484d364c793942556b356c6443397a6158526c63793959566b6c4a544556484c3039464c7a49774d6a59794d4449314d5441774f5339515153396b597a55784e6d4d315a43307a4e6a45794c5451334f5455744f4455334d43307a4f545a6a596a4e69596a466c4e4445756347526d&amp;Fich=dc516c5d-3612-4795-8570-396cb3bb1e41.pdf&amp;Inline=true</t>
        </is>
      </c>
      <c r="AH1595" s="3" t="n">
        <v>46321.77847222222</v>
      </c>
      <c r="AI1595" s="3" t="n">
        <v>46321.78055555555</v>
      </c>
      <c r="AJ1595" s="2" t="inlineStr"/>
    </row>
    <row r="1596">
      <c r="A1596" s="2" t="n">
        <v>1595</v>
      </c>
      <c r="B1596" s="2" t="inlineStr">
        <is>
          <t>1504C</t>
        </is>
      </c>
      <c r="C1596" s="3" t="n">
        <v>45968.62847222222</v>
      </c>
      <c r="D1596" s="2" t="inlineStr">
        <is>
          <t>Original</t>
        </is>
      </c>
      <c r="E1596" s="2" t="inlineStr">
        <is>
          <t>CH</t>
        </is>
      </c>
      <c r="F159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596" s="2" t="inlineStr">
        <is>
          <t>Art. 136.º-A (aditamento)</t>
        </is>
      </c>
      <c r="H1596" s="2" t="n"/>
      <c r="I1596" s="2" t="n"/>
      <c r="J1596" s="2" t="n"/>
      <c r="K1596" s="2" t="n"/>
      <c r="L1596" s="2" t="inlineStr">
        <is>
          <t>Artigo 136.º-A (Construção de um parque logístico e alocação de Start-ups junto à saída da A14 em Ançã)</t>
        </is>
      </c>
      <c r="M1596" s="4" t="n"/>
      <c r="N1596" s="4" t="n"/>
      <c r="O1596" s="2" t="n"/>
      <c r="P1596" s="2" t="n"/>
      <c r="Q1596" s="2" t="n"/>
      <c r="R1596" s="2" t="n"/>
      <c r="S1596" s="2" t="inlineStr">
        <is>
          <t>Rejeitado(a) em Comissão</t>
        </is>
      </c>
      <c r="T1596" s="2" t="inlineStr">
        <is>
          <t>Rejeitada</t>
        </is>
      </c>
      <c r="U1596" s="2" t="inlineStr">
        <is>
          <t>Favor: CH; Contra: PSD, PCP, CDS-PP; Abstenção: PS, IL, L, BE, PAN</t>
        </is>
      </c>
      <c r="V1596" s="3" t="n">
        <v>45987</v>
      </c>
      <c r="W1596" s="2" t="inlineStr">
        <is>
          <t>AR: https://www.parlamento.pt/OrcamentoEstado/Paginas/DetalhePropostaAlteracao.aspx?BID=24751 PDF: https://app.parlamento.pt/webutils/docs/doc.pdf?path=6148523063484d364c793942556b356c6443397a6158526c63793959566b6c4a544556484c3039464c7a49774d6a59794d4449314d5441774f5339515153396b5a5755305a6a51345979316c4e446b784c54526d4e5749745954426d5a5330354d3249315a6a426c4d7a45774d3259756347526d&amp;Fich=dee4f48c-e491-4f5b-a0fe-93b5f0e3103f.pdf&amp;Inline=true</t>
        </is>
      </c>
      <c r="X1596" s="2" t="inlineStr">
        <is>
          <t>Infraestruturas, Mobilidade e Habitação</t>
        </is>
      </c>
      <c r="Y1596" s="2" t="inlineStr">
        <is>
          <t>Articulado</t>
        </is>
      </c>
      <c r="Z1596" s="2" t="inlineStr">
        <is>
          <t>Aditamento (Artigo PPL)</t>
        </is>
      </c>
      <c r="AA1596" s="2" t="inlineStr">
        <is>
          <t>Rejeitado(a) em Comissão</t>
        </is>
      </c>
      <c r="AB1596" s="2" t="inlineStr"/>
      <c r="AC1596" s="2" t="inlineStr"/>
      <c r="AD1596" s="2" t="inlineStr">
        <is>
          <t>1</t>
        </is>
      </c>
      <c r="AE1596" s="2" t="inlineStr">
        <is>
          <t>24751</t>
        </is>
      </c>
      <c r="AF1596" s="2" t="inlineStr">
        <is>
          <t>https://www.parlamento.pt/OrcamentoEstado/Paginas/DetalhePropostaAlteracao.aspx?BID=24751</t>
        </is>
      </c>
      <c r="AG1596" s="2" t="inlineStr">
        <is>
          <t>https://app.parlamento.pt/webutils/docs/doc.pdf?path=6148523063484d364c793942556b356c6443397a6158526c63793959566b6c4a544556484c3039464c7a49774d6a59794d4449314d5441774f5339515153396b5a5755305a6a51345979316c4e446b784c54526d4e5749745954426d5a5330354d3249315a6a426c4d7a45774d3259756347526d&amp;Fich=dee4f48c-e491-4f5b-a0fe-93b5f0e3103f.pdf&amp;Inline=true</t>
        </is>
      </c>
      <c r="AH1596" s="3" t="n">
        <v>46321.77847222222</v>
      </c>
      <c r="AI1596" s="3" t="n">
        <v>46321.78055555555</v>
      </c>
      <c r="AJ1596" s="2" t="inlineStr"/>
    </row>
    <row r="1597">
      <c r="A1597" s="2" t="n">
        <v>1596</v>
      </c>
      <c r="B1597" s="2" t="inlineStr">
        <is>
          <t>1505C</t>
        </is>
      </c>
      <c r="C1597" s="3" t="n">
        <v>45968.62847222222</v>
      </c>
      <c r="D1597" s="2" t="inlineStr">
        <is>
          <t>Original</t>
        </is>
      </c>
      <c r="E1597" s="2" t="inlineStr">
        <is>
          <t>PCP</t>
        </is>
      </c>
      <c r="F1597" s="2" t="inlineStr">
        <is>
          <t>Alfredo Maia; Paula Santos; Paulo Raimundo</t>
        </is>
      </c>
      <c r="G1597" s="2" t="inlineStr">
        <is>
          <t>Art. 18.º-A (aditamento)</t>
        </is>
      </c>
      <c r="H1597" s="2" t="n"/>
      <c r="I1597" s="2" t="n"/>
      <c r="J1597" s="2" t="n"/>
      <c r="K1597" s="2" t="n"/>
      <c r="L1597" s="2" t="inlineStr">
        <is>
          <t>Artigo 18.º-A (Consolidação da mobilidade intercarreiras e categorias)</t>
        </is>
      </c>
      <c r="M1597" s="4" t="n"/>
      <c r="N1597" s="4" t="n"/>
      <c r="O1597" s="2" t="n"/>
      <c r="P1597" s="2" t="n"/>
      <c r="Q1597" s="2" t="n"/>
      <c r="R1597" s="2" t="n"/>
      <c r="S1597" s="2" t="inlineStr">
        <is>
          <t>Rejeitado(a) em Comissão</t>
        </is>
      </c>
      <c r="T1597" s="2" t="inlineStr">
        <is>
          <t>Rejeitada</t>
        </is>
      </c>
      <c r="U1597" s="2" t="inlineStr">
        <is>
          <t>Favor: L, PCP, BE, PAN; Contra: PSD, IL, CDS-PP; Abstenção: CH, PS</t>
        </is>
      </c>
      <c r="V1597" s="3" t="n">
        <v>45981</v>
      </c>
      <c r="W1597" s="2" t="inlineStr">
        <is>
          <t>AR: https://www.parlamento.pt/OrcamentoEstado/Paginas/DetalhePropostaAlteracao.aspx?BID=24752 PDF: https://app.parlamento.pt/webutils/docs/doc.pdf?path=6148523063484d364c793942556b356c6443397a6158526c63793959566b6c4a544556484c3039464c7a49774d6a59794d4449314d5441774f533951515338304d54466c4f44466b596930325a4745794c54517a4f4755744f544d344f5330795a57557a4d4455354e6a63325a6a51756347526d&amp;Fich=411e81db-6da2-438e-9389-2ee3059676f4.pdf&amp;Inline=true</t>
        </is>
      </c>
      <c r="X1597" s="2" t="inlineStr">
        <is>
          <t>Orçamento, Finanças e Administração Pública</t>
        </is>
      </c>
      <c r="Y1597" s="2" t="inlineStr">
        <is>
          <t>Articulado</t>
        </is>
      </c>
      <c r="Z1597" s="2" t="inlineStr">
        <is>
          <t>Aditamento (Artigo PPL)</t>
        </is>
      </c>
      <c r="AA1597" s="2" t="inlineStr">
        <is>
          <t>Rejeitado(a) em Comissão</t>
        </is>
      </c>
      <c r="AB1597" s="2" t="inlineStr"/>
      <c r="AC1597" s="2" t="inlineStr"/>
      <c r="AD1597" s="2" t="inlineStr">
        <is>
          <t>1</t>
        </is>
      </c>
      <c r="AE1597" s="2" t="inlineStr">
        <is>
          <t>24752</t>
        </is>
      </c>
      <c r="AF1597" s="2" t="inlineStr">
        <is>
          <t>https://www.parlamento.pt/OrcamentoEstado/Paginas/DetalhePropostaAlteracao.aspx?BID=24752</t>
        </is>
      </c>
      <c r="AG1597" s="2" t="inlineStr">
        <is>
          <t>https://app.parlamento.pt/webutils/docs/doc.pdf?path=6148523063484d364c793942556b356c6443397a6158526c63793959566b6c4a544556484c3039464c7a49774d6a59794d4449314d5441774f533951515338304d54466c4f44466b596930325a4745794c54517a4f4755744f544d344f5330795a57557a4d4455354e6a63325a6a51756347526d&amp;Fich=411e81db-6da2-438e-9389-2ee3059676f4.pdf&amp;Inline=true</t>
        </is>
      </c>
      <c r="AH1597" s="3" t="n">
        <v>46321.77847222222</v>
      </c>
      <c r="AI1597" s="3" t="n">
        <v>46321.78055555555</v>
      </c>
      <c r="AJ1597" s="2" t="inlineStr"/>
    </row>
    <row r="1598">
      <c r="A1598" s="2" t="n">
        <v>1597</v>
      </c>
      <c r="B1598" s="2" t="inlineStr">
        <is>
          <t>1506C</t>
        </is>
      </c>
      <c r="C1598" s="3" t="n">
        <v>45968.62847222222</v>
      </c>
      <c r="D1598" s="2" t="inlineStr">
        <is>
          <t>Original</t>
        </is>
      </c>
      <c r="E1598" s="2" t="inlineStr">
        <is>
          <t>CH</t>
        </is>
      </c>
      <c r="F159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598" s="2" t="inlineStr">
        <is>
          <t>Art. 60.º-A (aditamento)</t>
        </is>
      </c>
      <c r="H1598" s="2" t="n"/>
      <c r="I1598" s="2" t="n"/>
      <c r="J1598" s="2" t="n"/>
      <c r="K1598" s="2" t="n"/>
      <c r="L1598" s="2" t="inlineStr">
        <is>
          <t>Artigo 60.º-A (Isenção de Tributação, em sede de IRS, do Trabalho Suplementar realizado por Profissionais de Saúde do SNS, para além do limite definido)</t>
        </is>
      </c>
      <c r="M1598" s="4" t="n"/>
      <c r="N1598" s="4" t="n"/>
      <c r="O1598" s="2" t="n"/>
      <c r="P1598" s="2" t="n"/>
      <c r="Q1598" s="2" t="n"/>
      <c r="R1598" s="2" t="n"/>
      <c r="S1598" s="2" t="inlineStr">
        <is>
          <t>Rejeitado(a) em Comissão</t>
        </is>
      </c>
      <c r="T1598" s="2" t="inlineStr">
        <is>
          <t>Rejeitada</t>
        </is>
      </c>
      <c r="U1598" s="2" t="inlineStr">
        <is>
          <t>Favor: CH, PAN; Contra: PSD, PS, L, PCP, CDS-PP, BE; Abstenção: IL</t>
        </is>
      </c>
      <c r="V1598" s="3" t="n">
        <v>45981</v>
      </c>
      <c r="W1598" s="2" t="inlineStr">
        <is>
          <t>AR: https://www.parlamento.pt/OrcamentoEstado/Paginas/DetalhePropostaAlteracao.aspx?BID=24753 PDF: https://app.parlamento.pt/webutils/docs/doc.pdf?path=6148523063484d364c793942556b356c6443397a6158526c63793959566b6c4a544556484c3039464c7a49774d6a59794d4449314d5441774f5339515153396a5a4745305a54426b4f53307a4f546b354c54526c4e6a49744f5445784e5330344e7a6335595455355a4751304f446b756347526d&amp;Fich=cda4e0d9-3999-4e62-9115-8779a59dd489.pdf&amp;Inline=true</t>
        </is>
      </c>
      <c r="X1598" s="2" t="inlineStr">
        <is>
          <t>Trabalho, Segurança Social e Inclusão</t>
        </is>
      </c>
      <c r="Y1598" s="2" t="inlineStr">
        <is>
          <t>Articulado</t>
        </is>
      </c>
      <c r="Z1598" s="2" t="inlineStr">
        <is>
          <t>Aditamento (Artigo PPL)</t>
        </is>
      </c>
      <c r="AA1598" s="2" t="inlineStr">
        <is>
          <t>Rejeitado(a) em Comissão</t>
        </is>
      </c>
      <c r="AB1598" s="2" t="inlineStr"/>
      <c r="AC1598" s="2" t="inlineStr"/>
      <c r="AD1598" s="2" t="inlineStr">
        <is>
          <t>1</t>
        </is>
      </c>
      <c r="AE1598" s="2" t="inlineStr">
        <is>
          <t>24753</t>
        </is>
      </c>
      <c r="AF1598" s="2" t="inlineStr">
        <is>
          <t>https://www.parlamento.pt/OrcamentoEstado/Paginas/DetalhePropostaAlteracao.aspx?BID=24753</t>
        </is>
      </c>
      <c r="AG1598" s="2" t="inlineStr">
        <is>
          <t>https://app.parlamento.pt/webutils/docs/doc.pdf?path=6148523063484d364c793942556b356c6443397a6158526c63793959566b6c4a544556484c3039464c7a49774d6a59794d4449314d5441774f5339515153396a5a4745305a54426b4f53307a4f546b354c54526c4e6a49744f5445784e5330344e7a6335595455355a4751304f446b756347526d&amp;Fich=cda4e0d9-3999-4e62-9115-8779a59dd489.pdf&amp;Inline=true</t>
        </is>
      </c>
      <c r="AH1598" s="3" t="n">
        <v>46321.77847222222</v>
      </c>
      <c r="AI1598" s="3" t="n">
        <v>46321.78055555555</v>
      </c>
      <c r="AJ1598" s="2" t="inlineStr"/>
    </row>
    <row r="1599">
      <c r="A1599" s="2" t="n">
        <v>1598</v>
      </c>
      <c r="B1599" s="2" t="inlineStr">
        <is>
          <t>1507C</t>
        </is>
      </c>
      <c r="C1599" s="3" t="n">
        <v>45968.62847222222</v>
      </c>
      <c r="D1599" s="2" t="inlineStr">
        <is>
          <t>Original</t>
        </is>
      </c>
      <c r="E1599" s="2" t="inlineStr">
        <is>
          <t>PS</t>
        </is>
      </c>
      <c r="F1599" s="2" t="inlineStr">
        <is>
          <t>António Mendonça Mendes; Eurico Brilhante Dias; José Luís Carneiro; Luís Moreira Testa; Marina Gonçalves; Miguel Matos; Susana Correia</t>
        </is>
      </c>
      <c r="G1599" s="2" t="inlineStr">
        <is>
          <t>Art. 136.º-A (aditamento)</t>
        </is>
      </c>
      <c r="H1599" s="2" t="n"/>
      <c r="I1599" s="2" t="n"/>
      <c r="J1599" s="2" t="n"/>
      <c r="K1599" s="2" t="n"/>
      <c r="L1599" s="2" t="inlineStr">
        <is>
          <t>Artigo 136.º-A (Alteração à Lei n.º 37/2024, de 7 de agosto)</t>
        </is>
      </c>
      <c r="M1599" s="4" t="n"/>
      <c r="N1599" s="4" t="n"/>
      <c r="O1599" s="2" t="n"/>
      <c r="P1599" s="2" t="n"/>
      <c r="Q1599" s="2" t="n"/>
      <c r="R1599" s="2" t="n"/>
      <c r="S1599" s="2" t="inlineStr">
        <is>
          <t>Aprovado(a) em Comissão</t>
        </is>
      </c>
      <c r="T1599" s="2" t="inlineStr">
        <is>
          <t>Aprovada</t>
        </is>
      </c>
      <c r="U1599" s="2" t="inlineStr">
        <is>
          <t>Favor: CH, PS, IL, L, PCP, BE; Contra: PSD, CDS-PP; Abstenção: PAN</t>
        </is>
      </c>
      <c r="V1599" s="3" t="n">
        <v>45987</v>
      </c>
      <c r="W1599" s="2" t="inlineStr">
        <is>
          <t>AR: https://www.parlamento.pt/OrcamentoEstado/Paginas/DetalhePropostaAlteracao.aspx?BID=24754 PDF: https://app.parlamento.pt/webutils/docs/doc.pdf?path=6148523063484d364c793942556b356c6443397a6158526c63793959566b6c4a544556484c3039464c7a49774d6a59794d4449314d5441774f533951515338304e546b7a596a63355a693035595752694c5451315954497459575a684f433078597a45335a6a4d3459575530595749756347526d&amp;Fich=4593b79f-9adb-45a2-afa8-1c17f38ae4ab.pdf&amp;Inline=true</t>
        </is>
      </c>
      <c r="X1599" s="2" t="inlineStr">
        <is>
          <t>Infraestruturas, Mobilidade e Habitação; Orçamento, Finanças e Administração Pública</t>
        </is>
      </c>
      <c r="Y1599" s="2" t="inlineStr">
        <is>
          <t>Articulado</t>
        </is>
      </c>
      <c r="Z1599" s="2" t="inlineStr">
        <is>
          <t>Aditamento (Artigo PPL)</t>
        </is>
      </c>
      <c r="AA1599" s="2" t="inlineStr">
        <is>
          <t>Aprovado(a) em Comissão</t>
        </is>
      </c>
      <c r="AB1599" s="2" t="inlineStr"/>
      <c r="AC1599" s="2" t="inlineStr"/>
      <c r="AD1599" s="2" t="inlineStr">
        <is>
          <t>1</t>
        </is>
      </c>
      <c r="AE1599" s="2" t="inlineStr">
        <is>
          <t>24754</t>
        </is>
      </c>
      <c r="AF1599" s="2" t="inlineStr">
        <is>
          <t>https://www.parlamento.pt/OrcamentoEstado/Paginas/DetalhePropostaAlteracao.aspx?BID=24754</t>
        </is>
      </c>
      <c r="AG1599" s="2" t="inlineStr">
        <is>
          <t>https://app.parlamento.pt/webutils/docs/doc.pdf?path=6148523063484d364c793942556b356c6443397a6158526c63793959566b6c4a544556484c3039464c7a49774d6a59794d4449314d5441774f533951515338304e546b7a596a63355a693035595752694c5451315954497459575a684f433078597a45335a6a4d3459575530595749756347526d&amp;Fich=4593b79f-9adb-45a2-afa8-1c17f38ae4ab.pdf&amp;Inline=true</t>
        </is>
      </c>
      <c r="AH1599" s="3" t="n">
        <v>46321.77847222222</v>
      </c>
      <c r="AI1599" s="3" t="n">
        <v>46321.78055555555</v>
      </c>
      <c r="AJ1599" s="2" t="inlineStr"/>
    </row>
    <row r="1600">
      <c r="A1600" s="2" t="n">
        <v>1599</v>
      </c>
      <c r="B1600" s="2" t="inlineStr">
        <is>
          <t>1508C</t>
        </is>
      </c>
      <c r="C1600" s="3" t="n">
        <v>45968.62916666667</v>
      </c>
      <c r="D1600" s="2" t="inlineStr">
        <is>
          <t>Original</t>
        </is>
      </c>
      <c r="E1600" s="2" t="inlineStr">
        <is>
          <t>Vários</t>
        </is>
      </c>
      <c r="F1600" s="2" t="inlineStr">
        <is>
          <t>Alberto Fonseca; Carla Barros; Francisco Pimentel; Helga Correia; Hugo Carneiro; Hugo Soares; Isaura Morais; João Pinho de Almeida; Paulo Núncio</t>
        </is>
      </c>
      <c r="G1600" s="2" t="inlineStr">
        <is>
          <t>Art. 39.º-A (aditamento)</t>
        </is>
      </c>
      <c r="H1600" s="2" t="n"/>
      <c r="I1600" s="2" t="n"/>
      <c r="J1600" s="2" t="n"/>
      <c r="K1600" s="2" t="n"/>
      <c r="L1600" s="2" t="inlineStr">
        <is>
          <t>Artigo 39.º-A (Alargamento e sustentabilidade do Serviço de Apoio à Vida Independente)</t>
        </is>
      </c>
      <c r="M1600" s="4" t="n"/>
      <c r="N1600" s="4" t="n"/>
      <c r="O1600" s="2" t="n"/>
      <c r="P1600" s="2" t="n"/>
      <c r="Q1600" s="2" t="n"/>
      <c r="R1600" s="2" t="n"/>
      <c r="S1600" s="2" t="inlineStr">
        <is>
          <t>Aprovado(a) em Comissão</t>
        </is>
      </c>
      <c r="T1600" s="2" t="inlineStr">
        <is>
          <t>Aprovada</t>
        </is>
      </c>
      <c r="U1600" s="2" t="inlineStr">
        <is>
          <t>Favor: PSD, CH, IL, L, CDS-PP, PAN; Contra: PS, BE; Abstenção: PCP</t>
        </is>
      </c>
      <c r="V1600" s="3" t="n">
        <v>45981</v>
      </c>
      <c r="W1600" s="2" t="inlineStr">
        <is>
          <t>AR: https://www.parlamento.pt/OrcamentoEstado/Paginas/DetalhePropostaAlteracao.aspx?BID=24755 PDF: https://app.parlamento.pt/webutils/docs/doc.pdf?path=6148523063484d364c793942556b356c6443397a6158526c63793959566b6c4a544556484c3039464c7a49774d6a59794d4449314d5441774f533951515338324d7a51324d6d49784f5330775a5451314c5451324e7a63744f446b344d43316c4e5755354e6d49355a4441795a5749756347526d&amp;Fich=63462b19-0e45-4677-8980-e5e96b9d02eb.pdf&amp;Inline=true</t>
        </is>
      </c>
      <c r="X1600" s="2" t="inlineStr">
        <is>
          <t>Trabalho, Segurança Social e Inclusão</t>
        </is>
      </c>
      <c r="Y1600" s="2" t="inlineStr">
        <is>
          <t>Articulado</t>
        </is>
      </c>
      <c r="Z1600" s="2" t="inlineStr">
        <is>
          <t>Aditamento (Artigo PPL)</t>
        </is>
      </c>
      <c r="AA1600" s="2" t="inlineStr">
        <is>
          <t>Aprovado(a) em Comissão</t>
        </is>
      </c>
      <c r="AB1600" s="2" t="inlineStr"/>
      <c r="AC1600" s="2" t="inlineStr"/>
      <c r="AD1600" s="2" t="inlineStr">
        <is>
          <t>1</t>
        </is>
      </c>
      <c r="AE1600" s="2" t="inlineStr">
        <is>
          <t>24755</t>
        </is>
      </c>
      <c r="AF1600" s="2" t="inlineStr">
        <is>
          <t>https://www.parlamento.pt/OrcamentoEstado/Paginas/DetalhePropostaAlteracao.aspx?BID=24755</t>
        </is>
      </c>
      <c r="AG1600" s="2" t="inlineStr">
        <is>
          <t>https://app.parlamento.pt/webutils/docs/doc.pdf?path=6148523063484d364c793942556b356c6443397a6158526c63793959566b6c4a544556484c3039464c7a49774d6a59794d4449314d5441774f533951515338324d7a51324d6d49784f5330775a5451314c5451324e7a63744f446b344d43316c4e5755354e6d49355a4441795a5749756347526d&amp;Fich=63462b19-0e45-4677-8980-e5e96b9d02eb.pdf&amp;Inline=true</t>
        </is>
      </c>
      <c r="AH1600" s="3" t="n">
        <v>46321.77847222222</v>
      </c>
      <c r="AI1600" s="3" t="n">
        <v>46321.78055555555</v>
      </c>
      <c r="AJ1600" s="2" t="inlineStr"/>
    </row>
    <row r="1601">
      <c r="A1601" s="2" t="n">
        <v>1600</v>
      </c>
      <c r="B1601" s="2" t="inlineStr">
        <is>
          <t>1509C</t>
        </is>
      </c>
      <c r="C1601" s="3" t="n">
        <v>45968.62916666667</v>
      </c>
      <c r="D1601" s="2" t="inlineStr">
        <is>
          <t>Original</t>
        </is>
      </c>
      <c r="E1601" s="2" t="inlineStr">
        <is>
          <t>CH</t>
        </is>
      </c>
      <c r="F160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01" s="2" t="inlineStr">
        <is>
          <t>Art. 136.º-A (aditamento)</t>
        </is>
      </c>
      <c r="H1601" s="2" t="n"/>
      <c r="I1601" s="2" t="n"/>
      <c r="J1601" s="2" t="n"/>
      <c r="K1601" s="2" t="n"/>
      <c r="L1601" s="2" t="inlineStr">
        <is>
          <t>Artigo 136.º-A (Construção de uma captação no rio Guadiana, a montante do Pomarão, com conduta adutora até à albufeira de Odeleite)</t>
        </is>
      </c>
      <c r="M1601" s="4" t="n"/>
      <c r="N1601" s="4" t="n"/>
      <c r="O1601" s="2" t="n"/>
      <c r="P1601" s="2" t="n"/>
      <c r="Q1601" s="2" t="n"/>
      <c r="R1601" s="2" t="n"/>
      <c r="S1601" s="2" t="inlineStr">
        <is>
          <t>Rejeitado(a) em Comissão</t>
        </is>
      </c>
      <c r="T1601" s="2" t="inlineStr">
        <is>
          <t>Rejeitada</t>
        </is>
      </c>
      <c r="U1601" s="2" t="inlineStr">
        <is>
          <t>Favor: CH; Contra: PSD, L, CDS-PP, BE, PAN; Abstenção: PS, IL, PCP</t>
        </is>
      </c>
      <c r="V1601" s="3" t="n">
        <v>45987</v>
      </c>
      <c r="W1601" s="2" t="inlineStr">
        <is>
          <t>AR: https://www.parlamento.pt/OrcamentoEstado/Paginas/DetalhePropostaAlteracao.aspx?BID=24756 PDF: https://app.parlamento.pt/webutils/docs/doc.pdf?path=6148523063484d364c793942556b356c6443397a6158526c63793959566b6c4a544556484c3039464c7a49774d6a59794d4449314d5441774f533951515338324d5451335a574669597930354d4459304c54526859545174596d59325a693169597a59775a6a67355a4759314d4459756347526d&amp;Fich=6147eabc-9064-4aa4-bf6f-bc60f89df506.pdf&amp;Inline=true</t>
        </is>
      </c>
      <c r="X1601" s="2" t="inlineStr">
        <is>
          <t>Ambiente e Energia</t>
        </is>
      </c>
      <c r="Y1601" s="2" t="inlineStr">
        <is>
          <t>Articulado</t>
        </is>
      </c>
      <c r="Z1601" s="2" t="inlineStr">
        <is>
          <t>Aditamento (Artigo PPL)</t>
        </is>
      </c>
      <c r="AA1601" s="2" t="inlineStr">
        <is>
          <t>Rejeitado(a) em Comissão</t>
        </is>
      </c>
      <c r="AB1601" s="2" t="inlineStr"/>
      <c r="AC1601" s="2" t="inlineStr"/>
      <c r="AD1601" s="2" t="inlineStr">
        <is>
          <t>1</t>
        </is>
      </c>
      <c r="AE1601" s="2" t="inlineStr">
        <is>
          <t>24756</t>
        </is>
      </c>
      <c r="AF1601" s="2" t="inlineStr">
        <is>
          <t>https://www.parlamento.pt/OrcamentoEstado/Paginas/DetalhePropostaAlteracao.aspx?BID=24756</t>
        </is>
      </c>
      <c r="AG1601" s="2" t="inlineStr">
        <is>
          <t>https://app.parlamento.pt/webutils/docs/doc.pdf?path=6148523063484d364c793942556b356c6443397a6158526c63793959566b6c4a544556484c3039464c7a49774d6a59794d4449314d5441774f533951515338324d5451335a574669597930354d4459304c54526859545174596d59325a693169597a59775a6a67355a4759314d4459756347526d&amp;Fich=6147eabc-9064-4aa4-bf6f-bc60f89df506.pdf&amp;Inline=true</t>
        </is>
      </c>
      <c r="AH1601" s="3" t="n">
        <v>46321.77847222222</v>
      </c>
      <c r="AI1601" s="3" t="n">
        <v>46321.78055555555</v>
      </c>
      <c r="AJ1601" s="2" t="inlineStr"/>
    </row>
    <row r="1602">
      <c r="A1602" s="2" t="n">
        <v>1601</v>
      </c>
      <c r="B1602" s="2" t="inlineStr">
        <is>
          <t>1510C</t>
        </is>
      </c>
      <c r="C1602" s="3" t="n">
        <v>45968.62916666667</v>
      </c>
      <c r="D1602" s="2" t="inlineStr">
        <is>
          <t>Original</t>
        </is>
      </c>
      <c r="E1602" s="2" t="inlineStr">
        <is>
          <t>PCP</t>
        </is>
      </c>
      <c r="F1602" s="2" t="inlineStr">
        <is>
          <t>Alfredo Maia; Paula Santos; Paulo Raimundo</t>
        </is>
      </c>
      <c r="G1602" s="2" t="inlineStr">
        <is>
          <t>Art. 28.º-A (aditamento)</t>
        </is>
      </c>
      <c r="H1602" s="2" t="n"/>
      <c r="I1602" s="2" t="n"/>
      <c r="J1602" s="2" t="n"/>
      <c r="K1602" s="2" t="n"/>
      <c r="L1602" s="2" t="inlineStr">
        <is>
          <t>Artigo 28.º-A (Contabilização integral de todo o tempo de serviço das carreiras e corpos especiais)</t>
        </is>
      </c>
      <c r="M1602" s="4" t="n"/>
      <c r="N1602" s="4" t="n"/>
      <c r="O1602" s="2" t="n"/>
      <c r="P1602" s="2" t="n"/>
      <c r="Q1602" s="2" t="n"/>
      <c r="R1602" s="2" t="n"/>
      <c r="S1602" s="2" t="inlineStr">
        <is>
          <t>Rejeitado(a) em Comissão</t>
        </is>
      </c>
      <c r="T1602" s="2" t="inlineStr">
        <is>
          <t>Rejeitada</t>
        </is>
      </c>
      <c r="U1602" s="2" t="inlineStr">
        <is>
          <t>Favor: CH, L, PCP, BE, PAN; Contra: PSD, IL, CDS-PP; Abstenção: PS</t>
        </is>
      </c>
      <c r="V1602" s="3" t="n">
        <v>45981</v>
      </c>
      <c r="W1602" s="2" t="inlineStr">
        <is>
          <t>AR: https://www.parlamento.pt/OrcamentoEstado/Paginas/DetalhePropostaAlteracao.aspx?BID=24757 PDF: https://app.parlamento.pt/webutils/docs/doc.pdf?path=6148523063484d364c793942556b356c6443397a6158526c63793959566b6c4a544556484c3039464c7a49774d6a59794d4449314d5441774f5339515153396d4d6a56695a6a41334f53316a4d4463354c5451315a5455744f57517a4f43307a595464694d546b324d6a63354f4445756347526d&amp;Fich=f25bf079-c079-45e5-9d38-3a7b19627981.pdf&amp;Inline=true</t>
        </is>
      </c>
      <c r="X1602" s="2" t="inlineStr">
        <is>
          <t>Orçamento, Finanças e Administração Pública</t>
        </is>
      </c>
      <c r="Y1602" s="2" t="inlineStr">
        <is>
          <t>Articulado</t>
        </is>
      </c>
      <c r="Z1602" s="2" t="inlineStr">
        <is>
          <t>Aditamento (Artigo PPL)</t>
        </is>
      </c>
      <c r="AA1602" s="2" t="inlineStr">
        <is>
          <t>Rejeitado(a) em Comissão</t>
        </is>
      </c>
      <c r="AB1602" s="2" t="inlineStr"/>
      <c r="AC1602" s="2" t="inlineStr"/>
      <c r="AD1602" s="2" t="inlineStr">
        <is>
          <t>1</t>
        </is>
      </c>
      <c r="AE1602" s="2" t="inlineStr">
        <is>
          <t>24757</t>
        </is>
      </c>
      <c r="AF1602" s="2" t="inlineStr">
        <is>
          <t>https://www.parlamento.pt/OrcamentoEstado/Paginas/DetalhePropostaAlteracao.aspx?BID=24757</t>
        </is>
      </c>
      <c r="AG1602" s="2" t="inlineStr">
        <is>
          <t>https://app.parlamento.pt/webutils/docs/doc.pdf?path=6148523063484d364c793942556b356c6443397a6158526c63793959566b6c4a544556484c3039464c7a49774d6a59794d4449314d5441774f5339515153396d4d6a56695a6a41334f53316a4d4463354c5451315a5455744f57517a4f43307a595464694d546b324d6a63354f4445756347526d&amp;Fich=f25bf079-c079-45e5-9d38-3a7b19627981.pdf&amp;Inline=true</t>
        </is>
      </c>
      <c r="AH1602" s="3" t="n">
        <v>46321.77847222222</v>
      </c>
      <c r="AI1602" s="3" t="n">
        <v>46321.78055555555</v>
      </c>
      <c r="AJ1602" s="2" t="inlineStr"/>
    </row>
    <row r="1603">
      <c r="A1603" s="2" t="n">
        <v>1602</v>
      </c>
      <c r="B1603" s="2" t="inlineStr">
        <is>
          <t>1511C-1</t>
        </is>
      </c>
      <c r="C1603" s="3" t="n">
        <v>45968.62916666667</v>
      </c>
      <c r="D1603" s="2" t="inlineStr">
        <is>
          <t>Original</t>
        </is>
      </c>
      <c r="E1603" s="2" t="inlineStr">
        <is>
          <t>PAN</t>
        </is>
      </c>
      <c r="F1603" s="2" t="inlineStr">
        <is>
          <t>Inês de Sousa Real</t>
        </is>
      </c>
      <c r="G1603" s="2" t="inlineStr">
        <is>
          <t>Art. 116.º-A (aditamento)</t>
        </is>
      </c>
      <c r="H1603" s="2" t="n"/>
      <c r="I1603" s="2" t="n"/>
      <c r="J1603" s="2" t="n"/>
      <c r="K1603" s="2" t="n"/>
      <c r="L1603" s="2" t="inlineStr">
        <is>
          <t>Artigo 116.º-A (Alteração à Portaria n.º 198/2022, de 27 de julho)</t>
        </is>
      </c>
      <c r="M1603" s="4" t="n"/>
      <c r="N1603" s="4" t="n"/>
      <c r="O1603" s="2" t="n"/>
      <c r="P1603" s="2" t="n"/>
      <c r="Q1603" s="2" t="n"/>
      <c r="R1603" s="2" t="n"/>
      <c r="S1603" s="2" t="inlineStr">
        <is>
          <t>Rejeitado(a) em Comissão</t>
        </is>
      </c>
      <c r="T1603" s="2" t="inlineStr">
        <is>
          <t>Rejeitada</t>
        </is>
      </c>
      <c r="U1603" s="2" t="inlineStr">
        <is>
          <t>Favor: CH, IL, L, PCP, BE, PAN; Contra: PSD, CDS-PP; Abstenção: PS</t>
        </is>
      </c>
      <c r="V1603" s="3" t="n">
        <v>45985</v>
      </c>
      <c r="W1603" s="2" t="inlineStr">
        <is>
          <t>AR: https://www.parlamento.pt/OrcamentoEstado/Paginas/DetalhePropostaAlteracao.aspx?BID=24758 PDF: https://app.parlamento.pt/webutils/docs/doc.pdf?path=6148523063484d364c793942556b356c6443397a6158526c63793959566b6c4a544556484c3039464c7a49774d6a59794d4449314d5441774f5339515153396d5a6d517a4d6a6c684d7930355a6a55354c5451794e4441744f574d355a4330334d546c6a4d6a686c596a5134595463756347526d&amp;Fich=ffd329a3-9f59-4240-9c9d-719c28eb48a7.pdf&amp;Inline=true</t>
        </is>
      </c>
      <c r="X1603" s="2" t="inlineStr">
        <is>
          <t>Trabalho, Segurança Social e Inclusão</t>
        </is>
      </c>
      <c r="Y1603" s="2" t="inlineStr">
        <is>
          <t>Articulado</t>
        </is>
      </c>
      <c r="Z1603" s="2" t="inlineStr">
        <is>
          <t>Aditamento (Artigo PPL)</t>
        </is>
      </c>
      <c r="AA1603" s="2" t="inlineStr">
        <is>
          <t>Rejeitado(a) em Comissão</t>
        </is>
      </c>
      <c r="AB1603" s="2" t="inlineStr"/>
      <c r="AC1603" s="2" t="inlineStr">
        <is>
          <t>1</t>
        </is>
      </c>
      <c r="AD1603" s="2" t="inlineStr">
        <is>
          <t>1</t>
        </is>
      </c>
      <c r="AE1603" s="2" t="inlineStr">
        <is>
          <t>24758</t>
        </is>
      </c>
      <c r="AF1603" s="2" t="inlineStr">
        <is>
          <t>https://www.parlamento.pt/OrcamentoEstado/Paginas/DetalhePropostaAlteracao.aspx?BID=24758</t>
        </is>
      </c>
      <c r="AG1603" s="2" t="inlineStr">
        <is>
          <t>https://app.parlamento.pt/webutils/docs/doc.pdf?path=6148523063484d364c793942556b356c6443397a6158526c63793959566b6c4a544556484c3039464c7a49774d6a59794d4449314d5441774f5339515153396d5a6d517a4d6a6c684d7930355a6a55354c5451794e4441744f574d355a4330334d546c6a4d6a686c596a5134595463756347526d&amp;Fich=ffd329a3-9f59-4240-9c9d-719c28eb48a7.pdf&amp;Inline=true</t>
        </is>
      </c>
      <c r="AH1603" s="3" t="n">
        <v>46321.77847222222</v>
      </c>
      <c r="AI1603" s="3" t="n">
        <v>46321.78055555555</v>
      </c>
      <c r="AJ1603" s="2" t="inlineStr"/>
    </row>
    <row r="1604">
      <c r="A1604" s="2" t="n">
        <v>1603</v>
      </c>
      <c r="B1604" s="2" t="inlineStr">
        <is>
          <t>1511C-2</t>
        </is>
      </c>
      <c r="C1604" s="3" t="n">
        <v>45968.62916666667</v>
      </c>
      <c r="D1604" s="2" t="inlineStr">
        <is>
          <t>Original</t>
        </is>
      </c>
      <c r="E1604" s="2" t="inlineStr">
        <is>
          <t>PAN</t>
        </is>
      </c>
      <c r="F1604" s="2" t="inlineStr">
        <is>
          <t>Inês de Sousa Real</t>
        </is>
      </c>
      <c r="G1604" s="2" t="inlineStr">
        <is>
          <t>Art. 116.º-B (aditamento)</t>
        </is>
      </c>
      <c r="H1604" s="2" t="n"/>
      <c r="I1604" s="2" t="n"/>
      <c r="J1604" s="2" t="n"/>
      <c r="K1604" s="2" t="n"/>
      <c r="L1604" s="2" t="inlineStr">
        <is>
          <t>Artigo 116.º-B (Alteração à Portaria n.º 305/2022, de 22 de dezembro)</t>
        </is>
      </c>
      <c r="M1604" s="4" t="n"/>
      <c r="N1604" s="4" t="n"/>
      <c r="O1604" s="2" t="n"/>
      <c r="P1604" s="2" t="n"/>
      <c r="Q1604" s="2" t="n"/>
      <c r="R1604" s="2" t="n"/>
      <c r="S1604" s="2" t="inlineStr">
        <is>
          <t>Rejeitado(a) em Comissão</t>
        </is>
      </c>
      <c r="T1604" s="2" t="inlineStr">
        <is>
          <t>Rejeitada</t>
        </is>
      </c>
      <c r="U1604" s="2" t="inlineStr">
        <is>
          <t>Favor: CH, IL, L, PCP, BE, PAN; Contra: PSD, CDS-PP; Abstenção: PS</t>
        </is>
      </c>
      <c r="V1604" s="3" t="n">
        <v>45985</v>
      </c>
      <c r="W1604" s="2" t="inlineStr">
        <is>
          <t>AR: https://www.parlamento.pt/OrcamentoEstado/Paginas/DetalhePropostaAlteracao.aspx?BID=25377 PDF: https://app.parlamento.pt/webutils/docs/doc.pdf?path=6148523063484d364c793942556b356c6443397a6158526c63793959566b6c4a544556484c3039464c7a49774d6a59794d4449314d5441774f533951515338785a5442694d7a64684e79307a4f4467314c54526c4f444d74596d466c4f53307a59325a6b596a59335a5755314e4449756347526d&amp;Fich=1e0b37a7-3885-4e83-bae9-3cfdb67ee542.pdf&amp;Inline=true</t>
        </is>
      </c>
      <c r="X1604" s="2" t="inlineStr">
        <is>
          <t>Trabalho, Segurança Social e Inclusão</t>
        </is>
      </c>
      <c r="Y1604" s="2" t="inlineStr">
        <is>
          <t>Articulado</t>
        </is>
      </c>
      <c r="Z1604" s="2" t="inlineStr">
        <is>
          <t>Aditamento (Artigo PPL)</t>
        </is>
      </c>
      <c r="AA1604" s="2" t="inlineStr">
        <is>
          <t>Rejeitado(a) em Comissão</t>
        </is>
      </c>
      <c r="AB1604" s="2" t="inlineStr"/>
      <c r="AC1604" s="2" t="inlineStr">
        <is>
          <t>2</t>
        </is>
      </c>
      <c r="AD1604" s="2" t="inlineStr">
        <is>
          <t>1</t>
        </is>
      </c>
      <c r="AE1604" s="2" t="inlineStr">
        <is>
          <t>25377</t>
        </is>
      </c>
      <c r="AF1604" s="2" t="inlineStr">
        <is>
          <t>https://www.parlamento.pt/OrcamentoEstado/Paginas/DetalhePropostaAlteracao.aspx?BID=25377</t>
        </is>
      </c>
      <c r="AG1604" s="2" t="inlineStr">
        <is>
          <t>https://app.parlamento.pt/webutils/docs/doc.pdf?path=6148523063484d364c793942556b356c6443397a6158526c63793959566b6c4a544556484c3039464c7a49774d6a59794d4449314d5441774f533951515338785a5442694d7a64684e79307a4f4467314c54526c4f444d74596d466c4f53307a59325a6b596a59335a5755314e4449756347526d&amp;Fich=1e0b37a7-3885-4e83-bae9-3cfdb67ee542.pdf&amp;Inline=true</t>
        </is>
      </c>
      <c r="AH1604" s="3" t="n">
        <v>46321.77847222222</v>
      </c>
      <c r="AI1604" s="3" t="n">
        <v>46321.78055555555</v>
      </c>
      <c r="AJ1604" s="2" t="inlineStr"/>
    </row>
    <row r="1605">
      <c r="A1605" s="2" t="n">
        <v>1604</v>
      </c>
      <c r="B1605" s="2" t="inlineStr">
        <is>
          <t>1512C</t>
        </is>
      </c>
      <c r="C1605" s="3" t="n">
        <v>45968.62916666667</v>
      </c>
      <c r="D1605" s="2" t="inlineStr">
        <is>
          <t>Original</t>
        </is>
      </c>
      <c r="E1605" s="2" t="inlineStr">
        <is>
          <t>CH</t>
        </is>
      </c>
      <c r="F160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05" s="2" t="inlineStr">
        <is>
          <t>Art. 112.º-A (aditamento)</t>
        </is>
      </c>
      <c r="H1605" s="2" t="n"/>
      <c r="I1605" s="2" t="n"/>
      <c r="J1605" s="2" t="n"/>
      <c r="K1605" s="2" t="n"/>
      <c r="L1605" s="2" t="inlineStr">
        <is>
          <t>Artigo 112.º-A (Salvaguarda para os trabalhadores civis portugueses da Base das Lajes)</t>
        </is>
      </c>
      <c r="M1605" s="4" t="n"/>
      <c r="N1605" s="4" t="n"/>
      <c r="O1605" s="2" t="n"/>
      <c r="P1605" s="2" t="n"/>
      <c r="Q1605" s="2" t="n"/>
      <c r="R1605" s="2" t="n"/>
      <c r="S1605" s="2" t="inlineStr">
        <is>
          <t>Aprovado(a) em Comissão</t>
        </is>
      </c>
      <c r="T1605" s="2" t="inlineStr">
        <is>
          <t>Aprovada</t>
        </is>
      </c>
      <c r="U1605" s="2" t="inlineStr">
        <is>
          <t>Favor: CH, PS, BE, PAN; Contra: PSD, CDS-PP; Abstenção: IL, L, PCP</t>
        </is>
      </c>
      <c r="V1605" s="3" t="n">
        <v>45982</v>
      </c>
      <c r="W1605" s="2" t="inlineStr">
        <is>
          <t>AR: https://www.parlamento.pt/OrcamentoEstado/Paginas/DetalhePropostaAlteracao.aspx?BID=24759 PDF: https://app.parlamento.pt/webutils/docs/doc.pdf?path=6148523063484d364c793942556b356c6443397a6158526c63793959566b6c4a544556484c3039464c7a49774d6a59794d4449314d5441774f533951515338795a474a6d5932497a4e693033596a67304c5451314d6a5174596a5668597930354d32557a4f546378596a6b79597a49756347526d&amp;Fich=2dbfcb36-7b84-4524-b5ac-93e3971b92c2.pdf&amp;Inline=true</t>
        </is>
      </c>
      <c r="X1605" s="2" t="inlineStr">
        <is>
          <t>Assuntos Constitucionais, Direitos, Liberdades e Garantias</t>
        </is>
      </c>
      <c r="Y1605" s="2" t="inlineStr">
        <is>
          <t>Articulado</t>
        </is>
      </c>
      <c r="Z1605" s="2" t="inlineStr">
        <is>
          <t>Aditamento (Artigo PPL)</t>
        </is>
      </c>
      <c r="AA1605" s="2" t="inlineStr">
        <is>
          <t>Aprovado(a) em Comissão</t>
        </is>
      </c>
      <c r="AB1605" s="2" t="inlineStr"/>
      <c r="AC1605" s="2" t="inlineStr"/>
      <c r="AD1605" s="2" t="inlineStr">
        <is>
          <t>1</t>
        </is>
      </c>
      <c r="AE1605" s="2" t="inlineStr">
        <is>
          <t>24759</t>
        </is>
      </c>
      <c r="AF1605" s="2" t="inlineStr">
        <is>
          <t>https://www.parlamento.pt/OrcamentoEstado/Paginas/DetalhePropostaAlteracao.aspx?BID=24759</t>
        </is>
      </c>
      <c r="AG1605" s="2" t="inlineStr">
        <is>
          <t>https://app.parlamento.pt/webutils/docs/doc.pdf?path=6148523063484d364c793942556b356c6443397a6158526c63793959566b6c4a544556484c3039464c7a49774d6a59794d4449314d5441774f533951515338795a474a6d5932497a4e693033596a67304c5451314d6a5174596a5668597930354d32557a4f546378596a6b79597a49756347526d&amp;Fich=2dbfcb36-7b84-4524-b5ac-93e3971b92c2.pdf&amp;Inline=true</t>
        </is>
      </c>
      <c r="AH1605" s="3" t="n">
        <v>46321.77847222222</v>
      </c>
      <c r="AI1605" s="3" t="n">
        <v>46321.78055555555</v>
      </c>
      <c r="AJ1605" s="2" t="inlineStr"/>
    </row>
    <row r="1606">
      <c r="A1606" s="2" t="n">
        <v>1605</v>
      </c>
      <c r="B1606" s="2" t="inlineStr">
        <is>
          <t>1513C</t>
        </is>
      </c>
      <c r="C1606" s="3" t="n">
        <v>45968.62986111111</v>
      </c>
      <c r="D1606" s="2" t="inlineStr">
        <is>
          <t>Original</t>
        </is>
      </c>
      <c r="E1606" s="2" t="inlineStr">
        <is>
          <t>PCP</t>
        </is>
      </c>
      <c r="F1606" s="2" t="inlineStr">
        <is>
          <t>Alfredo Maia; Paula Santos; Paulo Raimundo</t>
        </is>
      </c>
      <c r="G1606" s="2" t="inlineStr">
        <is>
          <t>Art. 28.º-A (aditamento)</t>
        </is>
      </c>
      <c r="H1606" s="2" t="n"/>
      <c r="I1606" s="2" t="n"/>
      <c r="J1606" s="2" t="n"/>
      <c r="K1606" s="2" t="n"/>
      <c r="L1606" s="2" t="inlineStr">
        <is>
          <t>Artigo 28.º-A (Igualdade de tratamento dos trabalhadores da Administração Pública)</t>
        </is>
      </c>
      <c r="M1606" s="4" t="n"/>
      <c r="N1606" s="4" t="n"/>
      <c r="O1606" s="2" t="n"/>
      <c r="P1606" s="2" t="n"/>
      <c r="Q1606" s="2" t="n"/>
      <c r="R1606" s="2" t="n"/>
      <c r="S1606" s="2" t="inlineStr">
        <is>
          <t>Rejeitado(a) em Comissão</t>
        </is>
      </c>
      <c r="T1606" s="2" t="inlineStr">
        <is>
          <t>Rejeitada</t>
        </is>
      </c>
      <c r="U1606" s="2" t="inlineStr">
        <is>
          <t>Favor: L, PCP, BE, PAN; Contra: PSD, IL, CDS-PP; Abstenção: CH, PS</t>
        </is>
      </c>
      <c r="V1606" s="3" t="n">
        <v>45981</v>
      </c>
      <c r="W1606" s="2" t="inlineStr">
        <is>
          <t>AR: https://www.parlamento.pt/OrcamentoEstado/Paginas/DetalhePropostaAlteracao.aspx?BID=24760 PDF: https://app.parlamento.pt/webutils/docs/doc.pdf?path=6148523063484d364c793942556b356c6443397a6158526c63793959566b6c4a544556484c3039464c7a49774d6a59794d4449314d5441774f533951515338324e474e6c5a5755794f5330314d5455334c545134596a4174596d55795a69316a5a4467784d574979597a6777595749756347526d&amp;Fich=64ceee29-5157-48b0-be2f-cd811b2c80ab.pdf&amp;Inline=true</t>
        </is>
      </c>
      <c r="X1606" s="2" t="inlineStr">
        <is>
          <t>Orçamento, Finanças e Administração Pública</t>
        </is>
      </c>
      <c r="Y1606" s="2" t="inlineStr">
        <is>
          <t>Articulado</t>
        </is>
      </c>
      <c r="Z1606" s="2" t="inlineStr">
        <is>
          <t>Aditamento (Artigo PPL)</t>
        </is>
      </c>
      <c r="AA1606" s="2" t="inlineStr">
        <is>
          <t>Rejeitado(a) em Comissão</t>
        </is>
      </c>
      <c r="AB1606" s="2" t="inlineStr"/>
      <c r="AC1606" s="2" t="inlineStr"/>
      <c r="AD1606" s="2" t="inlineStr">
        <is>
          <t>1</t>
        </is>
      </c>
      <c r="AE1606" s="2" t="inlineStr">
        <is>
          <t>24760</t>
        </is>
      </c>
      <c r="AF1606" s="2" t="inlineStr">
        <is>
          <t>https://www.parlamento.pt/OrcamentoEstado/Paginas/DetalhePropostaAlteracao.aspx?BID=24760</t>
        </is>
      </c>
      <c r="AG1606" s="2" t="inlineStr">
        <is>
          <t>https://app.parlamento.pt/webutils/docs/doc.pdf?path=6148523063484d364c793942556b356c6443397a6158526c63793959566b6c4a544556484c3039464c7a49774d6a59794d4449314d5441774f533951515338324e474e6c5a5755794f5330314d5455334c545134596a4174596d55795a69316a5a4467784d574979597a6777595749756347526d&amp;Fich=64ceee29-5157-48b0-be2f-cd811b2c80ab.pdf&amp;Inline=true</t>
        </is>
      </c>
      <c r="AH1606" s="3" t="n">
        <v>46321.77847222222</v>
      </c>
      <c r="AI1606" s="3" t="n">
        <v>46321.78055555555</v>
      </c>
      <c r="AJ1606" s="2" t="inlineStr"/>
    </row>
    <row r="1607">
      <c r="A1607" s="2" t="n">
        <v>1606</v>
      </c>
      <c r="B1607" s="2" t="inlineStr">
        <is>
          <t>1514C</t>
        </is>
      </c>
      <c r="C1607" s="3" t="n">
        <v>45968.62986111111</v>
      </c>
      <c r="D1607" s="2" t="inlineStr">
        <is>
          <t>Original</t>
        </is>
      </c>
      <c r="E1607" s="2" t="inlineStr">
        <is>
          <t>CH</t>
        </is>
      </c>
      <c r="F160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07" s="2" t="inlineStr">
        <is>
          <t>Art. 136.º-A (aditamento)</t>
        </is>
      </c>
      <c r="H1607" s="2" t="n"/>
      <c r="I1607" s="2" t="n"/>
      <c r="J1607" s="2" t="n"/>
      <c r="K1607" s="2" t="n"/>
      <c r="L1607" s="2" t="inlineStr">
        <is>
          <t>Artigo 136.º-A (Construção do adutor do Pomarão, de forma a captar água do rio Guadiana para reforçar o abastecimento do Algarve)</t>
        </is>
      </c>
      <c r="M1607" s="4" t="n"/>
      <c r="N1607" s="4" t="n"/>
      <c r="O1607" s="2" t="n"/>
      <c r="P1607" s="2" t="n"/>
      <c r="Q1607" s="2" t="n"/>
      <c r="R1607" s="2" t="n"/>
      <c r="S1607" s="2" t="inlineStr">
        <is>
          <t>Rejeitado(a) em Comissão</t>
        </is>
      </c>
      <c r="T1607" s="2" t="inlineStr">
        <is>
          <t>Rejeitada</t>
        </is>
      </c>
      <c r="U1607" s="2" t="inlineStr">
        <is>
          <t>Favor: CH; Contra: PSD, L, CDS-PP, BE, PAN; Abstenção: PS, IL, PCP</t>
        </is>
      </c>
      <c r="V1607" s="3" t="n">
        <v>45987</v>
      </c>
      <c r="W1607" s="2" t="inlineStr">
        <is>
          <t>AR: https://www.parlamento.pt/OrcamentoEstado/Paginas/DetalhePropostaAlteracao.aspx?BID=24761 PDF: https://app.parlamento.pt/webutils/docs/doc.pdf?path=6148523063484d364c793942556b356c6443397a6158526c63793959566b6c4a544556484c3039464c7a49774d6a59794d4449314d5441774f533951515338795a57466b4d6a45794d5330344d7a49784c5451304f444174595463345969303259574a6c4e47457a4d4449334e444d756347526d&amp;Fich=2ead2121-8321-4480-a78b-6abe4a302743.pdf&amp;Inline=true</t>
        </is>
      </c>
      <c r="X1607" s="2" t="inlineStr">
        <is>
          <t>Ambiente e Energia</t>
        </is>
      </c>
      <c r="Y1607" s="2" t="inlineStr">
        <is>
          <t>Articulado</t>
        </is>
      </c>
      <c r="Z1607" s="2" t="inlineStr">
        <is>
          <t>Aditamento (Artigo PPL)</t>
        </is>
      </c>
      <c r="AA1607" s="2" t="inlineStr">
        <is>
          <t>Rejeitado(a) em Comissão</t>
        </is>
      </c>
      <c r="AB1607" s="2" t="inlineStr"/>
      <c r="AC1607" s="2" t="inlineStr"/>
      <c r="AD1607" s="2" t="inlineStr">
        <is>
          <t>1</t>
        </is>
      </c>
      <c r="AE1607" s="2" t="inlineStr">
        <is>
          <t>24761</t>
        </is>
      </c>
      <c r="AF1607" s="2" t="inlineStr">
        <is>
          <t>https://www.parlamento.pt/OrcamentoEstado/Paginas/DetalhePropostaAlteracao.aspx?BID=24761</t>
        </is>
      </c>
      <c r="AG1607" s="2" t="inlineStr">
        <is>
          <t>https://app.parlamento.pt/webutils/docs/doc.pdf?path=6148523063484d364c793942556b356c6443397a6158526c63793959566b6c4a544556484c3039464c7a49774d6a59794d4449314d5441774f533951515338795a57466b4d6a45794d5330344d7a49784c5451304f444174595463345969303259574a6c4e47457a4d4449334e444d756347526d&amp;Fich=2ead2121-8321-4480-a78b-6abe4a302743.pdf&amp;Inline=true</t>
        </is>
      </c>
      <c r="AH1607" s="3" t="n">
        <v>46321.77847222222</v>
      </c>
      <c r="AI1607" s="3" t="n">
        <v>46321.78055555555</v>
      </c>
      <c r="AJ1607" s="2" t="inlineStr"/>
    </row>
    <row r="1608">
      <c r="A1608" s="2" t="n">
        <v>1607</v>
      </c>
      <c r="B1608" s="2" t="inlineStr">
        <is>
          <t>1515C</t>
        </is>
      </c>
      <c r="C1608" s="3" t="n">
        <v>45968.63055555556</v>
      </c>
      <c r="D1608" s="2" t="inlineStr">
        <is>
          <t>Original</t>
        </is>
      </c>
      <c r="E1608" s="2" t="inlineStr">
        <is>
          <t>PCP</t>
        </is>
      </c>
      <c r="F1608" s="2" t="inlineStr">
        <is>
          <t>Alfredo Maia; Paula Santos; Paulo Raimundo</t>
        </is>
      </c>
      <c r="G1608" s="2" t="inlineStr">
        <is>
          <t>Art. 28.º-A (aditamento)</t>
        </is>
      </c>
      <c r="H1608" s="2" t="n"/>
      <c r="I1608" s="2" t="n"/>
      <c r="J1608" s="2" t="n"/>
      <c r="K1608" s="2" t="n"/>
      <c r="L1608" s="2" t="inlineStr">
        <is>
          <t>Artigo 28.º-A (Integração de trabalhadores com vínculos precários que prestam serviços à Administração Pública)</t>
        </is>
      </c>
      <c r="M1608" s="4" t="n"/>
      <c r="N1608" s="4" t="n"/>
      <c r="O1608" s="2" t="n"/>
      <c r="P1608" s="2" t="n"/>
      <c r="Q1608" s="2" t="n"/>
      <c r="R1608" s="2" t="n"/>
      <c r="S1608" s="2" t="inlineStr">
        <is>
          <t>Rejeitado(a) em Comissão</t>
        </is>
      </c>
      <c r="T1608" s="2" t="inlineStr">
        <is>
          <t>Rejeitada</t>
        </is>
      </c>
      <c r="U1608" s="2" t="inlineStr">
        <is>
          <t>Favor: L, PCP, BE, PAN; Contra: PSD, IL, CDS-PP; Abstenção: CH, PS</t>
        </is>
      </c>
      <c r="V1608" s="3" t="n">
        <v>45981</v>
      </c>
      <c r="W1608" s="2" t="inlineStr">
        <is>
          <t>AR: https://www.parlamento.pt/OrcamentoEstado/Paginas/DetalhePropostaAlteracao.aspx?BID=24762 PDF: https://app.parlamento.pt/webutils/docs/doc.pdf?path=6148523063484d364c793942556b356c6443397a6158526c63793959566b6c4a544556484c3039464c7a49774d6a59794d4449314d5441774f533951515338315932457a597a63324d7930334d6a5a6d4c5451324f546374596a59305a5330795954526c4e4451795a54566c5a5745756347526d&amp;Fich=5ca3c763-726f-4697-b64e-2a4e442e5eea.pdf&amp;Inline=true</t>
        </is>
      </c>
      <c r="X1608" s="2" t="inlineStr">
        <is>
          <t>Orçamento, Finanças e Administração Pública</t>
        </is>
      </c>
      <c r="Y1608" s="2" t="inlineStr">
        <is>
          <t>Articulado</t>
        </is>
      </c>
      <c r="Z1608" s="2" t="inlineStr">
        <is>
          <t>Aditamento (Artigo PPL)</t>
        </is>
      </c>
      <c r="AA1608" s="2" t="inlineStr">
        <is>
          <t>Rejeitado(a) em Comissão</t>
        </is>
      </c>
      <c r="AB1608" s="2" t="inlineStr"/>
      <c r="AC1608" s="2" t="inlineStr"/>
      <c r="AD1608" s="2" t="inlineStr">
        <is>
          <t>1</t>
        </is>
      </c>
      <c r="AE1608" s="2" t="inlineStr">
        <is>
          <t>24762</t>
        </is>
      </c>
      <c r="AF1608" s="2" t="inlineStr">
        <is>
          <t>https://www.parlamento.pt/OrcamentoEstado/Paginas/DetalhePropostaAlteracao.aspx?BID=24762</t>
        </is>
      </c>
      <c r="AG1608" s="2" t="inlineStr">
        <is>
          <t>https://app.parlamento.pt/webutils/docs/doc.pdf?path=6148523063484d364c793942556b356c6443397a6158526c63793959566b6c4a544556484c3039464c7a49774d6a59794d4449314d5441774f533951515338315932457a597a63324d7930334d6a5a6d4c5451324f546374596a59305a5330795954526c4e4451795a54566c5a5745756347526d&amp;Fich=5ca3c763-726f-4697-b64e-2a4e442e5eea.pdf&amp;Inline=true</t>
        </is>
      </c>
      <c r="AH1608" s="3" t="n">
        <v>46321.77847222222</v>
      </c>
      <c r="AI1608" s="3" t="n">
        <v>46321.78055555555</v>
      </c>
      <c r="AJ1608" s="2" t="inlineStr"/>
    </row>
    <row r="1609">
      <c r="A1609" s="2" t="n">
        <v>1608</v>
      </c>
      <c r="B1609" s="2" t="inlineStr">
        <is>
          <t>1516C</t>
        </is>
      </c>
      <c r="C1609" s="3" t="n">
        <v>45968.63055555556</v>
      </c>
      <c r="D1609" s="2" t="inlineStr">
        <is>
          <t>Original</t>
        </is>
      </c>
      <c r="E1609" s="2" t="inlineStr">
        <is>
          <t>CH</t>
        </is>
      </c>
      <c r="F160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09" s="2" t="inlineStr">
        <is>
          <t>Art. 136.º-A (aditamento)</t>
        </is>
      </c>
      <c r="H1609" s="2" t="n"/>
      <c r="I1609" s="2" t="n"/>
      <c r="J1609" s="2" t="n"/>
      <c r="K1609" s="2" t="n"/>
      <c r="L1609" s="2" t="inlineStr">
        <is>
          <t>Artigo 136.º-A (Construção do adutor reversível de água bruta entre o Barlavento e o Sotavento)</t>
        </is>
      </c>
      <c r="M1609" s="4" t="n"/>
      <c r="N1609" s="4" t="n"/>
      <c r="O1609" s="2" t="n"/>
      <c r="P1609" s="2" t="n"/>
      <c r="Q1609" s="2" t="n"/>
      <c r="R1609" s="2" t="n"/>
      <c r="S1609" s="2" t="inlineStr">
        <is>
          <t>Rejeitado(a) em Comissão</t>
        </is>
      </c>
      <c r="T1609" s="2" t="inlineStr">
        <is>
          <t>Rejeitada</t>
        </is>
      </c>
      <c r="U1609" s="2" t="inlineStr">
        <is>
          <t>Favor: CH, IL; Contra: PSD, L, CDS-PP, BE, PAN; Abstenção: PS, PCP</t>
        </is>
      </c>
      <c r="V1609" s="3" t="n">
        <v>45987</v>
      </c>
      <c r="W1609" s="2" t="inlineStr">
        <is>
          <t>AR: https://www.parlamento.pt/OrcamentoEstado/Paginas/DetalhePropostaAlteracao.aspx?BID=24763 PDF: https://app.parlamento.pt/webutils/docs/doc.pdf?path=6148523063484d364c793942556b356c6443397a6158526c63793959566b6c4a544556484c3039464c7a49774d6a59794d4449314d5441774f5339515153396b4d475977597a4d335a433168596d497a4c5451335a6a41744f474a6b4f5330314e6a526a4d44526d59545668596a67756347526d&amp;Fich=d0f0c37d-abb3-47f0-8bd9-564c04fa5ab8.pdf&amp;Inline=true</t>
        </is>
      </c>
      <c r="X1609" s="2" t="inlineStr">
        <is>
          <t>Ambiente e Energia</t>
        </is>
      </c>
      <c r="Y1609" s="2" t="inlineStr">
        <is>
          <t>Articulado</t>
        </is>
      </c>
      <c r="Z1609" s="2" t="inlineStr">
        <is>
          <t>Aditamento (Artigo PPL)</t>
        </is>
      </c>
      <c r="AA1609" s="2" t="inlineStr">
        <is>
          <t>Rejeitado(a) em Comissão</t>
        </is>
      </c>
      <c r="AB1609" s="2" t="inlineStr"/>
      <c r="AC1609" s="2" t="inlineStr"/>
      <c r="AD1609" s="2" t="inlineStr">
        <is>
          <t>1</t>
        </is>
      </c>
      <c r="AE1609" s="2" t="inlineStr">
        <is>
          <t>24763</t>
        </is>
      </c>
      <c r="AF1609" s="2" t="inlineStr">
        <is>
          <t>https://www.parlamento.pt/OrcamentoEstado/Paginas/DetalhePropostaAlteracao.aspx?BID=24763</t>
        </is>
      </c>
      <c r="AG1609" s="2" t="inlineStr">
        <is>
          <t>https://app.parlamento.pt/webutils/docs/doc.pdf?path=6148523063484d364c793942556b356c6443397a6158526c63793959566b6c4a544556484c3039464c7a49774d6a59794d4449314d5441774f5339515153396b4d475977597a4d335a433168596d497a4c5451335a6a41744f474a6b4f5330314e6a526a4d44526d59545668596a67756347526d&amp;Fich=d0f0c37d-abb3-47f0-8bd9-564c04fa5ab8.pdf&amp;Inline=true</t>
        </is>
      </c>
      <c r="AH1609" s="3" t="n">
        <v>46321.77847222222</v>
      </c>
      <c r="AI1609" s="3" t="n">
        <v>46321.78055555555</v>
      </c>
      <c r="AJ1609" s="2" t="inlineStr"/>
    </row>
    <row r="1610">
      <c r="A1610" s="2" t="n">
        <v>1609</v>
      </c>
      <c r="B1610" s="2" t="inlineStr">
        <is>
          <t>1517C</t>
        </is>
      </c>
      <c r="C1610" s="3" t="n">
        <v>45968.63125</v>
      </c>
      <c r="D1610" s="2" t="inlineStr">
        <is>
          <t>Original</t>
        </is>
      </c>
      <c r="E1610" s="2" t="inlineStr">
        <is>
          <t>PAN</t>
        </is>
      </c>
      <c r="F1610" s="2" t="inlineStr">
        <is>
          <t>Inês de Sousa Real</t>
        </is>
      </c>
      <c r="G1610" s="2" t="inlineStr">
        <is>
          <t>Art. 116.º-A (aditamento)</t>
        </is>
      </c>
      <c r="H1610" s="2" t="n"/>
      <c r="I1610" s="2" t="n"/>
      <c r="J1610" s="2" t="n"/>
      <c r="K1610" s="2" t="n"/>
      <c r="L1610" s="2" t="inlineStr">
        <is>
          <t>Artigo 116.º-A (Disponibilização de vagas em horário alargado no âmbito do Programa Creche Feliz)</t>
        </is>
      </c>
      <c r="M1610" s="4" t="n"/>
      <c r="N1610" s="4" t="n"/>
      <c r="O1610" s="2" t="n"/>
      <c r="P1610" s="2" t="n"/>
      <c r="Q1610" s="2" t="n"/>
      <c r="R1610" s="2" t="n"/>
      <c r="S1610" s="2" t="inlineStr">
        <is>
          <t>Rejeitado(a) em Comissão</t>
        </is>
      </c>
      <c r="T1610" s="2" t="inlineStr">
        <is>
          <t>Rejeitada</t>
        </is>
      </c>
      <c r="U1610" s="2" t="inlineStr">
        <is>
          <t>Favor: CH, IL, BE, PAN; Contra: PSD, L, PCP, CDS-PP; Abstenção: PS</t>
        </is>
      </c>
      <c r="V1610" s="3" t="n">
        <v>45985</v>
      </c>
      <c r="W1610" s="2" t="inlineStr">
        <is>
          <t>AR: https://www.parlamento.pt/OrcamentoEstado/Paginas/DetalhePropostaAlteracao.aspx?BID=24764 PDF: https://app.parlamento.pt/webutils/docs/doc.pdf?path=6148523063484d364c793942556b356c6443397a6158526c63793959566b6c4a544556484c3039464c7a49774d6a59794d4449314d5441774f533951515338334e544a6d4e6d49354d433033596a4d354c545135597a51744f446b7a595330784f446b795a4441355a44466b4d4745756347526d&amp;Fich=752f6b90-7b39-49c4-893a-1892d09d1d0a.pdf&amp;Inline=true</t>
        </is>
      </c>
      <c r="X1610" s="2" t="inlineStr">
        <is>
          <t>Trabalho, Segurança Social e Inclusão</t>
        </is>
      </c>
      <c r="Y1610" s="2" t="inlineStr">
        <is>
          <t>Articulado</t>
        </is>
      </c>
      <c r="Z1610" s="2" t="inlineStr">
        <is>
          <t>Aditamento (Artigo PPL)</t>
        </is>
      </c>
      <c r="AA1610" s="2" t="inlineStr">
        <is>
          <t>Rejeitado(a) em Comissão</t>
        </is>
      </c>
      <c r="AB1610" s="2" t="inlineStr"/>
      <c r="AC1610" s="2" t="inlineStr"/>
      <c r="AD1610" s="2" t="inlineStr">
        <is>
          <t>1</t>
        </is>
      </c>
      <c r="AE1610" s="2" t="inlineStr">
        <is>
          <t>24764</t>
        </is>
      </c>
      <c r="AF1610" s="2" t="inlineStr">
        <is>
          <t>https://www.parlamento.pt/OrcamentoEstado/Paginas/DetalhePropostaAlteracao.aspx?BID=24764</t>
        </is>
      </c>
      <c r="AG1610" s="2" t="inlineStr">
        <is>
          <t>https://app.parlamento.pt/webutils/docs/doc.pdf?path=6148523063484d364c793942556b356c6443397a6158526c63793959566b6c4a544556484c3039464c7a49774d6a59794d4449314d5441774f533951515338334e544a6d4e6d49354d433033596a4d354c545135597a51744f446b7a595330784f446b795a4441355a44466b4d4745756347526d&amp;Fich=752f6b90-7b39-49c4-893a-1892d09d1d0a.pdf&amp;Inline=true</t>
        </is>
      </c>
      <c r="AH1610" s="3" t="n">
        <v>46321.77847222222</v>
      </c>
      <c r="AI1610" s="3" t="n">
        <v>46321.78055555555</v>
      </c>
      <c r="AJ1610" s="2" t="inlineStr"/>
    </row>
    <row r="1611">
      <c r="A1611" s="2" t="n">
        <v>1610</v>
      </c>
      <c r="B1611" s="2" t="inlineStr">
        <is>
          <t>1518C</t>
        </is>
      </c>
      <c r="C1611" s="3" t="n">
        <v>45968.63125</v>
      </c>
      <c r="D1611" s="2" t="inlineStr">
        <is>
          <t>Original</t>
        </is>
      </c>
      <c r="E1611" s="2" t="inlineStr">
        <is>
          <t>CH</t>
        </is>
      </c>
      <c r="F161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11" s="2" t="inlineStr">
        <is>
          <t>Art. 113.º-A (aditamento)</t>
        </is>
      </c>
      <c r="H1611" s="2" t="n"/>
      <c r="I1611" s="2" t="n"/>
      <c r="J1611" s="2" t="n"/>
      <c r="K1611" s="2" t="n"/>
      <c r="L1611" s="2" t="inlineStr">
        <is>
          <t>Artigo 113.º-A (Aquisição do segundo meio aéreo de combate a incêndios para a Região Autónoma da Madeira)</t>
        </is>
      </c>
      <c r="M1611" s="4" t="n"/>
      <c r="N1611" s="4" t="n"/>
      <c r="O1611" s="2" t="n"/>
      <c r="P1611" s="2" t="n"/>
      <c r="Q1611" s="2" t="n"/>
      <c r="R1611" s="2" t="n"/>
      <c r="S1611" s="2" t="inlineStr">
        <is>
          <t>Rejeitado(a) em Comissão</t>
        </is>
      </c>
      <c r="T1611" s="2" t="inlineStr">
        <is>
          <t>Rejeitada</t>
        </is>
      </c>
      <c r="U1611" s="2" t="inlineStr">
        <is>
          <t>Favor: CH, BE, PAN; Contra: PSD, CDS-PP; Abstenção: PS, IL, L, PCP</t>
        </is>
      </c>
      <c r="V1611" s="3" t="n">
        <v>45985</v>
      </c>
      <c r="W1611" s="2" t="inlineStr">
        <is>
          <t>AR: https://www.parlamento.pt/OrcamentoEstado/Paginas/DetalhePropostaAlteracao.aspx?BID=24765 PDF: https://app.parlamento.pt/webutils/docs/doc.pdf?path=6148523063484d364c793942556b356c6443397a6158526c63793959566b6c4a544556484c3039464c7a49774d6a59794d4449314d5441774f533951515338785a57597a4e5467794e69303159324d314c54517a597a4d744f546c6a4f4330304d544a6c4e6a51354e6a466d4e7a59756347526d&amp;Fich=1ef35826-5cc5-43c3-99c8-412e64961f76.pdf&amp;Inline=true</t>
        </is>
      </c>
      <c r="X1611" s="2" t="inlineStr">
        <is>
          <t>Defesa Nacional</t>
        </is>
      </c>
      <c r="Y1611" s="2" t="inlineStr">
        <is>
          <t>Articulado</t>
        </is>
      </c>
      <c r="Z1611" s="2" t="inlineStr">
        <is>
          <t>Aditamento (Artigo PPL)</t>
        </is>
      </c>
      <c r="AA1611" s="2" t="inlineStr">
        <is>
          <t>Rejeitado(a) em Comissão</t>
        </is>
      </c>
      <c r="AB1611" s="2" t="inlineStr"/>
      <c r="AC1611" s="2" t="inlineStr"/>
      <c r="AD1611" s="2" t="inlineStr">
        <is>
          <t>1</t>
        </is>
      </c>
      <c r="AE1611" s="2" t="inlineStr">
        <is>
          <t>24765</t>
        </is>
      </c>
      <c r="AF1611" s="2" t="inlineStr">
        <is>
          <t>https://www.parlamento.pt/OrcamentoEstado/Paginas/DetalhePropostaAlteracao.aspx?BID=24765</t>
        </is>
      </c>
      <c r="AG1611" s="2" t="inlineStr">
        <is>
          <t>https://app.parlamento.pt/webutils/docs/doc.pdf?path=6148523063484d364c793942556b356c6443397a6158526c63793959566b6c4a544556484c3039464c7a49774d6a59794d4449314d5441774f533951515338785a57597a4e5467794e69303159324d314c54517a597a4d744f546c6a4f4330304d544a6c4e6a51354e6a466d4e7a59756347526d&amp;Fich=1ef35826-5cc5-43c3-99c8-412e64961f76.pdf&amp;Inline=true</t>
        </is>
      </c>
      <c r="AH1611" s="3" t="n">
        <v>46321.77847222222</v>
      </c>
      <c r="AI1611" s="3" t="n">
        <v>46321.78055555555</v>
      </c>
      <c r="AJ1611" s="2" t="inlineStr"/>
    </row>
    <row r="1612">
      <c r="A1612" s="2" t="n">
        <v>1611</v>
      </c>
      <c r="B1612" s="2" t="inlineStr">
        <is>
          <t>1519C</t>
        </is>
      </c>
      <c r="C1612" s="3" t="n">
        <v>45968.63125</v>
      </c>
      <c r="D1612" s="2" t="inlineStr">
        <is>
          <t>Original</t>
        </is>
      </c>
      <c r="E1612" s="2" t="inlineStr">
        <is>
          <t>PCP</t>
        </is>
      </c>
      <c r="F1612" s="2" t="inlineStr">
        <is>
          <t>Alfredo Maia; Paula Santos; Paulo Raimundo</t>
        </is>
      </c>
      <c r="G1612" s="2" t="inlineStr">
        <is>
          <t>Art. 46.º-A (aditamento)</t>
        </is>
      </c>
      <c r="H1612" s="2" t="n"/>
      <c r="I1612" s="2" t="n"/>
      <c r="J1612" s="2" t="n"/>
      <c r="K1612" s="2" t="n"/>
      <c r="L1612" s="2" t="inlineStr">
        <is>
          <t>Artigo 46.º-A (Definição e regulamentação de um regime laboral e de aposentação específico para as profissões de elevado grau de complexidade, risco ou penosidade)</t>
        </is>
      </c>
      <c r="M1612" s="4" t="n"/>
      <c r="N1612" s="4" t="n"/>
      <c r="O1612" s="2" t="n"/>
      <c r="P1612" s="2" t="n"/>
      <c r="Q1612" s="2" t="n"/>
      <c r="R1612" s="2" t="n"/>
      <c r="S1612" s="2" t="inlineStr">
        <is>
          <t>Rejeitado(a) em Comissão</t>
        </is>
      </c>
      <c r="T1612" s="2" t="inlineStr">
        <is>
          <t>Rejeitada</t>
        </is>
      </c>
      <c r="U1612" s="2" t="inlineStr">
        <is>
          <t>Favor: CH, L, PCP, BE, PAN; Contra: PSD, IL, CDS-PP; Abstenção: PS</t>
        </is>
      </c>
      <c r="V1612" s="3" t="n">
        <v>45981</v>
      </c>
      <c r="W1612" s="2" t="inlineStr">
        <is>
          <t>AR: https://www.parlamento.pt/OrcamentoEstado/Paginas/DetalhePropostaAlteracao.aspx?BID=24766 PDF: https://app.parlamento.pt/webutils/docs/doc.pdf?path=6148523063484d364c793942556b356c6443397a6158526c63793959566b6c4a544556484c3039464c7a49774d6a59794d4449314d5441774f533951515338315a54426d59324d774f53316c5a6d51314c5451794f4449744f5745795a4330314d574e685a6a4d33593255334d6d51756347526d&amp;Fich=5e0fcc09-efd5-4282-9a2d-51caf37ce72d.pdf&amp;Inline=true</t>
        </is>
      </c>
      <c r="X1612" s="2" t="inlineStr">
        <is>
          <t>Orçamento, Finanças e Administração Pública</t>
        </is>
      </c>
      <c r="Y1612" s="2" t="inlineStr">
        <is>
          <t>Articulado</t>
        </is>
      </c>
      <c r="Z1612" s="2" t="inlineStr">
        <is>
          <t>Aditamento (Artigo PPL)</t>
        </is>
      </c>
      <c r="AA1612" s="2" t="inlineStr">
        <is>
          <t>Rejeitado(a) em Comissão</t>
        </is>
      </c>
      <c r="AB1612" s="2" t="inlineStr"/>
      <c r="AC1612" s="2" t="inlineStr"/>
      <c r="AD1612" s="2" t="inlineStr">
        <is>
          <t>1</t>
        </is>
      </c>
      <c r="AE1612" s="2" t="inlineStr">
        <is>
          <t>24766</t>
        </is>
      </c>
      <c r="AF1612" s="2" t="inlineStr">
        <is>
          <t>https://www.parlamento.pt/OrcamentoEstado/Paginas/DetalhePropostaAlteracao.aspx?BID=24766</t>
        </is>
      </c>
      <c r="AG1612" s="2" t="inlineStr">
        <is>
          <t>https://app.parlamento.pt/webutils/docs/doc.pdf?path=6148523063484d364c793942556b356c6443397a6158526c63793959566b6c4a544556484c3039464c7a49774d6a59794d4449314d5441774f533951515338315a54426d59324d774f53316c5a6d51314c5451794f4449744f5745795a4330314d574e685a6a4d33593255334d6d51756347526d&amp;Fich=5e0fcc09-efd5-4282-9a2d-51caf37ce72d.pdf&amp;Inline=true</t>
        </is>
      </c>
      <c r="AH1612" s="3" t="n">
        <v>46321.77847222222</v>
      </c>
      <c r="AI1612" s="3" t="n">
        <v>46321.78055555555</v>
      </c>
      <c r="AJ1612" s="2" t="inlineStr"/>
    </row>
    <row r="1613">
      <c r="A1613" s="2" t="n">
        <v>1612</v>
      </c>
      <c r="B1613" s="2" t="inlineStr">
        <is>
          <t>1520C</t>
        </is>
      </c>
      <c r="C1613" s="3" t="n">
        <v>45968.63194444445</v>
      </c>
      <c r="D1613" s="2" t="inlineStr">
        <is>
          <t>Original</t>
        </is>
      </c>
      <c r="E1613" s="2" t="inlineStr">
        <is>
          <t>PCP</t>
        </is>
      </c>
      <c r="F1613" s="2" t="inlineStr">
        <is>
          <t>Alfredo Maia; Paula Santos; Paulo Raimundo</t>
        </is>
      </c>
      <c r="G1613" s="2" t="inlineStr">
        <is>
          <t>Art. 136.º-A (aditamento)</t>
        </is>
      </c>
      <c r="H1613" s="2" t="n"/>
      <c r="I1613" s="2" t="n"/>
      <c r="J1613" s="2" t="n"/>
      <c r="K1613" s="2" t="n"/>
      <c r="L1613" s="2" t="inlineStr">
        <is>
          <t>Artigo 136.º-A (Reposição dos dias de férias na Administração Pública)</t>
        </is>
      </c>
      <c r="M1613" s="4" t="n"/>
      <c r="N1613" s="4" t="n"/>
      <c r="O1613" s="2" t="n"/>
      <c r="P1613" s="2" t="n"/>
      <c r="Q1613" s="2" t="n"/>
      <c r="R1613" s="2" t="n"/>
      <c r="S1613" s="2" t="inlineStr">
        <is>
          <t>Rejeitado(a) em Comissão</t>
        </is>
      </c>
      <c r="T1613" s="2" t="inlineStr">
        <is>
          <t>Rejeitada</t>
        </is>
      </c>
      <c r="U1613" s="2" t="inlineStr">
        <is>
          <t>Favor: L, PCP, BE, PAN; Contra: PSD, IL, CDS-PP; Abstenção: CH, PS</t>
        </is>
      </c>
      <c r="V1613" s="3" t="n">
        <v>45987</v>
      </c>
      <c r="W1613" s="2" t="inlineStr">
        <is>
          <t>AR: https://www.parlamento.pt/OrcamentoEstado/Paginas/DetalhePropostaAlteracao.aspx?BID=24767 PDF: https://app.parlamento.pt/webutils/docs/doc.pdf?path=6148523063484d364c793942556b356c6443397a6158526c63793959566b6c4a544556484c3039464c7a49774d6a59794d4449314d5441774f53395151533831596a51314e6d526c4d4330334d6a566d4c5451344d6a63744f54526b5a43316c5a544d305957466d4d325a6b4f5441756347526d&amp;Fich=5b456de0-725f-4827-94dd-ee34aaf3fd90.pdf&amp;Inline=true</t>
        </is>
      </c>
      <c r="X1613" s="2" t="inlineStr">
        <is>
          <t>Orçamento, Finanças e Administração Pública</t>
        </is>
      </c>
      <c r="Y1613" s="2" t="inlineStr">
        <is>
          <t>Articulado</t>
        </is>
      </c>
      <c r="Z1613" s="2" t="inlineStr">
        <is>
          <t>Aditamento (Artigo PPL)</t>
        </is>
      </c>
      <c r="AA1613" s="2" t="inlineStr">
        <is>
          <t>Rejeitado(a) em Comissão</t>
        </is>
      </c>
      <c r="AB1613" s="2" t="inlineStr"/>
      <c r="AC1613" s="2" t="inlineStr"/>
      <c r="AD1613" s="2" t="inlineStr">
        <is>
          <t>1</t>
        </is>
      </c>
      <c r="AE1613" s="2" t="inlineStr">
        <is>
          <t>24767</t>
        </is>
      </c>
      <c r="AF1613" s="2" t="inlineStr">
        <is>
          <t>https://www.parlamento.pt/OrcamentoEstado/Paginas/DetalhePropostaAlteracao.aspx?BID=24767</t>
        </is>
      </c>
      <c r="AG1613" s="2" t="inlineStr">
        <is>
          <t>https://app.parlamento.pt/webutils/docs/doc.pdf?path=6148523063484d364c793942556b356c6443397a6158526c63793959566b6c4a544556484c3039464c7a49774d6a59794d4449314d5441774f53395151533831596a51314e6d526c4d4330334d6a566d4c5451344d6a63744f54526b5a43316c5a544d305957466d4d325a6b4f5441756347526d&amp;Fich=5b456de0-725f-4827-94dd-ee34aaf3fd90.pdf&amp;Inline=true</t>
        </is>
      </c>
      <c r="AH1613" s="3" t="n">
        <v>46321.77847222222</v>
      </c>
      <c r="AI1613" s="3" t="n">
        <v>46321.78055555555</v>
      </c>
      <c r="AJ1613" s="2" t="inlineStr"/>
    </row>
    <row r="1614">
      <c r="A1614" s="2" t="n">
        <v>1613</v>
      </c>
      <c r="B1614" s="2" t="inlineStr">
        <is>
          <t>1521C</t>
        </is>
      </c>
      <c r="C1614" s="3" t="n">
        <v>45968.63194444445</v>
      </c>
      <c r="D1614" s="2" t="inlineStr">
        <is>
          <t>Original</t>
        </is>
      </c>
      <c r="E1614" s="2" t="inlineStr">
        <is>
          <t>CH</t>
        </is>
      </c>
      <c r="F161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14" s="2" t="inlineStr">
        <is>
          <t>Art. 118.º-A (aditamento)</t>
        </is>
      </c>
      <c r="H1614" s="2" t="n"/>
      <c r="I1614" s="2" t="n"/>
      <c r="J1614" s="2" t="n"/>
      <c r="K1614" s="2" t="n"/>
      <c r="L1614" s="2" t="inlineStr">
        <is>
          <t>Artigo 118.º-A (Criação de Bolsas de Formação para Cursos e Certificados no Setor da Construção Civil e Obras Públicas)</t>
        </is>
      </c>
      <c r="M1614" s="4" t="n"/>
      <c r="N1614" s="4" t="n"/>
      <c r="O1614" s="2" t="n"/>
      <c r="P1614" s="2" t="n"/>
      <c r="Q1614" s="2" t="n"/>
      <c r="R1614" s="2" t="n"/>
      <c r="S1614" s="2" t="inlineStr">
        <is>
          <t>Rejeitado(a) em Comissão</t>
        </is>
      </c>
      <c r="T1614" s="2" t="inlineStr">
        <is>
          <t>Rejeitada</t>
        </is>
      </c>
      <c r="U1614" s="2" t="inlineStr">
        <is>
          <t>Favor: CH, BE, PAN; Contra: PSD, CDS-PP; Abstenção: PS, IL, L, PCP</t>
        </is>
      </c>
      <c r="V1614" s="3" t="n">
        <v>45985</v>
      </c>
      <c r="W1614" s="2" t="inlineStr">
        <is>
          <t>AR: https://www.parlamento.pt/OrcamentoEstado/Paginas/DetalhePropostaAlteracao.aspx?BID=24768 PDF: https://app.parlamento.pt/webutils/docs/doc.pdf?path=6148523063484d364c793942556b356c6443397a6158526c63793959566b6c4a544556484c3039464c7a49774d6a59794d4449314d5441774f533951515338335a4459304f544a695a5330324e574d314c5451325a6a6b744f54646c4e6930335a444d785a446734596d4e694e4467756347526d&amp;Fich=7d6492be-65c5-46f9-97e6-7d31d88bcb48.pdf&amp;Inline=true</t>
        </is>
      </c>
      <c r="X1614" s="2" t="inlineStr">
        <is>
          <t>Educação e Ciência</t>
        </is>
      </c>
      <c r="Y1614" s="2" t="inlineStr">
        <is>
          <t>Articulado</t>
        </is>
      </c>
      <c r="Z1614" s="2" t="inlineStr">
        <is>
          <t>Aditamento (Artigo PPL)</t>
        </is>
      </c>
      <c r="AA1614" s="2" t="inlineStr">
        <is>
          <t>Rejeitado(a) em Comissão</t>
        </is>
      </c>
      <c r="AB1614" s="2" t="inlineStr"/>
      <c r="AC1614" s="2" t="inlineStr"/>
      <c r="AD1614" s="2" t="inlineStr">
        <is>
          <t>1</t>
        </is>
      </c>
      <c r="AE1614" s="2" t="inlineStr">
        <is>
          <t>24768</t>
        </is>
      </c>
      <c r="AF1614" s="2" t="inlineStr">
        <is>
          <t>https://www.parlamento.pt/OrcamentoEstado/Paginas/DetalhePropostaAlteracao.aspx?BID=24768</t>
        </is>
      </c>
      <c r="AG1614" s="2" t="inlineStr">
        <is>
          <t>https://app.parlamento.pt/webutils/docs/doc.pdf?path=6148523063484d364c793942556b356c6443397a6158526c63793959566b6c4a544556484c3039464c7a49774d6a59794d4449314d5441774f533951515338335a4459304f544a695a5330324e574d314c5451325a6a6b744f54646c4e6930335a444d785a446734596d4e694e4467756347526d&amp;Fich=7d6492be-65c5-46f9-97e6-7d31d88bcb48.pdf&amp;Inline=true</t>
        </is>
      </c>
      <c r="AH1614" s="3" t="n">
        <v>46321.77847222222</v>
      </c>
      <c r="AI1614" s="3" t="n">
        <v>46321.78055555555</v>
      </c>
      <c r="AJ1614" s="2" t="inlineStr"/>
    </row>
    <row r="1615">
      <c r="A1615" s="2" t="n">
        <v>1614</v>
      </c>
      <c r="B1615" s="2" t="inlineStr">
        <is>
          <t>1522C</t>
        </is>
      </c>
      <c r="C1615" s="3" t="n">
        <v>45968.63263888889</v>
      </c>
      <c r="D1615" s="2" t="inlineStr">
        <is>
          <t>Original</t>
        </is>
      </c>
      <c r="E1615" s="2" t="inlineStr">
        <is>
          <t>PCP</t>
        </is>
      </c>
      <c r="F1615" s="2" t="inlineStr">
        <is>
          <t>Alfredo Maia; Paula Santos; Paulo Raimundo</t>
        </is>
      </c>
      <c r="G1615" s="2" t="inlineStr">
        <is>
          <t>Art. 136.º-A (aditamento)</t>
        </is>
      </c>
      <c r="H1615" s="2" t="n"/>
      <c r="I1615" s="2" t="n"/>
      <c r="J1615" s="2" t="n"/>
      <c r="K1615" s="2" t="n"/>
      <c r="L1615" s="2" t="inlineStr">
        <is>
          <t>Artigo 136.º-A (Suplemento por trabalho em condições de risco, penosidade e insalubridade)</t>
        </is>
      </c>
      <c r="M1615" s="4" t="n"/>
      <c r="N1615" s="4" t="n"/>
      <c r="O1615" s="2" t="n"/>
      <c r="P1615" s="2" t="n"/>
      <c r="Q1615" s="2" t="n"/>
      <c r="R1615" s="2" t="n"/>
      <c r="S1615" s="2" t="inlineStr">
        <is>
          <t>Rejeitado(a) em Comissão</t>
        </is>
      </c>
      <c r="T1615" s="2" t="inlineStr">
        <is>
          <t>Rejeitada</t>
        </is>
      </c>
      <c r="U1615" s="2" t="inlineStr">
        <is>
          <t>Favor: L, PCP, BE, PAN; Contra: PSD, CDS-PP; Abstenção: CH, PS, IL</t>
        </is>
      </c>
      <c r="V1615" s="3" t="n">
        <v>45987</v>
      </c>
      <c r="W1615" s="2" t="inlineStr">
        <is>
          <t>AR: https://www.parlamento.pt/OrcamentoEstado/Paginas/DetalhePropostaAlteracao.aspx?BID=24769 PDF: https://app.parlamento.pt/webutils/docs/doc.pdf?path=6148523063484d364c793942556b356c6443397a6158526c63793959566b6c4a544556484c3039464c7a49774d6a59794d4449314d5441774f5339515153396b4d475a6d596d4d314d53303459575a6c4c5451784f546b744f4445795a4330355a4464684e6d52685a5751315a5467756347526d&amp;Fich=d0ffbc51-8afe-4199-812d-9d7a6daed5e8.pdf&amp;Inline=true</t>
        </is>
      </c>
      <c r="X1615" s="2" t="inlineStr">
        <is>
          <t>Orçamento, Finanças e Administração Pública</t>
        </is>
      </c>
      <c r="Y1615" s="2" t="inlineStr">
        <is>
          <t>Articulado</t>
        </is>
      </c>
      <c r="Z1615" s="2" t="inlineStr">
        <is>
          <t>Aditamento (Artigo PPL)</t>
        </is>
      </c>
      <c r="AA1615" s="2" t="inlineStr">
        <is>
          <t>Rejeitado(a) em Comissão</t>
        </is>
      </c>
      <c r="AB1615" s="2" t="inlineStr"/>
      <c r="AC1615" s="2" t="inlineStr"/>
      <c r="AD1615" s="2" t="inlineStr">
        <is>
          <t>1</t>
        </is>
      </c>
      <c r="AE1615" s="2" t="inlineStr">
        <is>
          <t>24769</t>
        </is>
      </c>
      <c r="AF1615" s="2" t="inlineStr">
        <is>
          <t>https://www.parlamento.pt/OrcamentoEstado/Paginas/DetalhePropostaAlteracao.aspx?BID=24769</t>
        </is>
      </c>
      <c r="AG1615" s="2" t="inlineStr">
        <is>
          <t>https://app.parlamento.pt/webutils/docs/doc.pdf?path=6148523063484d364c793942556b356c6443397a6158526c63793959566b6c4a544556484c3039464c7a49774d6a59794d4449314d5441774f5339515153396b4d475a6d596d4d314d53303459575a6c4c5451784f546b744f4445795a4330355a4464684e6d52685a5751315a5467756347526d&amp;Fich=d0ffbc51-8afe-4199-812d-9d7a6daed5e8.pdf&amp;Inline=true</t>
        </is>
      </c>
      <c r="AH1615" s="3" t="n">
        <v>46321.77847222222</v>
      </c>
      <c r="AI1615" s="3" t="n">
        <v>46321.78055555555</v>
      </c>
      <c r="AJ1615" s="2" t="inlineStr"/>
    </row>
    <row r="1616">
      <c r="A1616" s="2" t="n">
        <v>1615</v>
      </c>
      <c r="B1616" s="2" t="inlineStr">
        <is>
          <t>1523C</t>
        </is>
      </c>
      <c r="C1616" s="3" t="n">
        <v>45968.63263888889</v>
      </c>
      <c r="D1616" s="2" t="inlineStr">
        <is>
          <t>Original</t>
        </is>
      </c>
      <c r="E1616" s="2" t="inlineStr">
        <is>
          <t>PAN</t>
        </is>
      </c>
      <c r="F1616" s="2" t="inlineStr">
        <is>
          <t>Inês de Sousa Real</t>
        </is>
      </c>
      <c r="G1616" s="2" t="inlineStr">
        <is>
          <t>Art. 116.º-A (aditamento)</t>
        </is>
      </c>
      <c r="H1616" s="2" t="n"/>
      <c r="I1616" s="2" t="n"/>
      <c r="J1616" s="2" t="n"/>
      <c r="K1616" s="2" t="n"/>
      <c r="L1616" s="2" t="inlineStr">
        <is>
          <t>Artigo 116.º-A (Alargamento do número de vagas no âmbito do Programa Creche Feliz)</t>
        </is>
      </c>
      <c r="M1616" s="4" t="n"/>
      <c r="N1616" s="4" t="n"/>
      <c r="O1616" s="2" t="n"/>
      <c r="P1616" s="2" t="n"/>
      <c r="Q1616" s="2" t="n"/>
      <c r="R1616" s="2" t="n"/>
      <c r="S1616" s="2" t="inlineStr">
        <is>
          <t>Rejeitado(a) em Comissão</t>
        </is>
      </c>
      <c r="T1616" s="2" t="inlineStr">
        <is>
          <t>Rejeitada</t>
        </is>
      </c>
      <c r="U1616" s="2" t="inlineStr">
        <is>
          <t>Favor: CH, IL, L, BE, PAN; Contra: PSD, CDS-PP; Abstenção: PS, PCP</t>
        </is>
      </c>
      <c r="V1616" s="3" t="n">
        <v>45985</v>
      </c>
      <c r="W1616" s="2" t="inlineStr">
        <is>
          <t>AR: https://www.parlamento.pt/OrcamentoEstado/Paginas/DetalhePropostaAlteracao.aspx?BID=24770 PDF: https://app.parlamento.pt/webutils/docs/doc.pdf?path=6148523063484d364c793942556b356c6443397a6158526c63793959566b6c4a544556484c3039464c7a49774d6a59794d4449314d5441774f533951515338304e7a526d596d49324e79316d5a6a59354c54526a5a4749744f545931595330344e5456685a6a41334f445a6a4e6a63756347526d&amp;Fich=474fbb67-ff69-4cdb-965a-855af0786c67.pdf&amp;Inline=true</t>
        </is>
      </c>
      <c r="X1616" s="2" t="inlineStr">
        <is>
          <t>Trabalho, Segurança Social e Inclusão</t>
        </is>
      </c>
      <c r="Y1616" s="2" t="inlineStr">
        <is>
          <t>Articulado</t>
        </is>
      </c>
      <c r="Z1616" s="2" t="inlineStr">
        <is>
          <t>Aditamento (Artigo PPL)</t>
        </is>
      </c>
      <c r="AA1616" s="2" t="inlineStr">
        <is>
          <t>Rejeitado(a) em Comissão</t>
        </is>
      </c>
      <c r="AB1616" s="2" t="inlineStr"/>
      <c r="AC1616" s="2" t="inlineStr"/>
      <c r="AD1616" s="2" t="inlineStr">
        <is>
          <t>1</t>
        </is>
      </c>
      <c r="AE1616" s="2" t="inlineStr">
        <is>
          <t>24770</t>
        </is>
      </c>
      <c r="AF1616" s="2" t="inlineStr">
        <is>
          <t>https://www.parlamento.pt/OrcamentoEstado/Paginas/DetalhePropostaAlteracao.aspx?BID=24770</t>
        </is>
      </c>
      <c r="AG1616" s="2" t="inlineStr">
        <is>
          <t>https://app.parlamento.pt/webutils/docs/doc.pdf?path=6148523063484d364c793942556b356c6443397a6158526c63793959566b6c4a544556484c3039464c7a49774d6a59794d4449314d5441774f533951515338304e7a526d596d49324e79316d5a6a59354c54526a5a4749744f545931595330344e5456685a6a41334f445a6a4e6a63756347526d&amp;Fich=474fbb67-ff69-4cdb-965a-855af0786c67.pdf&amp;Inline=true</t>
        </is>
      </c>
      <c r="AH1616" s="3" t="n">
        <v>46321.77847222222</v>
      </c>
      <c r="AI1616" s="3" t="n">
        <v>46321.78055555555</v>
      </c>
      <c r="AJ1616" s="2" t="inlineStr"/>
    </row>
    <row r="1617">
      <c r="A1617" s="2" t="n">
        <v>1616</v>
      </c>
      <c r="B1617" s="2" t="inlineStr">
        <is>
          <t>1524C</t>
        </is>
      </c>
      <c r="C1617" s="3" t="n">
        <v>45968.63333333333</v>
      </c>
      <c r="D1617" s="2" t="inlineStr">
        <is>
          <t>Retirada</t>
        </is>
      </c>
      <c r="E1617" s="2" t="inlineStr">
        <is>
          <t>CH</t>
        </is>
      </c>
      <c r="F161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17" s="2" t="inlineStr">
        <is>
          <t>Art. 118.º-A (aditamento)</t>
        </is>
      </c>
      <c r="H1617" s="2" t="n"/>
      <c r="I1617" s="2" t="n"/>
      <c r="J1617" s="2" t="n"/>
      <c r="K1617" s="2" t="n"/>
      <c r="L1617" s="2" t="inlineStr">
        <is>
          <t>Artigo 118.º-A (Reabilitação do Património Edificado Público para Alojamento Estudantil)</t>
        </is>
      </c>
      <c r="M1617" s="4" t="n"/>
      <c r="N1617" s="4" t="n"/>
      <c r="O1617" s="2" t="n"/>
      <c r="P1617" s="2" t="n"/>
      <c r="Q1617" s="2" t="n"/>
      <c r="R1617" s="2" t="n"/>
      <c r="S1617" s="2" t="inlineStr">
        <is>
          <t>Retirado(a)</t>
        </is>
      </c>
      <c r="T1617" s="2" t="inlineStr">
        <is>
          <t>Retirada</t>
        </is>
      </c>
      <c r="U1617" s="2" t="inlineStr"/>
      <c r="V1617" s="3" t="n"/>
      <c r="W1617" s="2" t="inlineStr">
        <is>
          <t>AR: https://www.parlamento.pt/OrcamentoEstado/Paginas/DetalhePropostaAlteracao.aspx?BID=24771 PDF: https://app.parlamento.pt/webutils/docs/doc.pdf?path=6148523063484d364c793942556b356c6443397a6158526c63793959566b6c4a544556484c3039464c7a49774d6a59794d4449314d5441774f5339515153387a4f446331595451774e5330314d6a67354c5451334d6a63745957566c596930304f475a6d59544a6d595756694d544d756347526d&amp;Fich=3875a405-5289-4727-aeeb-48ffa2faeb13.pdf&amp;Inline=true</t>
        </is>
      </c>
      <c r="X1617" s="2" t="inlineStr">
        <is>
          <t>Infraestruturas, Mobilidade e Habitação</t>
        </is>
      </c>
      <c r="Y1617" s="2" t="inlineStr">
        <is>
          <t>Articulado</t>
        </is>
      </c>
      <c r="Z1617" s="2" t="inlineStr">
        <is>
          <t>Aditamento (Artigo PPL)</t>
        </is>
      </c>
      <c r="AA1617" s="2" t="inlineStr">
        <is>
          <t>Retirado(a)</t>
        </is>
      </c>
      <c r="AB1617" s="2" t="inlineStr"/>
      <c r="AC1617" s="2" t="inlineStr"/>
      <c r="AD1617" s="2" t="inlineStr">
        <is>
          <t>0</t>
        </is>
      </c>
      <c r="AE1617" s="2" t="inlineStr">
        <is>
          <t>24771</t>
        </is>
      </c>
      <c r="AF1617" s="2" t="inlineStr">
        <is>
          <t>https://www.parlamento.pt/OrcamentoEstado/Paginas/DetalhePropostaAlteracao.aspx?BID=24771</t>
        </is>
      </c>
      <c r="AG1617" s="2" t="inlineStr">
        <is>
          <t>https://app.parlamento.pt/webutils/docs/doc.pdf?path=6148523063484d364c793942556b356c6443397a6158526c63793959566b6c4a544556484c3039464c7a49774d6a59794d4449314d5441774f5339515153387a4f446331595451774e5330314d6a67354c5451334d6a63745957566c596930304f475a6d59544a6d595756694d544d756347526d&amp;Fich=3875a405-5289-4727-aeeb-48ffa2faeb13.pdf&amp;Inline=true</t>
        </is>
      </c>
      <c r="AH1617" s="3" t="n">
        <v>46321.77847222222</v>
      </c>
      <c r="AI1617" s="3" t="n">
        <v>46321.78055555555</v>
      </c>
      <c r="AJ1617" s="2" t="inlineStr"/>
    </row>
    <row r="1618">
      <c r="A1618" s="2" t="n">
        <v>1617</v>
      </c>
      <c r="B1618" s="2" t="inlineStr">
        <is>
          <t>1525C</t>
        </is>
      </c>
      <c r="C1618" s="3" t="n">
        <v>45968.63333333333</v>
      </c>
      <c r="D1618" s="2" t="inlineStr">
        <is>
          <t>Original</t>
        </is>
      </c>
      <c r="E1618" s="2" t="inlineStr">
        <is>
          <t>PCP</t>
        </is>
      </c>
      <c r="F1618" s="2" t="inlineStr">
        <is>
          <t>Alfredo Maia; Paula Santos; Paulo Raimundo</t>
        </is>
      </c>
      <c r="G1618" s="2" t="inlineStr">
        <is>
          <t>Art. 18.º-A (aditamento)</t>
        </is>
      </c>
      <c r="H1618" s="2" t="n"/>
      <c r="I1618" s="2" t="n"/>
      <c r="J1618" s="2" t="n"/>
      <c r="K1618" s="2" t="n"/>
      <c r="L1618" s="2" t="inlineStr">
        <is>
          <t>Artigo 18.º-A (Acumulação das prestações por incapacidade permanente)</t>
        </is>
      </c>
      <c r="M1618" s="4" t="n"/>
      <c r="N1618" s="4" t="n"/>
      <c r="O1618" s="2" t="n"/>
      <c r="P1618" s="2" t="n"/>
      <c r="Q1618" s="2" t="n"/>
      <c r="R1618" s="2" t="n"/>
      <c r="S1618" s="2" t="inlineStr">
        <is>
          <t>Rejeitado(a) em Comissão</t>
        </is>
      </c>
      <c r="T1618" s="2" t="inlineStr">
        <is>
          <t>Rejeitada</t>
        </is>
      </c>
      <c r="U1618" s="2" t="inlineStr">
        <is>
          <t>Favor: L, PCP, BE, PAN; Contra: PSD, IL, CDS-PP; Abstenção: CH, PS</t>
        </is>
      </c>
      <c r="V1618" s="3" t="n">
        <v>45981</v>
      </c>
      <c r="W1618" s="2" t="inlineStr">
        <is>
          <t>AR: https://www.parlamento.pt/OrcamentoEstado/Paginas/DetalhePropostaAlteracao.aspx?BID=24772 PDF: https://app.parlamento.pt/webutils/docs/doc.pdf?path=6148523063484d364c793942556b356c6443397a6158526c63793959566b6c4a544556484c3039464c7a49774d6a59794d4449314d5441774f533951515338775a5451334e54686a4e433031596d49354c5451324e5455744f4446695979316d5a5449344d6a6c69596a6c6b4e4449756347526d&amp;Fich=0e4758c4-5bb9-4655-81bc-fe2829bb9d42.pdf&amp;Inline=true</t>
        </is>
      </c>
      <c r="X1618" s="2" t="inlineStr">
        <is>
          <t>Orçamento, Finanças e Administração Pública</t>
        </is>
      </c>
      <c r="Y1618" s="2" t="inlineStr">
        <is>
          <t>Articulado</t>
        </is>
      </c>
      <c r="Z1618" s="2" t="inlineStr">
        <is>
          <t>Aditamento (Artigo PPL)</t>
        </is>
      </c>
      <c r="AA1618" s="2" t="inlineStr">
        <is>
          <t>Rejeitado(a) em Comissão</t>
        </is>
      </c>
      <c r="AB1618" s="2" t="inlineStr"/>
      <c r="AC1618" s="2" t="inlineStr"/>
      <c r="AD1618" s="2" t="inlineStr">
        <is>
          <t>1</t>
        </is>
      </c>
      <c r="AE1618" s="2" t="inlineStr">
        <is>
          <t>24772</t>
        </is>
      </c>
      <c r="AF1618" s="2" t="inlineStr">
        <is>
          <t>https://www.parlamento.pt/OrcamentoEstado/Paginas/DetalhePropostaAlteracao.aspx?BID=24772</t>
        </is>
      </c>
      <c r="AG1618" s="2" t="inlineStr">
        <is>
          <t>https://app.parlamento.pt/webutils/docs/doc.pdf?path=6148523063484d364c793942556b356c6443397a6158526c63793959566b6c4a544556484c3039464c7a49774d6a59794d4449314d5441774f533951515338775a5451334e54686a4e433031596d49354c5451324e5455744f4446695979316d5a5449344d6a6c69596a6c6b4e4449756347526d&amp;Fich=0e4758c4-5bb9-4655-81bc-fe2829bb9d42.pdf&amp;Inline=true</t>
        </is>
      </c>
      <c r="AH1618" s="3" t="n">
        <v>46321.77847222222</v>
      </c>
      <c r="AI1618" s="3" t="n">
        <v>46321.78055555555</v>
      </c>
      <c r="AJ1618" s="2" t="inlineStr"/>
    </row>
    <row r="1619">
      <c r="A1619" s="2" t="n">
        <v>1618</v>
      </c>
      <c r="B1619" s="2" t="inlineStr">
        <is>
          <t>1526C</t>
        </is>
      </c>
      <c r="C1619" s="3" t="n">
        <v>45968.63333333333</v>
      </c>
      <c r="D1619" s="2" t="inlineStr">
        <is>
          <t>Original</t>
        </is>
      </c>
      <c r="E1619" s="2" t="inlineStr">
        <is>
          <t>PS</t>
        </is>
      </c>
      <c r="F1619" s="2" t="inlineStr">
        <is>
          <t>António Mendonça Mendes; Eurico Brilhante Dias; José Luís Carneiro; Mariana Vieira da Silva; Marina Gonçalves; Miguel Matos; Susana Correia</t>
        </is>
      </c>
      <c r="G1619" s="2" t="inlineStr">
        <is>
          <t>Art. 119.º-A (aditamento)</t>
        </is>
      </c>
      <c r="H1619" s="2" t="n"/>
      <c r="I1619" s="2" t="n"/>
      <c r="J1619" s="2" t="n"/>
      <c r="K1619" s="2" t="n"/>
      <c r="L1619" s="2" t="inlineStr">
        <is>
          <t>Artigo 119.º-A (Alargamento do Programa Nacional de Promoção de Saúde Oral)</t>
        </is>
      </c>
      <c r="M1619" s="4" t="n"/>
      <c r="N1619" s="4" t="n"/>
      <c r="O1619" s="2" t="n"/>
      <c r="P1619" s="2" t="n"/>
      <c r="Q1619" s="2" t="n"/>
      <c r="R1619" s="2" t="n"/>
      <c r="S1619" s="2" t="inlineStr">
        <is>
          <t>Rejeitado(a) em Comissão</t>
        </is>
      </c>
      <c r="T1619" s="2" t="inlineStr">
        <is>
          <t>Rejeitada</t>
        </is>
      </c>
      <c r="U1619" s="2" t="inlineStr">
        <is>
          <t>Favor: PS, L, PCP, BE, PAN; Contra: PSD, CDS-PP; Abstenção: CH, IL</t>
        </is>
      </c>
      <c r="V1619" s="3" t="n">
        <v>45985</v>
      </c>
      <c r="W1619" s="2" t="inlineStr">
        <is>
          <t>AR: https://www.parlamento.pt/OrcamentoEstado/Paginas/DetalhePropostaAlteracao.aspx?BID=24773 PDF: https://app.parlamento.pt/webutils/docs/doc.pdf?path=6148523063484d364c793942556b356c6443397a6158526c63793959566b6c4a544556484c3039464c7a49774d6a59794d4449314d5441774f533951515338335a4746684e6a4d794d69316b4d7a49304c5451774e6d51744f5751334f43316c4d4445795a444e6d4e474a694d7a59756347526d&amp;Fich=7daa6322-d324-406d-9d78-e012d3f4bb36.pdf&amp;Inline=true</t>
        </is>
      </c>
      <c r="X1619" s="2" t="inlineStr">
        <is>
          <t>Orçamento, Finanças e Administração Pública; Saúde</t>
        </is>
      </c>
      <c r="Y1619" s="2" t="inlineStr">
        <is>
          <t>Articulado</t>
        </is>
      </c>
      <c r="Z1619" s="2" t="inlineStr">
        <is>
          <t>Aditamento (Artigo PPL)</t>
        </is>
      </c>
      <c r="AA1619" s="2" t="inlineStr">
        <is>
          <t>Rejeitado(a) em Comissão</t>
        </is>
      </c>
      <c r="AB1619" s="2" t="inlineStr"/>
      <c r="AC1619" s="2" t="inlineStr"/>
      <c r="AD1619" s="2" t="inlineStr">
        <is>
          <t>1</t>
        </is>
      </c>
      <c r="AE1619" s="2" t="inlineStr">
        <is>
          <t>24773</t>
        </is>
      </c>
      <c r="AF1619" s="2" t="inlineStr">
        <is>
          <t>https://www.parlamento.pt/OrcamentoEstado/Paginas/DetalhePropostaAlteracao.aspx?BID=24773</t>
        </is>
      </c>
      <c r="AG1619" s="2" t="inlineStr">
        <is>
          <t>https://app.parlamento.pt/webutils/docs/doc.pdf?path=6148523063484d364c793942556b356c6443397a6158526c63793959566b6c4a544556484c3039464c7a49774d6a59794d4449314d5441774f533951515338335a4746684e6a4d794d69316b4d7a49304c5451774e6d51744f5751334f43316c4d4445795a444e6d4e474a694d7a59756347526d&amp;Fich=7daa6322-d324-406d-9d78-e012d3f4bb36.pdf&amp;Inline=true</t>
        </is>
      </c>
      <c r="AH1619" s="3" t="n">
        <v>46321.77847222222</v>
      </c>
      <c r="AI1619" s="3" t="n">
        <v>46321.78055555555</v>
      </c>
      <c r="AJ1619" s="2" t="inlineStr"/>
    </row>
    <row r="1620">
      <c r="A1620" s="2" t="n">
        <v>1619</v>
      </c>
      <c r="B1620" s="2" t="inlineStr">
        <is>
          <t>1527C</t>
        </is>
      </c>
      <c r="C1620" s="3" t="n">
        <v>45968.63333333333</v>
      </c>
      <c r="D1620" s="2" t="inlineStr">
        <is>
          <t>Original</t>
        </is>
      </c>
      <c r="E1620" s="2" t="inlineStr">
        <is>
          <t>CH</t>
        </is>
      </c>
      <c r="F162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20" s="2" t="inlineStr">
        <is>
          <t>Art. 136.º-A (aditamento)</t>
        </is>
      </c>
      <c r="H1620" s="2" t="n"/>
      <c r="I1620" s="2" t="n"/>
      <c r="J1620" s="2" t="n"/>
      <c r="K1620" s="2" t="n"/>
      <c r="L1620" s="2" t="inlineStr">
        <is>
          <t>Artigo 136.º-A (Construção do troço ferroviário entre Loulé, Universidade do Algarve e Aeroporto Internacional de Faro, através da ligação à linha ferroviária do Algarve)</t>
        </is>
      </c>
      <c r="M1620" s="4" t="n"/>
      <c r="N1620" s="4" t="n"/>
      <c r="O1620" s="2" t="n"/>
      <c r="P1620" s="2" t="n"/>
      <c r="Q1620" s="2" t="n"/>
      <c r="R1620" s="2" t="n"/>
      <c r="S1620" s="2" t="inlineStr">
        <is>
          <t>Rejeitado(a) em Comissão</t>
        </is>
      </c>
      <c r="T1620" s="2" t="inlineStr">
        <is>
          <t>Rejeitada</t>
        </is>
      </c>
      <c r="U1620" s="2" t="inlineStr">
        <is>
          <t>Favor: CH, IL, BE, PAN; Contra: PSD, CDS-PP; Abstenção: PS, L, PCP</t>
        </is>
      </c>
      <c r="V1620" s="3" t="n">
        <v>45987</v>
      </c>
      <c r="W1620" s="2" t="inlineStr">
        <is>
          <t>AR: https://www.parlamento.pt/OrcamentoEstado/Paginas/DetalhePropostaAlteracao.aspx?BID=24774 PDF: https://app.parlamento.pt/webutils/docs/doc.pdf?path=6148523063484d364c793942556b356c6443397a6158526c63793959566b6c4a544556484c3039464c7a49774d6a59794d4449314d5441774f533951515338314e44566b5a5459304f43307a597a686b4c5452694f446374596d466a4d7930774d5445314d5449334d3251354d544d756347526d&amp;Fich=545de648-3c8d-4b87-bac3-01151273d913.pdf&amp;Inline=true</t>
        </is>
      </c>
      <c r="X1620" s="2" t="inlineStr">
        <is>
          <t>Infraestruturas, Mobilidade e Habitação</t>
        </is>
      </c>
      <c r="Y1620" s="2" t="inlineStr">
        <is>
          <t>Articulado</t>
        </is>
      </c>
      <c r="Z1620" s="2" t="inlineStr">
        <is>
          <t>Aditamento (Artigo PPL)</t>
        </is>
      </c>
      <c r="AA1620" s="2" t="inlineStr">
        <is>
          <t>Rejeitado(a) em Comissão</t>
        </is>
      </c>
      <c r="AB1620" s="2" t="inlineStr"/>
      <c r="AC1620" s="2" t="inlineStr"/>
      <c r="AD1620" s="2" t="inlineStr">
        <is>
          <t>1</t>
        </is>
      </c>
      <c r="AE1620" s="2" t="inlineStr">
        <is>
          <t>24774</t>
        </is>
      </c>
      <c r="AF1620" s="2" t="inlineStr">
        <is>
          <t>https://www.parlamento.pt/OrcamentoEstado/Paginas/DetalhePropostaAlteracao.aspx?BID=24774</t>
        </is>
      </c>
      <c r="AG1620" s="2" t="inlineStr">
        <is>
          <t>https://app.parlamento.pt/webutils/docs/doc.pdf?path=6148523063484d364c793942556b356c6443397a6158526c63793959566b6c4a544556484c3039464c7a49774d6a59794d4449314d5441774f533951515338314e44566b5a5459304f43307a597a686b4c5452694f446374596d466a4d7930774d5445314d5449334d3251354d544d756347526d&amp;Fich=545de648-3c8d-4b87-bac3-01151273d913.pdf&amp;Inline=true</t>
        </is>
      </c>
      <c r="AH1620" s="3" t="n">
        <v>46321.77847222222</v>
      </c>
      <c r="AI1620" s="3" t="n">
        <v>46321.78055555555</v>
      </c>
      <c r="AJ1620" s="2" t="inlineStr"/>
    </row>
    <row r="1621">
      <c r="A1621" s="2" t="n">
        <v>1620</v>
      </c>
      <c r="B1621" s="2" t="inlineStr">
        <is>
          <t>1528C</t>
        </is>
      </c>
      <c r="C1621" s="3" t="n">
        <v>45968.63402777778</v>
      </c>
      <c r="D1621" s="2" t="inlineStr">
        <is>
          <t>Original</t>
        </is>
      </c>
      <c r="E1621" s="2" t="inlineStr">
        <is>
          <t>PAN</t>
        </is>
      </c>
      <c r="F1621" s="2" t="inlineStr">
        <is>
          <t>Inês de Sousa Real</t>
        </is>
      </c>
      <c r="G1621" s="2" t="inlineStr">
        <is>
          <t>Art. 71.º-A (aditamento)</t>
        </is>
      </c>
      <c r="H1621" s="2" t="n"/>
      <c r="I1621" s="2" t="n"/>
      <c r="J1621" s="2" t="n"/>
      <c r="K1621" s="2" t="n"/>
      <c r="L1621" s="2" t="inlineStr">
        <is>
          <t>Artigo 71.º-A (Unidade de Cuidados na Maternidade)</t>
        </is>
      </c>
      <c r="M1621" s="4" t="n"/>
      <c r="N1621" s="4" t="n"/>
      <c r="O1621" s="2" t="n"/>
      <c r="P1621" s="2" t="n"/>
      <c r="Q1621" s="2" t="n"/>
      <c r="R1621" s="2" t="n"/>
      <c r="S1621" s="2" t="inlineStr">
        <is>
          <t>Rejeitado(a) em Comissão</t>
        </is>
      </c>
      <c r="T1621" s="2" t="inlineStr">
        <is>
          <t>Rejeitada</t>
        </is>
      </c>
      <c r="U1621" s="2" t="inlineStr">
        <is>
          <t>Favor: CH, L, BE, PAN; Contra: PSD, PCP, CDS-PP; Abstenção: PS, IL</t>
        </is>
      </c>
      <c r="V1621" s="3" t="n">
        <v>45982</v>
      </c>
      <c r="W1621" s="2" t="inlineStr">
        <is>
          <t>AR: https://www.parlamento.pt/OrcamentoEstado/Paginas/DetalhePropostaAlteracao.aspx?BID=24775 PDF: https://app.parlamento.pt/webutils/docs/doc.pdf?path=6148523063484d364c793942556b356c6443397a6158526c63793959566b6c4a544556484c3039464c7a49774d6a59794d4449314d5441774f533951515338324d7a426a4e6a4a6d4d79316d4e47597a4c54517a59574574595467795969316c4f5455304e3251784e7a49304d5463756347526d&amp;Fich=630c62f3-f4f3-43aa-a82b-e9547d172417.pdf&amp;Inline=true</t>
        </is>
      </c>
      <c r="X1621" s="2" t="inlineStr">
        <is>
          <t>Saúde</t>
        </is>
      </c>
      <c r="Y1621" s="2" t="inlineStr">
        <is>
          <t>Articulado</t>
        </is>
      </c>
      <c r="Z1621" s="2" t="inlineStr">
        <is>
          <t>Aditamento (Artigo PPL)</t>
        </is>
      </c>
      <c r="AA1621" s="2" t="inlineStr">
        <is>
          <t>Rejeitado(a) em Comissão</t>
        </is>
      </c>
      <c r="AB1621" s="2" t="inlineStr"/>
      <c r="AC1621" s="2" t="inlineStr"/>
      <c r="AD1621" s="2" t="inlineStr">
        <is>
          <t>1</t>
        </is>
      </c>
      <c r="AE1621" s="2" t="inlineStr">
        <is>
          <t>24775</t>
        </is>
      </c>
      <c r="AF1621" s="2" t="inlineStr">
        <is>
          <t>https://www.parlamento.pt/OrcamentoEstado/Paginas/DetalhePropostaAlteracao.aspx?BID=24775</t>
        </is>
      </c>
      <c r="AG1621" s="2" t="inlineStr">
        <is>
          <t>https://app.parlamento.pt/webutils/docs/doc.pdf?path=6148523063484d364c793942556b356c6443397a6158526c63793959566b6c4a544556484c3039464c7a49774d6a59794d4449314d5441774f533951515338324d7a426a4e6a4a6d4d79316d4e47597a4c54517a59574574595467795969316c4f5455304e3251784e7a49304d5463756347526d&amp;Fich=630c62f3-f4f3-43aa-a82b-e9547d172417.pdf&amp;Inline=true</t>
        </is>
      </c>
      <c r="AH1621" s="3" t="n">
        <v>46321.77847222222</v>
      </c>
      <c r="AI1621" s="3" t="n">
        <v>46321.78055555555</v>
      </c>
      <c r="AJ1621" s="2" t="inlineStr"/>
    </row>
    <row r="1622">
      <c r="A1622" s="2" t="n">
        <v>1621</v>
      </c>
      <c r="B1622" s="2" t="inlineStr">
        <is>
          <t>1529C</t>
        </is>
      </c>
      <c r="C1622" s="3" t="n">
        <v>45968.63402777778</v>
      </c>
      <c r="D1622" s="2" t="inlineStr">
        <is>
          <t>Original</t>
        </is>
      </c>
      <c r="E1622" s="2" t="inlineStr">
        <is>
          <t>CH</t>
        </is>
      </c>
      <c r="F162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22" s="2" t="inlineStr">
        <is>
          <t>Art. 119.º-A (aditamento)</t>
        </is>
      </c>
      <c r="H1622" s="2" t="n"/>
      <c r="I1622" s="2" t="n"/>
      <c r="J1622" s="2" t="n"/>
      <c r="K1622" s="2" t="n"/>
      <c r="L1622" s="2" t="inlineStr">
        <is>
          <t>Artigo 119.º-A (Código Deontológico dos Técnicos Auxiliares de Saúde (TAS))</t>
        </is>
      </c>
      <c r="M1622" s="4" t="n"/>
      <c r="N1622" s="4" t="n"/>
      <c r="O1622" s="2" t="n"/>
      <c r="P1622" s="2" t="n"/>
      <c r="Q1622" s="2" t="n"/>
      <c r="R1622" s="2" t="n"/>
      <c r="S1622" s="2" t="inlineStr">
        <is>
          <t>Aprovado(a) em Comissão</t>
        </is>
      </c>
      <c r="T1622" s="2" t="inlineStr">
        <is>
          <t>Aprovada</t>
        </is>
      </c>
      <c r="U1622" s="2" t="inlineStr">
        <is>
          <t>Favor: PSD, CH, IL, CDS-PP, BE, PAN; Abstenção: PS, L, PCP</t>
        </is>
      </c>
      <c r="V1622" s="3" t="n">
        <v>45985</v>
      </c>
      <c r="W1622" s="2" t="inlineStr">
        <is>
          <t>AR: https://www.parlamento.pt/OrcamentoEstado/Paginas/DetalhePropostaAlteracao.aspx?BID=24776 PDF: https://app.parlamento.pt/webutils/docs/doc.pdf?path=6148523063484d364c793942556b356c6443397a6158526c63793959566b6c4a544556484c3039464c7a49774d6a59794d4449314d5441774f5339515153396b4e6a6b324f5464694d6930304d6d59794c5451354d474d744f5755785a533035595455335a5441785a5463785a4745756347526d&amp;Fich=d69697b2-42f2-490c-9e1e-9a57e01e71da.pdf&amp;Inline=true</t>
        </is>
      </c>
      <c r="X1622" s="2" t="inlineStr">
        <is>
          <t>Saúde</t>
        </is>
      </c>
      <c r="Y1622" s="2" t="inlineStr">
        <is>
          <t>Articulado</t>
        </is>
      </c>
      <c r="Z1622" s="2" t="inlineStr">
        <is>
          <t>Aditamento (Artigo PPL)</t>
        </is>
      </c>
      <c r="AA1622" s="2" t="inlineStr">
        <is>
          <t>Aprovado(a) em Comissão</t>
        </is>
      </c>
      <c r="AB1622" s="2" t="inlineStr"/>
      <c r="AC1622" s="2" t="inlineStr"/>
      <c r="AD1622" s="2" t="inlineStr">
        <is>
          <t>1</t>
        </is>
      </c>
      <c r="AE1622" s="2" t="inlineStr">
        <is>
          <t>24776</t>
        </is>
      </c>
      <c r="AF1622" s="2" t="inlineStr">
        <is>
          <t>https://www.parlamento.pt/OrcamentoEstado/Paginas/DetalhePropostaAlteracao.aspx?BID=24776</t>
        </is>
      </c>
      <c r="AG1622" s="2" t="inlineStr">
        <is>
          <t>https://app.parlamento.pt/webutils/docs/doc.pdf?path=6148523063484d364c793942556b356c6443397a6158526c63793959566b6c4a544556484c3039464c7a49774d6a59794d4449314d5441774f5339515153396b4e6a6b324f5464694d6930304d6d59794c5451354d474d744f5755785a533035595455335a5441785a5463785a4745756347526d&amp;Fich=d69697b2-42f2-490c-9e1e-9a57e01e71da.pdf&amp;Inline=true</t>
        </is>
      </c>
      <c r="AH1622" s="3" t="n">
        <v>46321.77847222222</v>
      </c>
      <c r="AI1622" s="3" t="n">
        <v>46321.78055555555</v>
      </c>
      <c r="AJ1622" s="2" t="inlineStr"/>
    </row>
    <row r="1623">
      <c r="A1623" s="2" t="n">
        <v>1622</v>
      </c>
      <c r="B1623" s="2" t="inlineStr">
        <is>
          <t>1530C</t>
        </is>
      </c>
      <c r="C1623" s="3" t="n">
        <v>45968.63402777778</v>
      </c>
      <c r="D1623" s="2" t="inlineStr">
        <is>
          <t>Original</t>
        </is>
      </c>
      <c r="E1623" s="2" t="inlineStr">
        <is>
          <t>Vários</t>
        </is>
      </c>
      <c r="F1623" s="2" t="inlineStr">
        <is>
          <t>Alberto Fonseca; Ana Oliveira; Francisco Pimentel; Francisco Sousa Vieira; Hugo Carneiro; Hugo Soares; Miguel Guimarães; João Pinho de Almeida; Paulo Núncio</t>
        </is>
      </c>
      <c r="G1623" s="2" t="inlineStr">
        <is>
          <t>Art. 120.º-A (aditamento)</t>
        </is>
      </c>
      <c r="H1623" s="2" t="n"/>
      <c r="I1623" s="2" t="n"/>
      <c r="J1623" s="2" t="n"/>
      <c r="K1623" s="2" t="n"/>
      <c r="L1623" s="2" t="inlineStr">
        <is>
          <t>Artigo 120.º-A (Comparticipação das vacinas antialérgicas (Imunoterapia Específica))</t>
        </is>
      </c>
      <c r="M1623" s="4" t="n"/>
      <c r="N1623" s="4" t="n"/>
      <c r="O1623" s="2" t="n"/>
      <c r="P1623" s="2" t="n"/>
      <c r="Q1623" s="2" t="n"/>
      <c r="R1623" s="2" t="n"/>
      <c r="S1623" s="2" t="inlineStr">
        <is>
          <t>Aprovado(a) por Unanimidade em Comissão</t>
        </is>
      </c>
      <c r="T1623" s="2" t="inlineStr">
        <is>
          <t>Aprovada</t>
        </is>
      </c>
      <c r="U1623" s="2" t="inlineStr">
        <is>
          <t>Favor: PSD, CH, PS, IL, L, PCP, CDS-PP, BE, PAN</t>
        </is>
      </c>
      <c r="V1623" s="3" t="n">
        <v>45985</v>
      </c>
      <c r="W1623" s="2" t="inlineStr">
        <is>
          <t>AR: https://www.parlamento.pt/OrcamentoEstado/Paginas/DetalhePropostaAlteracao.aspx?BID=24777 PDF: https://app.parlamento.pt/webutils/docs/doc.pdf?path=6148523063484d364c793942556b356c6443397a6158526c63793959566b6c4a544556484c3039464c7a49774d6a59794d4449314d5441774f5339515153396d4e474578595463774d79307a4e4459314c5451344d4449744f4756685a69316a595755784e6d4a6c5a474d304d6a59756347526d&amp;Fich=f4a1a703-3465-4802-8eaf-cae16bedc426.pdf&amp;Inline=true</t>
        </is>
      </c>
      <c r="X1623" s="2" t="inlineStr">
        <is>
          <t>Saúde</t>
        </is>
      </c>
      <c r="Y1623" s="2" t="inlineStr">
        <is>
          <t>Articulado</t>
        </is>
      </c>
      <c r="Z1623" s="2" t="inlineStr">
        <is>
          <t>Aditamento (Artigo PPL)</t>
        </is>
      </c>
      <c r="AA1623" s="2" t="inlineStr">
        <is>
          <t>Aprovado(a) por Unanimidade em Comissão</t>
        </is>
      </c>
      <c r="AB1623" s="2" t="inlineStr"/>
      <c r="AC1623" s="2" t="inlineStr"/>
      <c r="AD1623" s="2" t="inlineStr">
        <is>
          <t>1</t>
        </is>
      </c>
      <c r="AE1623" s="2" t="inlineStr">
        <is>
          <t>24777</t>
        </is>
      </c>
      <c r="AF1623" s="2" t="inlineStr">
        <is>
          <t>https://www.parlamento.pt/OrcamentoEstado/Paginas/DetalhePropostaAlteracao.aspx?BID=24777</t>
        </is>
      </c>
      <c r="AG1623" s="2" t="inlineStr">
        <is>
          <t>https://app.parlamento.pt/webutils/docs/doc.pdf?path=6148523063484d364c793942556b356c6443397a6158526c63793959566b6c4a544556484c3039464c7a49774d6a59794d4449314d5441774f5339515153396d4e474578595463774d79307a4e4459314c5451344d4449744f4756685a69316a595755784e6d4a6c5a474d304d6a59756347526d&amp;Fich=f4a1a703-3465-4802-8eaf-cae16bedc426.pdf&amp;Inline=true</t>
        </is>
      </c>
      <c r="AH1623" s="3" t="n">
        <v>46321.77847222222</v>
      </c>
      <c r="AI1623" s="3" t="n">
        <v>46321.78055555555</v>
      </c>
      <c r="AJ1623" s="2" t="inlineStr"/>
    </row>
    <row r="1624">
      <c r="A1624" s="2" t="n">
        <v>1623</v>
      </c>
      <c r="B1624" s="2" t="inlineStr">
        <is>
          <t>1531C</t>
        </is>
      </c>
      <c r="C1624" s="3" t="n">
        <v>45968.63402777778</v>
      </c>
      <c r="D1624" s="2" t="inlineStr">
        <is>
          <t>Original</t>
        </is>
      </c>
      <c r="E1624" s="2" t="inlineStr">
        <is>
          <t>CH</t>
        </is>
      </c>
      <c r="F162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24" s="2" t="inlineStr">
        <is>
          <t>Art. 136.º-A (aditamento)</t>
        </is>
      </c>
      <c r="H1624" s="2" t="n"/>
      <c r="I1624" s="2" t="n"/>
      <c r="J1624" s="2" t="n"/>
      <c r="K1624" s="2" t="n"/>
      <c r="L1624" s="2" t="inlineStr">
        <is>
          <t>Artigo 136.º-A (Criação de um Programa de Reabilitação de Estações Ferroviárias Históricas)</t>
        </is>
      </c>
      <c r="M1624" s="4" t="n"/>
      <c r="N1624" s="4" t="n"/>
      <c r="O1624" s="2" t="n"/>
      <c r="P1624" s="2" t="n"/>
      <c r="Q1624" s="2" t="n"/>
      <c r="R1624" s="2" t="n"/>
      <c r="S1624" s="2" t="inlineStr">
        <is>
          <t>Rejeitado(a) em Comissão</t>
        </is>
      </c>
      <c r="T1624" s="2" t="inlineStr">
        <is>
          <t>Rejeitada</t>
        </is>
      </c>
      <c r="U1624" s="2" t="inlineStr">
        <is>
          <t>Favor: CH, IL, BE, PAN; Contra: PSD, CDS-PP; Abstenção: PS, L, PCP</t>
        </is>
      </c>
      <c r="V1624" s="3" t="n">
        <v>45987</v>
      </c>
      <c r="W1624" s="2" t="inlineStr">
        <is>
          <t>AR: https://www.parlamento.pt/OrcamentoEstado/Paginas/DetalhePropostaAlteracao.aspx?BID=24778 PDF: https://app.parlamento.pt/webutils/docs/doc.pdf?path=6148523063484d364c793942556b356c6443397a6158526c63793959566b6c4a544556484c3039464c7a49774d6a59794d4449314d5441774f533951515338324d5463325a6a4a6c5a6930304e325a6b4c5452694f544d745954557a4d79316c597a67794d6a566d4d57566a5a6a55756347526d&amp;Fich=6176f2ef-47fd-4b93-a533-ec8225f1ecf5.pdf&amp;Inline=true</t>
        </is>
      </c>
      <c r="X1624" s="2" t="inlineStr">
        <is>
          <t>Infraestruturas, Mobilidade e Habitação</t>
        </is>
      </c>
      <c r="Y1624" s="2" t="inlineStr">
        <is>
          <t>Articulado</t>
        </is>
      </c>
      <c r="Z1624" s="2" t="inlineStr">
        <is>
          <t>Aditamento (Artigo PPL)</t>
        </is>
      </c>
      <c r="AA1624" s="2" t="inlineStr">
        <is>
          <t>Rejeitado(a) em Comissão</t>
        </is>
      </c>
      <c r="AB1624" s="2" t="inlineStr"/>
      <c r="AC1624" s="2" t="inlineStr"/>
      <c r="AD1624" s="2" t="inlineStr">
        <is>
          <t>1</t>
        </is>
      </c>
      <c r="AE1624" s="2" t="inlineStr">
        <is>
          <t>24778</t>
        </is>
      </c>
      <c r="AF1624" s="2" t="inlineStr">
        <is>
          <t>https://www.parlamento.pt/OrcamentoEstado/Paginas/DetalhePropostaAlteracao.aspx?BID=24778</t>
        </is>
      </c>
      <c r="AG1624" s="2" t="inlineStr">
        <is>
          <t>https://app.parlamento.pt/webutils/docs/doc.pdf?path=6148523063484d364c793942556b356c6443397a6158526c63793959566b6c4a544556484c3039464c7a49774d6a59794d4449314d5441774f533951515338324d5463325a6a4a6c5a6930304e325a6b4c5452694f544d745954557a4d79316c597a67794d6a566d4d57566a5a6a55756347526d&amp;Fich=6176f2ef-47fd-4b93-a533-ec8225f1ecf5.pdf&amp;Inline=true</t>
        </is>
      </c>
      <c r="AH1624" s="3" t="n">
        <v>46321.77847222222</v>
      </c>
      <c r="AI1624" s="3" t="n">
        <v>46321.78055555555</v>
      </c>
      <c r="AJ1624" s="2" t="inlineStr"/>
    </row>
    <row r="1625">
      <c r="A1625" s="2" t="n">
        <v>1624</v>
      </c>
      <c r="B1625" s="2" t="inlineStr">
        <is>
          <t>1532C</t>
        </is>
      </c>
      <c r="C1625" s="3" t="n">
        <v>45968.63472222222</v>
      </c>
      <c r="D1625" s="2" t="inlineStr">
        <is>
          <t>Original</t>
        </is>
      </c>
      <c r="E1625" s="2" t="inlineStr">
        <is>
          <t>PS</t>
        </is>
      </c>
      <c r="F1625" s="2" t="inlineStr">
        <is>
          <t>António Mendonça Mendes; Eurico Brilhante Dias; José Luís Carneiro; Mariana Vieira da Silva; Marina Gonçalves; Miguel Matos; Susana Correia</t>
        </is>
      </c>
      <c r="G1625" s="2" t="inlineStr">
        <is>
          <t>Art. 119.º-A (aditamento)</t>
        </is>
      </c>
      <c r="H1625" s="2" t="n"/>
      <c r="I1625" s="2" t="n"/>
      <c r="J1625" s="2" t="n"/>
      <c r="K1625" s="2" t="n"/>
      <c r="L1625" s="2" t="inlineStr">
        <is>
          <t>Artigo 119.º-A (Reforço do Acesso à Procriação Medicamente Assistida)</t>
        </is>
      </c>
      <c r="M1625" s="4" t="n"/>
      <c r="N1625" s="4" t="n"/>
      <c r="O1625" s="2" t="n"/>
      <c r="P1625" s="2" t="n"/>
      <c r="Q1625" s="2" t="n"/>
      <c r="R1625" s="2" t="n"/>
      <c r="S1625" s="2" t="inlineStr">
        <is>
          <t>Rejeitado(a) em Comissão</t>
        </is>
      </c>
      <c r="T1625" s="2" t="inlineStr">
        <is>
          <t>Rejeitada</t>
        </is>
      </c>
      <c r="U1625" s="2" t="inlineStr">
        <is>
          <t>Favor: PS, IL, L, PCP, BE, PAN; Contra: PSD, CDS-PP; Abstenção: CH</t>
        </is>
      </c>
      <c r="V1625" s="3" t="n">
        <v>45985</v>
      </c>
      <c r="W1625" s="2" t="inlineStr">
        <is>
          <t>AR: https://www.parlamento.pt/OrcamentoEstado/Paginas/DetalhePropostaAlteracao.aspx?BID=24780 PDF: https://app.parlamento.pt/webutils/docs/doc.pdf?path=6148523063484d364c793942556b356c6443397a6158526c63793959566b6c4a544556484c3039464c7a49774d6a59794d4449314d5441774f533951515338795a47466d4d3249774e53316c59574d774c5451345a5463744f54426c4e79316b4d6a4d354e475531595445334e6a55756347526d&amp;Fich=2daf3b05-eac0-48e7-90e7-d2394e5a1765.pdf&amp;Inline=true</t>
        </is>
      </c>
      <c r="X1625" s="2" t="inlineStr">
        <is>
          <t>Orçamento, Finanças e Administração Pública; Saúde</t>
        </is>
      </c>
      <c r="Y1625" s="2" t="inlineStr">
        <is>
          <t>Articulado</t>
        </is>
      </c>
      <c r="Z1625" s="2" t="inlineStr">
        <is>
          <t>Aditamento (Artigo PPL)</t>
        </is>
      </c>
      <c r="AA1625" s="2" t="inlineStr">
        <is>
          <t>Rejeitado(a) em Comissão</t>
        </is>
      </c>
      <c r="AB1625" s="2" t="inlineStr"/>
      <c r="AC1625" s="2" t="inlineStr"/>
      <c r="AD1625" s="2" t="inlineStr">
        <is>
          <t>1</t>
        </is>
      </c>
      <c r="AE1625" s="2" t="inlineStr">
        <is>
          <t>24780</t>
        </is>
      </c>
      <c r="AF1625" s="2" t="inlineStr">
        <is>
          <t>https://www.parlamento.pt/OrcamentoEstado/Paginas/DetalhePropostaAlteracao.aspx?BID=24780</t>
        </is>
      </c>
      <c r="AG1625" s="2" t="inlineStr">
        <is>
          <t>https://app.parlamento.pt/webutils/docs/doc.pdf?path=6148523063484d364c793942556b356c6443397a6158526c63793959566b6c4a544556484c3039464c7a49774d6a59794d4449314d5441774f533951515338795a47466d4d3249774e53316c59574d774c5451345a5463744f54426c4e79316b4d6a4d354e475531595445334e6a55756347526d&amp;Fich=2daf3b05-eac0-48e7-90e7-d2394e5a1765.pdf&amp;Inline=true</t>
        </is>
      </c>
      <c r="AH1625" s="3" t="n">
        <v>46321.77847222222</v>
      </c>
      <c r="AI1625" s="3" t="n">
        <v>46321.78055555555</v>
      </c>
      <c r="AJ1625" s="2" t="inlineStr"/>
    </row>
    <row r="1626">
      <c r="A1626" s="2" t="n">
        <v>1625</v>
      </c>
      <c r="B1626" s="2" t="inlineStr">
        <is>
          <t>1533C</t>
        </is>
      </c>
      <c r="C1626" s="3" t="n">
        <v>45968.63472222222</v>
      </c>
      <c r="D1626" s="2" t="inlineStr">
        <is>
          <t>Original</t>
        </is>
      </c>
      <c r="E1626" s="2" t="inlineStr">
        <is>
          <t>CH</t>
        </is>
      </c>
      <c r="F162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26" s="2" t="inlineStr">
        <is>
          <t>Art. 136.º-A (aditamento)</t>
        </is>
      </c>
      <c r="H1626" s="2" t="n"/>
      <c r="I1626" s="2" t="n"/>
      <c r="J1626" s="2" t="n"/>
      <c r="K1626" s="2" t="n"/>
      <c r="L1626" s="2" t="inlineStr">
        <is>
          <t>Artigo 136.º-A (Criação de uma Agenda para a internacionalização das start-ups e empresas inovadoras, através da participação em feiras internacionais e colaboração em projetos de Investigação e Desenvolvimento (I&amp;D))</t>
        </is>
      </c>
      <c r="M1626" s="4" t="n"/>
      <c r="N1626" s="4" t="n"/>
      <c r="O1626" s="2" t="n"/>
      <c r="P1626" s="2" t="n"/>
      <c r="Q1626" s="2" t="n"/>
      <c r="R1626" s="2" t="n"/>
      <c r="S1626" s="2" t="inlineStr">
        <is>
          <t>Rejeitado(a) em Comissão</t>
        </is>
      </c>
      <c r="T1626" s="2" t="inlineStr">
        <is>
          <t>Rejeitada</t>
        </is>
      </c>
      <c r="U1626" s="2" t="inlineStr">
        <is>
          <t>Favor: CH; Contra: PSD, IL, CDS-PP; Abstenção: PS, L, PCP, BE, PAN</t>
        </is>
      </c>
      <c r="V1626" s="3" t="n">
        <v>45987</v>
      </c>
      <c r="W1626" s="2" t="inlineStr">
        <is>
          <t>AR: https://www.parlamento.pt/OrcamentoEstado/Paginas/DetalhePropostaAlteracao.aspx?BID=24781 PDF: https://app.parlamento.pt/webutils/docs/doc.pdf?path=6148523063484d364c793942556b356c6443397a6158526c63793959566b6c4a544556484c3039464c7a49774d6a59794d4449314d5441774f533951515338774e7a4a6c5a6d46684f43307a4e47466d4c5451774e546774596a49314d5331694e544a6a5a4451324e6d45305a6d55756347526d&amp;Fich=072efaa8-34af-4058-b251-b52cd466a4fe.pdf&amp;Inline=true</t>
        </is>
      </c>
      <c r="X1626" s="2" t="inlineStr">
        <is>
          <t>Comissão de Economia e Coesão Territorial</t>
        </is>
      </c>
      <c r="Y1626" s="2" t="inlineStr">
        <is>
          <t>Articulado</t>
        </is>
      </c>
      <c r="Z1626" s="2" t="inlineStr">
        <is>
          <t>Aditamento (Artigo PPL)</t>
        </is>
      </c>
      <c r="AA1626" s="2" t="inlineStr">
        <is>
          <t>Rejeitado(a) em Comissão</t>
        </is>
      </c>
      <c r="AB1626" s="2" t="inlineStr"/>
      <c r="AC1626" s="2" t="inlineStr"/>
      <c r="AD1626" s="2" t="inlineStr">
        <is>
          <t>1</t>
        </is>
      </c>
      <c r="AE1626" s="2" t="inlineStr">
        <is>
          <t>24781</t>
        </is>
      </c>
      <c r="AF1626" s="2" t="inlineStr">
        <is>
          <t>https://www.parlamento.pt/OrcamentoEstado/Paginas/DetalhePropostaAlteracao.aspx?BID=24781</t>
        </is>
      </c>
      <c r="AG1626" s="2" t="inlineStr">
        <is>
          <t>https://app.parlamento.pt/webutils/docs/doc.pdf?path=6148523063484d364c793942556b356c6443397a6158526c63793959566b6c4a544556484c3039464c7a49774d6a59794d4449314d5441774f533951515338774e7a4a6c5a6d46684f43307a4e47466d4c5451774e546774596a49314d5331694e544a6a5a4451324e6d45305a6d55756347526d&amp;Fich=072efaa8-34af-4058-b251-b52cd466a4fe.pdf&amp;Inline=true</t>
        </is>
      </c>
      <c r="AH1626" s="3" t="n">
        <v>46321.77847222222</v>
      </c>
      <c r="AI1626" s="3" t="n">
        <v>46321.78055555555</v>
      </c>
      <c r="AJ1626" s="2" t="inlineStr"/>
    </row>
    <row r="1627">
      <c r="A1627" s="2" t="n">
        <v>1626</v>
      </c>
      <c r="B1627" s="2" t="inlineStr">
        <is>
          <t>1534C</t>
        </is>
      </c>
      <c r="C1627" s="3" t="n">
        <v>45968.63472222222</v>
      </c>
      <c r="D1627" s="2" t="inlineStr">
        <is>
          <t>Original</t>
        </is>
      </c>
      <c r="E1627" s="2" t="inlineStr">
        <is>
          <t>CH</t>
        </is>
      </c>
      <c r="F162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27" s="2" t="inlineStr">
        <is>
          <t>Art. 119.º-A (aditamento)</t>
        </is>
      </c>
      <c r="H1627" s="2" t="n"/>
      <c r="I1627" s="2" t="n"/>
      <c r="J1627" s="2" t="n"/>
      <c r="K1627" s="2" t="n"/>
      <c r="L1627" s="2" t="inlineStr">
        <is>
          <t>Artigo 119.º-A (Plano Nacional de Doenças Respiratórias)</t>
        </is>
      </c>
      <c r="M1627" s="4" t="n"/>
      <c r="N1627" s="4" t="n"/>
      <c r="O1627" s="2" t="n"/>
      <c r="P1627" s="2" t="n"/>
      <c r="Q1627" s="2" t="n"/>
      <c r="R1627" s="2" t="n"/>
      <c r="S1627" s="2" t="inlineStr">
        <is>
          <t>Rejeitado(a) em Comissão</t>
        </is>
      </c>
      <c r="T1627" s="2" t="inlineStr">
        <is>
          <t>Rejeitada</t>
        </is>
      </c>
      <c r="U1627" s="2" t="inlineStr">
        <is>
          <t>Favor: CH, IL, BE, PAN; Contra: PSD, CDS-PP; Abstenção: PS, L, PCP</t>
        </is>
      </c>
      <c r="V1627" s="3" t="n">
        <v>45985</v>
      </c>
      <c r="W1627" s="2" t="inlineStr">
        <is>
          <t>AR: https://www.parlamento.pt/OrcamentoEstado/Paginas/DetalhePropostaAlteracao.aspx?BID=24782 PDF: https://app.parlamento.pt/webutils/docs/doc.pdf?path=6148523063484d364c793942556b356c6443397a6158526c63793959566b6c4a544556484c3039464c7a49774d6a59794d4449314d5441774f533951515338344d7a63794e5455354d7931695a474a6b4c5451324d5467744f4752695a6930334e4749324e544d7959575a685a474d756347526d&amp;Fich=83725593-bdbd-4618-8dbf-74b6532afadc.pdf&amp;Inline=true</t>
        </is>
      </c>
      <c r="X1627" s="2" t="inlineStr">
        <is>
          <t>Saúde</t>
        </is>
      </c>
      <c r="Y1627" s="2" t="inlineStr">
        <is>
          <t>Articulado</t>
        </is>
      </c>
      <c r="Z1627" s="2" t="inlineStr">
        <is>
          <t>Aditamento (Artigo PPL)</t>
        </is>
      </c>
      <c r="AA1627" s="2" t="inlineStr">
        <is>
          <t>Rejeitado(a) em Comissão</t>
        </is>
      </c>
      <c r="AB1627" s="2" t="inlineStr"/>
      <c r="AC1627" s="2" t="inlineStr"/>
      <c r="AD1627" s="2" t="inlineStr">
        <is>
          <t>1</t>
        </is>
      </c>
      <c r="AE1627" s="2" t="inlineStr">
        <is>
          <t>24782</t>
        </is>
      </c>
      <c r="AF1627" s="2" t="inlineStr">
        <is>
          <t>https://www.parlamento.pt/OrcamentoEstado/Paginas/DetalhePropostaAlteracao.aspx?BID=24782</t>
        </is>
      </c>
      <c r="AG1627" s="2" t="inlineStr">
        <is>
          <t>https://app.parlamento.pt/webutils/docs/doc.pdf?path=6148523063484d364c793942556b356c6443397a6158526c63793959566b6c4a544556484c3039464c7a49774d6a59794d4449314d5441774f533951515338344d7a63794e5455354d7931695a474a6b4c5451324d5467744f4752695a6930334e4749324e544d7959575a685a474d756347526d&amp;Fich=83725593-bdbd-4618-8dbf-74b6532afadc.pdf&amp;Inline=true</t>
        </is>
      </c>
      <c r="AH1627" s="3" t="n">
        <v>46321.77847222222</v>
      </c>
      <c r="AI1627" s="3" t="n">
        <v>46321.78055555555</v>
      </c>
      <c r="AJ1627" s="2" t="inlineStr"/>
    </row>
    <row r="1628">
      <c r="A1628" s="2" t="n">
        <v>1627</v>
      </c>
      <c r="B1628" s="2" t="inlineStr">
        <is>
          <t>1535C</t>
        </is>
      </c>
      <c r="C1628" s="3" t="n">
        <v>45968.63541666666</v>
      </c>
      <c r="D1628" s="2" t="inlineStr">
        <is>
          <t>Original</t>
        </is>
      </c>
      <c r="E1628" s="2" t="inlineStr">
        <is>
          <t>PAN</t>
        </is>
      </c>
      <c r="F1628" s="2" t="inlineStr">
        <is>
          <t>Inês de Sousa Real</t>
        </is>
      </c>
      <c r="G1628" s="2" t="inlineStr">
        <is>
          <t>Art. 116.º-A (aditamento)</t>
        </is>
      </c>
      <c r="H1628" s="2" t="n"/>
      <c r="I1628" s="2" t="n"/>
      <c r="J1628" s="2" t="n"/>
      <c r="K1628" s="2" t="n"/>
      <c r="L1628" s="2" t="inlineStr">
        <is>
          <t>Artigo 116.º-A (Reforço do Modelo de Apoio à Vida Independente)</t>
        </is>
      </c>
      <c r="M1628" s="4" t="n"/>
      <c r="N1628" s="4" t="n"/>
      <c r="O1628" s="2" t="n"/>
      <c r="P1628" s="2" t="n"/>
      <c r="Q1628" s="2" t="n"/>
      <c r="R1628" s="2" t="n"/>
      <c r="S1628" s="2" t="inlineStr">
        <is>
          <t>Aprovado(a) em Comissão</t>
        </is>
      </c>
      <c r="T1628" s="2" t="inlineStr">
        <is>
          <t>Aprovada</t>
        </is>
      </c>
      <c r="U1628" s="2" t="inlineStr">
        <is>
          <t>Favor: CH, PS, IL, L, PCP, BE, PAN; Contra: PSD, CDS-PP</t>
        </is>
      </c>
      <c r="V1628" s="3" t="n">
        <v>45985</v>
      </c>
      <c r="W1628" s="2" t="inlineStr">
        <is>
          <t>AR: https://www.parlamento.pt/OrcamentoEstado/Paginas/DetalhePropostaAlteracao.aspx?BID=24783 PDF: https://app.parlamento.pt/webutils/docs/doc.pdf?path=6148523063484d364c793942556b356c6443397a6158526c63793959566b6c4a544556484c3039464c7a49774d6a59794d4449314d5441774f533951515338334d57466c4d544e6c4e6931694d6a63794c54526a59544d744f446b325969316b4f5452684e444e68596a67324d6d51756347526d&amp;Fich=71ae13e6-b272-4ca3-896b-d94a43ab862d.pdf&amp;Inline=true</t>
        </is>
      </c>
      <c r="X1628" s="2" t="inlineStr">
        <is>
          <t>Trabalho, Segurança Social e Inclusão</t>
        </is>
      </c>
      <c r="Y1628" s="2" t="inlineStr">
        <is>
          <t>Articulado</t>
        </is>
      </c>
      <c r="Z1628" s="2" t="inlineStr">
        <is>
          <t>Aditamento (Artigo PPL)</t>
        </is>
      </c>
      <c r="AA1628" s="2" t="inlineStr">
        <is>
          <t>Aprovado(a) em Comissão</t>
        </is>
      </c>
      <c r="AB1628" s="2" t="inlineStr"/>
      <c r="AC1628" s="2" t="inlineStr"/>
      <c r="AD1628" s="2" t="inlineStr">
        <is>
          <t>1</t>
        </is>
      </c>
      <c r="AE1628" s="2" t="inlineStr">
        <is>
          <t>24783</t>
        </is>
      </c>
      <c r="AF1628" s="2" t="inlineStr">
        <is>
          <t>https://www.parlamento.pt/OrcamentoEstado/Paginas/DetalhePropostaAlteracao.aspx?BID=24783</t>
        </is>
      </c>
      <c r="AG1628" s="2" t="inlineStr">
        <is>
          <t>https://app.parlamento.pt/webutils/docs/doc.pdf?path=6148523063484d364c793942556b356c6443397a6158526c63793959566b6c4a544556484c3039464c7a49774d6a59794d4449314d5441774f533951515338334d57466c4d544e6c4e6931694d6a63794c54526a59544d744f446b325969316b4f5452684e444e68596a67324d6d51756347526d&amp;Fich=71ae13e6-b272-4ca3-896b-d94a43ab862d.pdf&amp;Inline=true</t>
        </is>
      </c>
      <c r="AH1628" s="3" t="n">
        <v>46321.77847222222</v>
      </c>
      <c r="AI1628" s="3" t="n">
        <v>46321.78055555555</v>
      </c>
      <c r="AJ1628" s="2" t="inlineStr"/>
    </row>
    <row r="1629">
      <c r="A1629" s="2" t="n">
        <v>1628</v>
      </c>
      <c r="B1629" s="2" t="inlineStr">
        <is>
          <t>1536C</t>
        </is>
      </c>
      <c r="C1629" s="3" t="n">
        <v>45968.63541666666</v>
      </c>
      <c r="D1629" s="2" t="inlineStr">
        <is>
          <t>Original</t>
        </is>
      </c>
      <c r="E1629" s="2" t="inlineStr">
        <is>
          <t>CH</t>
        </is>
      </c>
      <c r="F162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29" s="2" t="inlineStr">
        <is>
          <t>Art. 136.º-A (aditamento)</t>
        </is>
      </c>
      <c r="H1629" s="2" t="n"/>
      <c r="I1629" s="2" t="n"/>
      <c r="J1629" s="2" t="n"/>
      <c r="K1629" s="2" t="n"/>
      <c r="L1629" s="2" t="inlineStr">
        <is>
          <t>Artigo 136.º-A (Criação do selo “Made in Serra da Estrela”, visando distinguir a fileira dos produtos da região da Serra da Estrela)</t>
        </is>
      </c>
      <c r="M1629" s="4" t="n"/>
      <c r="N1629" s="4" t="n"/>
      <c r="O1629" s="2" t="n"/>
      <c r="P1629" s="2" t="n"/>
      <c r="Q1629" s="2" t="n"/>
      <c r="R1629" s="2" t="n"/>
      <c r="S1629" s="2" t="inlineStr">
        <is>
          <t>Rejeitado(a) em Comissão</t>
        </is>
      </c>
      <c r="T1629" s="2" t="inlineStr">
        <is>
          <t>Rejeitada</t>
        </is>
      </c>
      <c r="U1629" s="2" t="inlineStr">
        <is>
          <t>Favor: CH; Contra: PSD, CDS-PP, PAN; Abstenção: PS, IL, L, PCP, BE</t>
        </is>
      </c>
      <c r="V1629" s="3" t="n">
        <v>45987</v>
      </c>
      <c r="W1629" s="2" t="inlineStr">
        <is>
          <t>AR: https://www.parlamento.pt/OrcamentoEstado/Paginas/DetalhePropostaAlteracao.aspx?BID=24784 PDF: https://app.parlamento.pt/webutils/docs/doc.pdf?path=6148523063484d364c793942556b356c6443397a6158526c63793959566b6c4a544556484c3039464c7a49774d6a59794d4449314d5441774f533951515338784d7a4d324e444a6b4d69316a4e4752684c54517759544974596a49784d4330335a574d7a5a54566a5a4755335a5749756347526d&amp;Fich=133642d2-c4da-40a2-b210-7ec3e5cde7eb.pdf&amp;Inline=true</t>
        </is>
      </c>
      <c r="X1629" s="2" t="inlineStr">
        <is>
          <t>Comissão de Economia e Coesão Territorial</t>
        </is>
      </c>
      <c r="Y1629" s="2" t="inlineStr">
        <is>
          <t>Articulado</t>
        </is>
      </c>
      <c r="Z1629" s="2" t="inlineStr">
        <is>
          <t>Aditamento (Artigo PPL)</t>
        </is>
      </c>
      <c r="AA1629" s="2" t="inlineStr">
        <is>
          <t>Rejeitado(a) em Comissão</t>
        </is>
      </c>
      <c r="AB1629" s="2" t="inlineStr"/>
      <c r="AC1629" s="2" t="inlineStr"/>
      <c r="AD1629" s="2" t="inlineStr">
        <is>
          <t>1</t>
        </is>
      </c>
      <c r="AE1629" s="2" t="inlineStr">
        <is>
          <t>24784</t>
        </is>
      </c>
      <c r="AF1629" s="2" t="inlineStr">
        <is>
          <t>https://www.parlamento.pt/OrcamentoEstado/Paginas/DetalhePropostaAlteracao.aspx?BID=24784</t>
        </is>
      </c>
      <c r="AG1629" s="2" t="inlineStr">
        <is>
          <t>https://app.parlamento.pt/webutils/docs/doc.pdf?path=6148523063484d364c793942556b356c6443397a6158526c63793959566b6c4a544556484c3039464c7a49774d6a59794d4449314d5441774f533951515338784d7a4d324e444a6b4d69316a4e4752684c54517759544974596a49784d4330335a574d7a5a54566a5a4755335a5749756347526d&amp;Fich=133642d2-c4da-40a2-b210-7ec3e5cde7eb.pdf&amp;Inline=true</t>
        </is>
      </c>
      <c r="AH1629" s="3" t="n">
        <v>46321.77847222222</v>
      </c>
      <c r="AI1629" s="3" t="n">
        <v>46321.78055555555</v>
      </c>
      <c r="AJ1629" s="2" t="inlineStr"/>
    </row>
    <row r="1630">
      <c r="A1630" s="2" t="n">
        <v>1629</v>
      </c>
      <c r="B1630" s="2" t="inlineStr">
        <is>
          <t>1537C</t>
        </is>
      </c>
      <c r="C1630" s="3" t="n">
        <v>45968.63541666666</v>
      </c>
      <c r="D1630" s="2" t="inlineStr">
        <is>
          <t>Original</t>
        </is>
      </c>
      <c r="E1630" s="2" t="inlineStr">
        <is>
          <t>PS</t>
        </is>
      </c>
      <c r="F1630" s="2" t="inlineStr">
        <is>
          <t>António Mendonça Mendes; Eurico Brilhante Dias; José Luís Carneiro; Mariana Vieira da Silva; Marina Gonçalves; Miguel Matos; Susana Correia</t>
        </is>
      </c>
      <c r="G1630" s="2" t="inlineStr">
        <is>
          <t>Art. 119.º-A (aditamento)</t>
        </is>
      </c>
      <c r="H1630" s="2" t="n"/>
      <c r="I1630" s="2" t="n"/>
      <c r="J1630" s="2" t="n"/>
      <c r="K1630" s="2" t="n"/>
      <c r="L1630" s="2" t="inlineStr">
        <is>
          <t>Artigo 119.º-A (Valorização das Equipas Comunitárias de Saúde Mental)</t>
        </is>
      </c>
      <c r="M1630" s="4" t="n"/>
      <c r="N1630" s="4" t="n"/>
      <c r="O1630" s="2" t="n"/>
      <c r="P1630" s="2" t="n"/>
      <c r="Q1630" s="2" t="n"/>
      <c r="R1630" s="2" t="n"/>
      <c r="S1630" s="2" t="inlineStr">
        <is>
          <t>Rejeitado(a) em Comissão</t>
        </is>
      </c>
      <c r="T1630" s="2" t="inlineStr">
        <is>
          <t>Rejeitada</t>
        </is>
      </c>
      <c r="U1630" s="2" t="inlineStr">
        <is>
          <t>Favor: PS, IL, L, PCP, BE, PAN; Contra: PSD, CDS-PP; Abstenção: CH</t>
        </is>
      </c>
      <c r="V1630" s="3" t="n">
        <v>45985</v>
      </c>
      <c r="W1630" s="2" t="inlineStr">
        <is>
          <t>AR: https://www.parlamento.pt/OrcamentoEstado/Paginas/DetalhePropostaAlteracao.aspx?BID=24785 PDF: https://app.parlamento.pt/webutils/docs/doc.pdf?path=6148523063484d364c793942556b356c6443397a6158526c63793959566b6c4a544556484c3039464c7a49774d6a59794d4449314d5441774f533951515338324f574e694d6a63784e7930344e6d59784c5451344e446774596d51344d43316c4f5441355a5441304f574a6b4e5751756347526d&amp;Fich=69cb2717-86f1-4848-bd80-e909e049bd5d.pdf&amp;Inline=true</t>
        </is>
      </c>
      <c r="X1630" s="2" t="inlineStr">
        <is>
          <t>Orçamento, Finanças e Administração Pública; Saúde</t>
        </is>
      </c>
      <c r="Y1630" s="2" t="inlineStr">
        <is>
          <t>Articulado</t>
        </is>
      </c>
      <c r="Z1630" s="2" t="inlineStr">
        <is>
          <t>Aditamento (Artigo PPL)</t>
        </is>
      </c>
      <c r="AA1630" s="2" t="inlineStr">
        <is>
          <t>Rejeitado(a) em Comissão</t>
        </is>
      </c>
      <c r="AB1630" s="2" t="inlineStr"/>
      <c r="AC1630" s="2" t="inlineStr"/>
      <c r="AD1630" s="2" t="inlineStr">
        <is>
          <t>1</t>
        </is>
      </c>
      <c r="AE1630" s="2" t="inlineStr">
        <is>
          <t>24785</t>
        </is>
      </c>
      <c r="AF1630" s="2" t="inlineStr">
        <is>
          <t>https://www.parlamento.pt/OrcamentoEstado/Paginas/DetalhePropostaAlteracao.aspx?BID=24785</t>
        </is>
      </c>
      <c r="AG1630" s="2" t="inlineStr">
        <is>
          <t>https://app.parlamento.pt/webutils/docs/doc.pdf?path=6148523063484d364c793942556b356c6443397a6158526c63793959566b6c4a544556484c3039464c7a49774d6a59794d4449314d5441774f533951515338324f574e694d6a63784e7930344e6d59784c5451344e446774596d51344d43316c4f5441355a5441304f574a6b4e5751756347526d&amp;Fich=69cb2717-86f1-4848-bd80-e909e049bd5d.pdf&amp;Inline=true</t>
        </is>
      </c>
      <c r="AH1630" s="3" t="n">
        <v>46321.77847222222</v>
      </c>
      <c r="AI1630" s="3" t="n">
        <v>46321.78055555555</v>
      </c>
      <c r="AJ1630" s="2" t="inlineStr"/>
    </row>
    <row r="1631">
      <c r="A1631" s="2" t="n">
        <v>1630</v>
      </c>
      <c r="B1631" s="2" t="inlineStr">
        <is>
          <t>1538C</t>
        </is>
      </c>
      <c r="C1631" s="3" t="n">
        <v>45968.63541666666</v>
      </c>
      <c r="D1631" s="2" t="inlineStr">
        <is>
          <t>Original</t>
        </is>
      </c>
      <c r="E1631" s="2" t="inlineStr">
        <is>
          <t>PCP</t>
        </is>
      </c>
      <c r="F1631" s="2" t="inlineStr">
        <is>
          <t>Alfredo Maia; Paula Santos; Paulo Raimundo</t>
        </is>
      </c>
      <c r="G1631" s="2" t="inlineStr">
        <is>
          <t>Art. 23.º-A (aditamento)</t>
        </is>
      </c>
      <c r="H1631" s="2" t="n"/>
      <c r="I1631" s="2" t="n"/>
      <c r="J1631" s="2" t="n"/>
      <c r="K1631" s="2" t="n"/>
      <c r="L1631" s="2" t="inlineStr">
        <is>
          <t>Artigo 23.º-A (Valorização dos trabalhadores da ASAE)</t>
        </is>
      </c>
      <c r="M1631" s="4" t="n"/>
      <c r="N1631" s="4" t="n"/>
      <c r="O1631" s="2" t="n"/>
      <c r="P1631" s="2" t="n"/>
      <c r="Q1631" s="2" t="n"/>
      <c r="R1631" s="2" t="n"/>
      <c r="S1631" s="2" t="inlineStr">
        <is>
          <t>Rejeitado(a) em Comissão</t>
        </is>
      </c>
      <c r="T1631" s="2" t="inlineStr">
        <is>
          <t>Rejeitada</t>
        </is>
      </c>
      <c r="U1631" s="2" t="inlineStr">
        <is>
          <t>Favor: CH, L, PCP, BE, PAN; Contra: PSD, IL, CDS-PP; Abstenção: PS</t>
        </is>
      </c>
      <c r="V1631" s="3" t="n">
        <v>45981</v>
      </c>
      <c r="W1631" s="2" t="inlineStr">
        <is>
          <t>AR: https://www.parlamento.pt/OrcamentoEstado/Paginas/DetalhePropostaAlteracao.aspx?BID=24786 PDF: https://app.parlamento.pt/webutils/docs/doc.pdf?path=6148523063484d364c793942556b356c6443397a6158526c63793959566b6c4a544556484c3039464c7a49774d6a59794d4449314d5441774f533951515339684e574d344f54417a4f5330335a6a45314c5452684d5441744f54557a4d43316a4d7a6b314e574e69597a686d4e3245756347526d&amp;Fich=a5c89039-7f15-4a10-9530-c3955cbc8f7a.pdf&amp;Inline=true</t>
        </is>
      </c>
      <c r="X1631" s="2" t="inlineStr">
        <is>
          <t>Comissão de Economia e Coesão Territorial</t>
        </is>
      </c>
      <c r="Y1631" s="2" t="inlineStr">
        <is>
          <t>Articulado</t>
        </is>
      </c>
      <c r="Z1631" s="2" t="inlineStr">
        <is>
          <t>Aditamento (Artigo PPL)</t>
        </is>
      </c>
      <c r="AA1631" s="2" t="inlineStr">
        <is>
          <t>Rejeitado(a) em Comissão</t>
        </is>
      </c>
      <c r="AB1631" s="2" t="inlineStr"/>
      <c r="AC1631" s="2" t="inlineStr"/>
      <c r="AD1631" s="2" t="inlineStr">
        <is>
          <t>1</t>
        </is>
      </c>
      <c r="AE1631" s="2" t="inlineStr">
        <is>
          <t>24786</t>
        </is>
      </c>
      <c r="AF1631" s="2" t="inlineStr">
        <is>
          <t>https://www.parlamento.pt/OrcamentoEstado/Paginas/DetalhePropostaAlteracao.aspx?BID=24786</t>
        </is>
      </c>
      <c r="AG1631" s="2" t="inlineStr">
        <is>
          <t>https://app.parlamento.pt/webutils/docs/doc.pdf?path=6148523063484d364c793942556b356c6443397a6158526c63793959566b6c4a544556484c3039464c7a49774d6a59794d4449314d5441774f533951515339684e574d344f54417a4f5330335a6a45314c5452684d5441744f54557a4d43316a4d7a6b314e574e69597a686d4e3245756347526d&amp;Fich=a5c89039-7f15-4a10-9530-c3955cbc8f7a.pdf&amp;Inline=true</t>
        </is>
      </c>
      <c r="AH1631" s="3" t="n">
        <v>46321.77847222222</v>
      </c>
      <c r="AI1631" s="3" t="n">
        <v>46321.78055555555</v>
      </c>
      <c r="AJ1631" s="2" t="inlineStr"/>
    </row>
    <row r="1632">
      <c r="A1632" s="2" t="n">
        <v>1631</v>
      </c>
      <c r="B1632" s="2" t="inlineStr">
        <is>
          <t>1539C</t>
        </is>
      </c>
      <c r="C1632" s="3" t="n">
        <v>45968.63611111111</v>
      </c>
      <c r="D1632" s="2" t="inlineStr">
        <is>
          <t>Original</t>
        </is>
      </c>
      <c r="E1632" s="2" t="inlineStr">
        <is>
          <t>CH</t>
        </is>
      </c>
      <c r="F163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32" s="2" t="inlineStr">
        <is>
          <t>Art. 120.º-A (aditamento)</t>
        </is>
      </c>
      <c r="H1632" s="2" t="n"/>
      <c r="I1632" s="2" t="n"/>
      <c r="J1632" s="2" t="n"/>
      <c r="K1632" s="2" t="n"/>
      <c r="L1632" s="2" t="inlineStr">
        <is>
          <t>Artigo 120.º-A (Execução do Plano de Ação Nacional para as Doenças Raras 2025-2030)</t>
        </is>
      </c>
      <c r="M1632" s="4" t="n"/>
      <c r="N1632" s="4" t="n"/>
      <c r="O1632" s="2" t="n"/>
      <c r="P1632" s="2" t="n"/>
      <c r="Q1632" s="2" t="n"/>
      <c r="R1632" s="2" t="n"/>
      <c r="S1632" s="2" t="inlineStr">
        <is>
          <t>Rejeitado(a) em Comissão</t>
        </is>
      </c>
      <c r="T1632" s="2" t="inlineStr">
        <is>
          <t>Rejeitada</t>
        </is>
      </c>
      <c r="U1632" s="2" t="inlineStr">
        <is>
          <t>Favor: CH, IL, BE, PAN; Contra: PSD, CDS-PP; Abstenção: PS, L, PCP</t>
        </is>
      </c>
      <c r="V1632" s="3" t="n">
        <v>45985</v>
      </c>
      <c r="W1632" s="2" t="inlineStr">
        <is>
          <t>AR: https://www.parlamento.pt/OrcamentoEstado/Paginas/DetalhePropostaAlteracao.aspx?BID=24787 PDF: https://app.parlamento.pt/webutils/docs/doc.pdf?path=6148523063484d364c793942556b356c6443397a6158526c63793959566b6c4a544556484c3039464c7a49774d6a59794d4449314d5441774f533951515339684d6d49774f44637a4e5330334e7a4e6d4c5451314e445974595755324e7930324f57466d4e54566b4e3251314d7a59756347526d&amp;Fich=a2b08735-773f-4546-ae67-69af55d7d536.pdf&amp;Inline=true</t>
        </is>
      </c>
      <c r="X1632" s="2" t="inlineStr">
        <is>
          <t>Saúde</t>
        </is>
      </c>
      <c r="Y1632" s="2" t="inlineStr">
        <is>
          <t>Articulado</t>
        </is>
      </c>
      <c r="Z1632" s="2" t="inlineStr">
        <is>
          <t>Aditamento (Artigo PPL)</t>
        </is>
      </c>
      <c r="AA1632" s="2" t="inlineStr">
        <is>
          <t>Rejeitado(a) em Comissão</t>
        </is>
      </c>
      <c r="AB1632" s="2" t="inlineStr"/>
      <c r="AC1632" s="2" t="inlineStr"/>
      <c r="AD1632" s="2" t="inlineStr">
        <is>
          <t>1</t>
        </is>
      </c>
      <c r="AE1632" s="2" t="inlineStr">
        <is>
          <t>24787</t>
        </is>
      </c>
      <c r="AF1632" s="2" t="inlineStr">
        <is>
          <t>https://www.parlamento.pt/OrcamentoEstado/Paginas/DetalhePropostaAlteracao.aspx?BID=24787</t>
        </is>
      </c>
      <c r="AG1632" s="2" t="inlineStr">
        <is>
          <t>https://app.parlamento.pt/webutils/docs/doc.pdf?path=6148523063484d364c793942556b356c6443397a6158526c63793959566b6c4a544556484c3039464c7a49774d6a59794d4449314d5441774f533951515339684d6d49774f44637a4e5330334e7a4e6d4c5451314e445974595755324e7930324f57466d4e54566b4e3251314d7a59756347526d&amp;Fich=a2b08735-773f-4546-ae67-69af55d7d536.pdf&amp;Inline=true</t>
        </is>
      </c>
      <c r="AH1632" s="3" t="n">
        <v>46321.77847222222</v>
      </c>
      <c r="AI1632" s="3" t="n">
        <v>46321.78055555555</v>
      </c>
      <c r="AJ1632" s="2" t="inlineStr"/>
    </row>
    <row r="1633">
      <c r="A1633" s="2" t="n">
        <v>1632</v>
      </c>
      <c r="B1633" s="2" t="inlineStr">
        <is>
          <t>1540C</t>
        </is>
      </c>
      <c r="C1633" s="3" t="n">
        <v>45968.63611111111</v>
      </c>
      <c r="D1633" s="2" t="inlineStr">
        <is>
          <t>Original</t>
        </is>
      </c>
      <c r="E1633" s="2" t="inlineStr">
        <is>
          <t>CH</t>
        </is>
      </c>
      <c r="F163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33" s="2" t="inlineStr">
        <is>
          <t>Art. 136.º-A (aditamento)</t>
        </is>
      </c>
      <c r="H1633" s="2" t="n"/>
      <c r="I1633" s="2" t="n"/>
      <c r="J1633" s="2" t="n"/>
      <c r="K1633" s="2" t="n"/>
      <c r="L1633" s="2" t="inlineStr">
        <is>
          <t>Artigo 136.º-A (Isenção do pagamento de taxas de portagem aos Veículos Dedicados ao Transporte de Doentes)</t>
        </is>
      </c>
      <c r="M1633" s="4" t="n"/>
      <c r="N1633" s="4" t="n"/>
      <c r="O1633" s="2" t="n"/>
      <c r="P1633" s="2" t="n"/>
      <c r="Q1633" s="2" t="n"/>
      <c r="R1633" s="2" t="n"/>
      <c r="S1633" s="2" t="inlineStr">
        <is>
          <t>Rejeitado(a) em Comissão</t>
        </is>
      </c>
      <c r="T1633" s="2" t="inlineStr">
        <is>
          <t>Rejeitada</t>
        </is>
      </c>
      <c r="U1633" s="2" t="inlineStr">
        <is>
          <t>Favor: CH, BE, PAN; Contra: PSD, CDS-PP; Abstenção: PS, IL, L, PCP</t>
        </is>
      </c>
      <c r="V1633" s="3" t="n">
        <v>45987</v>
      </c>
      <c r="W1633" s="2" t="inlineStr">
        <is>
          <t>AR: https://www.parlamento.pt/OrcamentoEstado/Paginas/DetalhePropostaAlteracao.aspx?BID=24788 PDF: https://app.parlamento.pt/webutils/docs/doc.pdf?path=6148523063484d364c793942556b356c6443397a6158526c63793959566b6c4a544556484c3039464c7a49774d6a59794d4449314d5441774f533951515338344e5749354d32466c4d6930324f4759344c54517959544974596a51324d7930354d6a637a4e444d325a5459314d3255756347526d&amp;Fich=85b93ae2-68f8-42a2-b463-9273436e653e.pdf&amp;Inline=true</t>
        </is>
      </c>
      <c r="X1633" s="2" t="inlineStr">
        <is>
          <t>Saúde</t>
        </is>
      </c>
      <c r="Y1633" s="2" t="inlineStr">
        <is>
          <t>Articulado</t>
        </is>
      </c>
      <c r="Z1633" s="2" t="inlineStr">
        <is>
          <t>Aditamento (Artigo PPL)</t>
        </is>
      </c>
      <c r="AA1633" s="2" t="inlineStr">
        <is>
          <t>Rejeitado(a) em Comissão</t>
        </is>
      </c>
      <c r="AB1633" s="2" t="inlineStr"/>
      <c r="AC1633" s="2" t="inlineStr"/>
      <c r="AD1633" s="2" t="inlineStr">
        <is>
          <t>1</t>
        </is>
      </c>
      <c r="AE1633" s="2" t="inlineStr">
        <is>
          <t>24788</t>
        </is>
      </c>
      <c r="AF1633" s="2" t="inlineStr">
        <is>
          <t>https://www.parlamento.pt/OrcamentoEstado/Paginas/DetalhePropostaAlteracao.aspx?BID=24788</t>
        </is>
      </c>
      <c r="AG1633" s="2" t="inlineStr">
        <is>
          <t>https://app.parlamento.pt/webutils/docs/doc.pdf?path=6148523063484d364c793942556b356c6443397a6158526c63793959566b6c4a544556484c3039464c7a49774d6a59794d4449314d5441774f533951515338344e5749354d32466c4d6930324f4759344c54517959544974596a51324d7930354d6a637a4e444d325a5459314d3255756347526d&amp;Fich=85b93ae2-68f8-42a2-b463-9273436e653e.pdf&amp;Inline=true</t>
        </is>
      </c>
      <c r="AH1633" s="3" t="n">
        <v>46321.77847222222</v>
      </c>
      <c r="AI1633" s="3" t="n">
        <v>46321.78055555555</v>
      </c>
      <c r="AJ1633" s="2" t="inlineStr"/>
    </row>
    <row r="1634">
      <c r="A1634" s="2" t="n">
        <v>1633</v>
      </c>
      <c r="B1634" s="2" t="inlineStr">
        <is>
          <t>1541C</t>
        </is>
      </c>
      <c r="C1634" s="3" t="n">
        <v>45968.63680555556</v>
      </c>
      <c r="D1634" s="2" t="inlineStr">
        <is>
          <t>Original</t>
        </is>
      </c>
      <c r="E1634" s="2" t="inlineStr">
        <is>
          <t>CH</t>
        </is>
      </c>
      <c r="F163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34" s="2" t="inlineStr">
        <is>
          <t>Art. 136.º-A (aditamento)</t>
        </is>
      </c>
      <c r="H1634" s="2" t="n"/>
      <c r="I1634" s="2" t="n"/>
      <c r="J1634" s="2" t="n"/>
      <c r="K1634" s="2" t="n"/>
      <c r="L1634" s="2" t="inlineStr">
        <is>
          <t>Artigo 136.º-A (Revisão dos Tempos Máximos de Resposta Garantidos (TMRG) em Oncologia)</t>
        </is>
      </c>
      <c r="M1634" s="4" t="n"/>
      <c r="N1634" s="4" t="n"/>
      <c r="O1634" s="2" t="n"/>
      <c r="P1634" s="2" t="n"/>
      <c r="Q1634" s="2" t="n"/>
      <c r="R1634" s="2" t="n"/>
      <c r="S1634" s="2" t="inlineStr">
        <is>
          <t>Rejeitado(a) em Comissão</t>
        </is>
      </c>
      <c r="T1634" s="2" t="inlineStr">
        <is>
          <t>Rejeitada</t>
        </is>
      </c>
      <c r="U1634" s="2" t="inlineStr">
        <is>
          <t>Favor: CH, BE, PAN; Contra: PSD, IL, CDS-PP; Abstenção: PS, L, PCP</t>
        </is>
      </c>
      <c r="V1634" s="3" t="n">
        <v>45987</v>
      </c>
      <c r="W1634" s="2" t="inlineStr">
        <is>
          <t>AR: https://www.parlamento.pt/OrcamentoEstado/Paginas/DetalhePropostaAlteracao.aspx?BID=24789 PDF: https://app.parlamento.pt/webutils/docs/doc.pdf?path=6148523063484d364c793942556b356c6443397a6158526c63793959566b6c4a544556484c3039464c7a49774d6a59794d4449314d5441774f5339515153396c4f4449324d5759325a433078596a55354c5451334f574574596d4a6d4d4330354e7a5a685a6d466d595467304d7a67756347526d&amp;Fich=e8261f6d-1b59-479a-bbf0-976afafa8438.pdf&amp;Inline=true</t>
        </is>
      </c>
      <c r="X1634" s="2" t="inlineStr">
        <is>
          <t>Saúde</t>
        </is>
      </c>
      <c r="Y1634" s="2" t="inlineStr">
        <is>
          <t>Articulado</t>
        </is>
      </c>
      <c r="Z1634" s="2" t="inlineStr">
        <is>
          <t>Aditamento (Artigo PPL)</t>
        </is>
      </c>
      <c r="AA1634" s="2" t="inlineStr">
        <is>
          <t>Rejeitado(a) em Comissão</t>
        </is>
      </c>
      <c r="AB1634" s="2" t="inlineStr"/>
      <c r="AC1634" s="2" t="inlineStr"/>
      <c r="AD1634" s="2" t="inlineStr">
        <is>
          <t>1</t>
        </is>
      </c>
      <c r="AE1634" s="2" t="inlineStr">
        <is>
          <t>24789</t>
        </is>
      </c>
      <c r="AF1634" s="2" t="inlineStr">
        <is>
          <t>https://www.parlamento.pt/OrcamentoEstado/Paginas/DetalhePropostaAlteracao.aspx?BID=24789</t>
        </is>
      </c>
      <c r="AG1634" s="2" t="inlineStr">
        <is>
          <t>https://app.parlamento.pt/webutils/docs/doc.pdf?path=6148523063484d364c793942556b356c6443397a6158526c63793959566b6c4a544556484c3039464c7a49774d6a59794d4449314d5441774f5339515153396c4f4449324d5759325a433078596a55354c5451334f574574596d4a6d4d4330354e7a5a685a6d466d595467304d7a67756347526d&amp;Fich=e8261f6d-1b59-479a-bbf0-976afafa8438.pdf&amp;Inline=true</t>
        </is>
      </c>
      <c r="AH1634" s="3" t="n">
        <v>46321.77847222222</v>
      </c>
      <c r="AI1634" s="3" t="n">
        <v>46321.78055555555</v>
      </c>
      <c r="AJ1634" s="2" t="inlineStr"/>
    </row>
    <row r="1635">
      <c r="A1635" s="2" t="n">
        <v>1634</v>
      </c>
      <c r="B1635" s="2" t="inlineStr">
        <is>
          <t>1542C</t>
        </is>
      </c>
      <c r="C1635" s="3" t="n">
        <v>45968.63680555556</v>
      </c>
      <c r="D1635" s="2" t="inlineStr">
        <is>
          <t>Original</t>
        </is>
      </c>
      <c r="E1635" s="2" t="inlineStr">
        <is>
          <t>PS</t>
        </is>
      </c>
      <c r="F1635" s="2" t="inlineStr">
        <is>
          <t>António Mendonça Mendes; Eurico Brilhante Dias; José Luís Carneiro; Mariana Vieira da Silva; Marina Gonçalves; Miguel Matos; Susana Correia</t>
        </is>
      </c>
      <c r="G1635" s="2" t="inlineStr">
        <is>
          <t>Art. 119.º-A (aditamento)</t>
        </is>
      </c>
      <c r="H1635" s="2" t="n"/>
      <c r="I1635" s="2" t="n"/>
      <c r="J1635" s="2" t="n"/>
      <c r="K1635" s="2" t="n"/>
      <c r="L1635" s="2" t="inlineStr">
        <is>
          <t>Artigo 119.º-A (Aditamento ao Decreto-Lei n.º 102/2023, de 07 de novembro)</t>
        </is>
      </c>
      <c r="M1635" s="4" t="n"/>
      <c r="N1635" s="4" t="n"/>
      <c r="O1635" s="2" t="n"/>
      <c r="P1635" s="2" t="n"/>
      <c r="Q1635" s="2" t="n"/>
      <c r="R1635" s="2" t="n"/>
      <c r="S1635" s="2" t="inlineStr">
        <is>
          <t>Rejeitado(a) em Comissão</t>
        </is>
      </c>
      <c r="T1635" s="2" t="inlineStr">
        <is>
          <t>Rejeitada</t>
        </is>
      </c>
      <c r="U1635" s="2" t="inlineStr">
        <is>
          <t>Favor: PS, L, PAN; Contra: PSD, IL, CDS-PP; Abstenção: CH, PCP, BE</t>
        </is>
      </c>
      <c r="V1635" s="3" t="n">
        <v>45985</v>
      </c>
      <c r="W1635" s="2" t="inlineStr">
        <is>
          <t>AR: https://www.parlamento.pt/OrcamentoEstado/Paginas/DetalhePropostaAlteracao.aspx?BID=24790 PDF: https://app.parlamento.pt/webutils/docs/doc.pdf?path=6148523063484d364c793942556b356c6443397a6158526c63793959566b6c4a544556484c3039464c7a49774d6a59794d4449314d5441774f5339515153396a4d7a686d593255774e53316b4e6a4a6a4c545268597a5974596d4d315a5331684d3245305a6a59794d7a526b4f444d756347526d&amp;Fich=c38fce05-d62c-4ac6-bc5e-a3a4f6234d83.pdf&amp;Inline=true</t>
        </is>
      </c>
      <c r="X1635" s="2" t="inlineStr">
        <is>
          <t>Orçamento, Finanças e Administração Pública; Saúde</t>
        </is>
      </c>
      <c r="Y1635" s="2" t="inlineStr">
        <is>
          <t>Articulado</t>
        </is>
      </c>
      <c r="Z1635" s="2" t="inlineStr">
        <is>
          <t>Aditamento (Artigo PPL)</t>
        </is>
      </c>
      <c r="AA1635" s="2" t="inlineStr">
        <is>
          <t>Rejeitado(a) em Comissão</t>
        </is>
      </c>
      <c r="AB1635" s="2" t="inlineStr"/>
      <c r="AC1635" s="2" t="inlineStr"/>
      <c r="AD1635" s="2" t="inlineStr">
        <is>
          <t>1</t>
        </is>
      </c>
      <c r="AE1635" s="2" t="inlineStr">
        <is>
          <t>24790</t>
        </is>
      </c>
      <c r="AF1635" s="2" t="inlineStr">
        <is>
          <t>https://www.parlamento.pt/OrcamentoEstado/Paginas/DetalhePropostaAlteracao.aspx?BID=24790</t>
        </is>
      </c>
      <c r="AG1635" s="2" t="inlineStr">
        <is>
          <t>https://app.parlamento.pt/webutils/docs/doc.pdf?path=6148523063484d364c793942556b356c6443397a6158526c63793959566b6c4a544556484c3039464c7a49774d6a59794d4449314d5441774f5339515153396a4d7a686d593255774e53316b4e6a4a6a4c545268597a5974596d4d315a5331684d3245305a6a59794d7a526b4f444d756347526d&amp;Fich=c38fce05-d62c-4ac6-bc5e-a3a4f6234d83.pdf&amp;Inline=true</t>
        </is>
      </c>
      <c r="AH1635" s="3" t="n">
        <v>46321.77847222222</v>
      </c>
      <c r="AI1635" s="3" t="n">
        <v>46321.78055555555</v>
      </c>
      <c r="AJ1635" s="2" t="inlineStr"/>
    </row>
    <row r="1636">
      <c r="A1636" s="2" t="n">
        <v>1635</v>
      </c>
      <c r="B1636" s="2" t="inlineStr">
        <is>
          <t>1543C</t>
        </is>
      </c>
      <c r="C1636" s="3" t="n">
        <v>45968.63680555556</v>
      </c>
      <c r="D1636" s="2" t="inlineStr">
        <is>
          <t>Original</t>
        </is>
      </c>
      <c r="E1636" s="2" t="inlineStr">
        <is>
          <t>PCP</t>
        </is>
      </c>
      <c r="F1636" s="2" t="inlineStr">
        <is>
          <t>Alfredo Maia; Paula Santos; Paulo Raimundo</t>
        </is>
      </c>
      <c r="G1636" s="2" t="inlineStr">
        <is>
          <t>Art. 112.º-A (aditamento)</t>
        </is>
      </c>
      <c r="H1636" s="2" t="n"/>
      <c r="I1636" s="2" t="n"/>
      <c r="J1636" s="2" t="n"/>
      <c r="K1636" s="2" t="n"/>
      <c r="L1636" s="2" t="inlineStr">
        <is>
          <t>Artigo 112.º-A (Reforço da Polícia Marítima para a Região Autónoma dos Açores)</t>
        </is>
      </c>
      <c r="M1636" s="4" t="n"/>
      <c r="N1636" s="4" t="n"/>
      <c r="O1636" s="2" t="n"/>
      <c r="P1636" s="2" t="n"/>
      <c r="Q1636" s="2" t="n"/>
      <c r="R1636" s="2" t="n"/>
      <c r="S1636" s="2" t="inlineStr">
        <is>
          <t>Rejeitado(a) em Comissão</t>
        </is>
      </c>
      <c r="T1636" s="2" t="inlineStr">
        <is>
          <t>Rejeitada</t>
        </is>
      </c>
      <c r="U1636" s="2" t="inlineStr">
        <is>
          <t>Favor: CH, L, PCP, BE, PAN; Contra: PSD, CDS-PP; Abstenção: PS, IL</t>
        </is>
      </c>
      <c r="V1636" s="3" t="n">
        <v>45982</v>
      </c>
      <c r="W1636" s="2" t="inlineStr">
        <is>
          <t>AR: https://www.parlamento.pt/OrcamentoEstado/Paginas/DetalhePropostaAlteracao.aspx?BID=24791 PDF: https://app.parlamento.pt/webutils/docs/doc.pdf?path=6148523063484d364c793942556b356c6443397a6158526c63793959566b6c4a544556484c3039464c7a49774d6a59794d4449314d5441774f533951515338305a6d49344e4445355979307a5a574d354c5451344e5745745954426b4e53316c4e7a6b34597a5978597a677959324d756347526d&amp;Fich=4fb8419c-3ec9-485a-a0d5-e798c61c82cc.pdf&amp;Inline=true</t>
        </is>
      </c>
      <c r="X1636" s="2" t="inlineStr">
        <is>
          <t>Defesa Nacional</t>
        </is>
      </c>
      <c r="Y1636" s="2" t="inlineStr">
        <is>
          <t>Articulado</t>
        </is>
      </c>
      <c r="Z1636" s="2" t="inlineStr">
        <is>
          <t>Aditamento (Artigo PPL)</t>
        </is>
      </c>
      <c r="AA1636" s="2" t="inlineStr">
        <is>
          <t>Rejeitado(a) em Comissão</t>
        </is>
      </c>
      <c r="AB1636" s="2" t="inlineStr"/>
      <c r="AC1636" s="2" t="inlineStr"/>
      <c r="AD1636" s="2" t="inlineStr">
        <is>
          <t>1</t>
        </is>
      </c>
      <c r="AE1636" s="2" t="inlineStr">
        <is>
          <t>24791</t>
        </is>
      </c>
      <c r="AF1636" s="2" t="inlineStr">
        <is>
          <t>https://www.parlamento.pt/OrcamentoEstado/Paginas/DetalhePropostaAlteracao.aspx?BID=24791</t>
        </is>
      </c>
      <c r="AG1636" s="2" t="inlineStr">
        <is>
          <t>https://app.parlamento.pt/webutils/docs/doc.pdf?path=6148523063484d364c793942556b356c6443397a6158526c63793959566b6c4a544556484c3039464c7a49774d6a59794d4449314d5441774f533951515338305a6d49344e4445355979307a5a574d354c5451344e5745745954426b4e53316c4e7a6b34597a5978597a677959324d756347526d&amp;Fich=4fb8419c-3ec9-485a-a0d5-e798c61c82cc.pdf&amp;Inline=true</t>
        </is>
      </c>
      <c r="AH1636" s="3" t="n">
        <v>46321.77847222222</v>
      </c>
      <c r="AI1636" s="3" t="n">
        <v>46321.78055555555</v>
      </c>
      <c r="AJ1636" s="2" t="inlineStr"/>
    </row>
    <row r="1637">
      <c r="A1637" s="2" t="n">
        <v>1636</v>
      </c>
      <c r="B1637" s="2" t="inlineStr">
        <is>
          <t>1544C</t>
        </is>
      </c>
      <c r="C1637" s="3" t="n">
        <v>45968.63680555556</v>
      </c>
      <c r="D1637" s="2" t="inlineStr">
        <is>
          <t>Original</t>
        </is>
      </c>
      <c r="E1637" s="2" t="inlineStr">
        <is>
          <t>CH</t>
        </is>
      </c>
      <c r="F163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37" s="2" t="inlineStr">
        <is>
          <t>Art. 136.º-A (aditamento)</t>
        </is>
      </c>
      <c r="H1637" s="2" t="n"/>
      <c r="I1637" s="2" t="n"/>
      <c r="J1637" s="2" t="n"/>
      <c r="K1637" s="2" t="n"/>
      <c r="L1637" s="2" t="inlineStr">
        <is>
          <t>Artigo 136.º-A (Promoção de medicamentos genéricos e biossimilares no Serviço Nacional de Saúde (SNS))</t>
        </is>
      </c>
      <c r="M1637" s="4" t="n"/>
      <c r="N1637" s="4" t="n"/>
      <c r="O1637" s="2" t="n"/>
      <c r="P1637" s="2" t="n"/>
      <c r="Q1637" s="2" t="n"/>
      <c r="R1637" s="2" t="n"/>
      <c r="S1637" s="2" t="inlineStr">
        <is>
          <t>Rejeitado(a) em Comissão</t>
        </is>
      </c>
      <c r="T1637" s="2" t="inlineStr">
        <is>
          <t>Rejeitada</t>
        </is>
      </c>
      <c r="U1637" s="2" t="inlineStr">
        <is>
          <t>Favor: CH, BE, PAN; Contra: PSD, CDS-PP; Abstenção: PS, IL, L, PCP</t>
        </is>
      </c>
      <c r="V1637" s="3" t="n">
        <v>45987</v>
      </c>
      <c r="W1637" s="2" t="inlineStr">
        <is>
          <t>AR: https://www.parlamento.pt/OrcamentoEstado/Paginas/DetalhePropostaAlteracao.aspx?BID=24792 PDF: https://app.parlamento.pt/webutils/docs/doc.pdf?path=6148523063484d364c793942556b356c6443397a6158526c63793959566b6c4a544556484c3039464c7a49774d6a59794d4449314d5441774f533951515339694e546b304e6a426c4d533031595468694c545269596a6774596a55334d5330774e7a45324e475a694d474e694d6a55756347526d&amp;Fich=b59460e1-5a8b-4bb8-b571-07164fb0cb25.pdf&amp;Inline=true</t>
        </is>
      </c>
      <c r="X1637" s="2" t="inlineStr">
        <is>
          <t>Saúde</t>
        </is>
      </c>
      <c r="Y1637" s="2" t="inlineStr">
        <is>
          <t>Articulado</t>
        </is>
      </c>
      <c r="Z1637" s="2" t="inlineStr">
        <is>
          <t>Aditamento (Artigo PPL)</t>
        </is>
      </c>
      <c r="AA1637" s="2" t="inlineStr">
        <is>
          <t>Rejeitado(a) em Comissão</t>
        </is>
      </c>
      <c r="AB1637" s="2" t="inlineStr"/>
      <c r="AC1637" s="2" t="inlineStr"/>
      <c r="AD1637" s="2" t="inlineStr">
        <is>
          <t>1</t>
        </is>
      </c>
      <c r="AE1637" s="2" t="inlineStr">
        <is>
          <t>24792</t>
        </is>
      </c>
      <c r="AF1637" s="2" t="inlineStr">
        <is>
          <t>https://www.parlamento.pt/OrcamentoEstado/Paginas/DetalhePropostaAlteracao.aspx?BID=24792</t>
        </is>
      </c>
      <c r="AG1637" s="2" t="inlineStr">
        <is>
          <t>https://app.parlamento.pt/webutils/docs/doc.pdf?path=6148523063484d364c793942556b356c6443397a6158526c63793959566b6c4a544556484c3039464c7a49774d6a59794d4449314d5441774f533951515339694e546b304e6a426c4d533031595468694c545269596a6774596a55334d5330774e7a45324e475a694d474e694d6a55756347526d&amp;Fich=b59460e1-5a8b-4bb8-b571-07164fb0cb25.pdf&amp;Inline=true</t>
        </is>
      </c>
      <c r="AH1637" s="3" t="n">
        <v>46321.77847222222</v>
      </c>
      <c r="AI1637" s="3" t="n">
        <v>46321.78055555555</v>
      </c>
      <c r="AJ1637" s="2" t="inlineStr"/>
    </row>
    <row r="1638">
      <c r="A1638" s="2" t="n">
        <v>1637</v>
      </c>
      <c r="B1638" s="2" t="inlineStr">
        <is>
          <t>1545C</t>
        </is>
      </c>
      <c r="C1638" s="3" t="n">
        <v>45968.6375</v>
      </c>
      <c r="D1638" s="2" t="inlineStr">
        <is>
          <t>Original</t>
        </is>
      </c>
      <c r="E1638" s="2" t="inlineStr">
        <is>
          <t>CH</t>
        </is>
      </c>
      <c r="F163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38" s="2" t="inlineStr">
        <is>
          <t>Art. 136.º-A (aditamento)</t>
        </is>
      </c>
      <c r="H1638" s="2" t="n"/>
      <c r="I1638" s="2" t="n"/>
      <c r="J1638" s="2" t="n"/>
      <c r="K1638" s="2" t="n"/>
      <c r="L1638" s="2" t="inlineStr">
        <is>
          <t>Artigo 136.º-A (Implementar medidas visando a melhoria das infraestruturas rodoviárias no Distrito de Coimbra)</t>
        </is>
      </c>
      <c r="M1638" s="4" t="n"/>
      <c r="N1638" s="4" t="n"/>
      <c r="O1638" s="2" t="n"/>
      <c r="P1638" s="2" t="n"/>
      <c r="Q1638" s="2" t="n"/>
      <c r="R1638" s="2" t="n"/>
      <c r="S1638" s="2" t="inlineStr">
        <is>
          <t>Rejeitado(a) em Comissão</t>
        </is>
      </c>
      <c r="T1638" s="2" t="inlineStr">
        <is>
          <t>Rejeitada</t>
        </is>
      </c>
      <c r="U1638" s="2" t="inlineStr">
        <is>
          <t>Favor: CH, BE, PAN; Contra: PSD, CDS-PP; Abstenção: PS, IL, L, PCP</t>
        </is>
      </c>
      <c r="V1638" s="3" t="n">
        <v>45987</v>
      </c>
      <c r="W1638" s="2" t="inlineStr">
        <is>
          <t>AR: https://www.parlamento.pt/OrcamentoEstado/Paginas/DetalhePropostaAlteracao.aspx?BID=24793 PDF: https://app.parlamento.pt/webutils/docs/doc.pdf?path=6148523063484d364c793942556b356c6443397a6158526c63793959566b6c4a544556484c3039464c7a49774d6a59794d4449314d5441774f533951515338304d7a63304f4451315953316a4d5441344c5451774f4449744f4445324f4330784e445577596d4e6d5a6a63344d4451756347526d&amp;Fich=4374845a-c108-4082-8168-1450bcff7804.pdf&amp;Inline=true</t>
        </is>
      </c>
      <c r="X1638" s="2" t="inlineStr">
        <is>
          <t>Infraestruturas, Mobilidade e Habitação</t>
        </is>
      </c>
      <c r="Y1638" s="2" t="inlineStr">
        <is>
          <t>Articulado</t>
        </is>
      </c>
      <c r="Z1638" s="2" t="inlineStr">
        <is>
          <t>Aditamento (Artigo PPL)</t>
        </is>
      </c>
      <c r="AA1638" s="2" t="inlineStr">
        <is>
          <t>Rejeitado(a) em Comissão</t>
        </is>
      </c>
      <c r="AB1638" s="2" t="inlineStr"/>
      <c r="AC1638" s="2" t="inlineStr"/>
      <c r="AD1638" s="2" t="inlineStr">
        <is>
          <t>1</t>
        </is>
      </c>
      <c r="AE1638" s="2" t="inlineStr">
        <is>
          <t>24793</t>
        </is>
      </c>
      <c r="AF1638" s="2" t="inlineStr">
        <is>
          <t>https://www.parlamento.pt/OrcamentoEstado/Paginas/DetalhePropostaAlteracao.aspx?BID=24793</t>
        </is>
      </c>
      <c r="AG1638" s="2" t="inlineStr">
        <is>
          <t>https://app.parlamento.pt/webutils/docs/doc.pdf?path=6148523063484d364c793942556b356c6443397a6158526c63793959566b6c4a544556484c3039464c7a49774d6a59794d4449314d5441774f533951515338304d7a63304f4451315953316a4d5441344c5451774f4449744f4445324f4330784e445577596d4e6d5a6a63344d4451756347526d&amp;Fich=4374845a-c108-4082-8168-1450bcff7804.pdf&amp;Inline=true</t>
        </is>
      </c>
      <c r="AH1638" s="3" t="n">
        <v>46321.77847222222</v>
      </c>
      <c r="AI1638" s="3" t="n">
        <v>46321.78055555555</v>
      </c>
      <c r="AJ1638" s="2" t="inlineStr"/>
    </row>
    <row r="1639">
      <c r="A1639" s="2" t="n">
        <v>1638</v>
      </c>
      <c r="B1639" s="2" t="inlineStr">
        <is>
          <t>1546C</t>
        </is>
      </c>
      <c r="C1639" s="3" t="n">
        <v>45968.63819444444</v>
      </c>
      <c r="D1639" s="2" t="inlineStr">
        <is>
          <t>Original</t>
        </is>
      </c>
      <c r="E1639" s="2" t="inlineStr">
        <is>
          <t>Vários</t>
        </is>
      </c>
      <c r="F1639" s="2" t="inlineStr">
        <is>
          <t>Alberto Fonseca; Amílcar Almeida; Fernando Queiroga; Francisco Pimentel; Gonçalo Valente; Hugo Carneiro; Hugo Soares; Maurício Marques; João Pinho de Almeida; Paulo Núncio</t>
        </is>
      </c>
      <c r="G1639" s="2" t="inlineStr">
        <is>
          <t>Art. 63.º-A (aditamento)</t>
        </is>
      </c>
      <c r="H1639" s="2" t="n"/>
      <c r="I1639" s="2" t="n"/>
      <c r="J1639" s="2" t="n"/>
      <c r="K1639" s="2" t="n"/>
      <c r="L1639" s="2" t="inlineStr">
        <is>
          <t>Artigo 63.º-A (Aditamento à lista I anexa ao Código do Imposto sobre o Valor Acrescentado)</t>
        </is>
      </c>
      <c r="M1639" s="4" t="n"/>
      <c r="N1639" s="4" t="n"/>
      <c r="O1639" s="2" t="n"/>
      <c r="P1639" s="2" t="n"/>
      <c r="Q1639" s="2" t="n"/>
      <c r="R1639" s="2" t="n"/>
      <c r="S1639" s="2" t="inlineStr">
        <is>
          <t>Aprovado(a) em Comissão</t>
        </is>
      </c>
      <c r="T1639" s="2" t="inlineStr">
        <is>
          <t>Aprovada</t>
        </is>
      </c>
      <c r="U1639" s="2" t="inlineStr">
        <is>
          <t>Favor: PSD, CH, IL, PCP, CDS-PP; Contra: L, BE, PAN; Abstenção: PS</t>
        </is>
      </c>
      <c r="V1639" s="3" t="n">
        <v>45982</v>
      </c>
      <c r="W1639" s="2" t="inlineStr">
        <is>
          <t>AR: https://www.parlamento.pt/OrcamentoEstado/Paginas/DetalhePropostaAlteracao.aspx?BID=24794 PDF: https://app.parlamento.pt/webutils/docs/doc.pdf?path=6148523063484d364c793942556b356c6443397a6158526c63793959566b6c4a544556484c3039464c7a49774d6a59794d4449314d5441774f533951515338355a5441334d324e6d4f43316a5a575a6b4c54517859544974595467344d7930314e6a59774d475a6d4e546b7a4e7a51756347526d&amp;Fich=9e073cf8-cefd-41a2-a883-56600ff59374.pdf&amp;Inline=true</t>
        </is>
      </c>
      <c r="X1639" s="2" t="inlineStr">
        <is>
          <t>Agricultura e Pescas; Orçamento, Finanças e Administração Pública</t>
        </is>
      </c>
      <c r="Y1639" s="2" t="inlineStr">
        <is>
          <t>Articulado</t>
        </is>
      </c>
      <c r="Z1639" s="2" t="inlineStr">
        <is>
          <t>Aditamento (Artigo PPL)</t>
        </is>
      </c>
      <c r="AA1639" s="2" t="inlineStr">
        <is>
          <t>Aprovado(a) em Comissão</t>
        </is>
      </c>
      <c r="AB1639" s="2" t="inlineStr"/>
      <c r="AC1639" s="2" t="inlineStr"/>
      <c r="AD1639" s="2" t="inlineStr">
        <is>
          <t>1</t>
        </is>
      </c>
      <c r="AE1639" s="2" t="inlineStr">
        <is>
          <t>24794</t>
        </is>
      </c>
      <c r="AF1639" s="2" t="inlineStr">
        <is>
          <t>https://www.parlamento.pt/OrcamentoEstado/Paginas/DetalhePropostaAlteracao.aspx?BID=24794</t>
        </is>
      </c>
      <c r="AG1639" s="2" t="inlineStr">
        <is>
          <t>https://app.parlamento.pt/webutils/docs/doc.pdf?path=6148523063484d364c793942556b356c6443397a6158526c63793959566b6c4a544556484c3039464c7a49774d6a59794d4449314d5441774f533951515338355a5441334d324e6d4f43316a5a575a6b4c54517859544974595467344d7930314e6a59774d475a6d4e546b7a4e7a51756347526d&amp;Fich=9e073cf8-cefd-41a2-a883-56600ff59374.pdf&amp;Inline=true</t>
        </is>
      </c>
      <c r="AH1639" s="3" t="n">
        <v>46321.77847222222</v>
      </c>
      <c r="AI1639" s="3" t="n">
        <v>46321.78055555555</v>
      </c>
      <c r="AJ1639" s="2" t="inlineStr"/>
    </row>
    <row r="1640">
      <c r="A1640" s="2" t="n">
        <v>1639</v>
      </c>
      <c r="B1640" s="2" t="inlineStr">
        <is>
          <t>1547C</t>
        </is>
      </c>
      <c r="C1640" s="3" t="n">
        <v>45968.63819444444</v>
      </c>
      <c r="D1640" s="2" t="inlineStr">
        <is>
          <t>Original</t>
        </is>
      </c>
      <c r="E1640" s="2" t="inlineStr">
        <is>
          <t>CH</t>
        </is>
      </c>
      <c r="F164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40" s="2" t="inlineStr">
        <is>
          <t>Art. 136.º-A (aditamento)</t>
        </is>
      </c>
      <c r="H1640" s="2" t="n"/>
      <c r="I1640" s="2" t="n"/>
      <c r="J1640" s="2" t="n"/>
      <c r="K1640" s="2" t="n"/>
      <c r="L1640" s="2" t="inlineStr">
        <is>
          <t>Artigo 136.º-A (Incentivo contributivo à instalação de jovens agricultores)</t>
        </is>
      </c>
      <c r="M1640" s="4" t="n"/>
      <c r="N1640" s="4" t="n"/>
      <c r="O1640" s="2" t="n"/>
      <c r="P1640" s="2" t="n"/>
      <c r="Q1640" s="2" t="n"/>
      <c r="R1640" s="2" t="n"/>
      <c r="S1640" s="2" t="inlineStr">
        <is>
          <t>Rejeitado(a) em Comissão</t>
        </is>
      </c>
      <c r="T1640" s="2" t="inlineStr">
        <is>
          <t>Rejeitada</t>
        </is>
      </c>
      <c r="U1640" s="2" t="inlineStr">
        <is>
          <t>Favor: CH; Contra: PSD, PS, PCP, CDS-PP; Abstenção: IL, L, BE, PAN</t>
        </is>
      </c>
      <c r="V1640" s="3" t="n">
        <v>45987</v>
      </c>
      <c r="W1640" s="2" t="inlineStr">
        <is>
          <t>AR: https://www.parlamento.pt/OrcamentoEstado/Paginas/DetalhePropostaAlteracao.aspx?BID=24795 PDF: https://app.parlamento.pt/webutils/docs/doc.pdf?path=6148523063484d364c793942556b356c6443397a6158526c63793959566b6c4a544556484c3039464c7a49774d6a59794d4449314d5441774f533951515338335a6a56684e475578595330304e444e6d4c54526c5a4467744f545a6b4d53316c5a6a68694e4441324f444d79595449756347526d&amp;Fich=7f5a4e1a-443f-4ed8-96d1-ef8b406832a2.pdf&amp;Inline=true</t>
        </is>
      </c>
      <c r="X1640" s="2" t="inlineStr">
        <is>
          <t>Agricultura e Pescas</t>
        </is>
      </c>
      <c r="Y1640" s="2" t="inlineStr">
        <is>
          <t>Articulado</t>
        </is>
      </c>
      <c r="Z1640" s="2" t="inlineStr">
        <is>
          <t>Aditamento (Artigo PPL)</t>
        </is>
      </c>
      <c r="AA1640" s="2" t="inlineStr">
        <is>
          <t>Rejeitado(a) em Comissão</t>
        </is>
      </c>
      <c r="AB1640" s="2" t="inlineStr"/>
      <c r="AC1640" s="2" t="inlineStr"/>
      <c r="AD1640" s="2" t="inlineStr">
        <is>
          <t>1</t>
        </is>
      </c>
      <c r="AE1640" s="2" t="inlineStr">
        <is>
          <t>24795</t>
        </is>
      </c>
      <c r="AF1640" s="2" t="inlineStr">
        <is>
          <t>https://www.parlamento.pt/OrcamentoEstado/Paginas/DetalhePropostaAlteracao.aspx?BID=24795</t>
        </is>
      </c>
      <c r="AG1640" s="2" t="inlineStr">
        <is>
          <t>https://app.parlamento.pt/webutils/docs/doc.pdf?path=6148523063484d364c793942556b356c6443397a6158526c63793959566b6c4a544556484c3039464c7a49774d6a59794d4449314d5441774f533951515338335a6a56684e475578595330304e444e6d4c54526c5a4467744f545a6b4d53316c5a6a68694e4441324f444d79595449756347526d&amp;Fich=7f5a4e1a-443f-4ed8-96d1-ef8b406832a2.pdf&amp;Inline=true</t>
        </is>
      </c>
      <c r="AH1640" s="3" t="n">
        <v>46321.77847222222</v>
      </c>
      <c r="AI1640" s="3" t="n">
        <v>46321.78055555555</v>
      </c>
      <c r="AJ1640" s="2" t="inlineStr"/>
    </row>
    <row r="1641">
      <c r="A1641" s="2" t="n">
        <v>1640</v>
      </c>
      <c r="B1641" s="2" t="inlineStr">
        <is>
          <t>1548C</t>
        </is>
      </c>
      <c r="C1641" s="3" t="n">
        <v>45968.63819444444</v>
      </c>
      <c r="D1641" s="2" t="inlineStr">
        <is>
          <t>Original</t>
        </is>
      </c>
      <c r="E1641" s="2" t="inlineStr">
        <is>
          <t>PS</t>
        </is>
      </c>
      <c r="F1641" s="2" t="inlineStr">
        <is>
          <t>António Mendonça Mendes; Eurico Brilhante Dias; José Luís Carneiro; Mariana Vieira da Silva; Marina Gonçalves; Miguel Matos; Susana Correia</t>
        </is>
      </c>
      <c r="G1641" s="2" t="inlineStr">
        <is>
          <t>Art. 119.º-A (aditamento)</t>
        </is>
      </c>
      <c r="H1641" s="2" t="n"/>
      <c r="I1641" s="2" t="n"/>
      <c r="J1641" s="2" t="n"/>
      <c r="K1641" s="2" t="n"/>
      <c r="L1641" s="2" t="inlineStr">
        <is>
          <t>Artigo 119.º-A (Plano de atração e fixação de médicos no Serviço Nacional de Saúde e noutras entidades do setor público)</t>
        </is>
      </c>
      <c r="M1641" s="4" t="n"/>
      <c r="N1641" s="4" t="n"/>
      <c r="O1641" s="2" t="n"/>
      <c r="P1641" s="2" t="n"/>
      <c r="Q1641" s="2" t="n"/>
      <c r="R1641" s="2" t="n"/>
      <c r="S1641" s="2" t="inlineStr">
        <is>
          <t>Rejeitado(a) em Plenário</t>
        </is>
      </c>
      <c r="T1641" s="2" t="inlineStr">
        <is>
          <t>Rejeitada</t>
        </is>
      </c>
      <c r="U1641" s="2" t="inlineStr">
        <is>
          <t>Favor: PS, IL, L, PAN, JPP; Contra: PSD, CDS-PP; Abstenção: CH, PCP, BE</t>
        </is>
      </c>
      <c r="V1641" s="3" t="n">
        <v>45987</v>
      </c>
      <c r="W1641" s="2" t="inlineStr">
        <is>
          <t>Avocada a Plenário. AR: https://www.parlamento.pt/OrcamentoEstado/Paginas/DetalhePropostaAlteracao.aspx?BID=24796 PDF: https://app.parlamento.pt/webutils/docs/doc.pdf?path=6148523063484d364c793942556b356c6443397a6158526c63793959566b6c4a544556484c3039464c7a49774d6a59794d4449314d5441774f533951515338305a4467304f5745325a5330774e324d324c5451354d6d4574596a5134595330784e574a6b5a4756685a4445794d7a59756347526d&amp;Fich=4d849a6e-07c6-492a-b48a-15bddead1236.pdf&amp;Inline=true</t>
        </is>
      </c>
      <c r="X1641" s="2" t="inlineStr">
        <is>
          <t>Orçamento, Finanças e Administração Pública; Saúde</t>
        </is>
      </c>
      <c r="Y1641" s="2" t="inlineStr">
        <is>
          <t>Articulado</t>
        </is>
      </c>
      <c r="Z1641" s="2" t="inlineStr">
        <is>
          <t>Aditamento (Artigo PPL)</t>
        </is>
      </c>
      <c r="AA1641" s="2" t="inlineStr">
        <is>
          <t>Rejeitado(a) em Plenário</t>
        </is>
      </c>
      <c r="AB1641" s="2" t="inlineStr">
        <is>
          <t>S</t>
        </is>
      </c>
      <c r="AC1641" s="2" t="inlineStr"/>
      <c r="AD1641" s="2" t="inlineStr">
        <is>
          <t>2</t>
        </is>
      </c>
      <c r="AE1641" s="2" t="inlineStr">
        <is>
          <t>24796</t>
        </is>
      </c>
      <c r="AF1641" s="2" t="inlineStr">
        <is>
          <t>https://www.parlamento.pt/OrcamentoEstado/Paginas/DetalhePropostaAlteracao.aspx?BID=24796</t>
        </is>
      </c>
      <c r="AG1641" s="2" t="inlineStr">
        <is>
          <t>https://app.parlamento.pt/webutils/docs/doc.pdf?path=6148523063484d364c793942556b356c6443397a6158526c63793959566b6c4a544556484c3039464c7a49774d6a59794d4449314d5441774f533951515338305a4467304f5745325a5330774e324d324c5451354d6d4574596a5134595330784e574a6b5a4756685a4445794d7a59756347526d&amp;Fich=4d849a6e-07c6-492a-b48a-15bddead1236.pdf&amp;Inline=true</t>
        </is>
      </c>
      <c r="AH1641" s="3" t="n">
        <v>46321.77847222222</v>
      </c>
      <c r="AI1641" s="3" t="n">
        <v>46321.78055555555</v>
      </c>
      <c r="AJ1641" s="2" t="inlineStr"/>
    </row>
    <row r="1642">
      <c r="A1642" s="2" t="n">
        <v>1641</v>
      </c>
      <c r="B1642" s="2" t="inlineStr">
        <is>
          <t>1549C</t>
        </is>
      </c>
      <c r="C1642" s="3" t="n">
        <v>45968.63819444444</v>
      </c>
      <c r="D1642" s="2" t="inlineStr">
        <is>
          <t>Original</t>
        </is>
      </c>
      <c r="E1642" s="2" t="inlineStr">
        <is>
          <t>CH</t>
        </is>
      </c>
      <c r="F164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42" s="2" t="inlineStr">
        <is>
          <t>Art. 136.º-A (aditamento)</t>
        </is>
      </c>
      <c r="H1642" s="2" t="n"/>
      <c r="I1642" s="2" t="n"/>
      <c r="J1642" s="2" t="n"/>
      <c r="K1642" s="2" t="n"/>
      <c r="L1642" s="2" t="inlineStr">
        <is>
          <t>Artigo 136.º-A (Programa Nacional de Educação Artística no Interior)</t>
        </is>
      </c>
      <c r="M1642" s="4" t="n"/>
      <c r="N1642" s="4" t="n"/>
      <c r="O1642" s="2" t="n"/>
      <c r="P1642" s="2" t="n"/>
      <c r="Q1642" s="2" t="n"/>
      <c r="R1642" s="2" t="n"/>
      <c r="S1642" s="2" t="inlineStr">
        <is>
          <t>Rejeitado(a) em Comissão</t>
        </is>
      </c>
      <c r="T1642" s="2" t="inlineStr">
        <is>
          <t>Rejeitada</t>
        </is>
      </c>
      <c r="U1642" s="2" t="inlineStr">
        <is>
          <t>Favor: CH, BE, PAN; Contra: PSD, CDS-PP; Abstenção: PS, IL, L, PCP</t>
        </is>
      </c>
      <c r="V1642" s="3" t="n">
        <v>45987</v>
      </c>
      <c r="W1642" s="2" t="inlineStr">
        <is>
          <t>AR: https://www.parlamento.pt/OrcamentoEstado/Paginas/DetalhePropostaAlteracao.aspx?BID=24797 PDF: https://app.parlamento.pt/webutils/docs/doc.pdf?path=6148523063484d364c793942556b356c6443397a6158526c63793959566b6c4a544556484c3039464c7a49774d6a59794d4449314d5441774f533951515338774f445268593255324d6930334d5755354c5451324d575974596a646d4e79316859574978596a6b324d4751784d5749756347526d&amp;Fich=084ace62-71e9-461f-b7f7-aab1b960d11b.pdf&amp;Inline=true</t>
        </is>
      </c>
      <c r="X1642" s="2" t="inlineStr">
        <is>
          <t>Cultura, Comunicação, Juventude e Desporto</t>
        </is>
      </c>
      <c r="Y1642" s="2" t="inlineStr">
        <is>
          <t>Articulado</t>
        </is>
      </c>
      <c r="Z1642" s="2" t="inlineStr">
        <is>
          <t>Aditamento (Artigo PPL)</t>
        </is>
      </c>
      <c r="AA1642" s="2" t="inlineStr">
        <is>
          <t>Rejeitado(a) em Comissão</t>
        </is>
      </c>
      <c r="AB1642" s="2" t="inlineStr"/>
      <c r="AC1642" s="2" t="inlineStr"/>
      <c r="AD1642" s="2" t="inlineStr">
        <is>
          <t>1</t>
        </is>
      </c>
      <c r="AE1642" s="2" t="inlineStr">
        <is>
          <t>24797</t>
        </is>
      </c>
      <c r="AF1642" s="2" t="inlineStr">
        <is>
          <t>https://www.parlamento.pt/OrcamentoEstado/Paginas/DetalhePropostaAlteracao.aspx?BID=24797</t>
        </is>
      </c>
      <c r="AG1642" s="2" t="inlineStr">
        <is>
          <t>https://app.parlamento.pt/webutils/docs/doc.pdf?path=6148523063484d364c793942556b356c6443397a6158526c63793959566b6c4a544556484c3039464c7a49774d6a59794d4449314d5441774f533951515338774f445268593255324d6930334d5755354c5451324d575974596a646d4e79316859574978596a6b324d4751784d5749756347526d&amp;Fich=084ace62-71e9-461f-b7f7-aab1b960d11b.pdf&amp;Inline=true</t>
        </is>
      </c>
      <c r="AH1642" s="3" t="n">
        <v>46321.77847222222</v>
      </c>
      <c r="AI1642" s="3" t="n">
        <v>46321.78055555555</v>
      </c>
      <c r="AJ1642" s="2" t="inlineStr"/>
    </row>
    <row r="1643">
      <c r="A1643" s="2" t="n">
        <v>1642</v>
      </c>
      <c r="B1643" s="2" t="inlineStr">
        <is>
          <t>1550C</t>
        </is>
      </c>
      <c r="C1643" s="3" t="n">
        <v>45968.63888888889</v>
      </c>
      <c r="D1643" s="2" t="inlineStr">
        <is>
          <t>Original</t>
        </is>
      </c>
      <c r="E1643" s="2" t="inlineStr">
        <is>
          <t>CH</t>
        </is>
      </c>
      <c r="F164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43" s="2" t="inlineStr">
        <is>
          <t>Art. 136.º-A (aditamento)</t>
        </is>
      </c>
      <c r="H1643" s="2" t="n"/>
      <c r="I1643" s="2" t="n"/>
      <c r="J1643" s="2" t="n"/>
      <c r="K1643" s="2" t="n"/>
      <c r="L1643" s="2" t="inlineStr">
        <is>
          <t>Artigo 136.º-A (Priorizar a implementação de estações 5G em concelhos e zonas rurais, como importante fator para o desenvolvimento socioeconómico e a qualidade de vida dos seus habitantes)</t>
        </is>
      </c>
      <c r="M1643" s="4" t="n"/>
      <c r="N1643" s="4" t="n"/>
      <c r="O1643" s="2" t="n"/>
      <c r="P1643" s="2" t="n"/>
      <c r="Q1643" s="2" t="n"/>
      <c r="R1643" s="2" t="n"/>
      <c r="S1643" s="2" t="inlineStr">
        <is>
          <t>Rejeitado(a) em Comissão</t>
        </is>
      </c>
      <c r="T1643" s="2" t="inlineStr">
        <is>
          <t>Rejeitada</t>
        </is>
      </c>
      <c r="U1643" s="2" t="inlineStr">
        <is>
          <t>Favor: CH, BE, PAN; Contra: PSD, CDS-PP; Abstenção: PS, IL, L, PCP</t>
        </is>
      </c>
      <c r="V1643" s="3" t="n">
        <v>45987</v>
      </c>
      <c r="W1643" s="2" t="inlineStr">
        <is>
          <t>AR: https://www.parlamento.pt/OrcamentoEstado/Paginas/DetalhePropostaAlteracao.aspx?BID=24798 PDF: https://app.parlamento.pt/webutils/docs/doc.pdf?path=6148523063484d364c793942556b356c6443397a6158526c63793959566b6c4a544556484c3039464c7a49774d6a59794d4449314d5441774f5339515153383459324a694e6a5a6c4f5330795a5455334c5451774f4459744f575a6c4d4330324d5759325a5463344d6d55355a4445756347526d&amp;Fich=8cbb66e9-2e57-4086-9fe0-61f6e782e9d1.pdf&amp;Inline=true</t>
        </is>
      </c>
      <c r="X1643" s="2" t="inlineStr">
        <is>
          <t>Comissão de Economia e Coesão Territorial</t>
        </is>
      </c>
      <c r="Y1643" s="2" t="inlineStr">
        <is>
          <t>Articulado</t>
        </is>
      </c>
      <c r="Z1643" s="2" t="inlineStr">
        <is>
          <t>Aditamento (Artigo PPL)</t>
        </is>
      </c>
      <c r="AA1643" s="2" t="inlineStr">
        <is>
          <t>Rejeitado(a) em Comissão</t>
        </is>
      </c>
      <c r="AB1643" s="2" t="inlineStr"/>
      <c r="AC1643" s="2" t="inlineStr"/>
      <c r="AD1643" s="2" t="inlineStr">
        <is>
          <t>1</t>
        </is>
      </c>
      <c r="AE1643" s="2" t="inlineStr">
        <is>
          <t>24798</t>
        </is>
      </c>
      <c r="AF1643" s="2" t="inlineStr">
        <is>
          <t>https://www.parlamento.pt/OrcamentoEstado/Paginas/DetalhePropostaAlteracao.aspx?BID=24798</t>
        </is>
      </c>
      <c r="AG1643" s="2" t="inlineStr">
        <is>
          <t>https://app.parlamento.pt/webutils/docs/doc.pdf?path=6148523063484d364c793942556b356c6443397a6158526c63793959566b6c4a544556484c3039464c7a49774d6a59794d4449314d5441774f5339515153383459324a694e6a5a6c4f5330795a5455334c5451774f4459744f575a6c4d4330324d5759325a5463344d6d55355a4445756347526d&amp;Fich=8cbb66e9-2e57-4086-9fe0-61f6e782e9d1.pdf&amp;Inline=true</t>
        </is>
      </c>
      <c r="AH1643" s="3" t="n">
        <v>46321.77847222222</v>
      </c>
      <c r="AI1643" s="3" t="n">
        <v>46321.78055555555</v>
      </c>
      <c r="AJ1643" s="2" t="inlineStr"/>
    </row>
    <row r="1644">
      <c r="A1644" s="2" t="n">
        <v>1643</v>
      </c>
      <c r="B1644" s="2" t="inlineStr">
        <is>
          <t>1551C</t>
        </is>
      </c>
      <c r="C1644" s="3" t="n">
        <v>45968.63958333333</v>
      </c>
      <c r="D1644" s="2" t="inlineStr">
        <is>
          <t>Original</t>
        </is>
      </c>
      <c r="E1644" s="2" t="inlineStr">
        <is>
          <t>CH</t>
        </is>
      </c>
      <c r="F164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44" s="2" t="inlineStr">
        <is>
          <t>Art. 136.º-A (aditamento)</t>
        </is>
      </c>
      <c r="H1644" s="2" t="n"/>
      <c r="I1644" s="2" t="n"/>
      <c r="J1644" s="2" t="n"/>
      <c r="K1644" s="2" t="n"/>
      <c r="L1644" s="2" t="inlineStr">
        <is>
          <t>Artigo 136.º-A (Priorizar a requalificação da Estrada Nacional EN 4, no Distrito de Évora)</t>
        </is>
      </c>
      <c r="M1644" s="4" t="n"/>
      <c r="N1644" s="4" t="n"/>
      <c r="O1644" s="2" t="n"/>
      <c r="P1644" s="2" t="n"/>
      <c r="Q1644" s="2" t="n"/>
      <c r="R1644" s="2" t="n"/>
      <c r="S1644" s="2" t="inlineStr">
        <is>
          <t>Rejeitado(a) em Comissão</t>
        </is>
      </c>
      <c r="T1644" s="2" t="inlineStr">
        <is>
          <t>Rejeitada</t>
        </is>
      </c>
      <c r="U1644" s="2" t="inlineStr">
        <is>
          <t>Favor: CH, BE; Contra: PSD, CDS-PP; Abstenção: PS, IL, L, PCP, PAN</t>
        </is>
      </c>
      <c r="V1644" s="3" t="n">
        <v>45987</v>
      </c>
      <c r="W1644" s="2" t="inlineStr">
        <is>
          <t>AR: https://www.parlamento.pt/OrcamentoEstado/Paginas/DetalhePropostaAlteracao.aspx?BID=24799 PDF: https://app.parlamento.pt/webutils/docs/doc.pdf?path=6148523063484d364c793942556b356c6443397a6158526c63793959566b6c4a544556484c3039464c7a49774d6a59794d4449314d5441774f533951515338334d574d335a5759785a4330794f5455324c54526b4f574574596a686b595330344e446469596d4e6a4e7a41344d4751756347526d&amp;Fich=71c7ef1d-2956-4d9a-b8da-847bbcc7080d.pdf&amp;Inline=true</t>
        </is>
      </c>
      <c r="X1644" s="2" t="inlineStr">
        <is>
          <t>Infraestruturas, Mobilidade e Habitação</t>
        </is>
      </c>
      <c r="Y1644" s="2" t="inlineStr">
        <is>
          <t>Articulado</t>
        </is>
      </c>
      <c r="Z1644" s="2" t="inlineStr">
        <is>
          <t>Aditamento (Artigo PPL)</t>
        </is>
      </c>
      <c r="AA1644" s="2" t="inlineStr">
        <is>
          <t>Rejeitado(a) em Comissão</t>
        </is>
      </c>
      <c r="AB1644" s="2" t="inlineStr"/>
      <c r="AC1644" s="2" t="inlineStr"/>
      <c r="AD1644" s="2" t="inlineStr">
        <is>
          <t>1</t>
        </is>
      </c>
      <c r="AE1644" s="2" t="inlineStr">
        <is>
          <t>24799</t>
        </is>
      </c>
      <c r="AF1644" s="2" t="inlineStr">
        <is>
          <t>https://www.parlamento.pt/OrcamentoEstado/Paginas/DetalhePropostaAlteracao.aspx?BID=24799</t>
        </is>
      </c>
      <c r="AG1644" s="2" t="inlineStr">
        <is>
          <t>https://app.parlamento.pt/webutils/docs/doc.pdf?path=6148523063484d364c793942556b356c6443397a6158526c63793959566b6c4a544556484c3039464c7a49774d6a59794d4449314d5441774f533951515338334d574d335a5759785a4330794f5455324c54526b4f574574596a686b595330344e446469596d4e6a4e7a41344d4751756347526d&amp;Fich=71c7ef1d-2956-4d9a-b8da-847bbcc7080d.pdf&amp;Inline=true</t>
        </is>
      </c>
      <c r="AH1644" s="3" t="n">
        <v>46321.77847222222</v>
      </c>
      <c r="AI1644" s="3" t="n">
        <v>46321.78055555555</v>
      </c>
      <c r="AJ1644" s="2" t="inlineStr"/>
    </row>
    <row r="1645">
      <c r="A1645" s="2" t="n">
        <v>1644</v>
      </c>
      <c r="B1645" s="2" t="inlineStr">
        <is>
          <t>1552C</t>
        </is>
      </c>
      <c r="C1645" s="3" t="n">
        <v>45968.64027777778</v>
      </c>
      <c r="D1645" s="2" t="inlineStr">
        <is>
          <t>Original</t>
        </is>
      </c>
      <c r="E1645" s="2" t="inlineStr">
        <is>
          <t>CH</t>
        </is>
      </c>
      <c r="F164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45" s="2" t="inlineStr">
        <is>
          <t>Art. 136.º-A (aditamento)</t>
        </is>
      </c>
      <c r="H1645" s="2" t="n"/>
      <c r="I1645" s="2" t="n"/>
      <c r="J1645" s="2" t="n"/>
      <c r="K1645" s="2" t="n"/>
      <c r="L1645" s="2" t="inlineStr">
        <is>
          <t>Artigo 136.º-A (Abolição gradual do pagamento de portagens)</t>
        </is>
      </c>
      <c r="M1645" s="4" t="n"/>
      <c r="N1645" s="4" t="n"/>
      <c r="O1645" s="2" t="n"/>
      <c r="P1645" s="2" t="n"/>
      <c r="Q1645" s="2" t="n"/>
      <c r="R1645" s="2" t="n"/>
      <c r="S1645" s="2" t="inlineStr">
        <is>
          <t>Rejeitado(a) em Plenário</t>
        </is>
      </c>
      <c r="T1645" s="2" t="inlineStr">
        <is>
          <t>Rejeitada</t>
        </is>
      </c>
      <c r="U1645" s="2" t="inlineStr">
        <is>
          <t>Favor: CH, JPP; Contra: PSD, PS, IL, CDS-PP; Abstenção: L, PCP, BE, PAN</t>
        </is>
      </c>
      <c r="V1645" s="3" t="n">
        <v>45988</v>
      </c>
      <c r="W1645" s="2" t="inlineStr">
        <is>
          <t>Avocada a Plenário. AR: https://www.parlamento.pt/OrcamentoEstado/Paginas/DetalhePropostaAlteracao.aspx?BID=24800 PDF: https://app.parlamento.pt/webutils/docs/doc.pdf?path=6148523063484d364c793942556b356c6443397a6158526c63793959566b6c4a544556484c3039464c7a49774d6a59794d4449314d5441774f533951515339685a6a55784d7a67794d6931684d3259354c54526a4d5745744f544a684f433168596a6c6c597a566859574d794e3255756347526d&amp;Fich=af513822-a3f9-4c1a-92a8-ab9ec5aac27e.pdf&amp;Inline=true</t>
        </is>
      </c>
      <c r="X1645" s="2" t="inlineStr">
        <is>
          <t>Infraestruturas, Mobilidade e Habitação</t>
        </is>
      </c>
      <c r="Y1645" s="2" t="inlineStr">
        <is>
          <t>Articulado</t>
        </is>
      </c>
      <c r="Z1645" s="2" t="inlineStr">
        <is>
          <t>Aditamento (Artigo PPL)</t>
        </is>
      </c>
      <c r="AA1645" s="2" t="inlineStr">
        <is>
          <t>Rejeitado(a) em Plenário</t>
        </is>
      </c>
      <c r="AB1645" s="2" t="inlineStr">
        <is>
          <t>S</t>
        </is>
      </c>
      <c r="AC1645" s="2" t="inlineStr"/>
      <c r="AD1645" s="2" t="inlineStr">
        <is>
          <t>2</t>
        </is>
      </c>
      <c r="AE1645" s="2" t="inlineStr">
        <is>
          <t>24800</t>
        </is>
      </c>
      <c r="AF1645" s="2" t="inlineStr">
        <is>
          <t>https://www.parlamento.pt/OrcamentoEstado/Paginas/DetalhePropostaAlteracao.aspx?BID=24800</t>
        </is>
      </c>
      <c r="AG1645" s="2" t="inlineStr">
        <is>
          <t>https://app.parlamento.pt/webutils/docs/doc.pdf?path=6148523063484d364c793942556b356c6443397a6158526c63793959566b6c4a544556484c3039464c7a49774d6a59794d4449314d5441774f533951515339685a6a55784d7a67794d6931684d3259354c54526a4d5745744f544a684f433168596a6c6c597a566859574d794e3255756347526d&amp;Fich=af513822-a3f9-4c1a-92a8-ab9ec5aac27e.pdf&amp;Inline=true</t>
        </is>
      </c>
      <c r="AH1645" s="3" t="n">
        <v>46321.77847222222</v>
      </c>
      <c r="AI1645" s="3" t="n">
        <v>46321.78055555555</v>
      </c>
      <c r="AJ1645" s="2" t="inlineStr"/>
    </row>
    <row r="1646">
      <c r="A1646" s="2" t="n">
        <v>1645</v>
      </c>
      <c r="B1646" s="2" t="inlineStr">
        <is>
          <t>1553C</t>
        </is>
      </c>
      <c r="C1646" s="3" t="n">
        <v>45968.64097222222</v>
      </c>
      <c r="D1646" s="2" t="inlineStr">
        <is>
          <t>Original</t>
        </is>
      </c>
      <c r="E1646" s="2" t="inlineStr">
        <is>
          <t>CH</t>
        </is>
      </c>
      <c r="F164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46" s="2" t="inlineStr">
        <is>
          <t>Art. 136.º-A (aditamento)</t>
        </is>
      </c>
      <c r="H1646" s="2" t="n"/>
      <c r="I1646" s="2" t="n"/>
      <c r="J1646" s="2" t="n"/>
      <c r="K1646" s="2" t="n"/>
      <c r="L1646" s="2" t="inlineStr">
        <is>
          <t>Artigo 136.º-A (Criação do Programa Nacional de Continuidade Pós-PRR na área da ciência)</t>
        </is>
      </c>
      <c r="M1646" s="4" t="n"/>
      <c r="N1646" s="4" t="n"/>
      <c r="O1646" s="2" t="n"/>
      <c r="P1646" s="2" t="n"/>
      <c r="Q1646" s="2" t="n"/>
      <c r="R1646" s="2" t="n"/>
      <c r="S1646" s="2" t="inlineStr">
        <is>
          <t>Rejeitado(a) em Comissão</t>
        </is>
      </c>
      <c r="T1646" s="2" t="inlineStr">
        <is>
          <t>Rejeitada</t>
        </is>
      </c>
      <c r="U1646" s="2" t="inlineStr">
        <is>
          <t>Favor: CH, BE, PAN; Contra: PSD, CDS-PP; Abstenção: PS, IL, L, PCP</t>
        </is>
      </c>
      <c r="V1646" s="3" t="n">
        <v>45987</v>
      </c>
      <c r="W1646" s="2" t="inlineStr">
        <is>
          <t>AR: https://www.parlamento.pt/OrcamentoEstado/Paginas/DetalhePropostaAlteracao.aspx?BID=24801 PDF: https://app.parlamento.pt/webutils/docs/doc.pdf?path=6148523063484d364c793942556b356c6443397a6158526c63793959566b6c4a544556484c3039464c7a49774d6a59794d4449314d5441774f5339515153396b593245324f444d305a5330784e544e694c54526c5a6a63744f475a694d69316c4d444e6b596a59334e47497a4f446b756347526d&amp;Fich=dca6834e-153b-4ef7-8fb2-e03db674b389.pdf&amp;Inline=true</t>
        </is>
      </c>
      <c r="X1646" s="2" t="inlineStr">
        <is>
          <t>Comissão de Economia e Coesão Territorial</t>
        </is>
      </c>
      <c r="Y1646" s="2" t="inlineStr">
        <is>
          <t>Articulado</t>
        </is>
      </c>
      <c r="Z1646" s="2" t="inlineStr">
        <is>
          <t>Aditamento (Artigo PPL)</t>
        </is>
      </c>
      <c r="AA1646" s="2" t="inlineStr">
        <is>
          <t>Rejeitado(a) em Comissão</t>
        </is>
      </c>
      <c r="AB1646" s="2" t="inlineStr"/>
      <c r="AC1646" s="2" t="inlineStr"/>
      <c r="AD1646" s="2" t="inlineStr">
        <is>
          <t>1</t>
        </is>
      </c>
      <c r="AE1646" s="2" t="inlineStr">
        <is>
          <t>24801</t>
        </is>
      </c>
      <c r="AF1646" s="2" t="inlineStr">
        <is>
          <t>https://www.parlamento.pt/OrcamentoEstado/Paginas/DetalhePropostaAlteracao.aspx?BID=24801</t>
        </is>
      </c>
      <c r="AG1646" s="2" t="inlineStr">
        <is>
          <t>https://app.parlamento.pt/webutils/docs/doc.pdf?path=6148523063484d364c793942556b356c6443397a6158526c63793959566b6c4a544556484c3039464c7a49774d6a59794d4449314d5441774f5339515153396b593245324f444d305a5330784e544e694c54526c5a6a63744f475a694d69316c4d444e6b596a59334e47497a4f446b756347526d&amp;Fich=dca6834e-153b-4ef7-8fb2-e03db674b389.pdf&amp;Inline=true</t>
        </is>
      </c>
      <c r="AH1646" s="3" t="n">
        <v>46321.77847222222</v>
      </c>
      <c r="AI1646" s="3" t="n">
        <v>46321.78055555555</v>
      </c>
      <c r="AJ1646" s="2" t="inlineStr"/>
    </row>
    <row r="1647">
      <c r="A1647" s="2" t="n">
        <v>1646</v>
      </c>
      <c r="B1647" s="2" t="inlineStr">
        <is>
          <t>1554C</t>
        </is>
      </c>
      <c r="C1647" s="3" t="n">
        <v>45968.64166666667</v>
      </c>
      <c r="D1647" s="2" t="inlineStr">
        <is>
          <t>Original</t>
        </is>
      </c>
      <c r="E1647" s="2" t="inlineStr">
        <is>
          <t>PS</t>
        </is>
      </c>
      <c r="F1647" s="2" t="inlineStr">
        <is>
          <t>António Mendonça Mendes; Eurico Brilhante Dias; José Luís Carneiro; Mariana Vieira da Silva; Marina Gonçalves; Miguel Matos; Susana Correia</t>
        </is>
      </c>
      <c r="G1647" s="2" t="inlineStr">
        <is>
          <t>Art. 22.º-A (aditamento)</t>
        </is>
      </c>
      <c r="H1647" s="2" t="n"/>
      <c r="I1647" s="2" t="n"/>
      <c r="J1647" s="2" t="n"/>
      <c r="K1647" s="2" t="n"/>
      <c r="L1647" s="2" t="inlineStr">
        <is>
          <t>Artigo 22.º-A (Contratação de profissionais de saúde por entidades empresariais integradas no Serviço Nacional de Saúde)</t>
        </is>
      </c>
      <c r="M1647" s="4" t="n"/>
      <c r="N1647" s="4" t="n"/>
      <c r="O1647" s="2" t="n"/>
      <c r="P1647" s="2" t="n"/>
      <c r="Q1647" s="2" t="n"/>
      <c r="R1647" s="2" t="n"/>
      <c r="S1647" s="2" t="inlineStr">
        <is>
          <t>Rejeitado(a) em Comissão</t>
        </is>
      </c>
      <c r="T1647" s="2" t="inlineStr">
        <is>
          <t>Rejeitada</t>
        </is>
      </c>
      <c r="U1647" s="2" t="inlineStr">
        <is>
          <t>Favor: PS, IL, L, PCP, BE, PAN; Contra: PSD, CDS-PP; Abstenção: CH</t>
        </is>
      </c>
      <c r="V1647" s="3" t="n">
        <v>45981</v>
      </c>
      <c r="W1647" s="2" t="inlineStr">
        <is>
          <t>AR: https://www.parlamento.pt/OrcamentoEstado/Paginas/DetalhePropostaAlteracao.aspx?BID=24802 PDF: https://app.parlamento.pt/webutils/docs/doc.pdf?path=6148523063484d364c793942556b356c6443397a6158526c63793959566b6c4a544556484c3039464c7a49774d6a59794d4449314d5441774f53395151533877596d4a6c4d474d774f53316a4f57466b4c545133597a4174596d55314d4331684e7a5a6c4e5463344e4467315a6a67756347526d&amp;Fich=0bbe0c09-c9ad-47c0-be50-a76e578485f8.pdf&amp;Inline=true</t>
        </is>
      </c>
      <c r="X1647" s="2" t="inlineStr">
        <is>
          <t>Orçamento, Finanças e Administração Pública; Saúde</t>
        </is>
      </c>
      <c r="Y1647" s="2" t="inlineStr">
        <is>
          <t>Articulado</t>
        </is>
      </c>
      <c r="Z1647" s="2" t="inlineStr">
        <is>
          <t>Aditamento (Artigo PPL)</t>
        </is>
      </c>
      <c r="AA1647" s="2" t="inlineStr">
        <is>
          <t>Rejeitado(a) em Comissão</t>
        </is>
      </c>
      <c r="AB1647" s="2" t="inlineStr"/>
      <c r="AC1647" s="2" t="inlineStr"/>
      <c r="AD1647" s="2" t="inlineStr">
        <is>
          <t>1</t>
        </is>
      </c>
      <c r="AE1647" s="2" t="inlineStr">
        <is>
          <t>24802</t>
        </is>
      </c>
      <c r="AF1647" s="2" t="inlineStr">
        <is>
          <t>https://www.parlamento.pt/OrcamentoEstado/Paginas/DetalhePropostaAlteracao.aspx?BID=24802</t>
        </is>
      </c>
      <c r="AG1647" s="2" t="inlineStr">
        <is>
          <t>https://app.parlamento.pt/webutils/docs/doc.pdf?path=6148523063484d364c793942556b356c6443397a6158526c63793959566b6c4a544556484c3039464c7a49774d6a59794d4449314d5441774f53395151533877596d4a6c4d474d774f53316a4f57466b4c545133597a4174596d55314d4331684e7a5a6c4e5463344e4467315a6a67756347526d&amp;Fich=0bbe0c09-c9ad-47c0-be50-a76e578485f8.pdf&amp;Inline=true</t>
        </is>
      </c>
      <c r="AH1647" s="3" t="n">
        <v>46321.77847222222</v>
      </c>
      <c r="AI1647" s="3" t="n">
        <v>46321.78055555555</v>
      </c>
      <c r="AJ1647" s="2" t="inlineStr"/>
    </row>
    <row r="1648">
      <c r="A1648" s="2" t="n">
        <v>1647</v>
      </c>
      <c r="B1648" s="2" t="inlineStr">
        <is>
          <t>1555C</t>
        </is>
      </c>
      <c r="C1648" s="3" t="n">
        <v>45968.64166666667</v>
      </c>
      <c r="D1648" s="2" t="inlineStr">
        <is>
          <t>Original</t>
        </is>
      </c>
      <c r="E1648" s="2" t="inlineStr">
        <is>
          <t>CH</t>
        </is>
      </c>
      <c r="F164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48" s="2" t="inlineStr">
        <is>
          <t>Art. 136.º-A (aditamento)</t>
        </is>
      </c>
      <c r="H1648" s="2" t="n"/>
      <c r="I1648" s="2" t="n"/>
      <c r="J1648" s="2" t="n"/>
      <c r="K1648" s="2" t="n"/>
      <c r="L1648" s="2" t="inlineStr">
        <is>
          <t>Artigo 136.º-A (Alteração à Lei n.º 81/2014, de 19 de dezembro)</t>
        </is>
      </c>
      <c r="M1648" s="4" t="n"/>
      <c r="N1648" s="4" t="n"/>
      <c r="O1648" s="2" t="n"/>
      <c r="P1648" s="2" t="n"/>
      <c r="Q1648" s="2" t="n"/>
      <c r="R1648" s="2" t="n"/>
      <c r="S1648" s="2" t="inlineStr">
        <is>
          <t>Rejeitado(a) em Comissão</t>
        </is>
      </c>
      <c r="T1648" s="2" t="inlineStr">
        <is>
          <t>Rejeitada</t>
        </is>
      </c>
      <c r="U1648" s="2" t="inlineStr">
        <is>
          <t>Favor: CH; Contra: PSD, PS, IL, L, PCP, CDS-PP, BE, PAN</t>
        </is>
      </c>
      <c r="V1648" s="3" t="n">
        <v>45987</v>
      </c>
      <c r="W1648" s="2" t="inlineStr">
        <is>
          <t>AR: https://www.parlamento.pt/OrcamentoEstado/Paginas/DetalhePropostaAlteracao.aspx?BID=24803 PDF: https://app.parlamento.pt/webutils/docs/doc.pdf?path=6148523063484d364c793942556b356c6443397a6158526c63793959566b6c4a544556484c3039464c7a49774d6a59794d4449314d5441774f5339515153396d4e544e6b4d6d4d314f4330344e544d324c5451795a4749744f57526c4d5330344f545a6d5957566b4e446b774f5751756347526d&amp;Fich=f53d2c58-8536-42db-9de1-896faed4909d.pdf&amp;Inline=true</t>
        </is>
      </c>
      <c r="X1648" s="2" t="inlineStr">
        <is>
          <t>Assuntos Constitucionais, Direitos, Liberdades e Garantias</t>
        </is>
      </c>
      <c r="Y1648" s="2" t="inlineStr">
        <is>
          <t>Articulado</t>
        </is>
      </c>
      <c r="Z1648" s="2" t="inlineStr">
        <is>
          <t>Aditamento (Artigo PPL)</t>
        </is>
      </c>
      <c r="AA1648" s="2" t="inlineStr">
        <is>
          <t>Rejeitado(a) em Comissão</t>
        </is>
      </c>
      <c r="AB1648" s="2" t="inlineStr"/>
      <c r="AC1648" s="2" t="inlineStr"/>
      <c r="AD1648" s="2" t="inlineStr">
        <is>
          <t>1</t>
        </is>
      </c>
      <c r="AE1648" s="2" t="inlineStr">
        <is>
          <t>24803</t>
        </is>
      </c>
      <c r="AF1648" s="2" t="inlineStr">
        <is>
          <t>https://www.parlamento.pt/OrcamentoEstado/Paginas/DetalhePropostaAlteracao.aspx?BID=24803</t>
        </is>
      </c>
      <c r="AG1648" s="2" t="inlineStr">
        <is>
          <t>https://app.parlamento.pt/webutils/docs/doc.pdf?path=6148523063484d364c793942556b356c6443397a6158526c63793959566b6c4a544556484c3039464c7a49774d6a59794d4449314d5441774f5339515153396d4e544e6b4d6d4d314f4330344e544d324c5451795a4749744f57526c4d5330344f545a6d5957566b4e446b774f5751756347526d&amp;Fich=f53d2c58-8536-42db-9de1-896faed4909d.pdf&amp;Inline=true</t>
        </is>
      </c>
      <c r="AH1648" s="3" t="n">
        <v>46321.77847222222</v>
      </c>
      <c r="AI1648" s="3" t="n">
        <v>46321.78055555555</v>
      </c>
      <c r="AJ1648" s="2" t="inlineStr"/>
    </row>
    <row r="1649">
      <c r="A1649" s="2" t="n">
        <v>1648</v>
      </c>
      <c r="B1649" s="2" t="inlineStr">
        <is>
          <t>1556C</t>
        </is>
      </c>
      <c r="C1649" s="3" t="n">
        <v>45968.64236111111</v>
      </c>
      <c r="D1649" s="2" t="inlineStr">
        <is>
          <t>Original</t>
        </is>
      </c>
      <c r="E1649" s="2" t="inlineStr">
        <is>
          <t>CH</t>
        </is>
      </c>
      <c r="F164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49" s="2" t="inlineStr">
        <is>
          <t>Art. 136.º-A (aditamento)</t>
        </is>
      </c>
      <c r="H1649" s="2" t="n"/>
      <c r="I1649" s="2" t="n"/>
      <c r="J1649" s="2" t="n"/>
      <c r="K1649" s="2" t="n"/>
      <c r="L1649" s="2" t="inlineStr">
        <is>
          <t>Artigo 136.º-A (Processo concursal para a construção da escola de 2.º e 3.º ciclo na vila Famões, concelho de Odivelas)</t>
        </is>
      </c>
      <c r="M1649" s="4" t="n"/>
      <c r="N1649" s="4" t="n"/>
      <c r="O1649" s="2" t="n"/>
      <c r="P1649" s="2" t="n"/>
      <c r="Q1649" s="2" t="n"/>
      <c r="R1649" s="2" t="n"/>
      <c r="S1649" s="2" t="inlineStr">
        <is>
          <t>Rejeitado(a) em Comissão</t>
        </is>
      </c>
      <c r="T1649" s="2" t="inlineStr">
        <is>
          <t>Rejeitada</t>
        </is>
      </c>
      <c r="U1649" s="2" t="inlineStr">
        <is>
          <t>Favor: CH, IL, BE; Contra: PSD, CDS-PP, PAN; Abstenção: PS, L, PCP</t>
        </is>
      </c>
      <c r="V1649" s="3" t="n">
        <v>45987</v>
      </c>
      <c r="W1649" s="2" t="inlineStr">
        <is>
          <t>AR: https://www.parlamento.pt/OrcamentoEstado/Paginas/DetalhePropostaAlteracao.aspx?BID=24804 PDF: https://app.parlamento.pt/webutils/docs/doc.pdf?path=6148523063484d364c793942556b356c6443397a6158526c63793959566b6c4a544556484c3039464c7a49774d6a59794d4449314d5441774f533951515338774e4463324d6d4e6a5a43316b5a4749304c545178597a51744f4452694d6930345a575a6c5a446b775a545268596d45756347526d&amp;Fich=04762ccd-ddb4-41c4-84b2-8efed90e4aba.pdf&amp;Inline=true</t>
        </is>
      </c>
      <c r="X1649" s="2" t="inlineStr">
        <is>
          <t>Educação e Ciência</t>
        </is>
      </c>
      <c r="Y1649" s="2" t="inlineStr">
        <is>
          <t>Articulado</t>
        </is>
      </c>
      <c r="Z1649" s="2" t="inlineStr">
        <is>
          <t>Aditamento (Artigo PPL)</t>
        </is>
      </c>
      <c r="AA1649" s="2" t="inlineStr">
        <is>
          <t>Rejeitado(a) em Comissão</t>
        </is>
      </c>
      <c r="AB1649" s="2" t="inlineStr"/>
      <c r="AC1649" s="2" t="inlineStr"/>
      <c r="AD1649" s="2" t="inlineStr">
        <is>
          <t>1</t>
        </is>
      </c>
      <c r="AE1649" s="2" t="inlineStr">
        <is>
          <t>24804</t>
        </is>
      </c>
      <c r="AF1649" s="2" t="inlineStr">
        <is>
          <t>https://www.parlamento.pt/OrcamentoEstado/Paginas/DetalhePropostaAlteracao.aspx?BID=24804</t>
        </is>
      </c>
      <c r="AG1649" s="2" t="inlineStr">
        <is>
          <t>https://app.parlamento.pt/webutils/docs/doc.pdf?path=6148523063484d364c793942556b356c6443397a6158526c63793959566b6c4a544556484c3039464c7a49774d6a59794d4449314d5441774f533951515338774e4463324d6d4e6a5a43316b5a4749304c545178597a51744f4452694d6930345a575a6c5a446b775a545268596d45756347526d&amp;Fich=04762ccd-ddb4-41c4-84b2-8efed90e4aba.pdf&amp;Inline=true</t>
        </is>
      </c>
      <c r="AH1649" s="3" t="n">
        <v>46321.77847222222</v>
      </c>
      <c r="AI1649" s="3" t="n">
        <v>46321.78055555555</v>
      </c>
      <c r="AJ1649" s="2" t="inlineStr"/>
    </row>
    <row r="1650">
      <c r="A1650" s="2" t="n">
        <v>1649</v>
      </c>
      <c r="B1650" s="2" t="inlineStr">
        <is>
          <t>1557C</t>
        </is>
      </c>
      <c r="C1650" s="3" t="n">
        <v>45968.64236111111</v>
      </c>
      <c r="D1650" s="2" t="inlineStr">
        <is>
          <t>Original</t>
        </is>
      </c>
      <c r="E1650" s="2" t="inlineStr">
        <is>
          <t>PS</t>
        </is>
      </c>
      <c r="F1650" s="2" t="inlineStr">
        <is>
          <t>António Mendonça Mendes; Eurico Brilhante Dias; José Luís Carneiro; Mariana Vieira da Silva; Marina Gonçalves; Miguel Matos; Susana Correia</t>
        </is>
      </c>
      <c r="G1650" s="2" t="inlineStr">
        <is>
          <t>Art. 119.º-A (aditamento)</t>
        </is>
      </c>
      <c r="H1650" s="2" t="n"/>
      <c r="I1650" s="2" t="n"/>
      <c r="J1650" s="2" t="n"/>
      <c r="K1650" s="2" t="n"/>
      <c r="L1650" s="2" t="inlineStr">
        <is>
          <t>Artigo 119.º-A (Promoção da Saúde e Prevenção da Doença)</t>
        </is>
      </c>
      <c r="M1650" s="4" t="n"/>
      <c r="N1650" s="4" t="n"/>
      <c r="O1650" s="2" t="n"/>
      <c r="P1650" s="2" t="n"/>
      <c r="Q1650" s="2" t="n"/>
      <c r="R1650" s="2" t="n"/>
      <c r="S1650" s="2" t="inlineStr">
        <is>
          <t>Rejeitado(a) em Comissão</t>
        </is>
      </c>
      <c r="T1650" s="2" t="inlineStr">
        <is>
          <t>Rejeitada</t>
        </is>
      </c>
      <c r="U1650" s="2" t="inlineStr">
        <is>
          <t>Favor: PS, L, PCP, BE, PAN; Contra: PSD, CDS-PP; Abstenção: CH, IL</t>
        </is>
      </c>
      <c r="V1650" s="3" t="n">
        <v>45985</v>
      </c>
      <c r="W1650" s="2" t="inlineStr">
        <is>
          <t>AR: https://www.parlamento.pt/OrcamentoEstado/Paginas/DetalhePropostaAlteracao.aspx?BID=24805 PDF: https://app.parlamento.pt/webutils/docs/doc.pdf?path=6148523063484d364c793942556b356c6443397a6158526c63793959566b6c4a544556484c3039464c7a49774d6a59794d4449314d5441774f533951515339684e444179596a51775a5330784e3255784c5451774e5449744f445a6d4d7930304e445a6c4d3259325a5467344d6a67756347526d&amp;Fich=a402b40e-17e1-4052-86f3-446e3f6e8828.pdf&amp;Inline=true</t>
        </is>
      </c>
      <c r="X1650" s="2" t="inlineStr">
        <is>
          <t>Orçamento, Finanças e Administração Pública; Saúde</t>
        </is>
      </c>
      <c r="Y1650" s="2" t="inlineStr">
        <is>
          <t>Articulado</t>
        </is>
      </c>
      <c r="Z1650" s="2" t="inlineStr">
        <is>
          <t>Aditamento (Artigo PPL)</t>
        </is>
      </c>
      <c r="AA1650" s="2" t="inlineStr">
        <is>
          <t>Rejeitado(a) em Comissão</t>
        </is>
      </c>
      <c r="AB1650" s="2" t="inlineStr"/>
      <c r="AC1650" s="2" t="inlineStr"/>
      <c r="AD1650" s="2" t="inlineStr">
        <is>
          <t>1</t>
        </is>
      </c>
      <c r="AE1650" s="2" t="inlineStr">
        <is>
          <t>24805</t>
        </is>
      </c>
      <c r="AF1650" s="2" t="inlineStr">
        <is>
          <t>https://www.parlamento.pt/OrcamentoEstado/Paginas/DetalhePropostaAlteracao.aspx?BID=24805</t>
        </is>
      </c>
      <c r="AG1650" s="2" t="inlineStr">
        <is>
          <t>https://app.parlamento.pt/webutils/docs/doc.pdf?path=6148523063484d364c793942556b356c6443397a6158526c63793959566b6c4a544556484c3039464c7a49774d6a59794d4449314d5441774f533951515339684e444179596a51775a5330784e3255784c5451774e5449744f445a6d4d7930304e445a6c4d3259325a5467344d6a67756347526d&amp;Fich=a402b40e-17e1-4052-86f3-446e3f6e8828.pdf&amp;Inline=true</t>
        </is>
      </c>
      <c r="AH1650" s="3" t="n">
        <v>46321.77847222222</v>
      </c>
      <c r="AI1650" s="3" t="n">
        <v>46321.78055555555</v>
      </c>
      <c r="AJ1650" s="2" t="inlineStr"/>
    </row>
    <row r="1651">
      <c r="A1651" s="2" t="n">
        <v>1650</v>
      </c>
      <c r="B1651" s="2" t="inlineStr">
        <is>
          <t>1558C</t>
        </is>
      </c>
      <c r="C1651" s="3" t="n">
        <v>45968.64305555556</v>
      </c>
      <c r="D1651" s="2" t="inlineStr">
        <is>
          <t>Original</t>
        </is>
      </c>
      <c r="E1651" s="2" t="inlineStr">
        <is>
          <t>CH</t>
        </is>
      </c>
      <c r="F165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51" s="2" t="inlineStr">
        <is>
          <t>Art. 136.º-A (aditamento)</t>
        </is>
      </c>
      <c r="H1651" s="2" t="n"/>
      <c r="I1651" s="2" t="n"/>
      <c r="J1651" s="2" t="n"/>
      <c r="K1651" s="2" t="n"/>
      <c r="L1651" s="2" t="inlineStr">
        <is>
          <t>Artigo 136.º-A (Reabertura da Estação de Ferroviária de São Marcos da Serra, no Concelho de Silves)</t>
        </is>
      </c>
      <c r="M1651" s="4" t="n"/>
      <c r="N1651" s="4" t="n"/>
      <c r="O1651" s="2" t="n"/>
      <c r="P1651" s="2" t="n"/>
      <c r="Q1651" s="2" t="n"/>
      <c r="R1651" s="2" t="n"/>
      <c r="S1651" s="2" t="inlineStr">
        <is>
          <t>Rejeitado(a) em Comissão</t>
        </is>
      </c>
      <c r="T1651" s="2" t="inlineStr">
        <is>
          <t>Rejeitada</t>
        </is>
      </c>
      <c r="U1651" s="2" t="inlineStr">
        <is>
          <t>Favor: CH, BE, PAN; Contra: PSD, CDS-PP; Abstenção: PS, IL, L, PCP</t>
        </is>
      </c>
      <c r="V1651" s="3" t="n">
        <v>45987</v>
      </c>
      <c r="W1651" s="2" t="inlineStr">
        <is>
          <t>AR: https://www.parlamento.pt/OrcamentoEstado/Paginas/DetalhePropostaAlteracao.aspx?BID=24806 PDF: https://app.parlamento.pt/webutils/docs/doc.pdf?path=6148523063484d364c793942556b356c6443397a6158526c63793959566b6c4a544556484c3039464c7a49774d6a59794d4449314d5441774f533951515338314e6d51344d325a6b4e4331695a446b324c5452694e444d744f5751324d53316b4d574d314e7a55354e4751334d6a55756347526d&amp;Fich=56d83fd4-bd96-4b43-9d61-d1c57594d725.pdf&amp;Inline=true</t>
        </is>
      </c>
      <c r="X1651" s="2" t="inlineStr">
        <is>
          <t>Infraestruturas, Mobilidade e Habitação</t>
        </is>
      </c>
      <c r="Y1651" s="2" t="inlineStr">
        <is>
          <t>Articulado</t>
        </is>
      </c>
      <c r="Z1651" s="2" t="inlineStr">
        <is>
          <t>Aditamento (Artigo PPL)</t>
        </is>
      </c>
      <c r="AA1651" s="2" t="inlineStr">
        <is>
          <t>Rejeitado(a) em Comissão</t>
        </is>
      </c>
      <c r="AB1651" s="2" t="inlineStr"/>
      <c r="AC1651" s="2" t="inlineStr"/>
      <c r="AD1651" s="2" t="inlineStr">
        <is>
          <t>1</t>
        </is>
      </c>
      <c r="AE1651" s="2" t="inlineStr">
        <is>
          <t>24806</t>
        </is>
      </c>
      <c r="AF1651" s="2" t="inlineStr">
        <is>
          <t>https://www.parlamento.pt/OrcamentoEstado/Paginas/DetalhePropostaAlteracao.aspx?BID=24806</t>
        </is>
      </c>
      <c r="AG1651" s="2" t="inlineStr">
        <is>
          <t>https://app.parlamento.pt/webutils/docs/doc.pdf?path=6148523063484d364c793942556b356c6443397a6158526c63793959566b6c4a544556484c3039464c7a49774d6a59794d4449314d5441774f533951515338314e6d51344d325a6b4e4331695a446b324c5452694e444d744f5751324d53316b4d574d314e7a55354e4751334d6a55756347526d&amp;Fich=56d83fd4-bd96-4b43-9d61-d1c57594d725.pdf&amp;Inline=true</t>
        </is>
      </c>
      <c r="AH1651" s="3" t="n">
        <v>46321.77847222222</v>
      </c>
      <c r="AI1651" s="3" t="n">
        <v>46321.78055555555</v>
      </c>
      <c r="AJ1651" s="2" t="inlineStr"/>
    </row>
    <row r="1652">
      <c r="A1652" s="2" t="n">
        <v>1651</v>
      </c>
      <c r="B1652" s="2" t="inlineStr">
        <is>
          <t>1559C</t>
        </is>
      </c>
      <c r="C1652" s="3" t="n">
        <v>45968.64305555556</v>
      </c>
      <c r="D1652" s="2" t="inlineStr">
        <is>
          <t>Original</t>
        </is>
      </c>
      <c r="E1652" s="2" t="inlineStr">
        <is>
          <t>CH</t>
        </is>
      </c>
      <c r="F165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52" s="2" t="inlineStr">
        <is>
          <t>Art. 136.º-A (aditamento)</t>
        </is>
      </c>
      <c r="H1652" s="2" t="n"/>
      <c r="I1652" s="2" t="n"/>
      <c r="J1652" s="2" t="n"/>
      <c r="K1652" s="2" t="n"/>
      <c r="L1652" s="2" t="inlineStr">
        <is>
          <t>Artigo 136.º-A (Fundo estratégico para o desenvolvimento das rádios locais)</t>
        </is>
      </c>
      <c r="M1652" s="4" t="n"/>
      <c r="N1652" s="4" t="n"/>
      <c r="O1652" s="2" t="n"/>
      <c r="P1652" s="2" t="n"/>
      <c r="Q1652" s="2" t="n"/>
      <c r="R1652" s="2" t="n"/>
      <c r="S1652" s="2" t="inlineStr">
        <is>
          <t>Rejeitado(a) em Comissão</t>
        </is>
      </c>
      <c r="T1652" s="2" t="inlineStr">
        <is>
          <t>Rejeitada</t>
        </is>
      </c>
      <c r="U1652" s="2" t="inlineStr">
        <is>
          <t>Favor: CH, BE, PAN; Contra: PSD, IL, CDS-PP; Abstenção: PS, PCP</t>
        </is>
      </c>
      <c r="V1652" s="3" t="n">
        <v>45987</v>
      </c>
      <c r="W1652" s="2" t="inlineStr">
        <is>
          <t>AR: https://www.parlamento.pt/OrcamentoEstado/Paginas/DetalhePropostaAlteracao.aspx?BID=24807 PDF: https://app.parlamento.pt/webutils/docs/doc.pdf?path=6148523063484d364c793942556b356c6443397a6158526c63793959566b6c4a544556484c3039464c7a49774d6a59794d4449314d5441774f5339515153396d597a45774e6a4d344d7930304d6a6b7a4c54517a5a6a6b744f546b304f5330345a6a6b334e54686c5a445a6c4e6d55756347526d&amp;Fich=fc106383-4293-43f9-9949-8f9758ed6e6e.pdf&amp;Inline=true</t>
        </is>
      </c>
      <c r="X1652" s="2" t="inlineStr">
        <is>
          <t>Cultura, Comunicação, Juventude e Desporto</t>
        </is>
      </c>
      <c r="Y1652" s="2" t="inlineStr">
        <is>
          <t>Articulado</t>
        </is>
      </c>
      <c r="Z1652" s="2" t="inlineStr">
        <is>
          <t>Aditamento (Artigo PPL)</t>
        </is>
      </c>
      <c r="AA1652" s="2" t="inlineStr">
        <is>
          <t>Rejeitado(a) em Comissão</t>
        </is>
      </c>
      <c r="AB1652" s="2" t="inlineStr"/>
      <c r="AC1652" s="2" t="inlineStr"/>
      <c r="AD1652" s="2" t="inlineStr">
        <is>
          <t>1</t>
        </is>
      </c>
      <c r="AE1652" s="2" t="inlineStr">
        <is>
          <t>24807</t>
        </is>
      </c>
      <c r="AF1652" s="2" t="inlineStr">
        <is>
          <t>https://www.parlamento.pt/OrcamentoEstado/Paginas/DetalhePropostaAlteracao.aspx?BID=24807</t>
        </is>
      </c>
      <c r="AG1652" s="2" t="inlineStr">
        <is>
          <t>https://app.parlamento.pt/webutils/docs/doc.pdf?path=6148523063484d364c793942556b356c6443397a6158526c63793959566b6c4a544556484c3039464c7a49774d6a59794d4449314d5441774f5339515153396d597a45774e6a4d344d7930304d6a6b7a4c54517a5a6a6b744f546b304f5330345a6a6b334e54686c5a445a6c4e6d55756347526d&amp;Fich=fc106383-4293-43f9-9949-8f9758ed6e6e.pdf&amp;Inline=true</t>
        </is>
      </c>
      <c r="AH1652" s="3" t="n">
        <v>46321.77847222222</v>
      </c>
      <c r="AI1652" s="3" t="n">
        <v>46321.78055555555</v>
      </c>
      <c r="AJ1652" s="2" t="inlineStr"/>
    </row>
    <row r="1653">
      <c r="A1653" s="2" t="n">
        <v>1652</v>
      </c>
      <c r="B1653" s="2" t="inlineStr">
        <is>
          <t>1560C</t>
        </is>
      </c>
      <c r="C1653" s="3" t="n">
        <v>45968.64305555556</v>
      </c>
      <c r="D1653" s="2" t="inlineStr">
        <is>
          <t>Original</t>
        </is>
      </c>
      <c r="E1653" s="2" t="inlineStr">
        <is>
          <t>Vários</t>
        </is>
      </c>
      <c r="F1653" s="2" t="inlineStr">
        <is>
          <t>Alberto Fonseca; Alexandre Poço; Francisco Covelinhas Lopes; Francisco Pimentel; Gonçalo Lage; Hugo Carneiro; Hugo Soares; Nuna Menezes; Paulo Moniz; João Pinho de Almeida; Paulo Núncio</t>
        </is>
      </c>
      <c r="G1653" s="2" t="inlineStr">
        <is>
          <t>Art. 112.º-A (aditamento)</t>
        </is>
      </c>
      <c r="H1653" s="2" t="n"/>
      <c r="I1653" s="2" t="n"/>
      <c r="J1653" s="2" t="n"/>
      <c r="K1653" s="2" t="n"/>
      <c r="L1653" s="2" t="inlineStr">
        <is>
          <t>Artigo 112.º-A (Obrigações de serviço público de transporte aéreo de carga para a Região Autónoma dos Açores)</t>
        </is>
      </c>
      <c r="M1653" s="4" t="n"/>
      <c r="N1653" s="4" t="n"/>
      <c r="O1653" s="2" t="n"/>
      <c r="P1653" s="2" t="n"/>
      <c r="Q1653" s="2" t="n"/>
      <c r="R1653" s="2" t="n"/>
      <c r="S1653" s="2" t="inlineStr">
        <is>
          <t>Aprovado(a) em Plenário</t>
        </is>
      </c>
      <c r="T1653" s="2" t="inlineStr">
        <is>
          <t>Aprovada</t>
        </is>
      </c>
      <c r="U1653" s="2" t="inlineStr">
        <is>
          <t>Favor: PSD, CH, IL, PCP, CDS-PP, BE, PAN, JPP; Abstenção: PS, L</t>
        </is>
      </c>
      <c r="V1653" s="3" t="n">
        <v>45985</v>
      </c>
      <c r="W1653" s="2" t="inlineStr">
        <is>
          <t>Avocada a Plenário. AR: https://www.parlamento.pt/OrcamentoEstado/Paginas/DetalhePropostaAlteracao.aspx?BID=24808 PDF: https://app.parlamento.pt/webutils/docs/doc.pdf?path=6148523063484d364c793942556b356c6443397a6158526c63793959566b6c4a544556484c3039464c7a49774d6a59794d4449314d5441774f533951515338324d7a52695954466a4d6930794e474d324c5451784d7a45744f4755355a69316a4f5455795a4745315a6a63325a5745756347526d&amp;Fich=634ba1c2-24c6-4131-8e9f-c952da5f76ea.pdf&amp;Inline=true</t>
        </is>
      </c>
      <c r="X1653" s="2" t="inlineStr">
        <is>
          <t>Infraestruturas, Mobilidade e Habitação</t>
        </is>
      </c>
      <c r="Y1653" s="2" t="inlineStr">
        <is>
          <t>Articulado</t>
        </is>
      </c>
      <c r="Z1653" s="2" t="inlineStr">
        <is>
          <t>Aditamento (Artigo PPL)</t>
        </is>
      </c>
      <c r="AA1653" s="2" t="inlineStr">
        <is>
          <t>Aprovado(a) em Plenário</t>
        </is>
      </c>
      <c r="AB1653" s="2" t="inlineStr">
        <is>
          <t>S</t>
        </is>
      </c>
      <c r="AC1653" s="2" t="inlineStr"/>
      <c r="AD1653" s="2" t="inlineStr">
        <is>
          <t>2</t>
        </is>
      </c>
      <c r="AE1653" s="2" t="inlineStr">
        <is>
          <t>24808</t>
        </is>
      </c>
      <c r="AF1653" s="2" t="inlineStr">
        <is>
          <t>https://www.parlamento.pt/OrcamentoEstado/Paginas/DetalhePropostaAlteracao.aspx?BID=24808</t>
        </is>
      </c>
      <c r="AG1653" s="2" t="inlineStr">
        <is>
          <t>https://app.parlamento.pt/webutils/docs/doc.pdf?path=6148523063484d364c793942556b356c6443397a6158526c63793959566b6c4a544556484c3039464c7a49774d6a59794d4449314d5441774f533951515338324d7a52695954466a4d6930794e474d324c5451784d7a45744f4755355a69316a4f5455795a4745315a6a63325a5745756347526d&amp;Fich=634ba1c2-24c6-4131-8e9f-c952da5f76ea.pdf&amp;Inline=true</t>
        </is>
      </c>
      <c r="AH1653" s="3" t="n">
        <v>46321.77847222222</v>
      </c>
      <c r="AI1653" s="3" t="n">
        <v>46321.78055555555</v>
      </c>
      <c r="AJ1653" s="2" t="inlineStr"/>
    </row>
    <row r="1654">
      <c r="A1654" s="2" t="n">
        <v>1653</v>
      </c>
      <c r="B1654" s="2" t="inlineStr">
        <is>
          <t>1561C</t>
        </is>
      </c>
      <c r="C1654" s="3" t="n">
        <v>45968.64305555556</v>
      </c>
      <c r="D1654" s="2" t="inlineStr">
        <is>
          <t>Original</t>
        </is>
      </c>
      <c r="E1654" s="2" t="inlineStr">
        <is>
          <t>PS</t>
        </is>
      </c>
      <c r="F1654" s="2" t="inlineStr">
        <is>
          <t>António Mendonça Mendes; Eurico Brilhante Dias; José Luís Carneiro; Mariana Vieira da Silva; Marina Gonçalves; Miguel Matos; Susana Correia</t>
        </is>
      </c>
      <c r="G1654" s="2" t="inlineStr">
        <is>
          <t>Art. 119.º-A (aditamento)</t>
        </is>
      </c>
      <c r="H1654" s="2" t="n"/>
      <c r="I1654" s="2" t="n"/>
      <c r="J1654" s="2" t="n"/>
      <c r="K1654" s="2" t="n"/>
      <c r="L1654" s="2" t="inlineStr">
        <is>
          <t>Artigo 119.º-A (Reforço dos Cuidados Paliativos Comunitários)</t>
        </is>
      </c>
      <c r="M1654" s="4" t="n"/>
      <c r="N1654" s="4" t="n"/>
      <c r="O1654" s="2" t="n"/>
      <c r="P1654" s="2" t="n"/>
      <c r="Q1654" s="2" t="n"/>
      <c r="R1654" s="2" t="n"/>
      <c r="S1654" s="2" t="inlineStr">
        <is>
          <t>Rejeitado(a) em Comissão</t>
        </is>
      </c>
      <c r="T1654" s="2" t="inlineStr">
        <is>
          <t>Rejeitada</t>
        </is>
      </c>
      <c r="U1654" s="2" t="inlineStr">
        <is>
          <t>Favor: PS, IL, L, PCP, BE, PAN; Contra: PSD; Abstenção: CH, CDS-PP</t>
        </is>
      </c>
      <c r="V1654" s="3" t="n">
        <v>45985</v>
      </c>
      <c r="W1654" s="2" t="inlineStr">
        <is>
          <t>AR: https://www.parlamento.pt/OrcamentoEstado/Paginas/DetalhePropostaAlteracao.aspx?BID=24809 PDF: https://app.parlamento.pt/webutils/docs/doc.pdf?path=6148523063484d364c793942556b356c6443397a6158526c63793959566b6c4a544556484c3039464c7a49774d6a59794d4449314d5441774f5339515153387a5a6d55355a574a6d4d5330334e7a49794c5451774f574574596a566d595330334e6d5577596a59314e6d4e694f5451756347526d&amp;Fich=3fe9ebf1-7722-409a-b5fa-76e0b656cb94.pdf&amp;Inline=true</t>
        </is>
      </c>
      <c r="X1654" s="2" t="inlineStr">
        <is>
          <t>Orçamento, Finanças e Administração Pública; Saúde</t>
        </is>
      </c>
      <c r="Y1654" s="2" t="inlineStr">
        <is>
          <t>Articulado</t>
        </is>
      </c>
      <c r="Z1654" s="2" t="inlineStr">
        <is>
          <t>Aditamento (Artigo PPL)</t>
        </is>
      </c>
      <c r="AA1654" s="2" t="inlineStr">
        <is>
          <t>Rejeitado(a) em Comissão</t>
        </is>
      </c>
      <c r="AB1654" s="2" t="inlineStr"/>
      <c r="AC1654" s="2" t="inlineStr"/>
      <c r="AD1654" s="2" t="inlineStr">
        <is>
          <t>1</t>
        </is>
      </c>
      <c r="AE1654" s="2" t="inlineStr">
        <is>
          <t>24809</t>
        </is>
      </c>
      <c r="AF1654" s="2" t="inlineStr">
        <is>
          <t>https://www.parlamento.pt/OrcamentoEstado/Paginas/DetalhePropostaAlteracao.aspx?BID=24809</t>
        </is>
      </c>
      <c r="AG1654" s="2" t="inlineStr">
        <is>
          <t>https://app.parlamento.pt/webutils/docs/doc.pdf?path=6148523063484d364c793942556b356c6443397a6158526c63793959566b6c4a544556484c3039464c7a49774d6a59794d4449314d5441774f5339515153387a5a6d55355a574a6d4d5330334e7a49794c5451774f574574596a566d595330334e6d5577596a59314e6d4e694f5451756347526d&amp;Fich=3fe9ebf1-7722-409a-b5fa-76e0b656cb94.pdf&amp;Inline=true</t>
        </is>
      </c>
      <c r="AH1654" s="3" t="n">
        <v>46321.77847222222</v>
      </c>
      <c r="AI1654" s="3" t="n">
        <v>46321.78055555555</v>
      </c>
      <c r="AJ1654" s="2" t="inlineStr"/>
    </row>
    <row r="1655">
      <c r="A1655" s="2" t="n">
        <v>1654</v>
      </c>
      <c r="B1655" s="2" t="inlineStr">
        <is>
          <t>1562C</t>
        </is>
      </c>
      <c r="C1655" s="3" t="n">
        <v>45968.64375</v>
      </c>
      <c r="D1655" s="2" t="inlineStr">
        <is>
          <t>Original</t>
        </is>
      </c>
      <c r="E1655" s="2" t="inlineStr">
        <is>
          <t>CH</t>
        </is>
      </c>
      <c r="F165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55" s="2" t="inlineStr">
        <is>
          <t>Art. 136.º-A (aditamento)</t>
        </is>
      </c>
      <c r="H1655" s="2" t="n"/>
      <c r="I1655" s="2" t="n"/>
      <c r="J1655" s="2" t="n"/>
      <c r="K1655" s="2" t="n"/>
      <c r="L1655" s="2" t="inlineStr">
        <is>
          <t>Artigo 136.º-A (Reabilitação da Ponte de Cepelos (ER227)- Vale de Cambra)</t>
        </is>
      </c>
      <c r="M1655" s="4" t="n"/>
      <c r="N1655" s="4" t="n"/>
      <c r="O1655" s="2" t="n"/>
      <c r="P1655" s="2" t="n"/>
      <c r="Q1655" s="2" t="n"/>
      <c r="R1655" s="2" t="n"/>
      <c r="S1655" s="2" t="inlineStr">
        <is>
          <t>Rejeitado(a) em Comissão</t>
        </is>
      </c>
      <c r="T1655" s="2" t="inlineStr">
        <is>
          <t>Rejeitada</t>
        </is>
      </c>
      <c r="U1655" s="2" t="inlineStr">
        <is>
          <t>Favor: CH, CDS-PP, BE; Contra: PSD; Abstenção: PS, IL, L, PCP, PAN</t>
        </is>
      </c>
      <c r="V1655" s="3" t="n">
        <v>45987</v>
      </c>
      <c r="W1655" s="2" t="inlineStr">
        <is>
          <t>AR: https://www.parlamento.pt/OrcamentoEstado/Paginas/DetalhePropostaAlteracao.aspx?BID=24810 PDF: https://app.parlamento.pt/webutils/docs/doc.pdf?path=6148523063484d364c793942556b356c6443397a6158526c63793959566b6c4a544556484c3039464c7a49774d6a59794d4449314d5441774f5339515153396a4f4745304e4449785969316d4e4751354c54526c4e574d745954466c4d7930344d6a4e6a4f444e695a44426a5a4751756347526d&amp;Fich=c8a4421b-f4d9-4e5c-a1e3-823c83bd0cdd.pdf&amp;Inline=true</t>
        </is>
      </c>
      <c r="X1655" s="2" t="inlineStr">
        <is>
          <t>Infraestruturas, Mobilidade e Habitação</t>
        </is>
      </c>
      <c r="Y1655" s="2" t="inlineStr">
        <is>
          <t>Articulado</t>
        </is>
      </c>
      <c r="Z1655" s="2" t="inlineStr">
        <is>
          <t>Aditamento (Artigo PPL)</t>
        </is>
      </c>
      <c r="AA1655" s="2" t="inlineStr">
        <is>
          <t>Rejeitado(a) em Comissão</t>
        </is>
      </c>
      <c r="AB1655" s="2" t="inlineStr"/>
      <c r="AC1655" s="2" t="inlineStr"/>
      <c r="AD1655" s="2" t="inlineStr">
        <is>
          <t>1</t>
        </is>
      </c>
      <c r="AE1655" s="2" t="inlineStr">
        <is>
          <t>24810</t>
        </is>
      </c>
      <c r="AF1655" s="2" t="inlineStr">
        <is>
          <t>https://www.parlamento.pt/OrcamentoEstado/Paginas/DetalhePropostaAlteracao.aspx?BID=24810</t>
        </is>
      </c>
      <c r="AG1655" s="2" t="inlineStr">
        <is>
          <t>https://app.parlamento.pt/webutils/docs/doc.pdf?path=6148523063484d364c793942556b356c6443397a6158526c63793959566b6c4a544556484c3039464c7a49774d6a59794d4449314d5441774f5339515153396a4f4745304e4449785969316d4e4751354c54526c4e574d745954466c4d7930344d6a4e6a4f444e695a44426a5a4751756347526d&amp;Fich=c8a4421b-f4d9-4e5c-a1e3-823c83bd0cdd.pdf&amp;Inline=true</t>
        </is>
      </c>
      <c r="AH1655" s="3" t="n">
        <v>46321.77847222222</v>
      </c>
      <c r="AI1655" s="3" t="n">
        <v>46321.78055555555</v>
      </c>
      <c r="AJ1655" s="2" t="inlineStr"/>
    </row>
    <row r="1656">
      <c r="A1656" s="2" t="n">
        <v>1655</v>
      </c>
      <c r="B1656" s="2" t="inlineStr">
        <is>
          <t>1563C</t>
        </is>
      </c>
      <c r="C1656" s="3" t="n">
        <v>45968.64375</v>
      </c>
      <c r="D1656" s="2" t="inlineStr">
        <is>
          <t>Original</t>
        </is>
      </c>
      <c r="E1656" s="2" t="inlineStr">
        <is>
          <t>CH</t>
        </is>
      </c>
      <c r="F165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56" s="2" t="inlineStr">
        <is>
          <t>Art. 136.º-A (aditamento)</t>
        </is>
      </c>
      <c r="H1656" s="2" t="n"/>
      <c r="I1656" s="2" t="n"/>
      <c r="J1656" s="2" t="n"/>
      <c r="K1656" s="2" t="n"/>
      <c r="L1656" s="2" t="inlineStr">
        <is>
          <t>Artigo 136.º-A (Programa de promoção e divulgação do dialeto Barranquenho)</t>
        </is>
      </c>
      <c r="M1656" s="4" t="n"/>
      <c r="N1656" s="4" t="n"/>
      <c r="O1656" s="2" t="n"/>
      <c r="P1656" s="2" t="n"/>
      <c r="Q1656" s="2" t="n"/>
      <c r="R1656" s="2" t="n"/>
      <c r="S1656" s="2" t="inlineStr">
        <is>
          <t>Rejeitado(a) em Comissão</t>
        </is>
      </c>
      <c r="T1656" s="2" t="inlineStr">
        <is>
          <t>Rejeitada</t>
        </is>
      </c>
      <c r="U1656" s="2" t="inlineStr">
        <is>
          <t>Favor: CH, BE, PAN; Contra: PSD, IL, CDS-PP; Abstenção: PS, L, PCP</t>
        </is>
      </c>
      <c r="V1656" s="3" t="n">
        <v>45987</v>
      </c>
      <c r="W1656" s="2" t="inlineStr">
        <is>
          <t>AR: https://www.parlamento.pt/OrcamentoEstado/Paginas/DetalhePropostaAlteracao.aspx?BID=24811 PDF: https://app.parlamento.pt/webutils/docs/doc.pdf?path=6148523063484d364c793942556b356c6443397a6158526c63793959566b6c4a544556484c3039464c7a49774d6a59794d4449314d5441774f533951515338325a6d4d355a4441785a6931684e5441794c54526d4f575974596a4d344e6930325932466c4d4463304e6a526a596a4d756347526d&amp;Fich=6fc9d01f-a502-4f9f-b386-6cae07464cb3.pdf&amp;Inline=true</t>
        </is>
      </c>
      <c r="X1656" s="2" t="inlineStr">
        <is>
          <t>Cultura, Comunicação, Juventude e Desporto</t>
        </is>
      </c>
      <c r="Y1656" s="2" t="inlineStr">
        <is>
          <t>Articulado</t>
        </is>
      </c>
      <c r="Z1656" s="2" t="inlineStr">
        <is>
          <t>Aditamento (Artigo PPL)</t>
        </is>
      </c>
      <c r="AA1656" s="2" t="inlineStr">
        <is>
          <t>Rejeitado(a) em Comissão</t>
        </is>
      </c>
      <c r="AB1656" s="2" t="inlineStr"/>
      <c r="AC1656" s="2" t="inlineStr"/>
      <c r="AD1656" s="2" t="inlineStr">
        <is>
          <t>1</t>
        </is>
      </c>
      <c r="AE1656" s="2" t="inlineStr">
        <is>
          <t>24811</t>
        </is>
      </c>
      <c r="AF1656" s="2" t="inlineStr">
        <is>
          <t>https://www.parlamento.pt/OrcamentoEstado/Paginas/DetalhePropostaAlteracao.aspx?BID=24811</t>
        </is>
      </c>
      <c r="AG1656" s="2" t="inlineStr">
        <is>
          <t>https://app.parlamento.pt/webutils/docs/doc.pdf?path=6148523063484d364c793942556b356c6443397a6158526c63793959566b6c4a544556484c3039464c7a49774d6a59794d4449314d5441774f533951515338325a6d4d355a4441785a6931684e5441794c54526d4f575974596a4d344e6930325932466c4d4463304e6a526a596a4d756347526d&amp;Fich=6fc9d01f-a502-4f9f-b386-6cae07464cb3.pdf&amp;Inline=true</t>
        </is>
      </c>
      <c r="AH1656" s="3" t="n">
        <v>46321.77847222222</v>
      </c>
      <c r="AI1656" s="3" t="n">
        <v>46321.78055555555</v>
      </c>
      <c r="AJ1656" s="2" t="inlineStr"/>
    </row>
    <row r="1657">
      <c r="A1657" s="2" t="n">
        <v>1656</v>
      </c>
      <c r="B1657" s="2" t="inlineStr">
        <is>
          <t>1564C</t>
        </is>
      </c>
      <c r="C1657" s="3" t="n">
        <v>45968.64375</v>
      </c>
      <c r="D1657" s="2" t="inlineStr">
        <is>
          <t>Original</t>
        </is>
      </c>
      <c r="E1657" s="2" t="inlineStr">
        <is>
          <t>BE</t>
        </is>
      </c>
      <c r="F1657" s="2" t="inlineStr">
        <is>
          <t>Mariana Mortágua</t>
        </is>
      </c>
      <c r="G1657" s="2" t="inlineStr">
        <is>
          <t>Art. 60.º (substituição)</t>
        </is>
      </c>
      <c r="H1657" s="2" t="n"/>
      <c r="I1657" s="2" t="n"/>
      <c r="J1657" s="2" t="n"/>
      <c r="K1657" s="2" t="n"/>
      <c r="L1657" s="2" t="inlineStr">
        <is>
          <t>Alínea a), N.º 1, Artigo 25.º do Código do IRS</t>
        </is>
      </c>
      <c r="M1657" s="4" t="n"/>
      <c r="N1657" s="4" t="n"/>
      <c r="O1657" s="2" t="n"/>
      <c r="P1657" s="2" t="n"/>
      <c r="Q1657" s="2" t="n"/>
      <c r="R1657" s="2" t="n"/>
      <c r="S1657" s="2" t="inlineStr">
        <is>
          <t>Rejeitado(a) em Comissão</t>
        </is>
      </c>
      <c r="T1657" s="2" t="inlineStr">
        <is>
          <t>Rejeitada</t>
        </is>
      </c>
      <c r="U1657" s="2" t="inlineStr">
        <is>
          <t>Favor: IL, L, PCP, BE, PAN; Contra: PSD, CDS-PP; Abstenção: CH, PS</t>
        </is>
      </c>
      <c r="V1657" s="3" t="n">
        <v>45981</v>
      </c>
      <c r="W1657" s="2" t="inlineStr">
        <is>
          <t>AR: https://www.parlamento.pt/OrcamentoEstado/Paginas/DetalhePropostaAlteracao.aspx?BID=24812 PDF: https://app.parlamento.pt/webutils/docs/doc.pdf?path=6148523063484d364c793942556b356c6443397a6158526c63793959566b6c4a544556484c3039464c7a49774d6a59794d4449314d5441774f5339515153383159544669595455794d6930354e4755324c54526b4e325174596a426a5a5330314d54686a59574a6a4e6a4a6c4d7a45756347526d&amp;Fich=5a1ba522-94e6-4d7d-b0ce-518cabc62e31.pdf&amp;Inline=true</t>
        </is>
      </c>
      <c r="X1657" s="2" t="inlineStr">
        <is>
          <t>Orçamento, Finanças e Administração Pública</t>
        </is>
      </c>
      <c r="Y1657" s="2" t="inlineStr">
        <is>
          <t>Articulado</t>
        </is>
      </c>
      <c r="Z1657" s="2" t="inlineStr">
        <is>
          <t>Substituição</t>
        </is>
      </c>
      <c r="AA1657" s="2" t="inlineStr">
        <is>
          <t>Rejeitado(a) em Comissão</t>
        </is>
      </c>
      <c r="AB1657" s="2" t="inlineStr"/>
      <c r="AC1657" s="2" t="inlineStr"/>
      <c r="AD1657" s="2" t="inlineStr">
        <is>
          <t>1</t>
        </is>
      </c>
      <c r="AE1657" s="2" t="inlineStr">
        <is>
          <t>24812</t>
        </is>
      </c>
      <c r="AF1657" s="2" t="inlineStr">
        <is>
          <t>https://www.parlamento.pt/OrcamentoEstado/Paginas/DetalhePropostaAlteracao.aspx?BID=24812</t>
        </is>
      </c>
      <c r="AG1657" s="2" t="inlineStr">
        <is>
          <t>https://app.parlamento.pt/webutils/docs/doc.pdf?path=6148523063484d364c793942556b356c6443397a6158526c63793959566b6c4a544556484c3039464c7a49774d6a59794d4449314d5441774f5339515153383159544669595455794d6930354e4755324c54526b4e325174596a426a5a5330314d54686a59574a6a4e6a4a6c4d7a45756347526d&amp;Fich=5a1ba522-94e6-4d7d-b0ce-518cabc62e31.pdf&amp;Inline=true</t>
        </is>
      </c>
      <c r="AH1657" s="3" t="n">
        <v>46321.77847222222</v>
      </c>
      <c r="AI1657" s="3" t="n">
        <v>46321.78055555555</v>
      </c>
      <c r="AJ1657" s="2" t="inlineStr"/>
    </row>
    <row r="1658">
      <c r="A1658" s="2" t="n">
        <v>1657</v>
      </c>
      <c r="B1658" s="2" t="inlineStr">
        <is>
          <t>1565C</t>
        </is>
      </c>
      <c r="C1658" s="3" t="n">
        <v>45968.64444444444</v>
      </c>
      <c r="D1658" s="2" t="inlineStr">
        <is>
          <t>Original</t>
        </is>
      </c>
      <c r="E1658" s="2" t="inlineStr">
        <is>
          <t>CH</t>
        </is>
      </c>
      <c r="F165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58" s="2" t="inlineStr">
        <is>
          <t>Art. 136.º-A (aditamento)</t>
        </is>
      </c>
      <c r="H1658" s="2" t="n"/>
      <c r="I1658" s="2" t="n"/>
      <c r="J1658" s="2" t="n"/>
      <c r="K1658" s="2" t="n"/>
      <c r="L1658" s="2" t="inlineStr">
        <is>
          <t>Artigo 136.º-A (Valorização de resíduos florestais e oportunidades de crescimento económico)</t>
        </is>
      </c>
      <c r="M1658" s="4" t="n"/>
      <c r="N1658" s="4" t="n"/>
      <c r="O1658" s="2" t="n"/>
      <c r="P1658" s="2" t="n"/>
      <c r="Q1658" s="2" t="n"/>
      <c r="R1658" s="2" t="n"/>
      <c r="S1658" s="2" t="inlineStr">
        <is>
          <t>Rejeitado(a) em Comissão</t>
        </is>
      </c>
      <c r="T1658" s="2" t="inlineStr">
        <is>
          <t>Rejeitada</t>
        </is>
      </c>
      <c r="U1658" s="2" t="inlineStr">
        <is>
          <t>Favor: CH, BE, PAN; Contra: PSD, IL, CDS-PP; Abstenção: PS, L, PCP</t>
        </is>
      </c>
      <c r="V1658" s="3" t="n">
        <v>45987</v>
      </c>
      <c r="W1658" s="2" t="inlineStr">
        <is>
          <t>AR: https://www.parlamento.pt/OrcamentoEstado/Paginas/DetalhePropostaAlteracao.aspx?BID=24813 PDF: https://app.parlamento.pt/webutils/docs/doc.pdf?path=6148523063484d364c793942556b356c6443397a6158526c63793959566b6c4a544556484c3039464c7a49774d6a59794d4449314d5441774f533951515339695a6d4d304e3251355953316b4e4451794c545134593249745954526c59533034593245785a6a51325a4445304e7a63756347526d&amp;Fich=bfc47d9a-d442-48cb-a4ea-8ca1f46d1477.pdf&amp;Inline=true</t>
        </is>
      </c>
      <c r="X1658" s="2" t="inlineStr">
        <is>
          <t>Comissão de Economia e Coesão Territorial</t>
        </is>
      </c>
      <c r="Y1658" s="2" t="inlineStr">
        <is>
          <t>Articulado</t>
        </is>
      </c>
      <c r="Z1658" s="2" t="inlineStr">
        <is>
          <t>Aditamento (Artigo PPL)</t>
        </is>
      </c>
      <c r="AA1658" s="2" t="inlineStr">
        <is>
          <t>Rejeitado(a) em Comissão</t>
        </is>
      </c>
      <c r="AB1658" s="2" t="inlineStr"/>
      <c r="AC1658" s="2" t="inlineStr"/>
      <c r="AD1658" s="2" t="inlineStr">
        <is>
          <t>1</t>
        </is>
      </c>
      <c r="AE1658" s="2" t="inlineStr">
        <is>
          <t>24813</t>
        </is>
      </c>
      <c r="AF1658" s="2" t="inlineStr">
        <is>
          <t>https://www.parlamento.pt/OrcamentoEstado/Paginas/DetalhePropostaAlteracao.aspx?BID=24813</t>
        </is>
      </c>
      <c r="AG1658" s="2" t="inlineStr">
        <is>
          <t>https://app.parlamento.pt/webutils/docs/doc.pdf?path=6148523063484d364c793942556b356c6443397a6158526c63793959566b6c4a544556484c3039464c7a49774d6a59794d4449314d5441774f533951515339695a6d4d304e3251355953316b4e4451794c545134593249745954526c59533034593245785a6a51325a4445304e7a63756347526d&amp;Fich=bfc47d9a-d442-48cb-a4ea-8ca1f46d1477.pdf&amp;Inline=true</t>
        </is>
      </c>
      <c r="AH1658" s="3" t="n">
        <v>46321.77847222222</v>
      </c>
      <c r="AI1658" s="3" t="n">
        <v>46321.78055555555</v>
      </c>
      <c r="AJ1658" s="2" t="inlineStr"/>
    </row>
    <row r="1659">
      <c r="A1659" s="2" t="n">
        <v>1658</v>
      </c>
      <c r="B1659" s="2" t="inlineStr">
        <is>
          <t>1566C</t>
        </is>
      </c>
      <c r="C1659" s="3" t="n">
        <v>45968.64513888889</v>
      </c>
      <c r="D1659" s="2" t="inlineStr">
        <is>
          <t>Original</t>
        </is>
      </c>
      <c r="E1659" s="2" t="inlineStr">
        <is>
          <t>CH</t>
        </is>
      </c>
      <c r="F165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59" s="2" t="inlineStr">
        <is>
          <t>Art. 136.º-A (aditamento)</t>
        </is>
      </c>
      <c r="H1659" s="2" t="n"/>
      <c r="I1659" s="2" t="n"/>
      <c r="J1659" s="2" t="n"/>
      <c r="K1659" s="2" t="n"/>
      <c r="L1659" s="2" t="inlineStr">
        <is>
          <t>Artigo 136.º-A (Atualização da tabela remuneratória da Polícia Marítima)</t>
        </is>
      </c>
      <c r="M1659" s="4" t="n"/>
      <c r="N1659" s="4" t="n"/>
      <c r="O1659" s="2" t="n"/>
      <c r="P1659" s="2" t="n"/>
      <c r="Q1659" s="2" t="n"/>
      <c r="R1659" s="2" t="n"/>
      <c r="S1659" s="2" t="inlineStr">
        <is>
          <t>Rejeitado(a) em Comissão</t>
        </is>
      </c>
      <c r="T1659" s="2" t="inlineStr">
        <is>
          <t>Rejeitada</t>
        </is>
      </c>
      <c r="U1659" s="2" t="inlineStr">
        <is>
          <t>Favor: CH, BE, PAN; Contra: PSD, CDS-PP; Abstenção: PS, IL, L, PCP</t>
        </is>
      </c>
      <c r="V1659" s="3" t="n">
        <v>45987</v>
      </c>
      <c r="W1659" s="2" t="inlineStr">
        <is>
          <t>AR: https://www.parlamento.pt/OrcamentoEstado/Paginas/DetalhePropostaAlteracao.aspx?BID=24814 PDF: https://app.parlamento.pt/webutils/docs/doc.pdf?path=6148523063484d364c793942556b356c6443397a6158526c63793959566b6c4a544556484c3039464c7a49774d6a59794d4449314d5441774f5339515153396a4e5451334f57566b4d69316d595467314c54526d5a57517459544a6c4d7930324e5445334d544d325957517a4e6a51756347526d&amp;Fich=c5479ed2-fa85-4fed-a2e3-6517136ad364.pdf&amp;Inline=true</t>
        </is>
      </c>
      <c r="X1659" s="2" t="inlineStr">
        <is>
          <t>Defesa Nacional</t>
        </is>
      </c>
      <c r="Y1659" s="2" t="inlineStr">
        <is>
          <t>Articulado</t>
        </is>
      </c>
      <c r="Z1659" s="2" t="inlineStr">
        <is>
          <t>Aditamento (Artigo PPL)</t>
        </is>
      </c>
      <c r="AA1659" s="2" t="inlineStr">
        <is>
          <t>Rejeitado(a) em Comissão</t>
        </is>
      </c>
      <c r="AB1659" s="2" t="inlineStr"/>
      <c r="AC1659" s="2" t="inlineStr"/>
      <c r="AD1659" s="2" t="inlineStr">
        <is>
          <t>1</t>
        </is>
      </c>
      <c r="AE1659" s="2" t="inlineStr">
        <is>
          <t>24814</t>
        </is>
      </c>
      <c r="AF1659" s="2" t="inlineStr">
        <is>
          <t>https://www.parlamento.pt/OrcamentoEstado/Paginas/DetalhePropostaAlteracao.aspx?BID=24814</t>
        </is>
      </c>
      <c r="AG1659" s="2" t="inlineStr">
        <is>
          <t>https://app.parlamento.pt/webutils/docs/doc.pdf?path=6148523063484d364c793942556b356c6443397a6158526c63793959566b6c4a544556484c3039464c7a49774d6a59794d4449314d5441774f5339515153396a4e5451334f57566b4d69316d595467314c54526d5a57517459544a6c4d7930324e5445334d544d325957517a4e6a51756347526d&amp;Fich=c5479ed2-fa85-4fed-a2e3-6517136ad364.pdf&amp;Inline=true</t>
        </is>
      </c>
      <c r="AH1659" s="3" t="n">
        <v>46321.77847222222</v>
      </c>
      <c r="AI1659" s="3" t="n">
        <v>46321.78055555555</v>
      </c>
      <c r="AJ1659" s="2" t="inlineStr"/>
    </row>
    <row r="1660">
      <c r="A1660" s="2" t="n">
        <v>1659</v>
      </c>
      <c r="B1660" s="2" t="inlineStr">
        <is>
          <t>1567C</t>
        </is>
      </c>
      <c r="C1660" s="3" t="n">
        <v>45968.64513888889</v>
      </c>
      <c r="D1660" s="2" t="inlineStr">
        <is>
          <t>Original</t>
        </is>
      </c>
      <c r="E1660" s="2" t="inlineStr">
        <is>
          <t>CH</t>
        </is>
      </c>
      <c r="F166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60" s="2" t="inlineStr">
        <is>
          <t>Art. 136.º-A (aditamento)</t>
        </is>
      </c>
      <c r="H1660" s="2" t="n"/>
      <c r="I1660" s="2" t="n"/>
      <c r="J1660" s="2" t="n"/>
      <c r="K1660" s="2" t="n"/>
      <c r="L1660" s="2" t="inlineStr">
        <is>
          <t>Artigo 136.º-A (Criação do Programa Extraordinário de Apoio à Criação Artística em territórios de baixa densidade populacional)</t>
        </is>
      </c>
      <c r="M1660" s="4" t="n"/>
      <c r="N1660" s="4" t="n"/>
      <c r="O1660" s="2" t="n"/>
      <c r="P1660" s="2" t="n"/>
      <c r="Q1660" s="2" t="n"/>
      <c r="R1660" s="2" t="n"/>
      <c r="S1660" s="2" t="inlineStr">
        <is>
          <t>Rejeitado(a) em Comissão</t>
        </is>
      </c>
      <c r="T1660" s="2" t="inlineStr">
        <is>
          <t>Rejeitada</t>
        </is>
      </c>
      <c r="U1660" s="2" t="inlineStr">
        <is>
          <t>Favor: CH, BE, PAN; Contra: PSD, IL, CDS-PP; Abstenção: PS, L, PCP</t>
        </is>
      </c>
      <c r="V1660" s="3" t="n">
        <v>45987</v>
      </c>
      <c r="W1660" s="2" t="inlineStr">
        <is>
          <t>AR: https://www.parlamento.pt/OrcamentoEstado/Paginas/DetalhePropostaAlteracao.aspx?BID=24815 PDF: https://app.parlamento.pt/webutils/docs/doc.pdf?path=6148523063484d364c793942556b356c6443397a6158526c63793959566b6c4a544556484c3039464c7a49774d6a59794d4449314d5441774f533951515339684e4759774e474e685a5330354d544e6a4c5451325a4751744f54597a4f5331694f574e6d4f4459334e6a5a684e4745756347526d&amp;Fich=a4f04cae-913c-46dd-9639-b9cf86766a4a.pdf&amp;Inline=true</t>
        </is>
      </c>
      <c r="X1660" s="2" t="inlineStr">
        <is>
          <t>Comissão de Economia e Coesão Territorial</t>
        </is>
      </c>
      <c r="Y1660" s="2" t="inlineStr">
        <is>
          <t>Articulado</t>
        </is>
      </c>
      <c r="Z1660" s="2" t="inlineStr">
        <is>
          <t>Aditamento (Artigo PPL)</t>
        </is>
      </c>
      <c r="AA1660" s="2" t="inlineStr">
        <is>
          <t>Rejeitado(a) em Comissão</t>
        </is>
      </c>
      <c r="AB1660" s="2" t="inlineStr"/>
      <c r="AC1660" s="2" t="inlineStr"/>
      <c r="AD1660" s="2" t="inlineStr">
        <is>
          <t>1</t>
        </is>
      </c>
      <c r="AE1660" s="2" t="inlineStr">
        <is>
          <t>24815</t>
        </is>
      </c>
      <c r="AF1660" s="2" t="inlineStr">
        <is>
          <t>https://www.parlamento.pt/OrcamentoEstado/Paginas/DetalhePropostaAlteracao.aspx?BID=24815</t>
        </is>
      </c>
      <c r="AG1660" s="2" t="inlineStr">
        <is>
          <t>https://app.parlamento.pt/webutils/docs/doc.pdf?path=6148523063484d364c793942556b356c6443397a6158526c63793959566b6c4a544556484c3039464c7a49774d6a59794d4449314d5441774f533951515339684e4759774e474e685a5330354d544e6a4c5451325a4751744f54597a4f5331694f574e6d4f4459334e6a5a684e4745756347526d&amp;Fich=a4f04cae-913c-46dd-9639-b9cf86766a4a.pdf&amp;Inline=true</t>
        </is>
      </c>
      <c r="AH1660" s="3" t="n">
        <v>46321.77847222222</v>
      </c>
      <c r="AI1660" s="3" t="n">
        <v>46321.78055555555</v>
      </c>
      <c r="AJ1660" s="2" t="inlineStr"/>
    </row>
    <row r="1661">
      <c r="A1661" s="2" t="n">
        <v>1660</v>
      </c>
      <c r="B1661" s="2" t="inlineStr">
        <is>
          <t>1568C</t>
        </is>
      </c>
      <c r="C1661" s="3" t="n">
        <v>45968.64583333334</v>
      </c>
      <c r="D1661" s="2" t="inlineStr">
        <is>
          <t>Original</t>
        </is>
      </c>
      <c r="E1661" s="2" t="inlineStr">
        <is>
          <t>CH</t>
        </is>
      </c>
      <c r="F166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61" s="2" t="inlineStr">
        <is>
          <t>Art. 136.º-A (aditamento)</t>
        </is>
      </c>
      <c r="H1661" s="2" t="n"/>
      <c r="I1661" s="2" t="n"/>
      <c r="J1661" s="2" t="n"/>
      <c r="K1661" s="2" t="n"/>
      <c r="L1661" s="2" t="inlineStr">
        <is>
          <t>Artigo 136.º-A (Criação de uma Escola Secundária e Ensino Profissional em Albergaria-a-Velha)</t>
        </is>
      </c>
      <c r="M1661" s="4" t="n"/>
      <c r="N1661" s="4" t="n"/>
      <c r="O1661" s="2" t="n"/>
      <c r="P1661" s="2" t="n"/>
      <c r="Q1661" s="2" t="n"/>
      <c r="R1661" s="2" t="n"/>
      <c r="S1661" s="2" t="inlineStr">
        <is>
          <t>Rejeitado(a) em Comissão</t>
        </is>
      </c>
      <c r="T1661" s="2" t="inlineStr">
        <is>
          <t>Rejeitada</t>
        </is>
      </c>
      <c r="U1661" s="2" t="inlineStr">
        <is>
          <t>Favor: CH, BE, PAN; Contra: PSD; Abstenção: PS, IL, L, PCP, CDS-PP</t>
        </is>
      </c>
      <c r="V1661" s="3" t="n">
        <v>45987</v>
      </c>
      <c r="W1661" s="2" t="inlineStr">
        <is>
          <t>AR: https://www.parlamento.pt/OrcamentoEstado/Paginas/DetalhePropostaAlteracao.aspx?BID=24816 PDF: https://app.parlamento.pt/webutils/docs/doc.pdf?path=6148523063484d364c793942556b356c6443397a6158526c63793959566b6c4a544556484c3039464c7a49774d6a59794d4449314d5441774f533951515338304d47466b4f4455344e793035596a41304c545135596a4d7459544d314d53307a4d7a466d5a574d7a4e5759345a5463756347526d&amp;Fich=40ad8587-9b04-49b3-a351-331fec35f8e7.pdf&amp;Inline=true</t>
        </is>
      </c>
      <c r="X1661" s="2" t="inlineStr">
        <is>
          <t>Educação e Ciência</t>
        </is>
      </c>
      <c r="Y1661" s="2" t="inlineStr">
        <is>
          <t>Articulado</t>
        </is>
      </c>
      <c r="Z1661" s="2" t="inlineStr">
        <is>
          <t>Aditamento (Artigo PPL)</t>
        </is>
      </c>
      <c r="AA1661" s="2" t="inlineStr">
        <is>
          <t>Rejeitado(a) em Comissão</t>
        </is>
      </c>
      <c r="AB1661" s="2" t="inlineStr"/>
      <c r="AC1661" s="2" t="inlineStr"/>
      <c r="AD1661" s="2" t="inlineStr">
        <is>
          <t>1</t>
        </is>
      </c>
      <c r="AE1661" s="2" t="inlineStr">
        <is>
          <t>24816</t>
        </is>
      </c>
      <c r="AF1661" s="2" t="inlineStr">
        <is>
          <t>https://www.parlamento.pt/OrcamentoEstado/Paginas/DetalhePropostaAlteracao.aspx?BID=24816</t>
        </is>
      </c>
      <c r="AG1661" s="2" t="inlineStr">
        <is>
          <t>https://app.parlamento.pt/webutils/docs/doc.pdf?path=6148523063484d364c793942556b356c6443397a6158526c63793959566b6c4a544556484c3039464c7a49774d6a59794d4449314d5441774f533951515338304d47466b4f4455344e793035596a41304c545135596a4d7459544d314d53307a4d7a466d5a574d7a4e5759345a5463756347526d&amp;Fich=40ad8587-9b04-49b3-a351-331fec35f8e7.pdf&amp;Inline=true</t>
        </is>
      </c>
      <c r="AH1661" s="3" t="n">
        <v>46321.77847222222</v>
      </c>
      <c r="AI1661" s="3" t="n">
        <v>46321.78055555555</v>
      </c>
      <c r="AJ1661" s="2" t="inlineStr"/>
    </row>
    <row r="1662">
      <c r="A1662" s="2" t="n">
        <v>1661</v>
      </c>
      <c r="B1662" s="2" t="inlineStr">
        <is>
          <t>1569C</t>
        </is>
      </c>
      <c r="C1662" s="3" t="n">
        <v>45968.64652777778</v>
      </c>
      <c r="D1662" s="2" t="inlineStr">
        <is>
          <t>Retirada</t>
        </is>
      </c>
      <c r="E1662" s="2" t="inlineStr">
        <is>
          <t>PSD</t>
        </is>
      </c>
      <c r="F1662" s="2" t="inlineStr">
        <is>
          <t>Paulo Neves; Pedro Coelho; Vânia Jesus</t>
        </is>
      </c>
      <c r="G1662" s="2" t="inlineStr">
        <is>
          <t>Art. 110.º-A (aditamento)</t>
        </is>
      </c>
      <c r="H1662" s="2" t="n"/>
      <c r="I1662" s="2" t="n"/>
      <c r="J1662" s="2" t="n"/>
      <c r="K1662" s="2" t="n"/>
      <c r="L1662" s="2" t="inlineStr">
        <is>
          <t>Artigo 110.º-A (Meios de combate a incêndios e de apoio às populações na Região Autónoma da Madeira)</t>
        </is>
      </c>
      <c r="M1662" s="4" t="n"/>
      <c r="N1662" s="4" t="n"/>
      <c r="O1662" s="2" t="n"/>
      <c r="P1662" s="2" t="n"/>
      <c r="Q1662" s="2" t="n"/>
      <c r="R1662" s="2" t="n"/>
      <c r="S1662" s="2" t="inlineStr">
        <is>
          <t>Retirado(a)</t>
        </is>
      </c>
      <c r="T1662" s="2" t="inlineStr">
        <is>
          <t>Retirada</t>
        </is>
      </c>
      <c r="U1662" s="2" t="inlineStr"/>
      <c r="V1662" s="3" t="n"/>
      <c r="W1662" s="2" t="inlineStr">
        <is>
          <t>AR: https://www.parlamento.pt/OrcamentoEstado/Paginas/DetalhePropostaAlteracao.aspx?BID=24817 PDF: https://app.parlamento.pt/webutils/docs/doc.pdf?path=6148523063484d364c793942556b356c6443397a6158526c63793959566b6c4a544556484c3039464c7a49774d6a59794d4449314d5441774f5339515153396b5a5463314e57466c4f4330785a6a677a4c5451344e3249745954466c5a4330354f54466a5a47497a596a686c4d4745756347526d&amp;Fich=de755ae8-1f83-487b-a1ed-991cdb3b8e0a.pdf&amp;Inline=true</t>
        </is>
      </c>
      <c r="X1662" s="2" t="inlineStr">
        <is>
          <t>Orçamento, Finanças e Administração Pública</t>
        </is>
      </c>
      <c r="Y1662" s="2" t="inlineStr">
        <is>
          <t>Articulado</t>
        </is>
      </c>
      <c r="Z1662" s="2" t="inlineStr">
        <is>
          <t>Aditamento (Artigo PPL)</t>
        </is>
      </c>
      <c r="AA1662" s="2" t="inlineStr">
        <is>
          <t>Retirado(a)</t>
        </is>
      </c>
      <c r="AB1662" s="2" t="inlineStr"/>
      <c r="AC1662" s="2" t="inlineStr"/>
      <c r="AD1662" s="2" t="inlineStr">
        <is>
          <t>0</t>
        </is>
      </c>
      <c r="AE1662" s="2" t="inlineStr">
        <is>
          <t>24817</t>
        </is>
      </c>
      <c r="AF1662" s="2" t="inlineStr">
        <is>
          <t>https://www.parlamento.pt/OrcamentoEstado/Paginas/DetalhePropostaAlteracao.aspx?BID=24817</t>
        </is>
      </c>
      <c r="AG1662" s="2" t="inlineStr">
        <is>
          <t>https://app.parlamento.pt/webutils/docs/doc.pdf?path=6148523063484d364c793942556b356c6443397a6158526c63793959566b6c4a544556484c3039464c7a49774d6a59794d4449314d5441774f5339515153396b5a5463314e57466c4f4330785a6a677a4c5451344e3249745954466c5a4330354f54466a5a47497a596a686c4d4745756347526d&amp;Fich=de755ae8-1f83-487b-a1ed-991cdb3b8e0a.pdf&amp;Inline=true</t>
        </is>
      </c>
      <c r="AH1662" s="3" t="n">
        <v>46321.77847222222</v>
      </c>
      <c r="AI1662" s="3" t="n">
        <v>46321.78055555555</v>
      </c>
      <c r="AJ1662" s="2" t="inlineStr"/>
    </row>
    <row r="1663">
      <c r="A1663" s="2" t="n">
        <v>1662</v>
      </c>
      <c r="B1663" s="2" t="inlineStr">
        <is>
          <t>1570C</t>
        </is>
      </c>
      <c r="C1663" s="3" t="n">
        <v>45968.64652777778</v>
      </c>
      <c r="D1663" s="2" t="inlineStr">
        <is>
          <t>Original</t>
        </is>
      </c>
      <c r="E1663" s="2" t="inlineStr">
        <is>
          <t>CH</t>
        </is>
      </c>
      <c r="F166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63" s="2" t="inlineStr">
        <is>
          <t>Art. 136.º-A (aditamento)</t>
        </is>
      </c>
      <c r="H1663" s="2" t="n"/>
      <c r="I1663" s="2" t="n"/>
      <c r="J1663" s="2" t="n"/>
      <c r="K1663" s="2" t="n"/>
      <c r="L1663" s="2" t="inlineStr">
        <is>
          <t>Artigo 136.º-A (Criação de uma Escola Secundária em Almancil)</t>
        </is>
      </c>
      <c r="M1663" s="4" t="n"/>
      <c r="N1663" s="4" t="n"/>
      <c r="O1663" s="2" t="n"/>
      <c r="P1663" s="2" t="n"/>
      <c r="Q1663" s="2" t="n"/>
      <c r="R1663" s="2" t="n"/>
      <c r="S1663" s="2" t="inlineStr">
        <is>
          <t>Rejeitado(a) em Comissão</t>
        </is>
      </c>
      <c r="T1663" s="2" t="inlineStr">
        <is>
          <t>Rejeitada</t>
        </is>
      </c>
      <c r="U1663" s="2" t="inlineStr">
        <is>
          <t>Favor: CH, IL, BE, PAN; Contra: PSD, CDS-PP; Abstenção: PS, L, PCP</t>
        </is>
      </c>
      <c r="V1663" s="3" t="n">
        <v>45987</v>
      </c>
      <c r="W1663" s="2" t="inlineStr">
        <is>
          <t>AR: https://www.parlamento.pt/OrcamentoEstado/Paginas/DetalhePropostaAlteracao.aspx?BID=24818 PDF: https://app.parlamento.pt/webutils/docs/doc.pdf?path=6148523063484d364c793942556b356c6443397a6158526c63793959566b6c4a544556484c3039464c7a49774d6a59794d4449314d5441774f5339515153396d4f544d324d6a51314e69303259324d314c54526a5a446b744f5755314e7930305a4755344e4749325a44526c4e5445756347526d&amp;Fich=f9362456-6cc5-4cd9-9e57-4de84b6d4e51.pdf&amp;Inline=true</t>
        </is>
      </c>
      <c r="X1663" s="2" t="inlineStr">
        <is>
          <t>Educação e Ciência</t>
        </is>
      </c>
      <c r="Y1663" s="2" t="inlineStr">
        <is>
          <t>Articulado</t>
        </is>
      </c>
      <c r="Z1663" s="2" t="inlineStr">
        <is>
          <t>Aditamento (Artigo PPL)</t>
        </is>
      </c>
      <c r="AA1663" s="2" t="inlineStr">
        <is>
          <t>Rejeitado(a) em Comissão</t>
        </is>
      </c>
      <c r="AB1663" s="2" t="inlineStr"/>
      <c r="AC1663" s="2" t="inlineStr"/>
      <c r="AD1663" s="2" t="inlineStr">
        <is>
          <t>1</t>
        </is>
      </c>
      <c r="AE1663" s="2" t="inlineStr">
        <is>
          <t>24818</t>
        </is>
      </c>
      <c r="AF1663" s="2" t="inlineStr">
        <is>
          <t>https://www.parlamento.pt/OrcamentoEstado/Paginas/DetalhePropostaAlteracao.aspx?BID=24818</t>
        </is>
      </c>
      <c r="AG1663" s="2" t="inlineStr">
        <is>
          <t>https://app.parlamento.pt/webutils/docs/doc.pdf?path=6148523063484d364c793942556b356c6443397a6158526c63793959566b6c4a544556484c3039464c7a49774d6a59794d4449314d5441774f5339515153396d4f544d324d6a51314e69303259324d314c54526a5a446b744f5755314e7930305a4755344e4749325a44526c4e5445756347526d&amp;Fich=f9362456-6cc5-4cd9-9e57-4de84b6d4e51.pdf&amp;Inline=true</t>
        </is>
      </c>
      <c r="AH1663" s="3" t="n">
        <v>46321.77847222222</v>
      </c>
      <c r="AI1663" s="3" t="n">
        <v>46321.78055555555</v>
      </c>
      <c r="AJ1663" s="2" t="inlineStr"/>
    </row>
    <row r="1664">
      <c r="A1664" s="2" t="n">
        <v>1663</v>
      </c>
      <c r="B1664" s="2" t="inlineStr">
        <is>
          <t>1571C</t>
        </is>
      </c>
      <c r="C1664" s="3" t="n">
        <v>45968.64652777778</v>
      </c>
      <c r="D1664" s="2" t="inlineStr">
        <is>
          <t>Original</t>
        </is>
      </c>
      <c r="E1664" s="2" t="inlineStr">
        <is>
          <t>CH</t>
        </is>
      </c>
      <c r="F166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64" s="2" t="inlineStr">
        <is>
          <t>Art. 136.º-A (aditamento)</t>
        </is>
      </c>
      <c r="H1664" s="2" t="n"/>
      <c r="I1664" s="2" t="n"/>
      <c r="J1664" s="2" t="n"/>
      <c r="K1664" s="2" t="n"/>
      <c r="L1664" s="2" t="inlineStr">
        <is>
          <t>Artigo 136.º-A (Revisão do financiamento do Ensino Artístico Especializado)</t>
        </is>
      </c>
      <c r="M1664" s="4" t="n"/>
      <c r="N1664" s="4" t="n"/>
      <c r="O1664" s="2" t="n"/>
      <c r="P1664" s="2" t="n"/>
      <c r="Q1664" s="2" t="n"/>
      <c r="R1664" s="2" t="n"/>
      <c r="S1664" s="2" t="inlineStr">
        <is>
          <t>Rejeitado(a) em Comissão</t>
        </is>
      </c>
      <c r="T1664" s="2" t="inlineStr">
        <is>
          <t>Rejeitada</t>
        </is>
      </c>
      <c r="U1664" s="2" t="inlineStr">
        <is>
          <t>Favor: CH, IL, BE, PAN; Contra: PSD, CDS-PP; Abstenção: PS, L, PCP</t>
        </is>
      </c>
      <c r="V1664" s="3" t="n">
        <v>45987</v>
      </c>
      <c r="W1664" s="2" t="inlineStr">
        <is>
          <t>AR: https://www.parlamento.pt/OrcamentoEstado/Paginas/DetalhePropostaAlteracao.aspx?BID=24819 PDF: https://app.parlamento.pt/webutils/docs/doc.pdf?path=6148523063484d364c793942556b356c6443397a6158526c63793959566b6c4a544556484c3039464c7a49774d6a59794d4449314d5441774f533951515338314e4463785a6d55344d53316c5a5451794c54517859544d744f5746685a43316d5a6a6b315a446b304f4463324e4449756347526d&amp;Fich=5471fe81-ee42-41a3-9aad-ff95d9487642.pdf&amp;Inline=true</t>
        </is>
      </c>
      <c r="X1664" s="2" t="inlineStr">
        <is>
          <t>Educação e Ciência</t>
        </is>
      </c>
      <c r="Y1664" s="2" t="inlineStr">
        <is>
          <t>Articulado</t>
        </is>
      </c>
      <c r="Z1664" s="2" t="inlineStr">
        <is>
          <t>Aditamento (Artigo PPL)</t>
        </is>
      </c>
      <c r="AA1664" s="2" t="inlineStr">
        <is>
          <t>Rejeitado(a) em Comissão</t>
        </is>
      </c>
      <c r="AB1664" s="2" t="inlineStr"/>
      <c r="AC1664" s="2" t="inlineStr"/>
      <c r="AD1664" s="2" t="inlineStr">
        <is>
          <t>1</t>
        </is>
      </c>
      <c r="AE1664" s="2" t="inlineStr">
        <is>
          <t>24819</t>
        </is>
      </c>
      <c r="AF1664" s="2" t="inlineStr">
        <is>
          <t>https://www.parlamento.pt/OrcamentoEstado/Paginas/DetalhePropostaAlteracao.aspx?BID=24819</t>
        </is>
      </c>
      <c r="AG1664" s="2" t="inlineStr">
        <is>
          <t>https://app.parlamento.pt/webutils/docs/doc.pdf?path=6148523063484d364c793942556b356c6443397a6158526c63793959566b6c4a544556484c3039464c7a49774d6a59794d4449314d5441774f533951515338314e4463785a6d55344d53316c5a5451794c54517859544d744f5746685a43316d5a6a6b315a446b304f4463324e4449756347526d&amp;Fich=5471fe81-ee42-41a3-9aad-ff95d9487642.pdf&amp;Inline=true</t>
        </is>
      </c>
      <c r="AH1664" s="3" t="n">
        <v>46321.77847222222</v>
      </c>
      <c r="AI1664" s="3" t="n">
        <v>46321.78055555555</v>
      </c>
      <c r="AJ1664" s="2" t="inlineStr"/>
    </row>
    <row r="1665">
      <c r="A1665" s="2" t="n">
        <v>1664</v>
      </c>
      <c r="B1665" s="2" t="inlineStr">
        <is>
          <t>1572C</t>
        </is>
      </c>
      <c r="C1665" s="3" t="n">
        <v>45968.64722222222</v>
      </c>
      <c r="D1665" s="2" t="inlineStr">
        <is>
          <t>Original</t>
        </is>
      </c>
      <c r="E1665" s="2" t="inlineStr">
        <is>
          <t>PAN</t>
        </is>
      </c>
      <c r="F1665" s="2" t="inlineStr">
        <is>
          <t>Inês de Sousa Real</t>
        </is>
      </c>
      <c r="G1665" s="2" t="inlineStr">
        <is>
          <t>Art. 122.º-A (aditamento)</t>
        </is>
      </c>
      <c r="H1665" s="2" t="n"/>
      <c r="I1665" s="2" t="n"/>
      <c r="J1665" s="2" t="n"/>
      <c r="K1665" s="2" t="n"/>
      <c r="L1665" s="2" t="inlineStr">
        <is>
          <t>Artigo 122.º-A (Criação de uma via rápida destinada a transportes coletivos na A5)</t>
        </is>
      </c>
      <c r="M1665" s="4" t="n"/>
      <c r="N1665" s="4" t="n"/>
      <c r="O1665" s="2" t="n"/>
      <c r="P1665" s="2" t="n"/>
      <c r="Q1665" s="2" t="n"/>
      <c r="R1665" s="2" t="n"/>
      <c r="S1665" s="2" t="inlineStr">
        <is>
          <t>Rejeitado(a) em Comissão</t>
        </is>
      </c>
      <c r="T1665" s="2" t="inlineStr">
        <is>
          <t>Rejeitada</t>
        </is>
      </c>
      <c r="U1665" s="2" t="inlineStr">
        <is>
          <t>Favor: PS, L, PCP, BE, PAN; Contra: PSD, CH, IL, CDS-PP</t>
        </is>
      </c>
      <c r="V1665" s="3" t="n">
        <v>45985</v>
      </c>
      <c r="W1665" s="2" t="inlineStr">
        <is>
          <t>AR: https://www.parlamento.pt/OrcamentoEstado/Paginas/DetalhePropostaAlteracao.aspx?BID=24820 PDF: https://app.parlamento.pt/webutils/docs/doc.pdf?path=6148523063484d364c793942556b356c6443397a6158526c63793959566b6c4a544556484c3039464c7a49774d6a59794d4449314d5441774f533951515338324d6a4e6a596a6c6a5a533030597a4a684c5451774d6a4574596a51344e43316a4e6a457a5a475a6b5a6d597a597a51756347526d&amp;Fich=623cb9ce-4c2a-4021-b484-c613dfdff3c4.pdf&amp;Inline=true</t>
        </is>
      </c>
      <c r="X1665" s="2" t="inlineStr">
        <is>
          <t>Infraestruturas, Mobilidade e Habitação</t>
        </is>
      </c>
      <c r="Y1665" s="2" t="inlineStr">
        <is>
          <t>Articulado</t>
        </is>
      </c>
      <c r="Z1665" s="2" t="inlineStr">
        <is>
          <t>Aditamento (Artigo PPL)</t>
        </is>
      </c>
      <c r="AA1665" s="2" t="inlineStr">
        <is>
          <t>Rejeitado(a) em Comissão</t>
        </is>
      </c>
      <c r="AB1665" s="2" t="inlineStr"/>
      <c r="AC1665" s="2" t="inlineStr"/>
      <c r="AD1665" s="2" t="inlineStr">
        <is>
          <t>1</t>
        </is>
      </c>
      <c r="AE1665" s="2" t="inlineStr">
        <is>
          <t>24820</t>
        </is>
      </c>
      <c r="AF1665" s="2" t="inlineStr">
        <is>
          <t>https://www.parlamento.pt/OrcamentoEstado/Paginas/DetalhePropostaAlteracao.aspx?BID=24820</t>
        </is>
      </c>
      <c r="AG1665" s="2" t="inlineStr">
        <is>
          <t>https://app.parlamento.pt/webutils/docs/doc.pdf?path=6148523063484d364c793942556b356c6443397a6158526c63793959566b6c4a544556484c3039464c7a49774d6a59794d4449314d5441774f533951515338324d6a4e6a596a6c6a5a533030597a4a684c5451774d6a4574596a51344e43316a4e6a457a5a475a6b5a6d597a597a51756347526d&amp;Fich=623cb9ce-4c2a-4021-b484-c613dfdff3c4.pdf&amp;Inline=true</t>
        </is>
      </c>
      <c r="AH1665" s="3" t="n">
        <v>46321.77847222222</v>
      </c>
      <c r="AI1665" s="3" t="n">
        <v>46321.78055555555</v>
      </c>
      <c r="AJ1665" s="2" t="inlineStr"/>
    </row>
    <row r="1666">
      <c r="A1666" s="2" t="n">
        <v>1665</v>
      </c>
      <c r="B1666" s="2" t="inlineStr">
        <is>
          <t>1573C</t>
        </is>
      </c>
      <c r="C1666" s="3" t="n">
        <v>45968.64722222222</v>
      </c>
      <c r="D1666" s="2" t="inlineStr">
        <is>
          <t>Original</t>
        </is>
      </c>
      <c r="E1666" s="2" t="inlineStr">
        <is>
          <t>PSD</t>
        </is>
      </c>
      <c r="F1666" s="2" t="inlineStr">
        <is>
          <t>Paulo Neves; Pedro Coelho; Vânia Jesus</t>
        </is>
      </c>
      <c r="G1666" s="2" t="inlineStr">
        <is>
          <t>Art. 110.º-A (aditamento)</t>
        </is>
      </c>
      <c r="H1666" s="2" t="n"/>
      <c r="I1666" s="2" t="n"/>
      <c r="J1666" s="2" t="n"/>
      <c r="K1666" s="2" t="n"/>
      <c r="L1666" s="2" t="inlineStr">
        <is>
          <t>Artigo 110.º-A (Hospital Central e Universitário da Madeira)</t>
        </is>
      </c>
      <c r="M1666" s="4" t="n"/>
      <c r="N1666" s="4" t="n"/>
      <c r="O1666" s="2" t="n"/>
      <c r="P1666" s="2" t="n"/>
      <c r="Q1666" s="2" t="n"/>
      <c r="R1666" s="2" t="n"/>
      <c r="S1666" s="2" t="inlineStr">
        <is>
          <t>Aprovado(a) por Unanimidade em Comissão</t>
        </is>
      </c>
      <c r="T1666" s="2" t="inlineStr">
        <is>
          <t>Aprovada</t>
        </is>
      </c>
      <c r="U1666" s="2" t="inlineStr">
        <is>
          <t>Favor: PSD, CH, PS, IL, L, PCP, CDS-PP, BE, PAN</t>
        </is>
      </c>
      <c r="V1666" s="3" t="n">
        <v>45982</v>
      </c>
      <c r="W1666" s="2" t="inlineStr">
        <is>
          <t>AR: https://www.parlamento.pt/OrcamentoEstado/Paginas/DetalhePropostaAlteracao.aspx?BID=24821 PDF: https://app.parlamento.pt/webutils/docs/doc.pdf?path=6148523063484d364c793942556b356c6443397a6158526c63793959566b6c4a544556484c3039464c7a49774d6a59794d4449314d5441774f5339515153396b5a4464684d6d4932597930774e6d4d344c54517a4e7a59745957526d5a53316a59544e6b4e444131597a466b5a6a63756347526d&amp;Fich=dd7a2b6c-06c8-4376-adfe-ca3d405c1df7.pdf&amp;Inline=true</t>
        </is>
      </c>
      <c r="X1666" s="2" t="inlineStr">
        <is>
          <t>Orçamento, Finanças e Administração Pública</t>
        </is>
      </c>
      <c r="Y1666" s="2" t="inlineStr">
        <is>
          <t>Articulado</t>
        </is>
      </c>
      <c r="Z1666" s="2" t="inlineStr">
        <is>
          <t>Aditamento (Artigo PPL)</t>
        </is>
      </c>
      <c r="AA1666" s="2" t="inlineStr">
        <is>
          <t>Aprovado(a) por Unanimidade em Comissão</t>
        </is>
      </c>
      <c r="AB1666" s="2" t="inlineStr"/>
      <c r="AC1666" s="2" t="inlineStr"/>
      <c r="AD1666" s="2" t="inlineStr">
        <is>
          <t>1</t>
        </is>
      </c>
      <c r="AE1666" s="2" t="inlineStr">
        <is>
          <t>24821</t>
        </is>
      </c>
      <c r="AF1666" s="2" t="inlineStr">
        <is>
          <t>https://www.parlamento.pt/OrcamentoEstado/Paginas/DetalhePropostaAlteracao.aspx?BID=24821</t>
        </is>
      </c>
      <c r="AG1666" s="2" t="inlineStr">
        <is>
          <t>https://app.parlamento.pt/webutils/docs/doc.pdf?path=6148523063484d364c793942556b356c6443397a6158526c63793959566b6c4a544556484c3039464c7a49774d6a59794d4449314d5441774f5339515153396b5a4464684d6d4932597930774e6d4d344c54517a4e7a59745957526d5a53316a59544e6b4e444131597a466b5a6a63756347526d&amp;Fich=dd7a2b6c-06c8-4376-adfe-ca3d405c1df7.pdf&amp;Inline=true</t>
        </is>
      </c>
      <c r="AH1666" s="3" t="n">
        <v>46321.77847222222</v>
      </c>
      <c r="AI1666" s="3" t="n">
        <v>46321.78055555555</v>
      </c>
      <c r="AJ1666" s="2" t="inlineStr"/>
    </row>
    <row r="1667">
      <c r="A1667" s="2" t="n">
        <v>1666</v>
      </c>
      <c r="B1667" s="2" t="inlineStr">
        <is>
          <t>1574C</t>
        </is>
      </c>
      <c r="C1667" s="3" t="n">
        <v>45968.64791666667</v>
      </c>
      <c r="D1667" s="2" t="inlineStr">
        <is>
          <t>Original</t>
        </is>
      </c>
      <c r="E1667" s="2" t="inlineStr">
        <is>
          <t>CH</t>
        </is>
      </c>
      <c r="F166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67" s="2" t="inlineStr">
        <is>
          <t>Art. 136.º-A (aditamento)</t>
        </is>
      </c>
      <c r="H1667" s="2" t="n"/>
      <c r="I1667" s="2" t="n"/>
      <c r="J1667" s="2" t="n"/>
      <c r="K1667" s="2" t="n"/>
      <c r="L1667" s="2" t="inlineStr">
        <is>
          <t>Artigo 136.º-A (Criação de uma escola secundária da Quinta do Conde)</t>
        </is>
      </c>
      <c r="M1667" s="4" t="n"/>
      <c r="N1667" s="4" t="n"/>
      <c r="O1667" s="2" t="n"/>
      <c r="P1667" s="2" t="n"/>
      <c r="Q1667" s="2" t="n"/>
      <c r="R1667" s="2" t="n"/>
      <c r="S1667" s="2" t="inlineStr">
        <is>
          <t>Rejeitado(a) em Comissão</t>
        </is>
      </c>
      <c r="T1667" s="2" t="inlineStr">
        <is>
          <t>Rejeitada</t>
        </is>
      </c>
      <c r="U1667" s="2" t="inlineStr">
        <is>
          <t>Favor: CH, IL, BE, PAN; Contra: PSD, CDS-PP; Abstenção: PS, L, PCP</t>
        </is>
      </c>
      <c r="V1667" s="3" t="n">
        <v>45987</v>
      </c>
      <c r="W1667" s="2" t="inlineStr">
        <is>
          <t>AR: https://www.parlamento.pt/OrcamentoEstado/Paginas/DetalhePropostaAlteracao.aspx?BID=24822 PDF: https://app.parlamento.pt/webutils/docs/doc.pdf?path=6148523063484d364c793942556b356c6443397a6158526c63793959566b6c4a544556484c3039464c7a49774d6a59794d4449314d5441774f53395151533968596d4a6b4d44597a5979316c4f574e694c5451775a4441744f57566c4d693030596d55334e3255354d7a45334f5463756347526d&amp;Fich=abbd063c-e9cb-40d0-9ee2-4be77e931797.pdf&amp;Inline=true</t>
        </is>
      </c>
      <c r="X1667" s="2" t="inlineStr">
        <is>
          <t>Educação e Ciência</t>
        </is>
      </c>
      <c r="Y1667" s="2" t="inlineStr">
        <is>
          <t>Articulado</t>
        </is>
      </c>
      <c r="Z1667" s="2" t="inlineStr">
        <is>
          <t>Aditamento (Artigo PPL)</t>
        </is>
      </c>
      <c r="AA1667" s="2" t="inlineStr">
        <is>
          <t>Rejeitado(a) em Comissão</t>
        </is>
      </c>
      <c r="AB1667" s="2" t="inlineStr"/>
      <c r="AC1667" s="2" t="inlineStr"/>
      <c r="AD1667" s="2" t="inlineStr">
        <is>
          <t>1</t>
        </is>
      </c>
      <c r="AE1667" s="2" t="inlineStr">
        <is>
          <t>24822</t>
        </is>
      </c>
      <c r="AF1667" s="2" t="inlineStr">
        <is>
          <t>https://www.parlamento.pt/OrcamentoEstado/Paginas/DetalhePropostaAlteracao.aspx?BID=24822</t>
        </is>
      </c>
      <c r="AG1667" s="2" t="inlineStr">
        <is>
          <t>https://app.parlamento.pt/webutils/docs/doc.pdf?path=6148523063484d364c793942556b356c6443397a6158526c63793959566b6c4a544556484c3039464c7a49774d6a59794d4449314d5441774f53395151533968596d4a6b4d44597a5979316c4f574e694c5451775a4441744f57566c4d693030596d55334e3255354d7a45334f5463756347526d&amp;Fich=abbd063c-e9cb-40d0-9ee2-4be77e931797.pdf&amp;Inline=true</t>
        </is>
      </c>
      <c r="AH1667" s="3" t="n">
        <v>46321.77847222222</v>
      </c>
      <c r="AI1667" s="3" t="n">
        <v>46321.78055555555</v>
      </c>
      <c r="AJ1667" s="2" t="inlineStr"/>
    </row>
    <row r="1668">
      <c r="A1668" s="2" t="n">
        <v>1667</v>
      </c>
      <c r="B1668" s="2" t="inlineStr">
        <is>
          <t>1575C</t>
        </is>
      </c>
      <c r="C1668" s="3" t="n">
        <v>45968.64791666667</v>
      </c>
      <c r="D1668" s="2" t="inlineStr">
        <is>
          <t>Original</t>
        </is>
      </c>
      <c r="E1668" s="2" t="inlineStr">
        <is>
          <t>BE</t>
        </is>
      </c>
      <c r="F1668" s="2" t="inlineStr">
        <is>
          <t>Mariana Mortágua</t>
        </is>
      </c>
      <c r="G1668" s="2" t="inlineStr">
        <is>
          <t>Art. 113.º-A (aditamento)</t>
        </is>
      </c>
      <c r="H1668" s="2" t="n"/>
      <c r="I1668" s="2" t="n"/>
      <c r="J1668" s="2" t="n"/>
      <c r="K1668" s="2" t="n"/>
      <c r="L1668" s="2" t="inlineStr">
        <is>
          <t>Artigo 113.º-A (Preservação do património da Serra de Santa Comba)</t>
        </is>
      </c>
      <c r="M1668" s="4" t="n"/>
      <c r="N1668" s="4" t="n"/>
      <c r="O1668" s="2" t="n"/>
      <c r="P1668" s="2" t="n"/>
      <c r="Q1668" s="2" t="n"/>
      <c r="R1668" s="2" t="n"/>
      <c r="S1668" s="2" t="inlineStr">
        <is>
          <t>Rejeitado(a) em Comissão</t>
        </is>
      </c>
      <c r="T1668" s="2" t="inlineStr">
        <is>
          <t>Rejeitada</t>
        </is>
      </c>
      <c r="U1668" s="2" t="inlineStr">
        <is>
          <t>Favor: CH, L, BE, PAN; Contra: PSD, IL, PCP, CDS-PP; Abstenção: PS</t>
        </is>
      </c>
      <c r="V1668" s="3" t="n">
        <v>45985</v>
      </c>
      <c r="W1668" s="2" t="inlineStr">
        <is>
          <t>AR: https://www.parlamento.pt/OrcamentoEstado/Paginas/DetalhePropostaAlteracao.aspx?BID=24823 PDF: https://app.parlamento.pt/webutils/docs/doc.pdf?path=6148523063484d364c793942556b356c6443397a6158526c63793959566b6c4a544556484c3039464c7a49774d6a59794d4449314d5441774f533951515338355a5445784d574d344f5330325a4745344c5452694d7a4174596a4a685a693031596a4d354d7a67344e4467314e7a49756347526d&amp;Fich=9e111c89-6da8-4b30-b2af-5b3938848572.pdf&amp;Inline=true</t>
        </is>
      </c>
      <c r="X1668" s="2" t="inlineStr">
        <is>
          <t>Ambiente e Energia</t>
        </is>
      </c>
      <c r="Y1668" s="2" t="inlineStr">
        <is>
          <t>Articulado</t>
        </is>
      </c>
      <c r="Z1668" s="2" t="inlineStr">
        <is>
          <t>Aditamento (Artigo PPL)</t>
        </is>
      </c>
      <c r="AA1668" s="2" t="inlineStr">
        <is>
          <t>Rejeitado(a) em Comissão</t>
        </is>
      </c>
      <c r="AB1668" s="2" t="inlineStr"/>
      <c r="AC1668" s="2" t="inlineStr"/>
      <c r="AD1668" s="2" t="inlineStr">
        <is>
          <t>1</t>
        </is>
      </c>
      <c r="AE1668" s="2" t="inlineStr">
        <is>
          <t>24823</t>
        </is>
      </c>
      <c r="AF1668" s="2" t="inlineStr">
        <is>
          <t>https://www.parlamento.pt/OrcamentoEstado/Paginas/DetalhePropostaAlteracao.aspx?BID=24823</t>
        </is>
      </c>
      <c r="AG1668" s="2" t="inlineStr">
        <is>
          <t>https://app.parlamento.pt/webutils/docs/doc.pdf?path=6148523063484d364c793942556b356c6443397a6158526c63793959566b6c4a544556484c3039464c7a49774d6a59794d4449314d5441774f533951515338355a5445784d574d344f5330325a4745344c5452694d7a4174596a4a685a693031596a4d354d7a67344e4467314e7a49756347526d&amp;Fich=9e111c89-6da8-4b30-b2af-5b3938848572.pdf&amp;Inline=true</t>
        </is>
      </c>
      <c r="AH1668" s="3" t="n">
        <v>46321.77847222222</v>
      </c>
      <c r="AI1668" s="3" t="n">
        <v>46321.78055555555</v>
      </c>
      <c r="AJ1668" s="2" t="inlineStr"/>
    </row>
    <row r="1669">
      <c r="A1669" s="2" t="n">
        <v>1668</v>
      </c>
      <c r="B1669" s="2" t="inlineStr">
        <is>
          <t>1576C</t>
        </is>
      </c>
      <c r="C1669" s="3" t="n">
        <v>45968.64791666667</v>
      </c>
      <c r="D1669" s="2" t="inlineStr">
        <is>
          <t>Original</t>
        </is>
      </c>
      <c r="E1669" s="2" t="inlineStr">
        <is>
          <t>CH</t>
        </is>
      </c>
      <c r="F166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69" s="2" t="inlineStr">
        <is>
          <t>Art. 136.º-A (aditamento)</t>
        </is>
      </c>
      <c r="H1669" s="2" t="n"/>
      <c r="I1669" s="2" t="n"/>
      <c r="J1669" s="2" t="n"/>
      <c r="K1669" s="2" t="n"/>
      <c r="L1669" s="2" t="inlineStr">
        <is>
          <t>Artigo 136.º-A (Programa de modernização e valorização da Biblioteca Nacional de Portugal)</t>
        </is>
      </c>
      <c r="M1669" s="4" t="n"/>
      <c r="N1669" s="4" t="n"/>
      <c r="O1669" s="2" t="n"/>
      <c r="P1669" s="2" t="n"/>
      <c r="Q1669" s="2" t="n"/>
      <c r="R1669" s="2" t="n"/>
      <c r="S1669" s="2" t="inlineStr">
        <is>
          <t>Rejeitado(a) em Comissão</t>
        </is>
      </c>
      <c r="T1669" s="2" t="inlineStr">
        <is>
          <t>Rejeitada</t>
        </is>
      </c>
      <c r="U1669" s="2" t="inlineStr">
        <is>
          <t>Favor: CH, BE, PAN; Contra: PSD, IL, CDS-PP; Abstenção: PS, L, PCP</t>
        </is>
      </c>
      <c r="V1669" s="3" t="n">
        <v>45987</v>
      </c>
      <c r="W1669" s="2" t="inlineStr">
        <is>
          <t>AR: https://www.parlamento.pt/OrcamentoEstado/Paginas/DetalhePropostaAlteracao.aspx?BID=24824 PDF: https://app.parlamento.pt/webutils/docs/doc.pdf?path=6148523063484d364c793942556b356c6443397a6158526c63793959566b6c4a544556484c3039464c7a49774d6a59794d4449314d5441774f533951515338334e325534597a45785979316d5a6d517a4c54526a4d7a51744f574d304e5330314f4455305a545a6a4f444979596a45756347526d&amp;Fich=77e8c11c-ffd3-4c34-9c45-5854e6c822b1.pdf&amp;Inline=true</t>
        </is>
      </c>
      <c r="X1669" s="2" t="inlineStr">
        <is>
          <t>Educação e Ciência</t>
        </is>
      </c>
      <c r="Y1669" s="2" t="inlineStr">
        <is>
          <t>Articulado</t>
        </is>
      </c>
      <c r="Z1669" s="2" t="inlineStr">
        <is>
          <t>Aditamento (Artigo PPL)</t>
        </is>
      </c>
      <c r="AA1669" s="2" t="inlineStr">
        <is>
          <t>Rejeitado(a) em Comissão</t>
        </is>
      </c>
      <c r="AB1669" s="2" t="inlineStr"/>
      <c r="AC1669" s="2" t="inlineStr"/>
      <c r="AD1669" s="2" t="inlineStr">
        <is>
          <t>1</t>
        </is>
      </c>
      <c r="AE1669" s="2" t="inlineStr">
        <is>
          <t>24824</t>
        </is>
      </c>
      <c r="AF1669" s="2" t="inlineStr">
        <is>
          <t>https://www.parlamento.pt/OrcamentoEstado/Paginas/DetalhePropostaAlteracao.aspx?BID=24824</t>
        </is>
      </c>
      <c r="AG1669" s="2" t="inlineStr">
        <is>
          <t>https://app.parlamento.pt/webutils/docs/doc.pdf?path=6148523063484d364c793942556b356c6443397a6158526c63793959566b6c4a544556484c3039464c7a49774d6a59794d4449314d5441774f533951515338334e325534597a45785979316d5a6d517a4c54526a4d7a51744f574d304e5330314f4455305a545a6a4f444979596a45756347526d&amp;Fich=77e8c11c-ffd3-4c34-9c45-5854e6c822b1.pdf&amp;Inline=true</t>
        </is>
      </c>
      <c r="AH1669" s="3" t="n">
        <v>46321.77847222222</v>
      </c>
      <c r="AI1669" s="3" t="n">
        <v>46321.78055555555</v>
      </c>
      <c r="AJ1669" s="2" t="inlineStr"/>
    </row>
    <row r="1670">
      <c r="A1670" s="2" t="n">
        <v>1669</v>
      </c>
      <c r="B1670" s="2" t="inlineStr">
        <is>
          <t>1577C</t>
        </is>
      </c>
      <c r="C1670" s="3" t="n">
        <v>45968.64791666667</v>
      </c>
      <c r="D1670" s="2" t="inlineStr">
        <is>
          <t>Original</t>
        </is>
      </c>
      <c r="E1670" s="2" t="inlineStr">
        <is>
          <t>Vários</t>
        </is>
      </c>
      <c r="F1670" s="2" t="inlineStr">
        <is>
          <t>Alberto Fonseca; Alexandre Poço; Francisco Covelinhas Lopes; Francisco Pimentel; Gonçalo Lage; Hugo Carneiro; Hugo Soares; Nuna Menezes; Paulo Moniz; Paulo Neves; Pedro Coelho; Vânia Jesus; João Pinho de Almeida; Paulo Núncio</t>
        </is>
      </c>
      <c r="G1670" s="2" t="inlineStr">
        <is>
          <t>Art. 112.º-A (aditamento)</t>
        </is>
      </c>
      <c r="H1670" s="2" t="n"/>
      <c r="I1670" s="2" t="n"/>
      <c r="J1670" s="2" t="n"/>
      <c r="K1670" s="2" t="n"/>
      <c r="L1670" s="2" t="inlineStr">
        <is>
          <t>Artigo 112.º-A (Cabotagem marítima entre as Regiões Autónomas e o continente)</t>
        </is>
      </c>
      <c r="M1670" s="4" t="n"/>
      <c r="N1670" s="4" t="n"/>
      <c r="O1670" s="2" t="n"/>
      <c r="P1670" s="2" t="n"/>
      <c r="Q1670" s="2" t="n"/>
      <c r="R1670" s="2" t="n"/>
      <c r="S1670" s="2" t="inlineStr">
        <is>
          <t>Aprovado(a) em Comissão</t>
        </is>
      </c>
      <c r="T1670" s="2" t="inlineStr">
        <is>
          <t>Aprovada</t>
        </is>
      </c>
      <c r="U1670" s="2" t="inlineStr">
        <is>
          <t>Favor: PSD, CH, IL, L, PCP, CDS-PP, BE, PAN; Contra: PS</t>
        </is>
      </c>
      <c r="V1670" s="3" t="n">
        <v>45982</v>
      </c>
      <c r="W1670" s="2" t="inlineStr">
        <is>
          <t>AR: https://www.parlamento.pt/OrcamentoEstado/Paginas/DetalhePropostaAlteracao.aspx?BID=24825 PDF: https://app.parlamento.pt/webutils/docs/doc.pdf?path=6148523063484d364c793942556b356c6443397a6158526c63793959566b6c4a544556484c3039464c7a49774d6a59794d4449314d5441774f5339515153396c4f5745785a47466b4d4330334e5445774c5451794f446b74596a6c6d4d43316d4f57466d596a4e6c4d6a49314d5749756347526d&amp;Fich=e9a1dad0-7510-4289-b9f0-f9afb3e2251b.pdf&amp;Inline=true</t>
        </is>
      </c>
      <c r="X1670" s="2" t="inlineStr">
        <is>
          <t>Infraestruturas, Mobilidade e Habitação</t>
        </is>
      </c>
      <c r="Y1670" s="2" t="inlineStr">
        <is>
          <t>Articulado</t>
        </is>
      </c>
      <c r="Z1670" s="2" t="inlineStr">
        <is>
          <t>Aditamento (Artigo PPL)</t>
        </is>
      </c>
      <c r="AA1670" s="2" t="inlineStr">
        <is>
          <t>Aprovado(a) em Comissão</t>
        </is>
      </c>
      <c r="AB1670" s="2" t="inlineStr"/>
      <c r="AC1670" s="2" t="inlineStr"/>
      <c r="AD1670" s="2" t="inlineStr">
        <is>
          <t>1</t>
        </is>
      </c>
      <c r="AE1670" s="2" t="inlineStr">
        <is>
          <t>24825</t>
        </is>
      </c>
      <c r="AF1670" s="2" t="inlineStr">
        <is>
          <t>https://www.parlamento.pt/OrcamentoEstado/Paginas/DetalhePropostaAlteracao.aspx?BID=24825</t>
        </is>
      </c>
      <c r="AG1670" s="2" t="inlineStr">
        <is>
          <t>https://app.parlamento.pt/webutils/docs/doc.pdf?path=6148523063484d364c793942556b356c6443397a6158526c63793959566b6c4a544556484c3039464c7a49774d6a59794d4449314d5441774f5339515153396c4f5745785a47466b4d4330334e5445774c5451794f446b74596a6c6d4d43316d4f57466d596a4e6c4d6a49314d5749756347526d&amp;Fich=e9a1dad0-7510-4289-b9f0-f9afb3e2251b.pdf&amp;Inline=true</t>
        </is>
      </c>
      <c r="AH1670" s="3" t="n">
        <v>46321.77847222222</v>
      </c>
      <c r="AI1670" s="3" t="n">
        <v>46321.78055555555</v>
      </c>
      <c r="AJ1670" s="2" t="inlineStr"/>
    </row>
    <row r="1671">
      <c r="A1671" s="2" t="n">
        <v>1670</v>
      </c>
      <c r="B1671" s="2" t="inlineStr">
        <is>
          <t>1578C</t>
        </is>
      </c>
      <c r="C1671" s="3" t="n">
        <v>45968.64861111111</v>
      </c>
      <c r="D1671" s="2" t="inlineStr">
        <is>
          <t>Retirada</t>
        </is>
      </c>
      <c r="E1671" s="2" t="inlineStr">
        <is>
          <t>PSD</t>
        </is>
      </c>
      <c r="F1671" s="2" t="inlineStr">
        <is>
          <t>Paulo Neves; Pedro Coelho; Vânia Jesus</t>
        </is>
      </c>
      <c r="G1671" s="2" t="inlineStr">
        <is>
          <t>Art. 110.º-A (aditamento)</t>
        </is>
      </c>
      <c r="H1671" s="2" t="n"/>
      <c r="I1671" s="2" t="n"/>
      <c r="J1671" s="2" t="n"/>
      <c r="K1671" s="2" t="n"/>
      <c r="L1671" s="2" t="inlineStr">
        <is>
          <t>Artigo 110.º-A (Aplicação do mecanismo de recuperação do valor equivalente ao IVA no âmbito dos Investimentos PRR das Regiões Autónomas)</t>
        </is>
      </c>
      <c r="M1671" s="4" t="n"/>
      <c r="N1671" s="4" t="n"/>
      <c r="O1671" s="2" t="n"/>
      <c r="P1671" s="2" t="n"/>
      <c r="Q1671" s="2" t="n"/>
      <c r="R1671" s="2" t="n"/>
      <c r="S1671" s="2" t="inlineStr">
        <is>
          <t>Retirado(a)</t>
        </is>
      </c>
      <c r="T1671" s="2" t="inlineStr">
        <is>
          <t>Retirada</t>
        </is>
      </c>
      <c r="U1671" s="2" t="inlineStr"/>
      <c r="V1671" s="3" t="n"/>
      <c r="W1671" s="2" t="inlineStr">
        <is>
          <t>AR: https://www.parlamento.pt/OrcamentoEstado/Paginas/DetalhePropostaAlteracao.aspx?BID=24826 PDF: https://app.parlamento.pt/webutils/docs/doc.pdf?path=6148523063484d364c793942556b356c6443397a6158526c63793959566b6c4a544556484c3039464c7a49774d6a59794d4449314d5441774f5339515153396b4d446c6d4d54637a4f5331694e7a566c4c54526b4d474d744f474e6d4d4331684e7a417a4e6a566d5a6d5a6b4d6a55756347526d&amp;Fich=d09f1739-b75e-4d0c-8cf0-a70365fffd25.pdf&amp;Inline=true</t>
        </is>
      </c>
      <c r="X1671" s="2" t="inlineStr">
        <is>
          <t>Orçamento, Finanças e Administração Pública</t>
        </is>
      </c>
      <c r="Y1671" s="2" t="inlineStr">
        <is>
          <t>Articulado</t>
        </is>
      </c>
      <c r="Z1671" s="2" t="inlineStr">
        <is>
          <t>Aditamento (Artigo PPL)</t>
        </is>
      </c>
      <c r="AA1671" s="2" t="inlineStr">
        <is>
          <t>Retirado(a)</t>
        </is>
      </c>
      <c r="AB1671" s="2" t="inlineStr"/>
      <c r="AC1671" s="2" t="inlineStr"/>
      <c r="AD1671" s="2" t="inlineStr">
        <is>
          <t>0</t>
        </is>
      </c>
      <c r="AE1671" s="2" t="inlineStr">
        <is>
          <t>24826</t>
        </is>
      </c>
      <c r="AF1671" s="2" t="inlineStr">
        <is>
          <t>https://www.parlamento.pt/OrcamentoEstado/Paginas/DetalhePropostaAlteracao.aspx?BID=24826</t>
        </is>
      </c>
      <c r="AG1671" s="2" t="inlineStr">
        <is>
          <t>https://app.parlamento.pt/webutils/docs/doc.pdf?path=6148523063484d364c793942556b356c6443397a6158526c63793959566b6c4a544556484c3039464c7a49774d6a59794d4449314d5441774f5339515153396b4d446c6d4d54637a4f5331694e7a566c4c54526b4d474d744f474e6d4d4331684e7a417a4e6a566d5a6d5a6b4d6a55756347526d&amp;Fich=d09f1739-b75e-4d0c-8cf0-a70365fffd25.pdf&amp;Inline=true</t>
        </is>
      </c>
      <c r="AH1671" s="3" t="n">
        <v>46321.77847222222</v>
      </c>
      <c r="AI1671" s="3" t="n">
        <v>46321.78055555555</v>
      </c>
      <c r="AJ1671" s="2" t="inlineStr"/>
    </row>
    <row r="1672">
      <c r="A1672" s="2" t="n">
        <v>1671</v>
      </c>
      <c r="B1672" s="2" t="inlineStr">
        <is>
          <t>1579C</t>
        </is>
      </c>
      <c r="C1672" s="3" t="n">
        <v>45968.64861111111</v>
      </c>
      <c r="D1672" s="2" t="inlineStr">
        <is>
          <t>Original</t>
        </is>
      </c>
      <c r="E1672" s="2" t="inlineStr">
        <is>
          <t>CH</t>
        </is>
      </c>
      <c r="F167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72" s="2" t="inlineStr">
        <is>
          <t>Art. 136.º-A (aditamento)</t>
        </is>
      </c>
      <c r="H1672" s="2" t="n"/>
      <c r="I1672" s="2" t="n"/>
      <c r="J1672" s="2" t="n"/>
      <c r="K1672" s="2" t="n"/>
      <c r="L1672" s="2" t="inlineStr">
        <is>
          <t>Artigo 136.º-A (Promoção de Casas Modulares para Arrendamento Estudantil)</t>
        </is>
      </c>
      <c r="M1672" s="4" t="n"/>
      <c r="N1672" s="4" t="n"/>
      <c r="O1672" s="2" t="n"/>
      <c r="P1672" s="2" t="n"/>
      <c r="Q1672" s="2" t="n"/>
      <c r="R1672" s="2" t="n"/>
      <c r="S1672" s="2" t="inlineStr">
        <is>
          <t>Rejeitado(a) em Comissão</t>
        </is>
      </c>
      <c r="T1672" s="2" t="inlineStr">
        <is>
          <t>Rejeitada</t>
        </is>
      </c>
      <c r="U1672" s="2" t="inlineStr">
        <is>
          <t>Favor: CH, BE, PAN; Contra: PSD, CDS-PP; Abstenção: PS, IL, L, PCP</t>
        </is>
      </c>
      <c r="V1672" s="3" t="n">
        <v>45987</v>
      </c>
      <c r="W1672" s="2" t="inlineStr">
        <is>
          <t>AR: https://www.parlamento.pt/OrcamentoEstado/Paginas/DetalhePropostaAlteracao.aspx?BID=24827 PDF: https://app.parlamento.pt/webutils/docs/doc.pdf?path=6148523063484d364c793942556b356c6443397a6158526c63793959566b6c4a544556484c3039464c7a49774d6a59794d4449314d5441774f5339515153396b5957557a597a67784d5330354e6d566a4c5451324d6d49744f446733595330304d6a6c6b5a6d5a694e54466a5a5459756347526d&amp;Fich=dae3c811-96ec-462b-887a-429dffb51ce6.pdf&amp;Inline=true</t>
        </is>
      </c>
      <c r="X1672" s="2" t="inlineStr">
        <is>
          <t>Educação e Ciência</t>
        </is>
      </c>
      <c r="Y1672" s="2" t="inlineStr">
        <is>
          <t>Articulado</t>
        </is>
      </c>
      <c r="Z1672" s="2" t="inlineStr">
        <is>
          <t>Aditamento (Artigo PPL)</t>
        </is>
      </c>
      <c r="AA1672" s="2" t="inlineStr">
        <is>
          <t>Rejeitado(a) em Comissão</t>
        </is>
      </c>
      <c r="AB1672" s="2" t="inlineStr"/>
      <c r="AC1672" s="2" t="inlineStr"/>
      <c r="AD1672" s="2" t="inlineStr">
        <is>
          <t>1</t>
        </is>
      </c>
      <c r="AE1672" s="2" t="inlineStr">
        <is>
          <t>24827</t>
        </is>
      </c>
      <c r="AF1672" s="2" t="inlineStr">
        <is>
          <t>https://www.parlamento.pt/OrcamentoEstado/Paginas/DetalhePropostaAlteracao.aspx?BID=24827</t>
        </is>
      </c>
      <c r="AG1672" s="2" t="inlineStr">
        <is>
          <t>https://app.parlamento.pt/webutils/docs/doc.pdf?path=6148523063484d364c793942556b356c6443397a6158526c63793959566b6c4a544556484c3039464c7a49774d6a59794d4449314d5441774f5339515153396b5957557a597a67784d5330354e6d566a4c5451324d6d49744f446733595330304d6a6c6b5a6d5a694e54466a5a5459756347526d&amp;Fich=dae3c811-96ec-462b-887a-429dffb51ce6.pdf&amp;Inline=true</t>
        </is>
      </c>
      <c r="AH1672" s="3" t="n">
        <v>46321.77847222222</v>
      </c>
      <c r="AI1672" s="3" t="n">
        <v>46321.78055555555</v>
      </c>
      <c r="AJ1672" s="2" t="inlineStr"/>
    </row>
    <row r="1673">
      <c r="A1673" s="2" t="n">
        <v>1672</v>
      </c>
      <c r="B1673" s="2" t="inlineStr">
        <is>
          <t>1580C</t>
        </is>
      </c>
      <c r="C1673" s="3" t="n">
        <v>45968.64861111111</v>
      </c>
      <c r="D1673" s="2" t="inlineStr">
        <is>
          <t>Original</t>
        </is>
      </c>
      <c r="E1673" s="2" t="inlineStr">
        <is>
          <t>CH</t>
        </is>
      </c>
      <c r="F167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73" s="2" t="inlineStr">
        <is>
          <t>Art. 136.º-A (aditamento)</t>
        </is>
      </c>
      <c r="H1673" s="2" t="n"/>
      <c r="I1673" s="2" t="n"/>
      <c r="J1673" s="2" t="n"/>
      <c r="K1673" s="2" t="n"/>
      <c r="L1673" s="2" t="inlineStr">
        <is>
          <t>Artigo 136.º-A (Programa de Valorização das Artes e Ofícios Tradicionais)</t>
        </is>
      </c>
      <c r="M1673" s="4" t="n"/>
      <c r="N1673" s="4" t="n"/>
      <c r="O1673" s="2" t="n"/>
      <c r="P1673" s="2" t="n"/>
      <c r="Q1673" s="2" t="n"/>
      <c r="R1673" s="2" t="n"/>
      <c r="S1673" s="2" t="inlineStr">
        <is>
          <t>Rejeitado(a) em Comissão</t>
        </is>
      </c>
      <c r="T1673" s="2" t="inlineStr">
        <is>
          <t>Rejeitada</t>
        </is>
      </c>
      <c r="U1673" s="2" t="inlineStr">
        <is>
          <t>Favor: CH, IL, BE, PAN; Contra: PSD, L, CDS-PP; Abstenção: PS, PCP</t>
        </is>
      </c>
      <c r="V1673" s="3" t="n">
        <v>45987</v>
      </c>
      <c r="W1673" s="2" t="inlineStr">
        <is>
          <t>AR: https://www.parlamento.pt/OrcamentoEstado/Paginas/DetalhePropostaAlteracao.aspx?BID=24828 PDF: https://app.parlamento.pt/webutils/docs/doc.pdf?path=6148523063484d364c793942556b356c6443397a6158526c63793959566b6c4a544556484c3039464c7a49774d6a59794d4449314d5441774f533951515338304f44686c5a54457a4d5330315a6d55344c54526a596d51744f4749354e7931694f44646d4e4745794e4755784f5449756347526d&amp;Fich=488ee131-5fe8-4cbd-8b97-b87f4a24e192.pdf&amp;Inline=true</t>
        </is>
      </c>
      <c r="X1673" s="2" t="inlineStr">
        <is>
          <t>Educação e Ciência</t>
        </is>
      </c>
      <c r="Y1673" s="2" t="inlineStr">
        <is>
          <t>Articulado</t>
        </is>
      </c>
      <c r="Z1673" s="2" t="inlineStr">
        <is>
          <t>Aditamento (Artigo PPL)</t>
        </is>
      </c>
      <c r="AA1673" s="2" t="inlineStr">
        <is>
          <t>Rejeitado(a) em Comissão</t>
        </is>
      </c>
      <c r="AB1673" s="2" t="inlineStr"/>
      <c r="AC1673" s="2" t="inlineStr"/>
      <c r="AD1673" s="2" t="inlineStr">
        <is>
          <t>1</t>
        </is>
      </c>
      <c r="AE1673" s="2" t="inlineStr">
        <is>
          <t>24828</t>
        </is>
      </c>
      <c r="AF1673" s="2" t="inlineStr">
        <is>
          <t>https://www.parlamento.pt/OrcamentoEstado/Paginas/DetalhePropostaAlteracao.aspx?BID=24828</t>
        </is>
      </c>
      <c r="AG1673" s="2" t="inlineStr">
        <is>
          <t>https://app.parlamento.pt/webutils/docs/doc.pdf?path=6148523063484d364c793942556b356c6443397a6158526c63793959566b6c4a544556484c3039464c7a49774d6a59794d4449314d5441774f533951515338304f44686c5a54457a4d5330315a6d55344c54526a596d51744f4749354e7931694f44646d4e4745794e4755784f5449756347526d&amp;Fich=488ee131-5fe8-4cbd-8b97-b87f4a24e192.pdf&amp;Inline=true</t>
        </is>
      </c>
      <c r="AH1673" s="3" t="n">
        <v>46321.77847222222</v>
      </c>
      <c r="AI1673" s="3" t="n">
        <v>46321.78055555555</v>
      </c>
      <c r="AJ1673" s="2" t="inlineStr"/>
    </row>
    <row r="1674">
      <c r="A1674" s="2" t="n">
        <v>1673</v>
      </c>
      <c r="B1674" s="2" t="inlineStr">
        <is>
          <t>1581C</t>
        </is>
      </c>
      <c r="C1674" s="3" t="n">
        <v>45968.64930555555</v>
      </c>
      <c r="D1674" s="2" t="inlineStr">
        <is>
          <t>Original</t>
        </is>
      </c>
      <c r="E1674" s="2" t="inlineStr">
        <is>
          <t>PS</t>
        </is>
      </c>
      <c r="F1674" s="2" t="inlineStr">
        <is>
          <t>Aida Carvalho; António Mendonça Mendes; Eurico Brilhante Dias; José Luís Carneiro; Marina Gonçalves; Miguel Matos; Porfírio Silva</t>
        </is>
      </c>
      <c r="G1674" s="2" t="inlineStr">
        <is>
          <t>Art. 118.º-A (aditamento)</t>
        </is>
      </c>
      <c r="H1674" s="2" t="n"/>
      <c r="I1674" s="2" t="n"/>
      <c r="J1674" s="2" t="n"/>
      <c r="K1674" s="2" t="n"/>
      <c r="L1674" s="2" t="inlineStr">
        <is>
          <t>Artigo 118.º-A (Atualização das tabelas dos valores anuais a atribuir aos cursos profissionais e revisão do valor do apoio financeiro dos contratos de patrocínio e dos contratos de cooperação)</t>
        </is>
      </c>
      <c r="M1674" s="4" t="n"/>
      <c r="N1674" s="4" t="n"/>
      <c r="O1674" s="2" t="n"/>
      <c r="P1674" s="2" t="n"/>
      <c r="Q1674" s="2" t="n"/>
      <c r="R1674" s="2" t="n"/>
      <c r="S1674" s="2" t="inlineStr">
        <is>
          <t>Aprovado(a) em Comissão</t>
        </is>
      </c>
      <c r="T1674" s="2" t="inlineStr">
        <is>
          <t>Aprovada</t>
        </is>
      </c>
      <c r="U1674" s="2" t="inlineStr">
        <is>
          <t>Favor: CH, PS, IL, L, PCP, BE, PAN; Contra: PSD, CDS-PP</t>
        </is>
      </c>
      <c r="V1674" s="3" t="n">
        <v>45985</v>
      </c>
      <c r="W1674" s="2" t="inlineStr">
        <is>
          <t>AR: https://www.parlamento.pt/OrcamentoEstado/Paginas/DetalhePropostaAlteracao.aspx?BID=24829 PDF: https://app.parlamento.pt/webutils/docs/doc.pdf?path=6148523063484d364c793942556b356c6443397a6158526c63793959566b6c4a544556484c3039464c7a49774d6a59794d4449314d5441774f533951515339695a5746694f54426c4d79316d4d6a51794c5451344d4449744f54686c4e5330314e44517a5a544d304e574a6b4e3245756347526d&amp;Fich=beab90e3-f242-4802-98e5-5443e345bd7a.pdf&amp;Inline=true</t>
        </is>
      </c>
      <c r="X1674" s="2" t="inlineStr">
        <is>
          <t>Educação e Ciência; Orçamento, Finanças e Administração Pública</t>
        </is>
      </c>
      <c r="Y1674" s="2" t="inlineStr">
        <is>
          <t>Articulado</t>
        </is>
      </c>
      <c r="Z1674" s="2" t="inlineStr">
        <is>
          <t>Aditamento (Artigo PPL)</t>
        </is>
      </c>
      <c r="AA1674" s="2" t="inlineStr">
        <is>
          <t>Aprovado(a) em Comissão</t>
        </is>
      </c>
      <c r="AB1674" s="2" t="inlineStr"/>
      <c r="AC1674" s="2" t="inlineStr"/>
      <c r="AD1674" s="2" t="inlineStr">
        <is>
          <t>1</t>
        </is>
      </c>
      <c r="AE1674" s="2" t="inlineStr">
        <is>
          <t>24829</t>
        </is>
      </c>
      <c r="AF1674" s="2" t="inlineStr">
        <is>
          <t>https://www.parlamento.pt/OrcamentoEstado/Paginas/DetalhePropostaAlteracao.aspx?BID=24829</t>
        </is>
      </c>
      <c r="AG1674" s="2" t="inlineStr">
        <is>
          <t>https://app.parlamento.pt/webutils/docs/doc.pdf?path=6148523063484d364c793942556b356c6443397a6158526c63793959566b6c4a544556484c3039464c7a49774d6a59794d4449314d5441774f533951515339695a5746694f54426c4d79316d4d6a51794c5451344d4449744f54686c4e5330314e44517a5a544d304e574a6b4e3245756347526d&amp;Fich=beab90e3-f242-4802-98e5-5443e345bd7a.pdf&amp;Inline=true</t>
        </is>
      </c>
      <c r="AH1674" s="3" t="n">
        <v>46321.77847222222</v>
      </c>
      <c r="AI1674" s="3" t="n">
        <v>46321.78055555555</v>
      </c>
      <c r="AJ1674" s="2" t="inlineStr"/>
    </row>
    <row r="1675">
      <c r="A1675" s="2" t="n">
        <v>1674</v>
      </c>
      <c r="B1675" s="2" t="inlineStr">
        <is>
          <t>1582C</t>
        </is>
      </c>
      <c r="C1675" s="3" t="n">
        <v>45968.64930555555</v>
      </c>
      <c r="D1675" s="2" t="inlineStr">
        <is>
          <t>Original</t>
        </is>
      </c>
      <c r="E1675" s="2" t="inlineStr">
        <is>
          <t>CH</t>
        </is>
      </c>
      <c r="F167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75" s="2" t="inlineStr">
        <is>
          <t>Art. 136.º-A (aditamento)</t>
        </is>
      </c>
      <c r="H1675" s="2" t="n"/>
      <c r="I1675" s="2" t="n"/>
      <c r="J1675" s="2" t="n"/>
      <c r="K1675" s="2" t="n"/>
      <c r="L1675" s="2" t="inlineStr">
        <is>
          <t>Artigo 136.º-A (Reforço do financiamento da Rede de Teatros e Cineteatros Portugueses (RTCP))</t>
        </is>
      </c>
      <c r="M1675" s="4" t="n"/>
      <c r="N1675" s="4" t="n"/>
      <c r="O1675" s="2" t="n"/>
      <c r="P1675" s="2" t="n"/>
      <c r="Q1675" s="2" t="n"/>
      <c r="R1675" s="2" t="n"/>
      <c r="S1675" s="2" t="inlineStr">
        <is>
          <t>Rejeitado(a) em Comissão</t>
        </is>
      </c>
      <c r="T1675" s="2" t="inlineStr">
        <is>
          <t>Rejeitada</t>
        </is>
      </c>
      <c r="U1675" s="2" t="inlineStr">
        <is>
          <t>Favor: BE, PAN; Contra: PSD, IL, CDS-PP; Abstenção: PS, L, PCP</t>
        </is>
      </c>
      <c r="V1675" s="3" t="n">
        <v>45987</v>
      </c>
      <c r="W1675" s="2" t="inlineStr">
        <is>
          <t>AR: https://www.parlamento.pt/OrcamentoEstado/Paginas/DetalhePropostaAlteracao.aspx?BID=24830 PDF: https://app.parlamento.pt/webutils/docs/doc.pdf?path=6148523063484d364c793942556b356c6443397a6158526c63793959566b6c4a544556484c3039464c7a49774d6a59794d4449314d5441774f533951515339695a6d45334d44457a4f53316a5a5467344c545178597a4974596d56694e79307a596a59344e475a6b5a474e6b4d4759756347526d&amp;Fich=bfa70139-ce88-41c2-beb7-3b684fddcd0f.pdf&amp;Inline=true</t>
        </is>
      </c>
      <c r="X1675" s="2" t="inlineStr">
        <is>
          <t>Cultura, Comunicação, Juventude e Desporto</t>
        </is>
      </c>
      <c r="Y1675" s="2" t="inlineStr">
        <is>
          <t>Articulado</t>
        </is>
      </c>
      <c r="Z1675" s="2" t="inlineStr">
        <is>
          <t>Aditamento (Artigo PPL)</t>
        </is>
      </c>
      <c r="AA1675" s="2" t="inlineStr">
        <is>
          <t>Rejeitado(a) em Comissão</t>
        </is>
      </c>
      <c r="AB1675" s="2" t="inlineStr"/>
      <c r="AC1675" s="2" t="inlineStr"/>
      <c r="AD1675" s="2" t="inlineStr">
        <is>
          <t>1</t>
        </is>
      </c>
      <c r="AE1675" s="2" t="inlineStr">
        <is>
          <t>24830</t>
        </is>
      </c>
      <c r="AF1675" s="2" t="inlineStr">
        <is>
          <t>https://www.parlamento.pt/OrcamentoEstado/Paginas/DetalhePropostaAlteracao.aspx?BID=24830</t>
        </is>
      </c>
      <c r="AG1675" s="2" t="inlineStr">
        <is>
          <t>https://app.parlamento.pt/webutils/docs/doc.pdf?path=6148523063484d364c793942556b356c6443397a6158526c63793959566b6c4a544556484c3039464c7a49774d6a59794d4449314d5441774f533951515339695a6d45334d44457a4f53316a5a5467344c545178597a4974596d56694e79307a596a59344e475a6b5a474e6b4d4759756347526d&amp;Fich=bfa70139-ce88-41c2-beb7-3b684fddcd0f.pdf&amp;Inline=true</t>
        </is>
      </c>
      <c r="AH1675" s="3" t="n">
        <v>46321.77847222222</v>
      </c>
      <c r="AI1675" s="3" t="n">
        <v>46321.78055555555</v>
      </c>
      <c r="AJ1675" s="2" t="inlineStr"/>
    </row>
    <row r="1676">
      <c r="A1676" s="2" t="n">
        <v>1675</v>
      </c>
      <c r="B1676" s="2" t="inlineStr">
        <is>
          <t>1583C</t>
        </is>
      </c>
      <c r="C1676" s="3" t="n">
        <v>45968.64930555555</v>
      </c>
      <c r="D1676" s="2" t="inlineStr">
        <is>
          <t>Original</t>
        </is>
      </c>
      <c r="E1676" s="2" t="inlineStr">
        <is>
          <t>CH</t>
        </is>
      </c>
      <c r="F167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76" s="2" t="inlineStr">
        <is>
          <t>Art. 136.º-A (aditamento)</t>
        </is>
      </c>
      <c r="H1676" s="2" t="n"/>
      <c r="I1676" s="2" t="n"/>
      <c r="J1676" s="2" t="n"/>
      <c r="K1676" s="2" t="n"/>
      <c r="L1676" s="2" t="inlineStr">
        <is>
          <t>Artigo 136.º-A (Regularização dos vínculos laborais dos Técnicos Especializados para Outras Funções)</t>
        </is>
      </c>
      <c r="M1676" s="4" t="n"/>
      <c r="N1676" s="4" t="n"/>
      <c r="O1676" s="2" t="n"/>
      <c r="P1676" s="2" t="n"/>
      <c r="Q1676" s="2" t="n"/>
      <c r="R1676" s="2" t="n"/>
      <c r="S1676" s="2" t="inlineStr">
        <is>
          <t>Rejeitado(a) em Comissão</t>
        </is>
      </c>
      <c r="T1676" s="2" t="inlineStr">
        <is>
          <t>Rejeitada</t>
        </is>
      </c>
      <c r="U1676" s="2" t="inlineStr">
        <is>
          <t>Favor: CH, BE, PAN; Contra: PSD, CDS-PP; Abstenção: PS, IL, L, PCP</t>
        </is>
      </c>
      <c r="V1676" s="3" t="n">
        <v>45987</v>
      </c>
      <c r="W1676" s="2" t="inlineStr">
        <is>
          <t>AR: https://www.parlamento.pt/OrcamentoEstado/Paginas/DetalhePropostaAlteracao.aspx?BID=24831 PDF: https://app.parlamento.pt/webutils/docs/doc.pdf?path=6148523063484d364c793942556b356c6443397a6158526c63793959566b6c4a544556484c3039464c7a49774d6a59794d4449314d5441774f5339515153396c4d7a55344e6d59795969316a596a51354c54517a59324d744f44466a4d5330314e544a6c4e4455305a5463304e7a51756347526d&amp;Fich=e3586f2b-cb49-43cc-81c1-552e454e7474.pdf&amp;Inline=true</t>
        </is>
      </c>
      <c r="X1676" s="2" t="inlineStr">
        <is>
          <t>Educação e Ciência</t>
        </is>
      </c>
      <c r="Y1676" s="2" t="inlineStr">
        <is>
          <t>Articulado</t>
        </is>
      </c>
      <c r="Z1676" s="2" t="inlineStr">
        <is>
          <t>Aditamento (Artigo PPL)</t>
        </is>
      </c>
      <c r="AA1676" s="2" t="inlineStr">
        <is>
          <t>Rejeitado(a) em Comissão</t>
        </is>
      </c>
      <c r="AB1676" s="2" t="inlineStr"/>
      <c r="AC1676" s="2" t="inlineStr"/>
      <c r="AD1676" s="2" t="inlineStr">
        <is>
          <t>1</t>
        </is>
      </c>
      <c r="AE1676" s="2" t="inlineStr">
        <is>
          <t>24831</t>
        </is>
      </c>
      <c r="AF1676" s="2" t="inlineStr">
        <is>
          <t>https://www.parlamento.pt/OrcamentoEstado/Paginas/DetalhePropostaAlteracao.aspx?BID=24831</t>
        </is>
      </c>
      <c r="AG1676" s="2" t="inlineStr">
        <is>
          <t>https://app.parlamento.pt/webutils/docs/doc.pdf?path=6148523063484d364c793942556b356c6443397a6158526c63793959566b6c4a544556484c3039464c7a49774d6a59794d4449314d5441774f5339515153396c4d7a55344e6d59795969316a596a51354c54517a59324d744f44466a4d5330314e544a6c4e4455305a5463304e7a51756347526d&amp;Fich=e3586f2b-cb49-43cc-81c1-552e454e7474.pdf&amp;Inline=true</t>
        </is>
      </c>
      <c r="AH1676" s="3" t="n">
        <v>46321.77847222222</v>
      </c>
      <c r="AI1676" s="3" t="n">
        <v>46321.78055555555</v>
      </c>
      <c r="AJ1676" s="2" t="inlineStr"/>
    </row>
    <row r="1677">
      <c r="A1677" s="2" t="n">
        <v>1676</v>
      </c>
      <c r="B1677" s="2" t="inlineStr">
        <is>
          <t>1584C</t>
        </is>
      </c>
      <c r="C1677" s="3" t="n">
        <v>45968.65</v>
      </c>
      <c r="D1677" s="2" t="inlineStr">
        <is>
          <t>Original</t>
        </is>
      </c>
      <c r="E1677" s="2" t="inlineStr">
        <is>
          <t>PS</t>
        </is>
      </c>
      <c r="F1677" s="2" t="inlineStr">
        <is>
          <t>Aida Carvalho; António Mendonça Mendes; Eurico Brilhante Dias; José Luís Carneiro; Marina Gonçalves; Miguel Matos; Porfírio Silva</t>
        </is>
      </c>
      <c r="G1677" s="2" t="inlineStr">
        <is>
          <t>Art. 21.º-A (aditamento)</t>
        </is>
      </c>
      <c r="H1677" s="2" t="n"/>
      <c r="I1677" s="2" t="n"/>
      <c r="J1677" s="2" t="n"/>
      <c r="K1677" s="2" t="n"/>
      <c r="L1677" s="2" t="inlineStr">
        <is>
          <t>Artigo 21.º-A (Estágios remunerados nos mestrados em ensino)</t>
        </is>
      </c>
      <c r="M1677" s="4" t="n"/>
      <c r="N1677" s="4" t="n"/>
      <c r="O1677" s="2" t="n"/>
      <c r="P1677" s="2" t="n"/>
      <c r="Q1677" s="2" t="n"/>
      <c r="R1677" s="2" t="n"/>
      <c r="S1677" s="2" t="inlineStr">
        <is>
          <t>Aprovado(a) em Comissão</t>
        </is>
      </c>
      <c r="T1677" s="2" t="inlineStr">
        <is>
          <t>Aprovada</t>
        </is>
      </c>
      <c r="U1677" s="2" t="inlineStr">
        <is>
          <t>Favor: CH, PS, IL, PCP, BE, PAN; Contra: PSD, CDS-PP; Abstenção: L</t>
        </is>
      </c>
      <c r="V1677" s="3" t="n">
        <v>45981</v>
      </c>
      <c r="W1677" s="2" t="inlineStr">
        <is>
          <t>AR: https://www.parlamento.pt/OrcamentoEstado/Paginas/DetalhePropostaAlteracao.aspx?BID=24832 PDF: https://app.parlamento.pt/webutils/docs/doc.pdf?path=6148523063484d364c793942556b356c6443397a6158526c63793959566b6c4a544556484c3039464c7a49774d6a59794d4449314d5441774f5339515153396b4e6a51334f574a6b4e5330775a444d794c54526a597a5574596a45314e43316a4f445131595759344d7a45344e4745756347526d&amp;Fich=d6479bd5-0d32-4cc5-b154-c845af83184a.pdf&amp;Inline=true</t>
        </is>
      </c>
      <c r="X1677" s="2" t="inlineStr">
        <is>
          <t>Educação e Ciência; Orçamento, Finanças e Administração Pública</t>
        </is>
      </c>
      <c r="Y1677" s="2" t="inlineStr">
        <is>
          <t>Articulado</t>
        </is>
      </c>
      <c r="Z1677" s="2" t="inlineStr">
        <is>
          <t>Aditamento (Artigo PPL)</t>
        </is>
      </c>
      <c r="AA1677" s="2" t="inlineStr">
        <is>
          <t>Aprovado(a) em Comissão</t>
        </is>
      </c>
      <c r="AB1677" s="2" t="inlineStr"/>
      <c r="AC1677" s="2" t="inlineStr"/>
      <c r="AD1677" s="2" t="inlineStr">
        <is>
          <t>1</t>
        </is>
      </c>
      <c r="AE1677" s="2" t="inlineStr">
        <is>
          <t>24832</t>
        </is>
      </c>
      <c r="AF1677" s="2" t="inlineStr">
        <is>
          <t>https://www.parlamento.pt/OrcamentoEstado/Paginas/DetalhePropostaAlteracao.aspx?BID=24832</t>
        </is>
      </c>
      <c r="AG1677" s="2" t="inlineStr">
        <is>
          <t>https://app.parlamento.pt/webutils/docs/doc.pdf?path=6148523063484d364c793942556b356c6443397a6158526c63793959566b6c4a544556484c3039464c7a49774d6a59794d4449314d5441774f5339515153396b4e6a51334f574a6b4e5330775a444d794c54526a597a5574596a45314e43316a4f445131595759344d7a45344e4745756347526d&amp;Fich=d6479bd5-0d32-4cc5-b154-c845af83184a.pdf&amp;Inline=true</t>
        </is>
      </c>
      <c r="AH1677" s="3" t="n">
        <v>46321.77847222222</v>
      </c>
      <c r="AI1677" s="3" t="n">
        <v>46321.78055555555</v>
      </c>
      <c r="AJ1677" s="2" t="inlineStr"/>
    </row>
    <row r="1678">
      <c r="A1678" s="2" t="n">
        <v>1677</v>
      </c>
      <c r="B1678" s="2" t="inlineStr">
        <is>
          <t>1585C</t>
        </is>
      </c>
      <c r="C1678" s="3" t="n">
        <v>45968.65</v>
      </c>
      <c r="D1678" s="2" t="inlineStr">
        <is>
          <t>Original</t>
        </is>
      </c>
      <c r="E1678" s="2" t="inlineStr">
        <is>
          <t>CH</t>
        </is>
      </c>
      <c r="F167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78" s="2" t="inlineStr">
        <is>
          <t>Art. 136.º-A (aditamento)</t>
        </is>
      </c>
      <c r="H1678" s="2" t="n"/>
      <c r="I1678" s="2" t="n"/>
      <c r="J1678" s="2" t="n"/>
      <c r="K1678" s="2" t="n"/>
      <c r="L1678" s="2" t="inlineStr">
        <is>
          <t>Artigo 136.º-A (Remoção de portagens na Ponte da Lezíria e na Autoestrada A13)</t>
        </is>
      </c>
      <c r="M1678" s="4" t="n"/>
      <c r="N1678" s="4" t="n"/>
      <c r="O1678" s="2" t="n"/>
      <c r="P1678" s="2" t="n"/>
      <c r="Q1678" s="2" t="n"/>
      <c r="R1678" s="2" t="n"/>
      <c r="S1678" s="2" t="inlineStr">
        <is>
          <t>Rejeitado(a) em Comissão</t>
        </is>
      </c>
      <c r="T1678" s="2" t="inlineStr">
        <is>
          <t>Rejeitada</t>
        </is>
      </c>
      <c r="U1678" s="2" t="inlineStr">
        <is>
          <t>Favor: CH, BE, PAN; Contra: PSD, IL, CDS-PP; Abstenção: PS, L, PCP</t>
        </is>
      </c>
      <c r="V1678" s="3" t="n">
        <v>45987</v>
      </c>
      <c r="W1678" s="2" t="inlineStr">
        <is>
          <t>AR: https://www.parlamento.pt/OrcamentoEstado/Paginas/DetalhePropostaAlteracao.aspx?BID=24833 PDF: https://app.parlamento.pt/webutils/docs/doc.pdf?path=6148523063484d364c793942556b356c6443397a6158526c63793959566b6c4a544556484c3039464c7a49774d6a59794d4449314d5441774f5339515153396d4e474e69596d4d345a69307a4d4755784c54526c5a6d5574596d517a5a69316d4f5459324e6a56695a575a6d4d4451756347526d&amp;Fich=f4cbbc8f-30e1-4efe-bd3f-f96665beff04.pdf&amp;Inline=true</t>
        </is>
      </c>
      <c r="X1678" s="2" t="inlineStr">
        <is>
          <t>Infraestruturas, Mobilidade e Habitação</t>
        </is>
      </c>
      <c r="Y1678" s="2" t="inlineStr">
        <is>
          <t>Articulado</t>
        </is>
      </c>
      <c r="Z1678" s="2" t="inlineStr">
        <is>
          <t>Aditamento (Artigo PPL)</t>
        </is>
      </c>
      <c r="AA1678" s="2" t="inlineStr">
        <is>
          <t>Rejeitado(a) em Comissão</t>
        </is>
      </c>
      <c r="AB1678" s="2" t="inlineStr"/>
      <c r="AC1678" s="2" t="inlineStr"/>
      <c r="AD1678" s="2" t="inlineStr">
        <is>
          <t>1</t>
        </is>
      </c>
      <c r="AE1678" s="2" t="inlineStr">
        <is>
          <t>24833</t>
        </is>
      </c>
      <c r="AF1678" s="2" t="inlineStr">
        <is>
          <t>https://www.parlamento.pt/OrcamentoEstado/Paginas/DetalhePropostaAlteracao.aspx?BID=24833</t>
        </is>
      </c>
      <c r="AG1678" s="2" t="inlineStr">
        <is>
          <t>https://app.parlamento.pt/webutils/docs/doc.pdf?path=6148523063484d364c793942556b356c6443397a6158526c63793959566b6c4a544556484c3039464c7a49774d6a59794d4449314d5441774f5339515153396d4e474e69596d4d345a69307a4d4755784c54526c5a6d5574596d517a5a69316d4f5459324e6a56695a575a6d4d4451756347526d&amp;Fich=f4cbbc8f-30e1-4efe-bd3f-f96665beff04.pdf&amp;Inline=true</t>
        </is>
      </c>
      <c r="AH1678" s="3" t="n">
        <v>46321.77847222222</v>
      </c>
      <c r="AI1678" s="3" t="n">
        <v>46321.78055555555</v>
      </c>
      <c r="AJ1678" s="2" t="inlineStr"/>
    </row>
    <row r="1679">
      <c r="A1679" s="2" t="n">
        <v>1678</v>
      </c>
      <c r="B1679" s="2" t="inlineStr">
        <is>
          <t>1586C</t>
        </is>
      </c>
      <c r="C1679" s="3" t="n">
        <v>45968.65069444444</v>
      </c>
      <c r="D1679" s="2" t="inlineStr">
        <is>
          <t>Original</t>
        </is>
      </c>
      <c r="E1679" s="2" t="inlineStr">
        <is>
          <t>Vários</t>
        </is>
      </c>
      <c r="F1679" s="2" t="inlineStr">
        <is>
          <t>Alberto Fonseca; António Rodrigues; Eva Brás Pinho; Francisco Pimentel; Hugo Carneiro; Hugo Soares; Nuno Jorge Gonçalves; Paulo Lopes Marcelo; João Pinho de Almeida; Paulo Núncio</t>
        </is>
      </c>
      <c r="G1679" s="2" t="inlineStr">
        <is>
          <t>Art. 113.º-A (aditamento)</t>
        </is>
      </c>
      <c r="H1679" s="2" t="n"/>
      <c r="I1679" s="2" t="n"/>
      <c r="J1679" s="2" t="n"/>
      <c r="K1679" s="2" t="n"/>
      <c r="L1679" s="2" t="inlineStr">
        <is>
          <t>Artigo 113.º-A (Acesso das entidades detentoras de corpos de bombeiros ao Programa de Remoção de Amianto)</t>
        </is>
      </c>
      <c r="M1679" s="4" t="n"/>
      <c r="N1679" s="4" t="n"/>
      <c r="O1679" s="2" t="n"/>
      <c r="P1679" s="2" t="n"/>
      <c r="Q1679" s="2" t="n"/>
      <c r="R1679" s="2" t="n"/>
      <c r="S1679" s="2" t="inlineStr">
        <is>
          <t>Aprovado(a) por Unanimidade em Comissão</t>
        </is>
      </c>
      <c r="T1679" s="2" t="inlineStr">
        <is>
          <t>Aprovada</t>
        </is>
      </c>
      <c r="U1679" s="2" t="inlineStr">
        <is>
          <t>Favor: PSD, CH, PS, IL, L, CDS-PP, BE, PAN</t>
        </is>
      </c>
      <c r="V1679" s="3" t="n">
        <v>45985</v>
      </c>
      <c r="W1679" s="2" t="inlineStr">
        <is>
          <t>AR: https://www.parlamento.pt/OrcamentoEstado/Paginas/DetalhePropostaAlteracao.aspx?BID=24834 PDF: https://app.parlamento.pt/webutils/docs/doc.pdf?path=6148523063484d364c793942556b356c6443397a6158526c63793959566b6c4a544556484c3039464c7a49774d6a59794d4449314d5441774f5339515153396a4e474d344d6a497a5a533030597a6b304c545130596d45744f5451794d793030595468684e7a646a4d54426d4e6a49756347526d&amp;Fich=c4c8223e-4c94-44ba-9423-4a8a77c10f62.pdf&amp;Inline=true</t>
        </is>
      </c>
      <c r="X1679" s="2" t="inlineStr">
        <is>
          <t>Assuntos Constitucionais, Direitos, Liberdades e Garantias</t>
        </is>
      </c>
      <c r="Y1679" s="2" t="inlineStr">
        <is>
          <t>Articulado</t>
        </is>
      </c>
      <c r="Z1679" s="2" t="inlineStr">
        <is>
          <t>Aditamento (Artigo PPL)</t>
        </is>
      </c>
      <c r="AA1679" s="2" t="inlineStr">
        <is>
          <t>Aprovado(a) por Unanimidade em Comissão</t>
        </is>
      </c>
      <c r="AB1679" s="2" t="inlineStr"/>
      <c r="AC1679" s="2" t="inlineStr"/>
      <c r="AD1679" s="2" t="inlineStr">
        <is>
          <t>1</t>
        </is>
      </c>
      <c r="AE1679" s="2" t="inlineStr">
        <is>
          <t>24834</t>
        </is>
      </c>
      <c r="AF1679" s="2" t="inlineStr">
        <is>
          <t>https://www.parlamento.pt/OrcamentoEstado/Paginas/DetalhePropostaAlteracao.aspx?BID=24834</t>
        </is>
      </c>
      <c r="AG1679" s="2" t="inlineStr">
        <is>
          <t>https://app.parlamento.pt/webutils/docs/doc.pdf?path=6148523063484d364c793942556b356c6443397a6158526c63793959566b6c4a544556484c3039464c7a49774d6a59794d4449314d5441774f5339515153396a4e474d344d6a497a5a533030597a6b304c545130596d45744f5451794d793030595468684e7a646a4d54426d4e6a49756347526d&amp;Fich=c4c8223e-4c94-44ba-9423-4a8a77c10f62.pdf&amp;Inline=true</t>
        </is>
      </c>
      <c r="AH1679" s="3" t="n">
        <v>46321.77847222222</v>
      </c>
      <c r="AI1679" s="3" t="n">
        <v>46321.78055555555</v>
      </c>
      <c r="AJ1679" s="2" t="inlineStr"/>
    </row>
    <row r="1680">
      <c r="A1680" s="2" t="n">
        <v>1679</v>
      </c>
      <c r="B1680" s="2" t="inlineStr">
        <is>
          <t>1587C</t>
        </is>
      </c>
      <c r="C1680" s="3" t="n">
        <v>45968.65069444444</v>
      </c>
      <c r="D1680" s="2" t="inlineStr">
        <is>
          <t>Original</t>
        </is>
      </c>
      <c r="E1680" s="2" t="inlineStr">
        <is>
          <t>CH</t>
        </is>
      </c>
      <c r="F168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80" s="2" t="inlineStr">
        <is>
          <t>Art. 136.º-A (aditamento)</t>
        </is>
      </c>
      <c r="H1680" s="2" t="n"/>
      <c r="I1680" s="2" t="n"/>
      <c r="J1680" s="2" t="n"/>
      <c r="K1680" s="2" t="n"/>
      <c r="L1680" s="2" t="inlineStr">
        <is>
          <t>Artigo 136.º-A (Criação de uma Agenda de Avaliação dos Impactos da Execução do Plano de Recuperação e Resiliência (PRR)</t>
        </is>
      </c>
      <c r="M1680" s="4" t="n"/>
      <c r="N1680" s="4" t="n"/>
      <c r="O1680" s="2" t="n"/>
      <c r="P1680" s="2" t="n"/>
      <c r="Q1680" s="2" t="n"/>
      <c r="R1680" s="2" t="n"/>
      <c r="S1680" s="2" t="inlineStr">
        <is>
          <t>Rejeitado(a) em Comissão</t>
        </is>
      </c>
      <c r="T1680" s="2" t="inlineStr">
        <is>
          <t>Rejeitada</t>
        </is>
      </c>
      <c r="U1680" s="2" t="inlineStr">
        <is>
          <t>Favor: CH, IL, BE, PAN; Contra: PSD, CDS-PP; Abstenção: PS, L, PCP</t>
        </is>
      </c>
      <c r="V1680" s="3" t="n">
        <v>45987</v>
      </c>
      <c r="W1680" s="2" t="inlineStr">
        <is>
          <t>AR: https://www.parlamento.pt/OrcamentoEstado/Paginas/DetalhePropostaAlteracao.aspx?BID=24835 PDF: https://app.parlamento.pt/webutils/docs/doc.pdf?path=6148523063484d364c793942556b356c6443397a6158526c63793959566b6c4a544556484c3039464c7a49774d6a59794d4449314d5441774f533951515338354f446b325a5451314f43316d5a54526a4c5451794e6a4174596a4e6a4d43316b4e4449345a445178593249314d6a67756347526d&amp;Fich=9896e458-fe4c-4260-b3c0-d428d41cb528.pdf&amp;Inline=true</t>
        </is>
      </c>
      <c r="X1680" s="2" t="inlineStr">
        <is>
          <t>Comissão de Economia e Coesão Territorial</t>
        </is>
      </c>
      <c r="Y1680" s="2" t="inlineStr">
        <is>
          <t>Articulado</t>
        </is>
      </c>
      <c r="Z1680" s="2" t="inlineStr">
        <is>
          <t>Aditamento (Artigo PPL)</t>
        </is>
      </c>
      <c r="AA1680" s="2" t="inlineStr">
        <is>
          <t>Rejeitado(a) em Comissão</t>
        </is>
      </c>
      <c r="AB1680" s="2" t="inlineStr"/>
      <c r="AC1680" s="2" t="inlineStr"/>
      <c r="AD1680" s="2" t="inlineStr">
        <is>
          <t>1</t>
        </is>
      </c>
      <c r="AE1680" s="2" t="inlineStr">
        <is>
          <t>24835</t>
        </is>
      </c>
      <c r="AF1680" s="2" t="inlineStr">
        <is>
          <t>https://www.parlamento.pt/OrcamentoEstado/Paginas/DetalhePropostaAlteracao.aspx?BID=24835</t>
        </is>
      </c>
      <c r="AG1680" s="2" t="inlineStr">
        <is>
          <t>https://app.parlamento.pt/webutils/docs/doc.pdf?path=6148523063484d364c793942556b356c6443397a6158526c63793959566b6c4a544556484c3039464c7a49774d6a59794d4449314d5441774f533951515338354f446b325a5451314f43316d5a54526a4c5451794e6a4174596a4e6a4d43316b4e4449345a445178593249314d6a67756347526d&amp;Fich=9896e458-fe4c-4260-b3c0-d428d41cb528.pdf&amp;Inline=true</t>
        </is>
      </c>
      <c r="AH1680" s="3" t="n">
        <v>46321.77847222222</v>
      </c>
      <c r="AI1680" s="3" t="n">
        <v>46321.78055555555</v>
      </c>
      <c r="AJ1680" s="2" t="inlineStr"/>
    </row>
    <row r="1681">
      <c r="A1681" s="2" t="n">
        <v>1680</v>
      </c>
      <c r="B1681" s="2" t="inlineStr">
        <is>
          <t>1588C-1</t>
        </is>
      </c>
      <c r="C1681" s="3" t="n">
        <v>45968.65069444444</v>
      </c>
      <c r="D1681" s="2" t="inlineStr">
        <is>
          <t>Original</t>
        </is>
      </c>
      <c r="E1681" s="2" t="inlineStr">
        <is>
          <t>PS</t>
        </is>
      </c>
      <c r="F1681" s="2" t="inlineStr">
        <is>
          <t>Aida Carvalho; António Mendonça Mendes; Eurico Brilhante Dias; José Luís Carneiro; Marina Gonçalves; Miguel Matos; Porfírio Silva</t>
        </is>
      </c>
      <c r="G1681" s="2" t="inlineStr">
        <is>
          <t>Art. 8.º (substituição)</t>
        </is>
      </c>
      <c r="H1681" s="2" t="n"/>
      <c r="I1681" s="2" t="n"/>
      <c r="J1681" s="2" t="n"/>
      <c r="K1681" s="2" t="n"/>
      <c r="L1681" s="2" t="inlineStr">
        <is>
          <t>N.º 22, Artigo 8.º</t>
        </is>
      </c>
      <c r="M1681" s="4" t="n"/>
      <c r="N1681" s="4" t="n"/>
      <c r="O1681" s="2" t="n"/>
      <c r="P1681" s="2" t="n"/>
      <c r="Q1681" s="2" t="n"/>
      <c r="R1681" s="2" t="n"/>
      <c r="S1681" s="2" t="inlineStr">
        <is>
          <t>Aprovado(a) em Comissão</t>
        </is>
      </c>
      <c r="T1681" s="2" t="inlineStr">
        <is>
          <t>Aprovada</t>
        </is>
      </c>
      <c r="U1681" s="2" t="inlineStr">
        <is>
          <t>Favor: CH, PS, IL, L, PCP, BE, PAN; Contra: PSD, CDS-PP</t>
        </is>
      </c>
      <c r="V1681" s="3" t="n">
        <v>45981</v>
      </c>
      <c r="W1681" s="2" t="inlineStr">
        <is>
          <t>AR: https://www.parlamento.pt/OrcamentoEstado/Paginas/DetalhePropostaAlteracao.aspx?BID=24836 PDF: https://app.parlamento.pt/webutils/docs/doc.pdf?path=6148523063484d364c793942556b356c6443397a6158526c63793959566b6c4a544556484c3039464c7a49774d6a59794d4449314d5441774f5339515153396d4e7a5a6a59324d345a6930304d44457a4c5451334d324974596d4d784e5331684e44646b4f575a6a4d6a67314d4451756347526d&amp;Fich=f76ccc8f-4013-473b-bc15-a47d9fc28504.pdf&amp;Inline=true</t>
        </is>
      </c>
      <c r="X1681" s="2" t="inlineStr">
        <is>
          <t>Educação e Ciência; Orçamento, Finanças e Administração Pública</t>
        </is>
      </c>
      <c r="Y1681" s="2" t="inlineStr">
        <is>
          <t>Articulado</t>
        </is>
      </c>
      <c r="Z1681" s="2" t="inlineStr">
        <is>
          <t>Substituição</t>
        </is>
      </c>
      <c r="AA1681" s="2" t="inlineStr">
        <is>
          <t>Aprovado(a) em Comissão</t>
        </is>
      </c>
      <c r="AB1681" s="2" t="inlineStr"/>
      <c r="AC1681" s="2" t="inlineStr">
        <is>
          <t>1</t>
        </is>
      </c>
      <c r="AD1681" s="2" t="inlineStr">
        <is>
          <t>1</t>
        </is>
      </c>
      <c r="AE1681" s="2" t="inlineStr">
        <is>
          <t>24836</t>
        </is>
      </c>
      <c r="AF1681" s="2" t="inlineStr">
        <is>
          <t>https://www.parlamento.pt/OrcamentoEstado/Paginas/DetalhePropostaAlteracao.aspx?BID=24836</t>
        </is>
      </c>
      <c r="AG1681" s="2" t="inlineStr">
        <is>
          <t>https://app.parlamento.pt/webutils/docs/doc.pdf?path=6148523063484d364c793942556b356c6443397a6158526c63793959566b6c4a544556484c3039464c7a49774d6a59794d4449314d5441774f5339515153396d4e7a5a6a59324d345a6930304d44457a4c5451334d324974596d4d784e5331684e44646b4f575a6a4d6a67314d4451756347526d&amp;Fich=f76ccc8f-4013-473b-bc15-a47d9fc28504.pdf&amp;Inline=true</t>
        </is>
      </c>
      <c r="AH1681" s="3" t="n">
        <v>46321.77847222222</v>
      </c>
      <c r="AI1681" s="3" t="n">
        <v>46321.78055555555</v>
      </c>
      <c r="AJ1681" s="2" t="inlineStr"/>
    </row>
    <row r="1682">
      <c r="A1682" s="2" t="n">
        <v>1681</v>
      </c>
      <c r="B1682" s="2" t="inlineStr">
        <is>
          <t>1588C-2</t>
        </is>
      </c>
      <c r="C1682" s="3" t="n">
        <v>45968.65069444444</v>
      </c>
      <c r="D1682" s="2" t="inlineStr">
        <is>
          <t>Original</t>
        </is>
      </c>
      <c r="E1682" s="2" t="inlineStr">
        <is>
          <t>PS</t>
        </is>
      </c>
      <c r="F1682" s="2" t="inlineStr">
        <is>
          <t>Aida Carvalho; António Mendonça Mendes; Eurico Brilhante Dias; José Luís Carneiro; Marina Gonçalves; Miguel Matos; Porfírio Silva</t>
        </is>
      </c>
      <c r="G1682" s="2" t="inlineStr">
        <is>
          <t>Art. 93.º-A (aditamento)</t>
        </is>
      </c>
      <c r="H1682" s="2" t="n"/>
      <c r="I1682" s="2" t="n"/>
      <c r="J1682" s="2" t="n"/>
      <c r="K1682" s="2" t="n"/>
      <c r="L1682" s="2" t="inlineStr">
        <is>
          <t>Artigo 93.º-A (Concretizar cumprimento do Programa de Recuperação/Reabilitação de Escolas)</t>
        </is>
      </c>
      <c r="M1682" s="4" t="n"/>
      <c r="N1682" s="4" t="n"/>
      <c r="O1682" s="2" t="n"/>
      <c r="P1682" s="2" t="n"/>
      <c r="Q1682" s="2" t="n"/>
      <c r="R1682" s="2" t="n"/>
      <c r="S1682" s="2" t="inlineStr">
        <is>
          <t>Rejeitado(a) em Plenário</t>
        </is>
      </c>
      <c r="T1682" s="2" t="inlineStr">
        <is>
          <t>Rejeitada</t>
        </is>
      </c>
      <c r="U1682" s="2" t="inlineStr">
        <is>
          <t>Favor: PS, IL, L, PCP, BE, PAN, JPP; Contra: PSD, CDS-PP; Abstenção: CH</t>
        </is>
      </c>
      <c r="V1682" s="3" t="n">
        <v>45985</v>
      </c>
      <c r="W1682" s="2" t="inlineStr">
        <is>
          <t>Avocada a Plenário. AR: https://www.parlamento.pt/OrcamentoEstado/Paginas/DetalhePropostaAlteracao.aspx?BID=25366 PDF: https://app.parlamento.pt/webutils/docs/doc.pdf?path=6148523063484d364c793942556b356c6443397a6158526c63793959566b6c4a544556484c3039464c7a49774d6a59794d4449314d5441774f53395151533833595755774d5463355a69316b5a574e6a4c5451334d6a5574595451354f5330314e446c6a4e4749344e7a4e6a5a574d756347526d&amp;Fich=7ae0179f-decc-4725-a499-549c4b873cec.pdf&amp;Inline=true</t>
        </is>
      </c>
      <c r="X1682" s="2" t="inlineStr">
        <is>
          <t>Educação e Ciência; Orçamento, Finanças e Administração Pública</t>
        </is>
      </c>
      <c r="Y1682" s="2" t="inlineStr">
        <is>
          <t>Articulado</t>
        </is>
      </c>
      <c r="Z1682" s="2" t="inlineStr">
        <is>
          <t>Aditamento (Artigo PPL)</t>
        </is>
      </c>
      <c r="AA1682" s="2" t="inlineStr">
        <is>
          <t>Rejeitado(a) em Plenário</t>
        </is>
      </c>
      <c r="AB1682" s="2" t="inlineStr">
        <is>
          <t>S</t>
        </is>
      </c>
      <c r="AC1682" s="2" t="inlineStr">
        <is>
          <t>2</t>
        </is>
      </c>
      <c r="AD1682" s="2" t="inlineStr">
        <is>
          <t>2</t>
        </is>
      </c>
      <c r="AE1682" s="2" t="inlineStr">
        <is>
          <t>25366</t>
        </is>
      </c>
      <c r="AF1682" s="2" t="inlineStr">
        <is>
          <t>https://www.parlamento.pt/OrcamentoEstado/Paginas/DetalhePropostaAlteracao.aspx?BID=25366</t>
        </is>
      </c>
      <c r="AG1682" s="2" t="inlineStr">
        <is>
          <t>https://app.parlamento.pt/webutils/docs/doc.pdf?path=6148523063484d364c793942556b356c6443397a6158526c63793959566b6c4a544556484c3039464c7a49774d6a59794d4449314d5441774f53395151533833595755774d5463355a69316b5a574e6a4c5451334d6a5574595451354f5330314e446c6a4e4749344e7a4e6a5a574d756347526d&amp;Fich=7ae0179f-decc-4725-a499-549c4b873cec.pdf&amp;Inline=true</t>
        </is>
      </c>
      <c r="AH1682" s="3" t="n">
        <v>46321.77847222222</v>
      </c>
      <c r="AI1682" s="3" t="n">
        <v>46321.78055555555</v>
      </c>
      <c r="AJ1682" s="2" t="inlineStr"/>
    </row>
    <row r="1683">
      <c r="A1683" s="2" t="n">
        <v>1682</v>
      </c>
      <c r="B1683" s="2" t="inlineStr">
        <is>
          <t>1589C</t>
        </is>
      </c>
      <c r="C1683" s="3" t="n">
        <v>45968.65138888889</v>
      </c>
      <c r="D1683" s="2" t="inlineStr">
        <is>
          <t>Original</t>
        </is>
      </c>
      <c r="E1683" s="2" t="inlineStr">
        <is>
          <t>CH</t>
        </is>
      </c>
      <c r="F168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83" s="2" t="inlineStr">
        <is>
          <t>Art. 123.º-A (aditamento)</t>
        </is>
      </c>
      <c r="H1683" s="2" t="n"/>
      <c r="I1683" s="2" t="n"/>
      <c r="J1683" s="2" t="n"/>
      <c r="K1683" s="2" t="n"/>
      <c r="L1683" s="2" t="inlineStr">
        <is>
          <t>Artigo 123.º-A (Transporte Marítimo Regular entre Portugal e o Reino Unido da Grã -Bretanha e Irlanda do Norte por via do Porto de Leixões)</t>
        </is>
      </c>
      <c r="M1683" s="4" t="n"/>
      <c r="N1683" s="4" t="n"/>
      <c r="O1683" s="2" t="n"/>
      <c r="P1683" s="2" t="n"/>
      <c r="Q1683" s="2" t="n"/>
      <c r="R1683" s="2" t="n"/>
      <c r="S1683" s="2" t="inlineStr">
        <is>
          <t>Rejeitado(a) em Comissão</t>
        </is>
      </c>
      <c r="T1683" s="2" t="inlineStr">
        <is>
          <t>Rejeitada</t>
        </is>
      </c>
      <c r="U1683" s="2" t="inlineStr">
        <is>
          <t>Favor: CH, BE; Contra: PSD, CDS-PP, PAN; Abstenção: PS, IL, L, PCP</t>
        </is>
      </c>
      <c r="V1683" s="3" t="n">
        <v>45985</v>
      </c>
      <c r="W1683" s="2" t="inlineStr">
        <is>
          <t>AR: https://www.parlamento.pt/OrcamentoEstado/Paginas/DetalhePropostaAlteracao.aspx?BID=24837 PDF: https://app.parlamento.pt/webutils/docs/doc.pdf?path=6148523063484d364c793942556b356c6443397a6158526c63793959566b6c4a544556484c3039464c7a49774d6a59794d4449314d5441774f533951515338345a4755344e3246694f5330334e324e694c54526b4d6a677459574d7a4d7930314d6a4d785a474d354e6d55315a4759756347526d&amp;Fich=8de87ab9-77cb-4d28-ac33-5231dc96e5df.pdf&amp;Inline=true</t>
        </is>
      </c>
      <c r="X1683" s="2" t="inlineStr">
        <is>
          <t>Infraestruturas, Mobilidade e Habitação</t>
        </is>
      </c>
      <c r="Y1683" s="2" t="inlineStr">
        <is>
          <t>Articulado</t>
        </is>
      </c>
      <c r="Z1683" s="2" t="inlineStr">
        <is>
          <t>Aditamento (Artigo PPL)</t>
        </is>
      </c>
      <c r="AA1683" s="2" t="inlineStr">
        <is>
          <t>Rejeitado(a) em Comissão</t>
        </is>
      </c>
      <c r="AB1683" s="2" t="inlineStr"/>
      <c r="AC1683" s="2" t="inlineStr"/>
      <c r="AD1683" s="2" t="inlineStr">
        <is>
          <t>1</t>
        </is>
      </c>
      <c r="AE1683" s="2" t="inlineStr">
        <is>
          <t>24837</t>
        </is>
      </c>
      <c r="AF1683" s="2" t="inlineStr">
        <is>
          <t>https://www.parlamento.pt/OrcamentoEstado/Paginas/DetalhePropostaAlteracao.aspx?BID=24837</t>
        </is>
      </c>
      <c r="AG1683" s="2" t="inlineStr">
        <is>
          <t>https://app.parlamento.pt/webutils/docs/doc.pdf?path=6148523063484d364c793942556b356c6443397a6158526c63793959566b6c4a544556484c3039464c7a49774d6a59794d4449314d5441774f533951515338345a4755344e3246694f5330334e324e694c54526b4d6a677459574d7a4d7930314d6a4d785a474d354e6d55315a4759756347526d&amp;Fich=8de87ab9-77cb-4d28-ac33-5231dc96e5df.pdf&amp;Inline=true</t>
        </is>
      </c>
      <c r="AH1683" s="3" t="n">
        <v>46321.77847222222</v>
      </c>
      <c r="AI1683" s="3" t="n">
        <v>46321.78055555555</v>
      </c>
      <c r="AJ1683" s="2" t="inlineStr"/>
    </row>
    <row r="1684">
      <c r="A1684" s="2" t="n">
        <v>1683</v>
      </c>
      <c r="B1684" s="2" t="inlineStr">
        <is>
          <t>1590C</t>
        </is>
      </c>
      <c r="C1684" s="3" t="n">
        <v>45968.65208333333</v>
      </c>
      <c r="D1684" s="2" t="inlineStr">
        <is>
          <t>Original</t>
        </is>
      </c>
      <c r="E1684" s="2" t="inlineStr">
        <is>
          <t>CH</t>
        </is>
      </c>
      <c r="F168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84" s="2" t="inlineStr">
        <is>
          <t>Art. 136.º-A (aditamento)</t>
        </is>
      </c>
      <c r="H1684" s="2" t="n"/>
      <c r="I1684" s="2" t="n"/>
      <c r="J1684" s="2" t="n"/>
      <c r="K1684" s="2" t="n"/>
      <c r="L1684" s="2" t="inlineStr">
        <is>
          <t>Artigo 136.º-A (Incremento de soluções tecnológicas de indústria 4.0 para alavancar a economia portuguesa)</t>
        </is>
      </c>
      <c r="M1684" s="4" t="n"/>
      <c r="N1684" s="4" t="n"/>
      <c r="O1684" s="2" t="n"/>
      <c r="P1684" s="2" t="n"/>
      <c r="Q1684" s="2" t="n"/>
      <c r="R1684" s="2" t="n"/>
      <c r="S1684" s="2" t="inlineStr">
        <is>
          <t>Rejeitado(a) em Comissão</t>
        </is>
      </c>
      <c r="T1684" s="2" t="inlineStr">
        <is>
          <t>Rejeitada</t>
        </is>
      </c>
      <c r="U1684" s="2" t="inlineStr">
        <is>
          <t>Favor: CH, BE, PAN; Contra: PSD, IL, CDS-PP; Abstenção: PS, L, PCP</t>
        </is>
      </c>
      <c r="V1684" s="3" t="n">
        <v>45987</v>
      </c>
      <c r="W1684" s="2" t="inlineStr">
        <is>
          <t>AR: https://www.parlamento.pt/OrcamentoEstado/Paginas/DetalhePropostaAlteracao.aspx?BID=24838 PDF: https://app.parlamento.pt/webutils/docs/doc.pdf?path=6148523063484d364c793942556b356c6443397a6158526c63793959566b6c4a544556484c3039464c7a49774d6a59794d4449314d5441774f533951515338354d6a466b4d7a41345a6930324e7a466c4c5452694e7a59744f5445775953307a596a51784e4449784f4449315a474d756347526d&amp;Fich=921d308f-671e-4b76-910a-3b41421825dc.pdf&amp;Inline=true</t>
        </is>
      </c>
      <c r="X1684" s="2" t="inlineStr">
        <is>
          <t>Comissão de Economia e Coesão Territorial</t>
        </is>
      </c>
      <c r="Y1684" s="2" t="inlineStr">
        <is>
          <t>Articulado</t>
        </is>
      </c>
      <c r="Z1684" s="2" t="inlineStr">
        <is>
          <t>Aditamento (Artigo PPL)</t>
        </is>
      </c>
      <c r="AA1684" s="2" t="inlineStr">
        <is>
          <t>Rejeitado(a) em Comissão</t>
        </is>
      </c>
      <c r="AB1684" s="2" t="inlineStr"/>
      <c r="AC1684" s="2" t="inlineStr"/>
      <c r="AD1684" s="2" t="inlineStr">
        <is>
          <t>1</t>
        </is>
      </c>
      <c r="AE1684" s="2" t="inlineStr">
        <is>
          <t>24838</t>
        </is>
      </c>
      <c r="AF1684" s="2" t="inlineStr">
        <is>
          <t>https://www.parlamento.pt/OrcamentoEstado/Paginas/DetalhePropostaAlteracao.aspx?BID=24838</t>
        </is>
      </c>
      <c r="AG1684" s="2" t="inlineStr">
        <is>
          <t>https://app.parlamento.pt/webutils/docs/doc.pdf?path=6148523063484d364c793942556b356c6443397a6158526c63793959566b6c4a544556484c3039464c7a49774d6a59794d4449314d5441774f533951515338354d6a466b4d7a41345a6930324e7a466c4c5452694e7a59744f5445775953307a596a51784e4449784f4449315a474d756347526d&amp;Fich=921d308f-671e-4b76-910a-3b41421825dc.pdf&amp;Inline=true</t>
        </is>
      </c>
      <c r="AH1684" s="3" t="n">
        <v>46321.77847222222</v>
      </c>
      <c r="AI1684" s="3" t="n">
        <v>46321.78055555555</v>
      </c>
      <c r="AJ1684" s="2" t="inlineStr"/>
    </row>
    <row r="1685">
      <c r="A1685" s="2" t="n">
        <v>1684</v>
      </c>
      <c r="B1685" s="2" t="inlineStr">
        <is>
          <t>1591C</t>
        </is>
      </c>
      <c r="C1685" s="3" t="n">
        <v>45968.65208333333</v>
      </c>
      <c r="D1685" s="2" t="inlineStr">
        <is>
          <t>Original</t>
        </is>
      </c>
      <c r="E1685" s="2" t="inlineStr">
        <is>
          <t>CH</t>
        </is>
      </c>
      <c r="F168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85" s="2" t="inlineStr">
        <is>
          <t>Art. 67.º (substituição)</t>
        </is>
      </c>
      <c r="H1685" s="2" t="n"/>
      <c r="I1685" s="2" t="n"/>
      <c r="J1685" s="2" t="n"/>
      <c r="K1685" s="2" t="n"/>
      <c r="L1685" s="2" t="inlineStr">
        <is>
          <t>Artigo 9.º, Alínea a), N.º 5, Artigo 53.º do Código do ISV</t>
        </is>
      </c>
      <c r="M1685" s="4" t="n"/>
      <c r="N1685" s="4" t="n"/>
      <c r="O1685" s="2" t="n"/>
      <c r="P1685" s="2" t="n"/>
      <c r="Q1685" s="2" t="n"/>
      <c r="R1685" s="2" t="n"/>
      <c r="S1685" s="2" t="inlineStr">
        <is>
          <t>Rejeitado(a) em Comissão</t>
        </is>
      </c>
      <c r="T1685" s="2" t="inlineStr">
        <is>
          <t>Rejeitada</t>
        </is>
      </c>
      <c r="U1685" s="2" t="inlineStr">
        <is>
          <t>Favor: CH, IL, PAN; Contra: PSD, L, CDS-PP; Abstenção: PS, PCP, BE</t>
        </is>
      </c>
      <c r="V1685" s="3" t="n">
        <v>45982</v>
      </c>
      <c r="W1685" s="2" t="inlineStr">
        <is>
          <t>AR: https://www.parlamento.pt/OrcamentoEstado/Paginas/DetalhePropostaAlteracao.aspx?BID=24839 PDF: https://app.parlamento.pt/webutils/docs/doc.pdf?path=6148523063484d364c793942556b356c6443397a6158526c63793959566b6c4a544556484c3039464c7a49774d6a59794d4449314d5441774f533951515338315a444d78595759324e79316d596a6c6a4c54526c4d324d74595449314e43303159575535596d51324e6a67774d6a55756347526d&amp;Fich=5d31af67-fb9c-4e3c-a254-5ae9bd668025.pdf&amp;Inline=true</t>
        </is>
      </c>
      <c r="X1685" s="2" t="inlineStr">
        <is>
          <t>Orçamento, Finanças e Administração Pública</t>
        </is>
      </c>
      <c r="Y1685" s="2" t="inlineStr">
        <is>
          <t>Articulado</t>
        </is>
      </c>
      <c r="Z1685" s="2" t="inlineStr">
        <is>
          <t>Substituição</t>
        </is>
      </c>
      <c r="AA1685" s="2" t="inlineStr">
        <is>
          <t>Rejeitado(a) em Comissão</t>
        </is>
      </c>
      <c r="AB1685" s="2" t="inlineStr"/>
      <c r="AC1685" s="2" t="inlineStr"/>
      <c r="AD1685" s="2" t="inlineStr">
        <is>
          <t>1</t>
        </is>
      </c>
      <c r="AE1685" s="2" t="inlineStr">
        <is>
          <t>24839</t>
        </is>
      </c>
      <c r="AF1685" s="2" t="inlineStr">
        <is>
          <t>https://www.parlamento.pt/OrcamentoEstado/Paginas/DetalhePropostaAlteracao.aspx?BID=24839</t>
        </is>
      </c>
      <c r="AG1685" s="2" t="inlineStr">
        <is>
          <t>https://app.parlamento.pt/webutils/docs/doc.pdf?path=6148523063484d364c793942556b356c6443397a6158526c63793959566b6c4a544556484c3039464c7a49774d6a59794d4449314d5441774f533951515338315a444d78595759324e79316d596a6c6a4c54526c4d324d74595449314e43303159575535596d51324e6a67774d6a55756347526d&amp;Fich=5d31af67-fb9c-4e3c-a254-5ae9bd668025.pdf&amp;Inline=true</t>
        </is>
      </c>
      <c r="AH1685" s="3" t="n">
        <v>46321.77847222222</v>
      </c>
      <c r="AI1685" s="3" t="n">
        <v>46321.78055555555</v>
      </c>
      <c r="AJ1685" s="2" t="inlineStr"/>
    </row>
    <row r="1686">
      <c r="A1686" s="2" t="n">
        <v>1685</v>
      </c>
      <c r="B1686" s="2" t="inlineStr">
        <is>
          <t>1592C</t>
        </is>
      </c>
      <c r="C1686" s="3" t="n">
        <v>45968.65277777778</v>
      </c>
      <c r="D1686" s="2" t="inlineStr">
        <is>
          <t>Original</t>
        </is>
      </c>
      <c r="E1686" s="2" t="inlineStr">
        <is>
          <t>IL</t>
        </is>
      </c>
      <c r="F1686" s="2" t="inlineStr">
        <is>
          <t>Angélique Da Teresa; Carlos Guimarães Pinto; Joana Cordeiro; Jorge Miguel Teixeira; Mariana Leitão; Mário Amorim Lopes; Miguel Rangel; Rodrigo Saraiva; Rui Rocha</t>
        </is>
      </c>
      <c r="G1686" s="2" t="inlineStr">
        <is>
          <t>Art. 113.º-A (aditamento)</t>
        </is>
      </c>
      <c r="H1686" s="2" t="n"/>
      <c r="I1686" s="2" t="n"/>
      <c r="J1686" s="2" t="n"/>
      <c r="K1686" s="2" t="n"/>
      <c r="L1686" s="2" t="inlineStr">
        <is>
          <t>Artigo 113.º-A (Alteração do Decreto-Lei n.º 171/2015)</t>
        </is>
      </c>
      <c r="M1686" s="4" t="n"/>
      <c r="N1686" s="4" t="n"/>
      <c r="O1686" s="2" t="n"/>
      <c r="P1686" s="2" t="n"/>
      <c r="Q1686" s="2" t="n"/>
      <c r="R1686" s="2" t="n"/>
      <c r="S1686" s="2" t="inlineStr">
        <is>
          <t>Rejeitado(a) em Comissão</t>
        </is>
      </c>
      <c r="T1686" s="2" t="inlineStr">
        <is>
          <t>Rejeitada</t>
        </is>
      </c>
      <c r="U1686" s="2" t="inlineStr">
        <is>
          <t>Favor: IL, L, PCP, BE, PAN; Contra: PSD, CDS-PP; Abstenção: CH, PS</t>
        </is>
      </c>
      <c r="V1686" s="3" t="n">
        <v>45985</v>
      </c>
      <c r="W1686" s="2" t="inlineStr">
        <is>
          <t>AR: https://www.parlamento.pt/OrcamentoEstado/Paginas/DetalhePropostaAlteracao.aspx?BID=24840 PDF: https://app.parlamento.pt/webutils/docs/doc.pdf?path=6148523063484d364c793942556b356c6443397a6158526c63793959566b6c4a544556484c3039464c7a49774d6a59794d4449314d5441774f53395151533969597a6c694d6a6377597930794f57557a4c54517859574d744f446b7759793079597a63334e444d315a6a4d774d7a63756347526d&amp;Fich=bc9b270c-29e3-41ac-890c-2c77435f3037.pdf&amp;Inline=true</t>
        </is>
      </c>
      <c r="X1686" s="2" t="inlineStr">
        <is>
          <t>Assuntos Constitucionais, Direitos, Liberdades e Garantias; Reforma do Estado e Poder Local</t>
        </is>
      </c>
      <c r="Y1686" s="2" t="inlineStr">
        <is>
          <t>Articulado</t>
        </is>
      </c>
      <c r="Z1686" s="2" t="inlineStr">
        <is>
          <t>Aditamento (Artigo PPL)</t>
        </is>
      </c>
      <c r="AA1686" s="2" t="inlineStr">
        <is>
          <t>Rejeitado(a) em Comissão</t>
        </is>
      </c>
      <c r="AB1686" s="2" t="inlineStr"/>
      <c r="AC1686" s="2" t="inlineStr"/>
      <c r="AD1686" s="2" t="inlineStr">
        <is>
          <t>1</t>
        </is>
      </c>
      <c r="AE1686" s="2" t="inlineStr">
        <is>
          <t>24840</t>
        </is>
      </c>
      <c r="AF1686" s="2" t="inlineStr">
        <is>
          <t>https://www.parlamento.pt/OrcamentoEstado/Paginas/DetalhePropostaAlteracao.aspx?BID=24840</t>
        </is>
      </c>
      <c r="AG1686" s="2" t="inlineStr">
        <is>
          <t>https://app.parlamento.pt/webutils/docs/doc.pdf?path=6148523063484d364c793942556b356c6443397a6158526c63793959566b6c4a544556484c3039464c7a49774d6a59794d4449314d5441774f53395151533969597a6c694d6a6377597930794f57557a4c54517859574d744f446b7759793079597a63334e444d315a6a4d774d7a63756347526d&amp;Fich=bc9b270c-29e3-41ac-890c-2c77435f3037.pdf&amp;Inline=true</t>
        </is>
      </c>
      <c r="AH1686" s="3" t="n">
        <v>46321.77847222222</v>
      </c>
      <c r="AI1686" s="3" t="n">
        <v>46321.78055555555</v>
      </c>
      <c r="AJ1686" s="2" t="inlineStr"/>
    </row>
    <row r="1687">
      <c r="A1687" s="2" t="n">
        <v>1686</v>
      </c>
      <c r="B1687" s="2" t="inlineStr">
        <is>
          <t>1593C</t>
        </is>
      </c>
      <c r="C1687" s="3" t="n">
        <v>45968.65277777778</v>
      </c>
      <c r="D1687" s="2" t="inlineStr">
        <is>
          <t>Original</t>
        </is>
      </c>
      <c r="E1687" s="2" t="inlineStr">
        <is>
          <t>CH</t>
        </is>
      </c>
      <c r="F168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87" s="2" t="inlineStr">
        <is>
          <t>Art. 60.º (aditamento)</t>
        </is>
      </c>
      <c r="H1687" s="2" t="n"/>
      <c r="I1687" s="2" t="n"/>
      <c r="J1687" s="2" t="n"/>
      <c r="K1687" s="2" t="n"/>
      <c r="L1687" s="2" t="inlineStr">
        <is>
          <t>N.º 9, Artigo 102.º do Código do IRS</t>
        </is>
      </c>
      <c r="M1687" s="4" t="n"/>
      <c r="N1687" s="4" t="n"/>
      <c r="O1687" s="2" t="n"/>
      <c r="P1687" s="2" t="n"/>
      <c r="Q1687" s="2" t="n"/>
      <c r="R1687" s="2" t="n"/>
      <c r="S1687" s="2" t="inlineStr">
        <is>
          <t>Rejeitado(a) em Comissão</t>
        </is>
      </c>
      <c r="T1687" s="2" t="inlineStr">
        <is>
          <t>Rejeitada</t>
        </is>
      </c>
      <c r="U1687" s="2" t="inlineStr">
        <is>
          <t>Favor: CH, BE, PAN; Contra: PSD, PCP, CDS-PP; Abstenção: PS, IL, L</t>
        </is>
      </c>
      <c r="V1687" s="3" t="n">
        <v>45981</v>
      </c>
      <c r="W1687" s="2" t="inlineStr">
        <is>
          <t>AR: https://www.parlamento.pt/OrcamentoEstado/Paginas/DetalhePropostaAlteracao.aspx?BID=24841 PDF: https://app.parlamento.pt/webutils/docs/doc.pdf?path=6148523063484d364c793942556b356c6443397a6158526c63793959566b6c4a544556484c3039464c7a49774d6a59794d4449314d5441774f5339515153396b4f54466b4f5746684e4330334e32557a4c54526b4e6d55745957517a4f53316a4d4759324e324d304d6a4130595755756347526d&amp;Fich=d91d9aa4-77e3-4d6e-ad39-c0f67c4204ae.pdf&amp;Inline=true</t>
        </is>
      </c>
      <c r="X1687" s="2" t="inlineStr">
        <is>
          <t>Agricultura e Pescas; Orçamento, Finanças e Administração Pública</t>
        </is>
      </c>
      <c r="Y1687" s="2" t="inlineStr">
        <is>
          <t>Articulado</t>
        </is>
      </c>
      <c r="Z1687" s="2" t="inlineStr">
        <is>
          <t>Aditamento (Números e Alíneas)</t>
        </is>
      </c>
      <c r="AA1687" s="2" t="inlineStr">
        <is>
          <t>Rejeitado(a) em Comissão</t>
        </is>
      </c>
      <c r="AB1687" s="2" t="inlineStr"/>
      <c r="AC1687" s="2" t="inlineStr"/>
      <c r="AD1687" s="2" t="inlineStr">
        <is>
          <t>1</t>
        </is>
      </c>
      <c r="AE1687" s="2" t="inlineStr">
        <is>
          <t>24841</t>
        </is>
      </c>
      <c r="AF1687" s="2" t="inlineStr">
        <is>
          <t>https://www.parlamento.pt/OrcamentoEstado/Paginas/DetalhePropostaAlteracao.aspx?BID=24841</t>
        </is>
      </c>
      <c r="AG1687" s="2" t="inlineStr">
        <is>
          <t>https://app.parlamento.pt/webutils/docs/doc.pdf?path=6148523063484d364c793942556b356c6443397a6158526c63793959566b6c4a544556484c3039464c7a49774d6a59794d4449314d5441774f5339515153396b4f54466b4f5746684e4330334e32557a4c54526b4e6d55745957517a4f53316a4d4759324e324d304d6a4130595755756347526d&amp;Fich=d91d9aa4-77e3-4d6e-ad39-c0f67c4204ae.pdf&amp;Inline=true</t>
        </is>
      </c>
      <c r="AH1687" s="3" t="n">
        <v>46321.77847222222</v>
      </c>
      <c r="AI1687" s="3" t="n">
        <v>46321.78055555555</v>
      </c>
      <c r="AJ1687" s="2" t="inlineStr"/>
    </row>
    <row r="1688">
      <c r="A1688" s="2" t="n">
        <v>1687</v>
      </c>
      <c r="B1688" s="2" t="inlineStr">
        <is>
          <t>1594C</t>
        </is>
      </c>
      <c r="C1688" s="3" t="n">
        <v>45968.65277777778</v>
      </c>
      <c r="D1688" s="2" t="inlineStr">
        <is>
          <t>Original</t>
        </is>
      </c>
      <c r="E1688" s="2" t="inlineStr">
        <is>
          <t>CH</t>
        </is>
      </c>
      <c r="F168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88" s="2" t="inlineStr">
        <is>
          <t>Art. 136 º-A (aditamento)</t>
        </is>
      </c>
      <c r="H1688" s="2" t="n"/>
      <c r="I1688" s="2" t="n"/>
      <c r="J1688" s="2" t="n"/>
      <c r="K1688" s="2" t="n"/>
      <c r="L1688" s="2" t="inlineStr">
        <is>
          <t>Artigo 136 º-A (Construir uma nova ligação entre o Centro Urbano de Lamego e a A24)</t>
        </is>
      </c>
      <c r="M1688" s="4" t="n"/>
      <c r="N1688" s="4" t="n"/>
      <c r="O1688" s="2" t="n"/>
      <c r="P1688" s="2" t="n"/>
      <c r="Q1688" s="2" t="n"/>
      <c r="R1688" s="2" t="n"/>
      <c r="S1688" s="2" t="inlineStr">
        <is>
          <t>Rejeitado(a) em Comissão</t>
        </is>
      </c>
      <c r="T1688" s="2" t="inlineStr">
        <is>
          <t>Rejeitada</t>
        </is>
      </c>
      <c r="U1688" s="2" t="inlineStr">
        <is>
          <t>Favor: CH, L, BE; Contra: PSD, CDS-PP; Abstenção: PS, IL, PCP, PAN</t>
        </is>
      </c>
      <c r="V1688" s="3" t="n">
        <v>45987</v>
      </c>
      <c r="W1688" s="2" t="inlineStr">
        <is>
          <t>AR: https://www.parlamento.pt/OrcamentoEstado/Paginas/DetalhePropostaAlteracao.aspx?BID=24842 PDF: https://app.parlamento.pt/webutils/docs/doc.pdf?path=6148523063484d364c793942556b356c6443397a6158526c63793959566b6c4a544556484c3039464c7a49774d6a59794d4449314d5441774f5339515153396b4f5449314e5751774e53316b4d4445784c54526b4d6d4574595442685a43316a4e6d4d7a596a46684d32526c5a5455756347526d&amp;Fich=d9255d05-d011-4d2a-a0ad-c6c3b1a3dee5.pdf&amp;Inline=true</t>
        </is>
      </c>
      <c r="X1688" s="2" t="inlineStr">
        <is>
          <t>Infraestruturas, Mobilidade e Habitação</t>
        </is>
      </c>
      <c r="Y1688" s="2" t="inlineStr">
        <is>
          <t>Articulado</t>
        </is>
      </c>
      <c r="Z1688" s="2" t="inlineStr">
        <is>
          <t>Aditamento (Artigo PPL)</t>
        </is>
      </c>
      <c r="AA1688" s="2" t="inlineStr">
        <is>
          <t>Rejeitado(a) em Comissão</t>
        </is>
      </c>
      <c r="AB1688" s="2" t="inlineStr"/>
      <c r="AC1688" s="2" t="inlineStr"/>
      <c r="AD1688" s="2" t="inlineStr">
        <is>
          <t>1</t>
        </is>
      </c>
      <c r="AE1688" s="2" t="inlineStr">
        <is>
          <t>24842</t>
        </is>
      </c>
      <c r="AF1688" s="2" t="inlineStr">
        <is>
          <t>https://www.parlamento.pt/OrcamentoEstado/Paginas/DetalhePropostaAlteracao.aspx?BID=24842</t>
        </is>
      </c>
      <c r="AG1688" s="2" t="inlineStr">
        <is>
          <t>https://app.parlamento.pt/webutils/docs/doc.pdf?path=6148523063484d364c793942556b356c6443397a6158526c63793959566b6c4a544556484c3039464c7a49774d6a59794d4449314d5441774f5339515153396b4f5449314e5751774e53316b4d4445784c54526b4d6d4574595442685a43316a4e6d4d7a596a46684d32526c5a5455756347526d&amp;Fich=d9255d05-d011-4d2a-a0ad-c6c3b1a3dee5.pdf&amp;Inline=true</t>
        </is>
      </c>
      <c r="AH1688" s="3" t="n">
        <v>46321.77847222222</v>
      </c>
      <c r="AI1688" s="3" t="n">
        <v>46321.78055555555</v>
      </c>
      <c r="AJ1688" s="2" t="inlineStr"/>
    </row>
    <row r="1689">
      <c r="A1689" s="2" t="n">
        <v>1688</v>
      </c>
      <c r="B1689" s="2" t="inlineStr">
        <is>
          <t>1595C</t>
        </is>
      </c>
      <c r="C1689" s="3" t="n">
        <v>45968.65347222222</v>
      </c>
      <c r="D1689" s="2" t="inlineStr">
        <is>
          <t>Original</t>
        </is>
      </c>
      <c r="E1689" s="2" t="inlineStr">
        <is>
          <t>PS</t>
        </is>
      </c>
      <c r="F1689" s="2" t="inlineStr">
        <is>
          <t>Ana Bernardo; António Mendonça Mendes; Eurico Brilhante Dias; José Luís Carneiro; Marina Gonçalves; Miguel Cabrita; Miguel Matos</t>
        </is>
      </c>
      <c r="G1689" s="2" t="inlineStr">
        <is>
          <t>Art. 46.º-A (aditamento)</t>
        </is>
      </c>
      <c r="H1689" s="2" t="n"/>
      <c r="I1689" s="2" t="n"/>
      <c r="J1689" s="2" t="n"/>
      <c r="K1689" s="2" t="n"/>
      <c r="L1689" s="2" t="inlineStr">
        <is>
          <t>Artigo 46.º-A (Campanha de informação sobre Complemento Solidário para Idosos)</t>
        </is>
      </c>
      <c r="M1689" s="4" t="n"/>
      <c r="N1689" s="4" t="n"/>
      <c r="O1689" s="2" t="n"/>
      <c r="P1689" s="2" t="n"/>
      <c r="Q1689" s="2" t="n"/>
      <c r="R1689" s="2" t="n"/>
      <c r="S1689" s="2" t="inlineStr">
        <is>
          <t>Rejeitado(a) em Comissão</t>
        </is>
      </c>
      <c r="T1689" s="2" t="inlineStr">
        <is>
          <t>Rejeitada</t>
        </is>
      </c>
      <c r="U1689" s="2" t="inlineStr">
        <is>
          <t>Favor: PS, L, PCP, BE, PAN; Contra: PSD, CDS-PP; Abstenção: CH, IL</t>
        </is>
      </c>
      <c r="V1689" s="3" t="n">
        <v>45981</v>
      </c>
      <c r="W1689" s="2" t="inlineStr">
        <is>
          <t>AR: https://www.parlamento.pt/OrcamentoEstado/Paginas/DetalhePropostaAlteracao.aspx?BID=24843 PDF: https://app.parlamento.pt/webutils/docs/doc.pdf?path=6148523063484d364c793942556b356c6443397a6158526c63793959566b6c4a544556484c3039464c7a49774d6a59794d4449314d5441774f5339515153396d4e6d497a4e3251795a5330335a54497a4c5451344d474d744f4752684d4330335a474577597a646d4f44517a4d7a51756347526d&amp;Fich=f6b37d2e-7e23-480c-8da0-7da0c7f84334.pdf&amp;Inline=true</t>
        </is>
      </c>
      <c r="X1689" s="2" t="inlineStr">
        <is>
          <t>Orçamento, Finanças e Administração Pública; Trabalho, Segurança Social e Inclusão</t>
        </is>
      </c>
      <c r="Y1689" s="2" t="inlineStr">
        <is>
          <t>Articulado</t>
        </is>
      </c>
      <c r="Z1689" s="2" t="inlineStr">
        <is>
          <t>Aditamento (Artigo PPL)</t>
        </is>
      </c>
      <c r="AA1689" s="2" t="inlineStr">
        <is>
          <t>Rejeitado(a) em Comissão</t>
        </is>
      </c>
      <c r="AB1689" s="2" t="inlineStr"/>
      <c r="AC1689" s="2" t="inlineStr"/>
      <c r="AD1689" s="2" t="inlineStr">
        <is>
          <t>1</t>
        </is>
      </c>
      <c r="AE1689" s="2" t="inlineStr">
        <is>
          <t>24843</t>
        </is>
      </c>
      <c r="AF1689" s="2" t="inlineStr">
        <is>
          <t>https://www.parlamento.pt/OrcamentoEstado/Paginas/DetalhePropostaAlteracao.aspx?BID=24843</t>
        </is>
      </c>
      <c r="AG1689" s="2" t="inlineStr">
        <is>
          <t>https://app.parlamento.pt/webutils/docs/doc.pdf?path=6148523063484d364c793942556b356c6443397a6158526c63793959566b6c4a544556484c3039464c7a49774d6a59794d4449314d5441774f5339515153396d4e6d497a4e3251795a5330335a54497a4c5451344d474d744f4752684d4330335a474577597a646d4f44517a4d7a51756347526d&amp;Fich=f6b37d2e-7e23-480c-8da0-7da0c7f84334.pdf&amp;Inline=true</t>
        </is>
      </c>
      <c r="AH1689" s="3" t="n">
        <v>46321.77847222222</v>
      </c>
      <c r="AI1689" s="3" t="n">
        <v>46321.78055555555</v>
      </c>
      <c r="AJ1689" s="2" t="inlineStr"/>
    </row>
    <row r="1690">
      <c r="A1690" s="2" t="n">
        <v>1689</v>
      </c>
      <c r="B1690" s="2" t="inlineStr">
        <is>
          <t>1596C</t>
        </is>
      </c>
      <c r="C1690" s="3" t="n">
        <v>45968.65347222222</v>
      </c>
      <c r="D1690" s="2" t="inlineStr">
        <is>
          <t>Original</t>
        </is>
      </c>
      <c r="E1690" s="2" t="inlineStr">
        <is>
          <t>L</t>
        </is>
      </c>
      <c r="F1690" s="2" t="inlineStr">
        <is>
          <t>Filipa Pinto; Isabel Mendes Lopes; Jorge Pinto; Patrícia Gonçalves; Paulo Muacho; Rui Tavares</t>
        </is>
      </c>
      <c r="G1690" s="2" t="inlineStr">
        <is>
          <t>Art. 7.º (aditamento)</t>
        </is>
      </c>
      <c r="H1690" s="2" t="n"/>
      <c r="I1690" s="2" t="n"/>
      <c r="J1690" s="2" t="n"/>
      <c r="K1690" s="2" t="n"/>
      <c r="L1690" s="2" t="inlineStr">
        <is>
          <t>Nova Verba 106, Mapa de alterações e transferências orçamentais, Artigo 7.º</t>
        </is>
      </c>
      <c r="M1690" s="4" t="n"/>
      <c r="N1690" s="4" t="n"/>
      <c r="O1690" s="2" t="n"/>
      <c r="P1690" s="2" t="n"/>
      <c r="Q1690" s="2" t="n"/>
      <c r="R1690" s="2" t="n"/>
      <c r="S1690" s="2" t="inlineStr">
        <is>
          <t>Rejeitado(a) em Comissão</t>
        </is>
      </c>
      <c r="T1690" s="2" t="inlineStr">
        <is>
          <t>Rejeitada</t>
        </is>
      </c>
      <c r="U1690" s="2" t="inlineStr">
        <is>
          <t>Favor: L, PCP, BE, PAN; Contra: PSD, CDS-PP; Abstenção: CH, PS, IL</t>
        </is>
      </c>
      <c r="V1690" s="3" t="n">
        <v>45987</v>
      </c>
      <c r="W1690" s="2" t="inlineStr">
        <is>
          <t>AR: https://www.parlamento.pt/OrcamentoEstado/Paginas/DetalhePropostaAlteracao.aspx?BID=24844 PDF: https://app.parlamento.pt/webutils/docs/doc.pdf?path=6148523063484d364c793942556b356c6443397a6158526c63793959566b6c4a544556484c3039464c7a49774d6a59794d4449314d5441774f5339515153396c5957457a597a63775969316b596a5a6a4c545134596a67744f4463324d6930325a47466b4e7a566a59324a6a4f4441756347526d&amp;Fich=eaa3c70b-db6c-48b8-8762-6dad75ccbc80.pdf&amp;Inline=true</t>
        </is>
      </c>
      <c r="X1690" s="2" t="inlineStr">
        <is>
          <t>Infraestruturas, Mobilidade e Habitação</t>
        </is>
      </c>
      <c r="Y1690" s="2" t="inlineStr">
        <is>
          <t>Mapas</t>
        </is>
      </c>
      <c r="Z1690" s="2" t="inlineStr">
        <is>
          <t>Aditamento (Números e Alíneas)</t>
        </is>
      </c>
      <c r="AA1690" s="2" t="inlineStr">
        <is>
          <t>Rejeitado(a) em Comissão</t>
        </is>
      </c>
      <c r="AB1690" s="2" t="inlineStr"/>
      <c r="AC1690" s="2" t="inlineStr"/>
      <c r="AD1690" s="2" t="inlineStr">
        <is>
          <t>1</t>
        </is>
      </c>
      <c r="AE1690" s="2" t="inlineStr">
        <is>
          <t>24844</t>
        </is>
      </c>
      <c r="AF1690" s="2" t="inlineStr">
        <is>
          <t>https://www.parlamento.pt/OrcamentoEstado/Paginas/DetalhePropostaAlteracao.aspx?BID=24844</t>
        </is>
      </c>
      <c r="AG1690" s="2" t="inlineStr">
        <is>
          <t>https://app.parlamento.pt/webutils/docs/doc.pdf?path=6148523063484d364c793942556b356c6443397a6158526c63793959566b6c4a544556484c3039464c7a49774d6a59794d4449314d5441774f5339515153396c5957457a597a63775969316b596a5a6a4c545134596a67744f4463324d6930325a47466b4e7a566a59324a6a4f4441756347526d&amp;Fich=eaa3c70b-db6c-48b8-8762-6dad75ccbc80.pdf&amp;Inline=true</t>
        </is>
      </c>
      <c r="AH1690" s="3" t="n">
        <v>46321.77847222222</v>
      </c>
      <c r="AI1690" s="3" t="n">
        <v>46321.78055555555</v>
      </c>
      <c r="AJ1690" s="2" t="inlineStr"/>
    </row>
    <row r="1691">
      <c r="A1691" s="2" t="n">
        <v>1690</v>
      </c>
      <c r="B1691" s="2" t="inlineStr">
        <is>
          <t>1597C</t>
        </is>
      </c>
      <c r="C1691" s="3" t="n">
        <v>45968.65347222222</v>
      </c>
      <c r="D1691" s="2" t="inlineStr">
        <is>
          <t>Original</t>
        </is>
      </c>
      <c r="E1691" s="2" t="inlineStr">
        <is>
          <t>CH</t>
        </is>
      </c>
      <c r="F169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91" s="2" t="inlineStr">
        <is>
          <t>Art. 63.º (aditamento)</t>
        </is>
      </c>
      <c r="H1691" s="2" t="n"/>
      <c r="I1691" s="2" t="n"/>
      <c r="J1691" s="2" t="n"/>
      <c r="K1691" s="2" t="n"/>
      <c r="L1691" s="2" t="inlineStr">
        <is>
          <t>Verba 1.3.4, Lista II anexa ao código do IVA</t>
        </is>
      </c>
      <c r="M1691" s="4" t="n"/>
      <c r="N1691" s="4" t="n"/>
      <c r="O1691" s="2" t="n"/>
      <c r="P1691" s="2" t="n"/>
      <c r="Q1691" s="2" t="n"/>
      <c r="R1691" s="2" t="n"/>
      <c r="S1691" s="2" t="inlineStr">
        <is>
          <t>Rejeitado(a) em Comissão</t>
        </is>
      </c>
      <c r="T1691" s="2" t="inlineStr">
        <is>
          <t>Rejeitada</t>
        </is>
      </c>
      <c r="U1691" s="2" t="inlineStr">
        <is>
          <t>Favor: CH; Contra: PSD, CDS-PP, PAN; Abstenção: PS, IL, L, PCP, BE</t>
        </is>
      </c>
      <c r="V1691" s="3" t="n">
        <v>45982</v>
      </c>
      <c r="W1691" s="2" t="inlineStr">
        <is>
          <t>AR: https://www.parlamento.pt/OrcamentoEstado/Paginas/DetalhePropostaAlteracao.aspx?BID=24845 PDF: https://app.parlamento.pt/webutils/docs/doc.pdf?path=6148523063484d364c793942556b356c6443397a6158526c63793959566b6c4a544556484c3039464c7a49774d6a59794d4449314d5441774f53395151533832593245774d6a6c685a4330794f54526a4c5451324d574d744f5749324f4331685a444e6a4e5459774e6d526c4e4749756347526d&amp;Fich=6ca029ad-294c-461c-9b68-ad3c5606de4b.pdf&amp;Inline=true</t>
        </is>
      </c>
      <c r="X1691" s="2" t="inlineStr">
        <is>
          <t>Orçamento, Finanças e Administração Pública</t>
        </is>
      </c>
      <c r="Y1691" s="2" t="inlineStr">
        <is>
          <t>Articulado</t>
        </is>
      </c>
      <c r="Z1691" s="2" t="inlineStr">
        <is>
          <t>Aditamento (Números e Alíneas)</t>
        </is>
      </c>
      <c r="AA1691" s="2" t="inlineStr">
        <is>
          <t>Rejeitado(a) em Comissão</t>
        </is>
      </c>
      <c r="AB1691" s="2" t="inlineStr"/>
      <c r="AC1691" s="2" t="inlineStr"/>
      <c r="AD1691" s="2" t="inlineStr">
        <is>
          <t>1</t>
        </is>
      </c>
      <c r="AE1691" s="2" t="inlineStr">
        <is>
          <t>24845</t>
        </is>
      </c>
      <c r="AF1691" s="2" t="inlineStr">
        <is>
          <t>https://www.parlamento.pt/OrcamentoEstado/Paginas/DetalhePropostaAlteracao.aspx?BID=24845</t>
        </is>
      </c>
      <c r="AG1691" s="2" t="inlineStr">
        <is>
          <t>https://app.parlamento.pt/webutils/docs/doc.pdf?path=6148523063484d364c793942556b356c6443397a6158526c63793959566b6c4a544556484c3039464c7a49774d6a59794d4449314d5441774f53395151533832593245774d6a6c685a4330794f54526a4c5451324d574d744f5749324f4331685a444e6a4e5459774e6d526c4e4749756347526d&amp;Fich=6ca029ad-294c-461c-9b68-ad3c5606de4b.pdf&amp;Inline=true</t>
        </is>
      </c>
      <c r="AH1691" s="3" t="n">
        <v>46321.77847222222</v>
      </c>
      <c r="AI1691" s="3" t="n">
        <v>46321.78055555555</v>
      </c>
      <c r="AJ1691" s="2" t="inlineStr"/>
    </row>
    <row r="1692">
      <c r="A1692" s="2" t="n">
        <v>1691</v>
      </c>
      <c r="B1692" s="2" t="inlineStr">
        <is>
          <t>1598C</t>
        </is>
      </c>
      <c r="C1692" s="3" t="n">
        <v>45968.65416666667</v>
      </c>
      <c r="D1692" s="2" t="inlineStr">
        <is>
          <t>Original</t>
        </is>
      </c>
      <c r="E1692" s="2" t="inlineStr">
        <is>
          <t>PCP</t>
        </is>
      </c>
      <c r="F1692" s="2" t="inlineStr">
        <is>
          <t>Alfredo Maia; Paula Santos; Paulo Raimundo</t>
        </is>
      </c>
      <c r="G1692" s="2" t="inlineStr">
        <is>
          <t>Art. 136.º-A (aditamento)</t>
        </is>
      </c>
      <c r="H1692" s="2" t="n"/>
      <c r="I1692" s="2" t="n"/>
      <c r="J1692" s="2" t="n"/>
      <c r="K1692" s="2" t="n"/>
      <c r="L1692" s="2" t="inlineStr">
        <is>
          <t>Artigo 136.º-A (Redução do financiamento público aos partidos políticos e às campanhas eleitorais)</t>
        </is>
      </c>
      <c r="M1692" s="4" t="n"/>
      <c r="N1692" s="4" t="n"/>
      <c r="O1692" s="2" t="n"/>
      <c r="P1692" s="2" t="n"/>
      <c r="Q1692" s="2" t="n"/>
      <c r="R1692" s="2" t="n"/>
      <c r="S1692" s="2" t="inlineStr">
        <is>
          <t>Rejeitado(a) em Comissão</t>
        </is>
      </c>
      <c r="T1692" s="2" t="inlineStr">
        <is>
          <t>Rejeitada</t>
        </is>
      </c>
      <c r="U1692" s="2" t="inlineStr">
        <is>
          <t>Favor: CH, IL, PCP; Contra: PSD, PS, L, CDS-PP, BE, PAN</t>
        </is>
      </c>
      <c r="V1692" s="3" t="n">
        <v>45987</v>
      </c>
      <c r="W1692" s="2" t="inlineStr">
        <is>
          <t>AR: https://www.parlamento.pt/OrcamentoEstado/Paginas/DetalhePropostaAlteracao.aspx?BID=24846 PDF: https://app.parlamento.pt/webutils/docs/doc.pdf?path=6148523063484d364c793942556b356c6443397a6158526c63793959566b6c4a544556484c3039464c7a49774d6a59794d4449314d5441774f533951515338305a4755354e7a646b5a53316d4e3255324c5451314e7a45744f545a694d79307a5a544135597a59784f444a684e6a67756347526d&amp;Fich=4de977de-f7e6-4571-96b3-3e09c6182a68.pdf&amp;Inline=true</t>
        </is>
      </c>
      <c r="X1692" s="2" t="inlineStr">
        <is>
          <t>Assuntos Constitucionais, Direitos, Liberdades e Garantias</t>
        </is>
      </c>
      <c r="Y1692" s="2" t="inlineStr">
        <is>
          <t>Articulado</t>
        </is>
      </c>
      <c r="Z1692" s="2" t="inlineStr">
        <is>
          <t>Aditamento (Artigo PPL)</t>
        </is>
      </c>
      <c r="AA1692" s="2" t="inlineStr">
        <is>
          <t>Rejeitado(a) em Comissão</t>
        </is>
      </c>
      <c r="AB1692" s="2" t="inlineStr"/>
      <c r="AC1692" s="2" t="inlineStr"/>
      <c r="AD1692" s="2" t="inlineStr">
        <is>
          <t>1</t>
        </is>
      </c>
      <c r="AE1692" s="2" t="inlineStr">
        <is>
          <t>24846</t>
        </is>
      </c>
      <c r="AF1692" s="2" t="inlineStr">
        <is>
          <t>https://www.parlamento.pt/OrcamentoEstado/Paginas/DetalhePropostaAlteracao.aspx?BID=24846</t>
        </is>
      </c>
      <c r="AG1692" s="2" t="inlineStr">
        <is>
          <t>https://app.parlamento.pt/webutils/docs/doc.pdf?path=6148523063484d364c793942556b356c6443397a6158526c63793959566b6c4a544556484c3039464c7a49774d6a59794d4449314d5441774f533951515338305a4755354e7a646b5a53316d4e3255324c5451314e7a45744f545a694d79307a5a544135597a59784f444a684e6a67756347526d&amp;Fich=4de977de-f7e6-4571-96b3-3e09c6182a68.pdf&amp;Inline=true</t>
        </is>
      </c>
      <c r="AH1692" s="3" t="n">
        <v>46321.77847222222</v>
      </c>
      <c r="AI1692" s="3" t="n">
        <v>46321.78055555555</v>
      </c>
      <c r="AJ1692" s="2" t="inlineStr"/>
    </row>
    <row r="1693">
      <c r="A1693" s="2" t="n">
        <v>1692</v>
      </c>
      <c r="B1693" s="2" t="inlineStr">
        <is>
          <t>1599C</t>
        </is>
      </c>
      <c r="C1693" s="3" t="n">
        <v>45968.65416666667</v>
      </c>
      <c r="D1693" s="2" t="inlineStr">
        <is>
          <t>Original</t>
        </is>
      </c>
      <c r="E1693" s="2" t="inlineStr">
        <is>
          <t>CH</t>
        </is>
      </c>
      <c r="F169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93" s="2" t="inlineStr">
        <is>
          <t>Art. 136 º-A (aditamento)</t>
        </is>
      </c>
      <c r="H1693" s="2" t="n"/>
      <c r="I1693" s="2" t="n"/>
      <c r="J1693" s="2" t="n"/>
      <c r="K1693" s="2" t="n"/>
      <c r="L1693" s="2" t="inlineStr">
        <is>
          <t>Artigo 136 º-A (Criação de Incentivos fiscais diretos a proprietários que coloquem imóveis devolutos em arrendamento de longa duração a preços controlados)</t>
        </is>
      </c>
      <c r="M1693" s="4" t="n"/>
      <c r="N1693" s="4" t="n"/>
      <c r="O1693" s="2" t="n"/>
      <c r="P1693" s="2" t="n"/>
      <c r="Q1693" s="2" t="n"/>
      <c r="R1693" s="2" t="n"/>
      <c r="S1693" s="2" t="inlineStr">
        <is>
          <t>Rejeitado(a) em Comissão</t>
        </is>
      </c>
      <c r="T1693" s="2" t="inlineStr">
        <is>
          <t>Rejeitada</t>
        </is>
      </c>
      <c r="U1693" s="2" t="inlineStr">
        <is>
          <t>Favor: CH, PAN; Contra: PSD, PCP, CDS-PP; Abstenção: PS, IL, L, BE</t>
        </is>
      </c>
      <c r="V1693" s="3" t="n">
        <v>45987</v>
      </c>
      <c r="W1693" s="2" t="inlineStr">
        <is>
          <t>AR: https://www.parlamento.pt/OrcamentoEstado/Paginas/DetalhePropostaAlteracao.aspx?BID=24847 PDF: https://app.parlamento.pt/webutils/docs/doc.pdf?path=6148523063484d364c793942556b356c6443397a6158526c63793959566b6c4a544556484c3039464c7a49774d6a59794d4449314d5441774f533951515338324d7a4d774e54646c5969316c4f54426c4c545179597a4974596d4535596930334e324a6c4d57566b4f474a685a6a67756347526d&amp;Fich=633057eb-e90e-42c2-ba9b-77be1ed8baf8.pdf&amp;Inline=true</t>
        </is>
      </c>
      <c r="X1693" s="2" t="inlineStr">
        <is>
          <t>Infraestruturas, Mobilidade e Habitação</t>
        </is>
      </c>
      <c r="Y1693" s="2" t="inlineStr">
        <is>
          <t>Articulado</t>
        </is>
      </c>
      <c r="Z1693" s="2" t="inlineStr">
        <is>
          <t>Aditamento (Artigo PPL)</t>
        </is>
      </c>
      <c r="AA1693" s="2" t="inlineStr">
        <is>
          <t>Rejeitado(a) em Comissão</t>
        </is>
      </c>
      <c r="AB1693" s="2" t="inlineStr"/>
      <c r="AC1693" s="2" t="inlineStr"/>
      <c r="AD1693" s="2" t="inlineStr">
        <is>
          <t>1</t>
        </is>
      </c>
      <c r="AE1693" s="2" t="inlineStr">
        <is>
          <t>24847</t>
        </is>
      </c>
      <c r="AF1693" s="2" t="inlineStr">
        <is>
          <t>https://www.parlamento.pt/OrcamentoEstado/Paginas/DetalhePropostaAlteracao.aspx?BID=24847</t>
        </is>
      </c>
      <c r="AG1693" s="2" t="inlineStr">
        <is>
          <t>https://app.parlamento.pt/webutils/docs/doc.pdf?path=6148523063484d364c793942556b356c6443397a6158526c63793959566b6c4a544556484c3039464c7a49774d6a59794d4449314d5441774f533951515338324d7a4d774e54646c5969316c4f54426c4c545179597a4974596d4535596930334e324a6c4d57566b4f474a685a6a67756347526d&amp;Fich=633057eb-e90e-42c2-ba9b-77be1ed8baf8.pdf&amp;Inline=true</t>
        </is>
      </c>
      <c r="AH1693" s="3" t="n">
        <v>46321.77847222222</v>
      </c>
      <c r="AI1693" s="3" t="n">
        <v>46321.78055555555</v>
      </c>
      <c r="AJ1693" s="2" t="inlineStr"/>
    </row>
    <row r="1694">
      <c r="A1694" s="2" t="n">
        <v>1693</v>
      </c>
      <c r="B1694" s="2" t="inlineStr">
        <is>
          <t>1600C-1</t>
        </is>
      </c>
      <c r="C1694" s="3" t="n">
        <v>45968.65416666667</v>
      </c>
      <c r="D1694" s="2" t="inlineStr">
        <is>
          <t>Original</t>
        </is>
      </c>
      <c r="E1694" s="2" t="inlineStr">
        <is>
          <t>CH</t>
        </is>
      </c>
      <c r="F169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94" s="2" t="inlineStr">
        <is>
          <t>Art. 68.º (substituição)</t>
        </is>
      </c>
      <c r="H1694" s="2" t="n"/>
      <c r="I1694" s="2" t="n"/>
      <c r="J1694" s="2" t="n"/>
      <c r="K1694" s="2" t="n"/>
      <c r="L1694" s="2" t="inlineStr">
        <is>
          <t>N.º 2, Artigo 9.º do Código do IMT</t>
        </is>
      </c>
      <c r="M1694" s="4" t="n"/>
      <c r="N1694" s="4" t="n"/>
      <c r="O1694" s="2" t="n"/>
      <c r="P1694" s="2" t="n"/>
      <c r="Q1694" s="2" t="n"/>
      <c r="R1694" s="2" t="n"/>
      <c r="S1694" s="2" t="inlineStr">
        <is>
          <t>Rejeitado(a) em Comissão</t>
        </is>
      </c>
      <c r="T1694" s="2" t="inlineStr">
        <is>
          <t>Rejeitada</t>
        </is>
      </c>
      <c r="U1694" s="2" t="inlineStr">
        <is>
          <t>Favor: CH, IL, PAN; Contra: PSD, PS, L, PCP, CDS-PP, BE</t>
        </is>
      </c>
      <c r="V1694" s="3" t="n">
        <v>45982</v>
      </c>
      <c r="W1694" s="2" t="inlineStr">
        <is>
          <t>AR: https://www.parlamento.pt/OrcamentoEstado/Paginas/DetalhePropostaAlteracao.aspx?BID=24848 PDF: https://app.parlamento.pt/webutils/docs/doc.pdf?path=6148523063484d364c793942556b356c6443397a6158526c63793959566b6c4a544556484c3039464c7a49774d6a59794d4449314d5441774f533951515339694f5749324f54686a4e43316a4d6a6b354c54526c4d7a4974596a59345a4330314e6a45795a574d354e6a4d334f5749756347526d&amp;Fich=b9b698c4-c299-4e32-b68d-5612ec96379b.pdf&amp;Inline=true</t>
        </is>
      </c>
      <c r="X1694" s="2" t="inlineStr">
        <is>
          <t>Orçamento, Finanças e Administração Pública</t>
        </is>
      </c>
      <c r="Y1694" s="2" t="inlineStr">
        <is>
          <t>Articulado</t>
        </is>
      </c>
      <c r="Z1694" s="2" t="inlineStr">
        <is>
          <t>Substituição</t>
        </is>
      </c>
      <c r="AA1694" s="2" t="inlineStr">
        <is>
          <t>Rejeitado(a) em Comissão</t>
        </is>
      </c>
      <c r="AB1694" s="2" t="inlineStr"/>
      <c r="AC1694" s="2" t="inlineStr">
        <is>
          <t>1</t>
        </is>
      </c>
      <c r="AD1694" s="2" t="inlineStr">
        <is>
          <t>1</t>
        </is>
      </c>
      <c r="AE1694" s="2" t="inlineStr">
        <is>
          <t>24848</t>
        </is>
      </c>
      <c r="AF1694" s="2" t="inlineStr">
        <is>
          <t>https://www.parlamento.pt/OrcamentoEstado/Paginas/DetalhePropostaAlteracao.aspx?BID=24848</t>
        </is>
      </c>
      <c r="AG1694" s="2" t="inlineStr">
        <is>
          <t>https://app.parlamento.pt/webutils/docs/doc.pdf?path=6148523063484d364c793942556b356c6443397a6158526c63793959566b6c4a544556484c3039464c7a49774d6a59794d4449314d5441774f533951515339694f5749324f54686a4e43316a4d6a6b354c54526c4d7a4974596a59345a4330314e6a45795a574d354e6a4d334f5749756347526d&amp;Fich=b9b698c4-c299-4e32-b68d-5612ec96379b.pdf&amp;Inline=true</t>
        </is>
      </c>
      <c r="AH1694" s="3" t="n">
        <v>46321.77847222222</v>
      </c>
      <c r="AI1694" s="3" t="n">
        <v>46321.78055555555</v>
      </c>
      <c r="AJ1694" s="2" t="inlineStr"/>
    </row>
    <row r="1695">
      <c r="A1695" s="2" t="n">
        <v>1694</v>
      </c>
      <c r="B1695" s="2" t="inlineStr">
        <is>
          <t>1600C-2</t>
        </is>
      </c>
      <c r="C1695" s="3" t="n">
        <v>45968.65416666667</v>
      </c>
      <c r="D1695" s="2" t="inlineStr">
        <is>
          <t>Original</t>
        </is>
      </c>
      <c r="E1695" s="2" t="inlineStr">
        <is>
          <t>CH</t>
        </is>
      </c>
      <c r="F169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95" s="2" t="inlineStr">
        <is>
          <t>Art. 68.º (aditamento)</t>
        </is>
      </c>
      <c r="H1695" s="2" t="n"/>
      <c r="I1695" s="2" t="n"/>
      <c r="J1695" s="2" t="n"/>
      <c r="K1695" s="2" t="n"/>
      <c r="L1695" s="2" t="inlineStr">
        <is>
          <t>Novo N.º 3, Artigo 9.º do Código do IMT</t>
        </is>
      </c>
      <c r="M1695" s="4" t="n"/>
      <c r="N1695" s="4" t="n"/>
      <c r="O1695" s="2" t="n"/>
      <c r="P1695" s="2" t="n"/>
      <c r="Q1695" s="2" t="n"/>
      <c r="R1695" s="2" t="n"/>
      <c r="S1695" s="2" t="inlineStr">
        <is>
          <t>Rejeitado(a) em Comissão</t>
        </is>
      </c>
      <c r="T1695" s="2" t="inlineStr">
        <is>
          <t>Rejeitada</t>
        </is>
      </c>
      <c r="U1695" s="2" t="inlineStr">
        <is>
          <t>Favor: CH, IL, PAN; Contra: PSD, PS, L, PCP, CDS-PP, BE</t>
        </is>
      </c>
      <c r="V1695" s="3" t="n">
        <v>45982</v>
      </c>
      <c r="W1695" s="2" t="inlineStr">
        <is>
          <t>AR: https://www.parlamento.pt/OrcamentoEstado/Paginas/DetalhePropostaAlteracao.aspx?BID=25349 PDF: https://app.parlamento.pt/webutils/docs/doc.pdf?path=6148523063484d364c793942556b356c6443397a6158526c63793959566b6c4a544556484c3039464c7a49774d6a59794d4449314d5441774f5339515153396b4f4455344d324d784e6930794d3252694c54526b4e4749744f4759344d693033596a45305a4759784e4755335a5745756347526d&amp;Fich=d8583c16-23db-4d4b-8f82-7b14df14e7ea.pdf&amp;Inline=true</t>
        </is>
      </c>
      <c r="X1695" s="2" t="inlineStr">
        <is>
          <t>Orçamento, Finanças e Administração Pública</t>
        </is>
      </c>
      <c r="Y1695" s="2" t="inlineStr">
        <is>
          <t>Articulado</t>
        </is>
      </c>
      <c r="Z1695" s="2" t="inlineStr">
        <is>
          <t>Aditamento (Números e Alíneas)</t>
        </is>
      </c>
      <c r="AA1695" s="2" t="inlineStr">
        <is>
          <t>Rejeitado(a) em Comissão</t>
        </is>
      </c>
      <c r="AB1695" s="2" t="inlineStr"/>
      <c r="AC1695" s="2" t="inlineStr">
        <is>
          <t>2</t>
        </is>
      </c>
      <c r="AD1695" s="2" t="inlineStr">
        <is>
          <t>1</t>
        </is>
      </c>
      <c r="AE1695" s="2" t="inlineStr">
        <is>
          <t>25349</t>
        </is>
      </c>
      <c r="AF1695" s="2" t="inlineStr">
        <is>
          <t>https://www.parlamento.pt/OrcamentoEstado/Paginas/DetalhePropostaAlteracao.aspx?BID=25349</t>
        </is>
      </c>
      <c r="AG1695" s="2" t="inlineStr">
        <is>
          <t>https://app.parlamento.pt/webutils/docs/doc.pdf?path=6148523063484d364c793942556b356c6443397a6158526c63793959566b6c4a544556484c3039464c7a49774d6a59794d4449314d5441774f5339515153396b4f4455344d324d784e6930794d3252694c54526b4e4749744f4759344d693033596a45305a4759784e4755335a5745756347526d&amp;Fich=d8583c16-23db-4d4b-8f82-7b14df14e7ea.pdf&amp;Inline=true</t>
        </is>
      </c>
      <c r="AH1695" s="3" t="n">
        <v>46321.77847222222</v>
      </c>
      <c r="AI1695" s="3" t="n">
        <v>46321.78055555555</v>
      </c>
      <c r="AJ1695" s="2" t="inlineStr"/>
    </row>
    <row r="1696">
      <c r="A1696" s="2" t="n">
        <v>1695</v>
      </c>
      <c r="B1696" s="2" t="inlineStr">
        <is>
          <t>1601C</t>
        </is>
      </c>
      <c r="C1696" s="3" t="n">
        <v>45968.65416666667</v>
      </c>
      <c r="D1696" s="2" t="inlineStr">
        <is>
          <t>Original</t>
        </is>
      </c>
      <c r="E1696" s="2" t="inlineStr">
        <is>
          <t>PS</t>
        </is>
      </c>
      <c r="F1696" s="2" t="inlineStr">
        <is>
          <t>Ana Bernardo; António Mendonça Mendes; Eurico Brilhante Dias; José Luís Carneiro; Marina Gonçalves; Miguel Matos</t>
        </is>
      </c>
      <c r="G1696" s="2" t="inlineStr">
        <is>
          <t>Art. 68.º-A (aditamento)</t>
        </is>
      </c>
      <c r="H1696" s="2" t="n"/>
      <c r="I1696" s="2" t="n"/>
      <c r="J1696" s="2" t="n"/>
      <c r="K1696" s="2" t="n"/>
      <c r="L1696" s="2" t="inlineStr">
        <is>
          <t>Artigo 68.º-A (Consignação de receita de imposto sobre o rendimento das pessoas singulares ao Fundo de Estabilização Financeira da Segurança Social)</t>
        </is>
      </c>
      <c r="M1696" s="4" t="n"/>
      <c r="N1696" s="4" t="n"/>
      <c r="O1696" s="2" t="n"/>
      <c r="P1696" s="2" t="n"/>
      <c r="Q1696" s="2" t="n"/>
      <c r="R1696" s="2" t="n"/>
      <c r="S1696" s="2" t="inlineStr">
        <is>
          <t>Rejeitado(a) em Comissão</t>
        </is>
      </c>
      <c r="T1696" s="2" t="inlineStr">
        <is>
          <t>Rejeitada</t>
        </is>
      </c>
      <c r="U1696" s="2" t="inlineStr">
        <is>
          <t>Favor: BE, PAN; Contra: PSD, CH, IL, CDS-PP; Abstenção: L, PCP</t>
        </is>
      </c>
      <c r="V1696" s="3" t="n">
        <v>45982</v>
      </c>
      <c r="W1696" s="2" t="inlineStr">
        <is>
          <t>AR: https://www.parlamento.pt/OrcamentoEstado/Paginas/DetalhePropostaAlteracao.aspx?BID=24849 PDF: https://app.parlamento.pt/webutils/docs/doc.pdf?path=6148523063484d364c793942556b356c6443397a6158526c63793959566b6c4a544556484c3039464c7a49774d6a59794d4449314d5441774f5339515153396c5a4441305a6d45784d53316c4d6d59354c5452695a474574596a637a4d53316c4d6d4a694d4759774e4751784d474d756347526d&amp;Fich=ed04fa11-e2f9-4bda-b731-e2bb0f04d10c.pdf&amp;Inline=true</t>
        </is>
      </c>
      <c r="X1696" s="2" t="inlineStr">
        <is>
          <t>Orçamento, Finanças e Administração Pública; Trabalho, Segurança Social e Inclusão</t>
        </is>
      </c>
      <c r="Y1696" s="2" t="inlineStr">
        <is>
          <t>Articulado</t>
        </is>
      </c>
      <c r="Z1696" s="2" t="inlineStr">
        <is>
          <t>Aditamento (Artigo PPL)</t>
        </is>
      </c>
      <c r="AA1696" s="2" t="inlineStr">
        <is>
          <t>Rejeitado(a) em Comissão</t>
        </is>
      </c>
      <c r="AB1696" s="2" t="inlineStr"/>
      <c r="AC1696" s="2" t="inlineStr"/>
      <c r="AD1696" s="2" t="inlineStr">
        <is>
          <t>1</t>
        </is>
      </c>
      <c r="AE1696" s="2" t="inlineStr">
        <is>
          <t>24849</t>
        </is>
      </c>
      <c r="AF1696" s="2" t="inlineStr">
        <is>
          <t>https://www.parlamento.pt/OrcamentoEstado/Paginas/DetalhePropostaAlteracao.aspx?BID=24849</t>
        </is>
      </c>
      <c r="AG1696" s="2" t="inlineStr">
        <is>
          <t>https://app.parlamento.pt/webutils/docs/doc.pdf?path=6148523063484d364c793942556b356c6443397a6158526c63793959566b6c4a544556484c3039464c7a49774d6a59794d4449314d5441774f5339515153396c5a4441305a6d45784d53316c4d6d59354c5452695a474574596a637a4d53316c4d6d4a694d4759774e4751784d474d756347526d&amp;Fich=ed04fa11-e2f9-4bda-b731-e2bb0f04d10c.pdf&amp;Inline=true</t>
        </is>
      </c>
      <c r="AH1696" s="3" t="n">
        <v>46321.77847222222</v>
      </c>
      <c r="AI1696" s="3" t="n">
        <v>46321.78055555555</v>
      </c>
      <c r="AJ1696" s="2" t="inlineStr"/>
    </row>
    <row r="1697">
      <c r="A1697" s="2" t="n">
        <v>1696</v>
      </c>
      <c r="B1697" s="2" t="inlineStr">
        <is>
          <t>1602C</t>
        </is>
      </c>
      <c r="C1697" s="3" t="n">
        <v>45968.65486111111</v>
      </c>
      <c r="D1697" s="2" t="inlineStr">
        <is>
          <t>Original</t>
        </is>
      </c>
      <c r="E1697" s="2" t="inlineStr">
        <is>
          <t>PCP</t>
        </is>
      </c>
      <c r="F1697" s="2" t="inlineStr">
        <is>
          <t>Alfredo Maia; Paula Santos; Paulo Raimundo</t>
        </is>
      </c>
      <c r="G1697" s="2" t="inlineStr">
        <is>
          <t>Art. 136.º-A (aditamento)</t>
        </is>
      </c>
      <c r="H1697" s="2" t="n"/>
      <c r="I1697" s="2" t="n"/>
      <c r="J1697" s="2" t="n"/>
      <c r="K1697" s="2" t="n"/>
      <c r="L1697" s="2" t="inlineStr">
        <is>
          <t>Artigo 136.º-A (Limita a acumulação de subvenções e elimina regimes especiais de aposentação dos titulares de cargos políticos e equiparados)</t>
        </is>
      </c>
      <c r="M1697" s="4" t="n"/>
      <c r="N1697" s="4" t="n"/>
      <c r="O1697" s="2" t="n"/>
      <c r="P1697" s="2" t="n"/>
      <c r="Q1697" s="2" t="n"/>
      <c r="R1697" s="2" t="n"/>
      <c r="S1697" s="2" t="inlineStr">
        <is>
          <t>Rejeitado(a) em Comissão</t>
        </is>
      </c>
      <c r="T1697" s="2" t="inlineStr">
        <is>
          <t>Rejeitada</t>
        </is>
      </c>
      <c r="U1697" s="2" t="inlineStr">
        <is>
          <t>Favor: CH, L, PCP, BE; Contra: PSD, PS, CDS-PP, PAN; Abstenção: IL</t>
        </is>
      </c>
      <c r="V1697" s="3" t="n">
        <v>45987</v>
      </c>
      <c r="W1697" s="2" t="inlineStr">
        <is>
          <t>AR: https://www.parlamento.pt/OrcamentoEstado/Paginas/DetalhePropostaAlteracao.aspx?BID=24850 PDF: https://app.parlamento.pt/webutils/docs/doc.pdf?path=6148523063484d364c793942556b356c6443397a6158526c63793959566b6c4a544556484c3039464c7a49774d6a59794d4449314d5441774f5339515153396c4e7a4e684d6a59784e43316a4f4452694c54526d5a5445744f446b334d5331694d7a466d4e32566b5a6a63344f5749756347526d&amp;Fich=e73a2614-c84b-4fe1-8971-b31f7edf789b.pdf&amp;Inline=true</t>
        </is>
      </c>
      <c r="X1697" s="2" t="inlineStr">
        <is>
          <t>Assuntos Constitucionais, Direitos, Liberdades e Garantias</t>
        </is>
      </c>
      <c r="Y1697" s="2" t="inlineStr">
        <is>
          <t>Articulado</t>
        </is>
      </c>
      <c r="Z1697" s="2" t="inlineStr">
        <is>
          <t>Aditamento (Artigo PPL)</t>
        </is>
      </c>
      <c r="AA1697" s="2" t="inlineStr">
        <is>
          <t>Rejeitado(a) em Comissão</t>
        </is>
      </c>
      <c r="AB1697" s="2" t="inlineStr"/>
      <c r="AC1697" s="2" t="inlineStr"/>
      <c r="AD1697" s="2" t="inlineStr">
        <is>
          <t>1</t>
        </is>
      </c>
      <c r="AE1697" s="2" t="inlineStr">
        <is>
          <t>24850</t>
        </is>
      </c>
      <c r="AF1697" s="2" t="inlineStr">
        <is>
          <t>https://www.parlamento.pt/OrcamentoEstado/Paginas/DetalhePropostaAlteracao.aspx?BID=24850</t>
        </is>
      </c>
      <c r="AG1697" s="2" t="inlineStr">
        <is>
          <t>https://app.parlamento.pt/webutils/docs/doc.pdf?path=6148523063484d364c793942556b356c6443397a6158526c63793959566b6c4a544556484c3039464c7a49774d6a59794d4449314d5441774f5339515153396c4e7a4e684d6a59784e43316a4f4452694c54526d5a5445744f446b334d5331694d7a466d4e32566b5a6a63344f5749756347526d&amp;Fich=e73a2614-c84b-4fe1-8971-b31f7edf789b.pdf&amp;Inline=true</t>
        </is>
      </c>
      <c r="AH1697" s="3" t="n">
        <v>46321.77847222222</v>
      </c>
      <c r="AI1697" s="3" t="n">
        <v>46321.78055555555</v>
      </c>
      <c r="AJ1697" s="2" t="inlineStr"/>
    </row>
    <row r="1698">
      <c r="A1698" s="2" t="n">
        <v>1697</v>
      </c>
      <c r="B1698" s="2" t="inlineStr">
        <is>
          <t>1603C</t>
        </is>
      </c>
      <c r="C1698" s="3" t="n">
        <v>45968.65486111111</v>
      </c>
      <c r="D1698" s="2" t="inlineStr">
        <is>
          <t>Original</t>
        </is>
      </c>
      <c r="E1698" s="2" t="inlineStr">
        <is>
          <t>CH</t>
        </is>
      </c>
      <c r="F169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698" s="2" t="inlineStr">
        <is>
          <t>Art. 136.º-A (aditamento)</t>
        </is>
      </c>
      <c r="H1698" s="2" t="n"/>
      <c r="I1698" s="2" t="n"/>
      <c r="J1698" s="2" t="n"/>
      <c r="K1698" s="2" t="n"/>
      <c r="L1698" s="2" t="inlineStr">
        <is>
          <t>Artigo 136.º-A (Ligação da Estrada Nacional 17 ao IP3)</t>
        </is>
      </c>
      <c r="M1698" s="4" t="n"/>
      <c r="N1698" s="4" t="n"/>
      <c r="O1698" s="2" t="n"/>
      <c r="P1698" s="2" t="n"/>
      <c r="Q1698" s="2" t="n"/>
      <c r="R1698" s="2" t="n"/>
      <c r="S1698" s="2" t="inlineStr">
        <is>
          <t>Rejeitado(a) em Comissão</t>
        </is>
      </c>
      <c r="T1698" s="2" t="inlineStr">
        <is>
          <t>Rejeitada</t>
        </is>
      </c>
      <c r="U1698" s="2" t="inlineStr">
        <is>
          <t>Favor: CH, BE; Contra: PSD, CDS-PP, PAN; Abstenção: PS, IL, L, PCP</t>
        </is>
      </c>
      <c r="V1698" s="3" t="n">
        <v>45987</v>
      </c>
      <c r="W1698" s="2" t="inlineStr">
        <is>
          <t>AR: https://www.parlamento.pt/OrcamentoEstado/Paginas/DetalhePropostaAlteracao.aspx?BID=24851 PDF: https://app.parlamento.pt/webutils/docs/doc.pdf?path=6148523063484d364c793942556b356c6443397a6158526c63793959566b6c4a544556484c3039464c7a49774d6a59794d4449314d5441774f533951515338304d7a49774d6d49334f5330355a6d4e6c4c5451324e7a49744f5749314f533034595455774d4463334d5451344e5441756347526d&amp;Fich=43202b79-9fce-4672-9b59-8a5007714850.pdf&amp;Inline=true</t>
        </is>
      </c>
      <c r="X1698" s="2" t="inlineStr">
        <is>
          <t>Infraestruturas, Mobilidade e Habitação</t>
        </is>
      </c>
      <c r="Y1698" s="2" t="inlineStr">
        <is>
          <t>Articulado</t>
        </is>
      </c>
      <c r="Z1698" s="2" t="inlineStr">
        <is>
          <t>Aditamento (Artigo PPL)</t>
        </is>
      </c>
      <c r="AA1698" s="2" t="inlineStr">
        <is>
          <t>Rejeitado(a) em Comissão</t>
        </is>
      </c>
      <c r="AB1698" s="2" t="inlineStr"/>
      <c r="AC1698" s="2" t="inlineStr"/>
      <c r="AD1698" s="2" t="inlineStr">
        <is>
          <t>1</t>
        </is>
      </c>
      <c r="AE1698" s="2" t="inlineStr">
        <is>
          <t>24851</t>
        </is>
      </c>
      <c r="AF1698" s="2" t="inlineStr">
        <is>
          <t>https://www.parlamento.pt/OrcamentoEstado/Paginas/DetalhePropostaAlteracao.aspx?BID=24851</t>
        </is>
      </c>
      <c r="AG1698" s="2" t="inlineStr">
        <is>
          <t>https://app.parlamento.pt/webutils/docs/doc.pdf?path=6148523063484d364c793942556b356c6443397a6158526c63793959566b6c4a544556484c3039464c7a49774d6a59794d4449314d5441774f533951515338304d7a49774d6d49334f5330355a6d4e6c4c5451324e7a49744f5749314f533034595455774d4463334d5451344e5441756347526d&amp;Fich=43202b79-9fce-4672-9b59-8a5007714850.pdf&amp;Inline=true</t>
        </is>
      </c>
      <c r="AH1698" s="3" t="n">
        <v>46321.77847222222</v>
      </c>
      <c r="AI1698" s="3" t="n">
        <v>46321.78055555555</v>
      </c>
      <c r="AJ1698" s="2" t="inlineStr"/>
    </row>
    <row r="1699">
      <c r="A1699" s="2" t="n">
        <v>1698</v>
      </c>
      <c r="B1699" s="2" t="inlineStr">
        <is>
          <t>1604C</t>
        </is>
      </c>
      <c r="C1699" s="3" t="n">
        <v>45968.65555555555</v>
      </c>
      <c r="D1699" s="2" t="inlineStr">
        <is>
          <t>Original</t>
        </is>
      </c>
      <c r="E1699" s="2" t="inlineStr">
        <is>
          <t>L</t>
        </is>
      </c>
      <c r="F1699" s="2" t="inlineStr">
        <is>
          <t>Filipa Pinto; Isabel Mendes Lopes; Jorge Pinto; Patrícia Gonçalves; Paulo Muacho; Rui Tavares</t>
        </is>
      </c>
      <c r="G1699" s="2" t="inlineStr">
        <is>
          <t>Art. 21.º-A (aditamento)</t>
        </is>
      </c>
      <c r="H1699" s="2" t="n"/>
      <c r="I1699" s="2" t="n"/>
      <c r="J1699" s="2" t="n"/>
      <c r="K1699" s="2" t="n"/>
      <c r="L1699" s="2" t="inlineStr">
        <is>
          <t>Artigo 21.º-A (Fundo Nacional para a Inovação, Acessibilidade e Inclusão Pedagógica no Ensino Superior)</t>
        </is>
      </c>
      <c r="M1699" s="4" t="n"/>
      <c r="N1699" s="4" t="n"/>
      <c r="O1699" s="2" t="n"/>
      <c r="P1699" s="2" t="n"/>
      <c r="Q1699" s="2" t="n"/>
      <c r="R1699" s="2" t="n"/>
      <c r="S1699" s="2" t="inlineStr">
        <is>
          <t>Rejeitado(a) em Comissão</t>
        </is>
      </c>
      <c r="T1699" s="2" t="inlineStr">
        <is>
          <t>Rejeitada</t>
        </is>
      </c>
      <c r="U1699" s="2" t="inlineStr">
        <is>
          <t>Favor: L, BE, PAN; Contra: PSD, CH, CDS-PP; Abstenção: PS, IL</t>
        </is>
      </c>
      <c r="V1699" s="3" t="n">
        <v>45981</v>
      </c>
      <c r="W1699" s="2" t="inlineStr">
        <is>
          <t>AR: https://www.parlamento.pt/OrcamentoEstado/Paginas/DetalhePropostaAlteracao.aspx?BID=24852 PDF: https://app.parlamento.pt/webutils/docs/doc.pdf?path=6148523063484d364c793942556b356c6443397a6158526c63793959566b6c4a544556484c3039464c7a49774d6a59794d4449314d5441774f533951515338354e6a566b5a5751304d43316c59544d334c5452694e4467744f4749774e7931684e6d45794e6a5979596d51355a4759756347526d&amp;Fich=965ded40-ea37-4b48-8b07-a6a2662bd9df.pdf&amp;Inline=true</t>
        </is>
      </c>
      <c r="X1699" s="2" t="inlineStr">
        <is>
          <t>Educação e Ciência</t>
        </is>
      </c>
      <c r="Y1699" s="2" t="inlineStr">
        <is>
          <t>Articulado</t>
        </is>
      </c>
      <c r="Z1699" s="2" t="inlineStr">
        <is>
          <t>Aditamento (Artigo PPL)</t>
        </is>
      </c>
      <c r="AA1699" s="2" t="inlineStr">
        <is>
          <t>Rejeitado(a) em Comissão</t>
        </is>
      </c>
      <c r="AB1699" s="2" t="inlineStr"/>
      <c r="AC1699" s="2" t="inlineStr"/>
      <c r="AD1699" s="2" t="inlineStr">
        <is>
          <t>1</t>
        </is>
      </c>
      <c r="AE1699" s="2" t="inlineStr">
        <is>
          <t>24852</t>
        </is>
      </c>
      <c r="AF1699" s="2" t="inlineStr">
        <is>
          <t>https://www.parlamento.pt/OrcamentoEstado/Paginas/DetalhePropostaAlteracao.aspx?BID=24852</t>
        </is>
      </c>
      <c r="AG1699" s="2" t="inlineStr">
        <is>
          <t>https://app.parlamento.pt/webutils/docs/doc.pdf?path=6148523063484d364c793942556b356c6443397a6158526c63793959566b6c4a544556484c3039464c7a49774d6a59794d4449314d5441774f533951515338354e6a566b5a5751304d43316c59544d334c5452694e4467744f4749774e7931684e6d45794e6a5979596d51355a4759756347526d&amp;Fich=965ded40-ea37-4b48-8b07-a6a2662bd9df.pdf&amp;Inline=true</t>
        </is>
      </c>
      <c r="AH1699" s="3" t="n">
        <v>46321.77847222222</v>
      </c>
      <c r="AI1699" s="3" t="n">
        <v>46321.78055555555</v>
      </c>
      <c r="AJ1699" s="2" t="inlineStr"/>
    </row>
    <row r="1700">
      <c r="A1700" s="2" t="n">
        <v>1699</v>
      </c>
      <c r="B1700" s="2" t="inlineStr">
        <is>
          <t>1605C-1</t>
        </is>
      </c>
      <c r="C1700" s="3" t="n">
        <v>45968.65555555555</v>
      </c>
      <c r="D1700" s="2" t="inlineStr">
        <is>
          <t>Original</t>
        </is>
      </c>
      <c r="E1700" s="2" t="inlineStr">
        <is>
          <t>PS</t>
        </is>
      </c>
      <c r="F1700" s="2" t="inlineStr">
        <is>
          <t>Ana Bernardo; André Rijo; António Mendonça Mendes; Eurico Brilhante Dias; Isabel Alves Moreira; José Luís Carneiro; Marina Gonçalves; Miguel Cabrita; Miguel Matos; Pedro Delgado Alves; Pedro Vaz</t>
        </is>
      </c>
      <c r="G1700" s="2" t="inlineStr">
        <is>
          <t>Art. 135.º-A (aditamento)</t>
        </is>
      </c>
      <c r="H1700" s="2" t="n"/>
      <c r="I1700" s="2" t="n"/>
      <c r="J1700" s="2" t="n"/>
      <c r="K1700" s="2" t="n"/>
      <c r="L1700" s="2" t="inlineStr">
        <is>
          <t>Artigo 135.º-A (Alteração ao Código de Processo Civil)</t>
        </is>
      </c>
      <c r="M1700" s="4" t="n"/>
      <c r="N1700" s="4" t="n"/>
      <c r="O1700" s="2" t="n"/>
      <c r="P1700" s="2" t="n"/>
      <c r="Q1700" s="2" t="n"/>
      <c r="R1700" s="2" t="n"/>
      <c r="S1700" s="2" t="inlineStr">
        <is>
          <t>Rejeitado(a) em Comissão</t>
        </is>
      </c>
      <c r="T1700" s="2" t="inlineStr">
        <is>
          <t>Rejeitada</t>
        </is>
      </c>
      <c r="U1700" s="2" t="inlineStr">
        <is>
          <t>Favor: PS, L, PCP, BE, PAN; Contra: PSD, IL, CDS-PP; Abstenção: CH</t>
        </is>
      </c>
      <c r="V1700" s="3" t="n">
        <v>45987</v>
      </c>
      <c r="W1700" s="2" t="inlineStr">
        <is>
          <t>AR: https://www.parlamento.pt/OrcamentoEstado/Paginas/DetalhePropostaAlteracao.aspx?BID=24853 PDF: https://app.parlamento.pt/webutils/docs/doc.pdf?path=6148523063484d364c793942556b356c6443397a6158526c63793959566b6c4a544556484c3039464c7a49774d6a59794d4449314d5441774f533951515338304e6a45794e324a695a53307a4e444d334c5451354d544d744f4751774e4330794e3255775954417a4d574e6a595445756347526d&amp;Fich=46127bbe-3437-4913-8d04-27e0a031cca1.pdf&amp;Inline=true</t>
        </is>
      </c>
      <c r="X1700" s="2" t="inlineStr">
        <is>
          <t>Assuntos Constitucionais, Direitos, Liberdades e Garantias; Orçamento, Finanças e Administração Pública; Trabalho, Segurança Social e Inclusão</t>
        </is>
      </c>
      <c r="Y1700" s="2" t="inlineStr">
        <is>
          <t>Articulado</t>
        </is>
      </c>
      <c r="Z1700" s="2" t="inlineStr">
        <is>
          <t>Aditamento (Artigo PPL)</t>
        </is>
      </c>
      <c r="AA1700" s="2" t="inlineStr">
        <is>
          <t>Rejeitado(a) em Comissão</t>
        </is>
      </c>
      <c r="AB1700" s="2" t="inlineStr"/>
      <c r="AC1700" s="2" t="inlineStr">
        <is>
          <t>1</t>
        </is>
      </c>
      <c r="AD1700" s="2" t="inlineStr">
        <is>
          <t>1</t>
        </is>
      </c>
      <c r="AE1700" s="2" t="inlineStr">
        <is>
          <t>24853</t>
        </is>
      </c>
      <c r="AF1700" s="2" t="inlineStr">
        <is>
          <t>https://www.parlamento.pt/OrcamentoEstado/Paginas/DetalhePropostaAlteracao.aspx?BID=24853</t>
        </is>
      </c>
      <c r="AG1700" s="2" t="inlineStr">
        <is>
          <t>https://app.parlamento.pt/webutils/docs/doc.pdf?path=6148523063484d364c793942556b356c6443397a6158526c63793959566b6c4a544556484c3039464c7a49774d6a59794d4449314d5441774f533951515338304e6a45794e324a695a53307a4e444d334c5451354d544d744f4751774e4330794e3255775954417a4d574e6a595445756347526d&amp;Fich=46127bbe-3437-4913-8d04-27e0a031cca1.pdf&amp;Inline=true</t>
        </is>
      </c>
      <c r="AH1700" s="3" t="n">
        <v>46321.77847222222</v>
      </c>
      <c r="AI1700" s="3" t="n">
        <v>46321.78055555555</v>
      </c>
      <c r="AJ1700" s="2" t="inlineStr"/>
    </row>
    <row r="1701">
      <c r="A1701" s="2" t="n">
        <v>1700</v>
      </c>
      <c r="B1701" s="2" t="inlineStr">
        <is>
          <t>1605C-2</t>
        </is>
      </c>
      <c r="C1701" s="3" t="n">
        <v>45968.65555555555</v>
      </c>
      <c r="D1701" s="2" t="inlineStr">
        <is>
          <t>Original</t>
        </is>
      </c>
      <c r="E1701" s="2" t="inlineStr">
        <is>
          <t>PS</t>
        </is>
      </c>
      <c r="F1701" s="2" t="inlineStr">
        <is>
          <t>Ana Bernardo; André Rijo; António Mendonça Mendes; Eurico Brilhante Dias; Isabel Alves Moreira; José Luís Carneiro; Marina Gonçalves; Miguel Cabrita; Miguel Matos; Pedro Delgado Alves; Pedro Vaz</t>
        </is>
      </c>
      <c r="G1701" s="2" t="inlineStr">
        <is>
          <t>Art. 135.º-B (aditamento)</t>
        </is>
      </c>
      <c r="H1701" s="2" t="n"/>
      <c r="I1701" s="2" t="n"/>
      <c r="J1701" s="2" t="n"/>
      <c r="K1701" s="2" t="n"/>
      <c r="L1701" s="2" t="inlineStr">
        <is>
          <t>Artigo 135.º-B (Alteração ao Regulamento das Custas Processuais)</t>
        </is>
      </c>
      <c r="M1701" s="4" t="n"/>
      <c r="N1701" s="4" t="n"/>
      <c r="O1701" s="2" t="n"/>
      <c r="P1701" s="2" t="n"/>
      <c r="Q1701" s="2" t="n"/>
      <c r="R1701" s="2" t="n"/>
      <c r="S1701" s="2" t="inlineStr">
        <is>
          <t>Rejeitado(a) em Comissão</t>
        </is>
      </c>
      <c r="T1701" s="2" t="inlineStr">
        <is>
          <t>Rejeitada</t>
        </is>
      </c>
      <c r="U1701" s="2" t="inlineStr">
        <is>
          <t>Favor: PS, L, PCP, BE, PAN; Contra: PSD, IL, CDS-PP; Abstenção: CH</t>
        </is>
      </c>
      <c r="V1701" s="3" t="n">
        <v>45987</v>
      </c>
      <c r="W1701" s="2" t="inlineStr">
        <is>
          <t>AR: https://www.parlamento.pt/OrcamentoEstado/Paginas/DetalhePropostaAlteracao.aspx?BID=25346 PDF: https://app.parlamento.pt/webutils/docs/doc.pdf?path=6148523063484d364c793942556b356c6443397a6158526c63793959566b6c4a544556484c3039464c7a49774d6a59794d4449314d5441774f5339515153396d5a6d566a5a444e6c596930794e47457a4c5451354e6a557459574d304e79316c5a54466d4f44526c595455304d5751756347526d&amp;Fich=ffecd3eb-24a3-4965-ac47-ee1f84ea541d.pdf&amp;Inline=true</t>
        </is>
      </c>
      <c r="X1701" s="2" t="inlineStr">
        <is>
          <t>Assuntos Constitucionais, Direitos, Liberdades e Garantias; Orçamento, Finanças e Administração Pública; Trabalho, Segurança Social e Inclusão</t>
        </is>
      </c>
      <c r="Y1701" s="2" t="inlineStr">
        <is>
          <t>Articulado</t>
        </is>
      </c>
      <c r="Z1701" s="2" t="inlineStr">
        <is>
          <t>Aditamento (Artigo PPL)</t>
        </is>
      </c>
      <c r="AA1701" s="2" t="inlineStr">
        <is>
          <t>Rejeitado(a) em Comissão</t>
        </is>
      </c>
      <c r="AB1701" s="2" t="inlineStr"/>
      <c r="AC1701" s="2" t="inlineStr">
        <is>
          <t>2</t>
        </is>
      </c>
      <c r="AD1701" s="2" t="inlineStr">
        <is>
          <t>1</t>
        </is>
      </c>
      <c r="AE1701" s="2" t="inlineStr">
        <is>
          <t>25346</t>
        </is>
      </c>
      <c r="AF1701" s="2" t="inlineStr">
        <is>
          <t>https://www.parlamento.pt/OrcamentoEstado/Paginas/DetalhePropostaAlteracao.aspx?BID=25346</t>
        </is>
      </c>
      <c r="AG1701" s="2" t="inlineStr">
        <is>
          <t>https://app.parlamento.pt/webutils/docs/doc.pdf?path=6148523063484d364c793942556b356c6443397a6158526c63793959566b6c4a544556484c3039464c7a49774d6a59794d4449314d5441774f5339515153396d5a6d566a5a444e6c596930794e47457a4c5451354e6a557459574d304e79316c5a54466d4f44526c595455304d5751756347526d&amp;Fich=ffecd3eb-24a3-4965-ac47-ee1f84ea541d.pdf&amp;Inline=true</t>
        </is>
      </c>
      <c r="AH1701" s="3" t="n">
        <v>46321.77847222222</v>
      </c>
      <c r="AI1701" s="3" t="n">
        <v>46321.78055555555</v>
      </c>
      <c r="AJ1701" s="2" t="inlineStr"/>
    </row>
    <row r="1702">
      <c r="A1702" s="2" t="n">
        <v>1701</v>
      </c>
      <c r="B1702" s="2" t="inlineStr">
        <is>
          <t>1606C</t>
        </is>
      </c>
      <c r="C1702" s="3" t="n">
        <v>45968.65625</v>
      </c>
      <c r="D1702" s="2" t="inlineStr">
        <is>
          <t>Original</t>
        </is>
      </c>
      <c r="E1702" s="2" t="inlineStr">
        <is>
          <t>PAN</t>
        </is>
      </c>
      <c r="F1702" s="2" t="inlineStr">
        <is>
          <t>Inês de Sousa Real</t>
        </is>
      </c>
      <c r="G1702" s="2" t="inlineStr">
        <is>
          <t>Articulado</t>
        </is>
      </c>
      <c r="H1702" s="2" t="n"/>
      <c r="I1702" s="2" t="n"/>
      <c r="J1702" s="2" t="n"/>
      <c r="K1702" s="2" t="n"/>
      <c r="L1702" s="2" t="inlineStr">
        <is>
          <t>Artigo 116.º-A Cheque Repara &amp; Reusa</t>
        </is>
      </c>
      <c r="M1702" s="4" t="n"/>
      <c r="N1702" s="4" t="n"/>
      <c r="O1702" s="2" t="n"/>
      <c r="P1702" s="2" t="n"/>
      <c r="Q1702" s="2" t="n"/>
      <c r="R1702" s="2" t="n"/>
      <c r="S1702" s="2" t="inlineStr">
        <is>
          <t>Não Admitida</t>
        </is>
      </c>
      <c r="T1702" s="2" t="inlineStr"/>
      <c r="U1702" s="2" t="inlineStr"/>
      <c r="V1702" s="3" t="n"/>
      <c r="W1702" s="2" t="inlineStr">
        <is>
          <t>AR: https://www.parlamento.pt/OrcamentoEstado/Paginas/DetalhePropostaAlteracao.aspx?BID=24854 PDF: https://app.parlamento.pt/webutils/docs/doc.pdf?path=6148523063484d364c793942556b356c6443397a6158526c63793959566b6c4a544556484c3039464c7a49774d6a59794d4449314d5441774f5339515153396d5a5752684e5745304d6930314d324e6b4c5452694d4755744f5452684d6930794d47597a4f444d784f474a694d6a6b756347526d&amp;Fich=feda5a42-53cd-4b0e-94a2-20f38318bb29.pdf&amp;Inline=true</t>
        </is>
      </c>
      <c r="X1702" s="2" t="inlineStr">
        <is>
          <t>Ambiente e Energia</t>
        </is>
      </c>
      <c r="Y1702" s="2" t="inlineStr">
        <is>
          <t>Articulado</t>
        </is>
      </c>
      <c r="Z1702" s="2" t="inlineStr">
        <is>
          <t>Por Definir</t>
        </is>
      </c>
      <c r="AA1702" s="2" t="inlineStr">
        <is>
          <t>Não Admitida</t>
        </is>
      </c>
      <c r="AB1702" s="2" t="inlineStr"/>
      <c r="AC1702" s="2" t="inlineStr"/>
      <c r="AD1702" s="2" t="inlineStr">
        <is>
          <t>0</t>
        </is>
      </c>
      <c r="AE1702" s="2" t="inlineStr">
        <is>
          <t>24854</t>
        </is>
      </c>
      <c r="AF1702" s="2" t="inlineStr">
        <is>
          <t>https://www.parlamento.pt/OrcamentoEstado/Paginas/DetalhePropostaAlteracao.aspx?BID=24854</t>
        </is>
      </c>
      <c r="AG1702" s="2" t="inlineStr">
        <is>
          <t>https://app.parlamento.pt/webutils/docs/doc.pdf?path=6148523063484d364c793942556b356c6443397a6158526c63793959566b6c4a544556484c3039464c7a49774d6a59794d4449314d5441774f5339515153396d5a5752684e5745304d6930314d324e6b4c5452694d4755744f5452684d6930794d47597a4f444d784f474a694d6a6b756347526d&amp;Fich=feda5a42-53cd-4b0e-94a2-20f38318bb29.pdf&amp;Inline=true</t>
        </is>
      </c>
      <c r="AH1702" s="3" t="n">
        <v>46321.77847222222</v>
      </c>
      <c r="AI1702" s="3" t="n">
        <v>46321.78055555555</v>
      </c>
      <c r="AJ1702" s="2" t="inlineStr"/>
    </row>
    <row r="1703">
      <c r="A1703" s="2" t="n">
        <v>1702</v>
      </c>
      <c r="B1703" s="2" t="inlineStr">
        <is>
          <t>1607C</t>
        </is>
      </c>
      <c r="C1703" s="3" t="n">
        <v>45968.65625</v>
      </c>
      <c r="D1703" s="2" t="inlineStr">
        <is>
          <t>Original</t>
        </is>
      </c>
      <c r="E1703" s="2" t="inlineStr">
        <is>
          <t>PCP</t>
        </is>
      </c>
      <c r="F1703" s="2" t="inlineStr">
        <is>
          <t>Alfredo Maia; Paula Santos; Paulo Raimundo</t>
        </is>
      </c>
      <c r="G1703" s="2" t="inlineStr">
        <is>
          <t>Art. 7.º (aditamento)</t>
        </is>
      </c>
      <c r="H1703" s="2" t="n"/>
      <c r="I1703" s="2" t="n"/>
      <c r="J1703" s="2" t="n"/>
      <c r="K1703" s="2" t="n"/>
      <c r="L1703" s="2" t="inlineStr">
        <is>
          <t>Nova Verba 106, Mapa de alterações e transferências orçamentais, Artigo 7.º</t>
        </is>
      </c>
      <c r="M1703" s="4" t="n"/>
      <c r="N1703" s="4" t="n"/>
      <c r="O1703" s="2" t="n"/>
      <c r="P1703" s="2" t="n"/>
      <c r="Q1703" s="2" t="n"/>
      <c r="R1703" s="2" t="n"/>
      <c r="S1703" s="2" t="inlineStr">
        <is>
          <t>Rejeitado(a) em Comissão</t>
        </is>
      </c>
      <c r="T1703" s="2" t="inlineStr">
        <is>
          <t>Rejeitada</t>
        </is>
      </c>
      <c r="U1703" s="2" t="inlineStr">
        <is>
          <t>Favor: L, PCP, BE, PAN; Contra: PSD, CDS-PP; Abstenção: CH, PS, IL</t>
        </is>
      </c>
      <c r="V1703" s="3" t="n">
        <v>45987</v>
      </c>
      <c r="W1703" s="2" t="inlineStr">
        <is>
          <t>AR: https://www.parlamento.pt/OrcamentoEstado/Paginas/DetalhePropostaAlteracao.aspx?BID=24855 PDF: https://app.parlamento.pt/webutils/docs/doc.pdf?path=6148523063484d364c793942556b356c6443397a6158526c63793959566b6c4a544556484c3039464c7a49774d6a59794d4449314d5441774f533951515338344e324a6d5a6d526a4e43316a4e6d45774c5451784d6a4d744f475269597930774e444a6c4e446b794e4755784d6a67756347526d&amp;Fich=87bffdc4-c6a0-4123-8dbc-042e4924e128.pdf&amp;Inline=true</t>
        </is>
      </c>
      <c r="X1703" s="2" t="inlineStr">
        <is>
          <t>Trabalho, Segurança Social e Inclusão</t>
        </is>
      </c>
      <c r="Y1703" s="2" t="inlineStr">
        <is>
          <t>Articulado</t>
        </is>
      </c>
      <c r="Z1703" s="2" t="inlineStr">
        <is>
          <t>Aditamento (Números e Alíneas)</t>
        </is>
      </c>
      <c r="AA1703" s="2" t="inlineStr">
        <is>
          <t>Rejeitado(a) em Comissão</t>
        </is>
      </c>
      <c r="AB1703" s="2" t="inlineStr"/>
      <c r="AC1703" s="2" t="inlineStr"/>
      <c r="AD1703" s="2" t="inlineStr">
        <is>
          <t>1</t>
        </is>
      </c>
      <c r="AE1703" s="2" t="inlineStr">
        <is>
          <t>24855</t>
        </is>
      </c>
      <c r="AF1703" s="2" t="inlineStr">
        <is>
          <t>https://www.parlamento.pt/OrcamentoEstado/Paginas/DetalhePropostaAlteracao.aspx?BID=24855</t>
        </is>
      </c>
      <c r="AG1703" s="2" t="inlineStr">
        <is>
          <t>https://app.parlamento.pt/webutils/docs/doc.pdf?path=6148523063484d364c793942556b356c6443397a6158526c63793959566b6c4a544556484c3039464c7a49774d6a59794d4449314d5441774f533951515338344e324a6d5a6d526a4e43316a4e6d45774c5451784d6a4d744f475269597930774e444a6c4e446b794e4755784d6a67756347526d&amp;Fich=87bffdc4-c6a0-4123-8dbc-042e4924e128.pdf&amp;Inline=true</t>
        </is>
      </c>
      <c r="AH1703" s="3" t="n">
        <v>46321.77847222222</v>
      </c>
      <c r="AI1703" s="3" t="n">
        <v>46321.78055555555</v>
      </c>
      <c r="AJ1703" s="2" t="inlineStr"/>
    </row>
    <row r="1704">
      <c r="A1704" s="2" t="n">
        <v>1703</v>
      </c>
      <c r="B1704" s="2" t="inlineStr">
        <is>
          <t>1608C</t>
        </is>
      </c>
      <c r="C1704" s="3" t="n">
        <v>45968.65625</v>
      </c>
      <c r="D1704" s="2" t="inlineStr">
        <is>
          <t>Original</t>
        </is>
      </c>
      <c r="E1704" s="2" t="inlineStr">
        <is>
          <t>PS</t>
        </is>
      </c>
      <c r="F1704" s="2" t="inlineStr">
        <is>
          <t>Ana Bernardo; António Mendonça Mendes; Eurico Brilhante Dias; José Luís Carneiro; Marina Gonçalves; Miguel Cabrita; Miguel Matos</t>
        </is>
      </c>
      <c r="G1704" s="2" t="inlineStr">
        <is>
          <t>Art. 69.º (substituição)</t>
        </is>
      </c>
      <c r="H1704" s="2" t="n"/>
      <c r="I1704" s="2" t="n"/>
      <c r="J1704" s="2" t="n"/>
      <c r="K1704" s="2" t="n"/>
      <c r="L1704" s="2" t="inlineStr">
        <is>
          <t>N.º 1, Artigo 69.º</t>
        </is>
      </c>
      <c r="M1704" s="4" t="n"/>
      <c r="N1704" s="4" t="n"/>
      <c r="O1704" s="2" t="n"/>
      <c r="P1704" s="2" t="n"/>
      <c r="Q1704" s="2" t="n"/>
      <c r="R1704" s="2" t="n"/>
      <c r="S1704" s="2" t="inlineStr">
        <is>
          <t>Rejeitado(a) em Comissão</t>
        </is>
      </c>
      <c r="T1704" s="2" t="inlineStr">
        <is>
          <t>Rejeitada</t>
        </is>
      </c>
      <c r="U1704" s="2" t="inlineStr">
        <is>
          <t>Favor: PS, L, PCP, BE, PAN; Contra: PSD, CH, IL, CDS-PP</t>
        </is>
      </c>
      <c r="V1704" s="3" t="n">
        <v>45982</v>
      </c>
      <c r="W1704" s="2" t="inlineStr">
        <is>
          <t>AR: https://www.parlamento.pt/OrcamentoEstado/Paginas/DetalhePropostaAlteracao.aspx?BID=24856 PDF: https://app.parlamento.pt/webutils/docs/doc.pdf?path=6148523063484d364c793942556b356c6443397a6158526c63793959566b6c4a544556484c3039464c7a49774d6a59794d4449314d5441774f533951515338784f446b325a5452694e793078596a526b4c5451355a6d4d744f4445324d5330314d5745775a6a677a4d4467784e5451756347526d&amp;Fich=1896e4b7-1b4d-49fc-8161-51a0f8308154.pdf&amp;Inline=true</t>
        </is>
      </c>
      <c r="X1704" s="2" t="inlineStr">
        <is>
          <t>Orçamento, Finanças e Administração Pública; Trabalho, Segurança Social e Inclusão</t>
        </is>
      </c>
      <c r="Y1704" s="2" t="inlineStr">
        <is>
          <t>Articulado</t>
        </is>
      </c>
      <c r="Z1704" s="2" t="inlineStr">
        <is>
          <t>Substituição</t>
        </is>
      </c>
      <c r="AA1704" s="2" t="inlineStr">
        <is>
          <t>Rejeitado(a) em Comissão</t>
        </is>
      </c>
      <c r="AB1704" s="2" t="inlineStr"/>
      <c r="AC1704" s="2" t="inlineStr"/>
      <c r="AD1704" s="2" t="inlineStr">
        <is>
          <t>1</t>
        </is>
      </c>
      <c r="AE1704" s="2" t="inlineStr">
        <is>
          <t>24856</t>
        </is>
      </c>
      <c r="AF1704" s="2" t="inlineStr">
        <is>
          <t>https://www.parlamento.pt/OrcamentoEstado/Paginas/DetalhePropostaAlteracao.aspx?BID=24856</t>
        </is>
      </c>
      <c r="AG1704" s="2" t="inlineStr">
        <is>
          <t>https://app.parlamento.pt/webutils/docs/doc.pdf?path=6148523063484d364c793942556b356c6443397a6158526c63793959566b6c4a544556484c3039464c7a49774d6a59794d4449314d5441774f533951515338784f446b325a5452694e793078596a526b4c5451355a6d4d744f4445324d5330314d5745775a6a677a4d4467784e5451756347526d&amp;Fich=1896e4b7-1b4d-49fc-8161-51a0f8308154.pdf&amp;Inline=true</t>
        </is>
      </c>
      <c r="AH1704" s="3" t="n">
        <v>46321.77847222222</v>
      </c>
      <c r="AI1704" s="3" t="n">
        <v>46321.78055555555</v>
      </c>
      <c r="AJ1704" s="2" t="inlineStr"/>
    </row>
    <row r="1705">
      <c r="A1705" s="2" t="n">
        <v>1704</v>
      </c>
      <c r="B1705" s="2" t="inlineStr">
        <is>
          <t>1609C</t>
        </is>
      </c>
      <c r="C1705" s="3" t="n">
        <v>45968.65694444445</v>
      </c>
      <c r="D1705" s="2" t="inlineStr">
        <is>
          <t>Original</t>
        </is>
      </c>
      <c r="E1705" s="2" t="inlineStr">
        <is>
          <t>PCP</t>
        </is>
      </c>
      <c r="F1705" s="2" t="inlineStr">
        <is>
          <t>Alfredo Maia; Paula Santos; Paulo Raimundo</t>
        </is>
      </c>
      <c r="G1705" s="2" t="inlineStr">
        <is>
          <t>Art. 28.º-A (aditamento)</t>
        </is>
      </c>
      <c r="H1705" s="2" t="n"/>
      <c r="I1705" s="2" t="n"/>
      <c r="J1705" s="2" t="n"/>
      <c r="K1705" s="2" t="n"/>
      <c r="L1705" s="2" t="inlineStr">
        <is>
          <t>Artigo 28.º-A (Intérpretes de Língua Gestual Portuguesa nos Serviços Públicos)</t>
        </is>
      </c>
      <c r="M1705" s="4" t="n"/>
      <c r="N1705" s="4" t="n"/>
      <c r="O1705" s="2" t="n"/>
      <c r="P1705" s="2" t="n"/>
      <c r="Q1705" s="2" t="n"/>
      <c r="R1705" s="2" t="n"/>
      <c r="S1705" s="2" t="inlineStr">
        <is>
          <t>Rejeitado(a) em Comissão</t>
        </is>
      </c>
      <c r="T1705" s="2" t="inlineStr">
        <is>
          <t>Rejeitada</t>
        </is>
      </c>
      <c r="U1705" s="2" t="inlineStr">
        <is>
          <t>Favor: CH, IL, L, PCP, BE, PAN; Contra: PSD, CDS-PP; Abstenção: PS</t>
        </is>
      </c>
      <c r="V1705" s="3" t="n">
        <v>45981</v>
      </c>
      <c r="W1705" s="2" t="inlineStr">
        <is>
          <t>AR: https://www.parlamento.pt/OrcamentoEstado/Paginas/DetalhePropostaAlteracao.aspx?BID=24857 PDF: https://app.parlamento.pt/webutils/docs/doc.pdf?path=6148523063484d364c793942556b356c6443397a6158526c63793959566b6c4a544556484c3039464c7a49774d6a59794d4449314d5441774f5339515153396a4e4451354e6d5534597930354e6a49304c54526d5a5749744f475a694e7931694e6a4d355a4755354e6d55794e4441756347526d&amp;Fich=c4496e8c-9624-4feb-8fb7-b639de96e240.pdf&amp;Inline=true</t>
        </is>
      </c>
      <c r="X1705" s="2" t="inlineStr">
        <is>
          <t>Trabalho, Segurança Social e Inclusão</t>
        </is>
      </c>
      <c r="Y1705" s="2" t="inlineStr">
        <is>
          <t>Articulado</t>
        </is>
      </c>
      <c r="Z1705" s="2" t="inlineStr">
        <is>
          <t>Aditamento (Artigo PPL)</t>
        </is>
      </c>
      <c r="AA1705" s="2" t="inlineStr">
        <is>
          <t>Rejeitado(a) em Comissão</t>
        </is>
      </c>
      <c r="AB1705" s="2" t="inlineStr"/>
      <c r="AC1705" s="2" t="inlineStr"/>
      <c r="AD1705" s="2" t="inlineStr">
        <is>
          <t>1</t>
        </is>
      </c>
      <c r="AE1705" s="2" t="inlineStr">
        <is>
          <t>24857</t>
        </is>
      </c>
      <c r="AF1705" s="2" t="inlineStr">
        <is>
          <t>https://www.parlamento.pt/OrcamentoEstado/Paginas/DetalhePropostaAlteracao.aspx?BID=24857</t>
        </is>
      </c>
      <c r="AG1705" s="2" t="inlineStr">
        <is>
          <t>https://app.parlamento.pt/webutils/docs/doc.pdf?path=6148523063484d364c793942556b356c6443397a6158526c63793959566b6c4a544556484c3039464c7a49774d6a59794d4449314d5441774f5339515153396a4e4451354e6d5534597930354e6a49304c54526d5a5749744f475a694e7931694e6a4d355a4755354e6d55794e4441756347526d&amp;Fich=c4496e8c-9624-4feb-8fb7-b639de96e240.pdf&amp;Inline=true</t>
        </is>
      </c>
      <c r="AH1705" s="3" t="n">
        <v>46321.77847222222</v>
      </c>
      <c r="AI1705" s="3" t="n">
        <v>46321.78055555555</v>
      </c>
      <c r="AJ1705" s="2" t="inlineStr"/>
    </row>
    <row r="1706">
      <c r="A1706" s="2" t="n">
        <v>1705</v>
      </c>
      <c r="B1706" s="2" t="inlineStr">
        <is>
          <t>1610C</t>
        </is>
      </c>
      <c r="C1706" s="3" t="n">
        <v>45968.65694444445</v>
      </c>
      <c r="D1706" s="2" t="inlineStr">
        <is>
          <t>Original</t>
        </is>
      </c>
      <c r="E1706" s="2" t="inlineStr">
        <is>
          <t>L</t>
        </is>
      </c>
      <c r="F1706" s="2" t="inlineStr">
        <is>
          <t>Filipa Pinto; Isabel Mendes Lopes; Jorge Pinto; Patrícia Gonçalves; Paulo Muacho; Rui Tavares</t>
        </is>
      </c>
      <c r="G1706" s="2" t="inlineStr">
        <is>
          <t>Art. 60.º (substituição)</t>
        </is>
      </c>
      <c r="H1706" s="2" t="n"/>
      <c r="I1706" s="2" t="n"/>
      <c r="J1706" s="2" t="n"/>
      <c r="K1706" s="2" t="n"/>
      <c r="L1706" s="2" t="inlineStr">
        <is>
          <t>N.º 2, Artigo 27.º do Código do IRS</t>
        </is>
      </c>
      <c r="M1706" s="4" t="n"/>
      <c r="N1706" s="4" t="n"/>
      <c r="O1706" s="2" t="n"/>
      <c r="P1706" s="2" t="n"/>
      <c r="Q1706" s="2" t="n"/>
      <c r="R1706" s="2" t="n"/>
      <c r="S1706" s="2" t="inlineStr">
        <is>
          <t>Rejeitado(a) em Comissão</t>
        </is>
      </c>
      <c r="T1706" s="2" t="inlineStr">
        <is>
          <t>Rejeitada</t>
        </is>
      </c>
      <c r="U1706" s="2" t="inlineStr">
        <is>
          <t>Favor: CH, L, PCP, BE, PAN; Contra: PSD, IL, CDS-PP; Abstenção: PS</t>
        </is>
      </c>
      <c r="V1706" s="3" t="n">
        <v>45981</v>
      </c>
      <c r="W1706" s="2" t="inlineStr">
        <is>
          <t>AR: https://www.parlamento.pt/OrcamentoEstado/Paginas/DetalhePropostaAlteracao.aspx?BID=24858 PDF: https://app.parlamento.pt/webutils/docs/doc.pdf?path=6148523063484d364c793942556b356c6443397a6158526c63793959566b6c4a544556484c3039464c7a49774d6a59794d4449314d5441774f53395151533832597a55354e4464684e69307a4e4445354c54517a4e6a677459546734597931694d6d59315a4759784d574d354f4449756347526d&amp;Fich=6c5947a6-3419-4368-a88c-b2f5df11c982.pdf&amp;Inline=true</t>
        </is>
      </c>
      <c r="X1706" s="2" t="inlineStr">
        <is>
          <t>Trabalho, Segurança Social e Inclusão</t>
        </is>
      </c>
      <c r="Y1706" s="2" t="inlineStr">
        <is>
          <t>Articulado</t>
        </is>
      </c>
      <c r="Z1706" s="2" t="inlineStr">
        <is>
          <t>Substituição</t>
        </is>
      </c>
      <c r="AA1706" s="2" t="inlineStr">
        <is>
          <t>Rejeitado(a) em Comissão</t>
        </is>
      </c>
      <c r="AB1706" s="2" t="inlineStr"/>
      <c r="AC1706" s="2" t="inlineStr"/>
      <c r="AD1706" s="2" t="inlineStr">
        <is>
          <t>1</t>
        </is>
      </c>
      <c r="AE1706" s="2" t="inlineStr">
        <is>
          <t>24858</t>
        </is>
      </c>
      <c r="AF1706" s="2" t="inlineStr">
        <is>
          <t>https://www.parlamento.pt/OrcamentoEstado/Paginas/DetalhePropostaAlteracao.aspx?BID=24858</t>
        </is>
      </c>
      <c r="AG1706" s="2" t="inlineStr">
        <is>
          <t>https://app.parlamento.pt/webutils/docs/doc.pdf?path=6148523063484d364c793942556b356c6443397a6158526c63793959566b6c4a544556484c3039464c7a49774d6a59794d4449314d5441774f53395151533832597a55354e4464684e69307a4e4445354c54517a4e6a677459546734597931694d6d59315a4759784d574d354f4449756347526d&amp;Fich=6c5947a6-3419-4368-a88c-b2f5df11c982.pdf&amp;Inline=true</t>
        </is>
      </c>
      <c r="AH1706" s="3" t="n">
        <v>46321.77847222222</v>
      </c>
      <c r="AI1706" s="3" t="n">
        <v>46321.78055555555</v>
      </c>
      <c r="AJ1706" s="2" t="inlineStr"/>
    </row>
    <row r="1707">
      <c r="A1707" s="2" t="n">
        <v>1706</v>
      </c>
      <c r="B1707" s="2" t="inlineStr">
        <is>
          <t>1611C</t>
        </is>
      </c>
      <c r="C1707" s="3" t="n">
        <v>45968.65763888889</v>
      </c>
      <c r="D1707" s="2" t="inlineStr">
        <is>
          <t>Original</t>
        </is>
      </c>
      <c r="E1707" s="2" t="inlineStr">
        <is>
          <t>PCP</t>
        </is>
      </c>
      <c r="F1707" s="2" t="inlineStr">
        <is>
          <t>Alfredo Maia; Paula Santos; Paulo Raimundo</t>
        </is>
      </c>
      <c r="G1707" s="2" t="inlineStr">
        <is>
          <t>Art. 46.º-A (aditamento)</t>
        </is>
      </c>
      <c r="H1707" s="2" t="n"/>
      <c r="I1707" s="2" t="n"/>
      <c r="J1707" s="2" t="n"/>
      <c r="K1707" s="2" t="n"/>
      <c r="L1707" s="2" t="inlineStr">
        <is>
          <t>Artigo 46.º-A (Compromissos de cooperação para o setor social e solidário – Resposta em CACI)</t>
        </is>
      </c>
      <c r="M1707" s="4" t="n"/>
      <c r="N1707" s="4" t="n"/>
      <c r="O1707" s="2" t="n"/>
      <c r="P1707" s="2" t="n"/>
      <c r="Q1707" s="2" t="n"/>
      <c r="R1707" s="2" t="n"/>
      <c r="S1707" s="2" t="inlineStr">
        <is>
          <t>Rejeitado(a) em Comissão</t>
        </is>
      </c>
      <c r="T1707" s="2" t="inlineStr">
        <is>
          <t>Rejeitada</t>
        </is>
      </c>
      <c r="U1707" s="2" t="inlineStr">
        <is>
          <t>Favor: CH, IL, L, PCP, BE, PAN; Contra: PSD, CDS-PP; Abstenção: PS</t>
        </is>
      </c>
      <c r="V1707" s="3" t="n">
        <v>45981</v>
      </c>
      <c r="W1707" s="2" t="inlineStr">
        <is>
          <t>AR: https://www.parlamento.pt/OrcamentoEstado/Paginas/DetalhePropostaAlteracao.aspx?BID=24859 PDF: https://app.parlamento.pt/webutils/docs/doc.pdf?path=6148523063484d364c793942556b356c6443397a6158526c63793959566b6c4a544556484c3039464c7a49774d6a59794d4449314d5441774f533951515338314d47526b4d7a566c4d7930325a6a4d304c5451784f44677459544d344e69316c4d7a4d354f4449335a4442685a6a41756347526d&amp;Fich=50dd35e3-6f34-4188-a386-e339827d0af0.pdf&amp;Inline=true</t>
        </is>
      </c>
      <c r="X1707" s="2" t="inlineStr">
        <is>
          <t>Trabalho, Segurança Social e Inclusão</t>
        </is>
      </c>
      <c r="Y1707" s="2" t="inlineStr">
        <is>
          <t>Articulado</t>
        </is>
      </c>
      <c r="Z1707" s="2" t="inlineStr">
        <is>
          <t>Aditamento (Artigo PPL)</t>
        </is>
      </c>
      <c r="AA1707" s="2" t="inlineStr">
        <is>
          <t>Rejeitado(a) em Comissão</t>
        </is>
      </c>
      <c r="AB1707" s="2" t="inlineStr"/>
      <c r="AC1707" s="2" t="inlineStr"/>
      <c r="AD1707" s="2" t="inlineStr">
        <is>
          <t>1</t>
        </is>
      </c>
      <c r="AE1707" s="2" t="inlineStr">
        <is>
          <t>24859</t>
        </is>
      </c>
      <c r="AF1707" s="2" t="inlineStr">
        <is>
          <t>https://www.parlamento.pt/OrcamentoEstado/Paginas/DetalhePropostaAlteracao.aspx?BID=24859</t>
        </is>
      </c>
      <c r="AG1707" s="2" t="inlineStr">
        <is>
          <t>https://app.parlamento.pt/webutils/docs/doc.pdf?path=6148523063484d364c793942556b356c6443397a6158526c63793959566b6c4a544556484c3039464c7a49774d6a59794d4449314d5441774f533951515338314d47526b4d7a566c4d7930325a6a4d304c5451784f44677459544d344e69316c4d7a4d354f4449335a4442685a6a41756347526d&amp;Fich=50dd35e3-6f34-4188-a386-e339827d0af0.pdf&amp;Inline=true</t>
        </is>
      </c>
      <c r="AH1707" s="3" t="n">
        <v>46321.77847222222</v>
      </c>
      <c r="AI1707" s="3" t="n">
        <v>46321.78055555555</v>
      </c>
      <c r="AJ1707" s="2" t="inlineStr"/>
    </row>
    <row r="1708">
      <c r="A1708" s="2" t="n">
        <v>1707</v>
      </c>
      <c r="B1708" s="2" t="inlineStr">
        <is>
          <t>1612C</t>
        </is>
      </c>
      <c r="C1708" s="3" t="n">
        <v>45968.65763888889</v>
      </c>
      <c r="D1708" s="2" t="inlineStr">
        <is>
          <t>Original</t>
        </is>
      </c>
      <c r="E1708" s="2" t="inlineStr">
        <is>
          <t>CH</t>
        </is>
      </c>
      <c r="F170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08" s="2" t="inlineStr">
        <is>
          <t>Art. 136.º-A (aditamento)</t>
        </is>
      </c>
      <c r="H1708" s="2" t="n"/>
      <c r="I1708" s="2" t="n"/>
      <c r="J1708" s="2" t="n"/>
      <c r="K1708" s="2" t="n"/>
      <c r="L1708" s="2" t="inlineStr">
        <is>
          <t>Artigo 136.º-A (Programa de incentivo ao regresso de jovens portugueses emigrados)</t>
        </is>
      </c>
      <c r="M1708" s="4" t="n"/>
      <c r="N1708" s="4" t="n"/>
      <c r="O1708" s="2" t="n"/>
      <c r="P1708" s="2" t="n"/>
      <c r="Q1708" s="2" t="n"/>
      <c r="R1708" s="2" t="n"/>
      <c r="S1708" s="2" t="inlineStr">
        <is>
          <t>Rejeitado(a) em Comissão</t>
        </is>
      </c>
      <c r="T1708" s="2" t="inlineStr">
        <is>
          <t>Rejeitada</t>
        </is>
      </c>
      <c r="U1708" s="2" t="inlineStr">
        <is>
          <t>Favor: CH; Contra: PSD, L, CDS-PP; Abstenção: PS, IL, PCP, BE, PAN</t>
        </is>
      </c>
      <c r="V1708" s="3" t="n">
        <v>45987</v>
      </c>
      <c r="W1708" s="2" t="inlineStr">
        <is>
          <t>AR: https://www.parlamento.pt/OrcamentoEstado/Paginas/DetalhePropostaAlteracao.aspx?BID=24860 PDF: https://app.parlamento.pt/webutils/docs/doc.pdf?path=6148523063484d364c793942556b356c6443397a6158526c63793959566b6c4a544556484c3039464c7a49774d6a59794d4449314d5441774f533951515338344f474e694e474d334e53316d596a6b304c5451324e325174596a6c684f433078596a45784d32466b4d7a497a4d4441756347526d&amp;Fich=88cb4c75-fb94-467d-b9a8-1b113ad32300.pdf&amp;Inline=true</t>
        </is>
      </c>
      <c r="X1708" s="2" t="inlineStr">
        <is>
          <t>Negócios Estrangeiros e Comunidades Portuguesas</t>
        </is>
      </c>
      <c r="Y1708" s="2" t="inlineStr">
        <is>
          <t>Articulado</t>
        </is>
      </c>
      <c r="Z1708" s="2" t="inlineStr">
        <is>
          <t>Aditamento (Artigo PPL)</t>
        </is>
      </c>
      <c r="AA1708" s="2" t="inlineStr">
        <is>
          <t>Rejeitado(a) em Comissão</t>
        </is>
      </c>
      <c r="AB1708" s="2" t="inlineStr"/>
      <c r="AC1708" s="2" t="inlineStr"/>
      <c r="AD1708" s="2" t="inlineStr">
        <is>
          <t>1</t>
        </is>
      </c>
      <c r="AE1708" s="2" t="inlineStr">
        <is>
          <t>24860</t>
        </is>
      </c>
      <c r="AF1708" s="2" t="inlineStr">
        <is>
          <t>https://www.parlamento.pt/OrcamentoEstado/Paginas/DetalhePropostaAlteracao.aspx?BID=24860</t>
        </is>
      </c>
      <c r="AG1708" s="2" t="inlineStr">
        <is>
          <t>https://app.parlamento.pt/webutils/docs/doc.pdf?path=6148523063484d364c793942556b356c6443397a6158526c63793959566b6c4a544556484c3039464c7a49774d6a59794d4449314d5441774f533951515338344f474e694e474d334e53316d596a6b304c5451324e325174596a6c684f433078596a45784d32466b4d7a497a4d4441756347526d&amp;Fich=88cb4c75-fb94-467d-b9a8-1b113ad32300.pdf&amp;Inline=true</t>
        </is>
      </c>
      <c r="AH1708" s="3" t="n">
        <v>46321.77847222222</v>
      </c>
      <c r="AI1708" s="3" t="n">
        <v>46321.78055555555</v>
      </c>
      <c r="AJ1708" s="2" t="inlineStr"/>
    </row>
    <row r="1709">
      <c r="A1709" s="2" t="n">
        <v>1708</v>
      </c>
      <c r="B1709" s="2" t="inlineStr">
        <is>
          <t>1613C</t>
        </is>
      </c>
      <c r="C1709" s="3" t="n">
        <v>45968.65833333333</v>
      </c>
      <c r="D1709" s="2" t="inlineStr">
        <is>
          <t>Original</t>
        </is>
      </c>
      <c r="E1709" s="2" t="inlineStr">
        <is>
          <t>IL</t>
        </is>
      </c>
      <c r="F1709" s="2" t="inlineStr">
        <is>
          <t>Angélique Da Teresa; Carlos Guimarães Pinto; Joana Cordeiro; Jorge Miguel Teixeira; Mariana Leitão; Mário Amorim Lopes; Miguel Rangel; Rodrigo Saraiva; Rui Rocha</t>
        </is>
      </c>
      <c r="G1709" s="2" t="inlineStr">
        <is>
          <t>Art. 119.º-A (aditamento)</t>
        </is>
      </c>
      <c r="H1709" s="2" t="n"/>
      <c r="I1709" s="2" t="n"/>
      <c r="J1709" s="2" t="n"/>
      <c r="K1709" s="2" t="n"/>
      <c r="L1709" s="2" t="inlineStr">
        <is>
          <t>Artigo 119.º-A (Revisão e atualização da Tabela de Meios Complementares de Diagnóstico e Terapêutica)</t>
        </is>
      </c>
      <c r="M1709" s="4" t="n"/>
      <c r="N1709" s="4" t="n"/>
      <c r="O1709" s="2" t="n"/>
      <c r="P1709" s="2" t="n"/>
      <c r="Q1709" s="2" t="n"/>
      <c r="R1709" s="2" t="n"/>
      <c r="S1709" s="2" t="inlineStr">
        <is>
          <t>Rejeitado(a) em Comissão</t>
        </is>
      </c>
      <c r="T1709" s="2" t="inlineStr">
        <is>
          <t>Rejeitada</t>
        </is>
      </c>
      <c r="U1709" s="2" t="inlineStr">
        <is>
          <t>Favor: IL, L, PAN; Contra: PSD, CDS-PP, BE; Abstenção: CH, PS, PCP</t>
        </is>
      </c>
      <c r="V1709" s="3" t="n">
        <v>45985</v>
      </c>
      <c r="W1709" s="2" t="inlineStr">
        <is>
          <t>AR: https://www.parlamento.pt/OrcamentoEstado/Paginas/DetalhePropostaAlteracao.aspx?BID=24861 PDF: https://app.parlamento.pt/webutils/docs/doc.pdf?path=6148523063484d364c793942556b356c6443397a6158526c63793959566b6c4a544556484c3039464c7a49774d6a59794d4449314d5441774f533951515338314f4467784e5441354d53316c4f4463304c5451794f574d744f5449314e7930314d6d4e6d5a47526c4d7a63775a5449756347526d&amp;Fich=58815091-e874-429c-9257-52cfdde370e2.pdf&amp;Inline=true</t>
        </is>
      </c>
      <c r="X1709" s="2" t="inlineStr">
        <is>
          <t>Saúde</t>
        </is>
      </c>
      <c r="Y1709" s="2" t="inlineStr">
        <is>
          <t>Articulado</t>
        </is>
      </c>
      <c r="Z1709" s="2" t="inlineStr">
        <is>
          <t>Aditamento (Artigo PPL)</t>
        </is>
      </c>
      <c r="AA1709" s="2" t="inlineStr">
        <is>
          <t>Rejeitado(a) em Comissão</t>
        </is>
      </c>
      <c r="AB1709" s="2" t="inlineStr"/>
      <c r="AC1709" s="2" t="inlineStr"/>
      <c r="AD1709" s="2" t="inlineStr">
        <is>
          <t>1</t>
        </is>
      </c>
      <c r="AE1709" s="2" t="inlineStr">
        <is>
          <t>24861</t>
        </is>
      </c>
      <c r="AF1709" s="2" t="inlineStr">
        <is>
          <t>https://www.parlamento.pt/OrcamentoEstado/Paginas/DetalhePropostaAlteracao.aspx?BID=24861</t>
        </is>
      </c>
      <c r="AG1709" s="2" t="inlineStr">
        <is>
          <t>https://app.parlamento.pt/webutils/docs/doc.pdf?path=6148523063484d364c793942556b356c6443397a6158526c63793959566b6c4a544556484c3039464c7a49774d6a59794d4449314d5441774f533951515338314f4467784e5441354d53316c4f4463304c5451794f574d744f5449314e7930314d6d4e6d5a47526c4d7a63775a5449756347526d&amp;Fich=58815091-e874-429c-9257-52cfdde370e2.pdf&amp;Inline=true</t>
        </is>
      </c>
      <c r="AH1709" s="3" t="n">
        <v>46321.77847222222</v>
      </c>
      <c r="AI1709" s="3" t="n">
        <v>46321.78055555555</v>
      </c>
      <c r="AJ1709" s="2" t="inlineStr"/>
    </row>
    <row r="1710">
      <c r="A1710" s="2" t="n">
        <v>1709</v>
      </c>
      <c r="B1710" s="2" t="inlineStr">
        <is>
          <t>1614C</t>
        </is>
      </c>
      <c r="C1710" s="3" t="n">
        <v>45968.65833333333</v>
      </c>
      <c r="D1710" s="2" t="inlineStr">
        <is>
          <t>Original</t>
        </is>
      </c>
      <c r="E1710" s="2" t="inlineStr">
        <is>
          <t>PCP</t>
        </is>
      </c>
      <c r="F1710" s="2" t="inlineStr">
        <is>
          <t>Alfredo Maia; Paula Santos; Paulo Raimundo</t>
        </is>
      </c>
      <c r="G1710" s="2" t="inlineStr">
        <is>
          <t>Art. 46.º-A (aditamento)</t>
        </is>
      </c>
      <c r="H1710" s="2" t="n"/>
      <c r="I1710" s="2" t="n"/>
      <c r="J1710" s="2" t="n"/>
      <c r="K1710" s="2" t="n"/>
      <c r="L1710" s="2" t="inlineStr">
        <is>
          <t>Artigo 46.º-A (Sistemas de indução magnética nos espaços públicos)</t>
        </is>
      </c>
      <c r="M1710" s="4" t="n"/>
      <c r="N1710" s="4" t="n"/>
      <c r="O1710" s="2" t="n"/>
      <c r="P1710" s="2" t="n"/>
      <c r="Q1710" s="2" t="n"/>
      <c r="R1710" s="2" t="n"/>
      <c r="S1710" s="2" t="inlineStr">
        <is>
          <t>Rejeitado(a) em Comissão</t>
        </is>
      </c>
      <c r="T1710" s="2" t="inlineStr">
        <is>
          <t>Rejeitada</t>
        </is>
      </c>
      <c r="U1710" s="2" t="inlineStr">
        <is>
          <t>Favor: CH, L, PCP, BE, PAN; Contra: PSD, CDS-PP; Abstenção: PS, IL</t>
        </is>
      </c>
      <c r="V1710" s="3" t="n">
        <v>45981</v>
      </c>
      <c r="W1710" s="2" t="inlineStr">
        <is>
          <t>AR: https://www.parlamento.pt/OrcamentoEstado/Paginas/DetalhePropostaAlteracao.aspx?BID=24862 PDF: https://app.parlamento.pt/webutils/docs/doc.pdf?path=6148523063484d364c793942556b356c6443397a6158526c63793959566b6c4a544556484c3039464c7a49774d6a59794d4449314d5441774f5339515153396b4d6a52694d6d566d5979316c5a5449784c5451794e6a63744f546c6b5a4330334d4452694d7a68684d6d5135596a49756347526d&amp;Fich=d24b2efc-ee21-4267-99dd-704b38a2d9b2.pdf&amp;Inline=true</t>
        </is>
      </c>
      <c r="X1710" s="2" t="inlineStr">
        <is>
          <t>Trabalho, Segurança Social e Inclusão</t>
        </is>
      </c>
      <c r="Y1710" s="2" t="inlineStr">
        <is>
          <t>Articulado</t>
        </is>
      </c>
      <c r="Z1710" s="2" t="inlineStr">
        <is>
          <t>Aditamento (Artigo PPL)</t>
        </is>
      </c>
      <c r="AA1710" s="2" t="inlineStr">
        <is>
          <t>Rejeitado(a) em Comissão</t>
        </is>
      </c>
      <c r="AB1710" s="2" t="inlineStr"/>
      <c r="AC1710" s="2" t="inlineStr"/>
      <c r="AD1710" s="2" t="inlineStr">
        <is>
          <t>1</t>
        </is>
      </c>
      <c r="AE1710" s="2" t="inlineStr">
        <is>
          <t>24862</t>
        </is>
      </c>
      <c r="AF1710" s="2" t="inlineStr">
        <is>
          <t>https://www.parlamento.pt/OrcamentoEstado/Paginas/DetalhePropostaAlteracao.aspx?BID=24862</t>
        </is>
      </c>
      <c r="AG1710" s="2" t="inlineStr">
        <is>
          <t>https://app.parlamento.pt/webutils/docs/doc.pdf?path=6148523063484d364c793942556b356c6443397a6158526c63793959566b6c4a544556484c3039464c7a49774d6a59794d4449314d5441774f5339515153396b4d6a52694d6d566d5979316c5a5449784c5451794e6a63744f546c6b5a4330334d4452694d7a68684d6d5135596a49756347526d&amp;Fich=d24b2efc-ee21-4267-99dd-704b38a2d9b2.pdf&amp;Inline=true</t>
        </is>
      </c>
      <c r="AH1710" s="3" t="n">
        <v>46321.77847222222</v>
      </c>
      <c r="AI1710" s="3" t="n">
        <v>46321.78055555555</v>
      </c>
      <c r="AJ1710" s="2" t="inlineStr"/>
    </row>
    <row r="1711">
      <c r="A1711" s="2" t="n">
        <v>1710</v>
      </c>
      <c r="B1711" s="2" t="inlineStr">
        <is>
          <t>1615C</t>
        </is>
      </c>
      <c r="C1711" s="3" t="n">
        <v>45968.65833333333</v>
      </c>
      <c r="D1711" s="2" t="inlineStr">
        <is>
          <t>Original</t>
        </is>
      </c>
      <c r="E1711" s="2" t="inlineStr">
        <is>
          <t>PS</t>
        </is>
      </c>
      <c r="F1711" s="2" t="inlineStr">
        <is>
          <t>Ana Bernardo; António Mendonça Mendes; Eurico Brilhante Dias; José Luís Carneiro; Marina Gonçalves; Miguel Cabrita; Miguel Matos</t>
        </is>
      </c>
      <c r="G1711" s="2" t="inlineStr">
        <is>
          <t>Art. 46.º-A (aditamento)</t>
        </is>
      </c>
      <c r="H1711" s="2" t="n"/>
      <c r="I1711" s="2" t="n"/>
      <c r="J1711" s="2" t="n"/>
      <c r="K1711" s="2" t="n"/>
      <c r="L1711" s="2" t="inlineStr">
        <is>
          <t>Artigo 46.º-A (Revisão do montante do subsídio de funeral)</t>
        </is>
      </c>
      <c r="M1711" s="4" t="n"/>
      <c r="N1711" s="4" t="n"/>
      <c r="O1711" s="2" t="n"/>
      <c r="P1711" s="2" t="n"/>
      <c r="Q1711" s="2" t="n"/>
      <c r="R1711" s="2" t="n"/>
      <c r="S1711" s="2" t="inlineStr">
        <is>
          <t>Rejeitado(a) em Comissão</t>
        </is>
      </c>
      <c r="T1711" s="2" t="inlineStr">
        <is>
          <t>Rejeitada</t>
        </is>
      </c>
      <c r="U1711" s="2" t="inlineStr">
        <is>
          <t>Favor: PS, IL, L, PCP, BE, PAN; Contra: PSD; Abstenção: CH, CDS-PP</t>
        </is>
      </c>
      <c r="V1711" s="3" t="n">
        <v>45981</v>
      </c>
      <c r="W1711" s="2" t="inlineStr">
        <is>
          <t>AR: https://www.parlamento.pt/OrcamentoEstado/Paginas/DetalhePropostaAlteracao.aspx?BID=24863 PDF: https://app.parlamento.pt/webutils/docs/doc.pdf?path=6148523063484d364c793942556b356c6443397a6158526c63793959566b6c4a544556484c3039464c7a49774d6a59794d4449314d5441774f533951515338784f446332597a466d4f4330304e5455344c545132596d4974596d526b4e6930334e4745324f475a6c4f444d794d6d45756347526d&amp;Fich=1876c1f8-4558-46bb-bdd6-74a68fe8322a.pdf&amp;Inline=true</t>
        </is>
      </c>
      <c r="X1711" s="2" t="inlineStr">
        <is>
          <t>Orçamento, Finanças e Administração Pública; Trabalho, Segurança Social e Inclusão</t>
        </is>
      </c>
      <c r="Y1711" s="2" t="inlineStr">
        <is>
          <t>Articulado</t>
        </is>
      </c>
      <c r="Z1711" s="2" t="inlineStr">
        <is>
          <t>Aditamento (Artigo PPL)</t>
        </is>
      </c>
      <c r="AA1711" s="2" t="inlineStr">
        <is>
          <t>Rejeitado(a) em Comissão</t>
        </is>
      </c>
      <c r="AB1711" s="2" t="inlineStr"/>
      <c r="AC1711" s="2" t="inlineStr"/>
      <c r="AD1711" s="2" t="inlineStr">
        <is>
          <t>1</t>
        </is>
      </c>
      <c r="AE1711" s="2" t="inlineStr">
        <is>
          <t>24863</t>
        </is>
      </c>
      <c r="AF1711" s="2" t="inlineStr">
        <is>
          <t>https://www.parlamento.pt/OrcamentoEstado/Paginas/DetalhePropostaAlteracao.aspx?BID=24863</t>
        </is>
      </c>
      <c r="AG1711" s="2" t="inlineStr">
        <is>
          <t>https://app.parlamento.pt/webutils/docs/doc.pdf?path=6148523063484d364c793942556b356c6443397a6158526c63793959566b6c4a544556484c3039464c7a49774d6a59794d4449314d5441774f533951515338784f446332597a466d4f4330304e5455344c545132596d4974596d526b4e6930334e4745324f475a6c4f444d794d6d45756347526d&amp;Fich=1876c1f8-4558-46bb-bdd6-74a68fe8322a.pdf&amp;Inline=true</t>
        </is>
      </c>
      <c r="AH1711" s="3" t="n">
        <v>46321.77847222222</v>
      </c>
      <c r="AI1711" s="3" t="n">
        <v>46321.78055555555</v>
      </c>
      <c r="AJ1711" s="2" t="inlineStr"/>
    </row>
    <row r="1712">
      <c r="A1712" s="2" t="n">
        <v>1711</v>
      </c>
      <c r="B1712" s="2" t="inlineStr">
        <is>
          <t>1616C</t>
        </is>
      </c>
      <c r="C1712" s="3" t="n">
        <v>45968.65833333333</v>
      </c>
      <c r="D1712" s="2" t="inlineStr">
        <is>
          <t>Original</t>
        </is>
      </c>
      <c r="E1712" s="2" t="inlineStr">
        <is>
          <t>PCP</t>
        </is>
      </c>
      <c r="F1712" s="2" t="inlineStr">
        <is>
          <t>Alfredo Maia; Paula Santos; Paulo Raimundo</t>
        </is>
      </c>
      <c r="G1712" s="2" t="inlineStr">
        <is>
          <t>Art. 125.º-A (aditamento)</t>
        </is>
      </c>
      <c r="H1712" s="2" t="n"/>
      <c r="I1712" s="2" t="n"/>
      <c r="J1712" s="2" t="n"/>
      <c r="K1712" s="2" t="n"/>
      <c r="L1712" s="2" t="inlineStr">
        <is>
          <t>Artigo 125.º-A (Programa de redução do preço do passe mensal de transporte público para pessoas com deficiência)</t>
        </is>
      </c>
      <c r="M1712" s="4" t="n"/>
      <c r="N1712" s="4" t="n"/>
      <c r="O1712" s="2" t="n"/>
      <c r="P1712" s="2" t="n"/>
      <c r="Q1712" s="2" t="n"/>
      <c r="R1712" s="2" t="n"/>
      <c r="S1712" s="2" t="inlineStr">
        <is>
          <t>Rejeitado(a) em Comissão</t>
        </is>
      </c>
      <c r="T1712" s="2" t="inlineStr">
        <is>
          <t>Rejeitada</t>
        </is>
      </c>
      <c r="U1712" s="2" t="inlineStr">
        <is>
          <t>Favor: CH, L, PCP, BE, PAN; Contra: PSD, IL, CDS-PP; Abstenção: PS</t>
        </is>
      </c>
      <c r="V1712" s="3" t="n">
        <v>45985</v>
      </c>
      <c r="W1712" s="2" t="inlineStr">
        <is>
          <t>AR: https://www.parlamento.pt/OrcamentoEstado/Paginas/DetalhePropostaAlteracao.aspx?BID=24864 PDF: https://app.parlamento.pt/webutils/docs/doc.pdf?path=6148523063484d364c793942556b356c6443397a6158526c63793959566b6c4a544556484c3039464c7a49774d6a59794d4449314d5441774f5339515153396c4d474669597a4a6a596930344e7a42684c54526b4e446374596d45794d533169596a426c596a51315a5459784e7a51756347526d&amp;Fich=e0abc2cb-870a-4d47-ba21-bb0eb45e6174.pdf&amp;Inline=true</t>
        </is>
      </c>
      <c r="X1712" s="2" t="inlineStr">
        <is>
          <t>Trabalho, Segurança Social e Inclusão</t>
        </is>
      </c>
      <c r="Y1712" s="2" t="inlineStr">
        <is>
          <t>Articulado</t>
        </is>
      </c>
      <c r="Z1712" s="2" t="inlineStr">
        <is>
          <t>Aditamento (Artigo PPL)</t>
        </is>
      </c>
      <c r="AA1712" s="2" t="inlineStr">
        <is>
          <t>Rejeitado(a) em Comissão</t>
        </is>
      </c>
      <c r="AB1712" s="2" t="inlineStr"/>
      <c r="AC1712" s="2" t="inlineStr"/>
      <c r="AD1712" s="2" t="inlineStr">
        <is>
          <t>1</t>
        </is>
      </c>
      <c r="AE1712" s="2" t="inlineStr">
        <is>
          <t>24864</t>
        </is>
      </c>
      <c r="AF1712" s="2" t="inlineStr">
        <is>
          <t>https://www.parlamento.pt/OrcamentoEstado/Paginas/DetalhePropostaAlteracao.aspx?BID=24864</t>
        </is>
      </c>
      <c r="AG1712" s="2" t="inlineStr">
        <is>
          <t>https://app.parlamento.pt/webutils/docs/doc.pdf?path=6148523063484d364c793942556b356c6443397a6158526c63793959566b6c4a544556484c3039464c7a49774d6a59794d4449314d5441774f5339515153396c4d474669597a4a6a596930344e7a42684c54526b4e446374596d45794d533169596a426c596a51315a5459784e7a51756347526d&amp;Fich=e0abc2cb-870a-4d47-ba21-bb0eb45e6174.pdf&amp;Inline=true</t>
        </is>
      </c>
      <c r="AH1712" s="3" t="n">
        <v>46321.77847222222</v>
      </c>
      <c r="AI1712" s="3" t="n">
        <v>46321.78055555555</v>
      </c>
      <c r="AJ1712" s="2" t="inlineStr"/>
    </row>
    <row r="1713">
      <c r="A1713" s="2" t="n">
        <v>1712</v>
      </c>
      <c r="B1713" s="2" t="inlineStr">
        <is>
          <t>1617C</t>
        </is>
      </c>
      <c r="C1713" s="3" t="n">
        <v>45968.65902777778</v>
      </c>
      <c r="D1713" s="2" t="inlineStr">
        <is>
          <t>Original</t>
        </is>
      </c>
      <c r="E1713" s="2" t="inlineStr">
        <is>
          <t>CH</t>
        </is>
      </c>
      <c r="F171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13" s="2" t="inlineStr">
        <is>
          <t>Art. 136.º-A (aditamento)</t>
        </is>
      </c>
      <c r="H1713" s="2" t="n"/>
      <c r="I1713" s="2" t="n"/>
      <c r="J1713" s="2" t="n"/>
      <c r="K1713" s="2" t="n"/>
      <c r="L1713" s="2" t="inlineStr">
        <is>
          <t>Artigo 136.º-A (Proteção e valorização do património cultural e monumental de origem portuguesa no mundo)</t>
        </is>
      </c>
      <c r="M1713" s="4" t="n"/>
      <c r="N1713" s="4" t="n"/>
      <c r="O1713" s="2" t="n"/>
      <c r="P1713" s="2" t="n"/>
      <c r="Q1713" s="2" t="n"/>
      <c r="R1713" s="2" t="n"/>
      <c r="S1713" s="2" t="inlineStr">
        <is>
          <t>Rejeitado(a) em Comissão</t>
        </is>
      </c>
      <c r="T1713" s="2" t="inlineStr">
        <is>
          <t>Rejeitada</t>
        </is>
      </c>
      <c r="U1713" s="2" t="inlineStr">
        <is>
          <t>Favor: CH; Contra: PSD, PS, L, PAN; Abstenção: IL, PCP, CDS-PP, BE</t>
        </is>
      </c>
      <c r="V1713" s="3" t="n">
        <v>45987</v>
      </c>
      <c r="W1713" s="2" t="inlineStr">
        <is>
          <t>AR: https://www.parlamento.pt/OrcamentoEstado/Paginas/DetalhePropostaAlteracao.aspx?BID=24865 PDF: https://app.parlamento.pt/webutils/docs/doc.pdf?path=6148523063484d364c793942556b356c6443397a6158526c63793959566b6c4a544556484c3039464c7a49774d6a59794d4449314d5441774f5339515153396c595467784e546b315a533077597a49774c54526c4e5449745957466a5a4330304e5451794d6d566a595755324d4745756347526d&amp;Fich=ea81595e-0c20-4e52-aacd-45422ecae60a.pdf&amp;Inline=true</t>
        </is>
      </c>
      <c r="X1713" s="2" t="inlineStr">
        <is>
          <t>Negócios Estrangeiros e Comunidades Portuguesas</t>
        </is>
      </c>
      <c r="Y1713" s="2" t="inlineStr">
        <is>
          <t>Articulado</t>
        </is>
      </c>
      <c r="Z1713" s="2" t="inlineStr">
        <is>
          <t>Aditamento (Artigo PPL)</t>
        </is>
      </c>
      <c r="AA1713" s="2" t="inlineStr">
        <is>
          <t>Rejeitado(a) em Comissão</t>
        </is>
      </c>
      <c r="AB1713" s="2" t="inlineStr"/>
      <c r="AC1713" s="2" t="inlineStr"/>
      <c r="AD1713" s="2" t="inlineStr">
        <is>
          <t>1</t>
        </is>
      </c>
      <c r="AE1713" s="2" t="inlineStr">
        <is>
          <t>24865</t>
        </is>
      </c>
      <c r="AF1713" s="2" t="inlineStr">
        <is>
          <t>https://www.parlamento.pt/OrcamentoEstado/Paginas/DetalhePropostaAlteracao.aspx?BID=24865</t>
        </is>
      </c>
      <c r="AG1713" s="2" t="inlineStr">
        <is>
          <t>https://app.parlamento.pt/webutils/docs/doc.pdf?path=6148523063484d364c793942556b356c6443397a6158526c63793959566b6c4a544556484c3039464c7a49774d6a59794d4449314d5441774f5339515153396c595467784e546b315a533077597a49774c54526c4e5449745957466a5a4330304e5451794d6d566a595755324d4745756347526d&amp;Fich=ea81595e-0c20-4e52-aacd-45422ecae60a.pdf&amp;Inline=true</t>
        </is>
      </c>
      <c r="AH1713" s="3" t="n">
        <v>46321.77847222222</v>
      </c>
      <c r="AI1713" s="3" t="n">
        <v>46321.78055555555</v>
      </c>
      <c r="AJ1713" s="2" t="inlineStr"/>
    </row>
    <row r="1714">
      <c r="A1714" s="2" t="n">
        <v>1713</v>
      </c>
      <c r="B1714" s="2" t="inlineStr">
        <is>
          <t>1618C</t>
        </is>
      </c>
      <c r="C1714" s="3" t="n">
        <v>45968.65902777778</v>
      </c>
      <c r="D1714" s="2" t="inlineStr">
        <is>
          <t>Original</t>
        </is>
      </c>
      <c r="E1714" s="2" t="inlineStr">
        <is>
          <t>L</t>
        </is>
      </c>
      <c r="F1714" s="2" t="inlineStr">
        <is>
          <t>Filipa Pinto; Isabel Mendes Lopes; Jorge Pinto; Patrícia Gonçalves; Paulo Muacho; Rui Tavares</t>
        </is>
      </c>
      <c r="G1714" s="2" t="inlineStr">
        <is>
          <t>Art. 116.º-A (aditamento)</t>
        </is>
      </c>
      <c r="H1714" s="2" t="n"/>
      <c r="I1714" s="2" t="n"/>
      <c r="J1714" s="2" t="n"/>
      <c r="K1714" s="2" t="n"/>
      <c r="L1714" s="2" t="inlineStr">
        <is>
          <t>Artigo 116.º-A (Reforço do Balcão Único de Defesa)</t>
        </is>
      </c>
      <c r="M1714" s="4" t="n"/>
      <c r="N1714" s="4" t="n"/>
      <c r="O1714" s="2" t="n"/>
      <c r="P1714" s="2" t="n"/>
      <c r="Q1714" s="2" t="n"/>
      <c r="R1714" s="2" t="n"/>
      <c r="S1714" s="2" t="inlineStr">
        <is>
          <t>Rejeitado(a) em Comissão</t>
        </is>
      </c>
      <c r="T1714" s="2" t="inlineStr">
        <is>
          <t>Rejeitada</t>
        </is>
      </c>
      <c r="U1714" s="2" t="inlineStr">
        <is>
          <t>Favor: CH, L, PCP, BE, PAN; Contra: PSD, CDS-PP; Abstenção: PS, IL</t>
        </is>
      </c>
      <c r="V1714" s="3" t="n">
        <v>45985</v>
      </c>
      <c r="W1714" s="2" t="inlineStr">
        <is>
          <t>AR: https://www.parlamento.pt/OrcamentoEstado/Paginas/DetalhePropostaAlteracao.aspx?BID=24866 PDF: https://app.parlamento.pt/webutils/docs/doc.pdf?path=6148523063484d364c793942556b356c6443397a6158526c63793959566b6c4a544556484c3039464c7a49774d6a59794d4449314d5441774f5339515153383459574a6b4e5751305a6930335a6d4d774c5451775a574574596d4d334e79316d59574d324e7a466a4e6d56695a5449756347526d&amp;Fich=8abd5d4f-7fc0-40ea-bc77-fac671c6ebe2.pdf&amp;Inline=true</t>
        </is>
      </c>
      <c r="X1714" s="2" t="inlineStr">
        <is>
          <t>Defesa Nacional</t>
        </is>
      </c>
      <c r="Y1714" s="2" t="inlineStr">
        <is>
          <t>Articulado</t>
        </is>
      </c>
      <c r="Z1714" s="2" t="inlineStr">
        <is>
          <t>Aditamento (Artigo PPL)</t>
        </is>
      </c>
      <c r="AA1714" s="2" t="inlineStr">
        <is>
          <t>Rejeitado(a) em Comissão</t>
        </is>
      </c>
      <c r="AB1714" s="2" t="inlineStr"/>
      <c r="AC1714" s="2" t="inlineStr"/>
      <c r="AD1714" s="2" t="inlineStr">
        <is>
          <t>1</t>
        </is>
      </c>
      <c r="AE1714" s="2" t="inlineStr">
        <is>
          <t>24866</t>
        </is>
      </c>
      <c r="AF1714" s="2" t="inlineStr">
        <is>
          <t>https://www.parlamento.pt/OrcamentoEstado/Paginas/DetalhePropostaAlteracao.aspx?BID=24866</t>
        </is>
      </c>
      <c r="AG1714" s="2" t="inlineStr">
        <is>
          <t>https://app.parlamento.pt/webutils/docs/doc.pdf?path=6148523063484d364c793942556b356c6443397a6158526c63793959566b6c4a544556484c3039464c7a49774d6a59794d4449314d5441774f5339515153383459574a6b4e5751305a6930335a6d4d774c5451775a574574596d4d334e79316d59574d324e7a466a4e6d56695a5449756347526d&amp;Fich=8abd5d4f-7fc0-40ea-bc77-fac671c6ebe2.pdf&amp;Inline=true</t>
        </is>
      </c>
      <c r="AH1714" s="3" t="n">
        <v>46321.77847222222</v>
      </c>
      <c r="AI1714" s="3" t="n">
        <v>46321.78055555555</v>
      </c>
      <c r="AJ1714" s="2" t="inlineStr"/>
    </row>
    <row r="1715">
      <c r="A1715" s="2" t="n">
        <v>1714</v>
      </c>
      <c r="B1715" s="2" t="inlineStr">
        <is>
          <t>1619C-1</t>
        </is>
      </c>
      <c r="C1715" s="3" t="n">
        <v>45968.65902777778</v>
      </c>
      <c r="D1715" s="2" t="inlineStr">
        <is>
          <t>Original</t>
        </is>
      </c>
      <c r="E1715" s="2" t="inlineStr">
        <is>
          <t>PS</t>
        </is>
      </c>
      <c r="F1715" s="2" t="inlineStr">
        <is>
          <t>Ana Bernardo; António Mendonça Mendes; Eurico Brilhante Dias; José Luís Carneiro; Marina Gonçalves; Miguel Cabrita; Miguel Matos</t>
        </is>
      </c>
      <c r="G1715" s="2" t="inlineStr">
        <is>
          <t>Art. 38.º-A (aditamento)</t>
        </is>
      </c>
      <c r="H1715" s="2" t="n"/>
      <c r="I1715" s="2" t="n"/>
      <c r="J1715" s="2" t="n"/>
      <c r="K1715" s="2" t="n"/>
      <c r="L1715" s="2" t="inlineStr">
        <is>
          <t>Artigo 38.º-A (Alteração ao Decreto-Lei n.º 91/2009, de 9 de abril)</t>
        </is>
      </c>
      <c r="M1715" s="4" t="n"/>
      <c r="N1715" s="4" t="n"/>
      <c r="O1715" s="2" t="n"/>
      <c r="P1715" s="2" t="n"/>
      <c r="Q1715" s="2" t="n"/>
      <c r="R1715" s="2" t="n"/>
      <c r="S1715" s="2" t="inlineStr">
        <is>
          <t>Rejeitado(a) em Plenário</t>
        </is>
      </c>
      <c r="T1715" s="2" t="inlineStr">
        <is>
          <t>Rejeitada</t>
        </is>
      </c>
      <c r="U1715" s="2" t="inlineStr">
        <is>
          <t>Favor: PS, IL, L, PCP, BE, PAN, JPP; Contra: PSD, CDS-PP; Abstenção: CH</t>
        </is>
      </c>
      <c r="V1715" s="3" t="n">
        <v>45982</v>
      </c>
      <c r="W1715" s="2" t="inlineStr">
        <is>
          <t>Avocada a Plenário. AR: https://www.parlamento.pt/OrcamentoEstado/Paginas/DetalhePropostaAlteracao.aspx?BID=24867 PDF: https://app.parlamento.pt/webutils/docs/doc.pdf?path=6148523063484d364c793942556b356c6443397a6158526c63793959566b6c4a544556484c3039464c7a49774d6a59794d4449314d5441774f533951515338784e47493359545a6b4e7930785932466c4c54526a4f44517459546b794f43316a5a575179596a4e6b4e44426a5a5749756347526d&amp;Fich=14b7a6d7-1cae-4c84-a928-ced2b3d40ceb.pdf&amp;Inline=true</t>
        </is>
      </c>
      <c r="X1715" s="2" t="inlineStr">
        <is>
          <t>Orçamento, Finanças e Administração Pública; Trabalho, Segurança Social e Inclusão</t>
        </is>
      </c>
      <c r="Y1715" s="2" t="inlineStr">
        <is>
          <t>Articulado</t>
        </is>
      </c>
      <c r="Z1715" s="2" t="inlineStr">
        <is>
          <t>Aditamento (Artigo PPL)</t>
        </is>
      </c>
      <c r="AA1715" s="2" t="inlineStr">
        <is>
          <t>Rejeitado(a) em Plenário</t>
        </is>
      </c>
      <c r="AB1715" s="2" t="inlineStr">
        <is>
          <t>S</t>
        </is>
      </c>
      <c r="AC1715" s="2" t="inlineStr">
        <is>
          <t>1</t>
        </is>
      </c>
      <c r="AD1715" s="2" t="inlineStr">
        <is>
          <t>2</t>
        </is>
      </c>
      <c r="AE1715" s="2" t="inlineStr">
        <is>
          <t>24867</t>
        </is>
      </c>
      <c r="AF1715" s="2" t="inlineStr">
        <is>
          <t>https://www.parlamento.pt/OrcamentoEstado/Paginas/DetalhePropostaAlteracao.aspx?BID=24867</t>
        </is>
      </c>
      <c r="AG1715" s="2" t="inlineStr">
        <is>
          <t>https://app.parlamento.pt/webutils/docs/doc.pdf?path=6148523063484d364c793942556b356c6443397a6158526c63793959566b6c4a544556484c3039464c7a49774d6a59794d4449314d5441774f533951515338784e47493359545a6b4e7930785932466c4c54526a4f44517459546b794f43316a5a575179596a4e6b4e44426a5a5749756347526d&amp;Fich=14b7a6d7-1cae-4c84-a928-ced2b3d40ceb.pdf&amp;Inline=true</t>
        </is>
      </c>
      <c r="AH1715" s="3" t="n">
        <v>46321.77847222222</v>
      </c>
      <c r="AI1715" s="3" t="n">
        <v>46321.78055555555</v>
      </c>
      <c r="AJ1715" s="2" t="inlineStr"/>
    </row>
    <row r="1716">
      <c r="A1716" s="2" t="n">
        <v>1715</v>
      </c>
      <c r="B1716" s="2" t="inlineStr">
        <is>
          <t>1619C-2</t>
        </is>
      </c>
      <c r="C1716" s="3" t="n">
        <v>45968.65902777778</v>
      </c>
      <c r="D1716" s="2" t="inlineStr">
        <is>
          <t>Original</t>
        </is>
      </c>
      <c r="E1716" s="2" t="inlineStr">
        <is>
          <t>PS</t>
        </is>
      </c>
      <c r="F1716" s="2" t="inlineStr">
        <is>
          <t>Ana Bernardo; António Mendonça Mendes; Eurico Brilhante Dias; José Luís Carneiro; Marina Gonçalves; Miguel Cabrita; Miguel Matos</t>
        </is>
      </c>
      <c r="G1716" s="2" t="inlineStr">
        <is>
          <t>Art. 38.º-A (aditamento)</t>
        </is>
      </c>
      <c r="H1716" s="2" t="n"/>
      <c r="I1716" s="2" t="n"/>
      <c r="J1716" s="2" t="n"/>
      <c r="K1716" s="2" t="n"/>
      <c r="L1716" s="2" t="inlineStr">
        <is>
          <t>Artigo 38.º-A (Alteração ao Decreto-Lei n.º 89/2009, de 9 de abril)</t>
        </is>
      </c>
      <c r="M1716" s="4" t="n"/>
      <c r="N1716" s="4" t="n"/>
      <c r="O1716" s="2" t="n"/>
      <c r="P1716" s="2" t="n"/>
      <c r="Q1716" s="2" t="n"/>
      <c r="R1716" s="2" t="n"/>
      <c r="S1716" s="2" t="inlineStr">
        <is>
          <t>Rejeitado(a) em Plenário</t>
        </is>
      </c>
      <c r="T1716" s="2" t="inlineStr">
        <is>
          <t>Rejeitada</t>
        </is>
      </c>
      <c r="U1716" s="2" t="inlineStr">
        <is>
          <t>Favor: PS, IL, L, PCP, BE, PAN, JPP; Contra: PSD, CDS-PP; Abstenção: CH</t>
        </is>
      </c>
      <c r="V1716" s="3" t="n">
        <v>45982</v>
      </c>
      <c r="W1716" s="2" t="inlineStr">
        <is>
          <t>Avocada a Plenário. AR: https://www.parlamento.pt/OrcamentoEstado/Paginas/DetalhePropostaAlteracao.aspx?BID=25372 PDF: https://app.parlamento.pt/webutils/docs/doc.pdf?path=6148523063484d364c793942556b356c6443397a6158526c63793959566b6c4a544556484c3039464c7a49774d6a59794d4449314d5441774f5339515153383359325a6d597a566c4d5330325a4451324c5451784d47517459575a694e4330334d7a5a694e3251774d5455344d5459756347526d&amp;Fich=7cffc5e1-6d46-410d-afb4-736b7d015816.pdf&amp;Inline=true</t>
        </is>
      </c>
      <c r="X1716" s="2" t="inlineStr">
        <is>
          <t>Orçamento, Finanças e Administração Pública; Trabalho, Segurança Social e Inclusão</t>
        </is>
      </c>
      <c r="Y1716" s="2" t="inlineStr">
        <is>
          <t>Articulado</t>
        </is>
      </c>
      <c r="Z1716" s="2" t="inlineStr">
        <is>
          <t>Aditamento (Artigo PPL)</t>
        </is>
      </c>
      <c r="AA1716" s="2" t="inlineStr">
        <is>
          <t>Rejeitado(a) em Plenário</t>
        </is>
      </c>
      <c r="AB1716" s="2" t="inlineStr">
        <is>
          <t>S</t>
        </is>
      </c>
      <c r="AC1716" s="2" t="inlineStr">
        <is>
          <t>2</t>
        </is>
      </c>
      <c r="AD1716" s="2" t="inlineStr">
        <is>
          <t>2</t>
        </is>
      </c>
      <c r="AE1716" s="2" t="inlineStr">
        <is>
          <t>25372</t>
        </is>
      </c>
      <c r="AF1716" s="2" t="inlineStr">
        <is>
          <t>https://www.parlamento.pt/OrcamentoEstado/Paginas/DetalhePropostaAlteracao.aspx?BID=25372</t>
        </is>
      </c>
      <c r="AG1716" s="2" t="inlineStr">
        <is>
          <t>https://app.parlamento.pt/webutils/docs/doc.pdf?path=6148523063484d364c793942556b356c6443397a6158526c63793959566b6c4a544556484c3039464c7a49774d6a59794d4449314d5441774f5339515153383359325a6d597a566c4d5330325a4451324c5451784d47517459575a694e4330334d7a5a694e3251774d5455344d5459756347526d&amp;Fich=7cffc5e1-6d46-410d-afb4-736b7d015816.pdf&amp;Inline=true</t>
        </is>
      </c>
      <c r="AH1716" s="3" t="n">
        <v>46321.77847222222</v>
      </c>
      <c r="AI1716" s="3" t="n">
        <v>46321.78055555555</v>
      </c>
      <c r="AJ1716" s="2" t="inlineStr"/>
    </row>
    <row r="1717">
      <c r="A1717" s="2" t="n">
        <v>1716</v>
      </c>
      <c r="B1717" s="2" t="inlineStr">
        <is>
          <t>1620C</t>
        </is>
      </c>
      <c r="C1717" s="3" t="n">
        <v>45968.65902777778</v>
      </c>
      <c r="D1717" s="2" t="inlineStr">
        <is>
          <t>Original</t>
        </is>
      </c>
      <c r="E1717" s="2" t="inlineStr">
        <is>
          <t>PCP</t>
        </is>
      </c>
      <c r="F1717" s="2" t="inlineStr">
        <is>
          <t>Alfredo Maia; Paula Santos; Paulo Raimundo</t>
        </is>
      </c>
      <c r="G1717" s="2" t="inlineStr">
        <is>
          <t>Art. 135.º-A (aditamento)</t>
        </is>
      </c>
      <c r="H1717" s="2" t="n"/>
      <c r="I1717" s="2" t="n"/>
      <c r="J1717" s="2" t="n"/>
      <c r="K1717" s="2" t="n"/>
      <c r="L1717" s="2" t="inlineStr">
        <is>
          <t>Artigo 135.º-A (Eliminação de barreiras arquitetônicas)</t>
        </is>
      </c>
      <c r="M1717" s="4" t="n"/>
      <c r="N1717" s="4" t="n"/>
      <c r="O1717" s="2" t="n"/>
      <c r="P1717" s="2" t="n"/>
      <c r="Q1717" s="2" t="n"/>
      <c r="R1717" s="2" t="n"/>
      <c r="S1717" s="2" t="inlineStr">
        <is>
          <t>Aprovado(a) Parcialmente em Comissão</t>
        </is>
      </c>
      <c r="T1717" s="2" t="inlineStr">
        <is>
          <t>Aprovada parcialmente</t>
        </is>
      </c>
      <c r="U1717" s="2" t="inlineStr">
        <is>
          <t>Favor: CH, PS, IL, L, PCP, BE, PAN; Contra: PSD, CDS-PP</t>
        </is>
      </c>
      <c r="V1717" s="3" t="n">
        <v>45987</v>
      </c>
      <c r="W1717" s="2" t="inlineStr">
        <is>
          <t>AR: https://www.parlamento.pt/OrcamentoEstado/Paginas/DetalhePropostaAlteracao.aspx?BID=24868 PDF: https://app.parlamento.pt/webutils/docs/doc.pdf?path=6148523063484d364c793942556b356c6443397a6158526c63793959566b6c4a544556484c3039464c7a49774d6a59794d4449314d5441774f5339515153396d4d54686b4e325a6c597930354f546c6a4c54526d593251744f446b344e53316c597a597a4e7a45344e7a51774e5463756347526d&amp;Fich=f18d7fec-999c-4fcd-8985-ec6371874057.pdf&amp;Inline=true</t>
        </is>
      </c>
      <c r="X1717" s="2" t="inlineStr">
        <is>
          <t>Trabalho, Segurança Social e Inclusão</t>
        </is>
      </c>
      <c r="Y1717" s="2" t="inlineStr">
        <is>
          <t>Articulado</t>
        </is>
      </c>
      <c r="Z1717" s="2" t="inlineStr">
        <is>
          <t>Aditamento (Artigo PPL)</t>
        </is>
      </c>
      <c r="AA1717" s="2" t="inlineStr">
        <is>
          <t>Aprovado(a) Parcialmente em Comissão</t>
        </is>
      </c>
      <c r="AB1717" s="2" t="inlineStr"/>
      <c r="AC1717" s="2" t="inlineStr"/>
      <c r="AD1717" s="2" t="inlineStr">
        <is>
          <t>1</t>
        </is>
      </c>
      <c r="AE1717" s="2" t="inlineStr">
        <is>
          <t>24868</t>
        </is>
      </c>
      <c r="AF1717" s="2" t="inlineStr">
        <is>
          <t>https://www.parlamento.pt/OrcamentoEstado/Paginas/DetalhePropostaAlteracao.aspx?BID=24868</t>
        </is>
      </c>
      <c r="AG1717" s="2" t="inlineStr">
        <is>
          <t>https://app.parlamento.pt/webutils/docs/doc.pdf?path=6148523063484d364c793942556b356c6443397a6158526c63793959566b6c4a544556484c3039464c7a49774d6a59794d4449314d5441774f5339515153396d4d54686b4e325a6c597930354f546c6a4c54526d593251744f446b344e53316c597a597a4e7a45344e7a51774e5463756347526d&amp;Fich=f18d7fec-999c-4fcd-8985-ec6371874057.pdf&amp;Inline=true</t>
        </is>
      </c>
      <c r="AH1717" s="3" t="n">
        <v>46321.77847222222</v>
      </c>
      <c r="AI1717" s="3" t="n">
        <v>46321.78055555555</v>
      </c>
      <c r="AJ1717" s="2" t="inlineStr"/>
    </row>
    <row r="1718">
      <c r="A1718" s="2" t="n">
        <v>1717</v>
      </c>
      <c r="B1718" s="2" t="inlineStr">
        <is>
          <t>1621C</t>
        </is>
      </c>
      <c r="C1718" s="3" t="n">
        <v>45968.65972222222</v>
      </c>
      <c r="D1718" s="2" t="inlineStr">
        <is>
          <t>Original</t>
        </is>
      </c>
      <c r="E1718" s="2" t="inlineStr">
        <is>
          <t>PCP</t>
        </is>
      </c>
      <c r="F1718" s="2" t="inlineStr">
        <is>
          <t>Alfredo Maia; Paula Santos; Paulo Raimundo</t>
        </is>
      </c>
      <c r="G1718" s="2" t="inlineStr">
        <is>
          <t>Art. 135.º-A (aditamento)</t>
        </is>
      </c>
      <c r="H1718" s="2" t="n"/>
      <c r="I1718" s="2" t="n"/>
      <c r="J1718" s="2" t="n"/>
      <c r="K1718" s="2" t="n"/>
      <c r="L1718" s="2" t="inlineStr">
        <is>
          <t>Artigo 135.º-A (Acessibilidade nos espaços de jogos e recreio)</t>
        </is>
      </c>
      <c r="M1718" s="4" t="n"/>
      <c r="N1718" s="4" t="n"/>
      <c r="O1718" s="2" t="n"/>
      <c r="P1718" s="2" t="n"/>
      <c r="Q1718" s="2" t="n"/>
      <c r="R1718" s="2" t="n"/>
      <c r="S1718" s="2" t="inlineStr">
        <is>
          <t>Rejeitado(a) em Comissão</t>
        </is>
      </c>
      <c r="T1718" s="2" t="inlineStr">
        <is>
          <t>Rejeitada</t>
        </is>
      </c>
      <c r="U1718" s="2" t="inlineStr">
        <is>
          <t>Favor: L, PCP, BE, PAN; Contra: PSD, CDS-PP; Abstenção: CH, PS, IL</t>
        </is>
      </c>
      <c r="V1718" s="3" t="n">
        <v>45987</v>
      </c>
      <c r="W1718" s="2" t="inlineStr">
        <is>
          <t>AR: https://www.parlamento.pt/OrcamentoEstado/Paginas/DetalhePropostaAlteracao.aspx?BID=24869 PDF: https://app.parlamento.pt/webutils/docs/doc.pdf?path=6148523063484d364c793942556b356c6443397a6158526c63793959566b6c4a544556484c3039464c7a49774d6a59794d4449314d5441774f533951515338794e6d5a694e7a63795953316b5a47566c4c54526b4d7a45744f5755354d5331694d57557a5957517a5954566b593259756347526d&amp;Fich=26fb772a-ddee-4d31-9e91-b1e3ad3a5dcf.pdf&amp;Inline=true</t>
        </is>
      </c>
      <c r="X1718" s="2" t="inlineStr">
        <is>
          <t>Trabalho, Segurança Social e Inclusão</t>
        </is>
      </c>
      <c r="Y1718" s="2" t="inlineStr">
        <is>
          <t>Articulado</t>
        </is>
      </c>
      <c r="Z1718" s="2" t="inlineStr">
        <is>
          <t>Aditamento (Artigo PPL)</t>
        </is>
      </c>
      <c r="AA1718" s="2" t="inlineStr">
        <is>
          <t>Rejeitado(a) em Comissão</t>
        </is>
      </c>
      <c r="AB1718" s="2" t="inlineStr"/>
      <c r="AC1718" s="2" t="inlineStr"/>
      <c r="AD1718" s="2" t="inlineStr">
        <is>
          <t>1</t>
        </is>
      </c>
      <c r="AE1718" s="2" t="inlineStr">
        <is>
          <t>24869</t>
        </is>
      </c>
      <c r="AF1718" s="2" t="inlineStr">
        <is>
          <t>https://www.parlamento.pt/OrcamentoEstado/Paginas/DetalhePropostaAlteracao.aspx?BID=24869</t>
        </is>
      </c>
      <c r="AG1718" s="2" t="inlineStr">
        <is>
          <t>https://app.parlamento.pt/webutils/docs/doc.pdf?path=6148523063484d364c793942556b356c6443397a6158526c63793959566b6c4a544556484c3039464c7a49774d6a59794d4449314d5441774f533951515338794e6d5a694e7a63795953316b5a47566c4c54526b4d7a45744f5755354d5331694d57557a5957517a5954566b593259756347526d&amp;Fich=26fb772a-ddee-4d31-9e91-b1e3ad3a5dcf.pdf&amp;Inline=true</t>
        </is>
      </c>
      <c r="AH1718" s="3" t="n">
        <v>46321.77847222222</v>
      </c>
      <c r="AI1718" s="3" t="n">
        <v>46321.78055555555</v>
      </c>
      <c r="AJ1718" s="2" t="inlineStr"/>
    </row>
    <row r="1719">
      <c r="A1719" s="2" t="n">
        <v>1718</v>
      </c>
      <c r="B1719" s="2" t="inlineStr">
        <is>
          <t>1622C</t>
        </is>
      </c>
      <c r="C1719" s="3" t="n">
        <v>45968.65972222222</v>
      </c>
      <c r="D1719" s="2" t="inlineStr">
        <is>
          <t>Retirada</t>
        </is>
      </c>
      <c r="E1719" s="2" t="inlineStr">
        <is>
          <t>PSD</t>
        </is>
      </c>
      <c r="F1719" s="2" t="inlineStr">
        <is>
          <t>Paulo Neves; Pedro Coelho; Vânia Jesus</t>
        </is>
      </c>
      <c r="G1719" s="2" t="inlineStr">
        <is>
          <t>Art. 135.º-A (aditamento)</t>
        </is>
      </c>
      <c r="H1719" s="2" t="n"/>
      <c r="I1719" s="2" t="n"/>
      <c r="J1719" s="2" t="n"/>
      <c r="K1719" s="2" t="n"/>
      <c r="L1719" s="2" t="inlineStr">
        <is>
          <t>Artigo 135.º-A (Alteração à Lei n.º 31/2009, de 03 de julho)</t>
        </is>
      </c>
      <c r="M1719" s="4" t="n"/>
      <c r="N1719" s="4" t="n"/>
      <c r="O1719" s="2" t="n"/>
      <c r="P1719" s="2" t="n"/>
      <c r="Q1719" s="2" t="n"/>
      <c r="R1719" s="2" t="n"/>
      <c r="S1719" s="2" t="inlineStr">
        <is>
          <t>Retirado(a)</t>
        </is>
      </c>
      <c r="T1719" s="2" t="inlineStr">
        <is>
          <t>Retirada</t>
        </is>
      </c>
      <c r="U1719" s="2" t="inlineStr"/>
      <c r="V1719" s="3" t="n"/>
      <c r="W1719" s="2" t="inlineStr">
        <is>
          <t>AR: https://www.parlamento.pt/OrcamentoEstado/Paginas/DetalhePropostaAlteracao.aspx?BID=24870 PDF: https://app.parlamento.pt/webutils/docs/doc.pdf?path=6148523063484d364c793942556b356c6443397a6158526c63793959566b6c4a544556484c3039464c7a49774d6a59794d4449314d5441774f533951515338785a6a46684e546b3259533035596a4a6a4c545131596a4d744f544177595330795a6d566a596d56694e7a55304d5759756347526d&amp;Fich=1f1a596a-9b2c-45b3-900a-2fecbeb7541f.pdf&amp;Inline=true</t>
        </is>
      </c>
      <c r="X1719" s="2" t="inlineStr">
        <is>
          <t>Orçamento, Finanças e Administração Pública</t>
        </is>
      </c>
      <c r="Y1719" s="2" t="inlineStr">
        <is>
          <t>Articulado</t>
        </is>
      </c>
      <c r="Z1719" s="2" t="inlineStr">
        <is>
          <t>Aditamento (Artigo PPL)</t>
        </is>
      </c>
      <c r="AA1719" s="2" t="inlineStr">
        <is>
          <t>Retirado(a)</t>
        </is>
      </c>
      <c r="AB1719" s="2" t="inlineStr"/>
      <c r="AC1719" s="2" t="inlineStr"/>
      <c r="AD1719" s="2" t="inlineStr">
        <is>
          <t>0</t>
        </is>
      </c>
      <c r="AE1719" s="2" t="inlineStr">
        <is>
          <t>24870</t>
        </is>
      </c>
      <c r="AF1719" s="2" t="inlineStr">
        <is>
          <t>https://www.parlamento.pt/OrcamentoEstado/Paginas/DetalhePropostaAlteracao.aspx?BID=24870</t>
        </is>
      </c>
      <c r="AG1719" s="2" t="inlineStr">
        <is>
          <t>https://app.parlamento.pt/webutils/docs/doc.pdf?path=6148523063484d364c793942556b356c6443397a6158526c63793959566b6c4a544556484c3039464c7a49774d6a59794d4449314d5441774f533951515338785a6a46684e546b3259533035596a4a6a4c545131596a4d744f544177595330795a6d566a596d56694e7a55304d5759756347526d&amp;Fich=1f1a596a-9b2c-45b3-900a-2fecbeb7541f.pdf&amp;Inline=true</t>
        </is>
      </c>
      <c r="AH1719" s="3" t="n">
        <v>46321.77847222222</v>
      </c>
      <c r="AI1719" s="3" t="n">
        <v>46321.78055555555</v>
      </c>
      <c r="AJ1719" s="2" t="inlineStr"/>
    </row>
    <row r="1720">
      <c r="A1720" s="2" t="n">
        <v>1719</v>
      </c>
      <c r="B1720" s="2" t="inlineStr">
        <is>
          <t>1623C</t>
        </is>
      </c>
      <c r="C1720" s="3" t="n">
        <v>45968.66041666667</v>
      </c>
      <c r="D1720" s="2" t="inlineStr">
        <is>
          <t>Original</t>
        </is>
      </c>
      <c r="E1720" s="2" t="inlineStr">
        <is>
          <t>CH</t>
        </is>
      </c>
      <c r="F172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20" s="2" t="inlineStr">
        <is>
          <t>Art. 136.º-A (aditamento)</t>
        </is>
      </c>
      <c r="H1720" s="2" t="n"/>
      <c r="I1720" s="2" t="n"/>
      <c r="J1720" s="2" t="n"/>
      <c r="K1720" s="2" t="n"/>
      <c r="L1720" s="2" t="inlineStr">
        <is>
          <t>Artigo 136.º-A (Construção da Circular Rodoviária Externa Santa Maria Feira (CREF))</t>
        </is>
      </c>
      <c r="M1720" s="4" t="n"/>
      <c r="N1720" s="4" t="n"/>
      <c r="O1720" s="2" t="n"/>
      <c r="P1720" s="2" t="n"/>
      <c r="Q1720" s="2" t="n"/>
      <c r="R1720" s="2" t="n"/>
      <c r="S1720" s="2" t="inlineStr">
        <is>
          <t>Rejeitado(a) em Comissão</t>
        </is>
      </c>
      <c r="T1720" s="2" t="inlineStr">
        <is>
          <t>Rejeitada</t>
        </is>
      </c>
      <c r="U1720" s="2" t="inlineStr">
        <is>
          <t>Favor: CH, BE; Contra: PSD, CDS-PP; Abstenção: PS, IL, L, PCP, PAN</t>
        </is>
      </c>
      <c r="V1720" s="3" t="n">
        <v>45987</v>
      </c>
      <c r="W1720" s="2" t="inlineStr">
        <is>
          <t>AR: https://www.parlamento.pt/OrcamentoEstado/Paginas/DetalhePropostaAlteracao.aspx?BID=24871 PDF: https://app.parlamento.pt/webutils/docs/doc.pdf?path=6148523063484d364c793942556b356c6443397a6158526c63793959566b6c4a544556484c3039464c7a49774d6a59794d4449314d5441774f533951515338304e6d46695a444d334e5330304e6d4d794c5451335a5755744f4442694d6930324e4442694e7a6b314f5467334d5749756347526d&amp;Fich=46abd375-46c2-47ee-80b2-640b7959871b.pdf&amp;Inline=true</t>
        </is>
      </c>
      <c r="X1720" s="2" t="inlineStr">
        <is>
          <t>Infraestruturas, Mobilidade e Habitação</t>
        </is>
      </c>
      <c r="Y1720" s="2" t="inlineStr">
        <is>
          <t>Articulado</t>
        </is>
      </c>
      <c r="Z1720" s="2" t="inlineStr">
        <is>
          <t>Aditamento (Artigo PPL)</t>
        </is>
      </c>
      <c r="AA1720" s="2" t="inlineStr">
        <is>
          <t>Rejeitado(a) em Comissão</t>
        </is>
      </c>
      <c r="AB1720" s="2" t="inlineStr"/>
      <c r="AC1720" s="2" t="inlineStr"/>
      <c r="AD1720" s="2" t="inlineStr">
        <is>
          <t>1</t>
        </is>
      </c>
      <c r="AE1720" s="2" t="inlineStr">
        <is>
          <t>24871</t>
        </is>
      </c>
      <c r="AF1720" s="2" t="inlineStr">
        <is>
          <t>https://www.parlamento.pt/OrcamentoEstado/Paginas/DetalhePropostaAlteracao.aspx?BID=24871</t>
        </is>
      </c>
      <c r="AG1720" s="2" t="inlineStr">
        <is>
          <t>https://app.parlamento.pt/webutils/docs/doc.pdf?path=6148523063484d364c793942556b356c6443397a6158526c63793959566b6c4a544556484c3039464c7a49774d6a59794d4449314d5441774f533951515338304e6d46695a444d334e5330304e6d4d794c5451335a5755744f4442694d6930324e4442694e7a6b314f5467334d5749756347526d&amp;Fich=46abd375-46c2-47ee-80b2-640b7959871b.pdf&amp;Inline=true</t>
        </is>
      </c>
      <c r="AH1720" s="3" t="n">
        <v>46321.77847222222</v>
      </c>
      <c r="AI1720" s="3" t="n">
        <v>46321.78055555555</v>
      </c>
      <c r="AJ1720" s="2" t="inlineStr"/>
    </row>
    <row r="1721">
      <c r="A1721" s="2" t="n">
        <v>1720</v>
      </c>
      <c r="B1721" s="2" t="inlineStr">
        <is>
          <t>1624C</t>
        </is>
      </c>
      <c r="C1721" s="3" t="n">
        <v>45968.66041666667</v>
      </c>
      <c r="D1721" s="2" t="inlineStr">
        <is>
          <t>Original</t>
        </is>
      </c>
      <c r="E1721" s="2" t="inlineStr">
        <is>
          <t>BE</t>
        </is>
      </c>
      <c r="F1721" s="2" t="inlineStr">
        <is>
          <t>Mariana Mortágua</t>
        </is>
      </c>
      <c r="G1721" s="2" t="inlineStr">
        <is>
          <t>Art. 7.º (aditamento)</t>
        </is>
      </c>
      <c r="H1721" s="2" t="n"/>
      <c r="I1721" s="2" t="n"/>
      <c r="J1721" s="2" t="n"/>
      <c r="K1721" s="2" t="n"/>
      <c r="L1721" s="2" t="inlineStr">
        <is>
          <t>Nova Verba 1, Mapa de alterações e transferências orçamentais, Artigo 7.º</t>
        </is>
      </c>
      <c r="M1721" s="4" t="n"/>
      <c r="N1721" s="4" t="n"/>
      <c r="O1721" s="2" t="n"/>
      <c r="P1721" s="2" t="n"/>
      <c r="Q1721" s="2" t="n"/>
      <c r="R1721" s="2" t="n"/>
      <c r="S1721" s="2" t="inlineStr">
        <is>
          <t>Rejeitado(a) em Comissão</t>
        </is>
      </c>
      <c r="T1721" s="2" t="inlineStr">
        <is>
          <t>Rejeitada</t>
        </is>
      </c>
      <c r="U1721" s="2" t="inlineStr">
        <is>
          <t>Favor: PS, L, PCP, BE, PAN; Contra: PSD, CH, IL, CDS-PP</t>
        </is>
      </c>
      <c r="V1721" s="3" t="n">
        <v>45987</v>
      </c>
      <c r="W1721" s="2" t="inlineStr">
        <is>
          <t>AR: https://www.parlamento.pt/OrcamentoEstado/Paginas/DetalhePropostaAlteracao.aspx?BID=24872 PDF: https://app.parlamento.pt/webutils/docs/doc.pdf?path=6148523063484d364c793942556b356c6443397a6158526c63793959566b6c4a544556484c3039464c7a49774d6a59794d4449314d5441774f53395151533833597a6334595745324d7930794d6d5a6a4c54526d5a6d49744f4441304e6930794e6a49784e6a5a6b5a54426c595451756347526d&amp;Fich=7c78aa63-22fc-4ffb-8046-262166de0ea4.pdf&amp;Inline=true</t>
        </is>
      </c>
      <c r="X1721" s="2" t="inlineStr">
        <is>
          <t>Orçamento, Finanças e Administração Pública</t>
        </is>
      </c>
      <c r="Y1721" s="2" t="inlineStr">
        <is>
          <t>Mapas</t>
        </is>
      </c>
      <c r="Z1721" s="2" t="inlineStr">
        <is>
          <t>Aditamento (Números e Alíneas)</t>
        </is>
      </c>
      <c r="AA1721" s="2" t="inlineStr">
        <is>
          <t>Rejeitado(a) em Comissão</t>
        </is>
      </c>
      <c r="AB1721" s="2" t="inlineStr"/>
      <c r="AC1721" s="2" t="inlineStr"/>
      <c r="AD1721" s="2" t="inlineStr">
        <is>
          <t>1</t>
        </is>
      </c>
      <c r="AE1721" s="2" t="inlineStr">
        <is>
          <t>24872</t>
        </is>
      </c>
      <c r="AF1721" s="2" t="inlineStr">
        <is>
          <t>https://www.parlamento.pt/OrcamentoEstado/Paginas/DetalhePropostaAlteracao.aspx?BID=24872</t>
        </is>
      </c>
      <c r="AG1721" s="2" t="inlineStr">
        <is>
          <t>https://app.parlamento.pt/webutils/docs/doc.pdf?path=6148523063484d364c793942556b356c6443397a6158526c63793959566b6c4a544556484c3039464c7a49774d6a59794d4449314d5441774f53395151533833597a6334595745324d7930794d6d5a6a4c54526d5a6d49744f4441304e6930794e6a49784e6a5a6b5a54426c595451756347526d&amp;Fich=7c78aa63-22fc-4ffb-8046-262166de0ea4.pdf&amp;Inline=true</t>
        </is>
      </c>
      <c r="AH1721" s="3" t="n">
        <v>46321.77847222222</v>
      </c>
      <c r="AI1721" s="3" t="n">
        <v>46321.78055555555</v>
      </c>
      <c r="AJ1721" s="2" t="inlineStr"/>
    </row>
    <row r="1722">
      <c r="A1722" s="2" t="n">
        <v>1721</v>
      </c>
      <c r="B1722" s="2" t="inlineStr">
        <is>
          <t>1625C</t>
        </is>
      </c>
      <c r="C1722" s="3" t="n">
        <v>45968.66041666667</v>
      </c>
      <c r="D1722" s="2" t="inlineStr">
        <is>
          <t>Original</t>
        </is>
      </c>
      <c r="E1722" s="2" t="inlineStr">
        <is>
          <t>PCP</t>
        </is>
      </c>
      <c r="F1722" s="2" t="inlineStr">
        <is>
          <t>Alfredo Maia; Paula Santos; Paulo Raimundo</t>
        </is>
      </c>
      <c r="G1722" s="2" t="inlineStr">
        <is>
          <t>Art. 135.º-A (aditamento)</t>
        </is>
      </c>
      <c r="H1722" s="2" t="n"/>
      <c r="I1722" s="2" t="n"/>
      <c r="J1722" s="2" t="n"/>
      <c r="K1722" s="2" t="n"/>
      <c r="L1722" s="2" t="inlineStr">
        <is>
          <t>Artigo 135.º-A (Atribuição de produtos de apoio)</t>
        </is>
      </c>
      <c r="M1722" s="4" t="n"/>
      <c r="N1722" s="4" t="n"/>
      <c r="O1722" s="2" t="n"/>
      <c r="P1722" s="2" t="n"/>
      <c r="Q1722" s="2" t="n"/>
      <c r="R1722" s="2" t="n"/>
      <c r="S1722" s="2" t="inlineStr">
        <is>
          <t>Rejeitado(a) em Comissão</t>
        </is>
      </c>
      <c r="T1722" s="2" t="inlineStr">
        <is>
          <t>Rejeitada</t>
        </is>
      </c>
      <c r="U1722" s="2" t="inlineStr">
        <is>
          <t>Favor: L, PCP, BE, PAN; Contra: PSD, CH, CDS-PP; Abstenção: PS, IL</t>
        </is>
      </c>
      <c r="V1722" s="3" t="n">
        <v>45987</v>
      </c>
      <c r="W1722" s="2" t="inlineStr">
        <is>
          <t>AR: https://www.parlamento.pt/OrcamentoEstado/Paginas/DetalhePropostaAlteracao.aspx?BID=24873 PDF: https://app.parlamento.pt/webutils/docs/doc.pdf?path=6148523063484d364c793942556b356c6443397a6158526c63793959566b6c4a544556484c3039464c7a49774d6a59794d4449314d5441774f5339515153396a4e6d45774f57466b4e43316b59325a6d4c54526d4d544174596d51354e5330334d6d4d35596d517a4d4467345a4451756347526d&amp;Fich=c6a09ad4-dcff-4f10-bd95-72c9bd3088d4.pdf&amp;Inline=true</t>
        </is>
      </c>
      <c r="X1722" s="2" t="inlineStr">
        <is>
          <t>Trabalho, Segurança Social e Inclusão</t>
        </is>
      </c>
      <c r="Y1722" s="2" t="inlineStr">
        <is>
          <t>Articulado</t>
        </is>
      </c>
      <c r="Z1722" s="2" t="inlineStr">
        <is>
          <t>Aditamento (Artigo PPL)</t>
        </is>
      </c>
      <c r="AA1722" s="2" t="inlineStr">
        <is>
          <t>Rejeitado(a) em Comissão</t>
        </is>
      </c>
      <c r="AB1722" s="2" t="inlineStr"/>
      <c r="AC1722" s="2" t="inlineStr"/>
      <c r="AD1722" s="2" t="inlineStr">
        <is>
          <t>1</t>
        </is>
      </c>
      <c r="AE1722" s="2" t="inlineStr">
        <is>
          <t>24873</t>
        </is>
      </c>
      <c r="AF1722" s="2" t="inlineStr">
        <is>
          <t>https://www.parlamento.pt/OrcamentoEstado/Paginas/DetalhePropostaAlteracao.aspx?BID=24873</t>
        </is>
      </c>
      <c r="AG1722" s="2" t="inlineStr">
        <is>
          <t>https://app.parlamento.pt/webutils/docs/doc.pdf?path=6148523063484d364c793942556b356c6443397a6158526c63793959566b6c4a544556484c3039464c7a49774d6a59794d4449314d5441774f5339515153396a4e6d45774f57466b4e43316b59325a6d4c54526d4d544174596d51354e5330334d6d4d35596d517a4d4467345a4451756347526d&amp;Fich=c6a09ad4-dcff-4f10-bd95-72c9bd3088d4.pdf&amp;Inline=true</t>
        </is>
      </c>
      <c r="AH1722" s="3" t="n">
        <v>46321.77847222222</v>
      </c>
      <c r="AI1722" s="3" t="n">
        <v>46321.78055555555</v>
      </c>
      <c r="AJ1722" s="2" t="inlineStr"/>
    </row>
    <row r="1723">
      <c r="A1723" s="2" t="n">
        <v>1722</v>
      </c>
      <c r="B1723" s="2" t="inlineStr">
        <is>
          <t>1626C</t>
        </is>
      </c>
      <c r="C1723" s="3" t="n">
        <v>45968.66111111111</v>
      </c>
      <c r="D1723" s="2" t="inlineStr">
        <is>
          <t>Original</t>
        </is>
      </c>
      <c r="E1723" s="2" t="inlineStr">
        <is>
          <t>PSD</t>
        </is>
      </c>
      <c r="F1723" s="2" t="inlineStr">
        <is>
          <t>Paulo Neves; Pedro Coelho; Vânia Jesus</t>
        </is>
      </c>
      <c r="G1723" s="2" t="inlineStr">
        <is>
          <t>Art. 110.º-A (aditamento)</t>
        </is>
      </c>
      <c r="H1723" s="2" t="n"/>
      <c r="I1723" s="2" t="n"/>
      <c r="J1723" s="2" t="n"/>
      <c r="K1723" s="2" t="n"/>
      <c r="L1723" s="2" t="inlineStr">
        <is>
          <t>Artigo 110.º-A (Cabo Submarino entre as ilhas da Madeira e do Porto Santo)</t>
        </is>
      </c>
      <c r="M1723" s="4" t="n"/>
      <c r="N1723" s="4" t="n"/>
      <c r="O1723" s="2" t="n"/>
      <c r="P1723" s="2" t="n"/>
      <c r="Q1723" s="2" t="n"/>
      <c r="R1723" s="2" t="n"/>
      <c r="S1723" s="2" t="inlineStr">
        <is>
          <t>Aprovado(a) por Unanimidade em Comissão</t>
        </is>
      </c>
      <c r="T1723" s="2" t="inlineStr">
        <is>
          <t>Aprovada</t>
        </is>
      </c>
      <c r="U1723" s="2" t="inlineStr">
        <is>
          <t>Favor: PSD, CH, PS, IL, L, PCP, CDS-PP, BE, PAN</t>
        </is>
      </c>
      <c r="V1723" s="3" t="n">
        <v>45982</v>
      </c>
      <c r="W1723" s="2" t="inlineStr">
        <is>
          <t>AR: https://www.parlamento.pt/OrcamentoEstado/Paginas/DetalhePropostaAlteracao.aspx?BID=24874 PDF: https://app.parlamento.pt/webutils/docs/doc.pdf?path=6148523063484d364c793942556b356c6443397a6158526c63793959566b6c4a544556484c3039464c7a49774d6a59794d4449314d5441774f533951515338324e474d304e7a4e6b5a69316b596a59334c545134597a5174595463354d53307a4d4752695a544e6b4e6a55324d5445756347526d&amp;Fich=64c473df-db67-48c4-a791-30dbe3d65611.pdf&amp;Inline=true</t>
        </is>
      </c>
      <c r="X1723" s="2" t="inlineStr">
        <is>
          <t>Orçamento, Finanças e Administração Pública</t>
        </is>
      </c>
      <c r="Y1723" s="2" t="inlineStr">
        <is>
          <t>Articulado</t>
        </is>
      </c>
      <c r="Z1723" s="2" t="inlineStr">
        <is>
          <t>Aditamento (Artigo PPL)</t>
        </is>
      </c>
      <c r="AA1723" s="2" t="inlineStr">
        <is>
          <t>Aprovado(a) por Unanimidade em Comissão</t>
        </is>
      </c>
      <c r="AB1723" s="2" t="inlineStr"/>
      <c r="AC1723" s="2" t="inlineStr"/>
      <c r="AD1723" s="2" t="inlineStr">
        <is>
          <t>1</t>
        </is>
      </c>
      <c r="AE1723" s="2" t="inlineStr">
        <is>
          <t>24874</t>
        </is>
      </c>
      <c r="AF1723" s="2" t="inlineStr">
        <is>
          <t>https://www.parlamento.pt/OrcamentoEstado/Paginas/DetalhePropostaAlteracao.aspx?BID=24874</t>
        </is>
      </c>
      <c r="AG1723" s="2" t="inlineStr">
        <is>
          <t>https://app.parlamento.pt/webutils/docs/doc.pdf?path=6148523063484d364c793942556b356c6443397a6158526c63793959566b6c4a544556484c3039464c7a49774d6a59794d4449314d5441774f533951515338324e474d304e7a4e6b5a69316b596a59334c545134597a5174595463354d53307a4d4752695a544e6b4e6a55324d5445756347526d&amp;Fich=64c473df-db67-48c4-a791-30dbe3d65611.pdf&amp;Inline=true</t>
        </is>
      </c>
      <c r="AH1723" s="3" t="n">
        <v>46321.77847222222</v>
      </c>
      <c r="AI1723" s="3" t="n">
        <v>46321.78055555555</v>
      </c>
      <c r="AJ1723" s="2" t="inlineStr"/>
    </row>
    <row r="1724">
      <c r="A1724" s="2" t="n">
        <v>1723</v>
      </c>
      <c r="B1724" s="2" t="inlineStr">
        <is>
          <t>1627C</t>
        </is>
      </c>
      <c r="C1724" s="3" t="n">
        <v>45968.66111111111</v>
      </c>
      <c r="D1724" s="2" t="inlineStr">
        <is>
          <t>Original</t>
        </is>
      </c>
      <c r="E1724" s="2" t="inlineStr">
        <is>
          <t>PCP</t>
        </is>
      </c>
      <c r="F1724" s="2" t="inlineStr">
        <is>
          <t>Alfredo Maia; Paula Santos; Paulo Raimundo</t>
        </is>
      </c>
      <c r="G1724" s="2" t="inlineStr">
        <is>
          <t>Art. 136.º-A (aditamento)</t>
        </is>
      </c>
      <c r="H1724" s="2" t="n"/>
      <c r="I1724" s="2" t="n"/>
      <c r="J1724" s="2" t="n"/>
      <c r="K1724" s="2" t="n"/>
      <c r="L1724" s="2" t="inlineStr">
        <is>
          <t>Artigo 136.º-A (Regime de antecipação da idade de pensão de velhice por deficiência)</t>
        </is>
      </c>
      <c r="M1724" s="4" t="n"/>
      <c r="N1724" s="4" t="n"/>
      <c r="O1724" s="2" t="n"/>
      <c r="P1724" s="2" t="n"/>
      <c r="Q1724" s="2" t="n"/>
      <c r="R1724" s="2" t="n"/>
      <c r="S1724" s="2" t="inlineStr">
        <is>
          <t>Rejeitado(a) em Comissão</t>
        </is>
      </c>
      <c r="T1724" s="2" t="inlineStr">
        <is>
          <t>Rejeitada</t>
        </is>
      </c>
      <c r="U1724" s="2" t="inlineStr">
        <is>
          <t>Favor: CH, L, PCP, BE, PAN; Contra: PSD, IL, CDS-PP; Abstenção: PS</t>
        </is>
      </c>
      <c r="V1724" s="3" t="n">
        <v>45987</v>
      </c>
      <c r="W1724" s="2" t="inlineStr">
        <is>
          <t>AR: https://www.parlamento.pt/OrcamentoEstado/Paginas/DetalhePropostaAlteracao.aspx?BID=24875 PDF: https://app.parlamento.pt/webutils/docs/doc.pdf?path=6148523063484d364c793942556b356c6443397a6158526c63793959566b6c4a544556484c3039464c7a49774d6a59794d4449314d5441774f53395151533831597a646d4f5746695a4330774e5745324c5451774e545574596a5135596930774e4749344e44426b5a54426b4f4467756347526d&amp;Fich=5c7f9abd-05a6-4055-b49b-04b840de0d88.pdf&amp;Inline=true</t>
        </is>
      </c>
      <c r="X1724" s="2" t="inlineStr">
        <is>
          <t>Trabalho, Segurança Social e Inclusão</t>
        </is>
      </c>
      <c r="Y1724" s="2" t="inlineStr">
        <is>
          <t>Articulado</t>
        </is>
      </c>
      <c r="Z1724" s="2" t="inlineStr">
        <is>
          <t>Aditamento (Artigo PPL)</t>
        </is>
      </c>
      <c r="AA1724" s="2" t="inlineStr">
        <is>
          <t>Rejeitado(a) em Comissão</t>
        </is>
      </c>
      <c r="AB1724" s="2" t="inlineStr"/>
      <c r="AC1724" s="2" t="inlineStr"/>
      <c r="AD1724" s="2" t="inlineStr">
        <is>
          <t>1</t>
        </is>
      </c>
      <c r="AE1724" s="2" t="inlineStr">
        <is>
          <t>24875</t>
        </is>
      </c>
      <c r="AF1724" s="2" t="inlineStr">
        <is>
          <t>https://www.parlamento.pt/OrcamentoEstado/Paginas/DetalhePropostaAlteracao.aspx?BID=24875</t>
        </is>
      </c>
      <c r="AG1724" s="2" t="inlineStr">
        <is>
          <t>https://app.parlamento.pt/webutils/docs/doc.pdf?path=6148523063484d364c793942556b356c6443397a6158526c63793959566b6c4a544556484c3039464c7a49774d6a59794d4449314d5441774f53395151533831597a646d4f5746695a4330774e5745324c5451774e545574596a5135596930774e4749344e44426b5a54426b4f4467756347526d&amp;Fich=5c7f9abd-05a6-4055-b49b-04b840de0d88.pdf&amp;Inline=true</t>
        </is>
      </c>
      <c r="AH1724" s="3" t="n">
        <v>46321.77847222222</v>
      </c>
      <c r="AI1724" s="3" t="n">
        <v>46321.78055555555</v>
      </c>
      <c r="AJ1724" s="2" t="inlineStr"/>
    </row>
    <row r="1725">
      <c r="A1725" s="2" t="n">
        <v>1724</v>
      </c>
      <c r="B1725" s="2" t="inlineStr">
        <is>
          <t>1628C</t>
        </is>
      </c>
      <c r="C1725" s="3" t="n">
        <v>45968.66111111111</v>
      </c>
      <c r="D1725" s="2" t="inlineStr">
        <is>
          <t>Original</t>
        </is>
      </c>
      <c r="E1725" s="2" t="inlineStr">
        <is>
          <t>L</t>
        </is>
      </c>
      <c r="F1725" s="2" t="inlineStr">
        <is>
          <t>Filipa Pinto; Isabel Mendes Lopes; Jorge Pinto; Patrícia Gonçalves; Paulo Muacho; Rui Tavares</t>
        </is>
      </c>
      <c r="G1725" s="2" t="inlineStr">
        <is>
          <t>Art. 136.º-A (aditamento)</t>
        </is>
      </c>
      <c r="H1725" s="2" t="n"/>
      <c r="I1725" s="2" t="n"/>
      <c r="J1725" s="2" t="n"/>
      <c r="K1725" s="2" t="n"/>
      <c r="L1725" s="2" t="inlineStr">
        <is>
          <t>Artigo 136.º-A (Programa de Mentoria e Integração Escolar de Alunos Migrantes)</t>
        </is>
      </c>
      <c r="M1725" s="4" t="n"/>
      <c r="N1725" s="4" t="n"/>
      <c r="O1725" s="2" t="n"/>
      <c r="P1725" s="2" t="n"/>
      <c r="Q1725" s="2" t="n"/>
      <c r="R1725" s="2" t="n"/>
      <c r="S1725" s="2" t="inlineStr">
        <is>
          <t>Rejeitado(a) em Comissão</t>
        </is>
      </c>
      <c r="T1725" s="2" t="inlineStr">
        <is>
          <t>Rejeitada</t>
        </is>
      </c>
      <c r="U1725" s="2" t="inlineStr">
        <is>
          <t>Favor: IL, L, PCP, BE, PAN; Contra: PSD, CH, CDS-PP; Abstenção: PS</t>
        </is>
      </c>
      <c r="V1725" s="3" t="n">
        <v>45987</v>
      </c>
      <c r="W1725" s="2" t="inlineStr">
        <is>
          <t>AR: https://www.parlamento.pt/OrcamentoEstado/Paginas/DetalhePropostaAlteracao.aspx?BID=24876 PDF: https://app.parlamento.pt/webutils/docs/doc.pdf?path=6148523063484d364c793942556b356c6443397a6158526c63793959566b6c4a544556484c3039464c7a49774d6a59794d4449314d5441774f533951515338314f5745344e4451354d69316c4e446b774c54526c4d474974596a4a694f433034593249334d5455324e7a637a4e6a4d756347526d&amp;Fich=59a84492-e490-4e0b-b2b8-8cb715677363.pdf&amp;Inline=true</t>
        </is>
      </c>
      <c r="X1725" s="2" t="inlineStr">
        <is>
          <t>Assuntos Constitucionais, Direitos, Liberdades e Garantias</t>
        </is>
      </c>
      <c r="Y1725" s="2" t="inlineStr">
        <is>
          <t>Articulado</t>
        </is>
      </c>
      <c r="Z1725" s="2" t="inlineStr">
        <is>
          <t>Aditamento (Artigo PPL)</t>
        </is>
      </c>
      <c r="AA1725" s="2" t="inlineStr">
        <is>
          <t>Rejeitado(a) em Comissão</t>
        </is>
      </c>
      <c r="AB1725" s="2" t="inlineStr"/>
      <c r="AC1725" s="2" t="inlineStr"/>
      <c r="AD1725" s="2" t="inlineStr">
        <is>
          <t>1</t>
        </is>
      </c>
      <c r="AE1725" s="2" t="inlineStr">
        <is>
          <t>24876</t>
        </is>
      </c>
      <c r="AF1725" s="2" t="inlineStr">
        <is>
          <t>https://www.parlamento.pt/OrcamentoEstado/Paginas/DetalhePropostaAlteracao.aspx?BID=24876</t>
        </is>
      </c>
      <c r="AG1725" s="2" t="inlineStr">
        <is>
          <t>https://app.parlamento.pt/webutils/docs/doc.pdf?path=6148523063484d364c793942556b356c6443397a6158526c63793959566b6c4a544556484c3039464c7a49774d6a59794d4449314d5441774f533951515338314f5745344e4451354d69316c4e446b774c54526c4d474974596a4a694f433034593249334d5455324e7a637a4e6a4d756347526d&amp;Fich=59a84492-e490-4e0b-b2b8-8cb715677363.pdf&amp;Inline=true</t>
        </is>
      </c>
      <c r="AH1725" s="3" t="n">
        <v>46321.77847222222</v>
      </c>
      <c r="AI1725" s="3" t="n">
        <v>46321.78055555555</v>
      </c>
      <c r="AJ1725" s="2" t="inlineStr"/>
    </row>
    <row r="1726">
      <c r="A1726" s="2" t="n">
        <v>1725</v>
      </c>
      <c r="B1726" s="2" t="inlineStr">
        <is>
          <t>1629C</t>
        </is>
      </c>
      <c r="C1726" s="3" t="n">
        <v>45968.66111111111</v>
      </c>
      <c r="D1726" s="2" t="inlineStr">
        <is>
          <t>Original</t>
        </is>
      </c>
      <c r="E1726" s="2" t="inlineStr">
        <is>
          <t>PS</t>
        </is>
      </c>
      <c r="F1726" s="2" t="inlineStr">
        <is>
          <t>António Mendonça Mendes; Eurico Brilhante Dias; Frederico Francisco; José Luís Carneiro; Luís Moreira Testa; Marina Gonçalves; Miguel Matos</t>
        </is>
      </c>
      <c r="G1726" s="2" t="inlineStr">
        <is>
          <t>Art. 6.º-A (aditamento)</t>
        </is>
      </c>
      <c r="H1726" s="2" t="n"/>
      <c r="I1726" s="2" t="n"/>
      <c r="J1726" s="2" t="n"/>
      <c r="K1726" s="2" t="n"/>
      <c r="L1726" s="2" t="inlineStr">
        <is>
          <t>Artigo 6.º-A (Garantia de não alienação do património do Estado com aptidão para uso habitacional)</t>
        </is>
      </c>
      <c r="M1726" s="4" t="n"/>
      <c r="N1726" s="4" t="n"/>
      <c r="O1726" s="2" t="n"/>
      <c r="P1726" s="2" t="n"/>
      <c r="Q1726" s="2" t="n"/>
      <c r="R1726" s="2" t="n"/>
      <c r="S1726" s="2" t="inlineStr">
        <is>
          <t>Rejeitado(a) em Comissão</t>
        </is>
      </c>
      <c r="T1726" s="2" t="inlineStr">
        <is>
          <t>Rejeitada</t>
        </is>
      </c>
      <c r="U1726" s="2" t="inlineStr">
        <is>
          <t>Favor: PS, L, PCP, PAN; Contra: PSD, CH, IL, CDS-PP</t>
        </is>
      </c>
      <c r="V1726" s="3" t="n">
        <v>45981</v>
      </c>
      <c r="W1726" s="2" t="inlineStr">
        <is>
          <t>AR: https://www.parlamento.pt/OrcamentoEstado/Paginas/DetalhePropostaAlteracao.aspx?BID=24877 PDF: https://app.parlamento.pt/webutils/docs/doc.pdf?path=6148523063484d364c793942556b356c6443397a6158526c63793959566b6c4a544556484c3039464c7a49774d6a59794d4449314d5441774f533951515338345a4749774d325a6859793034597a686b4c5451354f5451744f475a694d79316d596d52684e574d7a59574e695a6d45756347526d&amp;Fich=8db03fac-8c8d-4994-8fb3-fbda5c3acbfa.pdf&amp;Inline=true</t>
        </is>
      </c>
      <c r="X1726" s="2" t="inlineStr">
        <is>
          <t>Infraestruturas, Mobilidade e Habitação; Orçamento, Finanças e Administração Pública</t>
        </is>
      </c>
      <c r="Y1726" s="2" t="inlineStr">
        <is>
          <t>Articulado</t>
        </is>
      </c>
      <c r="Z1726" s="2" t="inlineStr">
        <is>
          <t>Aditamento (Artigo PPL)</t>
        </is>
      </c>
      <c r="AA1726" s="2" t="inlineStr">
        <is>
          <t>Rejeitado(a) em Comissão</t>
        </is>
      </c>
      <c r="AB1726" s="2" t="inlineStr"/>
      <c r="AC1726" s="2" t="inlineStr"/>
      <c r="AD1726" s="2" t="inlineStr">
        <is>
          <t>1</t>
        </is>
      </c>
      <c r="AE1726" s="2" t="inlineStr">
        <is>
          <t>24877</t>
        </is>
      </c>
      <c r="AF1726" s="2" t="inlineStr">
        <is>
          <t>https://www.parlamento.pt/OrcamentoEstado/Paginas/DetalhePropostaAlteracao.aspx?BID=24877</t>
        </is>
      </c>
      <c r="AG1726" s="2" t="inlineStr">
        <is>
          <t>https://app.parlamento.pt/webutils/docs/doc.pdf?path=6148523063484d364c793942556b356c6443397a6158526c63793959566b6c4a544556484c3039464c7a49774d6a59794d4449314d5441774f533951515338345a4749774d325a6859793034597a686b4c5451354f5451744f475a694d79316d596d52684e574d7a59574e695a6d45756347526d&amp;Fich=8db03fac-8c8d-4994-8fb3-fbda5c3acbfa.pdf&amp;Inline=true</t>
        </is>
      </c>
      <c r="AH1726" s="3" t="n">
        <v>46321.77847222222</v>
      </c>
      <c r="AI1726" s="3" t="n">
        <v>46321.78055555555</v>
      </c>
      <c r="AJ1726" s="2" t="inlineStr"/>
    </row>
    <row r="1727">
      <c r="A1727" s="2" t="n">
        <v>1726</v>
      </c>
      <c r="B1727" s="2" t="inlineStr">
        <is>
          <t>1630C</t>
        </is>
      </c>
      <c r="C1727" s="3" t="n">
        <v>45968.66180555556</v>
      </c>
      <c r="D1727" s="2" t="inlineStr">
        <is>
          <t>Original</t>
        </is>
      </c>
      <c r="E1727" s="2" t="inlineStr">
        <is>
          <t>IL</t>
        </is>
      </c>
      <c r="F1727" s="2" t="inlineStr">
        <is>
          <t>Angélique Da Teresa; Carlos Guimarães Pinto; Joana Cordeiro; Jorge Miguel Teixeira; Mariana Leitão; Mário Amorim Lopes; Miguel Rangel; Rodrigo Saraiva; Rui Rocha</t>
        </is>
      </c>
      <c r="G1727" s="2" t="inlineStr">
        <is>
          <t>Art. 119.º-A (aditamento)</t>
        </is>
      </c>
      <c r="H1727" s="2" t="n"/>
      <c r="I1727" s="2" t="n"/>
      <c r="J1727" s="2" t="n"/>
      <c r="K1727" s="2" t="n"/>
      <c r="L1727" s="2" t="inlineStr">
        <is>
          <t>Artigo 119.º-A (Atualização de valores da Rede Nacional de Cuidados Continuados Integrados e da Rede Nacional de Cuidados Paliativos)</t>
        </is>
      </c>
      <c r="M1727" s="4" t="n"/>
      <c r="N1727" s="4" t="n"/>
      <c r="O1727" s="2" t="n"/>
      <c r="P1727" s="2" t="n"/>
      <c r="Q1727" s="2" t="n"/>
      <c r="R1727" s="2" t="n"/>
      <c r="S1727" s="2" t="inlineStr">
        <is>
          <t>Rejeitado(a) em Comissão</t>
        </is>
      </c>
      <c r="T1727" s="2" t="inlineStr">
        <is>
          <t>Rejeitada</t>
        </is>
      </c>
      <c r="U1727" s="2" t="inlineStr">
        <is>
          <t>Favor: IL, PAN; Contra: PSD; Abstenção: CH, PS, L, PCP, CDS-PP, BE</t>
        </is>
      </c>
      <c r="V1727" s="3" t="n">
        <v>45985</v>
      </c>
      <c r="W1727" s="2" t="inlineStr">
        <is>
          <t>AR: https://www.parlamento.pt/OrcamentoEstado/Paginas/DetalhePropostaAlteracao.aspx?BID=24878 PDF: https://app.parlamento.pt/webutils/docs/doc.pdf?path=6148523063484d364c793942556b356c6443397a6158526c63793959566b6c4a544556484c3039464c7a49774d6a59794d4449314d5441774f533951515338774e5442684d445533595330324f4449324c54526a5a6d517459544a684d79303359546b78596a426d5a546c6b5a6a51756347526d&amp;Fich=050a057a-6826-4cfd-a2a3-7a91b0fe9df4.pdf&amp;Inline=true</t>
        </is>
      </c>
      <c r="X1727" s="2" t="inlineStr">
        <is>
          <t>Saúde; Trabalho, Segurança Social e Inclusão</t>
        </is>
      </c>
      <c r="Y1727" s="2" t="inlineStr">
        <is>
          <t>Articulado</t>
        </is>
      </c>
      <c r="Z1727" s="2" t="inlineStr">
        <is>
          <t>Aditamento (Artigo PPL)</t>
        </is>
      </c>
      <c r="AA1727" s="2" t="inlineStr">
        <is>
          <t>Rejeitado(a) em Comissão</t>
        </is>
      </c>
      <c r="AB1727" s="2" t="inlineStr"/>
      <c r="AC1727" s="2" t="inlineStr"/>
      <c r="AD1727" s="2" t="inlineStr">
        <is>
          <t>1</t>
        </is>
      </c>
      <c r="AE1727" s="2" t="inlineStr">
        <is>
          <t>24878</t>
        </is>
      </c>
      <c r="AF1727" s="2" t="inlineStr">
        <is>
          <t>https://www.parlamento.pt/OrcamentoEstado/Paginas/DetalhePropostaAlteracao.aspx?BID=24878</t>
        </is>
      </c>
      <c r="AG1727" s="2" t="inlineStr">
        <is>
          <t>https://app.parlamento.pt/webutils/docs/doc.pdf?path=6148523063484d364c793942556b356c6443397a6158526c63793959566b6c4a544556484c3039464c7a49774d6a59794d4449314d5441774f533951515338774e5442684d445533595330324f4449324c54526a5a6d517459544a684d79303359546b78596a426d5a546c6b5a6a51756347526d&amp;Fich=050a057a-6826-4cfd-a2a3-7a91b0fe9df4.pdf&amp;Inline=true</t>
        </is>
      </c>
      <c r="AH1727" s="3" t="n">
        <v>46321.77847222222</v>
      </c>
      <c r="AI1727" s="3" t="n">
        <v>46321.78055555555</v>
      </c>
      <c r="AJ1727" s="2" t="inlineStr"/>
    </row>
    <row r="1728">
      <c r="A1728" s="2" t="n">
        <v>1727</v>
      </c>
      <c r="B1728" s="2" t="inlineStr">
        <is>
          <t>1631C</t>
        </is>
      </c>
      <c r="C1728" s="3" t="n">
        <v>45968.6625</v>
      </c>
      <c r="D1728" s="2" t="inlineStr">
        <is>
          <t>Original</t>
        </is>
      </c>
      <c r="E1728" s="2" t="inlineStr">
        <is>
          <t>L</t>
        </is>
      </c>
      <c r="F1728" s="2" t="inlineStr">
        <is>
          <t>Filipa Pinto; Isabel Mendes Lopes; Jorge Pinto; Patrícia Gonçalves; Paulo Muacho; Rui Tavares</t>
        </is>
      </c>
      <c r="G1728" s="2" t="inlineStr">
        <is>
          <t>Art. 126.º-A (aditamento)</t>
        </is>
      </c>
      <c r="H1728" s="2" t="n"/>
      <c r="I1728" s="2" t="n"/>
      <c r="J1728" s="2" t="n"/>
      <c r="K1728" s="2" t="n"/>
      <c r="L1728" s="2" t="inlineStr">
        <is>
          <t>Artigo 126.º-A (Aumento do apoio ao funcionamento das equipas de sapadores florestais)</t>
        </is>
      </c>
      <c r="M1728" s="4" t="n"/>
      <c r="N1728" s="4" t="n"/>
      <c r="O1728" s="2" t="n"/>
      <c r="P1728" s="2" t="n"/>
      <c r="Q1728" s="2" t="n"/>
      <c r="R1728" s="2" t="n"/>
      <c r="S1728" s="2" t="inlineStr">
        <is>
          <t>Rejeitado(a) em Comissão</t>
        </is>
      </c>
      <c r="T1728" s="2" t="inlineStr">
        <is>
          <t>Rejeitada</t>
        </is>
      </c>
      <c r="U1728" s="2" t="inlineStr">
        <is>
          <t>Favor: CH, L, PCP, BE, PAN; Contra: PSD, CDS-PP; Abstenção: PS, IL</t>
        </is>
      </c>
      <c r="V1728" s="3" t="n">
        <v>45985</v>
      </c>
      <c r="W1728" s="2" t="inlineStr">
        <is>
          <t>AR: https://www.parlamento.pt/OrcamentoEstado/Paginas/DetalhePropostaAlteracao.aspx?BID=24879 PDF: https://app.parlamento.pt/webutils/docs/doc.pdf?path=6148523063484d364c793942556b356c6443397a6158526c63793959566b6c4a544556484c3039464c7a49774d6a59794d4449314d5441774f533951515338774e7a4a69596a6868597930775a6d49794c5451354e6a67744f574d785a6930785a4755314f47466c4e47566b4f5745756347526d&amp;Fich=072bb8ac-0fb2-4968-9c1f-1de58ae4ed9a.pdf&amp;Inline=true</t>
        </is>
      </c>
      <c r="X1728" s="2" t="inlineStr">
        <is>
          <t>Ambiente e Energia; Trabalho, Segurança Social e Inclusão</t>
        </is>
      </c>
      <c r="Y1728" s="2" t="inlineStr">
        <is>
          <t>Articulado</t>
        </is>
      </c>
      <c r="Z1728" s="2" t="inlineStr">
        <is>
          <t>Aditamento (Artigo PPL)</t>
        </is>
      </c>
      <c r="AA1728" s="2" t="inlineStr">
        <is>
          <t>Rejeitado(a) em Comissão</t>
        </is>
      </c>
      <c r="AB1728" s="2" t="inlineStr"/>
      <c r="AC1728" s="2" t="inlineStr"/>
      <c r="AD1728" s="2" t="inlineStr">
        <is>
          <t>1</t>
        </is>
      </c>
      <c r="AE1728" s="2" t="inlineStr">
        <is>
          <t>24879</t>
        </is>
      </c>
      <c r="AF1728" s="2" t="inlineStr">
        <is>
          <t>https://www.parlamento.pt/OrcamentoEstado/Paginas/DetalhePropostaAlteracao.aspx?BID=24879</t>
        </is>
      </c>
      <c r="AG1728" s="2" t="inlineStr">
        <is>
          <t>https://app.parlamento.pt/webutils/docs/doc.pdf?path=6148523063484d364c793942556b356c6443397a6158526c63793959566b6c4a544556484c3039464c7a49774d6a59794d4449314d5441774f533951515338774e7a4a69596a6868597930775a6d49794c5451354e6a67744f574d785a6930785a4755314f47466c4e47566b4f5745756347526d&amp;Fich=072bb8ac-0fb2-4968-9c1f-1de58ae4ed9a.pdf&amp;Inline=true</t>
        </is>
      </c>
      <c r="AH1728" s="3" t="n">
        <v>46321.77847222222</v>
      </c>
      <c r="AI1728" s="3" t="n">
        <v>46321.78055555555</v>
      </c>
      <c r="AJ1728" s="2" t="inlineStr"/>
    </row>
    <row r="1729">
      <c r="A1729" s="2" t="n">
        <v>1728</v>
      </c>
      <c r="B1729" s="2" t="inlineStr">
        <is>
          <t>1632C</t>
        </is>
      </c>
      <c r="C1729" s="3" t="n">
        <v>45968.6625</v>
      </c>
      <c r="D1729" s="2" t="inlineStr">
        <is>
          <t>Original</t>
        </is>
      </c>
      <c r="E1729" s="2" t="inlineStr">
        <is>
          <t>PS</t>
        </is>
      </c>
      <c r="F1729" s="2" t="inlineStr">
        <is>
          <t>António Mendonça Mendes; Eurico Brilhante Dias; Frederico Francisco; José Luís Carneiro; Luís Moreira Testa; Marina Gonçalves; Miguel Matos</t>
        </is>
      </c>
      <c r="G1729" s="2" t="inlineStr">
        <is>
          <t>Art. 6.º-A (aditamento)</t>
        </is>
      </c>
      <c r="H1729" s="2" t="n"/>
      <c r="I1729" s="2" t="n"/>
      <c r="J1729" s="2" t="n"/>
      <c r="K1729" s="2" t="n"/>
      <c r="L1729" s="2" t="inlineStr">
        <is>
          <t>Artigo 6.º-A (Afetação do antigo edifício da Presidência do Conselho de Ministros a Habitação a preços acessíveis)</t>
        </is>
      </c>
      <c r="M1729" s="4" t="n"/>
      <c r="N1729" s="4" t="n"/>
      <c r="O1729" s="2" t="n"/>
      <c r="P1729" s="2" t="n"/>
      <c r="Q1729" s="2" t="n"/>
      <c r="R1729" s="2" t="n"/>
      <c r="S1729" s="2" t="inlineStr">
        <is>
          <t>Rejeitado(a) em Comissão</t>
        </is>
      </c>
      <c r="T1729" s="2" t="inlineStr">
        <is>
          <t>Rejeitada</t>
        </is>
      </c>
      <c r="U1729" s="2" t="inlineStr">
        <is>
          <t>Favor: PS, L, PCP, BE, PAN; Contra: PSD, CDS-PP; Abstenção: CH, IL</t>
        </is>
      </c>
      <c r="V1729" s="3" t="n">
        <v>45981</v>
      </c>
      <c r="W1729" s="2" t="inlineStr">
        <is>
          <t>AR: https://www.parlamento.pt/OrcamentoEstado/Paginas/DetalhePropostaAlteracao.aspx?BID=24880 PDF: https://app.parlamento.pt/webutils/docs/doc.pdf?path=6148523063484d364c793942556b356c6443397a6158526c63793959566b6c4a544556484c3039464c7a49774d6a59794d4449314d5441774f533951515339694d4746684f47526a4d4330355a544d794c5451774e7a4974595449355953316a4e5755325a4456684d3255334d5459756347526d&amp;Fich=b0aa8dc0-9e32-4072-a29a-c5e6d5a3e716.pdf&amp;Inline=true</t>
        </is>
      </c>
      <c r="X1729" s="2" t="inlineStr">
        <is>
          <t>Infraestruturas, Mobilidade e Habitação; Orçamento, Finanças e Administração Pública</t>
        </is>
      </c>
      <c r="Y1729" s="2" t="inlineStr">
        <is>
          <t>Articulado</t>
        </is>
      </c>
      <c r="Z1729" s="2" t="inlineStr">
        <is>
          <t>Aditamento (Artigo PPL)</t>
        </is>
      </c>
      <c r="AA1729" s="2" t="inlineStr">
        <is>
          <t>Rejeitado(a) em Comissão</t>
        </is>
      </c>
      <c r="AB1729" s="2" t="inlineStr"/>
      <c r="AC1729" s="2" t="inlineStr"/>
      <c r="AD1729" s="2" t="inlineStr">
        <is>
          <t>1</t>
        </is>
      </c>
      <c r="AE1729" s="2" t="inlineStr">
        <is>
          <t>24880</t>
        </is>
      </c>
      <c r="AF1729" s="2" t="inlineStr">
        <is>
          <t>https://www.parlamento.pt/OrcamentoEstado/Paginas/DetalhePropostaAlteracao.aspx?BID=24880</t>
        </is>
      </c>
      <c r="AG1729" s="2" t="inlineStr">
        <is>
          <t>https://app.parlamento.pt/webutils/docs/doc.pdf?path=6148523063484d364c793942556b356c6443397a6158526c63793959566b6c4a544556484c3039464c7a49774d6a59794d4449314d5441774f533951515339694d4746684f47526a4d4330355a544d794c5451774e7a4974595449355953316a4e5755325a4456684d3255334d5459756347526d&amp;Fich=b0aa8dc0-9e32-4072-a29a-c5e6d5a3e716.pdf&amp;Inline=true</t>
        </is>
      </c>
      <c r="AH1729" s="3" t="n">
        <v>46321.77847222222</v>
      </c>
      <c r="AI1729" s="3" t="n">
        <v>46321.78055555555</v>
      </c>
      <c r="AJ1729" s="2" t="inlineStr"/>
    </row>
    <row r="1730">
      <c r="A1730" s="2" t="n">
        <v>1729</v>
      </c>
      <c r="B1730" s="2" t="inlineStr">
        <is>
          <t>1633C</t>
        </is>
      </c>
      <c r="C1730" s="3" t="n">
        <v>45968.6625</v>
      </c>
      <c r="D1730" s="2" t="inlineStr">
        <is>
          <t>Original</t>
        </is>
      </c>
      <c r="E1730" s="2" t="inlineStr">
        <is>
          <t>PAN</t>
        </is>
      </c>
      <c r="F1730" s="2" t="inlineStr">
        <is>
          <t>Inês de Sousa Real</t>
        </is>
      </c>
      <c r="G1730" s="2" t="inlineStr">
        <is>
          <t>Art. 127.º-A (aditamento)</t>
        </is>
      </c>
      <c r="H1730" s="2" t="n"/>
      <c r="I1730" s="2" t="n"/>
      <c r="J1730" s="2" t="n"/>
      <c r="K1730" s="2" t="n"/>
      <c r="L1730" s="2" t="inlineStr">
        <is>
          <t>Artigo 127.º-A (Plano de ação "Beata Circular")</t>
        </is>
      </c>
      <c r="M1730" s="4" t="n"/>
      <c r="N1730" s="4" t="n"/>
      <c r="O1730" s="2" t="n"/>
      <c r="P1730" s="2" t="n"/>
      <c r="Q1730" s="2" t="n"/>
      <c r="R1730" s="2" t="n"/>
      <c r="S1730" s="2" t="inlineStr">
        <is>
          <t>Rejeitado(a) em Comissão</t>
        </is>
      </c>
      <c r="T1730" s="2" t="inlineStr">
        <is>
          <t>Rejeitada</t>
        </is>
      </c>
      <c r="U1730" s="2" t="inlineStr">
        <is>
          <t>Favor: L, BE, PAN; Contra: PSD, CH, PS, IL, CDS-PP; Abstenção: PCP</t>
        </is>
      </c>
      <c r="V1730" s="3" t="n">
        <v>45985</v>
      </c>
      <c r="W1730" s="2" t="inlineStr">
        <is>
          <t>AR: https://www.parlamento.pt/OrcamentoEstado/Paginas/DetalhePropostaAlteracao.aspx?BID=24881 PDF: https://app.parlamento.pt/webutils/docs/doc.pdf?path=6148523063484d364c793942556b356c6443397a6158526c63793959566b6c4a544556484c3039464c7a49774d6a59794d4449314d5441774f533951515338334d6a4a6b4d7a526c4d53307a5a4463794c5451315a575174595752694d69316d4e3251334e6d49325a545532596a59756347526d&amp;Fich=722d34e1-3d72-45ed-adb2-f7d76b6e56b6.pdf&amp;Inline=true</t>
        </is>
      </c>
      <c r="X1730" s="2" t="inlineStr">
        <is>
          <t>Ambiente e Energia</t>
        </is>
      </c>
      <c r="Y1730" s="2" t="inlineStr">
        <is>
          <t>Articulado</t>
        </is>
      </c>
      <c r="Z1730" s="2" t="inlineStr">
        <is>
          <t>Aditamento (Artigo PPL)</t>
        </is>
      </c>
      <c r="AA1730" s="2" t="inlineStr">
        <is>
          <t>Rejeitado(a) em Comissão</t>
        </is>
      </c>
      <c r="AB1730" s="2" t="inlineStr"/>
      <c r="AC1730" s="2" t="inlineStr"/>
      <c r="AD1730" s="2" t="inlineStr">
        <is>
          <t>1</t>
        </is>
      </c>
      <c r="AE1730" s="2" t="inlineStr">
        <is>
          <t>24881</t>
        </is>
      </c>
      <c r="AF1730" s="2" t="inlineStr">
        <is>
          <t>https://www.parlamento.pt/OrcamentoEstado/Paginas/DetalhePropostaAlteracao.aspx?BID=24881</t>
        </is>
      </c>
      <c r="AG1730" s="2" t="inlineStr">
        <is>
          <t>https://app.parlamento.pt/webutils/docs/doc.pdf?path=6148523063484d364c793942556b356c6443397a6158526c63793959566b6c4a544556484c3039464c7a49774d6a59794d4449314d5441774f533951515338334d6a4a6b4d7a526c4d53307a5a4463794c5451315a575174595752694d69316d4e3251334e6d49325a545532596a59756347526d&amp;Fich=722d34e1-3d72-45ed-adb2-f7d76b6e56b6.pdf&amp;Inline=true</t>
        </is>
      </c>
      <c r="AH1730" s="3" t="n">
        <v>46321.77847222222</v>
      </c>
      <c r="AI1730" s="3" t="n">
        <v>46321.78055555555</v>
      </c>
      <c r="AJ1730" s="2" t="inlineStr"/>
    </row>
    <row r="1731">
      <c r="A1731" s="2" t="n">
        <v>1730</v>
      </c>
      <c r="B1731" s="2" t="inlineStr">
        <is>
          <t>1634C</t>
        </is>
      </c>
      <c r="C1731" s="3" t="n">
        <v>45968.66319444445</v>
      </c>
      <c r="D1731" s="2" t="inlineStr">
        <is>
          <t>Original</t>
        </is>
      </c>
      <c r="E1731" s="2" t="inlineStr">
        <is>
          <t>L</t>
        </is>
      </c>
      <c r="F1731" s="2" t="inlineStr">
        <is>
          <t>Filipa Pinto; Isabel Mendes Lopes; Jorge Pinto; Patrícia Gonçalves; Paulo Muacho; Rui Tavares</t>
        </is>
      </c>
      <c r="G1731" s="2" t="inlineStr">
        <is>
          <t>Art. 113.º-A (aditamento)</t>
        </is>
      </c>
      <c r="H1731" s="2" t="n"/>
      <c r="I1731" s="2" t="n"/>
      <c r="J1731" s="2" t="n"/>
      <c r="K1731" s="2" t="n"/>
      <c r="L1731" s="2" t="inlineStr">
        <is>
          <t>Artigo 113.º-A (Disponibilização gratuita de todo o pacote educativo adotado pela escola)</t>
        </is>
      </c>
      <c r="M1731" s="4" t="n"/>
      <c r="N1731" s="4" t="n"/>
      <c r="O1731" s="2" t="n"/>
      <c r="P1731" s="2" t="n"/>
      <c r="Q1731" s="2" t="n"/>
      <c r="R1731" s="2" t="n"/>
      <c r="S1731" s="2" t="inlineStr">
        <is>
          <t>Rejeitado(a) em Comissão</t>
        </is>
      </c>
      <c r="T1731" s="2" t="inlineStr">
        <is>
          <t>Rejeitada</t>
        </is>
      </c>
      <c r="U1731" s="2" t="inlineStr">
        <is>
          <t>Favor: CH, L, PCP, BE, PAN; Contra: PSD, PS, IL, CDS-PP</t>
        </is>
      </c>
      <c r="V1731" s="3" t="n">
        <v>45985</v>
      </c>
      <c r="W1731" s="2" t="inlineStr">
        <is>
          <t>AR: https://www.parlamento.pt/OrcamentoEstado/Paginas/DetalhePropostaAlteracao.aspx?BID=24882 PDF: https://app.parlamento.pt/webutils/docs/doc.pdf?path=6148523063484d364c793942556b356c6443397a6158526c63793959566b6c4a544556484c3039464c7a49774d6a59794d4449314d5441774f5339515153387a4f44686a5a4463794f43316c5a4745784c5451355a5745744f5449304d6930344e7a4d324f546b334e7a42695a5749756347526d&amp;Fich=388cd728-eda1-49ea-9242-873699770beb.pdf&amp;Inline=true</t>
        </is>
      </c>
      <c r="X1731" s="2" t="inlineStr">
        <is>
          <t>Educação e Ciência</t>
        </is>
      </c>
      <c r="Y1731" s="2" t="inlineStr">
        <is>
          <t>Articulado</t>
        </is>
      </c>
      <c r="Z1731" s="2" t="inlineStr">
        <is>
          <t>Aditamento (Artigo PPL)</t>
        </is>
      </c>
      <c r="AA1731" s="2" t="inlineStr">
        <is>
          <t>Rejeitado(a) em Comissão</t>
        </is>
      </c>
      <c r="AB1731" s="2" t="inlineStr"/>
      <c r="AC1731" s="2" t="inlineStr"/>
      <c r="AD1731" s="2" t="inlineStr">
        <is>
          <t>1</t>
        </is>
      </c>
      <c r="AE1731" s="2" t="inlineStr">
        <is>
          <t>24882</t>
        </is>
      </c>
      <c r="AF1731" s="2" t="inlineStr">
        <is>
          <t>https://www.parlamento.pt/OrcamentoEstado/Paginas/DetalhePropostaAlteracao.aspx?BID=24882</t>
        </is>
      </c>
      <c r="AG1731" s="2" t="inlineStr">
        <is>
          <t>https://app.parlamento.pt/webutils/docs/doc.pdf?path=6148523063484d364c793942556b356c6443397a6158526c63793959566b6c4a544556484c3039464c7a49774d6a59794d4449314d5441774f5339515153387a4f44686a5a4463794f43316c5a4745784c5451355a5745744f5449304d6930344e7a4d324f546b334e7a42695a5749756347526d&amp;Fich=388cd728-eda1-49ea-9242-873699770beb.pdf&amp;Inline=true</t>
        </is>
      </c>
      <c r="AH1731" s="3" t="n">
        <v>46321.77847222222</v>
      </c>
      <c r="AI1731" s="3" t="n">
        <v>46321.78055555555</v>
      </c>
      <c r="AJ1731" s="2" t="inlineStr"/>
    </row>
    <row r="1732">
      <c r="A1732" s="2" t="n">
        <v>1731</v>
      </c>
      <c r="B1732" s="2" t="inlineStr">
        <is>
          <t>1635C</t>
        </is>
      </c>
      <c r="C1732" s="3" t="n">
        <v>45968.66319444445</v>
      </c>
      <c r="D1732" s="2" t="inlineStr">
        <is>
          <t>Original</t>
        </is>
      </c>
      <c r="E1732" s="2" t="inlineStr">
        <is>
          <t>PCP</t>
        </is>
      </c>
      <c r="F1732" s="2" t="inlineStr">
        <is>
          <t>Alfredo Maia; Paula Santos; Paulo Raimundo</t>
        </is>
      </c>
      <c r="G1732" s="2" t="inlineStr">
        <is>
          <t>Art. 112.º-A (aditamento)</t>
        </is>
      </c>
      <c r="H1732" s="2" t="n"/>
      <c r="I1732" s="2" t="n"/>
      <c r="J1732" s="2" t="n"/>
      <c r="K1732" s="2" t="n"/>
      <c r="L1732" s="2" t="inlineStr">
        <is>
          <t>Artigo 112.º-A (Apoio e reconhecimento aos ex-trabalhadores, famílias e restante população afetada na Urgeiriça)</t>
        </is>
      </c>
      <c r="M1732" s="4" t="n"/>
      <c r="N1732" s="4" t="n"/>
      <c r="O1732" s="2" t="n"/>
      <c r="P1732" s="2" t="n"/>
      <c r="Q1732" s="2" t="n"/>
      <c r="R1732" s="2" t="n"/>
      <c r="S1732" s="2" t="inlineStr">
        <is>
          <t>Rejeitado(a) em Comissão</t>
        </is>
      </c>
      <c r="T1732" s="2" t="inlineStr">
        <is>
          <t>Rejeitada</t>
        </is>
      </c>
      <c r="U1732" s="2" t="inlineStr">
        <is>
          <t>Favor: IL, L, PCP, BE, PAN; Contra: PSD, CDS-PP; Abstenção: CH, PS</t>
        </is>
      </c>
      <c r="V1732" s="3" t="n">
        <v>45982</v>
      </c>
      <c r="W1732" s="2" t="inlineStr">
        <is>
          <t>AR: https://www.parlamento.pt/OrcamentoEstado/Paginas/DetalhePropostaAlteracao.aspx?BID=24883 PDF: https://app.parlamento.pt/webutils/docs/doc.pdf?path=6148523063484d364c793942556b356c6443397a6158526c63793959566b6c4a544556484c3039464c7a49774d6a59794d4449314d5441774f533951515338304d32597a4f4751335a6931694e446c6d4c54526b4d7a677459574d7a5a53316b5a6d4e6c597a55334e3251774e5449756347526d&amp;Fich=43f38d7f-b49f-4d38-ac3e-dfcec577d052.pdf&amp;Inline=true</t>
        </is>
      </c>
      <c r="X1732" s="2" t="inlineStr">
        <is>
          <t>Trabalho, Segurança Social e Inclusão</t>
        </is>
      </c>
      <c r="Y1732" s="2" t="inlineStr">
        <is>
          <t>Articulado</t>
        </is>
      </c>
      <c r="Z1732" s="2" t="inlineStr">
        <is>
          <t>Aditamento (Artigo PPL)</t>
        </is>
      </c>
      <c r="AA1732" s="2" t="inlineStr">
        <is>
          <t>Rejeitado(a) em Comissão</t>
        </is>
      </c>
      <c r="AB1732" s="2" t="inlineStr"/>
      <c r="AC1732" s="2" t="inlineStr"/>
      <c r="AD1732" s="2" t="inlineStr">
        <is>
          <t>1</t>
        </is>
      </c>
      <c r="AE1732" s="2" t="inlineStr">
        <is>
          <t>24883</t>
        </is>
      </c>
      <c r="AF1732" s="2" t="inlineStr">
        <is>
          <t>https://www.parlamento.pt/OrcamentoEstado/Paginas/DetalhePropostaAlteracao.aspx?BID=24883</t>
        </is>
      </c>
      <c r="AG1732" s="2" t="inlineStr">
        <is>
          <t>https://app.parlamento.pt/webutils/docs/doc.pdf?path=6148523063484d364c793942556b356c6443397a6158526c63793959566b6c4a544556484c3039464c7a49774d6a59794d4449314d5441774f533951515338304d32597a4f4751335a6931694e446c6d4c54526b4d7a677459574d7a5a53316b5a6d4e6c597a55334e3251774e5449756347526d&amp;Fich=43f38d7f-b49f-4d38-ac3e-dfcec577d052.pdf&amp;Inline=true</t>
        </is>
      </c>
      <c r="AH1732" s="3" t="n">
        <v>46321.77847222222</v>
      </c>
      <c r="AI1732" s="3" t="n">
        <v>46321.78055555555</v>
      </c>
      <c r="AJ1732" s="2" t="inlineStr"/>
    </row>
    <row r="1733">
      <c r="A1733" s="2" t="n">
        <v>1732</v>
      </c>
      <c r="B1733" s="2" t="inlineStr">
        <is>
          <t>1636C</t>
        </is>
      </c>
      <c r="C1733" s="3" t="n">
        <v>45968.66319444445</v>
      </c>
      <c r="D1733" s="2" t="inlineStr">
        <is>
          <t>Original</t>
        </is>
      </c>
      <c r="E1733" s="2" t="inlineStr">
        <is>
          <t>CH</t>
        </is>
      </c>
      <c r="F173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33" s="2" t="inlineStr">
        <is>
          <t>Art. 63.º (aditamento)</t>
        </is>
      </c>
      <c r="H1733" s="2" t="n"/>
      <c r="I1733" s="2" t="n"/>
      <c r="J1733" s="2" t="n"/>
      <c r="K1733" s="2" t="n"/>
      <c r="L1733" s="2" t="inlineStr">
        <is>
          <t>Verba 2.42, Lista I anexa ao código do IVA</t>
        </is>
      </c>
      <c r="M1733" s="4" t="n"/>
      <c r="N1733" s="4" t="n"/>
      <c r="O1733" s="2" t="n"/>
      <c r="P1733" s="2" t="n"/>
      <c r="Q1733" s="2" t="n"/>
      <c r="R1733" s="2" t="n"/>
      <c r="S1733" s="2" t="inlineStr">
        <is>
          <t>Rejeitado(a) em Comissão</t>
        </is>
      </c>
      <c r="T1733" s="2" t="inlineStr">
        <is>
          <t>Rejeitada</t>
        </is>
      </c>
      <c r="U1733" s="2" t="inlineStr">
        <is>
          <t>Favor: CH, PAN; Contra: PSD, IL, CDS-PP, BE; Abstenção: PS, L, PCP</t>
        </is>
      </c>
      <c r="V1733" s="3" t="n">
        <v>45982</v>
      </c>
      <c r="W1733" s="2" t="inlineStr">
        <is>
          <t>AR: https://www.parlamento.pt/OrcamentoEstado/Paginas/DetalhePropostaAlteracao.aspx?BID=24884 PDF: https://app.parlamento.pt/webutils/docs/doc.pdf?path=6148523063484d364c793942556b356c6443397a6158526c63793959566b6c4a544556484c3039464c7a49774d6a59794d4449314d5441774f5339515153396c4d5445774e6d56684e69316859324d774c5451334e5751744f54517a4e5331694e575a694d3259794d44686d5a446b756347526d&amp;Fich=e1106ea6-acc0-475d-9435-b5fb3f208fd9.pdf&amp;Inline=true</t>
        </is>
      </c>
      <c r="X1733" s="2" t="inlineStr">
        <is>
          <t>Educação e Ciência</t>
        </is>
      </c>
      <c r="Y1733" s="2" t="inlineStr">
        <is>
          <t>Articulado</t>
        </is>
      </c>
      <c r="Z1733" s="2" t="inlineStr">
        <is>
          <t>Aditamento (Números e Alíneas)</t>
        </is>
      </c>
      <c r="AA1733" s="2" t="inlineStr">
        <is>
          <t>Rejeitado(a) em Comissão</t>
        </is>
      </c>
      <c r="AB1733" s="2" t="inlineStr"/>
      <c r="AC1733" s="2" t="inlineStr"/>
      <c r="AD1733" s="2" t="inlineStr">
        <is>
          <t>1</t>
        </is>
      </c>
      <c r="AE1733" s="2" t="inlineStr">
        <is>
          <t>24884</t>
        </is>
      </c>
      <c r="AF1733" s="2" t="inlineStr">
        <is>
          <t>https://www.parlamento.pt/OrcamentoEstado/Paginas/DetalhePropostaAlteracao.aspx?BID=24884</t>
        </is>
      </c>
      <c r="AG1733" s="2" t="inlineStr">
        <is>
          <t>https://app.parlamento.pt/webutils/docs/doc.pdf?path=6148523063484d364c793942556b356c6443397a6158526c63793959566b6c4a544556484c3039464c7a49774d6a59794d4449314d5441774f5339515153396c4d5445774e6d56684e69316859324d774c5451334e5751744f54517a4e5331694e575a694d3259794d44686d5a446b756347526d&amp;Fich=e1106ea6-acc0-475d-9435-b5fb3f208fd9.pdf&amp;Inline=true</t>
        </is>
      </c>
      <c r="AH1733" s="3" t="n">
        <v>46321.77847222222</v>
      </c>
      <c r="AI1733" s="3" t="n">
        <v>46321.78055555555</v>
      </c>
      <c r="AJ1733" s="2" t="inlineStr"/>
    </row>
    <row r="1734">
      <c r="A1734" s="2" t="n">
        <v>1733</v>
      </c>
      <c r="B1734" s="2" t="inlineStr">
        <is>
          <t>1637C</t>
        </is>
      </c>
      <c r="C1734" s="3" t="n">
        <v>45968.66458333333</v>
      </c>
      <c r="D1734" s="2" t="inlineStr">
        <is>
          <t>Original</t>
        </is>
      </c>
      <c r="E1734" s="2" t="inlineStr">
        <is>
          <t>L</t>
        </is>
      </c>
      <c r="F1734" s="2" t="inlineStr">
        <is>
          <t>Filipa Pinto; Isabel Mendes Lopes; Jorge Pinto; Patrícia Gonçalves; Paulo Muacho; Rui Tavares</t>
        </is>
      </c>
      <c r="G1734" s="2" t="inlineStr">
        <is>
          <t>Art. 113.º-A (aditamento)</t>
        </is>
      </c>
      <c r="H1734" s="2" t="n"/>
      <c r="I1734" s="2" t="n"/>
      <c r="J1734" s="2" t="n"/>
      <c r="K1734" s="2" t="n"/>
      <c r="L1734" s="2" t="inlineStr">
        <is>
          <t>Artigo 113.º-A (Programa de apoio para auto-escadas e viaturas de combate a incêndios)</t>
        </is>
      </c>
      <c r="M1734" s="4" t="n"/>
      <c r="N1734" s="4" t="n"/>
      <c r="O1734" s="2" t="n"/>
      <c r="P1734" s="2" t="n"/>
      <c r="Q1734" s="2" t="n"/>
      <c r="R1734" s="2" t="n"/>
      <c r="S1734" s="2" t="inlineStr">
        <is>
          <t>Rejeitado(a) em Comissão</t>
        </is>
      </c>
      <c r="T1734" s="2" t="inlineStr">
        <is>
          <t>Rejeitada</t>
        </is>
      </c>
      <c r="U1734" s="2" t="inlineStr">
        <is>
          <t>Favor: CH, L, PCP, BE, PAN; Contra: PSD, IL, CDS-PP; Abstenção: PS</t>
        </is>
      </c>
      <c r="V1734" s="3" t="n">
        <v>45985</v>
      </c>
      <c r="W1734" s="2" t="inlineStr">
        <is>
          <t>AR: https://www.parlamento.pt/OrcamentoEstado/Paginas/DetalhePropostaAlteracao.aspx?BID=24885 PDF: https://app.parlamento.pt/webutils/docs/doc.pdf?path=6148523063484d364c793942556b356c6443397a6158526c63793959566b6c4a544556484c3039464c7a49774d6a59794d4449314d5441774f533951515338334d7a64684f4451304d7930335a474d354c5451785a475174596a6b32595330325957466b4e3251794e4749785a5759756347526d&amp;Fich=737a8443-7dc9-41dd-b96a-6aad7d24b1ef.pdf&amp;Inline=true</t>
        </is>
      </c>
      <c r="X1734" s="2" t="inlineStr">
        <is>
          <t>Comissão de Economia e Coesão Territorial; Orçamento, Finanças e Administração Pública; Trabalho, Segurança Social e Inclusão</t>
        </is>
      </c>
      <c r="Y1734" s="2" t="inlineStr">
        <is>
          <t>Articulado</t>
        </is>
      </c>
      <c r="Z1734" s="2" t="inlineStr">
        <is>
          <t>Aditamento (Artigo PPL)</t>
        </is>
      </c>
      <c r="AA1734" s="2" t="inlineStr">
        <is>
          <t>Rejeitado(a) em Comissão</t>
        </is>
      </c>
      <c r="AB1734" s="2" t="inlineStr"/>
      <c r="AC1734" s="2" t="inlineStr"/>
      <c r="AD1734" s="2" t="inlineStr">
        <is>
          <t>1</t>
        </is>
      </c>
      <c r="AE1734" s="2" t="inlineStr">
        <is>
          <t>24885</t>
        </is>
      </c>
      <c r="AF1734" s="2" t="inlineStr">
        <is>
          <t>https://www.parlamento.pt/OrcamentoEstado/Paginas/DetalhePropostaAlteracao.aspx?BID=24885</t>
        </is>
      </c>
      <c r="AG1734" s="2" t="inlineStr">
        <is>
          <t>https://app.parlamento.pt/webutils/docs/doc.pdf?path=6148523063484d364c793942556b356c6443397a6158526c63793959566b6c4a544556484c3039464c7a49774d6a59794d4449314d5441774f533951515338334d7a64684f4451304d7930335a474d354c5451785a475174596a6b32595330325957466b4e3251794e4749785a5759756347526d&amp;Fich=737a8443-7dc9-41dd-b96a-6aad7d24b1ef.pdf&amp;Inline=true</t>
        </is>
      </c>
      <c r="AH1734" s="3" t="n">
        <v>46321.77847222222</v>
      </c>
      <c r="AI1734" s="3" t="n">
        <v>46321.78055555555</v>
      </c>
      <c r="AJ1734" s="2" t="inlineStr"/>
    </row>
    <row r="1735">
      <c r="A1735" s="2" t="n">
        <v>1734</v>
      </c>
      <c r="B1735" s="2" t="inlineStr">
        <is>
          <t>1638C</t>
        </is>
      </c>
      <c r="C1735" s="3" t="n">
        <v>45968.66458333333</v>
      </c>
      <c r="D1735" s="2" t="inlineStr">
        <is>
          <t>Original</t>
        </is>
      </c>
      <c r="E1735" s="2" t="inlineStr">
        <is>
          <t>CH</t>
        </is>
      </c>
      <c r="F173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35" s="2" t="inlineStr">
        <is>
          <t>Art. 63.º-A (aditamento)</t>
        </is>
      </c>
      <c r="H1735" s="2" t="n"/>
      <c r="I1735" s="2" t="n"/>
      <c r="J1735" s="2" t="n"/>
      <c r="K1735" s="2" t="n"/>
      <c r="L1735" s="2" t="inlineStr">
        <is>
          <t>Artigo 63.º-A (Alteração ao Código do Imposto sobre o Valor Acrescentado)</t>
        </is>
      </c>
      <c r="M1735" s="4" t="n"/>
      <c r="N1735" s="4" t="n"/>
      <c r="O1735" s="2" t="n"/>
      <c r="P1735" s="2" t="n"/>
      <c r="Q1735" s="2" t="n"/>
      <c r="R1735" s="2" t="n"/>
      <c r="S1735" s="2" t="inlineStr">
        <is>
          <t>Rejeitado(a) em Comissão</t>
        </is>
      </c>
      <c r="T1735" s="2" t="inlineStr">
        <is>
          <t>Rejeitada</t>
        </is>
      </c>
      <c r="U1735" s="2" t="inlineStr">
        <is>
          <t>Favor: CH, IL, BE, PAN; Contra: PSD, PS, CDS-PP; Abstenção: L, PCP</t>
        </is>
      </c>
      <c r="V1735" s="3" t="n">
        <v>45982</v>
      </c>
      <c r="W1735" s="2" t="inlineStr">
        <is>
          <t>AR: https://www.parlamento.pt/OrcamentoEstado/Paginas/DetalhePropostaAlteracao.aspx?BID=24886 PDF: https://app.parlamento.pt/webutils/docs/doc.pdf?path=6148523063484d364c793942556b356c6443397a6158526c63793959566b6c4a544556484c3039464c7a49774d6a59794d4449314d5441774f533951515339694d5467794e54686a5a4330324f545a694c5451354f546b74596d45324d4330314d6a646c4e5451334e6d4d334e3249756347526d&amp;Fich=b18258cd-696b-4999-ba60-527e5476c77b.pdf&amp;Inline=true</t>
        </is>
      </c>
      <c r="X1735" s="2" t="inlineStr">
        <is>
          <t>Orçamento, Finanças e Administração Pública</t>
        </is>
      </c>
      <c r="Y1735" s="2" t="inlineStr">
        <is>
          <t>Articulado</t>
        </is>
      </c>
      <c r="Z1735" s="2" t="inlineStr">
        <is>
          <t>Aditamento (Artigo PPL)</t>
        </is>
      </c>
      <c r="AA1735" s="2" t="inlineStr">
        <is>
          <t>Rejeitado(a) em Comissão</t>
        </is>
      </c>
      <c r="AB1735" s="2" t="inlineStr"/>
      <c r="AC1735" s="2" t="inlineStr"/>
      <c r="AD1735" s="2" t="inlineStr">
        <is>
          <t>1</t>
        </is>
      </c>
      <c r="AE1735" s="2" t="inlineStr">
        <is>
          <t>24886</t>
        </is>
      </c>
      <c r="AF1735" s="2" t="inlineStr">
        <is>
          <t>https://www.parlamento.pt/OrcamentoEstado/Paginas/DetalhePropostaAlteracao.aspx?BID=24886</t>
        </is>
      </c>
      <c r="AG1735" s="2" t="inlineStr">
        <is>
          <t>https://app.parlamento.pt/webutils/docs/doc.pdf?path=6148523063484d364c793942556b356c6443397a6158526c63793959566b6c4a544556484c3039464c7a49774d6a59794d4449314d5441774f533951515339694d5467794e54686a5a4330324f545a694c5451354f546b74596d45324d4330314d6a646c4e5451334e6d4d334e3249756347526d&amp;Fich=b18258cd-696b-4999-ba60-527e5476c77b.pdf&amp;Inline=true</t>
        </is>
      </c>
      <c r="AH1735" s="3" t="n">
        <v>46321.77847222222</v>
      </c>
      <c r="AI1735" s="3" t="n">
        <v>46321.78055555555</v>
      </c>
      <c r="AJ1735" s="2" t="inlineStr"/>
    </row>
    <row r="1736">
      <c r="A1736" s="2" t="n">
        <v>1735</v>
      </c>
      <c r="B1736" s="2" t="inlineStr">
        <is>
          <t>1639C</t>
        </is>
      </c>
      <c r="C1736" s="3" t="n">
        <v>45968.66458333333</v>
      </c>
      <c r="D1736" s="2" t="inlineStr">
        <is>
          <t>Original</t>
        </is>
      </c>
      <c r="E1736" s="2" t="inlineStr">
        <is>
          <t>L</t>
        </is>
      </c>
      <c r="F1736" s="2" t="inlineStr">
        <is>
          <t>Filipa Pinto; Isabel Mendes Lopes; Jorge Pinto; Patrícia Gonçalves; Paulo Muacho; Rui Tavares</t>
        </is>
      </c>
      <c r="G1736" s="2" t="inlineStr">
        <is>
          <t>Art. 117.º-A (aditamento)</t>
        </is>
      </c>
      <c r="H1736" s="2" t="n"/>
      <c r="I1736" s="2" t="n"/>
      <c r="J1736" s="2" t="n"/>
      <c r="K1736" s="2" t="n"/>
      <c r="L1736" s="2" t="inlineStr">
        <is>
          <t>Artigo 117.º-A (Língua Gestual Portuguesa nas escolas)</t>
        </is>
      </c>
      <c r="M1736" s="4" t="n"/>
      <c r="N1736" s="4" t="n"/>
      <c r="O1736" s="2" t="n"/>
      <c r="P1736" s="2" t="n"/>
      <c r="Q1736" s="2" t="n"/>
      <c r="R1736" s="2" t="n"/>
      <c r="S1736" s="2" t="inlineStr">
        <is>
          <t>Rejeitado(a) em Comissão</t>
        </is>
      </c>
      <c r="T1736" s="2" t="inlineStr">
        <is>
          <t>Rejeitada</t>
        </is>
      </c>
      <c r="U1736" s="2" t="inlineStr">
        <is>
          <t>Favor: CH, L, PCP, BE, PAN; Contra: PSD, CDS-PP; Abstenção: PS, IL</t>
        </is>
      </c>
      <c r="V1736" s="3" t="n">
        <v>45985</v>
      </c>
      <c r="W1736" s="2" t="inlineStr">
        <is>
          <t>AR: https://www.parlamento.pt/OrcamentoEstado/Paginas/DetalhePropostaAlteracao.aspx?BID=24887 PDF: https://app.parlamento.pt/webutils/docs/doc.pdf?path=6148523063484d364c793942556b356c6443397a6158526c63793959566b6c4a544556484c3039464c7a49774d6a59794d4449314d5441774f5339515153383259324e6c4d5746684d5330794e47566a4c54517a4d4751744f5467354e5331694d444a69593249354d4749774d4441756347526d&amp;Fich=6cce1aa1-24ec-430d-9895-b02bcb90b000.pdf&amp;Inline=true</t>
        </is>
      </c>
      <c r="X1736" s="2" t="inlineStr">
        <is>
          <t>Educação e Ciência</t>
        </is>
      </c>
      <c r="Y1736" s="2" t="inlineStr">
        <is>
          <t>Articulado</t>
        </is>
      </c>
      <c r="Z1736" s="2" t="inlineStr">
        <is>
          <t>Aditamento (Artigo PPL)</t>
        </is>
      </c>
      <c r="AA1736" s="2" t="inlineStr">
        <is>
          <t>Rejeitado(a) em Comissão</t>
        </is>
      </c>
      <c r="AB1736" s="2" t="inlineStr"/>
      <c r="AC1736" s="2" t="inlineStr"/>
      <c r="AD1736" s="2" t="inlineStr">
        <is>
          <t>1</t>
        </is>
      </c>
      <c r="AE1736" s="2" t="inlineStr">
        <is>
          <t>24887</t>
        </is>
      </c>
      <c r="AF1736" s="2" t="inlineStr">
        <is>
          <t>https://www.parlamento.pt/OrcamentoEstado/Paginas/DetalhePropostaAlteracao.aspx?BID=24887</t>
        </is>
      </c>
      <c r="AG1736" s="2" t="inlineStr">
        <is>
          <t>https://app.parlamento.pt/webutils/docs/doc.pdf?path=6148523063484d364c793942556b356c6443397a6158526c63793959566b6c4a544556484c3039464c7a49774d6a59794d4449314d5441774f5339515153383259324e6c4d5746684d5330794e47566a4c54517a4d4751744f5467354e5331694d444a69593249354d4749774d4441756347526d&amp;Fich=6cce1aa1-24ec-430d-9895-b02bcb90b000.pdf&amp;Inline=true</t>
        </is>
      </c>
      <c r="AH1736" s="3" t="n">
        <v>46321.77847222222</v>
      </c>
      <c r="AI1736" s="3" t="n">
        <v>46321.78055555555</v>
      </c>
      <c r="AJ1736" s="2" t="inlineStr"/>
    </row>
    <row r="1737">
      <c r="A1737" s="2" t="n">
        <v>1736</v>
      </c>
      <c r="B1737" s="2" t="inlineStr">
        <is>
          <t>1640C</t>
        </is>
      </c>
      <c r="C1737" s="3" t="n">
        <v>45968.66527777778</v>
      </c>
      <c r="D1737" s="2" t="inlineStr">
        <is>
          <t>Original</t>
        </is>
      </c>
      <c r="E1737" s="2" t="inlineStr">
        <is>
          <t>PCP</t>
        </is>
      </c>
      <c r="F1737" s="2" t="inlineStr">
        <is>
          <t>Alfredo Maia; Paula Santos; Paulo Raimundo</t>
        </is>
      </c>
      <c r="G1737" s="2" t="inlineStr">
        <is>
          <t>Art. 113.º-A (aditamento)</t>
        </is>
      </c>
      <c r="H1737" s="2" t="n"/>
      <c r="I1737" s="2" t="n"/>
      <c r="J1737" s="2" t="n"/>
      <c r="K1737" s="2" t="n"/>
      <c r="L1737" s="2" t="inlineStr">
        <is>
          <t>Artigo 113.º-A (Espaço Verde na Quinta do Estado)</t>
        </is>
      </c>
      <c r="M1737" s="4" t="n"/>
      <c r="N1737" s="4" t="n"/>
      <c r="O1737" s="2" t="n"/>
      <c r="P1737" s="2" t="n"/>
      <c r="Q1737" s="2" t="n"/>
      <c r="R1737" s="2" t="n"/>
      <c r="S1737" s="2" t="inlineStr">
        <is>
          <t>Rejeitado(a) em Comissão</t>
        </is>
      </c>
      <c r="T1737" s="2" t="inlineStr">
        <is>
          <t>Rejeitada</t>
        </is>
      </c>
      <c r="U1737" s="2" t="inlineStr">
        <is>
          <t>Favor: L, PCP, BE, PAN; Contra: PSD, CH, PS, IL, CDS-PP</t>
        </is>
      </c>
      <c r="V1737" s="3" t="n">
        <v>45985</v>
      </c>
      <c r="W1737" s="2" t="inlineStr">
        <is>
          <t>AR: https://www.parlamento.pt/OrcamentoEstado/Paginas/DetalhePropostaAlteracao.aspx?BID=24888 PDF: https://app.parlamento.pt/webutils/docs/doc.pdf?path=6148523063484d364c793942556b356c6443397a6158526c63793959566b6c4a544556484c3039464c7a49774d6a59794d4449314d5441774f533951515338775a5459345a544930595331684f54566d4c5452685a474d744f445978597930344e474e6c59544a6c5a6d526d4d5445756347526d&amp;Fich=0e68e24a-a95f-4adc-861c-84cea2efdf11.pdf&amp;Inline=true</t>
        </is>
      </c>
      <c r="X1737" s="2" t="inlineStr">
        <is>
          <t>Comissão de Economia e Coesão Territorial</t>
        </is>
      </c>
      <c r="Y1737" s="2" t="inlineStr">
        <is>
          <t>Articulado</t>
        </is>
      </c>
      <c r="Z1737" s="2" t="inlineStr">
        <is>
          <t>Aditamento (Artigo PPL)</t>
        </is>
      </c>
      <c r="AA1737" s="2" t="inlineStr">
        <is>
          <t>Rejeitado(a) em Comissão</t>
        </is>
      </c>
      <c r="AB1737" s="2" t="inlineStr"/>
      <c r="AC1737" s="2" t="inlineStr"/>
      <c r="AD1737" s="2" t="inlineStr">
        <is>
          <t>1</t>
        </is>
      </c>
      <c r="AE1737" s="2" t="inlineStr">
        <is>
          <t>24888</t>
        </is>
      </c>
      <c r="AF1737" s="2" t="inlineStr">
        <is>
          <t>https://www.parlamento.pt/OrcamentoEstado/Paginas/DetalhePropostaAlteracao.aspx?BID=24888</t>
        </is>
      </c>
      <c r="AG1737" s="2" t="inlineStr">
        <is>
          <t>https://app.parlamento.pt/webutils/docs/doc.pdf?path=6148523063484d364c793942556b356c6443397a6158526c63793959566b6c4a544556484c3039464c7a49774d6a59794d4449314d5441774f533951515338775a5459345a544930595331684f54566d4c5452685a474d744f445978597930344e474e6c59544a6c5a6d526d4d5445756347526d&amp;Fich=0e68e24a-a95f-4adc-861c-84cea2efdf11.pdf&amp;Inline=true</t>
        </is>
      </c>
      <c r="AH1737" s="3" t="n">
        <v>46321.77847222222</v>
      </c>
      <c r="AI1737" s="3" t="n">
        <v>46321.78055555555</v>
      </c>
      <c r="AJ1737" s="2" t="inlineStr"/>
    </row>
    <row r="1738">
      <c r="A1738" s="2" t="n">
        <v>1737</v>
      </c>
      <c r="B1738" s="2" t="inlineStr">
        <is>
          <t>1641C</t>
        </is>
      </c>
      <c r="C1738" s="3" t="n">
        <v>45968.66597222222</v>
      </c>
      <c r="D1738" s="2" t="inlineStr">
        <is>
          <t>Original</t>
        </is>
      </c>
      <c r="E1738" s="2" t="inlineStr">
        <is>
          <t>L</t>
        </is>
      </c>
      <c r="F1738" s="2" t="inlineStr">
        <is>
          <t>Filipa Pinto; Isabel Mendes Lopes; Jorge Pinto; Patrícia Gonçalves; Paulo Muacho; Rui Tavares</t>
        </is>
      </c>
      <c r="G1738" s="2" t="inlineStr">
        <is>
          <t>Art. 113.º-A (aditamento)</t>
        </is>
      </c>
      <c r="H1738" s="2" t="n"/>
      <c r="I1738" s="2" t="n"/>
      <c r="J1738" s="2" t="n"/>
      <c r="K1738" s="2" t="n"/>
      <c r="L1738" s="2" t="inlineStr">
        <is>
          <t>Artigo 113.º-A (Campanha nacional de sensibilização sobre risco sísmico e de tsunamis)</t>
        </is>
      </c>
      <c r="M1738" s="4" t="n"/>
      <c r="N1738" s="4" t="n"/>
      <c r="O1738" s="2" t="n"/>
      <c r="P1738" s="2" t="n"/>
      <c r="Q1738" s="2" t="n"/>
      <c r="R1738" s="2" t="n"/>
      <c r="S1738" s="2" t="inlineStr">
        <is>
          <t>Rejeitado(a) em Comissão</t>
        </is>
      </c>
      <c r="T1738" s="2" t="inlineStr">
        <is>
          <t>Rejeitada</t>
        </is>
      </c>
      <c r="U1738" s="2" t="inlineStr">
        <is>
          <t>Favor: CH, L, PCP, BE, PAN; Contra: PSD, CDS-PP; Abstenção: PS, IL</t>
        </is>
      </c>
      <c r="V1738" s="3" t="n">
        <v>45987</v>
      </c>
      <c r="W1738" s="2" t="inlineStr">
        <is>
          <t>AR: https://www.parlamento.pt/OrcamentoEstado/Paginas/DetalhePropostaAlteracao.aspx?BID=24889 PDF: https://app.parlamento.pt/webutils/docs/doc.pdf?path=6148523063484d364c793942556b356c6443397a6158526c63793959566b6c4a544556484c3039464c7a49774d6a59794d4449314d5441774f533951515338324f475a695a6a4e684d4330774e7a49314c5452684e7a63744f446b785a69316d595464684d7a426d4d7a4d774d4445756347526d&amp;Fich=68fbf3a0-0725-4a77-891f-fa7a30f33001.pdf&amp;Inline=true</t>
        </is>
      </c>
      <c r="X1738" s="2" t="inlineStr">
        <is>
          <t>Ambiente e Energia; Defesa Nacional</t>
        </is>
      </c>
      <c r="Y1738" s="2" t="inlineStr">
        <is>
          <t>Articulado</t>
        </is>
      </c>
      <c r="Z1738" s="2" t="inlineStr">
        <is>
          <t>Aditamento (Artigo PPL)</t>
        </is>
      </c>
      <c r="AA1738" s="2" t="inlineStr">
        <is>
          <t>Rejeitado(a) em Comissão</t>
        </is>
      </c>
      <c r="AB1738" s="2" t="inlineStr"/>
      <c r="AC1738" s="2" t="inlineStr"/>
      <c r="AD1738" s="2" t="inlineStr">
        <is>
          <t>1</t>
        </is>
      </c>
      <c r="AE1738" s="2" t="inlineStr">
        <is>
          <t>24889</t>
        </is>
      </c>
      <c r="AF1738" s="2" t="inlineStr">
        <is>
          <t>https://www.parlamento.pt/OrcamentoEstado/Paginas/DetalhePropostaAlteracao.aspx?BID=24889</t>
        </is>
      </c>
      <c r="AG1738" s="2" t="inlineStr">
        <is>
          <t>https://app.parlamento.pt/webutils/docs/doc.pdf?path=6148523063484d364c793942556b356c6443397a6158526c63793959566b6c4a544556484c3039464c7a49774d6a59794d4449314d5441774f533951515338324f475a695a6a4e684d4330774e7a49314c5452684e7a63744f446b785a69316d595464684d7a426d4d7a4d774d4445756347526d&amp;Fich=68fbf3a0-0725-4a77-891f-fa7a30f33001.pdf&amp;Inline=true</t>
        </is>
      </c>
      <c r="AH1738" s="3" t="n">
        <v>46321.77847222222</v>
      </c>
      <c r="AI1738" s="3" t="n">
        <v>46321.78055555555</v>
      </c>
      <c r="AJ1738" s="2" t="inlineStr"/>
    </row>
    <row r="1739">
      <c r="A1739" s="2" t="n">
        <v>1738</v>
      </c>
      <c r="B1739" s="2" t="inlineStr">
        <is>
          <t>1642C</t>
        </is>
      </c>
      <c r="C1739" s="3" t="n">
        <v>45968.66597222222</v>
      </c>
      <c r="D1739" s="2" t="inlineStr">
        <is>
          <t>Original</t>
        </is>
      </c>
      <c r="E1739" s="2" t="inlineStr">
        <is>
          <t>PS</t>
        </is>
      </c>
      <c r="F1739" s="2" t="inlineStr">
        <is>
          <t>António Mendonça Mendes; Eurico Brilhante Dias; Frederico Francisco; José Luís Carneiro; Luís Moreira Testa; Marina Gonçalves; Miguel Matos</t>
        </is>
      </c>
      <c r="G1739" s="2" t="inlineStr">
        <is>
          <t>Art. 6.º-A (aditamento)</t>
        </is>
      </c>
      <c r="H1739" s="2" t="n"/>
      <c r="I1739" s="2" t="n"/>
      <c r="J1739" s="2" t="n"/>
      <c r="K1739" s="2" t="n"/>
      <c r="L1739" s="2" t="inlineStr">
        <is>
          <t>Artigo 6.º-A (Reabilitação do Parque Habitacional do IHRU)</t>
        </is>
      </c>
      <c r="M1739" s="4" t="n"/>
      <c r="N1739" s="4" t="n"/>
      <c r="O1739" s="2" t="n"/>
      <c r="P1739" s="2" t="n"/>
      <c r="Q1739" s="2" t="n"/>
      <c r="R1739" s="2" t="n"/>
      <c r="S1739" s="2" t="inlineStr">
        <is>
          <t>Rejeitado(a) em Comissão</t>
        </is>
      </c>
      <c r="T1739" s="2" t="inlineStr">
        <is>
          <t>Rejeitada</t>
        </is>
      </c>
      <c r="U1739" s="2" t="inlineStr">
        <is>
          <t>Favor: PS, IL, L, PCP, BE, PAN; Contra: PSD, CDS-PP; Abstenção: CH</t>
        </is>
      </c>
      <c r="V1739" s="3" t="n">
        <v>45981</v>
      </c>
      <c r="W1739" s="2" t="inlineStr">
        <is>
          <t>AR: https://www.parlamento.pt/OrcamentoEstado/Paginas/DetalhePropostaAlteracao.aspx?BID=24890 PDF: https://app.parlamento.pt/webutils/docs/doc.pdf?path=6148523063484d364c793942556b356c6443397a6158526c63793959566b6c4a544556484c3039464c7a49774d6a59794d4449314d5441774f5339515153396b4e5441785a4451324d7930344e546b324c5451784d445574595459794e7930354f446777597a42684f574a694e4751756347526d&amp;Fich=d501d463-8596-4105-a627-9880c0a9bb4d.pdf&amp;Inline=true</t>
        </is>
      </c>
      <c r="X1739" s="2" t="inlineStr">
        <is>
          <t>Infraestruturas, Mobilidade e Habitação; Orçamento, Finanças e Administração Pública</t>
        </is>
      </c>
      <c r="Y1739" s="2" t="inlineStr">
        <is>
          <t>Articulado</t>
        </is>
      </c>
      <c r="Z1739" s="2" t="inlineStr">
        <is>
          <t>Aditamento (Artigo PPL)</t>
        </is>
      </c>
      <c r="AA1739" s="2" t="inlineStr">
        <is>
          <t>Rejeitado(a) em Comissão</t>
        </is>
      </c>
      <c r="AB1739" s="2" t="inlineStr"/>
      <c r="AC1739" s="2" t="inlineStr"/>
      <c r="AD1739" s="2" t="inlineStr">
        <is>
          <t>1</t>
        </is>
      </c>
      <c r="AE1739" s="2" t="inlineStr">
        <is>
          <t>24890</t>
        </is>
      </c>
      <c r="AF1739" s="2" t="inlineStr">
        <is>
          <t>https://www.parlamento.pt/OrcamentoEstado/Paginas/DetalhePropostaAlteracao.aspx?BID=24890</t>
        </is>
      </c>
      <c r="AG1739" s="2" t="inlineStr">
        <is>
          <t>https://app.parlamento.pt/webutils/docs/doc.pdf?path=6148523063484d364c793942556b356c6443397a6158526c63793959566b6c4a544556484c3039464c7a49774d6a59794d4449314d5441774f5339515153396b4e5441785a4451324d7930344e546b324c5451784d445574595459794e7930354f446777597a42684f574a694e4751756347526d&amp;Fich=d501d463-8596-4105-a627-9880c0a9bb4d.pdf&amp;Inline=true</t>
        </is>
      </c>
      <c r="AH1739" s="3" t="n">
        <v>46321.77847222222</v>
      </c>
      <c r="AI1739" s="3" t="n">
        <v>46321.78055555555</v>
      </c>
      <c r="AJ1739" s="2" t="inlineStr"/>
    </row>
    <row r="1740">
      <c r="A1740" s="2" t="n">
        <v>1739</v>
      </c>
      <c r="B1740" s="2" t="inlineStr">
        <is>
          <t>1643C</t>
        </is>
      </c>
      <c r="C1740" s="3" t="n">
        <v>45968.66736111111</v>
      </c>
      <c r="D1740" s="2" t="inlineStr">
        <is>
          <t>Original</t>
        </is>
      </c>
      <c r="E1740" s="2" t="inlineStr">
        <is>
          <t>PAN</t>
        </is>
      </c>
      <c r="F1740" s="2" t="inlineStr">
        <is>
          <t>Inês de Sousa Real</t>
        </is>
      </c>
      <c r="G1740" s="2" t="inlineStr">
        <is>
          <t>Art. 63.º-A (aditamento)</t>
        </is>
      </c>
      <c r="H1740" s="2" t="n"/>
      <c r="I1740" s="2" t="n"/>
      <c r="J1740" s="2" t="n"/>
      <c r="K1740" s="2" t="n"/>
      <c r="L1740" s="2" t="inlineStr">
        <is>
          <t>Artigo 63.º-A (Aditamento à lista I anexa ao Código do Imposto sobre o Valor Acrescentado)</t>
        </is>
      </c>
      <c r="M1740" s="4" t="n"/>
      <c r="N1740" s="4" t="n"/>
      <c r="O1740" s="2" t="n"/>
      <c r="P1740" s="2" t="n"/>
      <c r="Q1740" s="2" t="n"/>
      <c r="R1740" s="2" t="n"/>
      <c r="S1740" s="2" t="inlineStr">
        <is>
          <t>Rejeitado(a) em Comissão</t>
        </is>
      </c>
      <c r="T1740" s="2" t="inlineStr">
        <is>
          <t>Rejeitada</t>
        </is>
      </c>
      <c r="U1740" s="2" t="inlineStr">
        <is>
          <t>Favor: CH, L, BE, PAN; Contra: PSD, CDS-PP; Abstenção: PS, IL, PCP</t>
        </is>
      </c>
      <c r="V1740" s="3" t="n">
        <v>45982</v>
      </c>
      <c r="W1740" s="2" t="inlineStr">
        <is>
          <t>AR: https://www.parlamento.pt/OrcamentoEstado/Paginas/DetalhePropostaAlteracao.aspx?BID=24891 PDF: https://app.parlamento.pt/webutils/docs/doc.pdf?path=6148523063484d364c793942556b356c6443397a6158526c63793959566b6c4a544556484c3039464c7a49774d6a59794d4449314d5441774f533951515338354e54646d5a5445335a6930354f4755314c5451354e3249744f5751304e5330354e3251794d6d5a6d4d7a52695a4467756347526d&amp;Fich=957fe17f-98e5-497b-9d45-97d22ff34bd8.pdf&amp;Inline=true</t>
        </is>
      </c>
      <c r="X1740" s="2" t="inlineStr">
        <is>
          <t>Orçamento, Finanças e Administração Pública</t>
        </is>
      </c>
      <c r="Y1740" s="2" t="inlineStr">
        <is>
          <t>Articulado</t>
        </is>
      </c>
      <c r="Z1740" s="2" t="inlineStr">
        <is>
          <t>Aditamento (Artigo PPL)</t>
        </is>
      </c>
      <c r="AA1740" s="2" t="inlineStr">
        <is>
          <t>Rejeitado(a) em Comissão</t>
        </is>
      </c>
      <c r="AB1740" s="2" t="inlineStr"/>
      <c r="AC1740" s="2" t="inlineStr"/>
      <c r="AD1740" s="2" t="inlineStr">
        <is>
          <t>1</t>
        </is>
      </c>
      <c r="AE1740" s="2" t="inlineStr">
        <is>
          <t>24891</t>
        </is>
      </c>
      <c r="AF1740" s="2" t="inlineStr">
        <is>
          <t>https://www.parlamento.pt/OrcamentoEstado/Paginas/DetalhePropostaAlteracao.aspx?BID=24891</t>
        </is>
      </c>
      <c r="AG1740" s="2" t="inlineStr">
        <is>
          <t>https://app.parlamento.pt/webutils/docs/doc.pdf?path=6148523063484d364c793942556b356c6443397a6158526c63793959566b6c4a544556484c3039464c7a49774d6a59794d4449314d5441774f533951515338354e54646d5a5445335a6930354f4755314c5451354e3249744f5751304e5330354e3251794d6d5a6d4d7a52695a4467756347526d&amp;Fich=957fe17f-98e5-497b-9d45-97d22ff34bd8.pdf&amp;Inline=true</t>
        </is>
      </c>
      <c r="AH1740" s="3" t="n">
        <v>46321.77847222222</v>
      </c>
      <c r="AI1740" s="3" t="n">
        <v>46321.78055555555</v>
      </c>
      <c r="AJ1740" s="2" t="inlineStr"/>
    </row>
    <row r="1741">
      <c r="A1741" s="2" t="n">
        <v>1740</v>
      </c>
      <c r="B1741" s="2" t="inlineStr">
        <is>
          <t>1644C</t>
        </is>
      </c>
      <c r="C1741" s="3" t="n">
        <v>45968.66736111111</v>
      </c>
      <c r="D1741" s="2" t="inlineStr">
        <is>
          <t>Original</t>
        </is>
      </c>
      <c r="E1741" s="2" t="inlineStr">
        <is>
          <t>L</t>
        </is>
      </c>
      <c r="F1741" s="2" t="inlineStr">
        <is>
          <t>Filipa Pinto; Isabel Mendes Lopes; Jorge Pinto; Patrícia Gonçalves; Paulo Muacho; Rui Tavares</t>
        </is>
      </c>
      <c r="G1741" s="2" t="inlineStr">
        <is>
          <t>Art. 119.º-A (aditamento)</t>
        </is>
      </c>
      <c r="H1741" s="2" t="n"/>
      <c r="I1741" s="2" t="n"/>
      <c r="J1741" s="2" t="n"/>
      <c r="K1741" s="2" t="n"/>
      <c r="L1741" s="2" t="inlineStr">
        <is>
          <t>Artigo 119.º-A (Campanha de divulgação sobre descolamento da retina)</t>
        </is>
      </c>
      <c r="M1741" s="4" t="n"/>
      <c r="N1741" s="4" t="n"/>
      <c r="O1741" s="2" t="n"/>
      <c r="P1741" s="2" t="n"/>
      <c r="Q1741" s="2" t="n"/>
      <c r="R1741" s="2" t="n"/>
      <c r="S1741" s="2" t="inlineStr">
        <is>
          <t>Aprovado(a) em Comissão</t>
        </is>
      </c>
      <c r="T1741" s="2" t="inlineStr">
        <is>
          <t>Aprovada</t>
        </is>
      </c>
      <c r="U1741" s="2" t="inlineStr">
        <is>
          <t>Favor: CH, PS, IL, L, PCP, BE, PAN; Abstenção: PSD, CDS-PP</t>
        </is>
      </c>
      <c r="V1741" s="3" t="n">
        <v>45985</v>
      </c>
      <c r="W1741" s="2" t="inlineStr">
        <is>
          <t>AR: https://www.parlamento.pt/OrcamentoEstado/Paginas/DetalhePropostaAlteracao.aspx?BID=24892 PDF: https://app.parlamento.pt/webutils/docs/doc.pdf?path=6148523063484d364c793942556b356c6443397a6158526c63793959566b6c4a544556484c3039464c7a49774d6a59794d4449314d5441774f533951515338354d4751334e7a55354f5331694f445a6b4c54526d4d474574596d51355a5330324d4449354e3251774e7a55794d7a45756347526d&amp;Fich=90d77599-b86d-4f0a-bd9e-60297d075231.pdf&amp;Inline=true</t>
        </is>
      </c>
      <c r="X1741" s="2" t="inlineStr">
        <is>
          <t>Saúde</t>
        </is>
      </c>
      <c r="Y1741" s="2" t="inlineStr">
        <is>
          <t>Articulado</t>
        </is>
      </c>
      <c r="Z1741" s="2" t="inlineStr">
        <is>
          <t>Aditamento (Artigo PPL)</t>
        </is>
      </c>
      <c r="AA1741" s="2" t="inlineStr">
        <is>
          <t>Aprovado(a) em Comissão</t>
        </is>
      </c>
      <c r="AB1741" s="2" t="inlineStr"/>
      <c r="AC1741" s="2" t="inlineStr"/>
      <c r="AD1741" s="2" t="inlineStr">
        <is>
          <t>1</t>
        </is>
      </c>
      <c r="AE1741" s="2" t="inlineStr">
        <is>
          <t>24892</t>
        </is>
      </c>
      <c r="AF1741" s="2" t="inlineStr">
        <is>
          <t>https://www.parlamento.pt/OrcamentoEstado/Paginas/DetalhePropostaAlteracao.aspx?BID=24892</t>
        </is>
      </c>
      <c r="AG1741" s="2" t="inlineStr">
        <is>
          <t>https://app.parlamento.pt/webutils/docs/doc.pdf?path=6148523063484d364c793942556b356c6443397a6158526c63793959566b6c4a544556484c3039464c7a49774d6a59794d4449314d5441774f533951515338354d4751334e7a55354f5331694f445a6b4c54526d4d474574596d51355a5330324d4449354e3251774e7a55794d7a45756347526d&amp;Fich=90d77599-b86d-4f0a-bd9e-60297d075231.pdf&amp;Inline=true</t>
        </is>
      </c>
      <c r="AH1741" s="3" t="n">
        <v>46321.77847222222</v>
      </c>
      <c r="AI1741" s="3" t="n">
        <v>46321.78055555555</v>
      </c>
      <c r="AJ1741" s="2" t="inlineStr"/>
    </row>
    <row r="1742">
      <c r="A1742" s="2" t="n">
        <v>1741</v>
      </c>
      <c r="B1742" s="2" t="inlineStr">
        <is>
          <t>1645C</t>
        </is>
      </c>
      <c r="C1742" s="3" t="n">
        <v>45968.66736111111</v>
      </c>
      <c r="D1742" s="2" t="inlineStr">
        <is>
          <t>Original</t>
        </is>
      </c>
      <c r="E1742" s="2" t="inlineStr">
        <is>
          <t>PS</t>
        </is>
      </c>
      <c r="F1742" s="2" t="inlineStr">
        <is>
          <t>António Mendonça Mendes; Eurico Brilhante Dias; Jorge Botelho; José Luís Carneiro; Marina Gonçalves; Miguel Matos; Rui Jorge Santos</t>
        </is>
      </c>
      <c r="G1742" s="2" t="inlineStr">
        <is>
          <t>Art. 24.º (aditamento)</t>
        </is>
      </c>
      <c r="H1742" s="2" t="n"/>
      <c r="I1742" s="2" t="n"/>
      <c r="J1742" s="2" t="n"/>
      <c r="K1742" s="2" t="n"/>
      <c r="L1742" s="2" t="inlineStr">
        <is>
          <t>N.º 6, Artigo 24.º</t>
        </is>
      </c>
      <c r="M1742" s="4" t="n"/>
      <c r="N1742" s="4" t="n"/>
      <c r="O1742" s="2" t="n"/>
      <c r="P1742" s="2" t="n"/>
      <c r="Q1742" s="2" t="n"/>
      <c r="R1742" s="2" t="n"/>
      <c r="S1742" s="2" t="inlineStr">
        <is>
          <t>Rejeitado(a) em Comissão</t>
        </is>
      </c>
      <c r="T1742" s="2" t="inlineStr">
        <is>
          <t>Rejeitada</t>
        </is>
      </c>
      <c r="U1742" s="2" t="inlineStr">
        <is>
          <t>Favor: PS, L, PCP, BE, PAN; Contra: PSD, IL, CDS-PP; Abstenção: CH</t>
        </is>
      </c>
      <c r="V1742" s="3" t="n">
        <v>45981</v>
      </c>
      <c r="W1742" s="2" t="inlineStr">
        <is>
          <t>AR: https://www.parlamento.pt/OrcamentoEstado/Paginas/DetalhePropostaAlteracao.aspx?BID=24893 PDF: https://app.parlamento.pt/webutils/docs/doc.pdf?path=6148523063484d364c793942556b356c6443397a6158526c63793959566b6c4a544556484c3039464c7a49774d6a59794d4449314d5441774f5339515153396a4d446378595455335a4330314e4751324c545269596a51744f5464684d53316d4d44597a5a444e685a6d4e6b4e6d49756347526d&amp;Fich=c071a57d-54d6-4bb4-97a1-f063d3afcd6b.pdf&amp;Inline=true</t>
        </is>
      </c>
      <c r="X1742" s="2" t="inlineStr">
        <is>
          <t>Orçamento, Finanças e Administração Pública; Reforma do Estado e Poder Local</t>
        </is>
      </c>
      <c r="Y1742" s="2" t="inlineStr">
        <is>
          <t>Articulado</t>
        </is>
      </c>
      <c r="Z1742" s="2" t="inlineStr">
        <is>
          <t>Aditamento (Números e Alíneas)</t>
        </is>
      </c>
      <c r="AA1742" s="2" t="inlineStr">
        <is>
          <t>Rejeitado(a) em Comissão</t>
        </is>
      </c>
      <c r="AB1742" s="2" t="inlineStr"/>
      <c r="AC1742" s="2" t="inlineStr"/>
      <c r="AD1742" s="2" t="inlineStr">
        <is>
          <t>1</t>
        </is>
      </c>
      <c r="AE1742" s="2" t="inlineStr">
        <is>
          <t>24893</t>
        </is>
      </c>
      <c r="AF1742" s="2" t="inlineStr">
        <is>
          <t>https://www.parlamento.pt/OrcamentoEstado/Paginas/DetalhePropostaAlteracao.aspx?BID=24893</t>
        </is>
      </c>
      <c r="AG1742" s="2" t="inlineStr">
        <is>
          <t>https://app.parlamento.pt/webutils/docs/doc.pdf?path=6148523063484d364c793942556b356c6443397a6158526c63793959566b6c4a544556484c3039464c7a49774d6a59794d4449314d5441774f5339515153396a4d446378595455335a4330314e4751324c545269596a51744f5464684d53316d4d44597a5a444e685a6d4e6b4e6d49756347526d&amp;Fich=c071a57d-54d6-4bb4-97a1-f063d3afcd6b.pdf&amp;Inline=true</t>
        </is>
      </c>
      <c r="AH1742" s="3" t="n">
        <v>46321.77847222222</v>
      </c>
      <c r="AI1742" s="3" t="n">
        <v>46321.78055555555</v>
      </c>
      <c r="AJ1742" s="2" t="inlineStr"/>
    </row>
    <row r="1743">
      <c r="A1743" s="2" t="n">
        <v>1742</v>
      </c>
      <c r="B1743" s="2" t="inlineStr">
        <is>
          <t>1646C</t>
        </is>
      </c>
      <c r="C1743" s="3" t="n">
        <v>45968.66805555556</v>
      </c>
      <c r="D1743" s="2" t="inlineStr">
        <is>
          <t>Original</t>
        </is>
      </c>
      <c r="E1743" s="2" t="inlineStr">
        <is>
          <t>Vários</t>
        </is>
      </c>
      <c r="F1743" s="2" t="inlineStr">
        <is>
          <t>Alberto Fonseca; Ana Gabriela Cabilhas; Bruno Faria; Carolina Marques; Eva Brás Pinho; Francisco Pimentel; Hugo Carneiro; Hugo Soares; Inês Barroso; João Pedro Louro; José Lago Gonçalves; Leandro Ferreira Luís; Martim Syder; Pedro Alves; Ricardo Carlos; João Pinho de Almeida; Paulo Núncio</t>
        </is>
      </c>
      <c r="G1743" s="2" t="inlineStr">
        <is>
          <t>Art. 118.º-A (aditamento)</t>
        </is>
      </c>
      <c r="H1743" s="2" t="n"/>
      <c r="I1743" s="2" t="n"/>
      <c r="J1743" s="2" t="n"/>
      <c r="K1743" s="2" t="n"/>
      <c r="L1743" s="2" t="inlineStr">
        <is>
          <t>Artigo 118.º-A (Alteração ao Decreto-Lei n.º 42/2005, de 22 de fevereiro)</t>
        </is>
      </c>
      <c r="M1743" s="4" t="n"/>
      <c r="N1743" s="4" t="n"/>
      <c r="O1743" s="2" t="n"/>
      <c r="P1743" s="2" t="n"/>
      <c r="Q1743" s="2" t="n"/>
      <c r="R1743" s="2" t="n"/>
      <c r="S1743" s="2" t="inlineStr">
        <is>
          <t>Aprovado(a) por Unanimidade em Comissão</t>
        </is>
      </c>
      <c r="T1743" s="2" t="inlineStr">
        <is>
          <t>Aprovada</t>
        </is>
      </c>
      <c r="U1743" s="2" t="inlineStr">
        <is>
          <t>Favor: PSD, CH, PS, IL, L, PCP, CDS-PP, BE, PAN</t>
        </is>
      </c>
      <c r="V1743" s="3" t="n">
        <v>45985</v>
      </c>
      <c r="W1743" s="2" t="inlineStr">
        <is>
          <t>AR: https://www.parlamento.pt/OrcamentoEstado/Paginas/DetalhePropostaAlteracao.aspx?BID=24894 PDF: https://app.parlamento.pt/webutils/docs/doc.pdf?path=6148523063484d364c793942556b356c6443397a6158526c63793959566b6c4a544556484c3039464c7a49774d6a59794d4449314d5441774f533951515338785932566b5a545a6b4f433168597a4d784c5451335a6a4174595467344f53316c4e6a646d5a544d304e6a63774f546b756347526d&amp;Fich=1cede6d8-ac31-47f0-a889-e67fe3467099.pdf&amp;Inline=true</t>
        </is>
      </c>
      <c r="X1743" s="2" t="inlineStr">
        <is>
          <t>Educação e Ciência</t>
        </is>
      </c>
      <c r="Y1743" s="2" t="inlineStr">
        <is>
          <t>Articulado</t>
        </is>
      </c>
      <c r="Z1743" s="2" t="inlineStr">
        <is>
          <t>Aditamento (Artigo PPL)</t>
        </is>
      </c>
      <c r="AA1743" s="2" t="inlineStr">
        <is>
          <t>Aprovado(a) por Unanimidade em Comissão</t>
        </is>
      </c>
      <c r="AB1743" s="2" t="inlineStr"/>
      <c r="AC1743" s="2" t="inlineStr"/>
      <c r="AD1743" s="2" t="inlineStr">
        <is>
          <t>1</t>
        </is>
      </c>
      <c r="AE1743" s="2" t="inlineStr">
        <is>
          <t>24894</t>
        </is>
      </c>
      <c r="AF1743" s="2" t="inlineStr">
        <is>
          <t>https://www.parlamento.pt/OrcamentoEstado/Paginas/DetalhePropostaAlteracao.aspx?BID=24894</t>
        </is>
      </c>
      <c r="AG1743" s="2" t="inlineStr">
        <is>
          <t>https://app.parlamento.pt/webutils/docs/doc.pdf?path=6148523063484d364c793942556b356c6443397a6158526c63793959566b6c4a544556484c3039464c7a49774d6a59794d4449314d5441774f533951515338785932566b5a545a6b4f433168597a4d784c5451335a6a4174595467344f53316c4e6a646d5a544d304e6a63774f546b756347526d&amp;Fich=1cede6d8-ac31-47f0-a889-e67fe3467099.pdf&amp;Inline=true</t>
        </is>
      </c>
      <c r="AH1743" s="3" t="n">
        <v>46321.77847222222</v>
      </c>
      <c r="AI1743" s="3" t="n">
        <v>46321.78055555555</v>
      </c>
      <c r="AJ1743" s="2" t="inlineStr"/>
    </row>
    <row r="1744">
      <c r="A1744" s="2" t="n">
        <v>1743</v>
      </c>
      <c r="B1744" s="2" t="inlineStr">
        <is>
          <t>1647C</t>
        </is>
      </c>
      <c r="C1744" s="3" t="n">
        <v>45968.66805555556</v>
      </c>
      <c r="D1744" s="2" t="inlineStr">
        <is>
          <t>Original</t>
        </is>
      </c>
      <c r="E1744" s="2" t="inlineStr">
        <is>
          <t>L</t>
        </is>
      </c>
      <c r="F1744" s="2" t="inlineStr">
        <is>
          <t>Filipa Pinto; Isabel Mendes Lopes; Jorge Pinto; Patrícia Gonçalves; Paulo Muacho; Rui Tavares</t>
        </is>
      </c>
      <c r="G1744" s="2" t="inlineStr">
        <is>
          <t>Art. 119.º (aditamento)</t>
        </is>
      </c>
      <c r="H1744" s="2" t="n"/>
      <c r="I1744" s="2" t="n"/>
      <c r="J1744" s="2" t="n"/>
      <c r="K1744" s="2" t="n"/>
      <c r="L1744" s="2" t="inlineStr">
        <is>
          <t>N.º 9, Artigo 119.º</t>
        </is>
      </c>
      <c r="M1744" s="4" t="n"/>
      <c r="N1744" s="4" t="n"/>
      <c r="O1744" s="2" t="n"/>
      <c r="P1744" s="2" t="n"/>
      <c r="Q1744" s="2" t="n"/>
      <c r="R1744" s="2" t="n"/>
      <c r="S1744" s="2" t="inlineStr">
        <is>
          <t>Rejeitado(a) em Comissão</t>
        </is>
      </c>
      <c r="T1744" s="2" t="inlineStr">
        <is>
          <t>Rejeitada</t>
        </is>
      </c>
      <c r="U1744" s="2" t="inlineStr">
        <is>
          <t>Favor: L, PCP; Contra: PSD, IL, CDS-PP; Abstenção: CH, PS, BE, PAN</t>
        </is>
      </c>
      <c r="V1744" s="3" t="n">
        <v>45985</v>
      </c>
      <c r="W1744" s="2" t="inlineStr">
        <is>
          <t>AR: https://www.parlamento.pt/OrcamentoEstado/Paginas/DetalhePropostaAlteracao.aspx?BID=24895 PDF: https://app.parlamento.pt/webutils/docs/doc.pdf?path=6148523063484d364c793942556b356c6443397a6158526c63793959566b6c4a544556484c3039464c7a49774d6a59794d4449314d5441774f5339515153387a4f446c694d6d4d344d5330354e6d457a4c5451344e546774596d51775a43316c4d7a45355a4441304e7a6b31593255756347526d&amp;Fich=389b2c81-96a3-4858-bd0d-e319d04795ce.pdf&amp;Inline=true</t>
        </is>
      </c>
      <c r="X1744" s="2" t="inlineStr">
        <is>
          <t>Orçamento, Finanças e Administração Pública; Saúde</t>
        </is>
      </c>
      <c r="Y1744" s="2" t="inlineStr">
        <is>
          <t>Articulado</t>
        </is>
      </c>
      <c r="Z1744" s="2" t="inlineStr">
        <is>
          <t>Aditamento (Números e Alíneas)</t>
        </is>
      </c>
      <c r="AA1744" s="2" t="inlineStr">
        <is>
          <t>Rejeitado(a) em Comissão</t>
        </is>
      </c>
      <c r="AB1744" s="2" t="inlineStr"/>
      <c r="AC1744" s="2" t="inlineStr"/>
      <c r="AD1744" s="2" t="inlineStr">
        <is>
          <t>1</t>
        </is>
      </c>
      <c r="AE1744" s="2" t="inlineStr">
        <is>
          <t>24895</t>
        </is>
      </c>
      <c r="AF1744" s="2" t="inlineStr">
        <is>
          <t>https://www.parlamento.pt/OrcamentoEstado/Paginas/DetalhePropostaAlteracao.aspx?BID=24895</t>
        </is>
      </c>
      <c r="AG1744" s="2" t="inlineStr">
        <is>
          <t>https://app.parlamento.pt/webutils/docs/doc.pdf?path=6148523063484d364c793942556b356c6443397a6158526c63793959566b6c4a544556484c3039464c7a49774d6a59794d4449314d5441774f5339515153387a4f446c694d6d4d344d5330354e6d457a4c5451344e546774596d51775a43316c4d7a45355a4441304e7a6b31593255756347526d&amp;Fich=389b2c81-96a3-4858-bd0d-e319d04795ce.pdf&amp;Inline=true</t>
        </is>
      </c>
      <c r="AH1744" s="3" t="n">
        <v>46321.77847222222</v>
      </c>
      <c r="AI1744" s="3" t="n">
        <v>46321.78055555555</v>
      </c>
      <c r="AJ1744" s="2" t="inlineStr"/>
    </row>
    <row r="1745">
      <c r="A1745" s="2" t="n">
        <v>1744</v>
      </c>
      <c r="B1745" s="2" t="inlineStr">
        <is>
          <t>1648C-1</t>
        </is>
      </c>
      <c r="C1745" s="3" t="n">
        <v>45968.66805555556</v>
      </c>
      <c r="D1745" s="2" t="inlineStr">
        <is>
          <t>Original</t>
        </is>
      </c>
      <c r="E1745" s="2" t="inlineStr">
        <is>
          <t>IL</t>
        </is>
      </c>
      <c r="F1745" s="2" t="inlineStr">
        <is>
          <t>Angélique Da Teresa; Carlos Guimarães Pinto; Joana Cordeiro; Jorge Miguel Teixeira; Mariana Leitão; Mário Amorim Lopes; Miguel Rangel; Rodrigo Saraiva; Rui Rocha</t>
        </is>
      </c>
      <c r="G1745" s="2" t="inlineStr">
        <is>
          <t>Art. 138.º (aditamento)</t>
        </is>
      </c>
      <c r="H1745" s="2" t="n"/>
      <c r="I1745" s="2" t="n"/>
      <c r="J1745" s="2" t="n"/>
      <c r="K1745" s="2" t="n"/>
      <c r="L1745" s="2" t="inlineStr">
        <is>
          <t>Alínea c), Artigo 138.º</t>
        </is>
      </c>
      <c r="M1745" s="4" t="n"/>
      <c r="N1745" s="4" t="n"/>
      <c r="O1745" s="2" t="n"/>
      <c r="P1745" s="2" t="n"/>
      <c r="Q1745" s="2" t="n"/>
      <c r="R1745" s="2" t="n"/>
      <c r="S1745" s="2" t="inlineStr">
        <is>
          <t>Rejeitado(a) em Comissão</t>
        </is>
      </c>
      <c r="T1745" s="2" t="inlineStr">
        <is>
          <t>Rejeitada</t>
        </is>
      </c>
      <c r="U1745" s="2" t="inlineStr">
        <is>
          <t>Favor: CH, IL, L, BE, PAN; Contra: PSD, PCP, CDS-PP; Abstenção: PS</t>
        </is>
      </c>
      <c r="V1745" s="3" t="n">
        <v>45987</v>
      </c>
      <c r="W1745" s="2" t="inlineStr">
        <is>
          <t>AR: https://www.parlamento.pt/OrcamentoEstado/Paginas/DetalhePropostaAlteracao.aspx?BID=24896 PDF: https://app.parlamento.pt/webutils/docs/doc.pdf?path=6148523063484d364c793942556b356c6443397a6158526c63793959566b6c4a544556484c3039464c7a49774d6a59794d4449314d5441774f533951515338314f5445304e6d45774e53307a4d6a4d314c5451774d6a41744f544e6a5a4330334f444a6a597a4532595463794e5459756347526d&amp;Fich=59146a05-3235-4020-93cd-782cc16a7256.pdf&amp;Inline=true</t>
        </is>
      </c>
      <c r="X1745" s="2" t="inlineStr">
        <is>
          <t>Orçamento, Finanças e Administração Pública; Reforma do Estado e Poder Local</t>
        </is>
      </c>
      <c r="Y1745" s="2" t="inlineStr">
        <is>
          <t>Articulado</t>
        </is>
      </c>
      <c r="Z1745" s="2" t="inlineStr">
        <is>
          <t>Aditamento (Números e Alíneas)</t>
        </is>
      </c>
      <c r="AA1745" s="2" t="inlineStr">
        <is>
          <t>Rejeitado(a) em Comissão</t>
        </is>
      </c>
      <c r="AB1745" s="2" t="inlineStr"/>
      <c r="AC1745" s="2" t="inlineStr">
        <is>
          <t>1</t>
        </is>
      </c>
      <c r="AD1745" s="2" t="inlineStr">
        <is>
          <t>1</t>
        </is>
      </c>
      <c r="AE1745" s="2" t="inlineStr">
        <is>
          <t>24896</t>
        </is>
      </c>
      <c r="AF1745" s="2" t="inlineStr">
        <is>
          <t>https://www.parlamento.pt/OrcamentoEstado/Paginas/DetalhePropostaAlteracao.aspx?BID=24896</t>
        </is>
      </c>
      <c r="AG1745" s="2" t="inlineStr">
        <is>
          <t>https://app.parlamento.pt/webutils/docs/doc.pdf?path=6148523063484d364c793942556b356c6443397a6158526c63793959566b6c4a544556484c3039464c7a49774d6a59794d4449314d5441774f533951515338314f5445304e6d45774e53307a4d6a4d314c5451774d6a41744f544e6a5a4330334f444a6a597a4532595463794e5459756347526d&amp;Fich=59146a05-3235-4020-93cd-782cc16a7256.pdf&amp;Inline=true</t>
        </is>
      </c>
      <c r="AH1745" s="3" t="n">
        <v>46321.77847222222</v>
      </c>
      <c r="AI1745" s="3" t="n">
        <v>46321.78055555555</v>
      </c>
      <c r="AJ1745" s="2" t="inlineStr"/>
    </row>
    <row r="1746">
      <c r="A1746" s="2" t="n">
        <v>1745</v>
      </c>
      <c r="B1746" s="2" t="inlineStr">
        <is>
          <t>1648C-2</t>
        </is>
      </c>
      <c r="C1746" s="3" t="n">
        <v>45968.66805555556</v>
      </c>
      <c r="D1746" s="2" t="inlineStr">
        <is>
          <t>Original</t>
        </is>
      </c>
      <c r="E1746" s="2" t="inlineStr">
        <is>
          <t>IL</t>
        </is>
      </c>
      <c r="F1746" s="2" t="inlineStr">
        <is>
          <t>Angélique Da Teresa; Carlos Guimarães Pinto; Joana Cordeiro; Jorge Miguel Teixeira; Mariana Leitão; Mário Amorim Lopes; Miguel Rangel; Rodrigo Saraiva; Rui Rocha</t>
        </is>
      </c>
      <c r="G1746" s="2" t="inlineStr">
        <is>
          <t>Art. 114.º-A (aditamento)</t>
        </is>
      </c>
      <c r="H1746" s="2" t="n"/>
      <c r="I1746" s="2" t="n"/>
      <c r="J1746" s="2" t="n"/>
      <c r="K1746" s="2" t="n"/>
      <c r="L1746" s="2" t="inlineStr">
        <is>
          <t>Artigo 114.º-A (Alteração ao Código de Registo Comercial)</t>
        </is>
      </c>
      <c r="M1746" s="4" t="n"/>
      <c r="N1746" s="4" t="n"/>
      <c r="O1746" s="2" t="n"/>
      <c r="P1746" s="2" t="n"/>
      <c r="Q1746" s="2" t="n"/>
      <c r="R1746" s="2" t="n"/>
      <c r="S1746" s="2" t="inlineStr">
        <is>
          <t>Rejeitado(a) em Comissão</t>
        </is>
      </c>
      <c r="T1746" s="2" t="inlineStr">
        <is>
          <t>Rejeitada</t>
        </is>
      </c>
      <c r="U1746" s="2" t="inlineStr">
        <is>
          <t>Favor: CH, IL, PCP, BE, PAN; Contra: PSD, CDS-PP; Abstenção: PS, L</t>
        </is>
      </c>
      <c r="V1746" s="3" t="n">
        <v>45985</v>
      </c>
      <c r="W1746" s="2" t="inlineStr">
        <is>
          <t>AR: https://www.parlamento.pt/OrcamentoEstado/Paginas/DetalhePropostaAlteracao.aspx?BID=25343 PDF: https://app.parlamento.pt/webutils/docs/doc.pdf?path=6148523063484d364c793942556b356c6443397a6158526c63793959566b6c4a544556484c3039464c7a49774d6a59794d4449314d5441774f533951515339685a4745355a6d4d324d69316d4f5467304c5451774d545174595468685a5330334e7a466b4f5449344f545134596d59756347526d&amp;Fich=ada9fc62-f984-4014-a8ae-771d928948bf.pdf&amp;Inline=true</t>
        </is>
      </c>
      <c r="X1746" s="2" t="inlineStr">
        <is>
          <t>Orçamento, Finanças e Administração Pública; Reforma do Estado e Poder Local</t>
        </is>
      </c>
      <c r="Y1746" s="2" t="inlineStr">
        <is>
          <t>Articulado</t>
        </is>
      </c>
      <c r="Z1746" s="2" t="inlineStr">
        <is>
          <t>Aditamento (Artigo PPL)</t>
        </is>
      </c>
      <c r="AA1746" s="2" t="inlineStr">
        <is>
          <t>Rejeitado(a) em Comissão</t>
        </is>
      </c>
      <c r="AB1746" s="2" t="inlineStr"/>
      <c r="AC1746" s="2" t="inlineStr">
        <is>
          <t>2</t>
        </is>
      </c>
      <c r="AD1746" s="2" t="inlineStr">
        <is>
          <t>1</t>
        </is>
      </c>
      <c r="AE1746" s="2" t="inlineStr">
        <is>
          <t>25343</t>
        </is>
      </c>
      <c r="AF1746" s="2" t="inlineStr">
        <is>
          <t>https://www.parlamento.pt/OrcamentoEstado/Paginas/DetalhePropostaAlteracao.aspx?BID=25343</t>
        </is>
      </c>
      <c r="AG1746" s="2" t="inlineStr">
        <is>
          <t>https://app.parlamento.pt/webutils/docs/doc.pdf?path=6148523063484d364c793942556b356c6443397a6158526c63793959566b6c4a544556484c3039464c7a49774d6a59794d4449314d5441774f533951515339685a4745355a6d4d324d69316d4f5467304c5451774d545174595468685a5330334e7a466b4f5449344f545134596d59756347526d&amp;Fich=ada9fc62-f984-4014-a8ae-771d928948bf.pdf&amp;Inline=true</t>
        </is>
      </c>
      <c r="AH1746" s="3" t="n">
        <v>46321.77847222222</v>
      </c>
      <c r="AI1746" s="3" t="n">
        <v>46321.78055555555</v>
      </c>
      <c r="AJ1746" s="2" t="inlineStr"/>
    </row>
    <row r="1747">
      <c r="A1747" s="2" t="n">
        <v>1746</v>
      </c>
      <c r="B1747" s="2" t="inlineStr">
        <is>
          <t>1649C</t>
        </is>
      </c>
      <c r="C1747" s="3" t="n">
        <v>45968.66805555556</v>
      </c>
      <c r="D1747" s="2" t="inlineStr">
        <is>
          <t>Original</t>
        </is>
      </c>
      <c r="E1747" s="2" t="inlineStr">
        <is>
          <t>PS</t>
        </is>
      </c>
      <c r="F1747" s="2" t="inlineStr">
        <is>
          <t>António Mendonça Mendes; Eurico Brilhante Dias; Jorge Botelho; José Luís Carneiro; Marina Gonçalves; Miguel Matos; Rui Jorge Santos</t>
        </is>
      </c>
      <c r="G1747" s="2" t="inlineStr">
        <is>
          <t>Art. 89.º (aditamento)</t>
        </is>
      </c>
      <c r="H1747" s="2" t="n"/>
      <c r="I1747" s="2" t="n"/>
      <c r="J1747" s="2" t="n"/>
      <c r="K1747" s="2" t="n"/>
      <c r="L1747" s="2" t="inlineStr">
        <is>
          <t>N.º 7, Artigo 89.º</t>
        </is>
      </c>
      <c r="M1747" s="4" t="n"/>
      <c r="N1747" s="4" t="n"/>
      <c r="O1747" s="2" t="n"/>
      <c r="P1747" s="2" t="n"/>
      <c r="Q1747" s="2" t="n"/>
      <c r="R1747" s="2" t="n"/>
      <c r="S1747" s="2" t="inlineStr">
        <is>
          <t>Rejeitado(a) em Plenário</t>
        </is>
      </c>
      <c r="T1747" s="2" t="inlineStr">
        <is>
          <t>Rejeitada</t>
        </is>
      </c>
      <c r="U1747" s="2" t="inlineStr">
        <is>
          <t>Favor: PS, PAN, JPP; Contra: PSD, CH, IL, PCP, CDS-PP; Abstenção: L, BE</t>
        </is>
      </c>
      <c r="V1747" s="3" t="n">
        <v>45985</v>
      </c>
      <c r="W1747" s="2" t="inlineStr">
        <is>
          <t>Avocada a Plenário. AR: https://www.parlamento.pt/OrcamentoEstado/Paginas/DetalhePropostaAlteracao.aspx?BID=24897 PDF: https://app.parlamento.pt/webutils/docs/doc.pdf?path=6148523063484d364c793942556b356c6443397a6158526c63793959566b6c4a544556484c3039464c7a49774d6a59794d4449314d5441774f533951515338784e574a6a597a59795a5330325a6a4a6b4c5451784d6a41744f5456695953303059574d784e545a6d4e7a566d4d5745756347526d&amp;Fich=15bcc62e-6f2d-4120-95ba-4ac156f75f1a.pdf&amp;Inline=true</t>
        </is>
      </c>
      <c r="X1747" s="2" t="inlineStr">
        <is>
          <t>Orçamento, Finanças e Administração Pública; Reforma do Estado e Poder Local</t>
        </is>
      </c>
      <c r="Y1747" s="2" t="inlineStr">
        <is>
          <t>Articulado</t>
        </is>
      </c>
      <c r="Z1747" s="2" t="inlineStr">
        <is>
          <t>Aditamento (Números e Alíneas)</t>
        </is>
      </c>
      <c r="AA1747" s="2" t="inlineStr">
        <is>
          <t>Rejeitado(a) em Plenário</t>
        </is>
      </c>
      <c r="AB1747" s="2" t="inlineStr">
        <is>
          <t>S</t>
        </is>
      </c>
      <c r="AC1747" s="2" t="inlineStr"/>
      <c r="AD1747" s="2" t="inlineStr">
        <is>
          <t>1</t>
        </is>
      </c>
      <c r="AE1747" s="2" t="inlineStr">
        <is>
          <t>24897</t>
        </is>
      </c>
      <c r="AF1747" s="2" t="inlineStr">
        <is>
          <t>https://www.parlamento.pt/OrcamentoEstado/Paginas/DetalhePropostaAlteracao.aspx?BID=24897</t>
        </is>
      </c>
      <c r="AG1747" s="2" t="inlineStr">
        <is>
          <t>https://app.parlamento.pt/webutils/docs/doc.pdf?path=6148523063484d364c793942556b356c6443397a6158526c63793959566b6c4a544556484c3039464c7a49774d6a59794d4449314d5441774f533951515338784e574a6a597a59795a5330325a6a4a6b4c5451784d6a41744f5456695953303059574d784e545a6d4e7a566d4d5745756347526d&amp;Fich=15bcc62e-6f2d-4120-95ba-4ac156f75f1a.pdf&amp;Inline=true</t>
        </is>
      </c>
      <c r="AH1747" s="3" t="n">
        <v>46321.77847222222</v>
      </c>
      <c r="AI1747" s="3" t="n">
        <v>46321.78055555555</v>
      </c>
      <c r="AJ1747" s="2" t="inlineStr"/>
    </row>
    <row r="1748">
      <c r="A1748" s="2" t="n">
        <v>1747</v>
      </c>
      <c r="B1748" s="2" t="inlineStr">
        <is>
          <t>1650C-1</t>
        </is>
      </c>
      <c r="C1748" s="3" t="n">
        <v>45968.66944444444</v>
      </c>
      <c r="D1748" s="2" t="inlineStr">
        <is>
          <t>Original</t>
        </is>
      </c>
      <c r="E1748" s="2" t="inlineStr">
        <is>
          <t>PS</t>
        </is>
      </c>
      <c r="F1748" s="2" t="inlineStr">
        <is>
          <t>António Mendonça Mendes; Eurico Brilhante Dias; Jorge Botelho; José Luís Carneiro; Marina Gonçalves; Miguel Matos; Rui Jorge Santos</t>
        </is>
      </c>
      <c r="G1748" s="2" t="inlineStr">
        <is>
          <t>Art. 101.º (substituição)</t>
        </is>
      </c>
      <c r="H1748" s="2" t="n"/>
      <c r="I1748" s="2" t="n"/>
      <c r="J1748" s="2" t="n"/>
      <c r="K1748" s="2" t="n"/>
      <c r="L1748" s="2" t="inlineStr">
        <is>
          <t>N.º 1, Artigo 101.º</t>
        </is>
      </c>
      <c r="M1748" s="4" t="n"/>
      <c r="N1748" s="4" t="n"/>
      <c r="O1748" s="2" t="n"/>
      <c r="P1748" s="2" t="n"/>
      <c r="Q1748" s="2" t="n"/>
      <c r="R1748" s="2" t="n"/>
      <c r="S1748" s="2" t="inlineStr">
        <is>
          <t>Aprovado(a) em Plenário</t>
        </is>
      </c>
      <c r="T1748" s="2" t="inlineStr">
        <is>
          <t>Aprovada</t>
        </is>
      </c>
      <c r="U1748" s="2" t="inlineStr">
        <is>
          <t>Favor: PSD, PS, IL, L, CDS-PP, PAN, JPP; Contra: PCP; Abstenção: CH, BE</t>
        </is>
      </c>
      <c r="V1748" s="3" t="n">
        <v>45985</v>
      </c>
      <c r="W1748" s="2" t="inlineStr">
        <is>
          <t>Avocada a Plenário. AR: https://www.parlamento.pt/OrcamentoEstado/Paginas/DetalhePropostaAlteracao.aspx?BID=24898 PDF: https://app.parlamento.pt/webutils/docs/doc.pdf?path=6148523063484d364c793942556b356c6443397a6158526c63793959566b6c4a544556484c3039464c7a49774d6a59794d4449314d5441774f5339515153396a5a446c6a4e475a6a5a5331684f47566b4c54517a4d6a4174596a51785a4330324e5442684d445a6a596a4d314d5755756347526d&amp;Fich=cd9c4fce-a8ed-4320-b41d-650a06cb351e.pdf&amp;Inline=true</t>
        </is>
      </c>
      <c r="X1748" s="2" t="inlineStr">
        <is>
          <t>Orçamento, Finanças e Administração Pública; Reforma do Estado e Poder Local</t>
        </is>
      </c>
      <c r="Y1748" s="2" t="inlineStr">
        <is>
          <t>Articulado</t>
        </is>
      </c>
      <c r="Z1748" s="2" t="inlineStr">
        <is>
          <t>Substituição</t>
        </is>
      </c>
      <c r="AA1748" s="2" t="inlineStr">
        <is>
          <t>Aprovado(a) em Plenário</t>
        </is>
      </c>
      <c r="AB1748" s="2" t="inlineStr">
        <is>
          <t>S</t>
        </is>
      </c>
      <c r="AC1748" s="2" t="inlineStr">
        <is>
          <t>1</t>
        </is>
      </c>
      <c r="AD1748" s="2" t="inlineStr">
        <is>
          <t>1</t>
        </is>
      </c>
      <c r="AE1748" s="2" t="inlineStr">
        <is>
          <t>24898</t>
        </is>
      </c>
      <c r="AF1748" s="2" t="inlineStr">
        <is>
          <t>https://www.parlamento.pt/OrcamentoEstado/Paginas/DetalhePropostaAlteracao.aspx?BID=24898</t>
        </is>
      </c>
      <c r="AG1748" s="2" t="inlineStr">
        <is>
          <t>https://app.parlamento.pt/webutils/docs/doc.pdf?path=6148523063484d364c793942556b356c6443397a6158526c63793959566b6c4a544556484c3039464c7a49774d6a59794d4449314d5441774f5339515153396a5a446c6a4e475a6a5a5331684f47566b4c54517a4d6a4174596a51785a4330324e5442684d445a6a596a4d314d5755756347526d&amp;Fich=cd9c4fce-a8ed-4320-b41d-650a06cb351e.pdf&amp;Inline=true</t>
        </is>
      </c>
      <c r="AH1748" s="3" t="n">
        <v>46321.77847222222</v>
      </c>
      <c r="AI1748" s="3" t="n">
        <v>46321.78055555555</v>
      </c>
      <c r="AJ1748" s="2" t="inlineStr"/>
    </row>
    <row r="1749">
      <c r="A1749" s="2" t="n">
        <v>1748</v>
      </c>
      <c r="B1749" s="2" t="inlineStr">
        <is>
          <t>1650C-2</t>
        </is>
      </c>
      <c r="C1749" s="3" t="n">
        <v>45968.66944444444</v>
      </c>
      <c r="D1749" s="2" t="inlineStr">
        <is>
          <t>Original</t>
        </is>
      </c>
      <c r="E1749" s="2" t="inlineStr">
        <is>
          <t>PS</t>
        </is>
      </c>
      <c r="F1749" s="2" t="inlineStr">
        <is>
          <t>António Mendonça Mendes; Eurico Brilhante Dias; Jorge Botelho; José Luís Carneiro; Marina Gonçalves; Miguel Matos; Rui Jorge Santos</t>
        </is>
      </c>
      <c r="G1749" s="2" t="inlineStr">
        <is>
          <t>Art. 101.º (aditamento)</t>
        </is>
      </c>
      <c r="H1749" s="2" t="n"/>
      <c r="I1749" s="2" t="n"/>
      <c r="J1749" s="2" t="n"/>
      <c r="K1749" s="2" t="n"/>
      <c r="L1749" s="2" t="inlineStr">
        <is>
          <t>N.º 4, Artigo 101.º</t>
        </is>
      </c>
      <c r="M1749" s="4" t="n"/>
      <c r="N1749" s="4" t="n"/>
      <c r="O1749" s="2" t="n"/>
      <c r="P1749" s="2" t="n"/>
      <c r="Q1749" s="2" t="n"/>
      <c r="R1749" s="2" t="n"/>
      <c r="S1749" s="2" t="inlineStr">
        <is>
          <t>Aprovado(a) em Plenário</t>
        </is>
      </c>
      <c r="T1749" s="2" t="inlineStr">
        <is>
          <t>Aprovada</t>
        </is>
      </c>
      <c r="U1749" s="2" t="inlineStr">
        <is>
          <t>Favor: PSD, PS, L, CDS-PP, PAN, JPP; Contra: IL, PCP; Abstenção: CH, BE</t>
        </is>
      </c>
      <c r="V1749" s="3" t="n">
        <v>45985</v>
      </c>
      <c r="W1749" s="2" t="inlineStr">
        <is>
          <t>Avocada a Plenário. AR: https://www.parlamento.pt/OrcamentoEstado/Paginas/DetalhePropostaAlteracao.aspx?BID=25344 PDF: https://app.parlamento.pt/webutils/docs/doc.pdf?path=6148523063484d364c793942556b356c6443397a6158526c63793959566b6c4a544556484c3039464c7a49774d6a59794d4449314d5441774f533951515339694d54597a4e3255335a69316b4e5441344c545132596a55744f474a6b4d43316c4e475579597a426a4e7a6778593249756347526d&amp;Fich=b1637e7f-d508-46b5-8bd0-e4e2c0c781cb.pdf&amp;Inline=true</t>
        </is>
      </c>
      <c r="X1749" s="2" t="inlineStr">
        <is>
          <t>Orçamento, Finanças e Administração Pública; Reforma do Estado e Poder Local</t>
        </is>
      </c>
      <c r="Y1749" s="2" t="inlineStr">
        <is>
          <t>Articulado</t>
        </is>
      </c>
      <c r="Z1749" s="2" t="inlineStr">
        <is>
          <t>Aditamento (Números e Alíneas)</t>
        </is>
      </c>
      <c r="AA1749" s="2" t="inlineStr">
        <is>
          <t>Aprovado(a) em Plenário</t>
        </is>
      </c>
      <c r="AB1749" s="2" t="inlineStr">
        <is>
          <t>S</t>
        </is>
      </c>
      <c r="AC1749" s="2" t="inlineStr">
        <is>
          <t>2</t>
        </is>
      </c>
      <c r="AD1749" s="2" t="inlineStr">
        <is>
          <t>1</t>
        </is>
      </c>
      <c r="AE1749" s="2" t="inlineStr">
        <is>
          <t>25344</t>
        </is>
      </c>
      <c r="AF1749" s="2" t="inlineStr">
        <is>
          <t>https://www.parlamento.pt/OrcamentoEstado/Paginas/DetalhePropostaAlteracao.aspx?BID=25344</t>
        </is>
      </c>
      <c r="AG1749" s="2" t="inlineStr">
        <is>
          <t>https://app.parlamento.pt/webutils/docs/doc.pdf?path=6148523063484d364c793942556b356c6443397a6158526c63793959566b6c4a544556484c3039464c7a49774d6a59794d4449314d5441774f533951515339694d54597a4e3255335a69316b4e5441344c545132596a55744f474a6b4d43316c4e475579597a426a4e7a6778593249756347526d&amp;Fich=b1637e7f-d508-46b5-8bd0-e4e2c0c781cb.pdf&amp;Inline=true</t>
        </is>
      </c>
      <c r="AH1749" s="3" t="n">
        <v>46321.77847222222</v>
      </c>
      <c r="AI1749" s="3" t="n">
        <v>46321.78055555555</v>
      </c>
      <c r="AJ1749" s="2" t="inlineStr"/>
    </row>
    <row r="1750">
      <c r="A1750" s="2" t="n">
        <v>1749</v>
      </c>
      <c r="B1750" s="2" t="inlineStr">
        <is>
          <t>1651C</t>
        </is>
      </c>
      <c r="C1750" s="3" t="n">
        <v>45968.66944444444</v>
      </c>
      <c r="D1750" s="2" t="inlineStr">
        <is>
          <t>Original</t>
        </is>
      </c>
      <c r="E1750" s="2" t="inlineStr">
        <is>
          <t>L</t>
        </is>
      </c>
      <c r="F1750" s="2" t="inlineStr">
        <is>
          <t>Filipa Pinto; Isabel Mendes Lopes; Jorge Pinto; Patrícia Gonçalves; Paulo Muacho; Rui Tavares</t>
        </is>
      </c>
      <c r="G1750" s="2" t="inlineStr">
        <is>
          <t>Art. 119.º-A (aditamento)</t>
        </is>
      </c>
      <c r="H1750" s="2" t="n"/>
      <c r="I1750" s="2" t="n"/>
      <c r="J1750" s="2" t="n"/>
      <c r="K1750" s="2" t="n"/>
      <c r="L1750" s="2" t="inlineStr">
        <is>
          <t>Artigo 119.º-A (Campanha de divulgação da Linha de prevenção do Suicídio)</t>
        </is>
      </c>
      <c r="M1750" s="4" t="n"/>
      <c r="N1750" s="4" t="n"/>
      <c r="O1750" s="2" t="n"/>
      <c r="P1750" s="2" t="n"/>
      <c r="Q1750" s="2" t="n"/>
      <c r="R1750" s="2" t="n"/>
      <c r="S1750" s="2" t="inlineStr">
        <is>
          <t>Aprovado(a) em Comissão</t>
        </is>
      </c>
      <c r="T1750" s="2" t="inlineStr">
        <is>
          <t>Aprovada</t>
        </is>
      </c>
      <c r="U1750" s="2" t="inlineStr">
        <is>
          <t>Favor: CH, PS, IL, L, PCP, BE, PAN; Contra: PSD, CDS-PP</t>
        </is>
      </c>
      <c r="V1750" s="3" t="n">
        <v>45985</v>
      </c>
      <c r="W1750" s="2" t="inlineStr">
        <is>
          <t>AR: https://www.parlamento.pt/OrcamentoEstado/Paginas/DetalhePropostaAlteracao.aspx?BID=24899 PDF: https://app.parlamento.pt/webutils/docs/doc.pdf?path=6148523063484d364c793942556b356c6443397a6158526c63793959566b6c4a544556484c3039464c7a49774d6a59794d4449314d5441774f5339515153387a4e6a566b4d7a59794e43316b5957466b4c5451785a6a6774596a51794d79316d4e5451325a47526b5a4749334f4455756347526d&amp;Fich=365d3624-daad-41f8-b423-f546ddddb785.pdf&amp;Inline=true</t>
        </is>
      </c>
      <c r="X1750" s="2" t="inlineStr">
        <is>
          <t>Saúde</t>
        </is>
      </c>
      <c r="Y1750" s="2" t="inlineStr">
        <is>
          <t>Articulado</t>
        </is>
      </c>
      <c r="Z1750" s="2" t="inlineStr">
        <is>
          <t>Aditamento (Artigo PPL)</t>
        </is>
      </c>
      <c r="AA1750" s="2" t="inlineStr">
        <is>
          <t>Aprovado(a) em Comissão</t>
        </is>
      </c>
      <c r="AB1750" s="2" t="inlineStr"/>
      <c r="AC1750" s="2" t="inlineStr"/>
      <c r="AD1750" s="2" t="inlineStr">
        <is>
          <t>1</t>
        </is>
      </c>
      <c r="AE1750" s="2" t="inlineStr">
        <is>
          <t>24899</t>
        </is>
      </c>
      <c r="AF1750" s="2" t="inlineStr">
        <is>
          <t>https://www.parlamento.pt/OrcamentoEstado/Paginas/DetalhePropostaAlteracao.aspx?BID=24899</t>
        </is>
      </c>
      <c r="AG1750" s="2" t="inlineStr">
        <is>
          <t>https://app.parlamento.pt/webutils/docs/doc.pdf?path=6148523063484d364c793942556b356c6443397a6158526c63793959566b6c4a544556484c3039464c7a49774d6a59794d4449314d5441774f5339515153387a4e6a566b4d7a59794e43316b5957466b4c5451785a6a6774596a51794d79316d4e5451325a47526b5a4749334f4455756347526d&amp;Fich=365d3624-daad-41f8-b423-f546ddddb785.pdf&amp;Inline=true</t>
        </is>
      </c>
      <c r="AH1750" s="3" t="n">
        <v>46321.77847222222</v>
      </c>
      <c r="AI1750" s="3" t="n">
        <v>46321.78055555555</v>
      </c>
      <c r="AJ1750" s="2" t="inlineStr"/>
    </row>
    <row r="1751">
      <c r="A1751" s="2" t="n">
        <v>1750</v>
      </c>
      <c r="B1751" s="2" t="inlineStr">
        <is>
          <t>1652C</t>
        </is>
      </c>
      <c r="C1751" s="3" t="n">
        <v>45968.67013888889</v>
      </c>
      <c r="D1751" s="2" t="inlineStr">
        <is>
          <t>Original</t>
        </is>
      </c>
      <c r="E1751" s="2" t="inlineStr">
        <is>
          <t>L</t>
        </is>
      </c>
      <c r="F1751" s="2" t="inlineStr">
        <is>
          <t>Filipa Pinto; Isabel Mendes Lopes; Jorge Pinto; Patrícia Gonçalves; Paulo Muacho; Rui Tavares</t>
        </is>
      </c>
      <c r="G1751" s="2" t="inlineStr">
        <is>
          <t>Art. 119.º-A (aditamento)</t>
        </is>
      </c>
      <c r="H1751" s="2" t="n"/>
      <c r="I1751" s="2" t="n"/>
      <c r="J1751" s="2" t="n"/>
      <c r="K1751" s="2" t="n"/>
      <c r="L1751" s="2" t="inlineStr">
        <is>
          <t>Artigo 119.º-A (Estudo nacional sobre o sono em Portugal)</t>
        </is>
      </c>
      <c r="M1751" s="4" t="n"/>
      <c r="N1751" s="4" t="n"/>
      <c r="O1751" s="2" t="n"/>
      <c r="P1751" s="2" t="n"/>
      <c r="Q1751" s="2" t="n"/>
      <c r="R1751" s="2" t="n"/>
      <c r="S1751" s="2" t="inlineStr">
        <is>
          <t>Rejeitado(a) em Comissão</t>
        </is>
      </c>
      <c r="T1751" s="2" t="inlineStr">
        <is>
          <t>Rejeitada</t>
        </is>
      </c>
      <c r="U1751" s="2" t="inlineStr">
        <is>
          <t>Favor: IL, L, PCP, BE, PAN; Contra: PSD, CDS-PP; Abstenção: CH, PS</t>
        </is>
      </c>
      <c r="V1751" s="3" t="n">
        <v>45985</v>
      </c>
      <c r="W1751" s="2" t="inlineStr">
        <is>
          <t>AR: https://www.parlamento.pt/OrcamentoEstado/Paginas/DetalhePropostaAlteracao.aspx?BID=24900 PDF: https://app.parlamento.pt/webutils/docs/doc.pdf?path=6148523063484d364c793942556b356c6443397a6158526c63793959566b6c4a544556484c3039464c7a49774d6a59794d4449314d5441774f533951515338345a5463324d5451784e5330334f5749314c54526c5a4449744f4745314e43316d4e6a63794d544a6b4e7a4d7a5a6d4d756347526d&amp;Fich=8e761415-79b5-4ed2-8a54-f67212d733fc.pdf&amp;Inline=true</t>
        </is>
      </c>
      <c r="X1751" s="2" t="inlineStr">
        <is>
          <t>Saúde</t>
        </is>
      </c>
      <c r="Y1751" s="2" t="inlineStr">
        <is>
          <t>Articulado</t>
        </is>
      </c>
      <c r="Z1751" s="2" t="inlineStr">
        <is>
          <t>Aditamento (Artigo PPL)</t>
        </is>
      </c>
      <c r="AA1751" s="2" t="inlineStr">
        <is>
          <t>Rejeitado(a) em Comissão</t>
        </is>
      </c>
      <c r="AB1751" s="2" t="inlineStr"/>
      <c r="AC1751" s="2" t="inlineStr"/>
      <c r="AD1751" s="2" t="inlineStr">
        <is>
          <t>1</t>
        </is>
      </c>
      <c r="AE1751" s="2" t="inlineStr">
        <is>
          <t>24900</t>
        </is>
      </c>
      <c r="AF1751" s="2" t="inlineStr">
        <is>
          <t>https://www.parlamento.pt/OrcamentoEstado/Paginas/DetalhePropostaAlteracao.aspx?BID=24900</t>
        </is>
      </c>
      <c r="AG1751" s="2" t="inlineStr">
        <is>
          <t>https://app.parlamento.pt/webutils/docs/doc.pdf?path=6148523063484d364c793942556b356c6443397a6158526c63793959566b6c4a544556484c3039464c7a49774d6a59794d4449314d5441774f533951515338345a5463324d5451784e5330334f5749314c54526c5a4449744f4745314e43316d4e6a63794d544a6b4e7a4d7a5a6d4d756347526d&amp;Fich=8e761415-79b5-4ed2-8a54-f67212d733fc.pdf&amp;Inline=true</t>
        </is>
      </c>
      <c r="AH1751" s="3" t="n">
        <v>46321.77847222222</v>
      </c>
      <c r="AI1751" s="3" t="n">
        <v>46321.78055555555</v>
      </c>
      <c r="AJ1751" s="2" t="inlineStr"/>
    </row>
    <row r="1752">
      <c r="A1752" s="2" t="n">
        <v>1751</v>
      </c>
      <c r="B1752" s="2" t="inlineStr">
        <is>
          <t>1653C</t>
        </is>
      </c>
      <c r="C1752" s="3" t="n">
        <v>45968.67013888889</v>
      </c>
      <c r="D1752" s="2" t="inlineStr">
        <is>
          <t>Original</t>
        </is>
      </c>
      <c r="E1752" s="2" t="inlineStr">
        <is>
          <t>PS</t>
        </is>
      </c>
      <c r="F1752" s="2" t="inlineStr">
        <is>
          <t>António Mendonça Mendes; Eurico Brilhante Dias; Jorge Botelho; José Luís Carneiro; Marina Gonçalves; Miguel Matos; Rui Jorge Santos</t>
        </is>
      </c>
      <c r="G1752" s="2" t="inlineStr">
        <is>
          <t>Art. 89.º-A (aditamento)</t>
        </is>
      </c>
      <c r="H1752" s="2" t="n"/>
      <c r="I1752" s="2" t="n"/>
      <c r="J1752" s="2" t="n"/>
      <c r="K1752" s="2" t="n"/>
      <c r="L1752" s="2" t="inlineStr">
        <is>
          <t>Artigo 89.º-A (Pagamentos aos municípios)</t>
        </is>
      </c>
      <c r="M1752" s="4" t="n"/>
      <c r="N1752" s="4" t="n"/>
      <c r="O1752" s="2" t="n"/>
      <c r="P1752" s="2" t="n"/>
      <c r="Q1752" s="2" t="n"/>
      <c r="R1752" s="2" t="n"/>
      <c r="S1752" s="2" t="inlineStr">
        <is>
          <t>Aprovado(a) em Comissão</t>
        </is>
      </c>
      <c r="T1752" s="2" t="inlineStr">
        <is>
          <t>Aprovada</t>
        </is>
      </c>
      <c r="U1752" s="2" t="inlineStr">
        <is>
          <t>Favor: CH, PS, IL, L, PCP, BE, PAN; Contra: PSD, CDS-PP</t>
        </is>
      </c>
      <c r="V1752" s="3" t="n">
        <v>45982</v>
      </c>
      <c r="W1752" s="2" t="inlineStr">
        <is>
          <t>AR: https://www.parlamento.pt/OrcamentoEstado/Paginas/DetalhePropostaAlteracao.aspx?BID=24901 PDF: https://app.parlamento.pt/webutils/docs/doc.pdf?path=6148523063484d364c793942556b356c6443397a6158526c63793959566b6c4a544556484c3039464c7a49774d6a59794d4449314d5441774f5339515153396b4d5452685a6a59794f4331685a5445314c5451785a575974596a63335a69316a4f57466c595751774d32526c4f446b756347526d&amp;Fich=d14af628-ae15-41ef-b77f-c9aead03de89.pdf&amp;Inline=true</t>
        </is>
      </c>
      <c r="X1752" s="2" t="inlineStr">
        <is>
          <t>Orçamento, Finanças e Administração Pública; Reforma do Estado e Poder Local</t>
        </is>
      </c>
      <c r="Y1752" s="2" t="inlineStr">
        <is>
          <t>Articulado</t>
        </is>
      </c>
      <c r="Z1752" s="2" t="inlineStr">
        <is>
          <t>Aditamento (Artigo PPL)</t>
        </is>
      </c>
      <c r="AA1752" s="2" t="inlineStr">
        <is>
          <t>Aprovado(a) em Comissão</t>
        </is>
      </c>
      <c r="AB1752" s="2" t="inlineStr"/>
      <c r="AC1752" s="2" t="inlineStr"/>
      <c r="AD1752" s="2" t="inlineStr">
        <is>
          <t>1</t>
        </is>
      </c>
      <c r="AE1752" s="2" t="inlineStr">
        <is>
          <t>24901</t>
        </is>
      </c>
      <c r="AF1752" s="2" t="inlineStr">
        <is>
          <t>https://www.parlamento.pt/OrcamentoEstado/Paginas/DetalhePropostaAlteracao.aspx?BID=24901</t>
        </is>
      </c>
      <c r="AG1752" s="2" t="inlineStr">
        <is>
          <t>https://app.parlamento.pt/webutils/docs/doc.pdf?path=6148523063484d364c793942556b356c6443397a6158526c63793959566b6c4a544556484c3039464c7a49774d6a59794d4449314d5441774f5339515153396b4d5452685a6a59794f4331685a5445314c5451785a575974596a63335a69316a4f57466c595751774d32526c4f446b756347526d&amp;Fich=d14af628-ae15-41ef-b77f-c9aead03de89.pdf&amp;Inline=true</t>
        </is>
      </c>
      <c r="AH1752" s="3" t="n">
        <v>46321.77847222222</v>
      </c>
      <c r="AI1752" s="3" t="n">
        <v>46321.78055555555</v>
      </c>
      <c r="AJ1752" s="2" t="inlineStr"/>
    </row>
    <row r="1753">
      <c r="A1753" s="2" t="n">
        <v>1752</v>
      </c>
      <c r="B1753" s="2" t="inlineStr">
        <is>
          <t>1654C</t>
        </is>
      </c>
      <c r="C1753" s="3" t="n">
        <v>45968.67083333333</v>
      </c>
      <c r="D1753" s="2" t="inlineStr">
        <is>
          <t>Original</t>
        </is>
      </c>
      <c r="E1753" s="2" t="inlineStr">
        <is>
          <t>Vários</t>
        </is>
      </c>
      <c r="F1753" s="2" t="inlineStr">
        <is>
          <t>Alberto Fonseca; Bárbara do Amaral Correia; Carlos Cação; Francisco Pimentel; Hugo Carneiro; Hugo Soares; Paulo Lopes Marcelo; João Pinho de Almeida; Paulo Núncio</t>
        </is>
      </c>
      <c r="G1753" s="2" t="inlineStr">
        <is>
          <t>Art. 126.º-A (aditamento)</t>
        </is>
      </c>
      <c r="H1753" s="2" t="n"/>
      <c r="I1753" s="2" t="n"/>
      <c r="J1753" s="2" t="n"/>
      <c r="K1753" s="2" t="n"/>
      <c r="L1753" s="2" t="inlineStr">
        <is>
          <t>Artigo 126.º-A (Utilização de gasóleo colorido pela indústria extrativa e incentivos à eficiência energética no setor)</t>
        </is>
      </c>
      <c r="M1753" s="4" t="n"/>
      <c r="N1753" s="4" t="n"/>
      <c r="O1753" s="2" t="n"/>
      <c r="P1753" s="2" t="n"/>
      <c r="Q1753" s="2" t="n"/>
      <c r="R1753" s="2" t="n"/>
      <c r="S1753" s="2" t="inlineStr">
        <is>
          <t>Aprovado(a) em Comissão</t>
        </is>
      </c>
      <c r="T1753" s="2" t="inlineStr">
        <is>
          <t>Aprovada</t>
        </is>
      </c>
      <c r="U1753" s="2" t="inlineStr">
        <is>
          <t>Favor: PSD, CH, PS, CDS-PP; Contra: IL, L, PCP, BE, PAN</t>
        </is>
      </c>
      <c r="V1753" s="3" t="n">
        <v>45985</v>
      </c>
      <c r="W1753" s="2" t="inlineStr">
        <is>
          <t>AR: https://www.parlamento.pt/OrcamentoEstado/Paginas/DetalhePropostaAlteracao.aspx?BID=24902 PDF: https://app.parlamento.pt/webutils/docs/doc.pdf?path=6148523063484d364c793942556b356c6443397a6158526c63793959566b6c4a544556484c3039464c7a49774d6a59794d4449314d5441774f5339515153396a4e4445794f544e6a4e4330774f4467314c54526c4d7a63744f44526c4e69307a5a5745794f5455355a6a6335596d55756347526d&amp;Fich=c41293c4-0885-4e37-84e6-3ea2959f79be.pdf&amp;Inline=true</t>
        </is>
      </c>
      <c r="X1753" s="2" t="inlineStr">
        <is>
          <t>Ambiente e Energia</t>
        </is>
      </c>
      <c r="Y1753" s="2" t="inlineStr">
        <is>
          <t>Articulado</t>
        </is>
      </c>
      <c r="Z1753" s="2" t="inlineStr">
        <is>
          <t>Aditamento (Artigo PPL)</t>
        </is>
      </c>
      <c r="AA1753" s="2" t="inlineStr">
        <is>
          <t>Aprovado(a) em Comissão</t>
        </is>
      </c>
      <c r="AB1753" s="2" t="inlineStr"/>
      <c r="AC1753" s="2" t="inlineStr"/>
      <c r="AD1753" s="2" t="inlineStr">
        <is>
          <t>1</t>
        </is>
      </c>
      <c r="AE1753" s="2" t="inlineStr">
        <is>
          <t>24902</t>
        </is>
      </c>
      <c r="AF1753" s="2" t="inlineStr">
        <is>
          <t>https://www.parlamento.pt/OrcamentoEstado/Paginas/DetalhePropostaAlteracao.aspx?BID=24902</t>
        </is>
      </c>
      <c r="AG1753" s="2" t="inlineStr">
        <is>
          <t>https://app.parlamento.pt/webutils/docs/doc.pdf?path=6148523063484d364c793942556b356c6443397a6158526c63793959566b6c4a544556484c3039464c7a49774d6a59794d4449314d5441774f5339515153396a4e4445794f544e6a4e4330774f4467314c54526c4d7a63744f44526c4e69307a5a5745794f5455355a6a6335596d55756347526d&amp;Fich=c41293c4-0885-4e37-84e6-3ea2959f79be.pdf&amp;Inline=true</t>
        </is>
      </c>
      <c r="AH1753" s="3" t="n">
        <v>46321.77847222222</v>
      </c>
      <c r="AI1753" s="3" t="n">
        <v>46321.78055555555</v>
      </c>
      <c r="AJ1753" s="2" t="inlineStr"/>
    </row>
    <row r="1754">
      <c r="A1754" s="2" t="n">
        <v>1753</v>
      </c>
      <c r="B1754" s="2" t="inlineStr">
        <is>
          <t>1655C</t>
        </is>
      </c>
      <c r="C1754" s="3" t="n">
        <v>45968.67083333333</v>
      </c>
      <c r="D1754" s="2" t="inlineStr">
        <is>
          <t>Original</t>
        </is>
      </c>
      <c r="E1754" s="2" t="inlineStr">
        <is>
          <t>L</t>
        </is>
      </c>
      <c r="F1754" s="2" t="inlineStr">
        <is>
          <t>Filipa Pinto; Isabel Mendes Lopes; Jorge Pinto; Patrícia Gonçalves; Paulo Muacho; Rui Tavares</t>
        </is>
      </c>
      <c r="G1754" s="2" t="inlineStr">
        <is>
          <t>Art. 22.º-A (aditamento)</t>
        </is>
      </c>
      <c r="H1754" s="2" t="n"/>
      <c r="I1754" s="2" t="n"/>
      <c r="J1754" s="2" t="n"/>
      <c r="K1754" s="2" t="n"/>
      <c r="L1754" s="2" t="inlineStr">
        <is>
          <t>Artigo 22.º-A (Contratação de psicólogos nos serviços de pediatria dos Institutos Portugueses de Oncologia)</t>
        </is>
      </c>
      <c r="M1754" s="4" t="n"/>
      <c r="N1754" s="4" t="n"/>
      <c r="O1754" s="2" t="n"/>
      <c r="P1754" s="2" t="n"/>
      <c r="Q1754" s="2" t="n"/>
      <c r="R1754" s="2" t="n"/>
      <c r="S1754" s="2" t="inlineStr">
        <is>
          <t>Rejeitado(a) em Comissão</t>
        </is>
      </c>
      <c r="T1754" s="2" t="inlineStr">
        <is>
          <t>Rejeitada</t>
        </is>
      </c>
      <c r="U1754" s="2" t="inlineStr">
        <is>
          <t>Favor: CH, L, PCP, BE, PAN; Contra: PSD; Abstenção: PS, IL, CDS-PP</t>
        </is>
      </c>
      <c r="V1754" s="3" t="n">
        <v>45981</v>
      </c>
      <c r="W1754" s="2" t="inlineStr">
        <is>
          <t>AR: https://www.parlamento.pt/OrcamentoEstado/Paginas/DetalhePropostaAlteracao.aspx?BID=24903 PDF: https://app.parlamento.pt/webutils/docs/doc.pdf?path=6148523063484d364c793942556b356c6443397a6158526c63793959566b6c4a544556484c3039464c7a49774d6a59794d4449314d5441774f533951515338775954413259574d334e79316d4f44417a4c54526a4f444974596d55305a6930794d6a49335954426a4e7a637a4e6a63756347526d&amp;Fich=0a06ac77-f803-4c82-be4f-2227a0c77367.pdf&amp;Inline=true</t>
        </is>
      </c>
      <c r="X1754" s="2" t="inlineStr">
        <is>
          <t>Saúde; Trabalho, Segurança Social e Inclusão</t>
        </is>
      </c>
      <c r="Y1754" s="2" t="inlineStr">
        <is>
          <t>Articulado</t>
        </is>
      </c>
      <c r="Z1754" s="2" t="inlineStr">
        <is>
          <t>Aditamento (Artigo PPL)</t>
        </is>
      </c>
      <c r="AA1754" s="2" t="inlineStr">
        <is>
          <t>Rejeitado(a) em Comissão</t>
        </is>
      </c>
      <c r="AB1754" s="2" t="inlineStr"/>
      <c r="AC1754" s="2" t="inlineStr"/>
      <c r="AD1754" s="2" t="inlineStr">
        <is>
          <t>1</t>
        </is>
      </c>
      <c r="AE1754" s="2" t="inlineStr">
        <is>
          <t>24903</t>
        </is>
      </c>
      <c r="AF1754" s="2" t="inlineStr">
        <is>
          <t>https://www.parlamento.pt/OrcamentoEstado/Paginas/DetalhePropostaAlteracao.aspx?BID=24903</t>
        </is>
      </c>
      <c r="AG1754" s="2" t="inlineStr">
        <is>
          <t>https://app.parlamento.pt/webutils/docs/doc.pdf?path=6148523063484d364c793942556b356c6443397a6158526c63793959566b6c4a544556484c3039464c7a49774d6a59794d4449314d5441774f533951515338775954413259574d334e79316d4f44417a4c54526a4f444974596d55305a6930794d6a49335954426a4e7a637a4e6a63756347526d&amp;Fich=0a06ac77-f803-4c82-be4f-2227a0c77367.pdf&amp;Inline=true</t>
        </is>
      </c>
      <c r="AH1754" s="3" t="n">
        <v>46321.77847222222</v>
      </c>
      <c r="AI1754" s="3" t="n">
        <v>46321.78055555555</v>
      </c>
      <c r="AJ1754" s="2" t="inlineStr"/>
    </row>
    <row r="1755">
      <c r="A1755" s="2" t="n">
        <v>1754</v>
      </c>
      <c r="B1755" s="2" t="inlineStr">
        <is>
          <t>1656C</t>
        </is>
      </c>
      <c r="C1755" s="3" t="n">
        <v>45968.67152777778</v>
      </c>
      <c r="D1755" s="2" t="inlineStr">
        <is>
          <t>Original</t>
        </is>
      </c>
      <c r="E1755" s="2" t="inlineStr">
        <is>
          <t>PAN</t>
        </is>
      </c>
      <c r="F1755" s="2" t="inlineStr">
        <is>
          <t>Inês de Sousa Real</t>
        </is>
      </c>
      <c r="G1755" s="2" t="inlineStr">
        <is>
          <t>Art. 126.º-A (aditamento)</t>
        </is>
      </c>
      <c r="H1755" s="2" t="n"/>
      <c r="I1755" s="2" t="n"/>
      <c r="J1755" s="2" t="n"/>
      <c r="K1755" s="2" t="n"/>
      <c r="L1755" s="2" t="inlineStr">
        <is>
          <t>Artigo 126.º-A (Republicação da carreira especial de Vigilante da Natureza)</t>
        </is>
      </c>
      <c r="M1755" s="4" t="n"/>
      <c r="N1755" s="4" t="n"/>
      <c r="O1755" s="2" t="n"/>
      <c r="P1755" s="2" t="n"/>
      <c r="Q1755" s="2" t="n"/>
      <c r="R1755" s="2" t="n"/>
      <c r="S1755" s="2" t="inlineStr">
        <is>
          <t>Rejeitado(a) em Comissão</t>
        </is>
      </c>
      <c r="T1755" s="2" t="inlineStr">
        <is>
          <t>Rejeitada</t>
        </is>
      </c>
      <c r="U1755" s="2" t="inlineStr">
        <is>
          <t>Favor: CH, L, PCP, BE, PAN; Contra: PSD, CDS-PP; Abstenção: PS, IL</t>
        </is>
      </c>
      <c r="V1755" s="3" t="n">
        <v>45985</v>
      </c>
      <c r="W1755" s="2" t="inlineStr">
        <is>
          <t>AR: https://www.parlamento.pt/OrcamentoEstado/Paginas/DetalhePropostaAlteracao.aspx?BID=24904 PDF: https://app.parlamento.pt/webutils/docs/doc.pdf?path=6148523063484d364c793942556b356c6443397a6158526c63793959566b6c4a544556484c3039464c7a49774d6a59794d4449314d5441774f5339515153396a4e6a49345a44526a4e79316d4e54646a4c54526b596a55744f545668597930344f545a6a4f574d774e44466d4e3245756347526d&amp;Fich=c628d4c7-f57c-4db5-95ac-896c9c041f7a.pdf&amp;Inline=true</t>
        </is>
      </c>
      <c r="X1755" s="2" t="inlineStr">
        <is>
          <t>Ambiente e Energia; Trabalho, Segurança Social e Inclusão</t>
        </is>
      </c>
      <c r="Y1755" s="2" t="inlineStr">
        <is>
          <t>Articulado</t>
        </is>
      </c>
      <c r="Z1755" s="2" t="inlineStr">
        <is>
          <t>Aditamento (Artigo PPL)</t>
        </is>
      </c>
      <c r="AA1755" s="2" t="inlineStr">
        <is>
          <t>Rejeitado(a) em Comissão</t>
        </is>
      </c>
      <c r="AB1755" s="2" t="inlineStr"/>
      <c r="AC1755" s="2" t="inlineStr"/>
      <c r="AD1755" s="2" t="inlineStr">
        <is>
          <t>1</t>
        </is>
      </c>
      <c r="AE1755" s="2" t="inlineStr">
        <is>
          <t>24904</t>
        </is>
      </c>
      <c r="AF1755" s="2" t="inlineStr">
        <is>
          <t>https://www.parlamento.pt/OrcamentoEstado/Paginas/DetalhePropostaAlteracao.aspx?BID=24904</t>
        </is>
      </c>
      <c r="AG1755" s="2" t="inlineStr">
        <is>
          <t>https://app.parlamento.pt/webutils/docs/doc.pdf?path=6148523063484d364c793942556b356c6443397a6158526c63793959566b6c4a544556484c3039464c7a49774d6a59794d4449314d5441774f5339515153396a4e6a49345a44526a4e79316d4e54646a4c54526b596a55744f545668597930344f545a6a4f574d774e44466d4e3245756347526d&amp;Fich=c628d4c7-f57c-4db5-95ac-896c9c041f7a.pdf&amp;Inline=true</t>
        </is>
      </c>
      <c r="AH1755" s="3" t="n">
        <v>46321.77847222222</v>
      </c>
      <c r="AI1755" s="3" t="n">
        <v>46321.78055555555</v>
      </c>
      <c r="AJ1755" s="2" t="inlineStr"/>
    </row>
    <row r="1756">
      <c r="A1756" s="2" t="n">
        <v>1755</v>
      </c>
      <c r="B1756" s="2" t="inlineStr">
        <is>
          <t>1657C</t>
        </is>
      </c>
      <c r="C1756" s="3" t="n">
        <v>45968.67152777778</v>
      </c>
      <c r="D1756" s="2" t="inlineStr">
        <is>
          <t>Original</t>
        </is>
      </c>
      <c r="E1756" s="2" t="inlineStr">
        <is>
          <t>PS</t>
        </is>
      </c>
      <c r="F1756" s="2" t="inlineStr">
        <is>
          <t>António Mendonça Mendes; Eurico Brilhante Dias; Jorge Botelho; José Luís Carneiro; Marina Gonçalves; Miguel Matos; Rui Jorge Santos</t>
        </is>
      </c>
      <c r="G1756" s="2" t="inlineStr">
        <is>
          <t>Art. 107.º-A (aditamento)</t>
        </is>
      </c>
      <c r="H1756" s="2" t="n"/>
      <c r="I1756" s="2" t="n"/>
      <c r="J1756" s="2" t="n"/>
      <c r="K1756" s="2" t="n"/>
      <c r="L1756" s="2" t="inlineStr">
        <is>
          <t>Artigo 107.º-A (Regime Financeiro das Autarquias Locais e Entidades Intermunicipais)</t>
        </is>
      </c>
      <c r="M1756" s="4" t="n"/>
      <c r="N1756" s="4" t="n"/>
      <c r="O1756" s="2" t="n"/>
      <c r="P1756" s="2" t="n"/>
      <c r="Q1756" s="2" t="n"/>
      <c r="R1756" s="2" t="n"/>
      <c r="S1756" s="2" t="inlineStr">
        <is>
          <t>Rejeitado(a) em Plenário</t>
        </is>
      </c>
      <c r="T1756" s="2" t="inlineStr">
        <is>
          <t>Rejeitada</t>
        </is>
      </c>
      <c r="U1756" s="2" t="inlineStr">
        <is>
          <t>Favor: PS, IL, L, BE, PAN, JPP; Contra: PSD, CDS-PP; Abstenção: CH, PCP</t>
        </is>
      </c>
      <c r="V1756" s="3" t="n">
        <v>45985</v>
      </c>
      <c r="W1756" s="2" t="inlineStr">
        <is>
          <t>Avocada a Plenário. AR: https://www.parlamento.pt/OrcamentoEstado/Paginas/DetalhePropostaAlteracao.aspx?BID=24905 PDF: https://app.parlamento.pt/webutils/docs/doc.pdf?path=6148523063484d364c793942556b356c6443397a6158526c63793959566b6c4a544556484c3039464c7a49774d6a59794d4449314d5441774f533951515338334f444a684e7a67305a69316a4f474e694c54517a4e574d74596a677a5a5330334f4749314d7a6b795a6a49795a4759756347526d&amp;Fich=782a784f-c8cb-435c-b83e-78b5392f22df.pdf&amp;Inline=true</t>
        </is>
      </c>
      <c r="X1756" s="2" t="inlineStr">
        <is>
          <t>Orçamento, Finanças e Administração Pública; Reforma do Estado e Poder Local</t>
        </is>
      </c>
      <c r="Y1756" s="2" t="inlineStr">
        <is>
          <t>Articulado</t>
        </is>
      </c>
      <c r="Z1756" s="2" t="inlineStr">
        <is>
          <t>Aditamento (Artigo PPL)</t>
        </is>
      </c>
      <c r="AA1756" s="2" t="inlineStr">
        <is>
          <t>Rejeitado(a) em Plenário</t>
        </is>
      </c>
      <c r="AB1756" s="2" t="inlineStr">
        <is>
          <t>S</t>
        </is>
      </c>
      <c r="AC1756" s="2" t="inlineStr"/>
      <c r="AD1756" s="2" t="inlineStr">
        <is>
          <t>1</t>
        </is>
      </c>
      <c r="AE1756" s="2" t="inlineStr">
        <is>
          <t>24905</t>
        </is>
      </c>
      <c r="AF1756" s="2" t="inlineStr">
        <is>
          <t>https://www.parlamento.pt/OrcamentoEstado/Paginas/DetalhePropostaAlteracao.aspx?BID=24905</t>
        </is>
      </c>
      <c r="AG1756" s="2" t="inlineStr">
        <is>
          <t>https://app.parlamento.pt/webutils/docs/doc.pdf?path=6148523063484d364c793942556b356c6443397a6158526c63793959566b6c4a544556484c3039464c7a49774d6a59794d4449314d5441774f533951515338334f444a684e7a67305a69316a4f474e694c54517a4e574d74596a677a5a5330334f4749314d7a6b795a6a49795a4759756347526d&amp;Fich=782a784f-c8cb-435c-b83e-78b5392f22df.pdf&amp;Inline=true</t>
        </is>
      </c>
      <c r="AH1756" s="3" t="n">
        <v>46321.77847222222</v>
      </c>
      <c r="AI1756" s="3" t="n">
        <v>46321.78055555555</v>
      </c>
      <c r="AJ1756" s="2" t="inlineStr"/>
    </row>
    <row r="1757">
      <c r="A1757" s="2" t="n">
        <v>1756</v>
      </c>
      <c r="B1757" s="2" t="inlineStr">
        <is>
          <t>1658C</t>
        </is>
      </c>
      <c r="C1757" s="3" t="n">
        <v>45968.67222222222</v>
      </c>
      <c r="D1757" s="2" t="inlineStr">
        <is>
          <t>Original</t>
        </is>
      </c>
      <c r="E1757" s="2" t="inlineStr">
        <is>
          <t>Vários</t>
        </is>
      </c>
      <c r="F1757" s="2" t="inlineStr">
        <is>
          <t>Alberto Fonseca; Bárbara do Amaral Correia; Carlos Cação; Francisco Pimentel; Hugo Carneiro; Hugo Soares; Paulo Lopes Marcelo; João Pinho de Almeida; Paulo Núncio</t>
        </is>
      </c>
      <c r="G1757" s="2" t="inlineStr">
        <is>
          <t>Art. 126.º-A (aditamento)</t>
        </is>
      </c>
      <c r="H1757" s="2" t="n"/>
      <c r="I1757" s="2" t="n"/>
      <c r="J1757" s="2" t="n"/>
      <c r="K1757" s="2" t="n"/>
      <c r="L1757" s="2" t="inlineStr">
        <is>
          <t>Artigo 126.º-A (Incentivo à Redução de Resíduos Urbanos)</t>
        </is>
      </c>
      <c r="M1757" s="4" t="n"/>
      <c r="N1757" s="4" t="n"/>
      <c r="O1757" s="2" t="n"/>
      <c r="P1757" s="2" t="n"/>
      <c r="Q1757" s="2" t="n"/>
      <c r="R1757" s="2" t="n"/>
      <c r="S1757" s="2" t="inlineStr">
        <is>
          <t>Aprovado(a) em Comissão</t>
        </is>
      </c>
      <c r="T1757" s="2" t="inlineStr">
        <is>
          <t>Aprovada</t>
        </is>
      </c>
      <c r="U1757" s="2" t="inlineStr">
        <is>
          <t>Favor: PSD, PS, IL, L, CDS-PP, BE, PAN; Abstenção: CH, PCP</t>
        </is>
      </c>
      <c r="V1757" s="3" t="n">
        <v>45985</v>
      </c>
      <c r="W1757" s="2" t="inlineStr">
        <is>
          <t>AR: https://www.parlamento.pt/OrcamentoEstado/Paginas/DetalhePropostaAlteracao.aspx?BID=24906 PDF: https://app.parlamento.pt/webutils/docs/doc.pdf?path=6148523063484d364c793942556b356c6443397a6158526c63793959566b6c4a544556484c3039464c7a49774d6a59794d4449314d5441774f533951515338344d6d52694d5445334e53307a4e6d59324c5451325a545174596d56684d693168596d59315a6a5a6c4f545534593251756347526d&amp;Fich=82db1175-36f6-46e4-bea2-abf5f6e958cd.pdf&amp;Inline=true</t>
        </is>
      </c>
      <c r="X1757" s="2" t="inlineStr">
        <is>
          <t>Ambiente e Energia</t>
        </is>
      </c>
      <c r="Y1757" s="2" t="inlineStr">
        <is>
          <t>Articulado</t>
        </is>
      </c>
      <c r="Z1757" s="2" t="inlineStr">
        <is>
          <t>Aditamento (Artigo PPL)</t>
        </is>
      </c>
      <c r="AA1757" s="2" t="inlineStr">
        <is>
          <t>Aprovado(a) em Comissão</t>
        </is>
      </c>
      <c r="AB1757" s="2" t="inlineStr"/>
      <c r="AC1757" s="2" t="inlineStr"/>
      <c r="AD1757" s="2" t="inlineStr">
        <is>
          <t>1</t>
        </is>
      </c>
      <c r="AE1757" s="2" t="inlineStr">
        <is>
          <t>24906</t>
        </is>
      </c>
      <c r="AF1757" s="2" t="inlineStr">
        <is>
          <t>https://www.parlamento.pt/OrcamentoEstado/Paginas/DetalhePropostaAlteracao.aspx?BID=24906</t>
        </is>
      </c>
      <c r="AG1757" s="2" t="inlineStr">
        <is>
          <t>https://app.parlamento.pt/webutils/docs/doc.pdf?path=6148523063484d364c793942556b356c6443397a6158526c63793959566b6c4a544556484c3039464c7a49774d6a59794d4449314d5441774f533951515338344d6d52694d5445334e53307a4e6d59324c5451325a545174596d56684d693168596d59315a6a5a6c4f545534593251756347526d&amp;Fich=82db1175-36f6-46e4-bea2-abf5f6e958cd.pdf&amp;Inline=true</t>
        </is>
      </c>
      <c r="AH1757" s="3" t="n">
        <v>46321.77847222222</v>
      </c>
      <c r="AI1757" s="3" t="n">
        <v>46321.78055555555</v>
      </c>
      <c r="AJ1757" s="2" t="inlineStr"/>
    </row>
    <row r="1758">
      <c r="A1758" s="2" t="n">
        <v>1757</v>
      </c>
      <c r="B1758" s="2" t="inlineStr">
        <is>
          <t>1659C</t>
        </is>
      </c>
      <c r="C1758" s="3" t="n">
        <v>45968.67222222222</v>
      </c>
      <c r="D1758" s="2" t="inlineStr">
        <is>
          <t>Original</t>
        </is>
      </c>
      <c r="E1758" s="2" t="inlineStr">
        <is>
          <t>BE</t>
        </is>
      </c>
      <c r="F1758" s="2" t="inlineStr">
        <is>
          <t>Mariana Mortágua</t>
        </is>
      </c>
      <c r="G1758" s="2" t="inlineStr">
        <is>
          <t>Art. 113.º-A (aditamento)</t>
        </is>
      </c>
      <c r="H1758" s="2" t="n"/>
      <c r="I1758" s="2" t="n"/>
      <c r="J1758" s="2" t="n"/>
      <c r="K1758" s="2" t="n"/>
      <c r="L1758" s="2" t="inlineStr">
        <is>
          <t>Artigo 113.º-A (Recuperação Ambiental das Pedreiras)</t>
        </is>
      </c>
      <c r="M1758" s="4" t="n"/>
      <c r="N1758" s="4" t="n"/>
      <c r="O1758" s="2" t="n"/>
      <c r="P1758" s="2" t="n"/>
      <c r="Q1758" s="2" t="n"/>
      <c r="R1758" s="2" t="n"/>
      <c r="S1758" s="2" t="inlineStr">
        <is>
          <t>Rejeitado(a) em Comissão</t>
        </is>
      </c>
      <c r="T1758" s="2" t="inlineStr">
        <is>
          <t>Rejeitada</t>
        </is>
      </c>
      <c r="U1758" s="2" t="inlineStr">
        <is>
          <t>Favor: PS, L, PCP, BE, PAN; Contra: PSD, CH, IL, CDS-PP</t>
        </is>
      </c>
      <c r="V1758" s="3" t="n">
        <v>45985</v>
      </c>
      <c r="W1758" s="2" t="inlineStr">
        <is>
          <t>AR: https://www.parlamento.pt/OrcamentoEstado/Paginas/DetalhePropostaAlteracao.aspx?BID=24907 PDF: https://app.parlamento.pt/webutils/docs/doc.pdf?path=6148523063484d364c793942556b356c6443397a6158526c63793959566b6c4a544556484c3039464c7a49774d6a59794d4449314d5441774f5339515153396959575a6a5a4467784f4330315a6d49324c54526c4e7a51744f4445795a43316b4e44566d4f4459794e6a417a5a4751756347526d&amp;Fich=bafcd818-5fb6-4e74-812d-d45f862603dd.pdf&amp;Inline=true</t>
        </is>
      </c>
      <c r="X1758" s="2" t="inlineStr">
        <is>
          <t>Ambiente e Energia</t>
        </is>
      </c>
      <c r="Y1758" s="2" t="inlineStr">
        <is>
          <t>Articulado</t>
        </is>
      </c>
      <c r="Z1758" s="2" t="inlineStr">
        <is>
          <t>Aditamento (Artigo PPL)</t>
        </is>
      </c>
      <c r="AA1758" s="2" t="inlineStr">
        <is>
          <t>Rejeitado(a) em Comissão</t>
        </is>
      </c>
      <c r="AB1758" s="2" t="inlineStr"/>
      <c r="AC1758" s="2" t="inlineStr"/>
      <c r="AD1758" s="2" t="inlineStr">
        <is>
          <t>1</t>
        </is>
      </c>
      <c r="AE1758" s="2" t="inlineStr">
        <is>
          <t>24907</t>
        </is>
      </c>
      <c r="AF1758" s="2" t="inlineStr">
        <is>
          <t>https://www.parlamento.pt/OrcamentoEstado/Paginas/DetalhePropostaAlteracao.aspx?BID=24907</t>
        </is>
      </c>
      <c r="AG1758" s="2" t="inlineStr">
        <is>
          <t>https://app.parlamento.pt/webutils/docs/doc.pdf?path=6148523063484d364c793942556b356c6443397a6158526c63793959566b6c4a544556484c3039464c7a49774d6a59794d4449314d5441774f5339515153396959575a6a5a4467784f4330315a6d49324c54526c4e7a51744f4445795a43316b4e44566d4f4459794e6a417a5a4751756347526d&amp;Fich=bafcd818-5fb6-4e74-812d-d45f862603dd.pdf&amp;Inline=true</t>
        </is>
      </c>
      <c r="AH1758" s="3" t="n">
        <v>46321.77847222222</v>
      </c>
      <c r="AI1758" s="3" t="n">
        <v>46321.78055555555</v>
      </c>
      <c r="AJ1758" s="2" t="inlineStr"/>
    </row>
    <row r="1759">
      <c r="A1759" s="2" t="n">
        <v>1758</v>
      </c>
      <c r="B1759" s="2" t="inlineStr">
        <is>
          <t>1660C</t>
        </is>
      </c>
      <c r="C1759" s="3" t="n">
        <v>45968.67291666667</v>
      </c>
      <c r="D1759" s="2" t="inlineStr">
        <is>
          <t>Original</t>
        </is>
      </c>
      <c r="E1759" s="2" t="inlineStr">
        <is>
          <t>L</t>
        </is>
      </c>
      <c r="F1759" s="2" t="inlineStr">
        <is>
          <t>Filipa Pinto; Isabel Mendes Lopes; Jorge Pinto; Patrícia Gonçalves; Paulo Muacho; Rui Tavares</t>
        </is>
      </c>
      <c r="G1759" s="2" t="inlineStr">
        <is>
          <t>Art. 119.º-A (aditamento)</t>
        </is>
      </c>
      <c r="H1759" s="2" t="n"/>
      <c r="I1759" s="2" t="n"/>
      <c r="J1759" s="2" t="n"/>
      <c r="K1759" s="2" t="n"/>
      <c r="L1759" s="2" t="inlineStr">
        <is>
          <t>Artigo 119.º-A (Observatório de Literacia em Saúde)</t>
        </is>
      </c>
      <c r="M1759" s="4" t="n"/>
      <c r="N1759" s="4" t="n"/>
      <c r="O1759" s="2" t="n"/>
      <c r="P1759" s="2" t="n"/>
      <c r="Q1759" s="2" t="n"/>
      <c r="R1759" s="2" t="n"/>
      <c r="S1759" s="2" t="inlineStr">
        <is>
          <t>Rejeitado(a) em Comissão</t>
        </is>
      </c>
      <c r="T1759" s="2" t="inlineStr">
        <is>
          <t>Rejeitada</t>
        </is>
      </c>
      <c r="U1759" s="2" t="inlineStr">
        <is>
          <t>Favor: L, PCP, BE, PAN; Contra: PSD, CH, IL, CDS-PP; Abstenção: PS</t>
        </is>
      </c>
      <c r="V1759" s="3" t="n">
        <v>45985</v>
      </c>
      <c r="W1759" s="2" t="inlineStr">
        <is>
          <t>AR: https://www.parlamento.pt/OrcamentoEstado/Paginas/DetalhePropostaAlteracao.aspx?BID=24908 PDF: https://app.parlamento.pt/webutils/docs/doc.pdf?path=6148523063484d364c793942556b356c6443397a6158526c63793959566b6c4a544556484c3039464c7a49774d6a59794d4449314d5441774f5339515153396a5a5455304e6a4a6d4d5330794d6a5a6d4c5451314e5467744f44466b5a6931684d6d4531596a59795a6d45354d5745756347526d&amp;Fich=ce5462f1-226f-4558-81df-a2a5b62fa91a.pdf&amp;Inline=true</t>
        </is>
      </c>
      <c r="X1759" s="2" t="inlineStr">
        <is>
          <t>Saúde</t>
        </is>
      </c>
      <c r="Y1759" s="2" t="inlineStr">
        <is>
          <t>Articulado</t>
        </is>
      </c>
      <c r="Z1759" s="2" t="inlineStr">
        <is>
          <t>Aditamento (Artigo PPL)</t>
        </is>
      </c>
      <c r="AA1759" s="2" t="inlineStr">
        <is>
          <t>Rejeitado(a) em Comissão</t>
        </is>
      </c>
      <c r="AB1759" s="2" t="inlineStr"/>
      <c r="AC1759" s="2" t="inlineStr"/>
      <c r="AD1759" s="2" t="inlineStr">
        <is>
          <t>1</t>
        </is>
      </c>
      <c r="AE1759" s="2" t="inlineStr">
        <is>
          <t>24908</t>
        </is>
      </c>
      <c r="AF1759" s="2" t="inlineStr">
        <is>
          <t>https://www.parlamento.pt/OrcamentoEstado/Paginas/DetalhePropostaAlteracao.aspx?BID=24908</t>
        </is>
      </c>
      <c r="AG1759" s="2" t="inlineStr">
        <is>
          <t>https://app.parlamento.pt/webutils/docs/doc.pdf?path=6148523063484d364c793942556b356c6443397a6158526c63793959566b6c4a544556484c3039464c7a49774d6a59794d4449314d5441774f5339515153396a5a5455304e6a4a6d4d5330794d6a5a6d4c5451314e5467744f44466b5a6931684d6d4531596a59795a6d45354d5745756347526d&amp;Fich=ce5462f1-226f-4558-81df-a2a5b62fa91a.pdf&amp;Inline=true</t>
        </is>
      </c>
      <c r="AH1759" s="3" t="n">
        <v>46321.77847222222</v>
      </c>
      <c r="AI1759" s="3" t="n">
        <v>46321.78055555555</v>
      </c>
      <c r="AJ1759" s="2" t="inlineStr"/>
    </row>
    <row r="1760">
      <c r="A1760" s="2" t="n">
        <v>1759</v>
      </c>
      <c r="B1760" s="2" t="inlineStr">
        <is>
          <t>1661C</t>
        </is>
      </c>
      <c r="C1760" s="3" t="n">
        <v>45968.67291666667</v>
      </c>
      <c r="D1760" s="2" t="inlineStr">
        <is>
          <t>Original</t>
        </is>
      </c>
      <c r="E1760" s="2" t="inlineStr">
        <is>
          <t>PS</t>
        </is>
      </c>
      <c r="F1760" s="2" t="inlineStr">
        <is>
          <t>António Mendonça Mendes; Eurico Brilhante Dias; Jorge Botelho; José Luís Carneiro; Marina Gonçalves; Miguel Matos; Rui Jorge Santos</t>
        </is>
      </c>
      <c r="G1760" s="2" t="inlineStr">
        <is>
          <t>Art. 89.º-A (aditamento)</t>
        </is>
      </c>
      <c r="H1760" s="2" t="n"/>
      <c r="I1760" s="2" t="n"/>
      <c r="J1760" s="2" t="n"/>
      <c r="K1760" s="2" t="n"/>
      <c r="L1760" s="2" t="inlineStr">
        <is>
          <t>Artigo 89.º-A (Relatório de monitorização do processo de descentralização de competências para as autarquias locais)</t>
        </is>
      </c>
      <c r="M1760" s="4" t="n"/>
      <c r="N1760" s="4" t="n"/>
      <c r="O1760" s="2" t="n"/>
      <c r="P1760" s="2" t="n"/>
      <c r="Q1760" s="2" t="n"/>
      <c r="R1760" s="2" t="n"/>
      <c r="S1760" s="2" t="inlineStr">
        <is>
          <t>Rejeitado(a) em Comissão</t>
        </is>
      </c>
      <c r="T1760" s="2" t="inlineStr">
        <is>
          <t>Rejeitada</t>
        </is>
      </c>
      <c r="U1760" s="2" t="inlineStr">
        <is>
          <t>Favor: PS, L, BE, PAN; Contra: PSD, IL, CDS-PP; Abstenção: CH, PCP</t>
        </is>
      </c>
      <c r="V1760" s="3" t="n">
        <v>45982</v>
      </c>
      <c r="W1760" s="2" t="inlineStr">
        <is>
          <t>AR: https://www.parlamento.pt/OrcamentoEstado/Paginas/DetalhePropostaAlteracao.aspx?BID=24909 PDF: https://app.parlamento.pt/webutils/docs/doc.pdf?path=6148523063484d364c793942556b356c6443397a6158526c63793959566b6c4a544556484c3039464c7a49774d6a59794d4449314d5441774f533951515339684e6a68694f474a6c4d7930784d7a466b4c5451304d6d4d744f446b345a433077596a42685a6a55344f5751355a546b756347526d&amp;Fich=a68b8be3-131d-442c-898d-0b0af589d9e9.pdf&amp;Inline=true</t>
        </is>
      </c>
      <c r="X1760" s="2" t="inlineStr">
        <is>
          <t>Orçamento, Finanças e Administração Pública; Reforma do Estado e Poder Local</t>
        </is>
      </c>
      <c r="Y1760" s="2" t="inlineStr">
        <is>
          <t>Articulado</t>
        </is>
      </c>
      <c r="Z1760" s="2" t="inlineStr">
        <is>
          <t>Aditamento (Artigo PPL)</t>
        </is>
      </c>
      <c r="AA1760" s="2" t="inlineStr">
        <is>
          <t>Rejeitado(a) em Comissão</t>
        </is>
      </c>
      <c r="AB1760" s="2" t="inlineStr"/>
      <c r="AC1760" s="2" t="inlineStr"/>
      <c r="AD1760" s="2" t="inlineStr">
        <is>
          <t>1</t>
        </is>
      </c>
      <c r="AE1760" s="2" t="inlineStr">
        <is>
          <t>24909</t>
        </is>
      </c>
      <c r="AF1760" s="2" t="inlineStr">
        <is>
          <t>https://www.parlamento.pt/OrcamentoEstado/Paginas/DetalhePropostaAlteracao.aspx?BID=24909</t>
        </is>
      </c>
      <c r="AG1760" s="2" t="inlineStr">
        <is>
          <t>https://app.parlamento.pt/webutils/docs/doc.pdf?path=6148523063484d364c793942556b356c6443397a6158526c63793959566b6c4a544556484c3039464c7a49774d6a59794d4449314d5441774f533951515339684e6a68694f474a6c4d7930784d7a466b4c5451304d6d4d744f446b345a433077596a42685a6a55344f5751355a546b756347526d&amp;Fich=a68b8be3-131d-442c-898d-0b0af589d9e9.pdf&amp;Inline=true</t>
        </is>
      </c>
      <c r="AH1760" s="3" t="n">
        <v>46321.77847222222</v>
      </c>
      <c r="AI1760" s="3" t="n">
        <v>46321.78055555555</v>
      </c>
      <c r="AJ1760" s="2" t="inlineStr"/>
    </row>
    <row r="1761">
      <c r="A1761" s="2" t="n">
        <v>1760</v>
      </c>
      <c r="B1761" s="2" t="inlineStr">
        <is>
          <t>1662C</t>
        </is>
      </c>
      <c r="C1761" s="3" t="n">
        <v>45968.67291666667</v>
      </c>
      <c r="D1761" s="2" t="inlineStr">
        <is>
          <t>Original</t>
        </is>
      </c>
      <c r="E1761" s="2" t="inlineStr">
        <is>
          <t>L</t>
        </is>
      </c>
      <c r="F1761" s="2" t="inlineStr">
        <is>
          <t>Filipa Pinto; Isabel Mendes Lopes; Jorge Pinto; Patrícia Gonçalves; Paulo Muacho; Rui Tavares</t>
        </is>
      </c>
      <c r="G1761" s="2" t="inlineStr">
        <is>
          <t>Art. 22.º-A (aditamento)</t>
        </is>
      </c>
      <c r="H1761" s="2" t="n"/>
      <c r="I1761" s="2" t="n"/>
      <c r="J1761" s="2" t="n"/>
      <c r="K1761" s="2" t="n"/>
      <c r="L1761" s="2" t="inlineStr">
        <is>
          <t>Artigo 22.º-A (Concretização do Rácio de 1 Psicólogo por 500 Alunos nas Escolas Públicas)</t>
        </is>
      </c>
      <c r="M1761" s="4" t="n"/>
      <c r="N1761" s="4" t="n"/>
      <c r="O1761" s="2" t="n"/>
      <c r="P1761" s="2" t="n"/>
      <c r="Q1761" s="2" t="n"/>
      <c r="R1761" s="2" t="n"/>
      <c r="S1761" s="2" t="inlineStr">
        <is>
          <t>Aprovado(a) em Comissão</t>
        </is>
      </c>
      <c r="T1761" s="2" t="inlineStr">
        <is>
          <t>Aprovada</t>
        </is>
      </c>
      <c r="U1761" s="2" t="inlineStr">
        <is>
          <t>Favor: CH, PS, L, PCP, BE, PAN; Contra: PSD, CDS-PP; Abstenção: IL</t>
        </is>
      </c>
      <c r="V1761" s="3" t="n">
        <v>45981</v>
      </c>
      <c r="W1761" s="2" t="inlineStr">
        <is>
          <t>AR: https://www.parlamento.pt/OrcamentoEstado/Paginas/DetalhePropostaAlteracao.aspx?BID=24910 PDF: https://app.parlamento.pt/webutils/docs/doc.pdf?path=6148523063484d364c793942556b356c6443397a6158526c63793959566b6c4a544556484c3039464c7a49774d6a59794d4449314d5441774f533951515338324d574d334d6a41314d69307a4e6a5a6c4c5452684d544d744f5749354e6930304d5445345a4749324d6d457a5a4445756347526d&amp;Fich=61c72052-366e-4a13-9b96-4118db62a3d1.pdf&amp;Inline=true</t>
        </is>
      </c>
      <c r="X1761" s="2" t="inlineStr">
        <is>
          <t>Educação e Ciência; Saúde; Trabalho, Segurança Social e Inclusão</t>
        </is>
      </c>
      <c r="Y1761" s="2" t="inlineStr">
        <is>
          <t>Articulado</t>
        </is>
      </c>
      <c r="Z1761" s="2" t="inlineStr">
        <is>
          <t>Aditamento (Artigo PPL)</t>
        </is>
      </c>
      <c r="AA1761" s="2" t="inlineStr">
        <is>
          <t>Aprovado(a) em Comissão</t>
        </is>
      </c>
      <c r="AB1761" s="2" t="inlineStr"/>
      <c r="AC1761" s="2" t="inlineStr"/>
      <c r="AD1761" s="2" t="inlineStr">
        <is>
          <t>1</t>
        </is>
      </c>
      <c r="AE1761" s="2" t="inlineStr">
        <is>
          <t>24910</t>
        </is>
      </c>
      <c r="AF1761" s="2" t="inlineStr">
        <is>
          <t>https://www.parlamento.pt/OrcamentoEstado/Paginas/DetalhePropostaAlteracao.aspx?BID=24910</t>
        </is>
      </c>
      <c r="AG1761" s="2" t="inlineStr">
        <is>
          <t>https://app.parlamento.pt/webutils/docs/doc.pdf?path=6148523063484d364c793942556b356c6443397a6158526c63793959566b6c4a544556484c3039464c7a49774d6a59794d4449314d5441774f533951515338324d574d334d6a41314d69307a4e6a5a6c4c5452684d544d744f5749354e6930304d5445345a4749324d6d457a5a4445756347526d&amp;Fich=61c72052-366e-4a13-9b96-4118db62a3d1.pdf&amp;Inline=true</t>
        </is>
      </c>
      <c r="AH1761" s="3" t="n">
        <v>46321.77847222222</v>
      </c>
      <c r="AI1761" s="3" t="n">
        <v>46321.78055555555</v>
      </c>
      <c r="AJ1761" s="2" t="inlineStr"/>
    </row>
    <row r="1762">
      <c r="A1762" s="2" t="n">
        <v>1761</v>
      </c>
      <c r="B1762" s="2" t="inlineStr">
        <is>
          <t>1663C</t>
        </is>
      </c>
      <c r="C1762" s="3" t="n">
        <v>45968.67361111111</v>
      </c>
      <c r="D1762" s="2" t="inlineStr">
        <is>
          <t>Original</t>
        </is>
      </c>
      <c r="E1762" s="2" t="inlineStr">
        <is>
          <t>CH</t>
        </is>
      </c>
      <c r="F176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62" s="2" t="inlineStr">
        <is>
          <t>Art. 136.º-A (aditamento)</t>
        </is>
      </c>
      <c r="H1762" s="2" t="n"/>
      <c r="I1762" s="2" t="n"/>
      <c r="J1762" s="2" t="n"/>
      <c r="K1762" s="2" t="n"/>
      <c r="L1762" s="2" t="inlineStr">
        <is>
          <t>Artigo 136.º-A (Programa de Combate à Pobreza Gestacional)</t>
        </is>
      </c>
      <c r="M1762" s="4" t="n"/>
      <c r="N1762" s="4" t="n"/>
      <c r="O1762" s="2" t="n"/>
      <c r="P1762" s="2" t="n"/>
      <c r="Q1762" s="2" t="n"/>
      <c r="R1762" s="2" t="n"/>
      <c r="S1762" s="2" t="inlineStr">
        <is>
          <t>Rejeitado(a) em Comissão</t>
        </is>
      </c>
      <c r="T1762" s="2" t="inlineStr">
        <is>
          <t>Rejeitada</t>
        </is>
      </c>
      <c r="U1762" s="2" t="inlineStr">
        <is>
          <t>Favor: CH, PAN; Contra: PSD, IL, L, PCP, BE; Abstenção: PS, CDS-PP</t>
        </is>
      </c>
      <c r="V1762" s="3" t="n">
        <v>45987</v>
      </c>
      <c r="W1762" s="2" t="inlineStr">
        <is>
          <t>AR: https://www.parlamento.pt/OrcamentoEstado/Paginas/DetalhePropostaAlteracao.aspx?BID=24911 PDF: https://app.parlamento.pt/webutils/docs/doc.pdf?path=6148523063484d364c793942556b356c6443397a6158526c63793959566b6c4a544556484c3039464c7a49774d6a59794d4449314d5441774f5339515153396d596a63344f574530597930354e6a4d334c54526c4d545574596d4e684e4330334d6d51325954566d5a446b7a4e5459756347526d&amp;Fich=fb789a4c-9637-4e15-bca4-72d6a5fd9356.pdf&amp;Inline=true</t>
        </is>
      </c>
      <c r="X1762" s="2" t="inlineStr">
        <is>
          <t>Trabalho, Segurança Social e Inclusão</t>
        </is>
      </c>
      <c r="Y1762" s="2" t="inlineStr">
        <is>
          <t>Articulado</t>
        </is>
      </c>
      <c r="Z1762" s="2" t="inlineStr">
        <is>
          <t>Aditamento (Artigo PPL)</t>
        </is>
      </c>
      <c r="AA1762" s="2" t="inlineStr">
        <is>
          <t>Rejeitado(a) em Comissão</t>
        </is>
      </c>
      <c r="AB1762" s="2" t="inlineStr"/>
      <c r="AC1762" s="2" t="inlineStr"/>
      <c r="AD1762" s="2" t="inlineStr">
        <is>
          <t>1</t>
        </is>
      </c>
      <c r="AE1762" s="2" t="inlineStr">
        <is>
          <t>24911</t>
        </is>
      </c>
      <c r="AF1762" s="2" t="inlineStr">
        <is>
          <t>https://www.parlamento.pt/OrcamentoEstado/Paginas/DetalhePropostaAlteracao.aspx?BID=24911</t>
        </is>
      </c>
      <c r="AG1762" s="2" t="inlineStr">
        <is>
          <t>https://app.parlamento.pt/webutils/docs/doc.pdf?path=6148523063484d364c793942556b356c6443397a6158526c63793959566b6c4a544556484c3039464c7a49774d6a59794d4449314d5441774f5339515153396d596a63344f574530597930354e6a4d334c54526c4d545574596d4e684e4330334d6d51325954566d5a446b7a4e5459756347526d&amp;Fich=fb789a4c-9637-4e15-bca4-72d6a5fd9356.pdf&amp;Inline=true</t>
        </is>
      </c>
      <c r="AH1762" s="3" t="n">
        <v>46321.77847222222</v>
      </c>
      <c r="AI1762" s="3" t="n">
        <v>46321.78055555555</v>
      </c>
      <c r="AJ1762" s="2" t="inlineStr"/>
    </row>
    <row r="1763">
      <c r="A1763" s="2" t="n">
        <v>1762</v>
      </c>
      <c r="B1763" s="2" t="inlineStr">
        <is>
          <t>1664C</t>
        </is>
      </c>
      <c r="C1763" s="3" t="n">
        <v>45968.67361111111</v>
      </c>
      <c r="D1763" s="2" t="inlineStr">
        <is>
          <t>Original</t>
        </is>
      </c>
      <c r="E1763" s="2" t="inlineStr">
        <is>
          <t>Vários</t>
        </is>
      </c>
      <c r="F1763" s="2" t="inlineStr">
        <is>
          <t>Alberto Fonseca; Bárbara do Amaral Correia; Carlos Cação; Francisco Pimentel; Hugo Carneiro; Hugo Soares; Paulo Lopes Marcelo; João Pinho de Almeida; Paulo Núncio</t>
        </is>
      </c>
      <c r="G1763" s="2" t="inlineStr">
        <is>
          <t>Art. 126.º-A (aditamento)</t>
        </is>
      </c>
      <c r="H1763" s="2" t="n"/>
      <c r="I1763" s="2" t="n"/>
      <c r="J1763" s="2" t="n"/>
      <c r="K1763" s="2" t="n"/>
      <c r="L1763" s="2" t="inlineStr">
        <is>
          <t>Artigo 126.º-A (Alteração ao Decreto-Lei n.º 97/2008, de 11 de junho)</t>
        </is>
      </c>
      <c r="M1763" s="4" t="n"/>
      <c r="N1763" s="4" t="n"/>
      <c r="O1763" s="2" t="n"/>
      <c r="P1763" s="2" t="n"/>
      <c r="Q1763" s="2" t="n"/>
      <c r="R1763" s="2" t="n"/>
      <c r="S1763" s="2" t="inlineStr">
        <is>
          <t>Aprovado(a) em Comissão</t>
        </is>
      </c>
      <c r="T1763" s="2" t="inlineStr">
        <is>
          <t>Aprovada</t>
        </is>
      </c>
      <c r="U1763" s="2" t="inlineStr">
        <is>
          <t>Favor: PSD, IL, L, CDS-PP, PAN; Contra: PCP; Abstenção: CH, PS, BE</t>
        </is>
      </c>
      <c r="V1763" s="3" t="n">
        <v>45985</v>
      </c>
      <c r="W1763" s="2" t="inlineStr">
        <is>
          <t>AR: https://www.parlamento.pt/OrcamentoEstado/Paginas/DetalhePropostaAlteracao.aspx?BID=24912 PDF: https://app.parlamento.pt/webutils/docs/doc.pdf?path=6148523063484d364c793942556b356c6443397a6158526c63793959566b6c4a544556484c3039464c7a49774d6a59794d4449314d5441774f533951515338344d6a4d334f4755324e533168597a41344c54513159544d744f44426c4e5330345a4445344d5745334d4449794f4745756347526d&amp;Fich=82378e65-ac08-45a3-80e5-8d181a70228a.pdf&amp;Inline=true</t>
        </is>
      </c>
      <c r="X1763" s="2" t="inlineStr">
        <is>
          <t>Ambiente e Energia</t>
        </is>
      </c>
      <c r="Y1763" s="2" t="inlineStr">
        <is>
          <t>Articulado</t>
        </is>
      </c>
      <c r="Z1763" s="2" t="inlineStr">
        <is>
          <t>Aditamento (Artigo PPL)</t>
        </is>
      </c>
      <c r="AA1763" s="2" t="inlineStr">
        <is>
          <t>Aprovado(a) em Comissão</t>
        </is>
      </c>
      <c r="AB1763" s="2" t="inlineStr"/>
      <c r="AC1763" s="2" t="inlineStr"/>
      <c r="AD1763" s="2" t="inlineStr">
        <is>
          <t>1</t>
        </is>
      </c>
      <c r="AE1763" s="2" t="inlineStr">
        <is>
          <t>24912</t>
        </is>
      </c>
      <c r="AF1763" s="2" t="inlineStr">
        <is>
          <t>https://www.parlamento.pt/OrcamentoEstado/Paginas/DetalhePropostaAlteracao.aspx?BID=24912</t>
        </is>
      </c>
      <c r="AG1763" s="2" t="inlineStr">
        <is>
          <t>https://app.parlamento.pt/webutils/docs/doc.pdf?path=6148523063484d364c793942556b356c6443397a6158526c63793959566b6c4a544556484c3039464c7a49774d6a59794d4449314d5441774f533951515338344d6a4d334f4755324e533168597a41344c54513159544d744f44426c4e5330345a4445344d5745334d4449794f4745756347526d&amp;Fich=82378e65-ac08-45a3-80e5-8d181a70228a.pdf&amp;Inline=true</t>
        </is>
      </c>
      <c r="AH1763" s="3" t="n">
        <v>46321.77847222222</v>
      </c>
      <c r="AI1763" s="3" t="n">
        <v>46321.78055555555</v>
      </c>
      <c r="AJ1763" s="2" t="inlineStr"/>
    </row>
    <row r="1764">
      <c r="A1764" s="2" t="n">
        <v>1763</v>
      </c>
      <c r="B1764" s="2" t="inlineStr">
        <is>
          <t>1665C</t>
        </is>
      </c>
      <c r="C1764" s="3" t="n">
        <v>45968.67430555556</v>
      </c>
      <c r="D1764" s="2" t="inlineStr">
        <is>
          <t>Original</t>
        </is>
      </c>
      <c r="E1764" s="2" t="inlineStr">
        <is>
          <t>PAN</t>
        </is>
      </c>
      <c r="F1764" s="2" t="inlineStr">
        <is>
          <t>Inês de Sousa Real</t>
        </is>
      </c>
      <c r="G1764" s="2" t="inlineStr">
        <is>
          <t>Art. 38.º-A (aditamento)</t>
        </is>
      </c>
      <c r="H1764" s="2" t="n"/>
      <c r="I1764" s="2" t="n"/>
      <c r="J1764" s="2" t="n"/>
      <c r="K1764" s="2" t="n"/>
      <c r="L1764" s="2" t="inlineStr">
        <is>
          <t>Artigo 38.º-A (Alteração ao Decreto-Lei n.º 176/2003, de 2 de agosto)</t>
        </is>
      </c>
      <c r="M1764" s="4" t="n"/>
      <c r="N1764" s="4" t="n"/>
      <c r="O1764" s="2" t="n"/>
      <c r="P1764" s="2" t="n"/>
      <c r="Q1764" s="2" t="n"/>
      <c r="R1764" s="2" t="n"/>
      <c r="S1764" s="2" t="inlineStr">
        <is>
          <t>Rejeitado(a) em Comissão</t>
        </is>
      </c>
      <c r="T1764" s="2" t="inlineStr">
        <is>
          <t>Rejeitada</t>
        </is>
      </c>
      <c r="U1764" s="2" t="inlineStr">
        <is>
          <t>Favor: CH, IL, L, PCP, BE, PAN; Contra: PSD, CDS-PP; Abstenção: PS</t>
        </is>
      </c>
      <c r="V1764" s="3" t="n">
        <v>45981</v>
      </c>
      <c r="W1764" s="2" t="inlineStr">
        <is>
          <t>AR: https://www.parlamento.pt/OrcamentoEstado/Paginas/DetalhePropostaAlteracao.aspx?BID=24913 PDF: https://app.parlamento.pt/webutils/docs/doc.pdf?path=6148523063484d364c793942556b356c6443397a6158526c63793959566b6c4a544556484c3039464c7a49774d6a59794d4449314d5441774f5339515153396a4f445a6a597a4d334e4330335a5751314c54526d4e6d4d74595759344d7930775a6a67344d5745794d3249334d4759756347526d&amp;Fich=c86cc374-7ed5-4f6c-af83-0f881a23b70f.pdf&amp;Inline=true</t>
        </is>
      </c>
      <c r="X1764" s="2" t="inlineStr">
        <is>
          <t>Assuntos Constitucionais, Direitos, Liberdades e Garantias</t>
        </is>
      </c>
      <c r="Y1764" s="2" t="inlineStr">
        <is>
          <t>Articulado</t>
        </is>
      </c>
      <c r="Z1764" s="2" t="inlineStr">
        <is>
          <t>Aditamento (Artigo PPL)</t>
        </is>
      </c>
      <c r="AA1764" s="2" t="inlineStr">
        <is>
          <t>Rejeitado(a) em Comissão</t>
        </is>
      </c>
      <c r="AB1764" s="2" t="inlineStr"/>
      <c r="AC1764" s="2" t="inlineStr"/>
      <c r="AD1764" s="2" t="inlineStr">
        <is>
          <t>1</t>
        </is>
      </c>
      <c r="AE1764" s="2" t="inlineStr">
        <is>
          <t>24913</t>
        </is>
      </c>
      <c r="AF1764" s="2" t="inlineStr">
        <is>
          <t>https://www.parlamento.pt/OrcamentoEstado/Paginas/DetalhePropostaAlteracao.aspx?BID=24913</t>
        </is>
      </c>
      <c r="AG1764" s="2" t="inlineStr">
        <is>
          <t>https://app.parlamento.pt/webutils/docs/doc.pdf?path=6148523063484d364c793942556b356c6443397a6158526c63793959566b6c4a544556484c3039464c7a49774d6a59794d4449314d5441774f5339515153396a4f445a6a597a4d334e4330335a5751314c54526d4e6d4d74595759344d7930775a6a67344d5745794d3249334d4759756347526d&amp;Fich=c86cc374-7ed5-4f6c-af83-0f881a23b70f.pdf&amp;Inline=true</t>
        </is>
      </c>
      <c r="AH1764" s="3" t="n">
        <v>46321.77847222222</v>
      </c>
      <c r="AI1764" s="3" t="n">
        <v>46321.78055555555</v>
      </c>
      <c r="AJ1764" s="2" t="inlineStr"/>
    </row>
    <row r="1765">
      <c r="A1765" s="2" t="n">
        <v>1764</v>
      </c>
      <c r="B1765" s="2" t="inlineStr">
        <is>
          <t>1666C</t>
        </is>
      </c>
      <c r="C1765" s="3" t="n">
        <v>45968.675</v>
      </c>
      <c r="D1765" s="2" t="inlineStr">
        <is>
          <t>Original</t>
        </is>
      </c>
      <c r="E1765" s="2" t="inlineStr">
        <is>
          <t>CH</t>
        </is>
      </c>
      <c r="F176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65" s="2" t="inlineStr">
        <is>
          <t>Art. 14.º A (aditamento)</t>
        </is>
      </c>
      <c r="H1765" s="2" t="n"/>
      <c r="I1765" s="2" t="n"/>
      <c r="J1765" s="2" t="n"/>
      <c r="K1765" s="2" t="n"/>
      <c r="L1765" s="2" t="inlineStr">
        <is>
          <t>Artigo 14.º A (Financiamento de Observatórios e Fundações)</t>
        </is>
      </c>
      <c r="M1765" s="4" t="n"/>
      <c r="N1765" s="4" t="n"/>
      <c r="O1765" s="2" t="n"/>
      <c r="P1765" s="2" t="n"/>
      <c r="Q1765" s="2" t="n"/>
      <c r="R1765" s="2" t="n"/>
      <c r="S1765" s="2" t="inlineStr">
        <is>
          <t>Rejeitado(a) em Comissão</t>
        </is>
      </c>
      <c r="T1765" s="2" t="inlineStr">
        <is>
          <t>Rejeitada</t>
        </is>
      </c>
      <c r="U1765" s="2" t="inlineStr">
        <is>
          <t>Favor: CH, IL, PAN; Contra: PSD, PS, L, PCP, CDS-PP, BE</t>
        </is>
      </c>
      <c r="V1765" s="3" t="n">
        <v>45981</v>
      </c>
      <c r="W1765" s="2" t="inlineStr">
        <is>
          <t>AR: https://www.parlamento.pt/OrcamentoEstado/Paginas/DetalhePropostaAlteracao.aspx?BID=24914 PDF: https://app.parlamento.pt/webutils/docs/doc.pdf?path=6148523063484d364c793942556b356c6443397a6158526c63793959566b6c4a544556484c3039464c7a49774d6a59794d4449314d5441774f5339515153396c596a55325a6a686b4e6930315a5459334c54513459575974596a4a6a4f4330785a44526d4e5441314e446b795a5467756347526d&amp;Fich=eb56f8d6-5e67-48af-b2c8-1d4f505492e8.pdf&amp;Inline=true</t>
        </is>
      </c>
      <c r="X1765" s="2" t="inlineStr">
        <is>
          <t>Orçamento, Finanças e Administração Pública</t>
        </is>
      </c>
      <c r="Y1765" s="2" t="inlineStr">
        <is>
          <t>Articulado</t>
        </is>
      </c>
      <c r="Z1765" s="2" t="inlineStr">
        <is>
          <t>Aditamento (Artigo PPL)</t>
        </is>
      </c>
      <c r="AA1765" s="2" t="inlineStr">
        <is>
          <t>Rejeitado(a) em Comissão</t>
        </is>
      </c>
      <c r="AB1765" s="2" t="inlineStr"/>
      <c r="AC1765" s="2" t="inlineStr"/>
      <c r="AD1765" s="2" t="inlineStr">
        <is>
          <t>1</t>
        </is>
      </c>
      <c r="AE1765" s="2" t="inlineStr">
        <is>
          <t>24914</t>
        </is>
      </c>
      <c r="AF1765" s="2" t="inlineStr">
        <is>
          <t>https://www.parlamento.pt/OrcamentoEstado/Paginas/DetalhePropostaAlteracao.aspx?BID=24914</t>
        </is>
      </c>
      <c r="AG1765" s="2" t="inlineStr">
        <is>
          <t>https://app.parlamento.pt/webutils/docs/doc.pdf?path=6148523063484d364c793942556b356c6443397a6158526c63793959566b6c4a544556484c3039464c7a49774d6a59794d4449314d5441774f5339515153396c596a55325a6a686b4e6930315a5459334c54513459575974596a4a6a4f4330785a44526d4e5441314e446b795a5467756347526d&amp;Fich=eb56f8d6-5e67-48af-b2c8-1d4f505492e8.pdf&amp;Inline=true</t>
        </is>
      </c>
      <c r="AH1765" s="3" t="n">
        <v>46321.77847222222</v>
      </c>
      <c r="AI1765" s="3" t="n">
        <v>46321.78055555555</v>
      </c>
      <c r="AJ1765" s="2" t="inlineStr"/>
    </row>
    <row r="1766">
      <c r="A1766" s="2" t="n">
        <v>1765</v>
      </c>
      <c r="B1766" s="2" t="inlineStr">
        <is>
          <t>1667C</t>
        </is>
      </c>
      <c r="C1766" s="3" t="n">
        <v>45968.675</v>
      </c>
      <c r="D1766" s="2" t="inlineStr">
        <is>
          <t>Original</t>
        </is>
      </c>
      <c r="E1766" s="2" t="inlineStr">
        <is>
          <t>L</t>
        </is>
      </c>
      <c r="F1766" s="2" t="inlineStr">
        <is>
          <t>Filipa Pinto; Isabel Mendes Lopes; Jorge Pinto; Patrícia Gonçalves; Paulo Muacho; Rui Tavares</t>
        </is>
      </c>
      <c r="G1766" s="2" t="inlineStr">
        <is>
          <t>Art. 19.º-A (aditamento)</t>
        </is>
      </c>
      <c r="H1766" s="2" t="n"/>
      <c r="I1766" s="2" t="n"/>
      <c r="J1766" s="2" t="n"/>
      <c r="K1766" s="2" t="n"/>
      <c r="L1766" s="2" t="inlineStr">
        <is>
          <t>Artigo 19.º-A (Plano de prevenção e combate ao assédio no Ministério dos Negócios Estrangeiros)</t>
        </is>
      </c>
      <c r="M1766" s="4" t="n"/>
      <c r="N1766" s="4" t="n"/>
      <c r="O1766" s="2" t="n"/>
      <c r="P1766" s="2" t="n"/>
      <c r="Q1766" s="2" t="n"/>
      <c r="R1766" s="2" t="n"/>
      <c r="S1766" s="2" t="inlineStr">
        <is>
          <t>Rejeitado(a) em Comissão</t>
        </is>
      </c>
      <c r="T1766" s="2" t="inlineStr">
        <is>
          <t>Rejeitada</t>
        </is>
      </c>
      <c r="U1766" s="2" t="inlineStr">
        <is>
          <t>Favor: IL, L, PCP, BE, PAN; Contra: PSD, CDS-PP; Abstenção: CH, PS</t>
        </is>
      </c>
      <c r="V1766" s="3" t="n">
        <v>45981</v>
      </c>
      <c r="W1766" s="2" t="inlineStr">
        <is>
          <t>AR: https://www.parlamento.pt/OrcamentoEstado/Paginas/DetalhePropostaAlteracao.aspx?BID=24915 PDF: https://app.parlamento.pt/webutils/docs/doc.pdf?path=6148523063484d364c793942556b356c6443397a6158526c63793959566b6c4a544556484c3039464c7a49774d6a59794d4449314d5441774f533951515338335a6a6c6d5a5463354e43307a4d6a4e684c5451784d4759744f4445334d79316d5a6d453359544a69597a51314f5745756347526d&amp;Fich=7f9fe794-323a-410f-8173-ffa7a2bc459a.pdf&amp;Inline=true</t>
        </is>
      </c>
      <c r="X1766" s="2" t="inlineStr">
        <is>
          <t>Assuntos Constitucionais, Direitos, Liberdades e Garantias; Negócios Estrangeiros e Comunidades Portuguesas</t>
        </is>
      </c>
      <c r="Y1766" s="2" t="inlineStr">
        <is>
          <t>Articulado</t>
        </is>
      </c>
      <c r="Z1766" s="2" t="inlineStr">
        <is>
          <t>Aditamento (Artigo PPL)</t>
        </is>
      </c>
      <c r="AA1766" s="2" t="inlineStr">
        <is>
          <t>Rejeitado(a) em Comissão</t>
        </is>
      </c>
      <c r="AB1766" s="2" t="inlineStr"/>
      <c r="AC1766" s="2" t="inlineStr"/>
      <c r="AD1766" s="2" t="inlineStr">
        <is>
          <t>1</t>
        </is>
      </c>
      <c r="AE1766" s="2" t="inlineStr">
        <is>
          <t>24915</t>
        </is>
      </c>
      <c r="AF1766" s="2" t="inlineStr">
        <is>
          <t>https://www.parlamento.pt/OrcamentoEstado/Paginas/DetalhePropostaAlteracao.aspx?BID=24915</t>
        </is>
      </c>
      <c r="AG1766" s="2" t="inlineStr">
        <is>
          <t>https://app.parlamento.pt/webutils/docs/doc.pdf?path=6148523063484d364c793942556b356c6443397a6158526c63793959566b6c4a544556484c3039464c7a49774d6a59794d4449314d5441774f533951515338335a6a6c6d5a5463354e43307a4d6a4e684c5451784d4759744f4445334d79316d5a6d453359544a69597a51314f5745756347526d&amp;Fich=7f9fe794-323a-410f-8173-ffa7a2bc459a.pdf&amp;Inline=true</t>
        </is>
      </c>
      <c r="AH1766" s="3" t="n">
        <v>46321.77847222222</v>
      </c>
      <c r="AI1766" s="3" t="n">
        <v>46321.78055555555</v>
      </c>
      <c r="AJ1766" s="2" t="inlineStr"/>
    </row>
    <row r="1767">
      <c r="A1767" s="2" t="n">
        <v>1766</v>
      </c>
      <c r="B1767" s="2" t="inlineStr">
        <is>
          <t>1668C</t>
        </is>
      </c>
      <c r="C1767" s="3" t="n">
        <v>45968.675</v>
      </c>
      <c r="D1767" s="2" t="inlineStr">
        <is>
          <t>Original</t>
        </is>
      </c>
      <c r="E1767" s="2" t="inlineStr">
        <is>
          <t>CH</t>
        </is>
      </c>
      <c r="F176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67" s="2" t="inlineStr">
        <is>
          <t>Art. 136.º-A (aditamento)</t>
        </is>
      </c>
      <c r="H1767" s="2" t="n"/>
      <c r="I1767" s="2" t="n"/>
      <c r="J1767" s="2" t="n"/>
      <c r="K1767" s="2" t="n"/>
      <c r="L1767" s="2" t="inlineStr">
        <is>
          <t>Artigo 136.º-A (Correção do reposicionamento da carreira dos professores)</t>
        </is>
      </c>
      <c r="M1767" s="4" t="n"/>
      <c r="N1767" s="4" t="n"/>
      <c r="O1767" s="2" t="n"/>
      <c r="P1767" s="2" t="n"/>
      <c r="Q1767" s="2" t="n"/>
      <c r="R1767" s="2" t="n"/>
      <c r="S1767" s="2" t="inlineStr">
        <is>
          <t>Rejeitado(a) em Comissão</t>
        </is>
      </c>
      <c r="T1767" s="2" t="inlineStr">
        <is>
          <t>Rejeitada</t>
        </is>
      </c>
      <c r="U1767" s="2" t="inlineStr">
        <is>
          <t>Favor: CH, BE, PAN; Contra: PSD, CDS-PP; Abstenção: PS, IL, L, PCP</t>
        </is>
      </c>
      <c r="V1767" s="3" t="n">
        <v>45987</v>
      </c>
      <c r="W1767" s="2" t="inlineStr">
        <is>
          <t>AR: https://www.parlamento.pt/OrcamentoEstado/Paginas/DetalhePropostaAlteracao.aspx?BID=24916 PDF: https://app.parlamento.pt/webutils/docs/doc.pdf?path=6148523063484d364c793942556b356c6443397a6158526c63793959566b6c4a544556484c3039464c7a49774d6a59794d4449314d5441774f5339515153396859574d354e6d466b4e4330794d546c694c54517a593259744f5467355979316a4e7a4d314d6d51354d6a4d314d6a51756347526d&amp;Fich=aac96ad4-219b-43cf-989c-c7352d923524.pdf&amp;Inline=true</t>
        </is>
      </c>
      <c r="X1767" s="2" t="inlineStr">
        <is>
          <t>Educação e Ciência</t>
        </is>
      </c>
      <c r="Y1767" s="2" t="inlineStr">
        <is>
          <t>Articulado</t>
        </is>
      </c>
      <c r="Z1767" s="2" t="inlineStr">
        <is>
          <t>Aditamento (Artigo PPL)</t>
        </is>
      </c>
      <c r="AA1767" s="2" t="inlineStr">
        <is>
          <t>Rejeitado(a) em Comissão</t>
        </is>
      </c>
      <c r="AB1767" s="2" t="inlineStr"/>
      <c r="AC1767" s="2" t="inlineStr"/>
      <c r="AD1767" s="2" t="inlineStr">
        <is>
          <t>1</t>
        </is>
      </c>
      <c r="AE1767" s="2" t="inlineStr">
        <is>
          <t>24916</t>
        </is>
      </c>
      <c r="AF1767" s="2" t="inlineStr">
        <is>
          <t>https://www.parlamento.pt/OrcamentoEstado/Paginas/DetalhePropostaAlteracao.aspx?BID=24916</t>
        </is>
      </c>
      <c r="AG1767" s="2" t="inlineStr">
        <is>
          <t>https://app.parlamento.pt/webutils/docs/doc.pdf?path=6148523063484d364c793942556b356c6443397a6158526c63793959566b6c4a544556484c3039464c7a49774d6a59794d4449314d5441774f5339515153396859574d354e6d466b4e4330794d546c694c54517a593259744f5467355979316a4e7a4d314d6d51354d6a4d314d6a51756347526d&amp;Fich=aac96ad4-219b-43cf-989c-c7352d923524.pdf&amp;Inline=true</t>
        </is>
      </c>
      <c r="AH1767" s="3" t="n">
        <v>46321.77847222222</v>
      </c>
      <c r="AI1767" s="3" t="n">
        <v>46321.78055555555</v>
      </c>
      <c r="AJ1767" s="2" t="inlineStr"/>
    </row>
    <row r="1768">
      <c r="A1768" s="2" t="n">
        <v>1767</v>
      </c>
      <c r="B1768" s="2" t="inlineStr">
        <is>
          <t>1669C</t>
        </is>
      </c>
      <c r="C1768" s="3" t="n">
        <v>45968.67569444444</v>
      </c>
      <c r="D1768" s="2" t="inlineStr">
        <is>
          <t>Original</t>
        </is>
      </c>
      <c r="E1768" s="2" t="inlineStr">
        <is>
          <t>L</t>
        </is>
      </c>
      <c r="F1768" s="2" t="inlineStr">
        <is>
          <t>Filipa Pinto; Isabel Mendes Lopes; Jorge Pinto; Patrícia Gonçalves; Paulo Muacho; Rui Tavares</t>
        </is>
      </c>
      <c r="G1768" s="2" t="inlineStr">
        <is>
          <t>Art. 116.º-A (aditamento)</t>
        </is>
      </c>
      <c r="H1768" s="2" t="n"/>
      <c r="I1768" s="2" t="n"/>
      <c r="J1768" s="2" t="n"/>
      <c r="K1768" s="2" t="n"/>
      <c r="L1768" s="2" t="inlineStr">
        <is>
          <t>Artigo 116.º-A (Levantamento da solidariedade raiana durante a guerra civil espanhola)</t>
        </is>
      </c>
      <c r="M1768" s="4" t="n"/>
      <c r="N1768" s="4" t="n"/>
      <c r="O1768" s="2" t="n"/>
      <c r="P1768" s="2" t="n"/>
      <c r="Q1768" s="2" t="n"/>
      <c r="R1768" s="2" t="n"/>
      <c r="S1768" s="2" t="inlineStr">
        <is>
          <t>Rejeitado(a) em Comissão</t>
        </is>
      </c>
      <c r="T1768" s="2" t="inlineStr">
        <is>
          <t>Rejeitada</t>
        </is>
      </c>
      <c r="U1768" s="2" t="inlineStr">
        <is>
          <t>Favor: L, PCP, BE, PAN; Contra: PSD, CH, CDS-PP; Abstenção: PS, IL</t>
        </is>
      </c>
      <c r="V1768" s="3" t="n">
        <v>45985</v>
      </c>
      <c r="W1768" s="2" t="inlineStr">
        <is>
          <t>AR: https://www.parlamento.pt/OrcamentoEstado/Paginas/DetalhePropostaAlteracao.aspx?BID=24917 PDF: https://app.parlamento.pt/webutils/docs/doc.pdf?path=6148523063484d364c793942556b356c6443397a6158526c63793959566b6c4a544556484c3039464c7a49774d6a59794d4449314d5441774f5339515153383559545931596a67345a433035595449334c54526a4e5455744f44426d4f53316a59324d344f574d7a4e324d314f5441756347526d&amp;Fich=9a65b88d-9a27-4c55-80f9-ccc89c37c590.pdf&amp;Inline=true</t>
        </is>
      </c>
      <c r="X1768" s="2" t="inlineStr">
        <is>
          <t>Assuntos Constitucionais, Direitos, Liberdades e Garantias</t>
        </is>
      </c>
      <c r="Y1768" s="2" t="inlineStr">
        <is>
          <t>Articulado</t>
        </is>
      </c>
      <c r="Z1768" s="2" t="inlineStr">
        <is>
          <t>Aditamento (Artigo PPL)</t>
        </is>
      </c>
      <c r="AA1768" s="2" t="inlineStr">
        <is>
          <t>Rejeitado(a) em Comissão</t>
        </is>
      </c>
      <c r="AB1768" s="2" t="inlineStr"/>
      <c r="AC1768" s="2" t="inlineStr"/>
      <c r="AD1768" s="2" t="inlineStr">
        <is>
          <t>1</t>
        </is>
      </c>
      <c r="AE1768" s="2" t="inlineStr">
        <is>
          <t>24917</t>
        </is>
      </c>
      <c r="AF1768" s="2" t="inlineStr">
        <is>
          <t>https://www.parlamento.pt/OrcamentoEstado/Paginas/DetalhePropostaAlteracao.aspx?BID=24917</t>
        </is>
      </c>
      <c r="AG1768" s="2" t="inlineStr">
        <is>
          <t>https://app.parlamento.pt/webutils/docs/doc.pdf?path=6148523063484d364c793942556b356c6443397a6158526c63793959566b6c4a544556484c3039464c7a49774d6a59794d4449314d5441774f5339515153383559545931596a67345a433035595449334c54526a4e5455744f44426d4f53316a59324d344f574d7a4e324d314f5441756347526d&amp;Fich=9a65b88d-9a27-4c55-80f9-ccc89c37c590.pdf&amp;Inline=true</t>
        </is>
      </c>
      <c r="AH1768" s="3" t="n">
        <v>46321.77847222222</v>
      </c>
      <c r="AI1768" s="3" t="n">
        <v>46321.78055555555</v>
      </c>
      <c r="AJ1768" s="2" t="inlineStr"/>
    </row>
    <row r="1769">
      <c r="A1769" s="2" t="n">
        <v>1768</v>
      </c>
      <c r="B1769" s="2" t="inlineStr">
        <is>
          <t>1670C</t>
        </is>
      </c>
      <c r="C1769" s="3" t="n">
        <v>45968.67569444444</v>
      </c>
      <c r="D1769" s="2" t="inlineStr">
        <is>
          <t>Original</t>
        </is>
      </c>
      <c r="E1769" s="2" t="inlineStr">
        <is>
          <t>CH</t>
        </is>
      </c>
      <c r="F176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69" s="2" t="inlineStr">
        <is>
          <t>Art. 136.º-A (aditamento)</t>
        </is>
      </c>
      <c r="H1769" s="2" t="n"/>
      <c r="I1769" s="2" t="n"/>
      <c r="J1769" s="2" t="n"/>
      <c r="K1769" s="2" t="n"/>
      <c r="L1769" s="2" t="inlineStr">
        <is>
          <t>Artigo 136.º-A (Abolição das portagens em Alverca e Vila Franca de Xira)</t>
        </is>
      </c>
      <c r="M1769" s="4" t="n"/>
      <c r="N1769" s="4" t="n"/>
      <c r="O1769" s="2" t="n"/>
      <c r="P1769" s="2" t="n"/>
      <c r="Q1769" s="2" t="n"/>
      <c r="R1769" s="2" t="n"/>
      <c r="S1769" s="2" t="inlineStr">
        <is>
          <t>Rejeitado(a) em Comissão</t>
        </is>
      </c>
      <c r="T1769" s="2" t="inlineStr">
        <is>
          <t>Rejeitada</t>
        </is>
      </c>
      <c r="U1769" s="2" t="inlineStr">
        <is>
          <t>Favor: CH, BE, PAN; Contra: PSD, IL, CDS-PP; Abstenção: PS, L, PCP</t>
        </is>
      </c>
      <c r="V1769" s="3" t="n">
        <v>45987</v>
      </c>
      <c r="W1769" s="2" t="inlineStr">
        <is>
          <t>AR: https://www.parlamento.pt/OrcamentoEstado/Paginas/DetalhePropostaAlteracao.aspx?BID=24918 PDF: https://app.parlamento.pt/webutils/docs/doc.pdf?path=6148523063484d364c793942556b356c6443397a6158526c63793959566b6c4a544556484c3039464c7a49774d6a59794d4449314d5441774f533951515338795a6a4932596a557a4e7931685a5451304c5451315a474574595441315953316959546c69595459774d3245344e6a59756347526d&amp;Fich=2f26b537-ae44-45da-a05a-ba9ba603a866.pdf&amp;Inline=true</t>
        </is>
      </c>
      <c r="X1769" s="2" t="inlineStr">
        <is>
          <t>Infraestruturas, Mobilidade e Habitação</t>
        </is>
      </c>
      <c r="Y1769" s="2" t="inlineStr">
        <is>
          <t>Articulado</t>
        </is>
      </c>
      <c r="Z1769" s="2" t="inlineStr">
        <is>
          <t>Aditamento (Artigo PPL)</t>
        </is>
      </c>
      <c r="AA1769" s="2" t="inlineStr">
        <is>
          <t>Rejeitado(a) em Comissão</t>
        </is>
      </c>
      <c r="AB1769" s="2" t="inlineStr"/>
      <c r="AC1769" s="2" t="inlineStr"/>
      <c r="AD1769" s="2" t="inlineStr">
        <is>
          <t>1</t>
        </is>
      </c>
      <c r="AE1769" s="2" t="inlineStr">
        <is>
          <t>24918</t>
        </is>
      </c>
      <c r="AF1769" s="2" t="inlineStr">
        <is>
          <t>https://www.parlamento.pt/OrcamentoEstado/Paginas/DetalhePropostaAlteracao.aspx?BID=24918</t>
        </is>
      </c>
      <c r="AG1769" s="2" t="inlineStr">
        <is>
          <t>https://app.parlamento.pt/webutils/docs/doc.pdf?path=6148523063484d364c793942556b356c6443397a6158526c63793959566b6c4a544556484c3039464c7a49774d6a59794d4449314d5441774f533951515338795a6a4932596a557a4e7931685a5451304c5451315a474574595441315953316959546c69595459774d3245344e6a59756347526d&amp;Fich=2f26b537-ae44-45da-a05a-ba9ba603a866.pdf&amp;Inline=true</t>
        </is>
      </c>
      <c r="AH1769" s="3" t="n">
        <v>46321.77847222222</v>
      </c>
      <c r="AI1769" s="3" t="n">
        <v>46321.78055555555</v>
      </c>
      <c r="AJ1769" s="2" t="inlineStr"/>
    </row>
    <row r="1770">
      <c r="A1770" s="2" t="n">
        <v>1769</v>
      </c>
      <c r="B1770" s="2" t="inlineStr">
        <is>
          <t>1671C</t>
        </is>
      </c>
      <c r="C1770" s="3" t="n">
        <v>45968.67569444444</v>
      </c>
      <c r="D1770" s="2" t="inlineStr">
        <is>
          <t>Original</t>
        </is>
      </c>
      <c r="E1770" s="2" t="inlineStr">
        <is>
          <t>PS</t>
        </is>
      </c>
      <c r="F1770" s="2" t="inlineStr">
        <is>
          <t>António Mendonça Mendes; Eurico Brilhante Dias; Jorge Botelho; José Luís Carneiro; Marina Gonçalves; Miguel Matos; Rui Jorge Santos</t>
        </is>
      </c>
      <c r="G1770" s="2" t="inlineStr">
        <is>
          <t>Art. 6.º (substituição)</t>
        </is>
      </c>
      <c r="H1770" s="2" t="n"/>
      <c r="I1770" s="2" t="n"/>
      <c r="J1770" s="2" t="n"/>
      <c r="K1770" s="2" t="n"/>
      <c r="L1770" s="2" t="inlineStr">
        <is>
          <t>N.º 1, Artigo 6.º</t>
        </is>
      </c>
      <c r="M1770" s="4" t="n"/>
      <c r="N1770" s="4" t="n"/>
      <c r="O1770" s="2" t="n"/>
      <c r="P1770" s="2" t="n"/>
      <c r="Q1770" s="2" t="n"/>
      <c r="R1770" s="2" t="n"/>
      <c r="S1770" s="2" t="inlineStr">
        <is>
          <t>Rejeitado(a) em Comissão</t>
        </is>
      </c>
      <c r="T1770" s="2" t="inlineStr">
        <is>
          <t>Rejeitada</t>
        </is>
      </c>
      <c r="U1770" s="2" t="inlineStr">
        <is>
          <t>Favor: PS, L; Contra: PSD, IL, PCP, CDS-PP; Abstenção: CH, BE, PAN</t>
        </is>
      </c>
      <c r="V1770" s="3" t="n">
        <v>45981</v>
      </c>
      <c r="W1770" s="2" t="inlineStr">
        <is>
          <t>AR: https://www.parlamento.pt/OrcamentoEstado/Paginas/DetalhePropostaAlteracao.aspx?BID=24919 PDF: https://app.parlamento.pt/webutils/docs/doc.pdf?path=6148523063484d364c793942556b356c6443397a6158526c63793959566b6c4a544556484c3039464c7a49774d6a59794d4449314d5441774f5339515153396c4e7a59795a6a5a684e5330344e6d526d4c54526b4e6d55744f444e6b596930334f574579597a41315a5463314f4455756347526d&amp;Fich=e762f6a5-86df-4d6e-83db-79a2c05e7585.pdf&amp;Inline=true</t>
        </is>
      </c>
      <c r="X1770" s="2" t="inlineStr">
        <is>
          <t>Orçamento, Finanças e Administração Pública; Reforma do Estado e Poder Local</t>
        </is>
      </c>
      <c r="Y1770" s="2" t="inlineStr">
        <is>
          <t>Articulado</t>
        </is>
      </c>
      <c r="Z1770" s="2" t="inlineStr">
        <is>
          <t>Substituição</t>
        </is>
      </c>
      <c r="AA1770" s="2" t="inlineStr">
        <is>
          <t>Rejeitado(a) em Comissão</t>
        </is>
      </c>
      <c r="AB1770" s="2" t="inlineStr"/>
      <c r="AC1770" s="2" t="inlineStr"/>
      <c r="AD1770" s="2" t="inlineStr">
        <is>
          <t>1</t>
        </is>
      </c>
      <c r="AE1770" s="2" t="inlineStr">
        <is>
          <t>24919</t>
        </is>
      </c>
      <c r="AF1770" s="2" t="inlineStr">
        <is>
          <t>https://www.parlamento.pt/OrcamentoEstado/Paginas/DetalhePropostaAlteracao.aspx?BID=24919</t>
        </is>
      </c>
      <c r="AG1770" s="2" t="inlineStr">
        <is>
          <t>https://app.parlamento.pt/webutils/docs/doc.pdf?path=6148523063484d364c793942556b356c6443397a6158526c63793959566b6c4a544556484c3039464c7a49774d6a59794d4449314d5441774f5339515153396c4e7a59795a6a5a684e5330344e6d526d4c54526b4e6d55744f444e6b596930334f574579597a41315a5463314f4455756347526d&amp;Fich=e762f6a5-86df-4d6e-83db-79a2c05e7585.pdf&amp;Inline=true</t>
        </is>
      </c>
      <c r="AH1770" s="3" t="n">
        <v>46321.77847222222</v>
      </c>
      <c r="AI1770" s="3" t="n">
        <v>46321.78055555555</v>
      </c>
      <c r="AJ1770" s="2" t="inlineStr"/>
    </row>
    <row r="1771">
      <c r="A1771" s="2" t="n">
        <v>1770</v>
      </c>
      <c r="B1771" s="2" t="inlineStr">
        <is>
          <t>1672C</t>
        </is>
      </c>
      <c r="C1771" s="3" t="n">
        <v>45968.67638888889</v>
      </c>
      <c r="D1771" s="2" t="inlineStr">
        <is>
          <t>Original</t>
        </is>
      </c>
      <c r="E1771" s="2" t="inlineStr">
        <is>
          <t>BE</t>
        </is>
      </c>
      <c r="F1771" s="2" t="inlineStr">
        <is>
          <t>Mariana Mortágua</t>
        </is>
      </c>
      <c r="G1771" s="2" t="inlineStr">
        <is>
          <t>Art. 113.º-A (aditamento)</t>
        </is>
      </c>
      <c r="H1771" s="2" t="n"/>
      <c r="I1771" s="2" t="n"/>
      <c r="J1771" s="2" t="n"/>
      <c r="K1771" s="2" t="n"/>
      <c r="L1771" s="2" t="inlineStr">
        <is>
          <t>Artigo 113.º-A (Eliminação das portagens na autoestrada A28)</t>
        </is>
      </c>
      <c r="M1771" s="4" t="n"/>
      <c r="N1771" s="4" t="n"/>
      <c r="O1771" s="2" t="n"/>
      <c r="P1771" s="2" t="n"/>
      <c r="Q1771" s="2" t="n"/>
      <c r="R1771" s="2" t="n"/>
      <c r="S1771" s="2" t="inlineStr">
        <is>
          <t>Rejeitado(a) em Comissão</t>
        </is>
      </c>
      <c r="T1771" s="2" t="inlineStr">
        <is>
          <t>Rejeitada</t>
        </is>
      </c>
      <c r="U1771" s="2" t="inlineStr">
        <is>
          <t>Favor: CH, L, PCP, BE; Contra: PSD, IL, CDS-PP; Abstenção: PS, PAN</t>
        </is>
      </c>
      <c r="V1771" s="3" t="n">
        <v>45985</v>
      </c>
      <c r="W1771" s="2" t="inlineStr">
        <is>
          <t>AR: https://www.parlamento.pt/OrcamentoEstado/Paginas/DetalhePropostaAlteracao.aspx?BID=24920 PDF: https://app.parlamento.pt/webutils/docs/doc.pdf?path=6148523063484d364c793942556b356c6443397a6158526c63793959566b6c4a544556484c3039464c7a49774d6a59794d4449314d5441774f533951515338774e7a5a6c597a49794e433033593245774c5451774d4745744f57526c4e6930334e4467354d54686a4d6d4d784e4755756347526d&amp;Fich=076ec224-7ca0-400a-9de6-748918c2c14e.pdf&amp;Inline=true</t>
        </is>
      </c>
      <c r="X1771" s="2" t="inlineStr">
        <is>
          <t>Comissão de Economia e Coesão Territorial</t>
        </is>
      </c>
      <c r="Y1771" s="2" t="inlineStr">
        <is>
          <t>Articulado</t>
        </is>
      </c>
      <c r="Z1771" s="2" t="inlineStr">
        <is>
          <t>Aditamento (Artigo PPL)</t>
        </is>
      </c>
      <c r="AA1771" s="2" t="inlineStr">
        <is>
          <t>Rejeitado(a) em Comissão</t>
        </is>
      </c>
      <c r="AB1771" s="2" t="inlineStr"/>
      <c r="AC1771" s="2" t="inlineStr"/>
      <c r="AD1771" s="2" t="inlineStr">
        <is>
          <t>1</t>
        </is>
      </c>
      <c r="AE1771" s="2" t="inlineStr">
        <is>
          <t>24920</t>
        </is>
      </c>
      <c r="AF1771" s="2" t="inlineStr">
        <is>
          <t>https://www.parlamento.pt/OrcamentoEstado/Paginas/DetalhePropostaAlteracao.aspx?BID=24920</t>
        </is>
      </c>
      <c r="AG1771" s="2" t="inlineStr">
        <is>
          <t>https://app.parlamento.pt/webutils/docs/doc.pdf?path=6148523063484d364c793942556b356c6443397a6158526c63793959566b6c4a544556484c3039464c7a49774d6a59794d4449314d5441774f533951515338774e7a5a6c597a49794e433033593245774c5451774d4745744f57526c4e6930334e4467354d54686a4d6d4d784e4755756347526d&amp;Fich=076ec224-7ca0-400a-9de6-748918c2c14e.pdf&amp;Inline=true</t>
        </is>
      </c>
      <c r="AH1771" s="3" t="n">
        <v>46321.77847222222</v>
      </c>
      <c r="AI1771" s="3" t="n">
        <v>46321.78055555555</v>
      </c>
      <c r="AJ1771" s="2" t="inlineStr"/>
    </row>
    <row r="1772">
      <c r="A1772" s="2" t="n">
        <v>1771</v>
      </c>
      <c r="B1772" s="2" t="inlineStr">
        <is>
          <t>1673C</t>
        </is>
      </c>
      <c r="C1772" s="3" t="n">
        <v>45968.67638888889</v>
      </c>
      <c r="D1772" s="2" t="inlineStr">
        <is>
          <t>Original</t>
        </is>
      </c>
      <c r="E1772" s="2" t="inlineStr">
        <is>
          <t>Vários</t>
        </is>
      </c>
      <c r="F1772" s="2" t="inlineStr">
        <is>
          <t>Alberto Fonseca; Ana Oliveira; Francisco Pimentel; Francisco Sousa Vieira; Hugo Carneiro; Hugo Soares; Miguel Guimarães; João Pinho de Almeida; Paulo Núncio</t>
        </is>
      </c>
      <c r="G1772" s="2" t="inlineStr">
        <is>
          <t>Art. 120.º-A (aditamento)</t>
        </is>
      </c>
      <c r="H1772" s="2" t="n"/>
      <c r="I1772" s="2" t="n"/>
      <c r="J1772" s="2" t="n"/>
      <c r="K1772" s="2" t="n"/>
      <c r="L1772" s="2" t="inlineStr">
        <is>
          <t>Artigo 120.º-A (Rastreio e diagnóstico de doenças oculares)</t>
        </is>
      </c>
      <c r="M1772" s="4" t="n"/>
      <c r="N1772" s="4" t="n"/>
      <c r="O1772" s="2" t="n"/>
      <c r="P1772" s="2" t="n"/>
      <c r="Q1772" s="2" t="n"/>
      <c r="R1772" s="2" t="n"/>
      <c r="S1772" s="2" t="inlineStr">
        <is>
          <t>Aprovado(a) em Comissão</t>
        </is>
      </c>
      <c r="T1772" s="2" t="inlineStr">
        <is>
          <t>Aprovada</t>
        </is>
      </c>
      <c r="U1772" s="2" t="inlineStr">
        <is>
          <t>Favor: PSD, CH, L, PCP, CDS-PP, BE, PAN; Contra: PS, IL</t>
        </is>
      </c>
      <c r="V1772" s="3" t="n">
        <v>45985</v>
      </c>
      <c r="W1772" s="2" t="inlineStr">
        <is>
          <t>AR: https://www.parlamento.pt/OrcamentoEstado/Paginas/DetalhePropostaAlteracao.aspx?BID=24921 PDF: https://app.parlamento.pt/webutils/docs/doc.pdf?path=6148523063484d364c793942556b356c6443397a6158526c63793959566b6c4a544556484c3039464c7a49774d6a59794d4449314d5441774f5339515153383259574a694d7a466c596930794d7a67324c545268597a6b74596a5a6a4e693033595759785a4455785954466c4e5755756347526d&amp;Fich=6abb31eb-2386-4ac9-b6c6-7af1d51a1e5e.pdf&amp;Inline=true</t>
        </is>
      </c>
      <c r="X1772" s="2" t="inlineStr">
        <is>
          <t>Saúde</t>
        </is>
      </c>
      <c r="Y1772" s="2" t="inlineStr">
        <is>
          <t>Articulado</t>
        </is>
      </c>
      <c r="Z1772" s="2" t="inlineStr">
        <is>
          <t>Aditamento (Artigo PPL)</t>
        </is>
      </c>
      <c r="AA1772" s="2" t="inlineStr">
        <is>
          <t>Aprovado(a) em Comissão</t>
        </is>
      </c>
      <c r="AB1772" s="2" t="inlineStr"/>
      <c r="AC1772" s="2" t="inlineStr"/>
      <c r="AD1772" s="2" t="inlineStr">
        <is>
          <t>1</t>
        </is>
      </c>
      <c r="AE1772" s="2" t="inlineStr">
        <is>
          <t>24921</t>
        </is>
      </c>
      <c r="AF1772" s="2" t="inlineStr">
        <is>
          <t>https://www.parlamento.pt/OrcamentoEstado/Paginas/DetalhePropostaAlteracao.aspx?BID=24921</t>
        </is>
      </c>
      <c r="AG1772" s="2" t="inlineStr">
        <is>
          <t>https://app.parlamento.pt/webutils/docs/doc.pdf?path=6148523063484d364c793942556b356c6443397a6158526c63793959566b6c4a544556484c3039464c7a49774d6a59794d4449314d5441774f5339515153383259574a694d7a466c596930794d7a67324c545268597a6b74596a5a6a4e693033595759785a4455785954466c4e5755756347526d&amp;Fich=6abb31eb-2386-4ac9-b6c6-7af1d51a1e5e.pdf&amp;Inline=true</t>
        </is>
      </c>
      <c r="AH1772" s="3" t="n">
        <v>46321.77847222222</v>
      </c>
      <c r="AI1772" s="3" t="n">
        <v>46321.78055555555</v>
      </c>
      <c r="AJ1772" s="2" t="inlineStr"/>
    </row>
    <row r="1773">
      <c r="A1773" s="2" t="n">
        <v>1772</v>
      </c>
      <c r="B1773" s="2" t="inlineStr">
        <is>
          <t>1674C</t>
        </is>
      </c>
      <c r="C1773" s="3" t="n">
        <v>45968.67638888889</v>
      </c>
      <c r="D1773" s="2" t="inlineStr">
        <is>
          <t>Original</t>
        </is>
      </c>
      <c r="E1773" s="2" t="inlineStr">
        <is>
          <t>CH</t>
        </is>
      </c>
      <c r="F177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73" s="2" t="inlineStr">
        <is>
          <t>Art. 136.º-A (aditamento)</t>
        </is>
      </c>
      <c r="H1773" s="2" t="n"/>
      <c r="I1773" s="2" t="n"/>
      <c r="J1773" s="2" t="n"/>
      <c r="K1773" s="2" t="n"/>
      <c r="L1773" s="2" t="inlineStr">
        <is>
          <t>Artigo 136.º-A (Construção da ponte rodoviária, pedonal, e ciclável entre Seixal e Barreiro)</t>
        </is>
      </c>
      <c r="M1773" s="4" t="n"/>
      <c r="N1773" s="4" t="n"/>
      <c r="O1773" s="2" t="n"/>
      <c r="P1773" s="2" t="n"/>
      <c r="Q1773" s="2" t="n"/>
      <c r="R1773" s="2" t="n"/>
      <c r="S1773" s="2" t="inlineStr">
        <is>
          <t>Rejeitado(a) em Comissão</t>
        </is>
      </c>
      <c r="T1773" s="2" t="inlineStr">
        <is>
          <t>Rejeitada</t>
        </is>
      </c>
      <c r="U1773" s="2" t="inlineStr">
        <is>
          <t>Favor: CH, BE, PAN; Contra: PSD, CDS-PP; Abstenção: PS, IL, L, PCP</t>
        </is>
      </c>
      <c r="V1773" s="3" t="n">
        <v>45987</v>
      </c>
      <c r="W1773" s="2" t="inlineStr">
        <is>
          <t>AR: https://www.parlamento.pt/OrcamentoEstado/Paginas/DetalhePropostaAlteracao.aspx?BID=24922 PDF: https://app.parlamento.pt/webutils/docs/doc.pdf?path=6148523063484d364c793942556b356c6443397a6158526c63793959566b6c4a544556484c3039464c7a49774d6a59794d4449314d5441774f53395151533878595449335a6d49785a5330775a546b774c5451324d545974596d52684d693032596a4133596d52684d5467324d4459756347526d&amp;Fich=1a27fb1e-0e90-4616-bda2-6b07bda18606.pdf&amp;Inline=true</t>
        </is>
      </c>
      <c r="X1773" s="2" t="inlineStr">
        <is>
          <t>Infraestruturas, Mobilidade e Habitação</t>
        </is>
      </c>
      <c r="Y1773" s="2" t="inlineStr">
        <is>
          <t>Articulado</t>
        </is>
      </c>
      <c r="Z1773" s="2" t="inlineStr">
        <is>
          <t>Aditamento (Artigo PPL)</t>
        </is>
      </c>
      <c r="AA1773" s="2" t="inlineStr">
        <is>
          <t>Rejeitado(a) em Comissão</t>
        </is>
      </c>
      <c r="AB1773" s="2" t="inlineStr"/>
      <c r="AC1773" s="2" t="inlineStr"/>
      <c r="AD1773" s="2" t="inlineStr">
        <is>
          <t>1</t>
        </is>
      </c>
      <c r="AE1773" s="2" t="inlineStr">
        <is>
          <t>24922</t>
        </is>
      </c>
      <c r="AF1773" s="2" t="inlineStr">
        <is>
          <t>https://www.parlamento.pt/OrcamentoEstado/Paginas/DetalhePropostaAlteracao.aspx?BID=24922</t>
        </is>
      </c>
      <c r="AG1773" s="2" t="inlineStr">
        <is>
          <t>https://app.parlamento.pt/webutils/docs/doc.pdf?path=6148523063484d364c793942556b356c6443397a6158526c63793959566b6c4a544556484c3039464c7a49774d6a59794d4449314d5441774f53395151533878595449335a6d49785a5330775a546b774c5451324d545974596d52684d693032596a4133596d52684d5467324d4459756347526d&amp;Fich=1a27fb1e-0e90-4616-bda2-6b07bda18606.pdf&amp;Inline=true</t>
        </is>
      </c>
      <c r="AH1773" s="3" t="n">
        <v>46321.77847222222</v>
      </c>
      <c r="AI1773" s="3" t="n">
        <v>46321.78055555555</v>
      </c>
      <c r="AJ1773" s="2" t="inlineStr"/>
    </row>
    <row r="1774">
      <c r="A1774" s="2" t="n">
        <v>1773</v>
      </c>
      <c r="B1774" s="2" t="inlineStr">
        <is>
          <t>1675C</t>
        </is>
      </c>
      <c r="C1774" s="3" t="n">
        <v>45968.67638888889</v>
      </c>
      <c r="D1774" s="2" t="inlineStr">
        <is>
          <t>Original</t>
        </is>
      </c>
      <c r="E1774" s="2" t="inlineStr">
        <is>
          <t>PCP</t>
        </is>
      </c>
      <c r="F1774" s="2" t="inlineStr">
        <is>
          <t>Alfredo Maia; Paula Santos; Paulo Raimundo</t>
        </is>
      </c>
      <c r="G1774" s="2" t="inlineStr">
        <is>
          <t>Art. 113.º-A (aditamento)</t>
        </is>
      </c>
      <c r="H1774" s="2" t="n"/>
      <c r="I1774" s="2" t="n"/>
      <c r="J1774" s="2" t="n"/>
      <c r="K1774" s="2" t="n"/>
      <c r="L1774" s="2" t="inlineStr">
        <is>
          <t>Artigo 113.º-A (Serviço de Atendimento Permanente em Grândola)</t>
        </is>
      </c>
      <c r="M1774" s="4" t="n"/>
      <c r="N1774" s="4" t="n"/>
      <c r="O1774" s="2" t="n"/>
      <c r="P1774" s="2" t="n"/>
      <c r="Q1774" s="2" t="n"/>
      <c r="R1774" s="2" t="n"/>
      <c r="S1774" s="2" t="inlineStr">
        <is>
          <t>Rejeitado(a) em Comissão</t>
        </is>
      </c>
      <c r="T1774" s="2" t="inlineStr">
        <is>
          <t>Rejeitada</t>
        </is>
      </c>
      <c r="U1774" s="2" t="inlineStr">
        <is>
          <t>Favor: CH, L, PCP, BE, PAN; Contra: PSD, CDS-PP; Abstenção: PS, IL</t>
        </is>
      </c>
      <c r="V1774" s="3" t="n">
        <v>45985</v>
      </c>
      <c r="W1774" s="2" t="inlineStr">
        <is>
          <t>AR: https://www.parlamento.pt/OrcamentoEstado/Paginas/DetalhePropostaAlteracao.aspx?BID=24923 PDF: https://app.parlamento.pt/webutils/docs/doc.pdf?path=6148523063484d364c793942556b356c6443397a6158526c63793959566b6c4a544556484c3039464c7a49774d6a59794d4449314d5441774f53395151533879597a5a6c4e7a4e684d53307a4d6d51334c5451354e3255744f574a684e693030595745324d3252684d6a646a4d4463756347526d&amp;Fich=2c6e73a1-32d7-497e-9ba6-4aa63da27c07.pdf&amp;Inline=true</t>
        </is>
      </c>
      <c r="X1774" s="2" t="inlineStr">
        <is>
          <t>Saúde</t>
        </is>
      </c>
      <c r="Y1774" s="2" t="inlineStr">
        <is>
          <t>Articulado</t>
        </is>
      </c>
      <c r="Z1774" s="2" t="inlineStr">
        <is>
          <t>Aditamento (Artigo PPL)</t>
        </is>
      </c>
      <c r="AA1774" s="2" t="inlineStr">
        <is>
          <t>Rejeitado(a) em Comissão</t>
        </is>
      </c>
      <c r="AB1774" s="2" t="inlineStr"/>
      <c r="AC1774" s="2" t="inlineStr"/>
      <c r="AD1774" s="2" t="inlineStr">
        <is>
          <t>1</t>
        </is>
      </c>
      <c r="AE1774" s="2" t="inlineStr">
        <is>
          <t>24923</t>
        </is>
      </c>
      <c r="AF1774" s="2" t="inlineStr">
        <is>
          <t>https://www.parlamento.pt/OrcamentoEstado/Paginas/DetalhePropostaAlteracao.aspx?BID=24923</t>
        </is>
      </c>
      <c r="AG1774" s="2" t="inlineStr">
        <is>
          <t>https://app.parlamento.pt/webutils/docs/doc.pdf?path=6148523063484d364c793942556b356c6443397a6158526c63793959566b6c4a544556484c3039464c7a49774d6a59794d4449314d5441774f53395151533879597a5a6c4e7a4e684d53307a4d6d51334c5451354e3255744f574a684e693030595745324d3252684d6a646a4d4463756347526d&amp;Fich=2c6e73a1-32d7-497e-9ba6-4aa63da27c07.pdf&amp;Inline=true</t>
        </is>
      </c>
      <c r="AH1774" s="3" t="n">
        <v>46321.77847222222</v>
      </c>
      <c r="AI1774" s="3" t="n">
        <v>46321.78055555555</v>
      </c>
      <c r="AJ1774" s="2" t="inlineStr"/>
    </row>
    <row r="1775">
      <c r="A1775" s="2" t="n">
        <v>1774</v>
      </c>
      <c r="B1775" s="2" t="inlineStr">
        <is>
          <t>1676C</t>
        </is>
      </c>
      <c r="C1775" s="3" t="n">
        <v>45968.67638888889</v>
      </c>
      <c r="D1775" s="2" t="inlineStr">
        <is>
          <t>Original</t>
        </is>
      </c>
      <c r="E1775" s="2" t="inlineStr">
        <is>
          <t>PS</t>
        </is>
      </c>
      <c r="F1775" s="2" t="inlineStr">
        <is>
          <t>António Mendonça Mendes; Eurico Brilhante Dias; José Luís Carneiro; Luís Graça; Marina Gonçalves; Miguel Matos; Pedro Vaz</t>
        </is>
      </c>
      <c r="G1775" s="2" t="inlineStr">
        <is>
          <t>Art. 126.º-A (aditamento)</t>
        </is>
      </c>
      <c r="H1775" s="2" t="n"/>
      <c r="I1775" s="2" t="n"/>
      <c r="J1775" s="2" t="n"/>
      <c r="K1775" s="2" t="n"/>
      <c r="L1775" s="2" t="inlineStr">
        <is>
          <t>Artigo 126.º-A (Apoio às indústrias eletrointensivas por compensação de CO2)</t>
        </is>
      </c>
      <c r="M1775" s="4" t="n"/>
      <c r="N1775" s="4" t="n"/>
      <c r="O1775" s="2" t="n"/>
      <c r="P1775" s="2" t="n"/>
      <c r="Q1775" s="2" t="n"/>
      <c r="R1775" s="2" t="n"/>
      <c r="S1775" s="2" t="inlineStr">
        <is>
          <t>Aprovado(a) em Comissão</t>
        </is>
      </c>
      <c r="T1775" s="2" t="inlineStr">
        <is>
          <t>Aprovada</t>
        </is>
      </c>
      <c r="U1775" s="2" t="inlineStr">
        <is>
          <t>Favor: PS, IL, L, PAN; Contra: PCP; Abstenção: PSD, CH, CDS-PP, BE</t>
        </is>
      </c>
      <c r="V1775" s="3" t="n">
        <v>45985</v>
      </c>
      <c r="W1775" s="2" t="inlineStr">
        <is>
          <t>AR: https://www.parlamento.pt/OrcamentoEstado/Paginas/DetalhePropostaAlteracao.aspx?BID=24924 PDF: https://app.parlamento.pt/webutils/docs/doc.pdf?path=6148523063484d364c793942556b356c6443397a6158526c63793959566b6c4a544556484c3039464c7a49774d6a59794d4449314d5441774f5339515153396b4f474e69595441794d53316d4d5467334c5451305a4459744f4441344d6931685a6d49774e4751334e6a426b4f5759756347526d&amp;Fich=d8cba021-f187-44d6-8082-afb04d760d9f.pdf&amp;Inline=true</t>
        </is>
      </c>
      <c r="X1775" s="2" t="inlineStr">
        <is>
          <t>Ambiente e Energia; Orçamento, Finanças e Administração Pública</t>
        </is>
      </c>
      <c r="Y1775" s="2" t="inlineStr">
        <is>
          <t>Articulado</t>
        </is>
      </c>
      <c r="Z1775" s="2" t="inlineStr">
        <is>
          <t>Aditamento (Artigo PPL)</t>
        </is>
      </c>
      <c r="AA1775" s="2" t="inlineStr">
        <is>
          <t>Aprovado(a) em Comissão</t>
        </is>
      </c>
      <c r="AB1775" s="2" t="inlineStr"/>
      <c r="AC1775" s="2" t="inlineStr"/>
      <c r="AD1775" s="2" t="inlineStr">
        <is>
          <t>1</t>
        </is>
      </c>
      <c r="AE1775" s="2" t="inlineStr">
        <is>
          <t>24924</t>
        </is>
      </c>
      <c r="AF1775" s="2" t="inlineStr">
        <is>
          <t>https://www.parlamento.pt/OrcamentoEstado/Paginas/DetalhePropostaAlteracao.aspx?BID=24924</t>
        </is>
      </c>
      <c r="AG1775" s="2" t="inlineStr">
        <is>
          <t>https://app.parlamento.pt/webutils/docs/doc.pdf?path=6148523063484d364c793942556b356c6443397a6158526c63793959566b6c4a544556484c3039464c7a49774d6a59794d4449314d5441774f5339515153396b4f474e69595441794d53316d4d5467334c5451305a4459744f4441344d6931685a6d49774e4751334e6a426b4f5759756347526d&amp;Fich=d8cba021-f187-44d6-8082-afb04d760d9f.pdf&amp;Inline=true</t>
        </is>
      </c>
      <c r="AH1775" s="3" t="n">
        <v>46321.77847222222</v>
      </c>
      <c r="AI1775" s="3" t="n">
        <v>46321.78055555555</v>
      </c>
      <c r="AJ1775" s="2" t="inlineStr"/>
    </row>
    <row r="1776">
      <c r="A1776" s="2" t="n">
        <v>1775</v>
      </c>
      <c r="B1776" s="2" t="inlineStr">
        <is>
          <t>1677C</t>
        </is>
      </c>
      <c r="C1776" s="3" t="n">
        <v>45968.67708333334</v>
      </c>
      <c r="D1776" s="2" t="inlineStr">
        <is>
          <t>Original</t>
        </is>
      </c>
      <c r="E1776" s="2" t="inlineStr">
        <is>
          <t>IL</t>
        </is>
      </c>
      <c r="F1776" s="2" t="inlineStr">
        <is>
          <t>Angélique Da Teresa; Carlos Guimarães Pinto; Joana Cordeiro; Jorge Miguel Teixeira; Mariana Leitão; Mário Amorim Lopes; Miguel Rangel; Rodrigo Saraiva; Rui Rocha</t>
        </is>
      </c>
      <c r="G1776" s="2" t="inlineStr">
        <is>
          <t>Art. 62.º (substituição)</t>
        </is>
      </c>
      <c r="H1776" s="2" t="n"/>
      <c r="I1776" s="2" t="n"/>
      <c r="J1776" s="2" t="n"/>
      <c r="K1776" s="2" t="n"/>
      <c r="L1776" s="2" t="inlineStr">
        <is>
          <t>Corpo N.º 1, Corpo, N.º 7, Corpo, N.º 10, Artigo 36.º-A do EBF</t>
        </is>
      </c>
      <c r="M1776" s="4" t="n"/>
      <c r="N1776" s="4" t="n"/>
      <c r="O1776" s="2" t="n"/>
      <c r="P1776" s="2" t="n"/>
      <c r="Q1776" s="2" t="n"/>
      <c r="R1776" s="2" t="n"/>
      <c r="S1776" s="2" t="inlineStr">
        <is>
          <t>Rejeitado(a) em Comissão</t>
        </is>
      </c>
      <c r="T1776" s="2" t="inlineStr">
        <is>
          <t>Rejeitada</t>
        </is>
      </c>
      <c r="U1776" s="2" t="inlineStr">
        <is>
          <t>Favor: IL; Contra: PSD, L, PCP, CDS-PP, BE, PAN; Abstenção: CH, PS</t>
        </is>
      </c>
      <c r="V1776" s="3" t="n">
        <v>45981</v>
      </c>
      <c r="W1776" s="2" t="inlineStr">
        <is>
          <t>AR: https://www.parlamento.pt/OrcamentoEstado/Paginas/DetalhePropostaAlteracao.aspx?BID=24925 PDF: https://app.parlamento.pt/webutils/docs/doc.pdf?path=6148523063484d364c793942556b356c6443397a6158526c63793959566b6c4a544556484c3039464c7a49774d6a59794d4449314d5441774f5339515153396d596a59334e6a59324e6931685a54526c4c54526b4f446b74596d4a68595330354d6d45305a6d5a6c5a446b354e7a45756347526d&amp;Fich=fb676666-ae4e-4d89-bbaa-92a4ffed9971.pdf&amp;Inline=true</t>
        </is>
      </c>
      <c r="X1776" s="2" t="inlineStr">
        <is>
          <t>Comissão de Economia e Coesão Territorial; Orçamento, Finanças e Administração Pública</t>
        </is>
      </c>
      <c r="Y1776" s="2" t="inlineStr">
        <is>
          <t>Articulado</t>
        </is>
      </c>
      <c r="Z1776" s="2" t="inlineStr">
        <is>
          <t>Substituição</t>
        </is>
      </c>
      <c r="AA1776" s="2" t="inlineStr">
        <is>
          <t>Rejeitado(a) em Comissão</t>
        </is>
      </c>
      <c r="AB1776" s="2" t="inlineStr"/>
      <c r="AC1776" s="2" t="inlineStr"/>
      <c r="AD1776" s="2" t="inlineStr">
        <is>
          <t>1</t>
        </is>
      </c>
      <c r="AE1776" s="2" t="inlineStr">
        <is>
          <t>24925</t>
        </is>
      </c>
      <c r="AF1776" s="2" t="inlineStr">
        <is>
          <t>https://www.parlamento.pt/OrcamentoEstado/Paginas/DetalhePropostaAlteracao.aspx?BID=24925</t>
        </is>
      </c>
      <c r="AG1776" s="2" t="inlineStr">
        <is>
          <t>https://app.parlamento.pt/webutils/docs/doc.pdf?path=6148523063484d364c793942556b356c6443397a6158526c63793959566b6c4a544556484c3039464c7a49774d6a59794d4449314d5441774f5339515153396d596a59334e6a59324e6931685a54526c4c54526b4f446b74596d4a68595330354d6d45305a6d5a6c5a446b354e7a45756347526d&amp;Fich=fb676666-ae4e-4d89-bbaa-92a4ffed9971.pdf&amp;Inline=true</t>
        </is>
      </c>
      <c r="AH1776" s="3" t="n">
        <v>46321.77847222222</v>
      </c>
      <c r="AI1776" s="3" t="n">
        <v>46321.78055555555</v>
      </c>
      <c r="AJ1776" s="2" t="inlineStr"/>
    </row>
    <row r="1777">
      <c r="A1777" s="2" t="n">
        <v>1776</v>
      </c>
      <c r="B1777" s="2" t="inlineStr">
        <is>
          <t>1678C</t>
        </is>
      </c>
      <c r="C1777" s="3" t="n">
        <v>45968.67708333334</v>
      </c>
      <c r="D1777" s="2" t="inlineStr">
        <is>
          <t>Original</t>
        </is>
      </c>
      <c r="E1777" s="2" t="inlineStr">
        <is>
          <t>L</t>
        </is>
      </c>
      <c r="F1777" s="2" t="inlineStr">
        <is>
          <t>Filipa Pinto; Isabel Mendes Lopes; Jorge Pinto; Patrícia Gonçalves; Paulo Muacho; Rui Tavares</t>
        </is>
      </c>
      <c r="G1777" s="2" t="inlineStr">
        <is>
          <t>Art. 37.º-A (aditamento)</t>
        </is>
      </c>
      <c r="H1777" s="2" t="n"/>
      <c r="I1777" s="2" t="n"/>
      <c r="J1777" s="2" t="n"/>
      <c r="K1777" s="2" t="n"/>
      <c r="L1777" s="2" t="inlineStr">
        <is>
          <t>Artigo 37.º-A (Regulamentação da Componente de Majoração da Prestação Social para Inclusão)</t>
        </is>
      </c>
      <c r="M1777" s="4" t="n"/>
      <c r="N1777" s="4" t="n"/>
      <c r="O1777" s="2" t="n"/>
      <c r="P1777" s="2" t="n"/>
      <c r="Q1777" s="2" t="n"/>
      <c r="R1777" s="2" t="n"/>
      <c r="S1777" s="2" t="inlineStr">
        <is>
          <t>Rejeitado(a) em Comissão</t>
        </is>
      </c>
      <c r="T1777" s="2" t="inlineStr">
        <is>
          <t>Rejeitada</t>
        </is>
      </c>
      <c r="U1777" s="2" t="inlineStr">
        <is>
          <t>Favor: CH, L, PCP, BE, PAN; Contra: PSD, IL, CDS-PP; Abstenção: PS</t>
        </is>
      </c>
      <c r="V1777" s="3" t="n">
        <v>45981</v>
      </c>
      <c r="W1777" s="2" t="inlineStr">
        <is>
          <t>AR: https://www.parlamento.pt/OrcamentoEstado/Paginas/DetalhePropostaAlteracao.aspx?BID=24926 PDF: https://app.parlamento.pt/webutils/docs/doc.pdf?path=6148523063484d364c793942556b356c6443397a6158526c63793959566b6c4a544556484c3039464c7a49774d6a59794d4449314d5441774f533951515338344f44637a4f446b7a4f5330784f4441304c5451315a4759744f4751304e5330775a5749334e7a4134596d4d77595449756347526d&amp;Fich=88738939-1804-45df-8d45-0eb7708bc0a2.pdf&amp;Inline=true</t>
        </is>
      </c>
      <c r="X1777" s="2" t="inlineStr">
        <is>
          <t>Assuntos Constitucionais, Direitos, Liberdades e Garantias; Trabalho, Segurança Social e Inclusão</t>
        </is>
      </c>
      <c r="Y1777" s="2" t="inlineStr">
        <is>
          <t>Articulado</t>
        </is>
      </c>
      <c r="Z1777" s="2" t="inlineStr">
        <is>
          <t>Aditamento (Artigo PPL)</t>
        </is>
      </c>
      <c r="AA1777" s="2" t="inlineStr">
        <is>
          <t>Rejeitado(a) em Comissão</t>
        </is>
      </c>
      <c r="AB1777" s="2" t="inlineStr"/>
      <c r="AC1777" s="2" t="inlineStr"/>
      <c r="AD1777" s="2" t="inlineStr">
        <is>
          <t>1</t>
        </is>
      </c>
      <c r="AE1777" s="2" t="inlineStr">
        <is>
          <t>24926</t>
        </is>
      </c>
      <c r="AF1777" s="2" t="inlineStr">
        <is>
          <t>https://www.parlamento.pt/OrcamentoEstado/Paginas/DetalhePropostaAlteracao.aspx?BID=24926</t>
        </is>
      </c>
      <c r="AG1777" s="2" t="inlineStr">
        <is>
          <t>https://app.parlamento.pt/webutils/docs/doc.pdf?path=6148523063484d364c793942556b356c6443397a6158526c63793959566b6c4a544556484c3039464c7a49774d6a59794d4449314d5441774f533951515338344f44637a4f446b7a4f5330784f4441304c5451315a4759744f4751304e5330775a5749334e7a4134596d4d77595449756347526d&amp;Fich=88738939-1804-45df-8d45-0eb7708bc0a2.pdf&amp;Inline=true</t>
        </is>
      </c>
      <c r="AH1777" s="3" t="n">
        <v>46321.77847222222</v>
      </c>
      <c r="AI1777" s="3" t="n">
        <v>46321.78055555555</v>
      </c>
      <c r="AJ1777" s="2" t="inlineStr"/>
    </row>
    <row r="1778">
      <c r="A1778" s="2" t="n">
        <v>1777</v>
      </c>
      <c r="B1778" s="2" t="inlineStr">
        <is>
          <t>1679C</t>
        </is>
      </c>
      <c r="C1778" s="3" t="n">
        <v>45968.67708333334</v>
      </c>
      <c r="D1778" s="2" t="inlineStr">
        <is>
          <t>Original</t>
        </is>
      </c>
      <c r="E1778" s="2" t="inlineStr">
        <is>
          <t>CH</t>
        </is>
      </c>
      <c r="F177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78" s="2" t="inlineStr">
        <is>
          <t>Art. 22.º-A (aditamento)</t>
        </is>
      </c>
      <c r="H1778" s="2" t="n"/>
      <c r="I1778" s="2" t="n"/>
      <c r="J1778" s="2" t="n"/>
      <c r="K1778" s="2" t="n"/>
      <c r="L1778" s="2" t="inlineStr">
        <is>
          <t>Artigo 22.º-A (Alteração ao Decreto-Lei n.º 71/2019, de 27 de maio)</t>
        </is>
      </c>
      <c r="M1778" s="4" t="n"/>
      <c r="N1778" s="4" t="n"/>
      <c r="O1778" s="2" t="n"/>
      <c r="P1778" s="2" t="n"/>
      <c r="Q1778" s="2" t="n"/>
      <c r="R1778" s="2" t="n"/>
      <c r="S1778" s="2" t="inlineStr">
        <is>
          <t>Rejeitado(a) em Comissão</t>
        </is>
      </c>
      <c r="T1778" s="2" t="inlineStr">
        <is>
          <t>Rejeitada</t>
        </is>
      </c>
      <c r="U1778" s="2" t="inlineStr">
        <is>
          <t>Favor: CH, BE, PAN; Contra: PSD, IL, CDS-PP; Abstenção: PS, L, PCP</t>
        </is>
      </c>
      <c r="V1778" s="3" t="n">
        <v>45981</v>
      </c>
      <c r="W1778" s="2" t="inlineStr">
        <is>
          <t>AR: https://www.parlamento.pt/OrcamentoEstado/Paginas/DetalhePropostaAlteracao.aspx?BID=24927 PDF: https://app.parlamento.pt/webutils/docs/doc.pdf?path=6148523063484d364c793942556b356c6443397a6158526c63793959566b6c4a544556484c3039464c7a49774d6a59794d4449314d5441774f5339515153396b4d5751784e5759324e79316c4d444d324c5451314e47497459575a68596930794d5459314e54466a5954426b4d3251756347526d&amp;Fich=d1d15f67-e036-454b-afab-216551ca0d3d.pdf&amp;Inline=true</t>
        </is>
      </c>
      <c r="X1778" s="2" t="inlineStr">
        <is>
          <t>Saúde</t>
        </is>
      </c>
      <c r="Y1778" s="2" t="inlineStr">
        <is>
          <t>Articulado</t>
        </is>
      </c>
      <c r="Z1778" s="2" t="inlineStr">
        <is>
          <t>Aditamento (Artigo PPL)</t>
        </is>
      </c>
      <c r="AA1778" s="2" t="inlineStr">
        <is>
          <t>Rejeitado(a) em Comissão</t>
        </is>
      </c>
      <c r="AB1778" s="2" t="inlineStr"/>
      <c r="AC1778" s="2" t="inlineStr"/>
      <c r="AD1778" s="2" t="inlineStr">
        <is>
          <t>1</t>
        </is>
      </c>
      <c r="AE1778" s="2" t="inlineStr">
        <is>
          <t>24927</t>
        </is>
      </c>
      <c r="AF1778" s="2" t="inlineStr">
        <is>
          <t>https://www.parlamento.pt/OrcamentoEstado/Paginas/DetalhePropostaAlteracao.aspx?BID=24927</t>
        </is>
      </c>
      <c r="AG1778" s="2" t="inlineStr">
        <is>
          <t>https://app.parlamento.pt/webutils/docs/doc.pdf?path=6148523063484d364c793942556b356c6443397a6158526c63793959566b6c4a544556484c3039464c7a49774d6a59794d4449314d5441774f5339515153396b4d5751784e5759324e79316c4d444d324c5451314e47497459575a68596930794d5459314e54466a5954426b4d3251756347526d&amp;Fich=d1d15f67-e036-454b-afab-216551ca0d3d.pdf&amp;Inline=true</t>
        </is>
      </c>
      <c r="AH1778" s="3" t="n">
        <v>46321.77847222222</v>
      </c>
      <c r="AI1778" s="3" t="n">
        <v>46321.78055555555</v>
      </c>
      <c r="AJ1778" s="2" t="inlineStr"/>
    </row>
    <row r="1779">
      <c r="A1779" s="2" t="n">
        <v>1778</v>
      </c>
      <c r="B1779" s="2" t="inlineStr">
        <is>
          <t>1680C</t>
        </is>
      </c>
      <c r="C1779" s="3" t="n">
        <v>45968.67708333334</v>
      </c>
      <c r="D1779" s="2" t="inlineStr">
        <is>
          <t>Original</t>
        </is>
      </c>
      <c r="E1779" s="2" t="inlineStr">
        <is>
          <t>CH</t>
        </is>
      </c>
      <c r="F177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79" s="2" t="inlineStr">
        <is>
          <t>Art. 136.º-A (aditamento)</t>
        </is>
      </c>
      <c r="H1779" s="2" t="n"/>
      <c r="I1779" s="2" t="n"/>
      <c r="J1779" s="2" t="n"/>
      <c r="K1779" s="2" t="n"/>
      <c r="L1779" s="2" t="inlineStr">
        <is>
          <t>Artigo 136.º-A (Construção das Variantes Rodoviárias do Cávado e do Rio Caldo, assim como a Via Intermunicipal Homem - Lima)</t>
        </is>
      </c>
      <c r="M1779" s="4" t="n"/>
      <c r="N1779" s="4" t="n"/>
      <c r="O1779" s="2" t="n"/>
      <c r="P1779" s="2" t="n"/>
      <c r="Q1779" s="2" t="n"/>
      <c r="R1779" s="2" t="n"/>
      <c r="S1779" s="2" t="inlineStr">
        <is>
          <t>Rejeitado(a) em Comissão</t>
        </is>
      </c>
      <c r="T1779" s="2" t="inlineStr">
        <is>
          <t>Rejeitada</t>
        </is>
      </c>
      <c r="U1779" s="2" t="inlineStr">
        <is>
          <t>Favor: CH, IL, BE, PAN; Contra: PSD, CDS-PP; Abstenção: PS, L, PCP</t>
        </is>
      </c>
      <c r="V1779" s="3" t="n">
        <v>45987</v>
      </c>
      <c r="W1779" s="2" t="inlineStr">
        <is>
          <t>AR: https://www.parlamento.pt/OrcamentoEstado/Paginas/DetalhePropostaAlteracao.aspx?BID=24928 PDF: https://app.parlamento.pt/webutils/docs/doc.pdf?path=6148523063484d364c793942556b356c6443397a6158526c63793959566b6c4a544556484c3039464c7a49774d6a59794d4449314d5441774f533951515338324d6a426d4f4451775979316a4d7a6b794c5451355a4755744f5759354f5330315a475a6a4e6d4a6a4e7a63775a4463756347526d&amp;Fich=620f840c-c392-49de-9f99-5dfc6bc770d7.pdf&amp;Inline=true</t>
        </is>
      </c>
      <c r="X1779" s="2" t="inlineStr">
        <is>
          <t>Infraestruturas, Mobilidade e Habitação</t>
        </is>
      </c>
      <c r="Y1779" s="2" t="inlineStr">
        <is>
          <t>Articulado</t>
        </is>
      </c>
      <c r="Z1779" s="2" t="inlineStr">
        <is>
          <t>Aditamento (Artigo PPL)</t>
        </is>
      </c>
      <c r="AA1779" s="2" t="inlineStr">
        <is>
          <t>Rejeitado(a) em Comissão</t>
        </is>
      </c>
      <c r="AB1779" s="2" t="inlineStr"/>
      <c r="AC1779" s="2" t="inlineStr"/>
      <c r="AD1779" s="2" t="inlineStr">
        <is>
          <t>1</t>
        </is>
      </c>
      <c r="AE1779" s="2" t="inlineStr">
        <is>
          <t>24928</t>
        </is>
      </c>
      <c r="AF1779" s="2" t="inlineStr">
        <is>
          <t>https://www.parlamento.pt/OrcamentoEstado/Paginas/DetalhePropostaAlteracao.aspx?BID=24928</t>
        </is>
      </c>
      <c r="AG1779" s="2" t="inlineStr">
        <is>
          <t>https://app.parlamento.pt/webutils/docs/doc.pdf?path=6148523063484d364c793942556b356c6443397a6158526c63793959566b6c4a544556484c3039464c7a49774d6a59794d4449314d5441774f533951515338324d6a426d4f4451775979316a4d7a6b794c5451355a4755744f5759354f5330315a475a6a4e6d4a6a4e7a63775a4463756347526d&amp;Fich=620f840c-c392-49de-9f99-5dfc6bc770d7.pdf&amp;Inline=true</t>
        </is>
      </c>
      <c r="AH1779" s="3" t="n">
        <v>46321.77847222222</v>
      </c>
      <c r="AI1779" s="3" t="n">
        <v>46321.78055555555</v>
      </c>
      <c r="AJ1779" s="2" t="inlineStr"/>
    </row>
    <row r="1780">
      <c r="A1780" s="2" t="n">
        <v>1779</v>
      </c>
      <c r="B1780" s="2" t="inlineStr">
        <is>
          <t>1681C</t>
        </is>
      </c>
      <c r="C1780" s="3" t="n">
        <v>45968.67708333334</v>
      </c>
      <c r="D1780" s="2" t="inlineStr">
        <is>
          <t>Original</t>
        </is>
      </c>
      <c r="E1780" s="2" t="inlineStr">
        <is>
          <t>BE</t>
        </is>
      </c>
      <c r="F1780" s="2" t="inlineStr">
        <is>
          <t>Mariana Mortágua</t>
        </is>
      </c>
      <c r="G1780" s="2" t="inlineStr">
        <is>
          <t>Art. 22.º-A (aditamento)</t>
        </is>
      </c>
      <c r="H1780" s="2" t="n"/>
      <c r="I1780" s="2" t="n"/>
      <c r="J1780" s="2" t="n"/>
      <c r="K1780" s="2" t="n"/>
      <c r="L1780" s="2" t="inlineStr">
        <is>
          <t>Artigo 22.º-A (Combate à precariedade na Cultura)</t>
        </is>
      </c>
      <c r="M1780" s="4" t="n"/>
      <c r="N1780" s="4" t="n"/>
      <c r="O1780" s="2" t="n"/>
      <c r="P1780" s="2" t="n"/>
      <c r="Q1780" s="2" t="n"/>
      <c r="R1780" s="2" t="n"/>
      <c r="S1780" s="2" t="inlineStr">
        <is>
          <t>Rejeitado(a) em Comissão</t>
        </is>
      </c>
      <c r="T1780" s="2" t="inlineStr">
        <is>
          <t>Rejeitada</t>
        </is>
      </c>
      <c r="U1780" s="2" t="inlineStr">
        <is>
          <t>Favor: L, PCP, BE, PAN; Contra: PSD, IL, CDS-PP; Abstenção: CH, PS</t>
        </is>
      </c>
      <c r="V1780" s="3" t="n">
        <v>45981</v>
      </c>
      <c r="W1780" s="2" t="inlineStr">
        <is>
          <t>AR: https://www.parlamento.pt/OrcamentoEstado/Paginas/DetalhePropostaAlteracao.aspx?BID=24929 PDF: https://app.parlamento.pt/webutils/docs/doc.pdf?path=6148523063484d364c793942556b356c6443397a6158526c63793959566b6c4a544556484c3039464c7a49774d6a59794d4449314d5441774f533951515339684d574e6b4f444d304f53307759574d334c54526a4f546b74595751794d7930324f546c6b4f4759775a5749314f5745756347526d&amp;Fich=a1cd8349-0ac7-4c99-ad23-699d8f0eb59a.pdf&amp;Inline=true</t>
        </is>
      </c>
      <c r="X1780" s="2" t="inlineStr">
        <is>
          <t>Cultura, Comunicação, Juventude e Desporto</t>
        </is>
      </c>
      <c r="Y1780" s="2" t="inlineStr">
        <is>
          <t>Articulado</t>
        </is>
      </c>
      <c r="Z1780" s="2" t="inlineStr">
        <is>
          <t>Aditamento (Artigo PPL)</t>
        </is>
      </c>
      <c r="AA1780" s="2" t="inlineStr">
        <is>
          <t>Rejeitado(a) em Comissão</t>
        </is>
      </c>
      <c r="AB1780" s="2" t="inlineStr"/>
      <c r="AC1780" s="2" t="inlineStr"/>
      <c r="AD1780" s="2" t="inlineStr">
        <is>
          <t>1</t>
        </is>
      </c>
      <c r="AE1780" s="2" t="inlineStr">
        <is>
          <t>24929</t>
        </is>
      </c>
      <c r="AF1780" s="2" t="inlineStr">
        <is>
          <t>https://www.parlamento.pt/OrcamentoEstado/Paginas/DetalhePropostaAlteracao.aspx?BID=24929</t>
        </is>
      </c>
      <c r="AG1780" s="2" t="inlineStr">
        <is>
          <t>https://app.parlamento.pt/webutils/docs/doc.pdf?path=6148523063484d364c793942556b356c6443397a6158526c63793959566b6c4a544556484c3039464c7a49774d6a59794d4449314d5441774f533951515339684d574e6b4f444d304f53307759574d334c54526a4f546b74595751794d7930324f546c6b4f4759775a5749314f5745756347526d&amp;Fich=a1cd8349-0ac7-4c99-ad23-699d8f0eb59a.pdf&amp;Inline=true</t>
        </is>
      </c>
      <c r="AH1780" s="3" t="n">
        <v>46321.77847222222</v>
      </c>
      <c r="AI1780" s="3" t="n">
        <v>46321.78055555555</v>
      </c>
      <c r="AJ1780" s="2" t="inlineStr"/>
    </row>
    <row r="1781">
      <c r="A1781" s="2" t="n">
        <v>1780</v>
      </c>
      <c r="B1781" s="2" t="inlineStr">
        <is>
          <t>1682C</t>
        </is>
      </c>
      <c r="C1781" s="3" t="n">
        <v>45968.67777777778</v>
      </c>
      <c r="D1781" s="2" t="inlineStr">
        <is>
          <t>Original</t>
        </is>
      </c>
      <c r="E1781" s="2" t="inlineStr">
        <is>
          <t>PAN</t>
        </is>
      </c>
      <c r="F1781" s="2" t="inlineStr">
        <is>
          <t>Inês de Sousa Real</t>
        </is>
      </c>
      <c r="G1781" s="2" t="inlineStr">
        <is>
          <t>Articulado</t>
        </is>
      </c>
      <c r="H1781" s="2" t="n"/>
      <c r="I1781" s="2" t="n"/>
      <c r="J1781" s="2" t="n"/>
      <c r="K1781" s="2" t="n"/>
      <c r="L1781" s="2" t="inlineStr">
        <is>
          <t>Artigo 43.º-A Programa Trabalhos &amp; Competências Verdes</t>
        </is>
      </c>
      <c r="M1781" s="4" t="n"/>
      <c r="N1781" s="4" t="n"/>
      <c r="O1781" s="2" t="n"/>
      <c r="P1781" s="2" t="n"/>
      <c r="Q1781" s="2" t="n"/>
      <c r="R1781" s="2" t="n"/>
      <c r="S1781" s="2" t="inlineStr">
        <is>
          <t>Não Admitida</t>
        </is>
      </c>
      <c r="T1781" s="2" t="inlineStr"/>
      <c r="U1781" s="2" t="inlineStr"/>
      <c r="V1781" s="3" t="n"/>
      <c r="W1781" s="2" t="inlineStr">
        <is>
          <t>AR: https://www.parlamento.pt/OrcamentoEstado/Paginas/DetalhePropostaAlteracao.aspx?BID=24930 PDF: https://app.parlamento.pt/webutils/docs/doc.pdf?path=6148523063484d364c793942556b356c6443397a6158526c63793959566b6c4a544556484c3039464c7a49774d6a59794d4449314d5441774f533951515338784d574d324f4751794e693077596d45304c54526d4e3245744f546b304e4330314d7a5579597a493259325a6a4d4745756347526d&amp;Fich=11c68d26-0ba4-4f7a-9944-5352c26cfc0a.pdf&amp;Inline=true</t>
        </is>
      </c>
      <c r="X1781" s="2" t="inlineStr">
        <is>
          <t>Ambiente e Energia; Trabalho, Segurança Social e Inclusão</t>
        </is>
      </c>
      <c r="Y1781" s="2" t="inlineStr">
        <is>
          <t>Articulado</t>
        </is>
      </c>
      <c r="Z1781" s="2" t="inlineStr">
        <is>
          <t>Por Definir</t>
        </is>
      </c>
      <c r="AA1781" s="2" t="inlineStr">
        <is>
          <t>Não Admitida</t>
        </is>
      </c>
      <c r="AB1781" s="2" t="inlineStr"/>
      <c r="AC1781" s="2" t="inlineStr"/>
      <c r="AD1781" s="2" t="inlineStr">
        <is>
          <t>0</t>
        </is>
      </c>
      <c r="AE1781" s="2" t="inlineStr">
        <is>
          <t>24930</t>
        </is>
      </c>
      <c r="AF1781" s="2" t="inlineStr">
        <is>
          <t>https://www.parlamento.pt/OrcamentoEstado/Paginas/DetalhePropostaAlteracao.aspx?BID=24930</t>
        </is>
      </c>
      <c r="AG1781" s="2" t="inlineStr">
        <is>
          <t>https://app.parlamento.pt/webutils/docs/doc.pdf?path=6148523063484d364c793942556b356c6443397a6158526c63793959566b6c4a544556484c3039464c7a49774d6a59794d4449314d5441774f533951515338784d574d324f4751794e693077596d45304c54526d4e3245744f546b304e4330314d7a5579597a493259325a6a4d4745756347526d&amp;Fich=11c68d26-0ba4-4f7a-9944-5352c26cfc0a.pdf&amp;Inline=true</t>
        </is>
      </c>
      <c r="AH1781" s="3" t="n">
        <v>46321.77847222222</v>
      </c>
      <c r="AI1781" s="3" t="n">
        <v>46321.78055555555</v>
      </c>
      <c r="AJ1781" s="2" t="inlineStr"/>
    </row>
    <row r="1782">
      <c r="A1782" s="2" t="n">
        <v>1781</v>
      </c>
      <c r="B1782" s="2" t="inlineStr">
        <is>
          <t>1683C</t>
        </is>
      </c>
      <c r="C1782" s="3" t="n">
        <v>45968.67777777778</v>
      </c>
      <c r="D1782" s="2" t="inlineStr">
        <is>
          <t>Original</t>
        </is>
      </c>
      <c r="E1782" s="2" t="inlineStr">
        <is>
          <t>CH</t>
        </is>
      </c>
      <c r="F178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82" s="2" t="inlineStr">
        <is>
          <t>Art. 136.º-A (aditamento)</t>
        </is>
      </c>
      <c r="H1782" s="2" t="n"/>
      <c r="I1782" s="2" t="n"/>
      <c r="J1782" s="2" t="n"/>
      <c r="K1782" s="2" t="n"/>
      <c r="L1782" s="2" t="inlineStr">
        <is>
          <t>Artigo 136.º-A (Construção da Barragem de Girabolhos)</t>
        </is>
      </c>
      <c r="M1782" s="4" t="n"/>
      <c r="N1782" s="4" t="n"/>
      <c r="O1782" s="2" t="n"/>
      <c r="P1782" s="2" t="n"/>
      <c r="Q1782" s="2" t="n"/>
      <c r="R1782" s="2" t="n"/>
      <c r="S1782" s="2" t="inlineStr">
        <is>
          <t>Rejeitado(a) em Comissão</t>
        </is>
      </c>
      <c r="T1782" s="2" t="inlineStr">
        <is>
          <t>Rejeitada</t>
        </is>
      </c>
      <c r="U1782" s="2" t="inlineStr">
        <is>
          <t>Favor: CH, IL; Contra: PSD, L, CDS-PP, BE, PAN; Abstenção: PS, PCP</t>
        </is>
      </c>
      <c r="V1782" s="3" t="n">
        <v>45987</v>
      </c>
      <c r="W1782" s="2" t="inlineStr">
        <is>
          <t>AR: https://www.parlamento.pt/OrcamentoEstado/Paginas/DetalhePropostaAlteracao.aspx?BID=24931 PDF: https://app.parlamento.pt/webutils/docs/doc.pdf?path=6148523063484d364c793942556b356c6443397a6158526c63793959566b6c4a544556484c3039464c7a49774d6a59794d4449314d5441774f5339515153387a4e445a6d4e54686b4d43316c5a5449324c5451334e4445744f544e6b4e7930315a6a4d355a6a59324f54566a4d6d51756347526d&amp;Fich=346f58d0-ee26-4741-93d7-5f39f6695c2d.pdf&amp;Inline=true</t>
        </is>
      </c>
      <c r="X1782" s="2" t="inlineStr">
        <is>
          <t>Infraestruturas, Mobilidade e Habitação</t>
        </is>
      </c>
      <c r="Y1782" s="2" t="inlineStr">
        <is>
          <t>Articulado</t>
        </is>
      </c>
      <c r="Z1782" s="2" t="inlineStr">
        <is>
          <t>Aditamento (Artigo PPL)</t>
        </is>
      </c>
      <c r="AA1782" s="2" t="inlineStr">
        <is>
          <t>Rejeitado(a) em Comissão</t>
        </is>
      </c>
      <c r="AB1782" s="2" t="inlineStr"/>
      <c r="AC1782" s="2" t="inlineStr"/>
      <c r="AD1782" s="2" t="inlineStr">
        <is>
          <t>1</t>
        </is>
      </c>
      <c r="AE1782" s="2" t="inlineStr">
        <is>
          <t>24931</t>
        </is>
      </c>
      <c r="AF1782" s="2" t="inlineStr">
        <is>
          <t>https://www.parlamento.pt/OrcamentoEstado/Paginas/DetalhePropostaAlteracao.aspx?BID=24931</t>
        </is>
      </c>
      <c r="AG1782" s="2" t="inlineStr">
        <is>
          <t>https://app.parlamento.pt/webutils/docs/doc.pdf?path=6148523063484d364c793942556b356c6443397a6158526c63793959566b6c4a544556484c3039464c7a49774d6a59794d4449314d5441774f5339515153387a4e445a6d4e54686b4d43316c5a5449324c5451334e4445744f544e6b4e7930315a6a4d355a6a59324f54566a4d6d51756347526d&amp;Fich=346f58d0-ee26-4741-93d7-5f39f6695c2d.pdf&amp;Inline=true</t>
        </is>
      </c>
      <c r="AH1782" s="3" t="n">
        <v>46321.77847222222</v>
      </c>
      <c r="AI1782" s="3" t="n">
        <v>46321.78055555555</v>
      </c>
      <c r="AJ1782" s="2" t="inlineStr"/>
    </row>
    <row r="1783">
      <c r="A1783" s="2" t="n">
        <v>1782</v>
      </c>
      <c r="B1783" s="2" t="inlineStr">
        <is>
          <t>1684C</t>
        </is>
      </c>
      <c r="C1783" s="3" t="n">
        <v>45968.67777777778</v>
      </c>
      <c r="D1783" s="2" t="inlineStr">
        <is>
          <t>Original</t>
        </is>
      </c>
      <c r="E1783" s="2" t="inlineStr">
        <is>
          <t>PS</t>
        </is>
      </c>
      <c r="F1783" s="2" t="inlineStr">
        <is>
          <t>António Mendonça Mendes; Eurico Brilhante Dias; José Luís Carneiro; Luís Graça; Marina Gonçalves; Miguel Matos; Pedro Vaz</t>
        </is>
      </c>
      <c r="G1783" s="2" t="inlineStr">
        <is>
          <t>Art. 126.º (aditamento)</t>
        </is>
      </c>
      <c r="H1783" s="2" t="n"/>
      <c r="I1783" s="2" t="n"/>
      <c r="J1783" s="2" t="n"/>
      <c r="K1783" s="2" t="n"/>
      <c r="L1783" s="2" t="inlineStr">
        <is>
          <t>N.º 3, Artigo 126.º</t>
        </is>
      </c>
      <c r="M1783" s="4" t="n"/>
      <c r="N1783" s="4" t="n"/>
      <c r="O1783" s="2" t="n"/>
      <c r="P1783" s="2" t="n"/>
      <c r="Q1783" s="2" t="n"/>
      <c r="R1783" s="2" t="n"/>
      <c r="S1783" s="2" t="inlineStr">
        <is>
          <t>Rejeitado(a) em Comissão</t>
        </is>
      </c>
      <c r="T1783" s="2" t="inlineStr">
        <is>
          <t>Rejeitada</t>
        </is>
      </c>
      <c r="U1783" s="2" t="inlineStr">
        <is>
          <t>Favor: PS, L, PCP, BE, PAN; Contra: PSD, CH, IL, CDS-PP</t>
        </is>
      </c>
      <c r="V1783" s="3" t="n">
        <v>45985</v>
      </c>
      <c r="W1783" s="2" t="inlineStr">
        <is>
          <t>AR: https://www.parlamento.pt/OrcamentoEstado/Paginas/DetalhePropostaAlteracao.aspx?BID=24932 PDF: https://app.parlamento.pt/webutils/docs/doc.pdf?path=6148523063484d364c793942556b356c6443397a6158526c63793959566b6c4a544556484c3039464c7a49774d6a59794d4449314d5441774f533951515338334d575977596a56694d6930315a4463334c545177596a55744f444268595330314d6a517a4d5467794e6d466b5a5467756347526d&amp;Fich=71f0b5b2-5d77-40b5-80aa-52431826ade8.pdf&amp;Inline=true</t>
        </is>
      </c>
      <c r="X1783" s="2" t="inlineStr">
        <is>
          <t>Ambiente e Energia; Orçamento, Finanças e Administração Pública</t>
        </is>
      </c>
      <c r="Y1783" s="2" t="inlineStr">
        <is>
          <t>Articulado</t>
        </is>
      </c>
      <c r="Z1783" s="2" t="inlineStr">
        <is>
          <t>Aditamento (Números e Alíneas)</t>
        </is>
      </c>
      <c r="AA1783" s="2" t="inlineStr">
        <is>
          <t>Rejeitado(a) em Comissão</t>
        </is>
      </c>
      <c r="AB1783" s="2" t="inlineStr"/>
      <c r="AC1783" s="2" t="inlineStr"/>
      <c r="AD1783" s="2" t="inlineStr">
        <is>
          <t>1</t>
        </is>
      </c>
      <c r="AE1783" s="2" t="inlineStr">
        <is>
          <t>24932</t>
        </is>
      </c>
      <c r="AF1783" s="2" t="inlineStr">
        <is>
          <t>https://www.parlamento.pt/OrcamentoEstado/Paginas/DetalhePropostaAlteracao.aspx?BID=24932</t>
        </is>
      </c>
      <c r="AG1783" s="2" t="inlineStr">
        <is>
          <t>https://app.parlamento.pt/webutils/docs/doc.pdf?path=6148523063484d364c793942556b356c6443397a6158526c63793959566b6c4a544556484c3039464c7a49774d6a59794d4449314d5441774f533951515338334d575977596a56694d6930315a4463334c545177596a55744f444268595330314d6a517a4d5467794e6d466b5a5467756347526d&amp;Fich=71f0b5b2-5d77-40b5-80aa-52431826ade8.pdf&amp;Inline=true</t>
        </is>
      </c>
      <c r="AH1783" s="3" t="n">
        <v>46321.77847222222</v>
      </c>
      <c r="AI1783" s="3" t="n">
        <v>46321.78055555555</v>
      </c>
      <c r="AJ1783" s="2" t="inlineStr"/>
    </row>
    <row r="1784">
      <c r="A1784" s="2" t="n">
        <v>1783</v>
      </c>
      <c r="B1784" s="2" t="inlineStr">
        <is>
          <t>1685C</t>
        </is>
      </c>
      <c r="C1784" s="3" t="n">
        <v>45968.67777777778</v>
      </c>
      <c r="D1784" s="2" t="inlineStr">
        <is>
          <t>Original</t>
        </is>
      </c>
      <c r="E1784" s="2" t="inlineStr">
        <is>
          <t>CH</t>
        </is>
      </c>
      <c r="F178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84" s="2" t="inlineStr">
        <is>
          <t>Art. 28.º-A (aditamento)</t>
        </is>
      </c>
      <c r="H1784" s="2" t="n"/>
      <c r="I1784" s="2" t="n"/>
      <c r="J1784" s="2" t="n"/>
      <c r="K1784" s="2" t="n"/>
      <c r="L1784" s="2" t="inlineStr">
        <is>
          <t>Artigo 28.º-A (Formação contínua em prevenção de violência doméstica para forças de segurança)</t>
        </is>
      </c>
      <c r="M1784" s="4" t="n"/>
      <c r="N1784" s="4" t="n"/>
      <c r="O1784" s="2" t="n"/>
      <c r="P1784" s="2" t="n"/>
      <c r="Q1784" s="2" t="n"/>
      <c r="R1784" s="2" t="n"/>
      <c r="S1784" s="2" t="inlineStr">
        <is>
          <t>Rejeitado(a) em Comissão</t>
        </is>
      </c>
      <c r="T1784" s="2" t="inlineStr">
        <is>
          <t>Rejeitada</t>
        </is>
      </c>
      <c r="U1784" s="2" t="inlineStr">
        <is>
          <t>Favor: CH, IL, BE, PAN; Contra: PSD, CDS-PP; Abstenção: PS, L, PCP</t>
        </is>
      </c>
      <c r="V1784" s="3" t="n">
        <v>45981</v>
      </c>
      <c r="W1784" s="2" t="inlineStr">
        <is>
          <t>AR: https://www.parlamento.pt/OrcamentoEstado/Paginas/DetalhePropostaAlteracao.aspx?BID=24933 PDF: https://app.parlamento.pt/webutils/docs/doc.pdf?path=6148523063484d364c793942556b356c6443397a6158526c63793959566b6c4a544556484c3039464c7a49774d6a59794d4449314d5441774f533951515338304e5455345a575931595330785a6a517a4c5452684d5455745957466b4f5330774e4755304d6d4d314e7a59314e4445756347526d&amp;Fich=4558ef5a-1f43-4a15-aad9-04e42c576541.pdf&amp;Inline=true</t>
        </is>
      </c>
      <c r="X1784" s="2" t="inlineStr">
        <is>
          <t>Assuntos Constitucionais, Direitos, Liberdades e Garantias</t>
        </is>
      </c>
      <c r="Y1784" s="2" t="inlineStr">
        <is>
          <t>Articulado</t>
        </is>
      </c>
      <c r="Z1784" s="2" t="inlineStr">
        <is>
          <t>Aditamento (Artigo PPL)</t>
        </is>
      </c>
      <c r="AA1784" s="2" t="inlineStr">
        <is>
          <t>Rejeitado(a) em Comissão</t>
        </is>
      </c>
      <c r="AB1784" s="2" t="inlineStr"/>
      <c r="AC1784" s="2" t="inlineStr"/>
      <c r="AD1784" s="2" t="inlineStr">
        <is>
          <t>1</t>
        </is>
      </c>
      <c r="AE1784" s="2" t="inlineStr">
        <is>
          <t>24933</t>
        </is>
      </c>
      <c r="AF1784" s="2" t="inlineStr">
        <is>
          <t>https://www.parlamento.pt/OrcamentoEstado/Paginas/DetalhePropostaAlteracao.aspx?BID=24933</t>
        </is>
      </c>
      <c r="AG1784" s="2" t="inlineStr">
        <is>
          <t>https://app.parlamento.pt/webutils/docs/doc.pdf?path=6148523063484d364c793942556b356c6443397a6158526c63793959566b6c4a544556484c3039464c7a49774d6a59794d4449314d5441774f533951515338304e5455345a575931595330785a6a517a4c5452684d5455745957466b4f5330774e4755304d6d4d314e7a59314e4445756347526d&amp;Fich=4558ef5a-1f43-4a15-aad9-04e42c576541.pdf&amp;Inline=true</t>
        </is>
      </c>
      <c r="AH1784" s="3" t="n">
        <v>46321.77847222222</v>
      </c>
      <c r="AI1784" s="3" t="n">
        <v>46321.78055555555</v>
      </c>
      <c r="AJ1784" s="2" t="inlineStr"/>
    </row>
    <row r="1785">
      <c r="A1785" s="2" t="n">
        <v>1784</v>
      </c>
      <c r="B1785" s="2" t="inlineStr">
        <is>
          <t>1686C</t>
        </is>
      </c>
      <c r="C1785" s="3" t="n">
        <v>45968.67847222222</v>
      </c>
      <c r="D1785" s="2" t="inlineStr">
        <is>
          <t>Original</t>
        </is>
      </c>
      <c r="E1785" s="2" t="inlineStr">
        <is>
          <t>CH</t>
        </is>
      </c>
      <c r="F178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85" s="2" t="inlineStr">
        <is>
          <t>Art. 119.º-A (aditamento)</t>
        </is>
      </c>
      <c r="H1785" s="2" t="n"/>
      <c r="I1785" s="2" t="n"/>
      <c r="J1785" s="2" t="n"/>
      <c r="K1785" s="2" t="n"/>
      <c r="L1785" s="2" t="inlineStr">
        <is>
          <t>Artigo 119.º-A (Comparticipação de suplementação no período de gravidez)</t>
        </is>
      </c>
      <c r="M1785" s="4" t="n"/>
      <c r="N1785" s="4" t="n"/>
      <c r="O1785" s="2" t="n"/>
      <c r="P1785" s="2" t="n"/>
      <c r="Q1785" s="2" t="n"/>
      <c r="R1785" s="2" t="n"/>
      <c r="S1785" s="2" t="inlineStr">
        <is>
          <t>Rejeitado(a) em Comissão</t>
        </is>
      </c>
      <c r="T1785" s="2" t="inlineStr">
        <is>
          <t>Rejeitada</t>
        </is>
      </c>
      <c r="U1785" s="2" t="inlineStr">
        <is>
          <t>Favor: CH, BE, PAN; Contra: PSD, CDS-PP; Abstenção: PS, IL, L, PCP</t>
        </is>
      </c>
      <c r="V1785" s="3" t="n">
        <v>45985</v>
      </c>
      <c r="W1785" s="2" t="inlineStr">
        <is>
          <t>AR: https://www.parlamento.pt/OrcamentoEstado/Paginas/DetalhePropostaAlteracao.aspx?BID=24934 PDF: https://app.parlamento.pt/webutils/docs/doc.pdf?path=6148523063484d364c793942556b356c6443397a6158526c63793959566b6c4a544556484c3039464c7a49774d6a59794d4449314d5441774f5339515153396c593249314f446732597930795a5749304c5451314e324574596d49324d5330774f44497a4e47526a5a6d4d324d474d756347526d&amp;Fich=ecb5886c-2eb4-457a-bb61-08234dcfc60c.pdf&amp;Inline=true</t>
        </is>
      </c>
      <c r="X1785" s="2" t="inlineStr">
        <is>
          <t>Saúde</t>
        </is>
      </c>
      <c r="Y1785" s="2" t="inlineStr">
        <is>
          <t>Articulado</t>
        </is>
      </c>
      <c r="Z1785" s="2" t="inlineStr">
        <is>
          <t>Aditamento (Artigo PPL)</t>
        </is>
      </c>
      <c r="AA1785" s="2" t="inlineStr">
        <is>
          <t>Rejeitado(a) em Comissão</t>
        </is>
      </c>
      <c r="AB1785" s="2" t="inlineStr"/>
      <c r="AC1785" s="2" t="inlineStr"/>
      <c r="AD1785" s="2" t="inlineStr">
        <is>
          <t>1</t>
        </is>
      </c>
      <c r="AE1785" s="2" t="inlineStr">
        <is>
          <t>24934</t>
        </is>
      </c>
      <c r="AF1785" s="2" t="inlineStr">
        <is>
          <t>https://www.parlamento.pt/OrcamentoEstado/Paginas/DetalhePropostaAlteracao.aspx?BID=24934</t>
        </is>
      </c>
      <c r="AG1785" s="2" t="inlineStr">
        <is>
          <t>https://app.parlamento.pt/webutils/docs/doc.pdf?path=6148523063484d364c793942556b356c6443397a6158526c63793959566b6c4a544556484c3039464c7a49774d6a59794d4449314d5441774f5339515153396c593249314f446732597930795a5749304c5451314e324574596d49324d5330774f44497a4e47526a5a6d4d324d474d756347526d&amp;Fich=ecb5886c-2eb4-457a-bb61-08234dcfc60c.pdf&amp;Inline=true</t>
        </is>
      </c>
      <c r="AH1785" s="3" t="n">
        <v>46321.77847222222</v>
      </c>
      <c r="AI1785" s="3" t="n">
        <v>46321.78055555555</v>
      </c>
      <c r="AJ1785" s="2" t="inlineStr"/>
    </row>
    <row r="1786">
      <c r="A1786" s="2" t="n">
        <v>1785</v>
      </c>
      <c r="B1786" s="2" t="inlineStr">
        <is>
          <t>1687C</t>
        </is>
      </c>
      <c r="C1786" s="3" t="n">
        <v>45968.67847222222</v>
      </c>
      <c r="D1786" s="2" t="inlineStr">
        <is>
          <t>Original</t>
        </is>
      </c>
      <c r="E1786" s="2" t="inlineStr">
        <is>
          <t>IL</t>
        </is>
      </c>
      <c r="F1786" s="2" t="inlineStr">
        <is>
          <t>Angélique Da Teresa; Carlos Guimarães Pinto; Joana Cordeiro; Jorge Miguel Teixeira; Mariana Leitão; Mário Amorim Lopes; Miguel Rangel; Rodrigo Saraiva; Rui Rocha</t>
        </is>
      </c>
      <c r="G1786" s="2" t="inlineStr">
        <is>
          <t>Art. 63.º-A (aditamento)</t>
        </is>
      </c>
      <c r="H1786" s="2" t="n"/>
      <c r="I1786" s="2" t="n"/>
      <c r="J1786" s="2" t="n"/>
      <c r="K1786" s="2" t="n"/>
      <c r="L1786" s="2" t="inlineStr">
        <is>
          <t>Artigo 63.º-A (Alteração ao Decreto-Lei n.º 84/2017, de 21 de julho)</t>
        </is>
      </c>
      <c r="M1786" s="4" t="n"/>
      <c r="N1786" s="4" t="n"/>
      <c r="O1786" s="2" t="n"/>
      <c r="P1786" s="2" t="n"/>
      <c r="Q1786" s="2" t="n"/>
      <c r="R1786" s="2" t="n"/>
      <c r="S1786" s="2" t="inlineStr">
        <is>
          <t>Rejeitado(a) em Comissão</t>
        </is>
      </c>
      <c r="T1786" s="2" t="inlineStr">
        <is>
          <t>Rejeitada</t>
        </is>
      </c>
      <c r="U1786" s="2" t="inlineStr">
        <is>
          <t>Favor: CH, IL, L, PAN; Contra: PSD, CDS-PP; Abstenção: PS, PCP, BE</t>
        </is>
      </c>
      <c r="V1786" s="3" t="n">
        <v>45982</v>
      </c>
      <c r="W1786" s="2" t="inlineStr">
        <is>
          <t>AR: https://www.parlamento.pt/OrcamentoEstado/Paginas/DetalhePropostaAlteracao.aspx?BID=24935 PDF: https://app.parlamento.pt/webutils/docs/doc.pdf?path=6148523063484d364c793942556b356c6443397a6158526c63793959566b6c4a544556484c3039464c7a49774d6a59794d4449314d5441774f533951515338334f57566c4e6a56684f5330304e54566b4c5451774e7a49744f446c6d5a6930784e7a51334e5746695a6a4d334d3251756347526d&amp;Fich=79ee65a9-455d-4072-89ff-17475abf373d.pdf&amp;Inline=true</t>
        </is>
      </c>
      <c r="X1786" s="2" t="inlineStr">
        <is>
          <t>Orçamento, Finanças e Administração Pública; Trabalho, Segurança Social e Inclusão</t>
        </is>
      </c>
      <c r="Y1786" s="2" t="inlineStr">
        <is>
          <t>Articulado</t>
        </is>
      </c>
      <c r="Z1786" s="2" t="inlineStr">
        <is>
          <t>Aditamento (Artigo PPL)</t>
        </is>
      </c>
      <c r="AA1786" s="2" t="inlineStr">
        <is>
          <t>Rejeitado(a) em Comissão</t>
        </is>
      </c>
      <c r="AB1786" s="2" t="inlineStr"/>
      <c r="AC1786" s="2" t="inlineStr"/>
      <c r="AD1786" s="2" t="inlineStr">
        <is>
          <t>1</t>
        </is>
      </c>
      <c r="AE1786" s="2" t="inlineStr">
        <is>
          <t>24935</t>
        </is>
      </c>
      <c r="AF1786" s="2" t="inlineStr">
        <is>
          <t>https://www.parlamento.pt/OrcamentoEstado/Paginas/DetalhePropostaAlteracao.aspx?BID=24935</t>
        </is>
      </c>
      <c r="AG1786" s="2" t="inlineStr">
        <is>
          <t>https://app.parlamento.pt/webutils/docs/doc.pdf?path=6148523063484d364c793942556b356c6443397a6158526c63793959566b6c4a544556484c3039464c7a49774d6a59794d4449314d5441774f533951515338334f57566c4e6a56684f5330304e54566b4c5451774e7a49744f446c6d5a6930784e7a51334e5746695a6a4d334d3251756347526d&amp;Fich=79ee65a9-455d-4072-89ff-17475abf373d.pdf&amp;Inline=true</t>
        </is>
      </c>
      <c r="AH1786" s="3" t="n">
        <v>46321.77847222222</v>
      </c>
      <c r="AI1786" s="3" t="n">
        <v>46321.78055555555</v>
      </c>
      <c r="AJ1786" s="2" t="inlineStr"/>
    </row>
    <row r="1787">
      <c r="A1787" s="2" t="n">
        <v>1786</v>
      </c>
      <c r="B1787" s="2" t="inlineStr">
        <is>
          <t>1688C</t>
        </is>
      </c>
      <c r="C1787" s="3" t="n">
        <v>45968.67916666667</v>
      </c>
      <c r="D1787" s="2" t="inlineStr">
        <is>
          <t>Original</t>
        </is>
      </c>
      <c r="E1787" s="2" t="inlineStr">
        <is>
          <t>PAN</t>
        </is>
      </c>
      <c r="F1787" s="2" t="inlineStr">
        <is>
          <t>Inês de Sousa Real</t>
        </is>
      </c>
      <c r="G1787" s="2" t="inlineStr">
        <is>
          <t>Art. 126.º-A (aditamento)</t>
        </is>
      </c>
      <c r="H1787" s="2" t="n"/>
      <c r="I1787" s="2" t="n"/>
      <c r="J1787" s="2" t="n"/>
      <c r="K1787" s="2" t="n"/>
      <c r="L1787" s="2" t="inlineStr">
        <is>
          <t>Artigo 126.º-A (Reforço de meios técnicos e humanos na carreira de Vigilantes da Natureza)</t>
        </is>
      </c>
      <c r="M1787" s="4" t="n"/>
      <c r="N1787" s="4" t="n"/>
      <c r="O1787" s="2" t="n"/>
      <c r="P1787" s="2" t="n"/>
      <c r="Q1787" s="2" t="n"/>
      <c r="R1787" s="2" t="n"/>
      <c r="S1787" s="2" t="inlineStr">
        <is>
          <t>Rejeitado(a) em Comissão</t>
        </is>
      </c>
      <c r="T1787" s="2" t="inlineStr">
        <is>
          <t>Rejeitada</t>
        </is>
      </c>
      <c r="U1787" s="2" t="inlineStr">
        <is>
          <t>Favor: CH, L, PCP, BE, PAN; Contra: PSD, CDS-PP; Abstenção: PS, IL</t>
        </is>
      </c>
      <c r="V1787" s="3" t="n">
        <v>45985</v>
      </c>
      <c r="W1787" s="2" t="inlineStr">
        <is>
          <t>AR: https://www.parlamento.pt/OrcamentoEstado/Paginas/DetalhePropostaAlteracao.aspx?BID=24936 PDF: https://app.parlamento.pt/webutils/docs/doc.pdf?path=6148523063484d364c793942556b356c6443397a6158526c63793959566b6c4a544556484c3039464c7a49774d6a59794d4449314d5441774f533951515338774e7a51344e5441334d53307a4d5459314c545134596a51745957466a5a43316a4f575a6b4d7a59355a44566b4f5751756347526d&amp;Fich=07485071-3165-48b4-aacd-c9fd369d5d9d.pdf&amp;Inline=true</t>
        </is>
      </c>
      <c r="X1787" s="2" t="inlineStr">
        <is>
          <t>Ambiente e Energia; Trabalho, Segurança Social e Inclusão</t>
        </is>
      </c>
      <c r="Y1787" s="2" t="inlineStr">
        <is>
          <t>Articulado</t>
        </is>
      </c>
      <c r="Z1787" s="2" t="inlineStr">
        <is>
          <t>Aditamento (Artigo PPL)</t>
        </is>
      </c>
      <c r="AA1787" s="2" t="inlineStr">
        <is>
          <t>Rejeitado(a) em Comissão</t>
        </is>
      </c>
      <c r="AB1787" s="2" t="inlineStr"/>
      <c r="AC1787" s="2" t="inlineStr"/>
      <c r="AD1787" s="2" t="inlineStr">
        <is>
          <t>1</t>
        </is>
      </c>
      <c r="AE1787" s="2" t="inlineStr">
        <is>
          <t>24936</t>
        </is>
      </c>
      <c r="AF1787" s="2" t="inlineStr">
        <is>
          <t>https://www.parlamento.pt/OrcamentoEstado/Paginas/DetalhePropostaAlteracao.aspx?BID=24936</t>
        </is>
      </c>
      <c r="AG1787" s="2" t="inlineStr">
        <is>
          <t>https://app.parlamento.pt/webutils/docs/doc.pdf?path=6148523063484d364c793942556b356c6443397a6158526c63793959566b6c4a544556484c3039464c7a49774d6a59794d4449314d5441774f533951515338774e7a51344e5441334d53307a4d5459314c545134596a51745957466a5a43316a4f575a6b4d7a59355a44566b4f5751756347526d&amp;Fich=07485071-3165-48b4-aacd-c9fd369d5d9d.pdf&amp;Inline=true</t>
        </is>
      </c>
      <c r="AH1787" s="3" t="n">
        <v>46321.77847222222</v>
      </c>
      <c r="AI1787" s="3" t="n">
        <v>46321.78055555555</v>
      </c>
      <c r="AJ1787" s="2" t="inlineStr"/>
    </row>
    <row r="1788">
      <c r="A1788" s="2" t="n">
        <v>1787</v>
      </c>
      <c r="B1788" s="2" t="inlineStr">
        <is>
          <t>1689C</t>
        </is>
      </c>
      <c r="C1788" s="3" t="n">
        <v>45968.67916666667</v>
      </c>
      <c r="D1788" s="2" t="inlineStr">
        <is>
          <t>Retirada</t>
        </is>
      </c>
      <c r="E1788" s="2" t="inlineStr">
        <is>
          <t>L</t>
        </is>
      </c>
      <c r="F1788" s="2" t="inlineStr">
        <is>
          <t>Filipa Pinto; Isabel Mendes Lopes; Jorge Pinto; Patrícia Gonçalves; Paulo Muacho; Rui Tavares</t>
        </is>
      </c>
      <c r="G1788" s="2" t="inlineStr">
        <is>
          <t>Art. 126.º-A (aditamento)</t>
        </is>
      </c>
      <c r="H1788" s="2" t="n"/>
      <c r="I1788" s="2" t="n"/>
      <c r="J1788" s="2" t="n"/>
      <c r="K1788" s="2" t="n"/>
      <c r="L1788" s="2" t="inlineStr">
        <is>
          <t>Artigo 126.º-A (Aumento da verba anual por equipa no âmbito do Programa de Sapador Florestal)</t>
        </is>
      </c>
      <c r="M1788" s="4" t="n"/>
      <c r="N1788" s="4" t="n"/>
      <c r="O1788" s="2" t="n"/>
      <c r="P1788" s="2" t="n"/>
      <c r="Q1788" s="2" t="n"/>
      <c r="R1788" s="2" t="n"/>
      <c r="S1788" s="2" t="inlineStr">
        <is>
          <t>Retirado(a)</t>
        </is>
      </c>
      <c r="T1788" s="2" t="inlineStr">
        <is>
          <t>Retirada</t>
        </is>
      </c>
      <c r="U1788" s="2" t="inlineStr"/>
      <c r="V1788" s="3" t="n"/>
      <c r="W1788" s="2" t="inlineStr">
        <is>
          <t>AR: https://www.parlamento.pt/OrcamentoEstado/Paginas/DetalhePropostaAlteracao.aspx?BID=24937 PDF: https://app.parlamento.pt/webutils/docs/doc.pdf?path=6148523063484d364c793942556b356c6443397a6158526c63793959566b6c4a544556484c3039464c7a49774d6a59794d4449314d5441774f5339515153396a5a5441314e444a6c4e6930794e544e694c54526c59544574595467794d433079595755355a6d45334f44517759546b756347526d&amp;Fich=ce0542e6-253b-4ea1-a820-2ae9fa7840a9.pdf&amp;Inline=true</t>
        </is>
      </c>
      <c r="X1788" s="2" t="inlineStr">
        <is>
          <t>Ambiente e Energia; Orçamento, Finanças e Administração Pública</t>
        </is>
      </c>
      <c r="Y1788" s="2" t="inlineStr">
        <is>
          <t>Articulado</t>
        </is>
      </c>
      <c r="Z1788" s="2" t="inlineStr">
        <is>
          <t>Aditamento (Artigo PPL)</t>
        </is>
      </c>
      <c r="AA1788" s="2" t="inlineStr">
        <is>
          <t>Retirado(a)</t>
        </is>
      </c>
      <c r="AB1788" s="2" t="inlineStr"/>
      <c r="AC1788" s="2" t="inlineStr"/>
      <c r="AD1788" s="2" t="inlineStr">
        <is>
          <t>0</t>
        </is>
      </c>
      <c r="AE1788" s="2" t="inlineStr">
        <is>
          <t>24937</t>
        </is>
      </c>
      <c r="AF1788" s="2" t="inlineStr">
        <is>
          <t>https://www.parlamento.pt/OrcamentoEstado/Paginas/DetalhePropostaAlteracao.aspx?BID=24937</t>
        </is>
      </c>
      <c r="AG1788" s="2" t="inlineStr">
        <is>
          <t>https://app.parlamento.pt/webutils/docs/doc.pdf?path=6148523063484d364c793942556b356c6443397a6158526c63793959566b6c4a544556484c3039464c7a49774d6a59794d4449314d5441774f5339515153396a5a5441314e444a6c4e6930794e544e694c54526c59544574595467794d433079595755355a6d45334f44517759546b756347526d&amp;Fich=ce0542e6-253b-4ea1-a820-2ae9fa7840a9.pdf&amp;Inline=true</t>
        </is>
      </c>
      <c r="AH1788" s="3" t="n">
        <v>46321.77847222222</v>
      </c>
      <c r="AI1788" s="3" t="n">
        <v>46321.78055555555</v>
      </c>
      <c r="AJ1788" s="2" t="inlineStr"/>
    </row>
    <row r="1789">
      <c r="A1789" s="2" t="n">
        <v>1788</v>
      </c>
      <c r="B1789" s="2" t="inlineStr">
        <is>
          <t>1690C</t>
        </is>
      </c>
      <c r="C1789" s="3" t="n">
        <v>45968.67916666667</v>
      </c>
      <c r="D1789" s="2" t="inlineStr">
        <is>
          <t>Retirada</t>
        </is>
      </c>
      <c r="E1789" s="2" t="inlineStr">
        <is>
          <t>PS</t>
        </is>
      </c>
      <c r="F1789" s="2" t="inlineStr">
        <is>
          <t>António Mendonça Mendes; Eurico Brilhante Dias; José Luís Carneiro; Luís Graça; Marina Gonçalves; Miguel Matos; Pedro Vaz</t>
        </is>
      </c>
      <c r="G1789" s="2" t="inlineStr">
        <is>
          <t>Art. 63.º-A (aditamento)</t>
        </is>
      </c>
      <c r="H1789" s="2" t="n"/>
      <c r="I1789" s="2" t="n"/>
      <c r="J1789" s="2" t="n"/>
      <c r="K1789" s="2" t="n"/>
      <c r="L1789" s="2" t="inlineStr">
        <is>
          <t>Artigo 63.º-A (Aditamento à Lista I anexa ao Código do IVA)</t>
        </is>
      </c>
      <c r="M1789" s="4" t="n"/>
      <c r="N1789" s="4" t="n"/>
      <c r="O1789" s="2" t="n"/>
      <c r="P1789" s="2" t="n"/>
      <c r="Q1789" s="2" t="n"/>
      <c r="R1789" s="2" t="n"/>
      <c r="S1789" s="2" t="inlineStr">
        <is>
          <t>Retirado(a)</t>
        </is>
      </c>
      <c r="T1789" s="2" t="inlineStr">
        <is>
          <t>Retirada</t>
        </is>
      </c>
      <c r="U1789" s="2" t="inlineStr"/>
      <c r="V1789" s="3" t="n"/>
      <c r="W1789" s="2" t="inlineStr">
        <is>
          <t>AR: https://www.parlamento.pt/OrcamentoEstado/Paginas/DetalhePropostaAlteracao.aspx?BID=24938 PDF: https://app.parlamento.pt/webutils/docs/doc.pdf?path=6148523063484d364c793942556b356c6443397a6158526c63793959566b6c4a544556484c3039464c7a49774d6a59794d4449314d5441774f533951515338344e6d55324f5441334e69316b4d5752694c5451305a6a45744f5759314e79316d4d7a49785a546c6d4f5749355a4463756347526d&amp;Fich=86e69076-d1db-44f1-9f57-f321e9f9b9d7.pdf&amp;Inline=true</t>
        </is>
      </c>
      <c r="X1789" s="2" t="inlineStr">
        <is>
          <t>Ambiente e Energia; Orçamento, Finanças e Administração Pública</t>
        </is>
      </c>
      <c r="Y1789" s="2" t="inlineStr">
        <is>
          <t>Articulado</t>
        </is>
      </c>
      <c r="Z1789" s="2" t="inlineStr">
        <is>
          <t>Aditamento (Artigo PPL)</t>
        </is>
      </c>
      <c r="AA1789" s="2" t="inlineStr">
        <is>
          <t>Retirado(a)</t>
        </is>
      </c>
      <c r="AB1789" s="2" t="inlineStr"/>
      <c r="AC1789" s="2" t="inlineStr"/>
      <c r="AD1789" s="2" t="inlineStr">
        <is>
          <t>0</t>
        </is>
      </c>
      <c r="AE1789" s="2" t="inlineStr">
        <is>
          <t>24938</t>
        </is>
      </c>
      <c r="AF1789" s="2" t="inlineStr">
        <is>
          <t>https://www.parlamento.pt/OrcamentoEstado/Paginas/DetalhePropostaAlteracao.aspx?BID=24938</t>
        </is>
      </c>
      <c r="AG1789" s="2" t="inlineStr">
        <is>
          <t>https://app.parlamento.pt/webutils/docs/doc.pdf?path=6148523063484d364c793942556b356c6443397a6158526c63793959566b6c4a544556484c3039464c7a49774d6a59794d4449314d5441774f533951515338344e6d55324f5441334e69316b4d5752694c5451305a6a45744f5759314e79316d4d7a49785a546c6d4f5749355a4463756347526d&amp;Fich=86e69076-d1db-44f1-9f57-f321e9f9b9d7.pdf&amp;Inline=true</t>
        </is>
      </c>
      <c r="AH1789" s="3" t="n">
        <v>46321.77847222222</v>
      </c>
      <c r="AI1789" s="3" t="n">
        <v>46321.78055555555</v>
      </c>
      <c r="AJ1789" s="2" t="inlineStr"/>
    </row>
    <row r="1790">
      <c r="A1790" s="2" t="n">
        <v>1789</v>
      </c>
      <c r="B1790" s="2" t="inlineStr">
        <is>
          <t>1691C</t>
        </is>
      </c>
      <c r="C1790" s="3" t="n">
        <v>45968.67916666667</v>
      </c>
      <c r="D1790" s="2" t="inlineStr">
        <is>
          <t>Original</t>
        </is>
      </c>
      <c r="E1790" s="2" t="inlineStr">
        <is>
          <t>CH</t>
        </is>
      </c>
      <c r="F179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90" s="2" t="inlineStr">
        <is>
          <t>Art. 136.º-A (aditamento)</t>
        </is>
      </c>
      <c r="H1790" s="2" t="n"/>
      <c r="I1790" s="2" t="n"/>
      <c r="J1790" s="2" t="n"/>
      <c r="K1790" s="2" t="n"/>
      <c r="L1790" s="2" t="inlineStr">
        <is>
          <t>Artigo 136.º-A (Criação de uma linha específica no PIDDAC ou no Fundo de Coesão para financiar projetos de automação e Inteligência Artificial (IA) em PMEs)</t>
        </is>
      </c>
      <c r="M1790" s="4" t="n"/>
      <c r="N1790" s="4" t="n"/>
      <c r="O1790" s="2" t="n"/>
      <c r="P1790" s="2" t="n"/>
      <c r="Q1790" s="2" t="n"/>
      <c r="R1790" s="2" t="n"/>
      <c r="S1790" s="2" t="inlineStr">
        <is>
          <t>Rejeitado(a) em Comissão</t>
        </is>
      </c>
      <c r="T1790" s="2" t="inlineStr">
        <is>
          <t>Rejeitada</t>
        </is>
      </c>
      <c r="U1790" s="2" t="inlineStr">
        <is>
          <t>Favor: CH, BE, PAN; Contra: PSD, IL, CDS-PP; Abstenção: PS, L, PCP</t>
        </is>
      </c>
      <c r="V1790" s="3" t="n">
        <v>45987</v>
      </c>
      <c r="W1790" s="2" t="inlineStr">
        <is>
          <t>AR: https://www.parlamento.pt/OrcamentoEstado/Paginas/DetalhePropostaAlteracao.aspx?BID=24939 PDF: https://app.parlamento.pt/webutils/docs/doc.pdf?path=6148523063484d364c793942556b356c6443397a6158526c63793959566b6c4a544556484c3039464c7a49774d6a59794d4449314d5441774f5339515153396b4e444d794f4459784e6931695932517a4c54526b4d445974596d45355a5330354e546b304d57566d5a6a42684f5455756347526d&amp;Fich=d4328616-bcd3-4d06-ba9e-95941eff0a95.pdf&amp;Inline=true</t>
        </is>
      </c>
      <c r="X1790" s="2" t="inlineStr">
        <is>
          <t>Reforma do Estado e Poder Local</t>
        </is>
      </c>
      <c r="Y1790" s="2" t="inlineStr">
        <is>
          <t>Articulado</t>
        </is>
      </c>
      <c r="Z1790" s="2" t="inlineStr">
        <is>
          <t>Aditamento (Artigo PPL)</t>
        </is>
      </c>
      <c r="AA1790" s="2" t="inlineStr">
        <is>
          <t>Rejeitado(a) em Comissão</t>
        </is>
      </c>
      <c r="AB1790" s="2" t="inlineStr"/>
      <c r="AC1790" s="2" t="inlineStr"/>
      <c r="AD1790" s="2" t="inlineStr">
        <is>
          <t>1</t>
        </is>
      </c>
      <c r="AE1790" s="2" t="inlineStr">
        <is>
          <t>24939</t>
        </is>
      </c>
      <c r="AF1790" s="2" t="inlineStr">
        <is>
          <t>https://www.parlamento.pt/OrcamentoEstado/Paginas/DetalhePropostaAlteracao.aspx?BID=24939</t>
        </is>
      </c>
      <c r="AG1790" s="2" t="inlineStr">
        <is>
          <t>https://app.parlamento.pt/webutils/docs/doc.pdf?path=6148523063484d364c793942556b356c6443397a6158526c63793959566b6c4a544556484c3039464c7a49774d6a59794d4449314d5441774f5339515153396b4e444d794f4459784e6931695932517a4c54526b4d445974596d45355a5330354e546b304d57566d5a6a42684f5455756347526d&amp;Fich=d4328616-bcd3-4d06-ba9e-95941eff0a95.pdf&amp;Inline=true</t>
        </is>
      </c>
      <c r="AH1790" s="3" t="n">
        <v>46321.77847222222</v>
      </c>
      <c r="AI1790" s="3" t="n">
        <v>46321.78055555555</v>
      </c>
      <c r="AJ1790" s="2" t="inlineStr"/>
    </row>
    <row r="1791">
      <c r="A1791" s="2" t="n">
        <v>1790</v>
      </c>
      <c r="B1791" s="2" t="inlineStr">
        <is>
          <t>1692C</t>
        </is>
      </c>
      <c r="C1791" s="3" t="n">
        <v>45968.67916666667</v>
      </c>
      <c r="D1791" s="2" t="inlineStr">
        <is>
          <t>Original</t>
        </is>
      </c>
      <c r="E1791" s="2" t="inlineStr">
        <is>
          <t>CH</t>
        </is>
      </c>
      <c r="F179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91" s="2" t="inlineStr">
        <is>
          <t>Art. 119.º-A (aditamento)</t>
        </is>
      </c>
      <c r="H1791" s="2" t="n"/>
      <c r="I1791" s="2" t="n"/>
      <c r="J1791" s="2" t="n"/>
      <c r="K1791" s="2" t="n"/>
      <c r="L1791" s="2" t="inlineStr">
        <is>
          <t>Artigo 119.º-A (Comparticipação pelo escalão A dos medicamentos para a Dermatite Atópica)</t>
        </is>
      </c>
      <c r="M1791" s="4" t="n"/>
      <c r="N1791" s="4" t="n"/>
      <c r="O1791" s="2" t="n"/>
      <c r="P1791" s="2" t="n"/>
      <c r="Q1791" s="2" t="n"/>
      <c r="R1791" s="2" t="n"/>
      <c r="S1791" s="2" t="inlineStr">
        <is>
          <t>Rejeitado(a) em Comissão</t>
        </is>
      </c>
      <c r="T1791" s="2" t="inlineStr">
        <is>
          <t>Rejeitada</t>
        </is>
      </c>
      <c r="U1791" s="2" t="inlineStr">
        <is>
          <t>Favor: CH, BE, PAN; Contra: PSD, CDS-PP; Abstenção: PS, IL, L, PCP</t>
        </is>
      </c>
      <c r="V1791" s="3" t="n">
        <v>45985</v>
      </c>
      <c r="W1791" s="2" t="inlineStr">
        <is>
          <t>AR: https://www.parlamento.pt/OrcamentoEstado/Paginas/DetalhePropostaAlteracao.aspx?BID=24940 PDF: https://app.parlamento.pt/webutils/docs/doc.pdf?path=6148523063484d364c793942556b356c6443397a6158526c63793959566b6c4a544556484c3039464c7a49774d6a59794d4449314d5441774f533951515338774d545668596a6733597930785a444d774c54526c4d5451744f544e6b4d4330345a6d49344d474a684f446333593259756347526d&amp;Fich=015ab87c-1d30-4e14-93d0-8fb80ba877cf.pdf&amp;Inline=true</t>
        </is>
      </c>
      <c r="X1791" s="2" t="inlineStr">
        <is>
          <t>Saúde</t>
        </is>
      </c>
      <c r="Y1791" s="2" t="inlineStr">
        <is>
          <t>Articulado</t>
        </is>
      </c>
      <c r="Z1791" s="2" t="inlineStr">
        <is>
          <t>Aditamento (Artigo PPL)</t>
        </is>
      </c>
      <c r="AA1791" s="2" t="inlineStr">
        <is>
          <t>Rejeitado(a) em Comissão</t>
        </is>
      </c>
      <c r="AB1791" s="2" t="inlineStr"/>
      <c r="AC1791" s="2" t="inlineStr"/>
      <c r="AD1791" s="2" t="inlineStr">
        <is>
          <t>1</t>
        </is>
      </c>
      <c r="AE1791" s="2" t="inlineStr">
        <is>
          <t>24940</t>
        </is>
      </c>
      <c r="AF1791" s="2" t="inlineStr">
        <is>
          <t>https://www.parlamento.pt/OrcamentoEstado/Paginas/DetalhePropostaAlteracao.aspx?BID=24940</t>
        </is>
      </c>
      <c r="AG1791" s="2" t="inlineStr">
        <is>
          <t>https://app.parlamento.pt/webutils/docs/doc.pdf?path=6148523063484d364c793942556b356c6443397a6158526c63793959566b6c4a544556484c3039464c7a49774d6a59794d4449314d5441774f533951515338774d545668596a6733597930785a444d774c54526c4d5451744f544e6b4d4330345a6d49344d474a684f446333593259756347526d&amp;Fich=015ab87c-1d30-4e14-93d0-8fb80ba877cf.pdf&amp;Inline=true</t>
        </is>
      </c>
      <c r="AH1791" s="3" t="n">
        <v>46321.77847222222</v>
      </c>
      <c r="AI1791" s="3" t="n">
        <v>46321.78055555555</v>
      </c>
      <c r="AJ1791" s="2" t="inlineStr"/>
    </row>
    <row r="1792">
      <c r="A1792" s="2" t="n">
        <v>1791</v>
      </c>
      <c r="B1792" s="2" t="inlineStr">
        <is>
          <t>1693C</t>
        </is>
      </c>
      <c r="C1792" s="3" t="n">
        <v>45968.67916666667</v>
      </c>
      <c r="D1792" s="2" t="inlineStr">
        <is>
          <t>Original</t>
        </is>
      </c>
      <c r="E1792" s="2" t="inlineStr">
        <is>
          <t>L</t>
        </is>
      </c>
      <c r="F1792" s="2" t="inlineStr">
        <is>
          <t>Filipa Pinto; Isabel Mendes Lopes; Jorge Pinto; Patrícia Gonçalves; Paulo Muacho; Rui Tavares</t>
        </is>
      </c>
      <c r="G1792" s="2" t="inlineStr">
        <is>
          <t>Art. 112.º-A (aditamento)</t>
        </is>
      </c>
      <c r="H1792" s="2" t="n"/>
      <c r="I1792" s="2" t="n"/>
      <c r="J1792" s="2" t="n"/>
      <c r="K1792" s="2" t="n"/>
      <c r="L1792" s="2" t="inlineStr">
        <is>
          <t>Artigo 112.º-A (Modo de visita escondida no Portal da Queixa Eletrónica)</t>
        </is>
      </c>
      <c r="M1792" s="4" t="n"/>
      <c r="N1792" s="4" t="n"/>
      <c r="O1792" s="2" t="n"/>
      <c r="P1792" s="2" t="n"/>
      <c r="Q1792" s="2" t="n"/>
      <c r="R1792" s="2" t="n"/>
      <c r="S1792" s="2" t="inlineStr">
        <is>
          <t>Rejeitado(a) em Comissão</t>
        </is>
      </c>
      <c r="T1792" s="2" t="inlineStr">
        <is>
          <t>Rejeitada</t>
        </is>
      </c>
      <c r="U1792" s="2" t="inlineStr">
        <is>
          <t>Favor: CH, L, PCP, BE, PAN; Contra: PSD, CDS-PP; Abstenção: PS, IL</t>
        </is>
      </c>
      <c r="V1792" s="3" t="n">
        <v>45982</v>
      </c>
      <c r="W1792" s="2" t="inlineStr">
        <is>
          <t>AR: https://www.parlamento.pt/OrcamentoEstado/Paginas/DetalhePropostaAlteracao.aspx?BID=24941 PDF: https://app.parlamento.pt/webutils/docs/doc.pdf?path=6148523063484d364c793942556b356c6443397a6158526c63793959566b6c4a544556484c3039464c7a49774d6a59794d4449314d5441774f5339515153396b4d4467784d6d466a5a69307a4f546c6a4c5451774e4755744f4445304f4330354d54526a4d6a426b597a5a684d7a49756347526d&amp;Fich=d0812acf-399c-404e-8148-914c20dc6a32.pdf&amp;Inline=true</t>
        </is>
      </c>
      <c r="X1792" s="2" t="inlineStr">
        <is>
          <t>Assuntos Constitucionais, Direitos, Liberdades e Garantias</t>
        </is>
      </c>
      <c r="Y1792" s="2" t="inlineStr">
        <is>
          <t>Articulado</t>
        </is>
      </c>
      <c r="Z1792" s="2" t="inlineStr">
        <is>
          <t>Aditamento (Artigo PPL)</t>
        </is>
      </c>
      <c r="AA1792" s="2" t="inlineStr">
        <is>
          <t>Rejeitado(a) em Comissão</t>
        </is>
      </c>
      <c r="AB1792" s="2" t="inlineStr"/>
      <c r="AC1792" s="2" t="inlineStr"/>
      <c r="AD1792" s="2" t="inlineStr">
        <is>
          <t>1</t>
        </is>
      </c>
      <c r="AE1792" s="2" t="inlineStr">
        <is>
          <t>24941</t>
        </is>
      </c>
      <c r="AF1792" s="2" t="inlineStr">
        <is>
          <t>https://www.parlamento.pt/OrcamentoEstado/Paginas/DetalhePropostaAlteracao.aspx?BID=24941</t>
        </is>
      </c>
      <c r="AG1792" s="2" t="inlineStr">
        <is>
          <t>https://app.parlamento.pt/webutils/docs/doc.pdf?path=6148523063484d364c793942556b356c6443397a6158526c63793959566b6c4a544556484c3039464c7a49774d6a59794d4449314d5441774f5339515153396b4d4467784d6d466a5a69307a4f546c6a4c5451774e4755744f4445304f4330354d54526a4d6a426b597a5a684d7a49756347526d&amp;Fich=d0812acf-399c-404e-8148-914c20dc6a32.pdf&amp;Inline=true</t>
        </is>
      </c>
      <c r="AH1792" s="3" t="n">
        <v>46321.77847222222</v>
      </c>
      <c r="AI1792" s="3" t="n">
        <v>46321.78055555555</v>
      </c>
      <c r="AJ1792" s="2" t="inlineStr"/>
    </row>
    <row r="1793">
      <c r="A1793" s="2" t="n">
        <v>1792</v>
      </c>
      <c r="B1793" s="2" t="inlineStr">
        <is>
          <t>1694C</t>
        </is>
      </c>
      <c r="C1793" s="3" t="n">
        <v>45968.67916666667</v>
      </c>
      <c r="D1793" s="2" t="inlineStr">
        <is>
          <t>Original</t>
        </is>
      </c>
      <c r="E1793" s="2" t="inlineStr">
        <is>
          <t>CH</t>
        </is>
      </c>
      <c r="F179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93" s="2" t="inlineStr">
        <is>
          <t>Art. 28.º-A (aditamento)</t>
        </is>
      </c>
      <c r="H1793" s="2" t="n"/>
      <c r="I1793" s="2" t="n"/>
      <c r="J1793" s="2" t="n"/>
      <c r="K1793" s="2" t="n"/>
      <c r="L1793" s="2" t="inlineStr">
        <is>
          <t>Artigo 28.º-A (Criação da carreira de biologia clínica)</t>
        </is>
      </c>
      <c r="M1793" s="4" t="n"/>
      <c r="N1793" s="4" t="n"/>
      <c r="O1793" s="2" t="n"/>
      <c r="P1793" s="2" t="n"/>
      <c r="Q1793" s="2" t="n"/>
      <c r="R1793" s="2" t="n"/>
      <c r="S1793" s="2" t="inlineStr">
        <is>
          <t>Rejeitado(a) em Comissão</t>
        </is>
      </c>
      <c r="T1793" s="2" t="inlineStr">
        <is>
          <t>Rejeitada</t>
        </is>
      </c>
      <c r="U1793" s="2" t="inlineStr">
        <is>
          <t>Favor: CH, BE, PAN; Contra: PSD, IL, CDS-PP; Abstenção: PS, L, PCP</t>
        </is>
      </c>
      <c r="V1793" s="3" t="n">
        <v>45981</v>
      </c>
      <c r="W1793" s="2" t="inlineStr">
        <is>
          <t>AR: https://www.parlamento.pt/OrcamentoEstado/Paginas/DetalhePropostaAlteracao.aspx?BID=24942 PDF: https://app.parlamento.pt/webutils/docs/doc.pdf?path=6148523063484d364c793942556b356c6443397a6158526c63793959566b6c4a544556484c3039464c7a49774d6a59794d4449314d5441774f533951515338784e6a6b3259546731595331694d7a51324c54517a5a5467744f446b334e53316b4d5745324e7a55774f54497a595451756347526d&amp;Fich=1696a85a-b346-43e8-8975-d1a6750923a4.pdf&amp;Inline=true</t>
        </is>
      </c>
      <c r="X1793" s="2" t="inlineStr">
        <is>
          <t>Orçamento, Finanças e Administração Pública; Saúde</t>
        </is>
      </c>
      <c r="Y1793" s="2" t="inlineStr">
        <is>
          <t>Articulado</t>
        </is>
      </c>
      <c r="Z1793" s="2" t="inlineStr">
        <is>
          <t>Aditamento (Artigo PPL)</t>
        </is>
      </c>
      <c r="AA1793" s="2" t="inlineStr">
        <is>
          <t>Rejeitado(a) em Comissão</t>
        </is>
      </c>
      <c r="AB1793" s="2" t="inlineStr"/>
      <c r="AC1793" s="2" t="inlineStr"/>
      <c r="AD1793" s="2" t="inlineStr">
        <is>
          <t>1</t>
        </is>
      </c>
      <c r="AE1793" s="2" t="inlineStr">
        <is>
          <t>24942</t>
        </is>
      </c>
      <c r="AF1793" s="2" t="inlineStr">
        <is>
          <t>https://www.parlamento.pt/OrcamentoEstado/Paginas/DetalhePropostaAlteracao.aspx?BID=24942</t>
        </is>
      </c>
      <c r="AG1793" s="2" t="inlineStr">
        <is>
          <t>https://app.parlamento.pt/webutils/docs/doc.pdf?path=6148523063484d364c793942556b356c6443397a6158526c63793959566b6c4a544556484c3039464c7a49774d6a59794d4449314d5441774f533951515338784e6a6b3259546731595331694d7a51324c54517a5a5467744f446b334e53316b4d5745324e7a55774f54497a595451756347526d&amp;Fich=1696a85a-b346-43e8-8975-d1a6750923a4.pdf&amp;Inline=true</t>
        </is>
      </c>
      <c r="AH1793" s="3" t="n">
        <v>46321.77847222222</v>
      </c>
      <c r="AI1793" s="3" t="n">
        <v>46321.78055555555</v>
      </c>
      <c r="AJ1793" s="2" t="inlineStr"/>
    </row>
    <row r="1794">
      <c r="A1794" s="2" t="n">
        <v>1793</v>
      </c>
      <c r="B1794" s="2" t="inlineStr">
        <is>
          <t>1695C</t>
        </is>
      </c>
      <c r="C1794" s="3" t="n">
        <v>45968.67916666667</v>
      </c>
      <c r="D1794" s="2" t="inlineStr">
        <is>
          <t>Original</t>
        </is>
      </c>
      <c r="E1794" s="2" t="inlineStr">
        <is>
          <t>PCP</t>
        </is>
      </c>
      <c r="F1794" s="2" t="inlineStr">
        <is>
          <t>Alfredo Maia; Paula Santos; Paulo Raimundo</t>
        </is>
      </c>
      <c r="G1794" s="2" t="inlineStr">
        <is>
          <t>Art. 22.º-A (aditamento)</t>
        </is>
      </c>
      <c r="H1794" s="2" t="n"/>
      <c r="I1794" s="2" t="n"/>
      <c r="J1794" s="2" t="n"/>
      <c r="K1794" s="2" t="n"/>
      <c r="L1794" s="2" t="inlineStr">
        <is>
          <t>Artigo 22.º-A (Valorização da carreira de Técnico Superior de Saúde no SNS)</t>
        </is>
      </c>
      <c r="M1794" s="4" t="n"/>
      <c r="N1794" s="4" t="n"/>
      <c r="O1794" s="2" t="n"/>
      <c r="P1794" s="2" t="n"/>
      <c r="Q1794" s="2" t="n"/>
      <c r="R1794" s="2" t="n"/>
      <c r="S1794" s="2" t="inlineStr">
        <is>
          <t>Rejeitado(a) em Comissão</t>
        </is>
      </c>
      <c r="T1794" s="2" t="inlineStr">
        <is>
          <t>Rejeitada</t>
        </is>
      </c>
      <c r="U1794" s="2" t="inlineStr">
        <is>
          <t>Favor: CH, L, PCP, BE, PAN; Contra: PSD, CDS-PP; Abstenção: PS, IL</t>
        </is>
      </c>
      <c r="V1794" s="3" t="n">
        <v>45981</v>
      </c>
      <c r="W1794" s="2" t="inlineStr">
        <is>
          <t>AR: https://www.parlamento.pt/OrcamentoEstado/Paginas/DetalhePropostaAlteracao.aspx?BID=24943 PDF: https://app.parlamento.pt/webutils/docs/doc.pdf?path=6148523063484d364c793942556b356c6443397a6158526c63793959566b6c4a544556484c3039464c7a49774d6a59794d4449314d5441774f53395151533831593249324e3259334e693078595441324c5452684e545574596d5134596930344f574d324f4755355a546b795a5451756347526d&amp;Fich=5cb67f76-1a06-4a55-bd8b-89c68e9e92e4.pdf&amp;Inline=true</t>
        </is>
      </c>
      <c r="X1794" s="2" t="inlineStr">
        <is>
          <t>Saúde</t>
        </is>
      </c>
      <c r="Y1794" s="2" t="inlineStr">
        <is>
          <t>Articulado</t>
        </is>
      </c>
      <c r="Z1794" s="2" t="inlineStr">
        <is>
          <t>Aditamento (Artigo PPL)</t>
        </is>
      </c>
      <c r="AA1794" s="2" t="inlineStr">
        <is>
          <t>Rejeitado(a) em Comissão</t>
        </is>
      </c>
      <c r="AB1794" s="2" t="inlineStr"/>
      <c r="AC1794" s="2" t="inlineStr"/>
      <c r="AD1794" s="2" t="inlineStr">
        <is>
          <t>1</t>
        </is>
      </c>
      <c r="AE1794" s="2" t="inlineStr">
        <is>
          <t>24943</t>
        </is>
      </c>
      <c r="AF1794" s="2" t="inlineStr">
        <is>
          <t>https://www.parlamento.pt/OrcamentoEstado/Paginas/DetalhePropostaAlteracao.aspx?BID=24943</t>
        </is>
      </c>
      <c r="AG1794" s="2" t="inlineStr">
        <is>
          <t>https://app.parlamento.pt/webutils/docs/doc.pdf?path=6148523063484d364c793942556b356c6443397a6158526c63793959566b6c4a544556484c3039464c7a49774d6a59794d4449314d5441774f53395151533831593249324e3259334e693078595441324c5452684e545574596d5134596930344f574d324f4755355a546b795a5451756347526d&amp;Fich=5cb67f76-1a06-4a55-bd8b-89c68e9e92e4.pdf&amp;Inline=true</t>
        </is>
      </c>
      <c r="AH1794" s="3" t="n">
        <v>46321.77847222222</v>
      </c>
      <c r="AI1794" s="3" t="n">
        <v>46321.78055555555</v>
      </c>
      <c r="AJ1794" s="2" t="inlineStr"/>
    </row>
    <row r="1795">
      <c r="A1795" s="2" t="n">
        <v>1794</v>
      </c>
      <c r="B1795" s="2" t="inlineStr">
        <is>
          <t>1696C</t>
        </is>
      </c>
      <c r="C1795" s="3" t="n">
        <v>45968.67986111111</v>
      </c>
      <c r="D1795" s="2" t="inlineStr">
        <is>
          <t>Original</t>
        </is>
      </c>
      <c r="E1795" s="2" t="inlineStr">
        <is>
          <t>PCP</t>
        </is>
      </c>
      <c r="F1795" s="2" t="inlineStr">
        <is>
          <t>Alfredo Maia; Paula Santos; Paulo Raimundo</t>
        </is>
      </c>
      <c r="G1795" s="2" t="inlineStr">
        <is>
          <t>Art. 121.º-A (aditamento)</t>
        </is>
      </c>
      <c r="H1795" s="2" t="n"/>
      <c r="I1795" s="2" t="n"/>
      <c r="J1795" s="2" t="n"/>
      <c r="K1795" s="2" t="n"/>
      <c r="L1795" s="2" t="inlineStr">
        <is>
          <t>Artigo 121.º-A (Apoio a associações na área da saúde)</t>
        </is>
      </c>
      <c r="M1795" s="4" t="n"/>
      <c r="N1795" s="4" t="n"/>
      <c r="O1795" s="2" t="n"/>
      <c r="P1795" s="2" t="n"/>
      <c r="Q1795" s="2" t="n"/>
      <c r="R1795" s="2" t="n"/>
      <c r="S1795" s="2" t="inlineStr">
        <is>
          <t>Rejeitado(a) em Comissão</t>
        </is>
      </c>
      <c r="T1795" s="2" t="inlineStr">
        <is>
          <t>Rejeitada</t>
        </is>
      </c>
      <c r="U1795" s="2" t="inlineStr">
        <is>
          <t>Favor: L, PCP, BE, PAN; Contra: PSD, CH, IL, CDS-PP; Abstenção: PS</t>
        </is>
      </c>
      <c r="V1795" s="3" t="n">
        <v>45985</v>
      </c>
      <c r="W1795" s="2" t="inlineStr">
        <is>
          <t>AR: https://www.parlamento.pt/OrcamentoEstado/Paginas/DetalhePropostaAlteracao.aspx?BID=24944 PDF: https://app.parlamento.pt/webutils/docs/doc.pdf?path=6148523063484d364c793942556b356c6443397a6158526c63793959566b6c4a544556484c3039464c7a49774d6a59794d4449314d5441774f533951515339684e3251774f44426a4d5331684d44457a4c5452694f546b744f4459314e4330355a5467344f4441794e5441315a4751756347526d&amp;Fich=a7d080c1-a013-4b99-8654-9e88802505dd.pdf&amp;Inline=true</t>
        </is>
      </c>
      <c r="X1795" s="2" t="inlineStr">
        <is>
          <t>Saúde</t>
        </is>
      </c>
      <c r="Y1795" s="2" t="inlineStr">
        <is>
          <t>Articulado</t>
        </is>
      </c>
      <c r="Z1795" s="2" t="inlineStr">
        <is>
          <t>Aditamento (Artigo PPL)</t>
        </is>
      </c>
      <c r="AA1795" s="2" t="inlineStr">
        <is>
          <t>Rejeitado(a) em Comissão</t>
        </is>
      </c>
      <c r="AB1795" s="2" t="inlineStr"/>
      <c r="AC1795" s="2" t="inlineStr"/>
      <c r="AD1795" s="2" t="inlineStr">
        <is>
          <t>1</t>
        </is>
      </c>
      <c r="AE1795" s="2" t="inlineStr">
        <is>
          <t>24944</t>
        </is>
      </c>
      <c r="AF1795" s="2" t="inlineStr">
        <is>
          <t>https://www.parlamento.pt/OrcamentoEstado/Paginas/DetalhePropostaAlteracao.aspx?BID=24944</t>
        </is>
      </c>
      <c r="AG1795" s="2" t="inlineStr">
        <is>
          <t>https://app.parlamento.pt/webutils/docs/doc.pdf?path=6148523063484d364c793942556b356c6443397a6158526c63793959566b6c4a544556484c3039464c7a49774d6a59794d4449314d5441774f533951515339684e3251774f44426a4d5331684d44457a4c5452694f546b744f4459314e4330355a5467344f4441794e5441315a4751756347526d&amp;Fich=a7d080c1-a013-4b99-8654-9e88802505dd.pdf&amp;Inline=true</t>
        </is>
      </c>
      <c r="AH1795" s="3" t="n">
        <v>46321.77847222222</v>
      </c>
      <c r="AI1795" s="3" t="n">
        <v>46321.78055555555</v>
      </c>
      <c r="AJ1795" s="2" t="inlineStr"/>
    </row>
    <row r="1796">
      <c r="A1796" s="2" t="n">
        <v>1795</v>
      </c>
      <c r="B1796" s="2" t="inlineStr">
        <is>
          <t>1697C</t>
        </is>
      </c>
      <c r="C1796" s="3" t="n">
        <v>45968.67986111111</v>
      </c>
      <c r="D1796" s="2" t="inlineStr">
        <is>
          <t>Original</t>
        </is>
      </c>
      <c r="E1796" s="2" t="inlineStr">
        <is>
          <t>PS</t>
        </is>
      </c>
      <c r="F1796" s="2" t="inlineStr">
        <is>
          <t>António Mendonça Mendes; Eurico Brilhante Dias; José Luís Carneiro; Luís Graça; Marina Gonçalves; Miguel Matos; Pedro Vaz</t>
        </is>
      </c>
      <c r="G1796" s="2" t="inlineStr">
        <is>
          <t>Art. 7.º (aditamento)</t>
        </is>
      </c>
      <c r="H1796" s="2" t="n"/>
      <c r="I1796" s="2" t="n"/>
      <c r="J1796" s="2" t="n"/>
      <c r="K1796" s="2" t="n"/>
      <c r="L1796" s="2" t="inlineStr">
        <is>
          <t>Nova Verba 69, Mapa de alterações e transferências orçamentais, Artigo 7.º</t>
        </is>
      </c>
      <c r="M1796" s="4" t="n"/>
      <c r="N1796" s="4" t="n"/>
      <c r="O1796" s="2" t="n"/>
      <c r="P1796" s="2" t="n"/>
      <c r="Q1796" s="2" t="n"/>
      <c r="R1796" s="2" t="n"/>
      <c r="S1796" s="2" t="inlineStr">
        <is>
          <t>Aprovado(a) em Comissão</t>
        </is>
      </c>
      <c r="T1796" s="2" t="inlineStr">
        <is>
          <t>Aprovada</t>
        </is>
      </c>
      <c r="U1796" s="2" t="inlineStr">
        <is>
          <t>Favor: CH, PS, PCP, BE, PAN; Contra: PSD, CDS-PP; Abstenção: IL, L</t>
        </is>
      </c>
      <c r="V1796" s="3" t="n">
        <v>45987</v>
      </c>
      <c r="W1796" s="2" t="inlineStr">
        <is>
          <t>AR: https://www.parlamento.pt/OrcamentoEstado/Paginas/DetalhePropostaAlteracao.aspx?BID=24945 PDF: https://app.parlamento.pt/webutils/docs/doc.pdf?path=6148523063484d364c793942556b356c6443397a6158526c63793959566b6c4a544556484c3039464c7a49774d6a59794d4449314d5441774f533951515338304d6d4e685a57597a595330785a6a49354c5451794e57457459546b335a4330774f4455304f47566b4d5463305a5451756347526d&amp;Fich=42caef3a-1f29-425a-a97d-08548ed174e4.pdf&amp;Inline=true</t>
        </is>
      </c>
      <c r="X1796" s="2" t="inlineStr">
        <is>
          <t>Ambiente e Energia; Orçamento, Finanças e Administração Pública</t>
        </is>
      </c>
      <c r="Y1796" s="2" t="inlineStr">
        <is>
          <t>Articulado</t>
        </is>
      </c>
      <c r="Z1796" s="2" t="inlineStr">
        <is>
          <t>Aditamento (Números e Alíneas)</t>
        </is>
      </c>
      <c r="AA1796" s="2" t="inlineStr">
        <is>
          <t>Aprovado(a) em Comissão</t>
        </is>
      </c>
      <c r="AB1796" s="2" t="inlineStr"/>
      <c r="AC1796" s="2" t="inlineStr"/>
      <c r="AD1796" s="2" t="inlineStr">
        <is>
          <t>1</t>
        </is>
      </c>
      <c r="AE1796" s="2" t="inlineStr">
        <is>
          <t>24945</t>
        </is>
      </c>
      <c r="AF1796" s="2" t="inlineStr">
        <is>
          <t>https://www.parlamento.pt/OrcamentoEstado/Paginas/DetalhePropostaAlteracao.aspx?BID=24945</t>
        </is>
      </c>
      <c r="AG1796" s="2" t="inlineStr">
        <is>
          <t>https://app.parlamento.pt/webutils/docs/doc.pdf?path=6148523063484d364c793942556b356c6443397a6158526c63793959566b6c4a544556484c3039464c7a49774d6a59794d4449314d5441774f533951515338304d6d4e685a57597a595330785a6a49354c5451794e57457459546b335a4330774f4455304f47566b4d5463305a5451756347526d&amp;Fich=42caef3a-1f29-425a-a97d-08548ed174e4.pdf&amp;Inline=true</t>
        </is>
      </c>
      <c r="AH1796" s="3" t="n">
        <v>46321.77847222222</v>
      </c>
      <c r="AI1796" s="3" t="n">
        <v>46321.78055555555</v>
      </c>
      <c r="AJ1796" s="2" t="inlineStr"/>
    </row>
    <row r="1797">
      <c r="A1797" s="2" t="n">
        <v>1796</v>
      </c>
      <c r="B1797" s="2" t="inlineStr">
        <is>
          <t>1698C</t>
        </is>
      </c>
      <c r="C1797" s="3" t="n">
        <v>45968.68055555555</v>
      </c>
      <c r="D1797" s="2" t="inlineStr">
        <is>
          <t>Original</t>
        </is>
      </c>
      <c r="E1797" s="2" t="inlineStr">
        <is>
          <t>CH</t>
        </is>
      </c>
      <c r="F179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97" s="2" t="inlineStr">
        <is>
          <t>Art. 83.º-A (aditamento)</t>
        </is>
      </c>
      <c r="H1797" s="2" t="n"/>
      <c r="I1797" s="2" t="n"/>
      <c r="J1797" s="2" t="n"/>
      <c r="K1797" s="2" t="n"/>
      <c r="L1797" s="2" t="inlineStr">
        <is>
          <t>Artigo 83.º-A (Estabelecimento de uma Taxa única flat para a Comissão de Amortização de Crédito à Habitação)</t>
        </is>
      </c>
      <c r="M1797" s="4" t="n"/>
      <c r="N1797" s="4" t="n"/>
      <c r="O1797" s="2" t="n"/>
      <c r="P1797" s="2" t="n"/>
      <c r="Q1797" s="2" t="n"/>
      <c r="R1797" s="2" t="n"/>
      <c r="S1797" s="2" t="inlineStr">
        <is>
          <t>Rejeitado(a) em Comissão</t>
        </is>
      </c>
      <c r="T1797" s="2" t="inlineStr">
        <is>
          <t>Rejeitada</t>
        </is>
      </c>
      <c r="U1797" s="2" t="inlineStr">
        <is>
          <t>Favor: CH, PAN; Contra: PSD, PS, IL, CDS-PP; Abstenção: L, PCP, BE</t>
        </is>
      </c>
      <c r="V1797" s="3" t="n">
        <v>45982</v>
      </c>
      <c r="W1797" s="2" t="inlineStr">
        <is>
          <t>AR: https://www.parlamento.pt/OrcamentoEstado/Paginas/DetalhePropostaAlteracao.aspx?BID=24946 PDF: https://app.parlamento.pt/webutils/docs/doc.pdf?path=6148523063484d364c793942556b356c6443397a6158526c63793959566b6c4a544556484c3039464c7a49774d6a59794d4449314d5441774f533951515339684e47557a5a6d4e69595330784d7a55334c545179597a4174596a6c6b4f53316b5a6a4a6a4e6d4a694e57566b4d6a4d756347526d&amp;Fich=a4e3fcba-1357-42c0-b9d9-df2c6bb5ed23.pdf&amp;Inline=true</t>
        </is>
      </c>
      <c r="X1797" s="2" t="inlineStr">
        <is>
          <t>Orçamento, Finanças e Administração Pública</t>
        </is>
      </c>
      <c r="Y1797" s="2" t="inlineStr">
        <is>
          <t>Articulado</t>
        </is>
      </c>
      <c r="Z1797" s="2" t="inlineStr">
        <is>
          <t>Aditamento (Artigo PPL)</t>
        </is>
      </c>
      <c r="AA1797" s="2" t="inlineStr">
        <is>
          <t>Rejeitado(a) em Comissão</t>
        </is>
      </c>
      <c r="AB1797" s="2" t="inlineStr"/>
      <c r="AC1797" s="2" t="inlineStr"/>
      <c r="AD1797" s="2" t="inlineStr">
        <is>
          <t>1</t>
        </is>
      </c>
      <c r="AE1797" s="2" t="inlineStr">
        <is>
          <t>24946</t>
        </is>
      </c>
      <c r="AF1797" s="2" t="inlineStr">
        <is>
          <t>https://www.parlamento.pt/OrcamentoEstado/Paginas/DetalhePropostaAlteracao.aspx?BID=24946</t>
        </is>
      </c>
      <c r="AG1797" s="2" t="inlineStr">
        <is>
          <t>https://app.parlamento.pt/webutils/docs/doc.pdf?path=6148523063484d364c793942556b356c6443397a6158526c63793959566b6c4a544556484c3039464c7a49774d6a59794d4449314d5441774f533951515339684e47557a5a6d4e69595330784d7a55334c545179597a4174596a6c6b4f53316b5a6a4a6a4e6d4a694e57566b4d6a4d756347526d&amp;Fich=a4e3fcba-1357-42c0-b9d9-df2c6bb5ed23.pdf&amp;Inline=true</t>
        </is>
      </c>
      <c r="AH1797" s="3" t="n">
        <v>46321.77847222222</v>
      </c>
      <c r="AI1797" s="3" t="n">
        <v>46321.78055555555</v>
      </c>
      <c r="AJ1797" s="2" t="inlineStr"/>
    </row>
    <row r="1798">
      <c r="A1798" s="2" t="n">
        <v>1797</v>
      </c>
      <c r="B1798" s="2" t="inlineStr">
        <is>
          <t>1699C</t>
        </is>
      </c>
      <c r="C1798" s="3" t="n">
        <v>45968.68055555555</v>
      </c>
      <c r="D1798" s="2" t="inlineStr">
        <is>
          <t>Original</t>
        </is>
      </c>
      <c r="E1798" s="2" t="inlineStr">
        <is>
          <t>CH</t>
        </is>
      </c>
      <c r="F179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798" s="2" t="inlineStr">
        <is>
          <t>Art. 119.º-A (aditamento)</t>
        </is>
      </c>
      <c r="H1798" s="2" t="n"/>
      <c r="I1798" s="2" t="n"/>
      <c r="J1798" s="2" t="n"/>
      <c r="K1798" s="2" t="n"/>
      <c r="L1798" s="2" t="inlineStr">
        <is>
          <t>Artigo 119.º-A (Reforço dos centros de atividades ocupacionais para pessoas com deficiência)</t>
        </is>
      </c>
      <c r="M1798" s="4" t="n"/>
      <c r="N1798" s="4" t="n"/>
      <c r="O1798" s="2" t="n"/>
      <c r="P1798" s="2" t="n"/>
      <c r="Q1798" s="2" t="n"/>
      <c r="R1798" s="2" t="n"/>
      <c r="S1798" s="2" t="inlineStr">
        <is>
          <t>Rejeitado(a) em Comissão</t>
        </is>
      </c>
      <c r="T1798" s="2" t="inlineStr">
        <is>
          <t>Rejeitada</t>
        </is>
      </c>
      <c r="U1798" s="2" t="inlineStr">
        <is>
          <t>Favor: CH, BE, PAN; Contra: PSD, CDS-PP; Abstenção: PS, IL, L, PCP</t>
        </is>
      </c>
      <c r="V1798" s="3" t="n">
        <v>45985</v>
      </c>
      <c r="W1798" s="2" t="inlineStr">
        <is>
          <t>AR: https://www.parlamento.pt/OrcamentoEstado/Paginas/DetalhePropostaAlteracao.aspx?BID=24947 PDF: https://app.parlamento.pt/webutils/docs/doc.pdf?path=6148523063484d364c793942556b356c6443397a6158526c63793959566b6c4a544556484c3039464c7a49774d6a59794d4449314d5441774f533951515338324e6a49795a44566c4d5330784d7a67794c54526859574974596a417a4e6930315957497a4d544a6a5957497a59574d756347526d&amp;Fich=6622d5e1-1382-4aab-b036-5ab312cab3ac.pdf&amp;Inline=true</t>
        </is>
      </c>
      <c r="X1798" s="2" t="inlineStr">
        <is>
          <t>Saúde</t>
        </is>
      </c>
      <c r="Y1798" s="2" t="inlineStr">
        <is>
          <t>Articulado</t>
        </is>
      </c>
      <c r="Z1798" s="2" t="inlineStr">
        <is>
          <t>Aditamento (Artigo PPL)</t>
        </is>
      </c>
      <c r="AA1798" s="2" t="inlineStr">
        <is>
          <t>Rejeitado(a) em Comissão</t>
        </is>
      </c>
      <c r="AB1798" s="2" t="inlineStr"/>
      <c r="AC1798" s="2" t="inlineStr"/>
      <c r="AD1798" s="2" t="inlineStr">
        <is>
          <t>1</t>
        </is>
      </c>
      <c r="AE1798" s="2" t="inlineStr">
        <is>
          <t>24947</t>
        </is>
      </c>
      <c r="AF1798" s="2" t="inlineStr">
        <is>
          <t>https://www.parlamento.pt/OrcamentoEstado/Paginas/DetalhePropostaAlteracao.aspx?BID=24947</t>
        </is>
      </c>
      <c r="AG1798" s="2" t="inlineStr">
        <is>
          <t>https://app.parlamento.pt/webutils/docs/doc.pdf?path=6148523063484d364c793942556b356c6443397a6158526c63793959566b6c4a544556484c3039464c7a49774d6a59794d4449314d5441774f533951515338324e6a49795a44566c4d5330784d7a67794c54526859574974596a417a4e6930315957497a4d544a6a5957497a59574d756347526d&amp;Fich=6622d5e1-1382-4aab-b036-5ab312cab3ac.pdf&amp;Inline=true</t>
        </is>
      </c>
      <c r="AH1798" s="3" t="n">
        <v>46321.77847222222</v>
      </c>
      <c r="AI1798" s="3" t="n">
        <v>46321.78055555555</v>
      </c>
      <c r="AJ1798" s="2" t="inlineStr"/>
    </row>
    <row r="1799">
      <c r="A1799" s="2" t="n">
        <v>1798</v>
      </c>
      <c r="B1799" s="2" t="inlineStr">
        <is>
          <t>1700C</t>
        </is>
      </c>
      <c r="C1799" s="3" t="n">
        <v>45968.68055555555</v>
      </c>
      <c r="D1799" s="2" t="inlineStr">
        <is>
          <t>Original</t>
        </is>
      </c>
      <c r="E1799" s="2" t="inlineStr">
        <is>
          <t>PCP</t>
        </is>
      </c>
      <c r="F1799" s="2" t="inlineStr">
        <is>
          <t>Alfredo Maia; Paula Santos; Paulo Raimundo</t>
        </is>
      </c>
      <c r="G1799" s="2" t="inlineStr">
        <is>
          <t>Art. 22.º-A (aditamento)</t>
        </is>
      </c>
      <c r="H1799" s="2" t="n"/>
      <c r="I1799" s="2" t="n"/>
      <c r="J1799" s="2" t="n"/>
      <c r="K1799" s="2" t="n"/>
      <c r="L1799" s="2" t="inlineStr">
        <is>
          <t>Artigo 22.º-A (Criação da Carreira de Médico Dentista no SNS)</t>
        </is>
      </c>
      <c r="M1799" s="4" t="n"/>
      <c r="N1799" s="4" t="n"/>
      <c r="O1799" s="2" t="n"/>
      <c r="P1799" s="2" t="n"/>
      <c r="Q1799" s="2" t="n"/>
      <c r="R1799" s="2" t="n"/>
      <c r="S1799" s="2" t="inlineStr">
        <is>
          <t>Rejeitado(a) em Comissão</t>
        </is>
      </c>
      <c r="T1799" s="2" t="inlineStr">
        <is>
          <t>Rejeitada</t>
        </is>
      </c>
      <c r="U1799" s="2" t="inlineStr">
        <is>
          <t>Favor: CH, IL, L, PCP, BE, PAN; Contra: PSD, CDS-PP; Abstenção: PS</t>
        </is>
      </c>
      <c r="V1799" s="3" t="n">
        <v>45981</v>
      </c>
      <c r="W1799" s="2" t="inlineStr">
        <is>
          <t>AR: https://www.parlamento.pt/OrcamentoEstado/Paginas/DetalhePropostaAlteracao.aspx?BID=24948 PDF: https://app.parlamento.pt/webutils/docs/doc.pdf?path=6148523063484d364c793942556b356c6443397a6158526c63793959566b6c4a544556484c3039464c7a49774d6a59794d4449314d5441774f533951515338335a575a685a6d5a6c5a5330324d32517a4c545179597a59744f446330597931684e5752694e5449304d546b324e4759756347526d&amp;Fich=7efaffee-63d3-42c6-874c-a5db5241964f.pdf&amp;Inline=true</t>
        </is>
      </c>
      <c r="X1799" s="2" t="inlineStr">
        <is>
          <t>Saúde</t>
        </is>
      </c>
      <c r="Y1799" s="2" t="inlineStr">
        <is>
          <t>Articulado</t>
        </is>
      </c>
      <c r="Z1799" s="2" t="inlineStr">
        <is>
          <t>Aditamento (Artigo PPL)</t>
        </is>
      </c>
      <c r="AA1799" s="2" t="inlineStr">
        <is>
          <t>Rejeitado(a) em Comissão</t>
        </is>
      </c>
      <c r="AB1799" s="2" t="inlineStr"/>
      <c r="AC1799" s="2" t="inlineStr"/>
      <c r="AD1799" s="2" t="inlineStr">
        <is>
          <t>1</t>
        </is>
      </c>
      <c r="AE1799" s="2" t="inlineStr">
        <is>
          <t>24948</t>
        </is>
      </c>
      <c r="AF1799" s="2" t="inlineStr">
        <is>
          <t>https://www.parlamento.pt/OrcamentoEstado/Paginas/DetalhePropostaAlteracao.aspx?BID=24948</t>
        </is>
      </c>
      <c r="AG1799" s="2" t="inlineStr">
        <is>
          <t>https://app.parlamento.pt/webutils/docs/doc.pdf?path=6148523063484d364c793942556b356c6443397a6158526c63793959566b6c4a544556484c3039464c7a49774d6a59794d4449314d5441774f533951515338335a575a685a6d5a6c5a5330324d32517a4c545179597a59744f446330597931684e5752694e5449304d546b324e4759756347526d&amp;Fich=7efaffee-63d3-42c6-874c-a5db5241964f.pdf&amp;Inline=true</t>
        </is>
      </c>
      <c r="AH1799" s="3" t="n">
        <v>46321.77847222222</v>
      </c>
      <c r="AI1799" s="3" t="n">
        <v>46321.78055555555</v>
      </c>
      <c r="AJ1799" s="2" t="inlineStr"/>
    </row>
    <row r="1800">
      <c r="A1800" s="2" t="n">
        <v>1799</v>
      </c>
      <c r="B1800" s="2" t="inlineStr">
        <is>
          <t>1701C</t>
        </is>
      </c>
      <c r="C1800" s="3" t="n">
        <v>45968.68125</v>
      </c>
      <c r="D1800" s="2" t="inlineStr">
        <is>
          <t>Original</t>
        </is>
      </c>
      <c r="E1800" s="2" t="inlineStr">
        <is>
          <t>PS</t>
        </is>
      </c>
      <c r="F1800" s="2" t="inlineStr">
        <is>
          <t>António Mendonça Mendes; Eurico Brilhante Dias; José Luís Carneiro; Luís Graça; Marina Gonçalves; Miguel Matos; Pedro Vaz</t>
        </is>
      </c>
      <c r="G1800" s="2" t="inlineStr">
        <is>
          <t>Art. 126.º-A (aditamento)</t>
        </is>
      </c>
      <c r="H1800" s="2" t="n"/>
      <c r="I1800" s="2" t="n"/>
      <c r="J1800" s="2" t="n"/>
      <c r="K1800" s="2" t="n"/>
      <c r="L1800" s="2" t="inlineStr">
        <is>
          <t>Artigo 126.º-A (Taxonomia para a Fiscalidade Verde)</t>
        </is>
      </c>
      <c r="M1800" s="4" t="n"/>
      <c r="N1800" s="4" t="n"/>
      <c r="O1800" s="2" t="n"/>
      <c r="P1800" s="2" t="n"/>
      <c r="Q1800" s="2" t="n"/>
      <c r="R1800" s="2" t="n"/>
      <c r="S1800" s="2" t="inlineStr">
        <is>
          <t>Rejeitado(a) em Comissão</t>
        </is>
      </c>
      <c r="T1800" s="2" t="inlineStr">
        <is>
          <t>Rejeitada</t>
        </is>
      </c>
      <c r="U1800" s="2" t="inlineStr">
        <is>
          <t>Favor: PS, IL, PAN; Contra: PSD, CH, PCP, CDS-PP; Abstenção: L, BE</t>
        </is>
      </c>
      <c r="V1800" s="3" t="n">
        <v>45985</v>
      </c>
      <c r="W1800" s="2" t="inlineStr">
        <is>
          <t>AR: https://www.parlamento.pt/OrcamentoEstado/Paginas/DetalhePropostaAlteracao.aspx?BID=24949 PDF: https://app.parlamento.pt/webutils/docs/doc.pdf?path=6148523063484d364c793942556b356c6443397a6158526c63793959566b6c4a544556484c3039464c7a49774d6a59794d4449314d5441774f5339515153387a4e7a55344e5751355969316a4f5467354c54517a4d7a4974596a67324e7930794d544a6b5a6a4e6d595459794e4749756347526d&amp;Fich=37585d9b-c989-4332-b867-212df3fa624b.pdf&amp;Inline=true</t>
        </is>
      </c>
      <c r="X1800" s="2" t="inlineStr">
        <is>
          <t>Ambiente e Energia; Orçamento, Finanças e Administração Pública</t>
        </is>
      </c>
      <c r="Y1800" s="2" t="inlineStr">
        <is>
          <t>Articulado</t>
        </is>
      </c>
      <c r="Z1800" s="2" t="inlineStr">
        <is>
          <t>Aditamento (Artigo PPL)</t>
        </is>
      </c>
      <c r="AA1800" s="2" t="inlineStr">
        <is>
          <t>Rejeitado(a) em Comissão</t>
        </is>
      </c>
      <c r="AB1800" s="2" t="inlineStr"/>
      <c r="AC1800" s="2" t="inlineStr"/>
      <c r="AD1800" s="2" t="inlineStr">
        <is>
          <t>1</t>
        </is>
      </c>
      <c r="AE1800" s="2" t="inlineStr">
        <is>
          <t>24949</t>
        </is>
      </c>
      <c r="AF1800" s="2" t="inlineStr">
        <is>
          <t>https://www.parlamento.pt/OrcamentoEstado/Paginas/DetalhePropostaAlteracao.aspx?BID=24949</t>
        </is>
      </c>
      <c r="AG1800" s="2" t="inlineStr">
        <is>
          <t>https://app.parlamento.pt/webutils/docs/doc.pdf?path=6148523063484d364c793942556b356c6443397a6158526c63793959566b6c4a544556484c3039464c7a49774d6a59794d4449314d5441774f5339515153387a4e7a55344e5751355969316a4f5467354c54517a4d7a4974596a67324e7930794d544a6b5a6a4e6d595459794e4749756347526d&amp;Fich=37585d9b-c989-4332-b867-212df3fa624b.pdf&amp;Inline=true</t>
        </is>
      </c>
      <c r="AH1800" s="3" t="n">
        <v>46321.77847222222</v>
      </c>
      <c r="AI1800" s="3" t="n">
        <v>46321.78055555555</v>
      </c>
      <c r="AJ1800" s="2" t="inlineStr"/>
    </row>
    <row r="1801">
      <c r="A1801" s="2" t="n">
        <v>1800</v>
      </c>
      <c r="B1801" s="2" t="inlineStr">
        <is>
          <t>1702C</t>
        </is>
      </c>
      <c r="C1801" s="3" t="n">
        <v>45968.68125</v>
      </c>
      <c r="D1801" s="2" t="inlineStr">
        <is>
          <t>Original</t>
        </is>
      </c>
      <c r="E1801" s="2" t="inlineStr">
        <is>
          <t>CH</t>
        </is>
      </c>
      <c r="F180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01" s="2" t="inlineStr">
        <is>
          <t>Art. 136.º-A (aditamento)</t>
        </is>
      </c>
      <c r="H1801" s="2" t="n"/>
      <c r="I1801" s="2" t="n"/>
      <c r="J1801" s="2" t="n"/>
      <c r="K1801" s="2" t="n"/>
      <c r="L1801" s="2" t="inlineStr">
        <is>
          <t>Artigo 136.º-A (Casas de abrigo de vítimas de violência doméstica)</t>
        </is>
      </c>
      <c r="M1801" s="4" t="n"/>
      <c r="N1801" s="4" t="n"/>
      <c r="O1801" s="2" t="n"/>
      <c r="P1801" s="2" t="n"/>
      <c r="Q1801" s="2" t="n"/>
      <c r="R1801" s="2" t="n"/>
      <c r="S1801" s="2" t="inlineStr">
        <is>
          <t>Rejeitado(a) em Comissão</t>
        </is>
      </c>
      <c r="T1801" s="2" t="inlineStr">
        <is>
          <t>Rejeitada</t>
        </is>
      </c>
      <c r="U1801" s="2" t="inlineStr">
        <is>
          <t>Favor: CH, BE, PAN; Contra: PSD, CDS-PP; Abstenção: PS, IL, L, PCP</t>
        </is>
      </c>
      <c r="V1801" s="3" t="n">
        <v>45987</v>
      </c>
      <c r="W1801" s="2" t="inlineStr">
        <is>
          <t>AR: https://www.parlamento.pt/OrcamentoEstado/Paginas/DetalhePropostaAlteracao.aspx?BID=24950 PDF: https://app.parlamento.pt/webutils/docs/doc.pdf?path=6148523063484d364c793942556b356c6443397a6158526c63793959566b6c4a544556484c3039464c7a49774d6a59794d4449314d5441774f5339515153396b4f44597a4e444577595331694d54566d4c54526c4e5459744f57466b4e6931695a44457a4e6a49794f544135595459756347526d&amp;Fich=d863410a-b15f-4e56-9ad6-bd13622909a6.pdf&amp;Inline=true</t>
        </is>
      </c>
      <c r="X1801" s="2" t="inlineStr">
        <is>
          <t>Assuntos Constitucionais, Direitos, Liberdades e Garantias; Trabalho, Segurança Social e Inclusão</t>
        </is>
      </c>
      <c r="Y1801" s="2" t="inlineStr">
        <is>
          <t>Articulado</t>
        </is>
      </c>
      <c r="Z1801" s="2" t="inlineStr">
        <is>
          <t>Aditamento (Artigo PPL)</t>
        </is>
      </c>
      <c r="AA1801" s="2" t="inlineStr">
        <is>
          <t>Rejeitado(a) em Comissão</t>
        </is>
      </c>
      <c r="AB1801" s="2" t="inlineStr"/>
      <c r="AC1801" s="2" t="inlineStr"/>
      <c r="AD1801" s="2" t="inlineStr">
        <is>
          <t>1</t>
        </is>
      </c>
      <c r="AE1801" s="2" t="inlineStr">
        <is>
          <t>24950</t>
        </is>
      </c>
      <c r="AF1801" s="2" t="inlineStr">
        <is>
          <t>https://www.parlamento.pt/OrcamentoEstado/Paginas/DetalhePropostaAlteracao.aspx?BID=24950</t>
        </is>
      </c>
      <c r="AG1801" s="2" t="inlineStr">
        <is>
          <t>https://app.parlamento.pt/webutils/docs/doc.pdf?path=6148523063484d364c793942556b356c6443397a6158526c63793959566b6c4a544556484c3039464c7a49774d6a59794d4449314d5441774f5339515153396b4f44597a4e444577595331694d54566d4c54526c4e5459744f57466b4e6931695a44457a4e6a49794f544135595459756347526d&amp;Fich=d863410a-b15f-4e56-9ad6-bd13622909a6.pdf&amp;Inline=true</t>
        </is>
      </c>
      <c r="AH1801" s="3" t="n">
        <v>46321.77847222222</v>
      </c>
      <c r="AI1801" s="3" t="n">
        <v>46321.78055555555</v>
      </c>
      <c r="AJ1801" s="2" t="inlineStr"/>
    </row>
    <row r="1802">
      <c r="A1802" s="2" t="n">
        <v>1801</v>
      </c>
      <c r="B1802" s="2" t="inlineStr">
        <is>
          <t>1703C</t>
        </is>
      </c>
      <c r="C1802" s="3" t="n">
        <v>45968.68125</v>
      </c>
      <c r="D1802" s="2" t="inlineStr">
        <is>
          <t>Original</t>
        </is>
      </c>
      <c r="E1802" s="2" t="inlineStr">
        <is>
          <t>CH</t>
        </is>
      </c>
      <c r="F180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02" s="2" t="inlineStr">
        <is>
          <t>Art. 89.º-A (aditamento)</t>
        </is>
      </c>
      <c r="H1802" s="2" t="n"/>
      <c r="I1802" s="2" t="n"/>
      <c r="J1802" s="2" t="n"/>
      <c r="K1802" s="2" t="n"/>
      <c r="L1802" s="2" t="inlineStr">
        <is>
          <t>Artigo 89.º-A (Bolsa de habitação pública para famílias que se fixem no interior por motivos de colocação laboral)</t>
        </is>
      </c>
      <c r="M1802" s="4" t="n"/>
      <c r="N1802" s="4" t="n"/>
      <c r="O1802" s="2" t="n"/>
      <c r="P1802" s="2" t="n"/>
      <c r="Q1802" s="2" t="n"/>
      <c r="R1802" s="2" t="n"/>
      <c r="S1802" s="2" t="inlineStr">
        <is>
          <t>Rejeitado(a) em Comissão</t>
        </is>
      </c>
      <c r="T1802" s="2" t="inlineStr">
        <is>
          <t>Rejeitada</t>
        </is>
      </c>
      <c r="U1802" s="2" t="inlineStr">
        <is>
          <t>Favor: CH, BE, PAN; Contra: PSD, IL, PCP, CDS-PP; Abstenção: PS, L</t>
        </is>
      </c>
      <c r="V1802" s="3" t="n">
        <v>45982</v>
      </c>
      <c r="W1802" s="2" t="inlineStr">
        <is>
          <t>AR: https://www.parlamento.pt/OrcamentoEstado/Paginas/DetalhePropostaAlteracao.aspx?BID=24951 PDF: https://app.parlamento.pt/webutils/docs/doc.pdf?path=6148523063484d364c793942556b356c6443397a6158526c63793959566b6c4a544556484c3039464c7a49774d6a59794d4449314d5441774f5339515153396b4e6a4d784d6a45324e6930304f4455774c545132596a4d74596a5a69595331684d475a6a4d6d4a6859324e68593249756347526d&amp;Fich=d6312166-4850-46b3-b6ba-a0fc2baccacb.pdf&amp;Inline=true</t>
        </is>
      </c>
      <c r="X1802" s="2" t="inlineStr">
        <is>
          <t>Infraestruturas, Mobilidade e Habitação</t>
        </is>
      </c>
      <c r="Y1802" s="2" t="inlineStr">
        <is>
          <t>Articulado</t>
        </is>
      </c>
      <c r="Z1802" s="2" t="inlineStr">
        <is>
          <t>Aditamento (Artigo PPL)</t>
        </is>
      </c>
      <c r="AA1802" s="2" t="inlineStr">
        <is>
          <t>Rejeitado(a) em Comissão</t>
        </is>
      </c>
      <c r="AB1802" s="2" t="inlineStr"/>
      <c r="AC1802" s="2" t="inlineStr"/>
      <c r="AD1802" s="2" t="inlineStr">
        <is>
          <t>1</t>
        </is>
      </c>
      <c r="AE1802" s="2" t="inlineStr">
        <is>
          <t>24951</t>
        </is>
      </c>
      <c r="AF1802" s="2" t="inlineStr">
        <is>
          <t>https://www.parlamento.pt/OrcamentoEstado/Paginas/DetalhePropostaAlteracao.aspx?BID=24951</t>
        </is>
      </c>
      <c r="AG1802" s="2" t="inlineStr">
        <is>
          <t>https://app.parlamento.pt/webutils/docs/doc.pdf?path=6148523063484d364c793942556b356c6443397a6158526c63793959566b6c4a544556484c3039464c7a49774d6a59794d4449314d5441774f5339515153396b4e6a4d784d6a45324e6930304f4455774c545132596a4d74596a5a69595331684d475a6a4d6d4a6859324e68593249756347526d&amp;Fich=d6312166-4850-46b3-b6ba-a0fc2baccacb.pdf&amp;Inline=true</t>
        </is>
      </c>
      <c r="AH1802" s="3" t="n">
        <v>46321.77847222222</v>
      </c>
      <c r="AI1802" s="3" t="n">
        <v>46321.78055555555</v>
      </c>
      <c r="AJ1802" s="2" t="inlineStr"/>
    </row>
    <row r="1803">
      <c r="A1803" s="2" t="n">
        <v>1802</v>
      </c>
      <c r="B1803" s="2" t="inlineStr">
        <is>
          <t>1704C</t>
        </is>
      </c>
      <c r="C1803" s="3" t="n">
        <v>45968.68125</v>
      </c>
      <c r="D1803" s="2" t="inlineStr">
        <is>
          <t>Original</t>
        </is>
      </c>
      <c r="E1803" s="2" t="inlineStr">
        <is>
          <t>PCP</t>
        </is>
      </c>
      <c r="F1803" s="2" t="inlineStr">
        <is>
          <t>Alfredo Maia; Paula Santos; Paulo Raimundo</t>
        </is>
      </c>
      <c r="G1803" s="2" t="inlineStr">
        <is>
          <t>Art. 136.º-A (aditamento)</t>
        </is>
      </c>
      <c r="H1803" s="2" t="n"/>
      <c r="I1803" s="2" t="n"/>
      <c r="J1803" s="2" t="n"/>
      <c r="K1803" s="2" t="n"/>
      <c r="L1803" s="2" t="inlineStr">
        <is>
          <t>Artigo 136.º-A (Elimina as USF C, pela alteração ao Decreto-Lei n.º 103/2023, de 7 de novembro, alterado pelo Decreto-Lei n.º 118/2023, de 20 de dezembro e pelo Decreto-Lei n.º17/2024, de 29 de janeiro)</t>
        </is>
      </c>
      <c r="M1803" s="4" t="n"/>
      <c r="N1803" s="4" t="n"/>
      <c r="O1803" s="2" t="n"/>
      <c r="P1803" s="2" t="n"/>
      <c r="Q1803" s="2" t="n"/>
      <c r="R1803" s="2" t="n"/>
      <c r="S1803" s="2" t="inlineStr">
        <is>
          <t>Rejeitado(a) em Comissão</t>
        </is>
      </c>
      <c r="T1803" s="2" t="inlineStr">
        <is>
          <t>Rejeitada</t>
        </is>
      </c>
      <c r="U1803" s="2" t="inlineStr">
        <is>
          <t>Favor: L, PCP, BE, PAN; Contra: PSD, CH, IL, CDS-PP; Abstenção: PS</t>
        </is>
      </c>
      <c r="V1803" s="3" t="n">
        <v>45987</v>
      </c>
      <c r="W1803" s="2" t="inlineStr">
        <is>
          <t>AR: https://www.parlamento.pt/OrcamentoEstado/Paginas/DetalhePropostaAlteracao.aspx?BID=24952 PDF: https://app.parlamento.pt/webutils/docs/doc.pdf?path=6148523063484d364c793942556b356c6443397a6158526c63793959566b6c4a544556484c3039464c7a49774d6a59794d4449314d5441774f533951515338784d7a566a5a4459784f43316b4e47566b4c545268593245744f5751354d7930304e7a526c59546c6b596a686c59324d756347526d&amp;Fich=135cd618-d4ed-4aca-9d93-474ea9db8ecc.pdf&amp;Inline=true</t>
        </is>
      </c>
      <c r="X1803" s="2" t="inlineStr">
        <is>
          <t>Saúde</t>
        </is>
      </c>
      <c r="Y1803" s="2" t="inlineStr">
        <is>
          <t>Articulado</t>
        </is>
      </c>
      <c r="Z1803" s="2" t="inlineStr">
        <is>
          <t>Aditamento (Artigo PPL)</t>
        </is>
      </c>
      <c r="AA1803" s="2" t="inlineStr">
        <is>
          <t>Rejeitado(a) em Comissão</t>
        </is>
      </c>
      <c r="AB1803" s="2" t="inlineStr"/>
      <c r="AC1803" s="2" t="inlineStr"/>
      <c r="AD1803" s="2" t="inlineStr">
        <is>
          <t>1</t>
        </is>
      </c>
      <c r="AE1803" s="2" t="inlineStr">
        <is>
          <t>24952</t>
        </is>
      </c>
      <c r="AF1803" s="2" t="inlineStr">
        <is>
          <t>https://www.parlamento.pt/OrcamentoEstado/Paginas/DetalhePropostaAlteracao.aspx?BID=24952</t>
        </is>
      </c>
      <c r="AG1803" s="2" t="inlineStr">
        <is>
          <t>https://app.parlamento.pt/webutils/docs/doc.pdf?path=6148523063484d364c793942556b356c6443397a6158526c63793959566b6c4a544556484c3039464c7a49774d6a59794d4449314d5441774f533951515338784d7a566a5a4459784f43316b4e47566b4c545268593245744f5751354d7930304e7a526c59546c6b596a686c59324d756347526d&amp;Fich=135cd618-d4ed-4aca-9d93-474ea9db8ecc.pdf&amp;Inline=true</t>
        </is>
      </c>
      <c r="AH1803" s="3" t="n">
        <v>46321.77847222222</v>
      </c>
      <c r="AI1803" s="3" t="n">
        <v>46321.78055555555</v>
      </c>
      <c r="AJ1803" s="2" t="inlineStr"/>
    </row>
    <row r="1804">
      <c r="A1804" s="2" t="n">
        <v>1803</v>
      </c>
      <c r="B1804" s="2" t="inlineStr">
        <is>
          <t>1705C</t>
        </is>
      </c>
      <c r="C1804" s="3" t="n">
        <v>45968.68125</v>
      </c>
      <c r="D1804" s="2" t="inlineStr">
        <is>
          <t>Original</t>
        </is>
      </c>
      <c r="E1804" s="2" t="inlineStr">
        <is>
          <t>CH</t>
        </is>
      </c>
      <c r="F180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04" s="2" t="inlineStr">
        <is>
          <t>Art. 120.º-A (aditamento)</t>
        </is>
      </c>
      <c r="H1804" s="2" t="n"/>
      <c r="I1804" s="2" t="n"/>
      <c r="J1804" s="2" t="n"/>
      <c r="K1804" s="2" t="n"/>
      <c r="L1804" s="2" t="inlineStr">
        <is>
          <t>Artigo 120.º-A (Reforço dos meios do INEM no Distrito de Braga)</t>
        </is>
      </c>
      <c r="M1804" s="4" t="n"/>
      <c r="N1804" s="4" t="n"/>
      <c r="O1804" s="2" t="n"/>
      <c r="P1804" s="2" t="n"/>
      <c r="Q1804" s="2" t="n"/>
      <c r="R1804" s="2" t="n"/>
      <c r="S1804" s="2" t="inlineStr">
        <is>
          <t>Rejeitado(a) em Comissão</t>
        </is>
      </c>
      <c r="T1804" s="2" t="inlineStr">
        <is>
          <t>Rejeitada</t>
        </is>
      </c>
      <c r="U1804" s="2" t="inlineStr">
        <is>
          <t>Favor: CH, BE, PAN; Contra: PSD, CDS-PP; Abstenção: PS, IL, L, PCP</t>
        </is>
      </c>
      <c r="V1804" s="3" t="n">
        <v>45985</v>
      </c>
      <c r="W1804" s="2" t="inlineStr">
        <is>
          <t>AR: https://www.parlamento.pt/OrcamentoEstado/Paginas/DetalhePropostaAlteracao.aspx?BID=24953 PDF: https://app.parlamento.pt/webutils/docs/doc.pdf?path=6148523063484d364c793942556b356c6443397a6158526c63793959566b6c4a544556484c3039464c7a49774d6a59794d4449314d5441774f533951515338794e6a63774e6a466a5a43307a4f4442694c54517759544d744f475a6b4d5330784e444a6b4d6d49784e6a45324d4445756347526d&amp;Fich=267061cd-380b-40a3-8fd1-142d2b161601.pdf&amp;Inline=true</t>
        </is>
      </c>
      <c r="X1804" s="2" t="inlineStr">
        <is>
          <t>Saúde</t>
        </is>
      </c>
      <c r="Y1804" s="2" t="inlineStr">
        <is>
          <t>Articulado</t>
        </is>
      </c>
      <c r="Z1804" s="2" t="inlineStr">
        <is>
          <t>Aditamento (Artigo PPL)</t>
        </is>
      </c>
      <c r="AA1804" s="2" t="inlineStr">
        <is>
          <t>Rejeitado(a) em Comissão</t>
        </is>
      </c>
      <c r="AB1804" s="2" t="inlineStr"/>
      <c r="AC1804" s="2" t="inlineStr"/>
      <c r="AD1804" s="2" t="inlineStr">
        <is>
          <t>1</t>
        </is>
      </c>
      <c r="AE1804" s="2" t="inlineStr">
        <is>
          <t>24953</t>
        </is>
      </c>
      <c r="AF1804" s="2" t="inlineStr">
        <is>
          <t>https://www.parlamento.pt/OrcamentoEstado/Paginas/DetalhePropostaAlteracao.aspx?BID=24953</t>
        </is>
      </c>
      <c r="AG1804" s="2" t="inlineStr">
        <is>
          <t>https://app.parlamento.pt/webutils/docs/doc.pdf?path=6148523063484d364c793942556b356c6443397a6158526c63793959566b6c4a544556484c3039464c7a49774d6a59794d4449314d5441774f533951515338794e6a63774e6a466a5a43307a4f4442694c54517759544d744f475a6b4d5330784e444a6b4d6d49784e6a45324d4445756347526d&amp;Fich=267061cd-380b-40a3-8fd1-142d2b161601.pdf&amp;Inline=true</t>
        </is>
      </c>
      <c r="AH1804" s="3" t="n">
        <v>46321.77847222222</v>
      </c>
      <c r="AI1804" s="3" t="n">
        <v>46321.78055555555</v>
      </c>
      <c r="AJ1804" s="2" t="inlineStr"/>
    </row>
    <row r="1805">
      <c r="A1805" s="2" t="n">
        <v>1804</v>
      </c>
      <c r="B1805" s="2" t="inlineStr">
        <is>
          <t>1706C</t>
        </is>
      </c>
      <c r="C1805" s="3" t="n">
        <v>45968.68194444444</v>
      </c>
      <c r="D1805" s="2" t="inlineStr">
        <is>
          <t>Original</t>
        </is>
      </c>
      <c r="E1805" s="2" t="inlineStr">
        <is>
          <t>PAN</t>
        </is>
      </c>
      <c r="F1805" s="2" t="inlineStr">
        <is>
          <t>Inês de Sousa Real</t>
        </is>
      </c>
      <c r="G1805" s="2" t="inlineStr">
        <is>
          <t>Art. 126.º-B (aditamento)</t>
        </is>
      </c>
      <c r="H1805" s="2" t="n"/>
      <c r="I1805" s="2" t="n"/>
      <c r="J1805" s="2" t="n"/>
      <c r="K1805" s="2" t="n"/>
      <c r="L1805" s="2" t="inlineStr">
        <is>
          <t>Artigo 126.º-B (Atualização da tabela salarial e dos suplementos remuneratórios dos Vigilante da Natureza)</t>
        </is>
      </c>
      <c r="M1805" s="4" t="n"/>
      <c r="N1805" s="4" t="n"/>
      <c r="O1805" s="2" t="n"/>
      <c r="P1805" s="2" t="n"/>
      <c r="Q1805" s="2" t="n"/>
      <c r="R1805" s="2" t="n"/>
      <c r="S1805" s="2" t="inlineStr">
        <is>
          <t>Rejeitado(a) em Comissão</t>
        </is>
      </c>
      <c r="T1805" s="2" t="inlineStr">
        <is>
          <t>Rejeitada</t>
        </is>
      </c>
      <c r="U1805" s="2" t="inlineStr">
        <is>
          <t>Favor: CH, L, PCP, BE, PAN; Contra: PSD, CDS-PP; Abstenção: PS, IL</t>
        </is>
      </c>
      <c r="V1805" s="3" t="n">
        <v>45985</v>
      </c>
      <c r="W1805" s="2" t="inlineStr">
        <is>
          <t>AR: https://www.parlamento.pt/OrcamentoEstado/Paginas/DetalhePropostaAlteracao.aspx?BID=24954 PDF: https://app.parlamento.pt/webutils/docs/doc.pdf?path=6148523063484d364c793942556b356c6443397a6158526c63793959566b6c4a544556484c3039464c7a49774d6a59794d4449314d5441774f5339515153396c593249324d6d4a694e7930774e3245324c5452695a4449744f544d774d4330334e7a49304d546b314e545134596a63756347526d&amp;Fich=ecb62bb7-07a6-4bd2-9300-7724195548b7.pdf&amp;Inline=true</t>
        </is>
      </c>
      <c r="X1805" s="2" t="inlineStr">
        <is>
          <t>Ambiente e Energia; Trabalho, Segurança Social e Inclusão</t>
        </is>
      </c>
      <c r="Y1805" s="2" t="inlineStr">
        <is>
          <t>Articulado</t>
        </is>
      </c>
      <c r="Z1805" s="2" t="inlineStr">
        <is>
          <t>Aditamento (Artigo PPL)</t>
        </is>
      </c>
      <c r="AA1805" s="2" t="inlineStr">
        <is>
          <t>Rejeitado(a) em Comissão</t>
        </is>
      </c>
      <c r="AB1805" s="2" t="inlineStr"/>
      <c r="AC1805" s="2" t="inlineStr"/>
      <c r="AD1805" s="2" t="inlineStr">
        <is>
          <t>1</t>
        </is>
      </c>
      <c r="AE1805" s="2" t="inlineStr">
        <is>
          <t>24954</t>
        </is>
      </c>
      <c r="AF1805" s="2" t="inlineStr">
        <is>
          <t>https://www.parlamento.pt/OrcamentoEstado/Paginas/DetalhePropostaAlteracao.aspx?BID=24954</t>
        </is>
      </c>
      <c r="AG1805" s="2" t="inlineStr">
        <is>
          <t>https://app.parlamento.pt/webutils/docs/doc.pdf?path=6148523063484d364c793942556b356c6443397a6158526c63793959566b6c4a544556484c3039464c7a49774d6a59794d4449314d5441774f5339515153396c593249324d6d4a694e7930774e3245324c5452695a4449744f544d774d4330334e7a49304d546b314e545134596a63756347526d&amp;Fich=ecb62bb7-07a6-4bd2-9300-7724195548b7.pdf&amp;Inline=true</t>
        </is>
      </c>
      <c r="AH1805" s="3" t="n">
        <v>46321.77847222222</v>
      </c>
      <c r="AI1805" s="3" t="n">
        <v>46321.78055555555</v>
      </c>
      <c r="AJ1805" s="2" t="inlineStr"/>
    </row>
    <row r="1806">
      <c r="A1806" s="2" t="n">
        <v>1805</v>
      </c>
      <c r="B1806" s="2" t="inlineStr">
        <is>
          <t>1707C</t>
        </is>
      </c>
      <c r="C1806" s="3" t="n">
        <v>45968.68194444444</v>
      </c>
      <c r="D1806" s="2" t="inlineStr">
        <is>
          <t>Original</t>
        </is>
      </c>
      <c r="E1806" s="2" t="inlineStr">
        <is>
          <t>PCP</t>
        </is>
      </c>
      <c r="F1806" s="2" t="inlineStr">
        <is>
          <t>Alfredo Maia; Paula Santos; Paulo Raimundo</t>
        </is>
      </c>
      <c r="G1806" s="2" t="inlineStr">
        <is>
          <t>Art. 136.º-A (aditamento)</t>
        </is>
      </c>
      <c r="H1806" s="2" t="n"/>
      <c r="I1806" s="2" t="n"/>
      <c r="J1806" s="2" t="n"/>
      <c r="K1806" s="2" t="n"/>
      <c r="L1806" s="2" t="inlineStr">
        <is>
          <t>Artigo 136.º-A (Alteração ao Decreto-Lei n.º 113/2011, de 29 de novembro)</t>
        </is>
      </c>
      <c r="M1806" s="4" t="n"/>
      <c r="N1806" s="4" t="n"/>
      <c r="O1806" s="2" t="n"/>
      <c r="P1806" s="2" t="n"/>
      <c r="Q1806" s="2" t="n"/>
      <c r="R1806" s="2" t="n"/>
      <c r="S1806" s="2" t="inlineStr">
        <is>
          <t>Rejeitado(a) em Comissão</t>
        </is>
      </c>
      <c r="T1806" s="2" t="inlineStr">
        <is>
          <t>Rejeitada</t>
        </is>
      </c>
      <c r="U1806" s="2" t="inlineStr">
        <is>
          <t>Favor: L, PCP, BE, PAN; Contra: PSD, IL, CDS-PP; Abstenção: CH, PS</t>
        </is>
      </c>
      <c r="V1806" s="3" t="n">
        <v>45987</v>
      </c>
      <c r="W1806" s="2" t="inlineStr">
        <is>
          <t>AR: https://www.parlamento.pt/OrcamentoEstado/Paginas/DetalhePropostaAlteracao.aspx?BID=24955 PDF: https://app.parlamento.pt/webutils/docs/doc.pdf?path=6148523063484d364c793942556b356c6443397a6158526c63793959566b6c4a544556484c3039464c7a49774d6a59794d4449314d5441774f5339515153396c593249344d575a6d5a4330304d5451314c5452684e6d5974596a63354d7931685954557a5a5451784e5749354e574d756347526d&amp;Fich=ecb81ffd-4145-4a6f-b793-aa53e415b95c.pdf&amp;Inline=true</t>
        </is>
      </c>
      <c r="X1806" s="2" t="inlineStr">
        <is>
          <t>Saúde</t>
        </is>
      </c>
      <c r="Y1806" s="2" t="inlineStr">
        <is>
          <t>Articulado</t>
        </is>
      </c>
      <c r="Z1806" s="2" t="inlineStr">
        <is>
          <t>Aditamento (Artigo PPL)</t>
        </is>
      </c>
      <c r="AA1806" s="2" t="inlineStr">
        <is>
          <t>Rejeitado(a) em Comissão</t>
        </is>
      </c>
      <c r="AB1806" s="2" t="inlineStr"/>
      <c r="AC1806" s="2" t="inlineStr"/>
      <c r="AD1806" s="2" t="inlineStr">
        <is>
          <t>1</t>
        </is>
      </c>
      <c r="AE1806" s="2" t="inlineStr">
        <is>
          <t>24955</t>
        </is>
      </c>
      <c r="AF1806" s="2" t="inlineStr">
        <is>
          <t>https://www.parlamento.pt/OrcamentoEstado/Paginas/DetalhePropostaAlteracao.aspx?BID=24955</t>
        </is>
      </c>
      <c r="AG1806" s="2" t="inlineStr">
        <is>
          <t>https://app.parlamento.pt/webutils/docs/doc.pdf?path=6148523063484d364c793942556b356c6443397a6158526c63793959566b6c4a544556484c3039464c7a49774d6a59794d4449314d5441774f5339515153396c593249344d575a6d5a4330304d5451314c5452684e6d5974596a63354d7931685954557a5a5451784e5749354e574d756347526d&amp;Fich=ecb81ffd-4145-4a6f-b793-aa53e415b95c.pdf&amp;Inline=true</t>
        </is>
      </c>
      <c r="AH1806" s="3" t="n">
        <v>46321.77847222222</v>
      </c>
      <c r="AI1806" s="3" t="n">
        <v>46321.78055555555</v>
      </c>
      <c r="AJ1806" s="2" t="inlineStr"/>
    </row>
    <row r="1807">
      <c r="A1807" s="2" t="n">
        <v>1806</v>
      </c>
      <c r="B1807" s="2" t="inlineStr">
        <is>
          <t>1708C</t>
        </is>
      </c>
      <c r="C1807" s="3" t="n">
        <v>45968.68194444444</v>
      </c>
      <c r="D1807" s="2" t="inlineStr">
        <is>
          <t>Original</t>
        </is>
      </c>
      <c r="E1807" s="2" t="inlineStr">
        <is>
          <t>IL</t>
        </is>
      </c>
      <c r="F1807" s="2" t="inlineStr">
        <is>
          <t>Angélique Da Teresa; Carlos Guimarães Pinto; Joana Cordeiro; Jorge Miguel Teixeira; Mariana Leitão; Mário Amorim Lopes; Miguel Rangel; Rodrigo Saraiva; Rui Rocha</t>
        </is>
      </c>
      <c r="G1807" s="2" t="inlineStr">
        <is>
          <t>Art. 119.º-A (aditamento)</t>
        </is>
      </c>
      <c r="H1807" s="2" t="n"/>
      <c r="I1807" s="2" t="n"/>
      <c r="J1807" s="2" t="n"/>
      <c r="K1807" s="2" t="n"/>
      <c r="L1807" s="2" t="inlineStr">
        <is>
          <t>Artigo 119.º-A (Sistema único de informação no SNS e Registo de Saúde Eletrônico Universal)</t>
        </is>
      </c>
      <c r="M1807" s="4" t="n"/>
      <c r="N1807" s="4" t="n"/>
      <c r="O1807" s="2" t="n"/>
      <c r="P1807" s="2" t="n"/>
      <c r="Q1807" s="2" t="n"/>
      <c r="R1807" s="2" t="n"/>
      <c r="S1807" s="2" t="inlineStr">
        <is>
          <t>Aprovado(a) Parcialmente em Comissão</t>
        </is>
      </c>
      <c r="T1807" s="2" t="inlineStr">
        <is>
          <t>Aprovada parcialmente</t>
        </is>
      </c>
      <c r="U1807" s="2" t="inlineStr">
        <is>
          <t>Favor: CH, PS, IL, L, PCP, BE, PAN; Contra: PSD, CDS-PP</t>
        </is>
      </c>
      <c r="V1807" s="3" t="n">
        <v>45985</v>
      </c>
      <c r="W1807" s="2" t="inlineStr">
        <is>
          <t>AR: https://www.parlamento.pt/OrcamentoEstado/Paginas/DetalhePropostaAlteracao.aspx?BID=24956 PDF: https://app.parlamento.pt/webutils/docs/doc.pdf?path=6148523063484d364c793942556b356c6443397a6158526c63793959566b6c4a544556484c3039464c7a49774d6a59794d4449314d5441774f533951515339695a6a49785a6a59345969316d4f5441344c545134597a45744f4468694d7930305a575a6a59574d305a5749334d3251756347526d&amp;Fich=bf21f68b-f908-48c1-88b3-4efcac4eb73d.pdf&amp;Inline=true</t>
        </is>
      </c>
      <c r="X1807" s="2" t="inlineStr">
        <is>
          <t>Saúde</t>
        </is>
      </c>
      <c r="Y1807" s="2" t="inlineStr">
        <is>
          <t>Articulado</t>
        </is>
      </c>
      <c r="Z1807" s="2" t="inlineStr">
        <is>
          <t>Aditamento (Artigo PPL)</t>
        </is>
      </c>
      <c r="AA1807" s="2" t="inlineStr">
        <is>
          <t>Aprovado(a) Parcialmente em Comissão</t>
        </is>
      </c>
      <c r="AB1807" s="2" t="inlineStr"/>
      <c r="AC1807" s="2" t="inlineStr"/>
      <c r="AD1807" s="2" t="inlineStr">
        <is>
          <t>1</t>
        </is>
      </c>
      <c r="AE1807" s="2" t="inlineStr">
        <is>
          <t>24956</t>
        </is>
      </c>
      <c r="AF1807" s="2" t="inlineStr">
        <is>
          <t>https://www.parlamento.pt/OrcamentoEstado/Paginas/DetalhePropostaAlteracao.aspx?BID=24956</t>
        </is>
      </c>
      <c r="AG1807" s="2" t="inlineStr">
        <is>
          <t>https://app.parlamento.pt/webutils/docs/doc.pdf?path=6148523063484d364c793942556b356c6443397a6158526c63793959566b6c4a544556484c3039464c7a49774d6a59794d4449314d5441774f533951515339695a6a49785a6a59345969316d4f5441344c545134597a45744f4468694d7930305a575a6a59574d305a5749334d3251756347526d&amp;Fich=bf21f68b-f908-48c1-88b3-4efcac4eb73d.pdf&amp;Inline=true</t>
        </is>
      </c>
      <c r="AH1807" s="3" t="n">
        <v>46321.77847222222</v>
      </c>
      <c r="AI1807" s="3" t="n">
        <v>46321.78055555555</v>
      </c>
      <c r="AJ1807" s="2" t="inlineStr"/>
    </row>
    <row r="1808">
      <c r="A1808" s="2" t="n">
        <v>1807</v>
      </c>
      <c r="B1808" s="2" t="inlineStr">
        <is>
          <t>1709C-1</t>
        </is>
      </c>
      <c r="C1808" s="3" t="n">
        <v>45968.68194444444</v>
      </c>
      <c r="D1808" s="2" t="inlineStr">
        <is>
          <t>Original</t>
        </is>
      </c>
      <c r="E1808" s="2" t="inlineStr">
        <is>
          <t>PS</t>
        </is>
      </c>
      <c r="F1808" s="2" t="inlineStr">
        <is>
          <t>António Mendonça Mendes; Catarina Louro; Eurico Brilhante Dias; João Torres; José Luís Carneiro; Marina Gonçalves; Miguel Matos</t>
        </is>
      </c>
      <c r="G1808" s="2" t="inlineStr">
        <is>
          <t>Art. 133.º-A (aditamento)</t>
        </is>
      </c>
      <c r="H1808" s="2" t="n"/>
      <c r="I1808" s="2" t="n"/>
      <c r="J1808" s="2" t="n"/>
      <c r="K1808" s="2" t="n"/>
      <c r="L1808" s="2" t="inlineStr">
        <is>
          <t>Artigo 133.º-A (Programa de Apoio aos Artistas Portugueses e Lusodescendentes residentes no estrangeiro)</t>
        </is>
      </c>
      <c r="M1808" s="4" t="n"/>
      <c r="N1808" s="4" t="n"/>
      <c r="O1808" s="2" t="n"/>
      <c r="P1808" s="2" t="n"/>
      <c r="Q1808" s="2" t="n"/>
      <c r="R1808" s="2" t="n"/>
      <c r="S1808" s="2" t="inlineStr">
        <is>
          <t>Rejeitado(a) em Comissão</t>
        </is>
      </c>
      <c r="T1808" s="2" t="inlineStr">
        <is>
          <t>Rejeitada</t>
        </is>
      </c>
      <c r="U1808" s="2" t="inlineStr">
        <is>
          <t>Favor: PS, L, PCP, BE, PAN; Contra: PSD, CH, IL, CDS-PP</t>
        </is>
      </c>
      <c r="V1808" s="3" t="n">
        <v>45985</v>
      </c>
      <c r="W1808" s="2" t="inlineStr">
        <is>
          <t>AR: https://www.parlamento.pt/OrcamentoEstado/Paginas/DetalhePropostaAlteracao.aspx?BID=24957 PDF: https://app.parlamento.pt/webutils/docs/doc.pdf?path=6148523063484d364c793942556b356c6443397a6158526c63793959566b6c4a544556484c3039464c7a49774d6a59794d4449314d5441774f533951515338334e4745324e5749354e5330334f5455324c54526b5954637459546c684d5330325a5745354e544a6a5954646d4d7a6b756347526d&amp;Fich=74a65b95-7956-4da7-a9a1-6ea952ca7f39.pdf&amp;Inline=true</t>
        </is>
      </c>
      <c r="X1808" s="2" t="inlineStr">
        <is>
          <t>Negócios Estrangeiros e Comunidades Portuguesas; Orçamento, Finanças e Administração Pública</t>
        </is>
      </c>
      <c r="Y1808" s="2" t="inlineStr">
        <is>
          <t>Articulado</t>
        </is>
      </c>
      <c r="Z1808" s="2" t="inlineStr">
        <is>
          <t>Aditamento (Artigo PPL)</t>
        </is>
      </c>
      <c r="AA1808" s="2" t="inlineStr">
        <is>
          <t>Rejeitado(a) em Comissão</t>
        </is>
      </c>
      <c r="AB1808" s="2" t="inlineStr"/>
      <c r="AC1808" s="2" t="inlineStr">
        <is>
          <t>1</t>
        </is>
      </c>
      <c r="AD1808" s="2" t="inlineStr">
        <is>
          <t>1</t>
        </is>
      </c>
      <c r="AE1808" s="2" t="inlineStr">
        <is>
          <t>24957</t>
        </is>
      </c>
      <c r="AF1808" s="2" t="inlineStr">
        <is>
          <t>https://www.parlamento.pt/OrcamentoEstado/Paginas/DetalhePropostaAlteracao.aspx?BID=24957</t>
        </is>
      </c>
      <c r="AG1808" s="2" t="inlineStr">
        <is>
          <t>https://app.parlamento.pt/webutils/docs/doc.pdf?path=6148523063484d364c793942556b356c6443397a6158526c63793959566b6c4a544556484c3039464c7a49774d6a59794d4449314d5441774f533951515338334e4745324e5749354e5330334f5455324c54526b5954637459546c684d5330325a5745354e544a6a5954646d4d7a6b756347526d&amp;Fich=74a65b95-7956-4da7-a9a1-6ea952ca7f39.pdf&amp;Inline=true</t>
        </is>
      </c>
      <c r="AH1808" s="3" t="n">
        <v>46321.77847222222</v>
      </c>
      <c r="AI1808" s="3" t="n">
        <v>46321.78055555555</v>
      </c>
      <c r="AJ1808" s="2" t="inlineStr"/>
    </row>
    <row r="1809">
      <c r="A1809" s="2" t="n">
        <v>1808</v>
      </c>
      <c r="B1809" s="2" t="inlineStr">
        <is>
          <t>1709C-2</t>
        </is>
      </c>
      <c r="C1809" s="3" t="n">
        <v>45968.68194444444</v>
      </c>
      <c r="D1809" s="2" t="inlineStr">
        <is>
          <t>Original</t>
        </is>
      </c>
      <c r="E1809" s="2" t="inlineStr">
        <is>
          <t>PS</t>
        </is>
      </c>
      <c r="F1809" s="2" t="inlineStr">
        <is>
          <t>António Mendonça Mendes; Catarina Louro; Eurico Brilhante Dias; João Torres; José Luís Carneiro; Marina Gonçalves; Miguel Matos</t>
        </is>
      </c>
      <c r="G1809" s="2" t="inlineStr">
        <is>
          <t>Art. 7.º (aditamento)</t>
        </is>
      </c>
      <c r="H1809" s="2" t="n"/>
      <c r="I1809" s="2" t="n"/>
      <c r="J1809" s="2" t="n"/>
      <c r="K1809" s="2" t="n"/>
      <c r="L1809" s="2" t="inlineStr">
        <is>
          <t>Nova Verba 1, Mapa de alterações e transferências orçamentais, Artigo 7.º</t>
        </is>
      </c>
      <c r="M1809" s="4" t="n"/>
      <c r="N1809" s="4" t="n"/>
      <c r="O1809" s="2" t="n"/>
      <c r="P1809" s="2" t="n"/>
      <c r="Q1809" s="2" t="n"/>
      <c r="R1809" s="2" t="n"/>
      <c r="S1809" s="2" t="inlineStr">
        <is>
          <t>Rejeitado(a) em Comissão</t>
        </is>
      </c>
      <c r="T1809" s="2" t="inlineStr">
        <is>
          <t>Rejeitada</t>
        </is>
      </c>
      <c r="U1809" s="2" t="inlineStr">
        <is>
          <t>Favor: PS, L, PCP, BE, PAN; Contra: PSD, IL, CDS-PP; Abstenção: CH</t>
        </is>
      </c>
      <c r="V1809" s="3" t="n">
        <v>45987</v>
      </c>
      <c r="W1809" s="2" t="inlineStr">
        <is>
          <t>AR: https://www.parlamento.pt/OrcamentoEstado/Paginas/DetalhePropostaAlteracao.aspx?BID=25360 PDF: https://app.parlamento.pt/webutils/docs/doc.pdf?path=6148523063484d364c793942556b356c6443397a6158526c63793959566b6c4a544556484c3039464c7a49774d6a59794d4449314d5441774f53395151533830596a566b4e6a55314f53307a4d6a6b7a4c5451345a6a5574596a6777595330354d6a646c4d325a685a6a5a6b4f574d756347526d&amp;Fich=4b5d6559-3293-48f5-b80a-927e3faf6d9c.pdf&amp;Inline=true</t>
        </is>
      </c>
      <c r="X1809" s="2" t="inlineStr">
        <is>
          <t>Negócios Estrangeiros e Comunidades Portuguesas; Orçamento, Finanças e Administração Pública</t>
        </is>
      </c>
      <c r="Y1809" s="2" t="inlineStr">
        <is>
          <t>Articulado</t>
        </is>
      </c>
      <c r="Z1809" s="2" t="inlineStr">
        <is>
          <t>Aditamento (Números e Alíneas)</t>
        </is>
      </c>
      <c r="AA1809" s="2" t="inlineStr">
        <is>
          <t>Rejeitado(a) em Comissão</t>
        </is>
      </c>
      <c r="AB1809" s="2" t="inlineStr"/>
      <c r="AC1809" s="2" t="inlineStr">
        <is>
          <t>2</t>
        </is>
      </c>
      <c r="AD1809" s="2" t="inlineStr">
        <is>
          <t>1</t>
        </is>
      </c>
      <c r="AE1809" s="2" t="inlineStr">
        <is>
          <t>25360</t>
        </is>
      </c>
      <c r="AF1809" s="2" t="inlineStr">
        <is>
          <t>https://www.parlamento.pt/OrcamentoEstado/Paginas/DetalhePropostaAlteracao.aspx?BID=25360</t>
        </is>
      </c>
      <c r="AG1809" s="2" t="inlineStr">
        <is>
          <t>https://app.parlamento.pt/webutils/docs/doc.pdf?path=6148523063484d364c793942556b356c6443397a6158526c63793959566b6c4a544556484c3039464c7a49774d6a59794d4449314d5441774f53395151533830596a566b4e6a55314f53307a4d6a6b7a4c5451345a6a5574596a6777595330354d6a646c4d325a685a6a5a6b4f574d756347526d&amp;Fich=4b5d6559-3293-48f5-b80a-927e3faf6d9c.pdf&amp;Inline=true</t>
        </is>
      </c>
      <c r="AH1809" s="3" t="n">
        <v>46321.77847222222</v>
      </c>
      <c r="AI1809" s="3" t="n">
        <v>46321.78055555555</v>
      </c>
      <c r="AJ1809" s="2" t="inlineStr"/>
    </row>
    <row r="1810">
      <c r="A1810" s="2" t="n">
        <v>1809</v>
      </c>
      <c r="B1810" s="2" t="inlineStr">
        <is>
          <t>1710C</t>
        </is>
      </c>
      <c r="C1810" s="3" t="n">
        <v>45968.68194444444</v>
      </c>
      <c r="D1810" s="2" t="inlineStr">
        <is>
          <t>Original</t>
        </is>
      </c>
      <c r="E1810" s="2" t="inlineStr">
        <is>
          <t>BE</t>
        </is>
      </c>
      <c r="F1810" s="2" t="inlineStr">
        <is>
          <t>Mariana Mortágua</t>
        </is>
      </c>
      <c r="G1810" s="2" t="inlineStr">
        <is>
          <t>Art. 113.º-A (aditamento)</t>
        </is>
      </c>
      <c r="H1810" s="2" t="n"/>
      <c r="I1810" s="2" t="n"/>
      <c r="J1810" s="2" t="n"/>
      <c r="K1810" s="2" t="n"/>
      <c r="L1810" s="2" t="inlineStr">
        <is>
          <t>Artigo 113.º-A (Dragagens em Caminha, Viana, Esposende, Póvoa de Varzim, Vila do Conde e Matosinhos)</t>
        </is>
      </c>
      <c r="M1810" s="4" t="n"/>
      <c r="N1810" s="4" t="n"/>
      <c r="O1810" s="2" t="n"/>
      <c r="P1810" s="2" t="n"/>
      <c r="Q1810" s="2" t="n"/>
      <c r="R1810" s="2" t="n"/>
      <c r="S1810" s="2" t="inlineStr">
        <is>
          <t>Aprovado(a) em Comissão</t>
        </is>
      </c>
      <c r="T1810" s="2" t="inlineStr">
        <is>
          <t>Aprovada</t>
        </is>
      </c>
      <c r="U1810" s="2" t="inlineStr">
        <is>
          <t>Favor: CH, PS, BE; Contra: PSD, CDS-PP; Abstenção: IL, L, PAN</t>
        </is>
      </c>
      <c r="V1810" s="3" t="n">
        <v>45985</v>
      </c>
      <c r="W1810" s="2" t="inlineStr">
        <is>
          <t>AR: https://www.parlamento.pt/OrcamentoEstado/Paginas/DetalhePropostaAlteracao.aspx?BID=24958 PDF: https://app.parlamento.pt/webutils/docs/doc.pdf?path=6148523063484d364c793942556b356c6443397a6158526c63793959566b6c4a544556484c3039464c7a49774d6a59794d4449314d5441774f5339515153396d595442684d6d55784e7930324e5446694c5451324e4755744f5451304d5330344d475a6d5a444934595451325a4759756347526d&amp;Fich=fa0a2e17-651b-464e-9441-80ffd28a46df.pdf&amp;Inline=true</t>
        </is>
      </c>
      <c r="X1810" s="2" t="inlineStr">
        <is>
          <t>Ambiente e Energia</t>
        </is>
      </c>
      <c r="Y1810" s="2" t="inlineStr">
        <is>
          <t>Articulado</t>
        </is>
      </c>
      <c r="Z1810" s="2" t="inlineStr">
        <is>
          <t>Aditamento (Artigo PPL)</t>
        </is>
      </c>
      <c r="AA1810" s="2" t="inlineStr">
        <is>
          <t>Aprovado(a) em Comissão</t>
        </is>
      </c>
      <c r="AB1810" s="2" t="inlineStr"/>
      <c r="AC1810" s="2" t="inlineStr"/>
      <c r="AD1810" s="2" t="inlineStr">
        <is>
          <t>1</t>
        </is>
      </c>
      <c r="AE1810" s="2" t="inlineStr">
        <is>
          <t>24958</t>
        </is>
      </c>
      <c r="AF1810" s="2" t="inlineStr">
        <is>
          <t>https://www.parlamento.pt/OrcamentoEstado/Paginas/DetalhePropostaAlteracao.aspx?BID=24958</t>
        </is>
      </c>
      <c r="AG1810" s="2" t="inlineStr">
        <is>
          <t>https://app.parlamento.pt/webutils/docs/doc.pdf?path=6148523063484d364c793942556b356c6443397a6158526c63793959566b6c4a544556484c3039464c7a49774d6a59794d4449314d5441774f5339515153396d595442684d6d55784e7930324e5446694c5451324e4755744f5451304d5330344d475a6d5a444934595451325a4759756347526d&amp;Fich=fa0a2e17-651b-464e-9441-80ffd28a46df.pdf&amp;Inline=true</t>
        </is>
      </c>
      <c r="AH1810" s="3" t="n">
        <v>46321.77847222222</v>
      </c>
      <c r="AI1810" s="3" t="n">
        <v>46321.78055555555</v>
      </c>
      <c r="AJ1810" s="2" t="inlineStr"/>
    </row>
    <row r="1811">
      <c r="A1811" s="2" t="n">
        <v>1810</v>
      </c>
      <c r="B1811" s="2" t="inlineStr">
        <is>
          <t>1711C</t>
        </is>
      </c>
      <c r="C1811" s="3" t="n">
        <v>45968.68263888889</v>
      </c>
      <c r="D1811" s="2" t="inlineStr">
        <is>
          <t>Original</t>
        </is>
      </c>
      <c r="E1811" s="2" t="inlineStr">
        <is>
          <t>CH</t>
        </is>
      </c>
      <c r="F181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11" s="2" t="inlineStr">
        <is>
          <t>Art. 121.º-A (aditamento)</t>
        </is>
      </c>
      <c r="H1811" s="2" t="n"/>
      <c r="I1811" s="2" t="n"/>
      <c r="J1811" s="2" t="n"/>
      <c r="K1811" s="2" t="n"/>
      <c r="L1811" s="2" t="inlineStr">
        <is>
          <t>Artigo 121.º-A (Apoio às Farmácias em territórios de baixa densidade)</t>
        </is>
      </c>
      <c r="M1811" s="4" t="n"/>
      <c r="N1811" s="4" t="n"/>
      <c r="O1811" s="2" t="n"/>
      <c r="P1811" s="2" t="n"/>
      <c r="Q1811" s="2" t="n"/>
      <c r="R1811" s="2" t="n"/>
      <c r="S1811" s="2" t="inlineStr">
        <is>
          <t>Rejeitado(a) em Comissão</t>
        </is>
      </c>
      <c r="T1811" s="2" t="inlineStr">
        <is>
          <t>Rejeitada</t>
        </is>
      </c>
      <c r="U1811" s="2" t="inlineStr">
        <is>
          <t>Favor: CH, PAN; Contra: PSD, CDS-PP; Abstenção: PS, IL, L, PCP, BE</t>
        </is>
      </c>
      <c r="V1811" s="3" t="n">
        <v>45985</v>
      </c>
      <c r="W1811" s="2" t="inlineStr">
        <is>
          <t>AR: https://www.parlamento.pt/OrcamentoEstado/Paginas/DetalhePropostaAlteracao.aspx?BID=24959 PDF: https://app.parlamento.pt/webutils/docs/doc.pdf?path=6148523063484d364c793942556b356c6443397a6158526c63793959566b6c4a544556484c3039464c7a49774d6a59794d4449314d5441774f533951515338345a6a557a4f474d784d6930354e4455784c54526a5a445174596a4e6d4d693033596d4a6d5a44566a4d446b784e544d756347526d&amp;Fich=8f538c12-9451-4cd4-b3f2-7bbfd5c09153.pdf&amp;Inline=true</t>
        </is>
      </c>
      <c r="X1811" s="2" t="inlineStr">
        <is>
          <t>Saúde</t>
        </is>
      </c>
      <c r="Y1811" s="2" t="inlineStr">
        <is>
          <t>Articulado</t>
        </is>
      </c>
      <c r="Z1811" s="2" t="inlineStr">
        <is>
          <t>Aditamento (Artigo PPL)</t>
        </is>
      </c>
      <c r="AA1811" s="2" t="inlineStr">
        <is>
          <t>Rejeitado(a) em Comissão</t>
        </is>
      </c>
      <c r="AB1811" s="2" t="inlineStr"/>
      <c r="AC1811" s="2" t="inlineStr"/>
      <c r="AD1811" s="2" t="inlineStr">
        <is>
          <t>1</t>
        </is>
      </c>
      <c r="AE1811" s="2" t="inlineStr">
        <is>
          <t>24959</t>
        </is>
      </c>
      <c r="AF1811" s="2" t="inlineStr">
        <is>
          <t>https://www.parlamento.pt/OrcamentoEstado/Paginas/DetalhePropostaAlteracao.aspx?BID=24959</t>
        </is>
      </c>
      <c r="AG1811" s="2" t="inlineStr">
        <is>
          <t>https://app.parlamento.pt/webutils/docs/doc.pdf?path=6148523063484d364c793942556b356c6443397a6158526c63793959566b6c4a544556484c3039464c7a49774d6a59794d4449314d5441774f533951515338345a6a557a4f474d784d6930354e4455784c54526a5a445174596a4e6d4d693033596d4a6d5a44566a4d446b784e544d756347526d&amp;Fich=8f538c12-9451-4cd4-b3f2-7bbfd5c09153.pdf&amp;Inline=true</t>
        </is>
      </c>
      <c r="AH1811" s="3" t="n">
        <v>46321.77847222222</v>
      </c>
      <c r="AI1811" s="3" t="n">
        <v>46321.78055555555</v>
      </c>
      <c r="AJ1811" s="2" t="inlineStr"/>
    </row>
    <row r="1812">
      <c r="A1812" s="2" t="n">
        <v>1811</v>
      </c>
      <c r="B1812" s="2" t="inlineStr">
        <is>
          <t>1712C</t>
        </is>
      </c>
      <c r="C1812" s="3" t="n">
        <v>45968.68263888889</v>
      </c>
      <c r="D1812" s="2" t="inlineStr">
        <is>
          <t>Original</t>
        </is>
      </c>
      <c r="E1812" s="2" t="inlineStr">
        <is>
          <t>L</t>
        </is>
      </c>
      <c r="F1812" s="2" t="inlineStr">
        <is>
          <t>Filipa Pinto; Isabel Mendes Lopes; Jorge Pinto; Patrícia Gonçalves; Paulo Muacho; Rui Tavares</t>
        </is>
      </c>
      <c r="G1812" s="2" t="inlineStr">
        <is>
          <t>Art. 63.º-A (aditamento)</t>
        </is>
      </c>
      <c r="H1812" s="2" t="n"/>
      <c r="I1812" s="2" t="n"/>
      <c r="J1812" s="2" t="n"/>
      <c r="K1812" s="2" t="n"/>
      <c r="L1812" s="2" t="inlineStr">
        <is>
          <t>Artigo 63.º-A (Aditamento à lista I anexa ao Código do Imposto sobre o Valor Acrescentado)</t>
        </is>
      </c>
      <c r="M1812" s="4" t="n"/>
      <c r="N1812" s="4" t="n"/>
      <c r="O1812" s="2" t="n"/>
      <c r="P1812" s="2" t="n"/>
      <c r="Q1812" s="2" t="n"/>
      <c r="R1812" s="2" t="n"/>
      <c r="S1812" s="2" t="inlineStr">
        <is>
          <t>Rejeitado(a) em Comissão</t>
        </is>
      </c>
      <c r="T1812" s="2" t="inlineStr">
        <is>
          <t>Rejeitada</t>
        </is>
      </c>
      <c r="U1812" s="2" t="inlineStr">
        <is>
          <t>Favor: CH, L, PCP, BE, PAN; Contra: PSD, CDS-PP; Abstenção: PS, IL</t>
        </is>
      </c>
      <c r="V1812" s="3" t="n">
        <v>45982</v>
      </c>
      <c r="W1812" s="2" t="inlineStr">
        <is>
          <t>AR: https://www.parlamento.pt/OrcamentoEstado/Paginas/DetalhePropostaAlteracao.aspx?BID=24960 PDF: https://app.parlamento.pt/webutils/docs/doc.pdf?path=6148523063484d364c793942556b356c6443397a6158526c63793959566b6c4a544556484c3039464c7a49774d6a59794d4449314d5441774f533951515338304d6a4d794f475134596931694d6d566d4c5451314f5451745954426b4d7930774e6d4e6a4d6d59314d7a5a6a4f5745756347526d&amp;Fich=42328d8b-b2ef-4594-a0d3-06cc2f536c9a.pdf&amp;Inline=true</t>
        </is>
      </c>
      <c r="X1812" s="2" t="inlineStr">
        <is>
          <t>Orçamento, Finanças e Administração Pública</t>
        </is>
      </c>
      <c r="Y1812" s="2" t="inlineStr">
        <is>
          <t>Articulado</t>
        </is>
      </c>
      <c r="Z1812" s="2" t="inlineStr">
        <is>
          <t>Aditamento (Artigo PPL)</t>
        </is>
      </c>
      <c r="AA1812" s="2" t="inlineStr">
        <is>
          <t>Rejeitado(a) em Comissão</t>
        </is>
      </c>
      <c r="AB1812" s="2" t="inlineStr"/>
      <c r="AC1812" s="2" t="inlineStr"/>
      <c r="AD1812" s="2" t="inlineStr">
        <is>
          <t>1</t>
        </is>
      </c>
      <c r="AE1812" s="2" t="inlineStr">
        <is>
          <t>24960</t>
        </is>
      </c>
      <c r="AF1812" s="2" t="inlineStr">
        <is>
          <t>https://www.parlamento.pt/OrcamentoEstado/Paginas/DetalhePropostaAlteracao.aspx?BID=24960</t>
        </is>
      </c>
      <c r="AG1812" s="2" t="inlineStr">
        <is>
          <t>https://app.parlamento.pt/webutils/docs/doc.pdf?path=6148523063484d364c793942556b356c6443397a6158526c63793959566b6c4a544556484c3039464c7a49774d6a59794d4449314d5441774f533951515338304d6a4d794f475134596931694d6d566d4c5451314f5451745954426b4d7930774e6d4e6a4d6d59314d7a5a6a4f5745756347526d&amp;Fich=42328d8b-b2ef-4594-a0d3-06cc2f536c9a.pdf&amp;Inline=true</t>
        </is>
      </c>
      <c r="AH1812" s="3" t="n">
        <v>46321.77847222222</v>
      </c>
      <c r="AI1812" s="3" t="n">
        <v>46321.78055555555</v>
      </c>
      <c r="AJ1812" s="2" t="inlineStr"/>
    </row>
    <row r="1813">
      <c r="A1813" s="2" t="n">
        <v>1812</v>
      </c>
      <c r="B1813" s="2" t="inlineStr">
        <is>
          <t>1713C</t>
        </is>
      </c>
      <c r="C1813" s="3" t="n">
        <v>45968.68263888889</v>
      </c>
      <c r="D1813" s="2" t="inlineStr">
        <is>
          <t>Original</t>
        </is>
      </c>
      <c r="E1813" s="2" t="inlineStr">
        <is>
          <t>CH</t>
        </is>
      </c>
      <c r="F181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13" s="2" t="inlineStr">
        <is>
          <t>Art. 110.º-A (aditamento)</t>
        </is>
      </c>
      <c r="H1813" s="2" t="n"/>
      <c r="I1813" s="2" t="n"/>
      <c r="J1813" s="2" t="n"/>
      <c r="K1813" s="2" t="n"/>
      <c r="L1813" s="2" t="inlineStr">
        <is>
          <t>Artigo 110.º-A (Criação de uma linha marítima para o transporte semanal de passageiros e carga, entre o Continente e a Região Autónoma da Madeira)</t>
        </is>
      </c>
      <c r="M1813" s="4" t="n"/>
      <c r="N1813" s="4" t="n"/>
      <c r="O1813" s="2" t="n"/>
      <c r="P1813" s="2" t="n"/>
      <c r="Q1813" s="2" t="n"/>
      <c r="R1813" s="2" t="n"/>
      <c r="S1813" s="2" t="inlineStr">
        <is>
          <t>Rejeitado(a) em Comissão</t>
        </is>
      </c>
      <c r="T1813" s="2" t="inlineStr">
        <is>
          <t>Rejeitada</t>
        </is>
      </c>
      <c r="U1813" s="2" t="inlineStr">
        <is>
          <t>Favor: CH, PAN; Contra: PSD, CDS-PP; Abstenção: PS, IL, L, PCP, BE</t>
        </is>
      </c>
      <c r="V1813" s="3" t="n">
        <v>45982</v>
      </c>
      <c r="W1813" s="2" t="inlineStr">
        <is>
          <t>AR: https://www.parlamento.pt/OrcamentoEstado/Paginas/DetalhePropostaAlteracao.aspx?BID=24961 PDF: https://app.parlamento.pt/webutils/docs/doc.pdf?path=6148523063484d364c793942556b356c6443397a6158526c63793959566b6c4a544556484c3039464c7a49774d6a59794d4449314d5441774f53395151533831597a4a6d4e54557a4d5330794e6a63314c54517a4e4449744f574e6c4d5331684e575669596a41334f5449335a6a45756347526d&amp;Fich=5c2f5531-2675-4342-9ce1-a5ebb07927f1.pdf&amp;Inline=true</t>
        </is>
      </c>
      <c r="X1813" s="2" t="inlineStr">
        <is>
          <t>Infraestruturas, Mobilidade e Habitação</t>
        </is>
      </c>
      <c r="Y1813" s="2" t="inlineStr">
        <is>
          <t>Articulado</t>
        </is>
      </c>
      <c r="Z1813" s="2" t="inlineStr">
        <is>
          <t>Aditamento (Artigo PPL)</t>
        </is>
      </c>
      <c r="AA1813" s="2" t="inlineStr">
        <is>
          <t>Rejeitado(a) em Comissão</t>
        </is>
      </c>
      <c r="AB1813" s="2" t="inlineStr"/>
      <c r="AC1813" s="2" t="inlineStr"/>
      <c r="AD1813" s="2" t="inlineStr">
        <is>
          <t>1</t>
        </is>
      </c>
      <c r="AE1813" s="2" t="inlineStr">
        <is>
          <t>24961</t>
        </is>
      </c>
      <c r="AF1813" s="2" t="inlineStr">
        <is>
          <t>https://www.parlamento.pt/OrcamentoEstado/Paginas/DetalhePropostaAlteracao.aspx?BID=24961</t>
        </is>
      </c>
      <c r="AG1813" s="2" t="inlineStr">
        <is>
          <t>https://app.parlamento.pt/webutils/docs/doc.pdf?path=6148523063484d364c793942556b356c6443397a6158526c63793959566b6c4a544556484c3039464c7a49774d6a59794d4449314d5441774f53395151533831597a4a6d4e54557a4d5330794e6a63314c54517a4e4449744f574e6c4d5331684e575669596a41334f5449335a6a45756347526d&amp;Fich=5c2f5531-2675-4342-9ce1-a5ebb07927f1.pdf&amp;Inline=true</t>
        </is>
      </c>
      <c r="AH1813" s="3" t="n">
        <v>46321.77847222222</v>
      </c>
      <c r="AI1813" s="3" t="n">
        <v>46321.78055555555</v>
      </c>
      <c r="AJ1813" s="2" t="inlineStr"/>
    </row>
    <row r="1814">
      <c r="A1814" s="2" t="n">
        <v>1813</v>
      </c>
      <c r="B1814" s="2" t="inlineStr">
        <is>
          <t>1714C</t>
        </is>
      </c>
      <c r="C1814" s="3" t="n">
        <v>45968.68263888889</v>
      </c>
      <c r="D1814" s="2" t="inlineStr">
        <is>
          <t>Original</t>
        </is>
      </c>
      <c r="E1814" s="2" t="inlineStr">
        <is>
          <t>PCP</t>
        </is>
      </c>
      <c r="F1814" s="2" t="inlineStr">
        <is>
          <t>Alfredo Maia; Paula Santos; Paulo Raimundo</t>
        </is>
      </c>
      <c r="G1814" s="2" t="inlineStr">
        <is>
          <t>Art. 136.º-A (aditamento)</t>
        </is>
      </c>
      <c r="H1814" s="2" t="n"/>
      <c r="I1814" s="2" t="n"/>
      <c r="J1814" s="2" t="n"/>
      <c r="K1814" s="2" t="n"/>
      <c r="L1814" s="2" t="inlineStr">
        <is>
          <t>Artigo 136.º-A (Alte o Decreto-Lei n.º 103/2023, de 7 de novembro, alterado pelo Decreto-Lei n.º 118/2023, de 20 de dezembro e pelo Decreto-Lei n.º 17/2024, de 29 de janeiro)</t>
        </is>
      </c>
      <c r="M1814" s="4" t="n"/>
      <c r="N1814" s="4" t="n"/>
      <c r="O1814" s="2" t="n"/>
      <c r="P1814" s="2" t="n"/>
      <c r="Q1814" s="2" t="n"/>
      <c r="R1814" s="2" t="n"/>
      <c r="S1814" s="2" t="inlineStr">
        <is>
          <t>Rejeitado(a) em Comissão</t>
        </is>
      </c>
      <c r="T1814" s="2" t="inlineStr">
        <is>
          <t>Rejeitada</t>
        </is>
      </c>
      <c r="U1814" s="2" t="inlineStr">
        <is>
          <t>Favor: L, PCP, BE, PAN; Contra: PSD, IL, CDS-PP; Abstenção: CH, PS</t>
        </is>
      </c>
      <c r="V1814" s="3" t="n">
        <v>45987</v>
      </c>
      <c r="W1814" s="2" t="inlineStr">
        <is>
          <t>AR: https://www.parlamento.pt/OrcamentoEstado/Paginas/DetalhePropostaAlteracao.aspx?BID=24963 PDF: https://app.parlamento.pt/webutils/docs/doc.pdf?path=6148523063484d364c793942556b356c6443397a6158526c63793959566b6c4a544556484c3039464c7a49774d6a59794d4449314d5441774f533951515338304e44637a596d56685a4330355a5746694c5451314e4459744f47466d4d7930785a4759304f444a684e4452694f546b756347526d&amp;Fich=4473bead-9eab-4546-8af3-1df482a44b99.pdf&amp;Inline=true</t>
        </is>
      </c>
      <c r="X1814" s="2" t="inlineStr">
        <is>
          <t>Saúde</t>
        </is>
      </c>
      <c r="Y1814" s="2" t="inlineStr">
        <is>
          <t>Articulado</t>
        </is>
      </c>
      <c r="Z1814" s="2" t="inlineStr">
        <is>
          <t>Aditamento (Artigo PPL)</t>
        </is>
      </c>
      <c r="AA1814" s="2" t="inlineStr">
        <is>
          <t>Rejeitado(a) em Comissão</t>
        </is>
      </c>
      <c r="AB1814" s="2" t="inlineStr"/>
      <c r="AC1814" s="2" t="inlineStr"/>
      <c r="AD1814" s="2" t="inlineStr">
        <is>
          <t>1</t>
        </is>
      </c>
      <c r="AE1814" s="2" t="inlineStr">
        <is>
          <t>24963</t>
        </is>
      </c>
      <c r="AF1814" s="2" t="inlineStr">
        <is>
          <t>https://www.parlamento.pt/OrcamentoEstado/Paginas/DetalhePropostaAlteracao.aspx?BID=24963</t>
        </is>
      </c>
      <c r="AG1814" s="2" t="inlineStr">
        <is>
          <t>https://app.parlamento.pt/webutils/docs/doc.pdf?path=6148523063484d364c793942556b356c6443397a6158526c63793959566b6c4a544556484c3039464c7a49774d6a59794d4449314d5441774f533951515338304e44637a596d56685a4330355a5746694c5451314e4459744f47466d4d7930785a4759304f444a684e4452694f546b756347526d&amp;Fich=4473bead-9eab-4546-8af3-1df482a44b99.pdf&amp;Inline=true</t>
        </is>
      </c>
      <c r="AH1814" s="3" t="n">
        <v>46321.77847222222</v>
      </c>
      <c r="AI1814" s="3" t="n">
        <v>46321.78055555555</v>
      </c>
      <c r="AJ1814" s="2" t="inlineStr"/>
    </row>
    <row r="1815">
      <c r="A1815" s="2" t="n">
        <v>1814</v>
      </c>
      <c r="B1815" s="2" t="inlineStr">
        <is>
          <t>1715C</t>
        </is>
      </c>
      <c r="C1815" s="3" t="n">
        <v>45968.68263888889</v>
      </c>
      <c r="D1815" s="2" t="inlineStr">
        <is>
          <t>Original</t>
        </is>
      </c>
      <c r="E1815" s="2" t="inlineStr">
        <is>
          <t>PS</t>
        </is>
      </c>
      <c r="F1815" s="2" t="inlineStr">
        <is>
          <t>António Mendonça Mendes; Catarina Louro; Eurico Brilhante Dias; João Torres; José Luís Carneiro; Marina Gonçalves; Miguel Matos</t>
        </is>
      </c>
      <c r="G1815" s="2" t="inlineStr">
        <is>
          <t>Art. 133.º-A (aditamento)</t>
        </is>
      </c>
      <c r="H1815" s="2" t="n"/>
      <c r="I1815" s="2" t="n"/>
      <c r="J1815" s="2" t="n"/>
      <c r="K1815" s="2" t="n"/>
      <c r="L1815" s="2" t="inlineStr">
        <is>
          <t>Artigo 133.º-A (Transmissão dos jogos da Liga portuguesa na RTP Internacional e RTP África)</t>
        </is>
      </c>
      <c r="M1815" s="4" t="n"/>
      <c r="N1815" s="4" t="n"/>
      <c r="O1815" s="2" t="n"/>
      <c r="P1815" s="2" t="n"/>
      <c r="Q1815" s="2" t="n"/>
      <c r="R1815" s="2" t="n"/>
      <c r="S1815" s="2" t="inlineStr">
        <is>
          <t>Rejeitado(a) em Comissão</t>
        </is>
      </c>
      <c r="T1815" s="2" t="inlineStr">
        <is>
          <t>Rejeitada</t>
        </is>
      </c>
      <c r="U1815" s="2" t="inlineStr">
        <is>
          <t>Favor: PS, L, PCP, BE, PAN; Contra: PSD, IL, CDS-PP; Abstenção: CH</t>
        </is>
      </c>
      <c r="V1815" s="3" t="n">
        <v>45985</v>
      </c>
      <c r="W1815" s="2" t="inlineStr">
        <is>
          <t>AR: https://www.parlamento.pt/OrcamentoEstado/Paginas/DetalhePropostaAlteracao.aspx?BID=24964 PDF: https://app.parlamento.pt/webutils/docs/doc.pdf?path=6148523063484d364c793942556b356c6443397a6158526c63793959566b6c4a544556484c3039464c7a49774d6a59794d4449314d5441774f533951515338774d4449354e444a6d5a69316c4e4759354c5451324d7a4174595751324d5330355a4755315a6d49784d4445774d6d59756347526d&amp;Fich=002942ff-e4f9-4630-ad61-9de5fb10102f.pdf&amp;Inline=true</t>
        </is>
      </c>
      <c r="X1815" s="2" t="inlineStr">
        <is>
          <t>Negócios Estrangeiros e Comunidades Portuguesas; Orçamento, Finanças e Administração Pública</t>
        </is>
      </c>
      <c r="Y1815" s="2" t="inlineStr">
        <is>
          <t>Articulado</t>
        </is>
      </c>
      <c r="Z1815" s="2" t="inlineStr">
        <is>
          <t>Aditamento (Artigo PPL)</t>
        </is>
      </c>
      <c r="AA1815" s="2" t="inlineStr">
        <is>
          <t>Rejeitado(a) em Comissão</t>
        </is>
      </c>
      <c r="AB1815" s="2" t="inlineStr"/>
      <c r="AC1815" s="2" t="inlineStr"/>
      <c r="AD1815" s="2" t="inlineStr">
        <is>
          <t>1</t>
        </is>
      </c>
      <c r="AE1815" s="2" t="inlineStr">
        <is>
          <t>24964</t>
        </is>
      </c>
      <c r="AF1815" s="2" t="inlineStr">
        <is>
          <t>https://www.parlamento.pt/OrcamentoEstado/Paginas/DetalhePropostaAlteracao.aspx?BID=24964</t>
        </is>
      </c>
      <c r="AG1815" s="2" t="inlineStr">
        <is>
          <t>https://app.parlamento.pt/webutils/docs/doc.pdf?path=6148523063484d364c793942556b356c6443397a6158526c63793959566b6c4a544556484c3039464c7a49774d6a59794d4449314d5441774f533951515338774d4449354e444a6d5a69316c4e4759354c5451324d7a4174595751324d5330355a4755315a6d49784d4445774d6d59756347526d&amp;Fich=002942ff-e4f9-4630-ad61-9de5fb10102f.pdf&amp;Inline=true</t>
        </is>
      </c>
      <c r="AH1815" s="3" t="n">
        <v>46321.77847222222</v>
      </c>
      <c r="AI1815" s="3" t="n">
        <v>46321.78055555555</v>
      </c>
      <c r="AJ1815" s="2" t="inlineStr"/>
    </row>
    <row r="1816">
      <c r="A1816" s="2" t="n">
        <v>1815</v>
      </c>
      <c r="B1816" s="2" t="inlineStr">
        <is>
          <t>1716C</t>
        </is>
      </c>
      <c r="C1816" s="3" t="n">
        <v>45968.68333333333</v>
      </c>
      <c r="D1816" s="2" t="inlineStr">
        <is>
          <t>Original</t>
        </is>
      </c>
      <c r="E1816" s="2" t="inlineStr">
        <is>
          <t>CH</t>
        </is>
      </c>
      <c r="F181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16" s="2" t="inlineStr">
        <is>
          <t>Art. 136.º-A (aditamento)</t>
        </is>
      </c>
      <c r="H1816" s="2" t="n"/>
      <c r="I1816" s="2" t="n"/>
      <c r="J1816" s="2" t="n"/>
      <c r="K1816" s="2" t="n"/>
      <c r="L1816" s="2" t="inlineStr">
        <is>
          <t>Artigo 136.º-A (Subsídio de Risco para Tripulante de Embarcações Salva-Vidas)</t>
        </is>
      </c>
      <c r="M1816" s="4" t="n"/>
      <c r="N1816" s="4" t="n"/>
      <c r="O1816" s="2" t="n"/>
      <c r="P1816" s="2" t="n"/>
      <c r="Q1816" s="2" t="n"/>
      <c r="R1816" s="2" t="n"/>
      <c r="S1816" s="2" t="inlineStr">
        <is>
          <t>Rejeitado(a) em Comissão</t>
        </is>
      </c>
      <c r="T1816" s="2" t="inlineStr">
        <is>
          <t>Rejeitada</t>
        </is>
      </c>
      <c r="U1816" s="2" t="inlineStr">
        <is>
          <t>Favor: CH, BE, PAN; Contra: PSD, IL, CDS-PP; Abstenção: PS, L, PCP</t>
        </is>
      </c>
      <c r="V1816" s="3" t="n">
        <v>45987</v>
      </c>
      <c r="W1816" s="2" t="inlineStr">
        <is>
          <t>AR: https://www.parlamento.pt/OrcamentoEstado/Paginas/DetalhePropostaAlteracao.aspx?BID=24965 PDF: https://app.parlamento.pt/webutils/docs/doc.pdf?path=6148523063484d364c793942556b356c6443397a6158526c63793959566b6c4a544556484c3039464c7a49774d6a59794d4449314d5441774f533951515338795a47466d5957497a4e43307a4d7a68684c54526b5a6a4974596a417a5953307a4e544d344e54513159575a694f5441756347526d&amp;Fich=2dafab34-338a-4df2-b03a-3538545afb90.pdf&amp;Inline=true</t>
        </is>
      </c>
      <c r="X1816" s="2" t="inlineStr">
        <is>
          <t>Assuntos Constitucionais, Direitos, Liberdades e Garantias; Orçamento, Finanças e Administração Pública</t>
        </is>
      </c>
      <c r="Y1816" s="2" t="inlineStr">
        <is>
          <t>Articulado</t>
        </is>
      </c>
      <c r="Z1816" s="2" t="inlineStr">
        <is>
          <t>Aditamento (Artigo PPL)</t>
        </is>
      </c>
      <c r="AA1816" s="2" t="inlineStr">
        <is>
          <t>Rejeitado(a) em Comissão</t>
        </is>
      </c>
      <c r="AB1816" s="2" t="inlineStr"/>
      <c r="AC1816" s="2" t="inlineStr"/>
      <c r="AD1816" s="2" t="inlineStr">
        <is>
          <t>1</t>
        </is>
      </c>
      <c r="AE1816" s="2" t="inlineStr">
        <is>
          <t>24965</t>
        </is>
      </c>
      <c r="AF1816" s="2" t="inlineStr">
        <is>
          <t>https://www.parlamento.pt/OrcamentoEstado/Paginas/DetalhePropostaAlteracao.aspx?BID=24965</t>
        </is>
      </c>
      <c r="AG1816" s="2" t="inlineStr">
        <is>
          <t>https://app.parlamento.pt/webutils/docs/doc.pdf?path=6148523063484d364c793942556b356c6443397a6158526c63793959566b6c4a544556484c3039464c7a49774d6a59794d4449314d5441774f533951515338795a47466d5957497a4e43307a4d7a68684c54526b5a6a4974596a417a5953307a4e544d344e54513159575a694f5441756347526d&amp;Fich=2dafab34-338a-4df2-b03a-3538545afb90.pdf&amp;Inline=true</t>
        </is>
      </c>
      <c r="AH1816" s="3" t="n">
        <v>46321.77847222222</v>
      </c>
      <c r="AI1816" s="3" t="n">
        <v>46321.78055555555</v>
      </c>
      <c r="AJ1816" s="2" t="inlineStr"/>
    </row>
    <row r="1817">
      <c r="A1817" s="2" t="n">
        <v>1816</v>
      </c>
      <c r="B1817" s="2" t="inlineStr">
        <is>
          <t>1717C</t>
        </is>
      </c>
      <c r="C1817" s="3" t="n">
        <v>45968.68333333333</v>
      </c>
      <c r="D1817" s="2" t="inlineStr">
        <is>
          <t>Original</t>
        </is>
      </c>
      <c r="E1817" s="2" t="inlineStr">
        <is>
          <t>PCP</t>
        </is>
      </c>
      <c r="F1817" s="2" t="inlineStr">
        <is>
          <t>Alfredo Maia; Paula Santos; Paulo Raimundo</t>
        </is>
      </c>
      <c r="G1817" s="2" t="inlineStr">
        <is>
          <t>Art. 136.º-A (aditamento)</t>
        </is>
      </c>
      <c r="H1817" s="2" t="n"/>
      <c r="I1817" s="2" t="n"/>
      <c r="J1817" s="2" t="n"/>
      <c r="K1817" s="2" t="n"/>
      <c r="L1817" s="2" t="inlineStr">
        <is>
          <t>Artigo 136.º-A (Altera o Decreto-Lei 113/2021, de 14 de dezembro)</t>
        </is>
      </c>
      <c r="M1817" s="4" t="n"/>
      <c r="N1817" s="4" t="n"/>
      <c r="O1817" s="2" t="n"/>
      <c r="P1817" s="2" t="n"/>
      <c r="Q1817" s="2" t="n"/>
      <c r="R1817" s="2" t="n"/>
      <c r="S1817" s="2" t="inlineStr">
        <is>
          <t>Rejeitado(a) em Comissão</t>
        </is>
      </c>
      <c r="T1817" s="2" t="inlineStr">
        <is>
          <t>Rejeitada</t>
        </is>
      </c>
      <c r="U1817" s="2" t="inlineStr">
        <is>
          <t>Favor: CH, L, PCP, BE, PAN; Contra: PSD, CDS-PP; Abstenção: PS, IL</t>
        </is>
      </c>
      <c r="V1817" s="3" t="n">
        <v>45987</v>
      </c>
      <c r="W1817" s="2" t="inlineStr">
        <is>
          <t>AR: https://www.parlamento.pt/OrcamentoEstado/Paginas/DetalhePropostaAlteracao.aspx?BID=24966 PDF: https://app.parlamento.pt/webutils/docs/doc.pdf?path=6148523063484d364c793942556b356c6443397a6158526c63793959566b6c4a544556484c3039464c7a49774d6a59794d4449314d5441774f533951515338314e4467305a4467305a43307959574e684c5451794d474d7459574d315a5331684d6a466b596d45344e4445794e4745756347526d&amp;Fich=5484d84d-2aca-420c-ac5e-a21dba84124a.pdf&amp;Inline=true</t>
        </is>
      </c>
      <c r="X1817" s="2" t="inlineStr">
        <is>
          <t>Saúde</t>
        </is>
      </c>
      <c r="Y1817" s="2" t="inlineStr">
        <is>
          <t>Articulado</t>
        </is>
      </c>
      <c r="Z1817" s="2" t="inlineStr">
        <is>
          <t>Aditamento (Artigo PPL)</t>
        </is>
      </c>
      <c r="AA1817" s="2" t="inlineStr">
        <is>
          <t>Rejeitado(a) em Comissão</t>
        </is>
      </c>
      <c r="AB1817" s="2" t="inlineStr"/>
      <c r="AC1817" s="2" t="inlineStr"/>
      <c r="AD1817" s="2" t="inlineStr">
        <is>
          <t>1</t>
        </is>
      </c>
      <c r="AE1817" s="2" t="inlineStr">
        <is>
          <t>24966</t>
        </is>
      </c>
      <c r="AF1817" s="2" t="inlineStr">
        <is>
          <t>https://www.parlamento.pt/OrcamentoEstado/Paginas/DetalhePropostaAlteracao.aspx?BID=24966</t>
        </is>
      </c>
      <c r="AG1817" s="2" t="inlineStr">
        <is>
          <t>https://app.parlamento.pt/webutils/docs/doc.pdf?path=6148523063484d364c793942556b356c6443397a6158526c63793959566b6c4a544556484c3039464c7a49774d6a59794d4449314d5441774f533951515338314e4467305a4467305a43307959574e684c5451794d474d7459574d315a5331684d6a466b596d45344e4445794e4745756347526d&amp;Fich=5484d84d-2aca-420c-ac5e-a21dba84124a.pdf&amp;Inline=true</t>
        </is>
      </c>
      <c r="AH1817" s="3" t="n">
        <v>46321.77847222222</v>
      </c>
      <c r="AI1817" s="3" t="n">
        <v>46321.78055555555</v>
      </c>
      <c r="AJ1817" s="2" t="inlineStr"/>
    </row>
    <row r="1818">
      <c r="A1818" s="2" t="n">
        <v>1817</v>
      </c>
      <c r="B1818" s="2" t="inlineStr">
        <is>
          <t>1718C</t>
        </is>
      </c>
      <c r="C1818" s="3" t="n">
        <v>45968.68333333333</v>
      </c>
      <c r="D1818" s="2" t="inlineStr">
        <is>
          <t>Original</t>
        </is>
      </c>
      <c r="E1818" s="2" t="inlineStr">
        <is>
          <t>CH</t>
        </is>
      </c>
      <c r="F181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18" s="2" t="inlineStr">
        <is>
          <t>Art. 121.º-A (aditamento)</t>
        </is>
      </c>
      <c r="H1818" s="2" t="n"/>
      <c r="I1818" s="2" t="n"/>
      <c r="J1818" s="2" t="n"/>
      <c r="K1818" s="2" t="n"/>
      <c r="L1818" s="2" t="inlineStr">
        <is>
          <t>Artigo 121.º-A (Revisão do preço compreensivo da Hemodiálise)</t>
        </is>
      </c>
      <c r="M1818" s="4" t="n"/>
      <c r="N1818" s="4" t="n"/>
      <c r="O1818" s="2" t="n"/>
      <c r="P1818" s="2" t="n"/>
      <c r="Q1818" s="2" t="n"/>
      <c r="R1818" s="2" t="n"/>
      <c r="S1818" s="2" t="inlineStr">
        <is>
          <t>Rejeitado(a) em Comissão</t>
        </is>
      </c>
      <c r="T1818" s="2" t="inlineStr">
        <is>
          <t>Rejeitada</t>
        </is>
      </c>
      <c r="U1818" s="2" t="inlineStr">
        <is>
          <t>Favor: CH, PAN; Contra: PSD, PCP, CDS-PP, BE; Abstenção: PS, IL, L</t>
        </is>
      </c>
      <c r="V1818" s="3" t="n">
        <v>45985</v>
      </c>
      <c r="W1818" s="2" t="inlineStr">
        <is>
          <t>AR: https://www.parlamento.pt/OrcamentoEstado/Paginas/DetalhePropostaAlteracao.aspx?BID=24967 PDF: https://app.parlamento.pt/webutils/docs/doc.pdf?path=6148523063484d364c793942556b356c6443397a6158526c63793959566b6c4a544556484c3039464c7a49774d6a59794d4449314d5441774f533951515338344e6a4a6a5a47466c4d693032597a5a6d4c5451794e7a5574596a67325a4330314e6d466a5957466a4e6a63774f5467756347526d&amp;Fich=862cdae2-6c6f-4275-b86d-56acaac67098.pdf&amp;Inline=true</t>
        </is>
      </c>
      <c r="X1818" s="2" t="inlineStr">
        <is>
          <t>Saúde</t>
        </is>
      </c>
      <c r="Y1818" s="2" t="inlineStr">
        <is>
          <t>Articulado</t>
        </is>
      </c>
      <c r="Z1818" s="2" t="inlineStr">
        <is>
          <t>Aditamento (Artigo PPL)</t>
        </is>
      </c>
      <c r="AA1818" s="2" t="inlineStr">
        <is>
          <t>Rejeitado(a) em Comissão</t>
        </is>
      </c>
      <c r="AB1818" s="2" t="inlineStr"/>
      <c r="AC1818" s="2" t="inlineStr"/>
      <c r="AD1818" s="2" t="inlineStr">
        <is>
          <t>1</t>
        </is>
      </c>
      <c r="AE1818" s="2" t="inlineStr">
        <is>
          <t>24967</t>
        </is>
      </c>
      <c r="AF1818" s="2" t="inlineStr">
        <is>
          <t>https://www.parlamento.pt/OrcamentoEstado/Paginas/DetalhePropostaAlteracao.aspx?BID=24967</t>
        </is>
      </c>
      <c r="AG1818" s="2" t="inlineStr">
        <is>
          <t>https://app.parlamento.pt/webutils/docs/doc.pdf?path=6148523063484d364c793942556b356c6443397a6158526c63793959566b6c4a544556484c3039464c7a49774d6a59794d4449314d5441774f533951515338344e6a4a6a5a47466c4d693032597a5a6d4c5451794e7a5574596a67325a4330314e6d466a5957466a4e6a63774f5467756347526d&amp;Fich=862cdae2-6c6f-4275-b86d-56acaac67098.pdf&amp;Inline=true</t>
        </is>
      </c>
      <c r="AH1818" s="3" t="n">
        <v>46321.77847222222</v>
      </c>
      <c r="AI1818" s="3" t="n">
        <v>46321.78055555555</v>
      </c>
      <c r="AJ1818" s="2" t="inlineStr"/>
    </row>
    <row r="1819">
      <c r="A1819" s="2" t="n">
        <v>1818</v>
      </c>
      <c r="B1819" s="2" t="inlineStr">
        <is>
          <t>1719C</t>
        </is>
      </c>
      <c r="C1819" s="3" t="n">
        <v>45968.68333333333</v>
      </c>
      <c r="D1819" s="2" t="inlineStr">
        <is>
          <t>Original</t>
        </is>
      </c>
      <c r="E1819" s="2" t="inlineStr">
        <is>
          <t>CH</t>
        </is>
      </c>
      <c r="F181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19" s="2" t="inlineStr">
        <is>
          <t>Art. 110.º-A (aditamento)</t>
        </is>
      </c>
      <c r="H1819" s="2" t="n"/>
      <c r="I1819" s="2" t="n"/>
      <c r="J1819" s="2" t="n"/>
      <c r="K1819" s="2" t="n"/>
      <c r="L1819" s="2" t="inlineStr">
        <is>
          <t>Artigo 110.º-A (Levantamento das condições infraestruturais e reabilitação dos faróis da Região Autónoma da Madeira)</t>
        </is>
      </c>
      <c r="M1819" s="4" t="n"/>
      <c r="N1819" s="4" t="n"/>
      <c r="O1819" s="2" t="n"/>
      <c r="P1819" s="2" t="n"/>
      <c r="Q1819" s="2" t="n"/>
      <c r="R1819" s="2" t="n"/>
      <c r="S1819" s="2" t="inlineStr">
        <is>
          <t>Rejeitado(a) em Comissão</t>
        </is>
      </c>
      <c r="T1819" s="2" t="inlineStr">
        <is>
          <t>Rejeitada</t>
        </is>
      </c>
      <c r="U1819" s="2" t="inlineStr">
        <is>
          <t>Favor: CH, BE, PAN; Contra: PSD, CDS-PP; Abstenção: PS, IL, L, PCP</t>
        </is>
      </c>
      <c r="V1819" s="3" t="n">
        <v>45982</v>
      </c>
      <c r="W1819" s="2" t="inlineStr">
        <is>
          <t>AR: https://www.parlamento.pt/OrcamentoEstado/Paginas/DetalhePropostaAlteracao.aspx?BID=24968 PDF: https://app.parlamento.pt/webutils/docs/doc.pdf?path=6148523063484d364c793942556b356c6443397a6158526c63793959566b6c4a544556484c3039464c7a49774d6a59794d4449314d5441774f5339515153387a4f5759344d7a42695a4330785a6a49334c5452685a446374596a67324e693078596a49334d6a6b3259546331595751756347526d&amp;Fich=39f830bd-1f27-4ad7-b866-1b27296a75ad.pdf&amp;Inline=true</t>
        </is>
      </c>
      <c r="X1819" s="2" t="inlineStr">
        <is>
          <t>Infraestruturas, Mobilidade e Habitação</t>
        </is>
      </c>
      <c r="Y1819" s="2" t="inlineStr">
        <is>
          <t>Articulado</t>
        </is>
      </c>
      <c r="Z1819" s="2" t="inlineStr">
        <is>
          <t>Aditamento (Artigo PPL)</t>
        </is>
      </c>
      <c r="AA1819" s="2" t="inlineStr">
        <is>
          <t>Rejeitado(a) em Comissão</t>
        </is>
      </c>
      <c r="AB1819" s="2" t="inlineStr"/>
      <c r="AC1819" s="2" t="inlineStr"/>
      <c r="AD1819" s="2" t="inlineStr">
        <is>
          <t>1</t>
        </is>
      </c>
      <c r="AE1819" s="2" t="inlineStr">
        <is>
          <t>24968</t>
        </is>
      </c>
      <c r="AF1819" s="2" t="inlineStr">
        <is>
          <t>https://www.parlamento.pt/OrcamentoEstado/Paginas/DetalhePropostaAlteracao.aspx?BID=24968</t>
        </is>
      </c>
      <c r="AG1819" s="2" t="inlineStr">
        <is>
          <t>https://app.parlamento.pt/webutils/docs/doc.pdf?path=6148523063484d364c793942556b356c6443397a6158526c63793959566b6c4a544556484c3039464c7a49774d6a59794d4449314d5441774f5339515153387a4f5759344d7a42695a4330785a6a49334c5452685a446374596a67324e693078596a49334d6a6b3259546331595751756347526d&amp;Fich=39f830bd-1f27-4ad7-b866-1b27296a75ad.pdf&amp;Inline=true</t>
        </is>
      </c>
      <c r="AH1819" s="3" t="n">
        <v>46321.77847222222</v>
      </c>
      <c r="AI1819" s="3" t="n">
        <v>46321.78055555555</v>
      </c>
      <c r="AJ1819" s="2" t="inlineStr"/>
    </row>
    <row r="1820">
      <c r="A1820" s="2" t="n">
        <v>1819</v>
      </c>
      <c r="B1820" s="2" t="inlineStr">
        <is>
          <t>1720C</t>
        </is>
      </c>
      <c r="C1820" s="3" t="n">
        <v>45968.68333333333</v>
      </c>
      <c r="D1820" s="2" t="inlineStr">
        <is>
          <t>Original</t>
        </is>
      </c>
      <c r="E1820" s="2" t="inlineStr">
        <is>
          <t>PS</t>
        </is>
      </c>
      <c r="F1820" s="2" t="inlineStr">
        <is>
          <t>António Mendonça Mendes; Catarina Louro; Eurico Brilhante Dias; João Torres; José Luís Carneiro; Marina Gonçalves; Miguel Matos</t>
        </is>
      </c>
      <c r="G1820" s="2" t="inlineStr">
        <is>
          <t>Art. 38.º-A (aditamento)</t>
        </is>
      </c>
      <c r="H1820" s="2" t="n"/>
      <c r="I1820" s="2" t="n"/>
      <c r="J1820" s="2" t="n"/>
      <c r="K1820" s="2" t="n"/>
      <c r="L1820" s="2" t="inlineStr">
        <is>
          <t>Artigo 38.º-A (Regularização da situação contributiva dos funcionários dos Serviços Periféricos Externos do Ministério dos Negócios Estrangeiros)</t>
        </is>
      </c>
      <c r="M1820" s="4" t="n"/>
      <c r="N1820" s="4" t="n"/>
      <c r="O1820" s="2" t="n"/>
      <c r="P1820" s="2" t="n"/>
      <c r="Q1820" s="2" t="n"/>
      <c r="R1820" s="2" t="n"/>
      <c r="S1820" s="2" t="inlineStr">
        <is>
          <t>Aprovado(a) em Comissão</t>
        </is>
      </c>
      <c r="T1820" s="2" t="inlineStr">
        <is>
          <t>Aprovada</t>
        </is>
      </c>
      <c r="U1820" s="2" t="inlineStr">
        <is>
          <t>Favor: PSD, PS, IL, L, PCP, CDS-PP, BE, PAN; Abstenção: CH</t>
        </is>
      </c>
      <c r="V1820" s="3" t="n">
        <v>45981</v>
      </c>
      <c r="W1820" s="2" t="inlineStr">
        <is>
          <t>AR: https://www.parlamento.pt/OrcamentoEstado/Paginas/DetalhePropostaAlteracao.aspx?BID=24969 PDF: https://app.parlamento.pt/webutils/docs/doc.pdf?path=6148523063484d364c793942556b356c6443397a6158526c63793959566b6c4a544556484c3039464c7a49774d6a59794d4449314d5441774f533951515338344f544d774f475269597931684d444e684c5451334e6a41744f544d774e43316a4d6a63324f5455345a6a526c5a4455756347526d&amp;Fich=89308dbc-a03a-4760-9304-c276958f4ed5.pdf&amp;Inline=true</t>
        </is>
      </c>
      <c r="X1820" s="2" t="inlineStr">
        <is>
          <t>Negócios Estrangeiros e Comunidades Portuguesas; Orçamento, Finanças e Administração Pública</t>
        </is>
      </c>
      <c r="Y1820" s="2" t="inlineStr">
        <is>
          <t>Articulado</t>
        </is>
      </c>
      <c r="Z1820" s="2" t="inlineStr">
        <is>
          <t>Aditamento (Artigo PPL)</t>
        </is>
      </c>
      <c r="AA1820" s="2" t="inlineStr">
        <is>
          <t>Aprovado(a) em Comissão</t>
        </is>
      </c>
      <c r="AB1820" s="2" t="inlineStr"/>
      <c r="AC1820" s="2" t="inlineStr"/>
      <c r="AD1820" s="2" t="inlineStr">
        <is>
          <t>1</t>
        </is>
      </c>
      <c r="AE1820" s="2" t="inlineStr">
        <is>
          <t>24969</t>
        </is>
      </c>
      <c r="AF1820" s="2" t="inlineStr">
        <is>
          <t>https://www.parlamento.pt/OrcamentoEstado/Paginas/DetalhePropostaAlteracao.aspx?BID=24969</t>
        </is>
      </c>
      <c r="AG1820" s="2" t="inlineStr">
        <is>
          <t>https://app.parlamento.pt/webutils/docs/doc.pdf?path=6148523063484d364c793942556b356c6443397a6158526c63793959566b6c4a544556484c3039464c7a49774d6a59794d4449314d5441774f533951515338344f544d774f475269597931684d444e684c5451334e6a41744f544d774e43316a4d6a63324f5455345a6a526c5a4455756347526d&amp;Fich=89308dbc-a03a-4760-9304-c276958f4ed5.pdf&amp;Inline=true</t>
        </is>
      </c>
      <c r="AH1820" s="3" t="n">
        <v>46321.77847222222</v>
      </c>
      <c r="AI1820" s="3" t="n">
        <v>46321.78055555555</v>
      </c>
      <c r="AJ1820" s="2" t="inlineStr"/>
    </row>
    <row r="1821">
      <c r="A1821" s="2" t="n">
        <v>1820</v>
      </c>
      <c r="B1821" s="2" t="inlineStr">
        <is>
          <t>1721C</t>
        </is>
      </c>
      <c r="C1821" s="3" t="n">
        <v>45968.68333333333</v>
      </c>
      <c r="D1821" s="2" t="inlineStr">
        <is>
          <t>Original</t>
        </is>
      </c>
      <c r="E1821" s="2" t="inlineStr">
        <is>
          <t>PCP</t>
        </is>
      </c>
      <c r="F1821" s="2" t="inlineStr">
        <is>
          <t>Alfredo Maia; Paula Santos; Paulo Raimundo</t>
        </is>
      </c>
      <c r="G1821" s="2" t="inlineStr">
        <is>
          <t>Art. 121.º-A (aditamento)</t>
        </is>
      </c>
      <c r="H1821" s="2" t="n"/>
      <c r="I1821" s="2" t="n"/>
      <c r="J1821" s="2" t="n"/>
      <c r="K1821" s="2" t="n"/>
      <c r="L1821" s="2" t="inlineStr">
        <is>
          <t>Artigo 121.º-A (Gestão Pública dos Hospitais de Anadia, Fafe e Serpa)</t>
        </is>
      </c>
      <c r="M1821" s="4" t="n"/>
      <c r="N1821" s="4" t="n"/>
      <c r="O1821" s="2" t="n"/>
      <c r="P1821" s="2" t="n"/>
      <c r="Q1821" s="2" t="n"/>
      <c r="R1821" s="2" t="n"/>
      <c r="S1821" s="2" t="inlineStr">
        <is>
          <t>Rejeitado(a) em Comissão</t>
        </is>
      </c>
      <c r="T1821" s="2" t="inlineStr">
        <is>
          <t>Rejeitada</t>
        </is>
      </c>
      <c r="U1821" s="2" t="inlineStr">
        <is>
          <t>Favor: L, PCP, BE, PAN; Contra: PSD, CH, IL, CDS-PP; Abstenção: PS</t>
        </is>
      </c>
      <c r="V1821" s="3" t="n">
        <v>45985</v>
      </c>
      <c r="W1821" s="2" t="inlineStr">
        <is>
          <t>AR: https://www.parlamento.pt/OrcamentoEstado/Paginas/DetalhePropostaAlteracao.aspx?BID=24970 PDF: https://app.parlamento.pt/webutils/docs/doc.pdf?path=6148523063484d364c793942556b356c6443397a6158526c63793959566b6c4a544556484c3039464c7a49774d6a59794d4449314d5441774f53395151533968596a6c6c596a59304d7930324e324a684c5451354d6a67744f4749355969316a4f474e6b59544e684f574669595445756347526d&amp;Fich=ab9eb643-67ba-4928-8b9b-c8cda3a9aba1.pdf&amp;Inline=true</t>
        </is>
      </c>
      <c r="X1821" s="2" t="inlineStr">
        <is>
          <t>Saúde</t>
        </is>
      </c>
      <c r="Y1821" s="2" t="inlineStr">
        <is>
          <t>Articulado</t>
        </is>
      </c>
      <c r="Z1821" s="2" t="inlineStr">
        <is>
          <t>Aditamento (Artigo PPL)</t>
        </is>
      </c>
      <c r="AA1821" s="2" t="inlineStr">
        <is>
          <t>Rejeitado(a) em Comissão</t>
        </is>
      </c>
      <c r="AB1821" s="2" t="inlineStr"/>
      <c r="AC1821" s="2" t="inlineStr"/>
      <c r="AD1821" s="2" t="inlineStr">
        <is>
          <t>1</t>
        </is>
      </c>
      <c r="AE1821" s="2" t="inlineStr">
        <is>
          <t>24970</t>
        </is>
      </c>
      <c r="AF1821" s="2" t="inlineStr">
        <is>
          <t>https://www.parlamento.pt/OrcamentoEstado/Paginas/DetalhePropostaAlteracao.aspx?BID=24970</t>
        </is>
      </c>
      <c r="AG1821" s="2" t="inlineStr">
        <is>
          <t>https://app.parlamento.pt/webutils/docs/doc.pdf?path=6148523063484d364c793942556b356c6443397a6158526c63793959566b6c4a544556484c3039464c7a49774d6a59794d4449314d5441774f53395151533968596a6c6c596a59304d7930324e324a684c5451354d6a67744f4749355969316a4f474e6b59544e684f574669595445756347526d&amp;Fich=ab9eb643-67ba-4928-8b9b-c8cda3a9aba1.pdf&amp;Inline=true</t>
        </is>
      </c>
      <c r="AH1821" s="3" t="n">
        <v>46321.77847222222</v>
      </c>
      <c r="AI1821" s="3" t="n">
        <v>46321.78055555555</v>
      </c>
      <c r="AJ1821" s="2" t="inlineStr"/>
    </row>
    <row r="1822">
      <c r="A1822" s="2" t="n">
        <v>1821</v>
      </c>
      <c r="B1822" s="2" t="inlineStr">
        <is>
          <t>1722C</t>
        </is>
      </c>
      <c r="C1822" s="3" t="n">
        <v>45968.68402777778</v>
      </c>
      <c r="D1822" s="2" t="inlineStr">
        <is>
          <t>Original</t>
        </is>
      </c>
      <c r="E1822" s="2" t="inlineStr">
        <is>
          <t>CH</t>
        </is>
      </c>
      <c r="F182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22" s="2" t="inlineStr">
        <is>
          <t>Art. 136.º-A (aditamento)</t>
        </is>
      </c>
      <c r="H1822" s="2" t="n"/>
      <c r="I1822" s="2" t="n"/>
      <c r="J1822" s="2" t="n"/>
      <c r="K1822" s="2" t="n"/>
      <c r="L1822" s="2" t="inlineStr">
        <is>
          <t>Artigo 136.º-A (Programa de financiamento para órgãos de comunicação social regionais e locais)</t>
        </is>
      </c>
      <c r="M1822" s="4" t="n"/>
      <c r="N1822" s="4" t="n"/>
      <c r="O1822" s="2" t="n"/>
      <c r="P1822" s="2" t="n"/>
      <c r="Q1822" s="2" t="n"/>
      <c r="R1822" s="2" t="n"/>
      <c r="S1822" s="2" t="inlineStr">
        <is>
          <t>Rejeitado(a) em Comissão</t>
        </is>
      </c>
      <c r="T1822" s="2" t="inlineStr">
        <is>
          <t>Rejeitada</t>
        </is>
      </c>
      <c r="U1822" s="2" t="inlineStr">
        <is>
          <t>Favor: CH, BE, PAN; Contra: PSD, IL, CDS-PP; Abstenção: PS, L, PCP</t>
        </is>
      </c>
      <c r="V1822" s="3" t="n">
        <v>45987</v>
      </c>
      <c r="W1822" s="2" t="inlineStr">
        <is>
          <t>AR: https://www.parlamento.pt/OrcamentoEstado/Paginas/DetalhePropostaAlteracao.aspx?BID=24971 PDF: https://app.parlamento.pt/webutils/docs/doc.pdf?path=6148523063484d364c793942556b356c6443397a6158526c63793959566b6c4a544556484c3039464c7a49774d6a59794d4449314d5441774f533951515338775a6d51784e5759344d6930774e6d4a6a4c54526d4e324974596d5a6b4d53316d4f474e6c593259335a444a6d4d7a67756347526d&amp;Fich=0fd15f82-06bc-4f7b-bfd1-f8cecf7d2f38.pdf&amp;Inline=true</t>
        </is>
      </c>
      <c r="X1822" s="2" t="inlineStr">
        <is>
          <t>Orçamento, Finanças e Administração Pública; Reforma do Estado e Poder Local</t>
        </is>
      </c>
      <c r="Y1822" s="2" t="inlineStr">
        <is>
          <t>Articulado</t>
        </is>
      </c>
      <c r="Z1822" s="2" t="inlineStr">
        <is>
          <t>Aditamento (Artigo PPL)</t>
        </is>
      </c>
      <c r="AA1822" s="2" t="inlineStr">
        <is>
          <t>Rejeitado(a) em Comissão</t>
        </is>
      </c>
      <c r="AB1822" s="2" t="inlineStr"/>
      <c r="AC1822" s="2" t="inlineStr"/>
      <c r="AD1822" s="2" t="inlineStr">
        <is>
          <t>1</t>
        </is>
      </c>
      <c r="AE1822" s="2" t="inlineStr">
        <is>
          <t>24971</t>
        </is>
      </c>
      <c r="AF1822" s="2" t="inlineStr">
        <is>
          <t>https://www.parlamento.pt/OrcamentoEstado/Paginas/DetalhePropostaAlteracao.aspx?BID=24971</t>
        </is>
      </c>
      <c r="AG1822" s="2" t="inlineStr">
        <is>
          <t>https://app.parlamento.pt/webutils/docs/doc.pdf?path=6148523063484d364c793942556b356c6443397a6158526c63793959566b6c4a544556484c3039464c7a49774d6a59794d4449314d5441774f533951515338775a6d51784e5759344d6930774e6d4a6a4c54526d4e324974596d5a6b4d53316d4f474e6c593259335a444a6d4d7a67756347526d&amp;Fich=0fd15f82-06bc-4f7b-bfd1-f8cecf7d2f38.pdf&amp;Inline=true</t>
        </is>
      </c>
      <c r="AH1822" s="3" t="n">
        <v>46321.77847222222</v>
      </c>
      <c r="AI1822" s="3" t="n">
        <v>46321.78055555555</v>
      </c>
      <c r="AJ1822" s="2" t="inlineStr"/>
    </row>
    <row r="1823">
      <c r="A1823" s="2" t="n">
        <v>1822</v>
      </c>
      <c r="B1823" s="2" t="inlineStr">
        <is>
          <t>1723C</t>
        </is>
      </c>
      <c r="C1823" s="3" t="n">
        <v>45968.68402777778</v>
      </c>
      <c r="D1823" s="2" t="inlineStr">
        <is>
          <t>Original</t>
        </is>
      </c>
      <c r="E1823" s="2" t="inlineStr">
        <is>
          <t>PS</t>
        </is>
      </c>
      <c r="F1823" s="2" t="inlineStr">
        <is>
          <t>António Mendonça Mendes; Eurico Brilhante Dias; José Luís Carneiro; Júlia Rodrigues; Marina Gonçalves; Miguel Matos; Pedro do Carmo</t>
        </is>
      </c>
      <c r="G1823" s="2" t="inlineStr">
        <is>
          <t>Art. 128.º-A (aditamento)</t>
        </is>
      </c>
      <c r="H1823" s="2" t="n"/>
      <c r="I1823" s="2" t="n"/>
      <c r="J1823" s="2" t="n"/>
      <c r="K1823" s="2" t="n"/>
      <c r="L1823" s="2" t="inlineStr">
        <is>
          <t>Artigo 128.º-A (Apoios à limpeza e gestão ativa dos espaços florestais)</t>
        </is>
      </c>
      <c r="M1823" s="4" t="n"/>
      <c r="N1823" s="4" t="n"/>
      <c r="O1823" s="2" t="n"/>
      <c r="P1823" s="2" t="n"/>
      <c r="Q1823" s="2" t="n"/>
      <c r="R1823" s="2" t="n"/>
      <c r="S1823" s="2" t="inlineStr">
        <is>
          <t>Rejeitado(a) em Comissão</t>
        </is>
      </c>
      <c r="T1823" s="2" t="inlineStr">
        <is>
          <t>Rejeitada</t>
        </is>
      </c>
      <c r="U1823" s="2" t="inlineStr">
        <is>
          <t>Favor: PS, IL, L, PCP, BE, PAN; Contra: PSD, CDS-PP; Abstenção: CH</t>
        </is>
      </c>
      <c r="V1823" s="3" t="n">
        <v>45985</v>
      </c>
      <c r="W1823" s="2" t="inlineStr">
        <is>
          <t>AR: https://www.parlamento.pt/OrcamentoEstado/Paginas/DetalhePropostaAlteracao.aspx?BID=24972 PDF: https://app.parlamento.pt/webutils/docs/doc.pdf?path=6148523063484d364c793942556b356c6443397a6158526c63793959566b6c4a544556484c3039464c7a49774d6a59794d4449314d5441774f533951515338354e32466a4e44417a4d6930304d4451784c54526c596a49744f474d775a53316b4d4446694f544e684d324a68596a67756347526d&amp;Fich=97ac4032-4041-4eb2-8c0e-d01b93a3bab8.pdf&amp;Inline=true</t>
        </is>
      </c>
      <c r="X1823" s="2" t="inlineStr">
        <is>
          <t>Agricultura e Pescas; Orçamento, Finanças e Administração Pública</t>
        </is>
      </c>
      <c r="Y1823" s="2" t="inlineStr">
        <is>
          <t>Articulado</t>
        </is>
      </c>
      <c r="Z1823" s="2" t="inlineStr">
        <is>
          <t>Aditamento (Artigo PPL)</t>
        </is>
      </c>
      <c r="AA1823" s="2" t="inlineStr">
        <is>
          <t>Rejeitado(a) em Comissão</t>
        </is>
      </c>
      <c r="AB1823" s="2" t="inlineStr"/>
      <c r="AC1823" s="2" t="inlineStr"/>
      <c r="AD1823" s="2" t="inlineStr">
        <is>
          <t>1</t>
        </is>
      </c>
      <c r="AE1823" s="2" t="inlineStr">
        <is>
          <t>24972</t>
        </is>
      </c>
      <c r="AF1823" s="2" t="inlineStr">
        <is>
          <t>https://www.parlamento.pt/OrcamentoEstado/Paginas/DetalhePropostaAlteracao.aspx?BID=24972</t>
        </is>
      </c>
      <c r="AG1823" s="2" t="inlineStr">
        <is>
          <t>https://app.parlamento.pt/webutils/docs/doc.pdf?path=6148523063484d364c793942556b356c6443397a6158526c63793959566b6c4a544556484c3039464c7a49774d6a59794d4449314d5441774f533951515338354e32466a4e44417a4d6930304d4451784c54526c596a49744f474d775a53316b4d4446694f544e684d324a68596a67756347526d&amp;Fich=97ac4032-4041-4eb2-8c0e-d01b93a3bab8.pdf&amp;Inline=true</t>
        </is>
      </c>
      <c r="AH1823" s="3" t="n">
        <v>46321.77847222222</v>
      </c>
      <c r="AI1823" s="3" t="n">
        <v>46321.78055555555</v>
      </c>
      <c r="AJ1823" s="2" t="inlineStr"/>
    </row>
    <row r="1824">
      <c r="A1824" s="2" t="n">
        <v>1823</v>
      </c>
      <c r="B1824" s="2" t="inlineStr">
        <is>
          <t>1724C</t>
        </is>
      </c>
      <c r="C1824" s="3" t="n">
        <v>45968.68402777778</v>
      </c>
      <c r="D1824" s="2" t="inlineStr">
        <is>
          <t>Original</t>
        </is>
      </c>
      <c r="E1824" s="2" t="inlineStr">
        <is>
          <t>PCP</t>
        </is>
      </c>
      <c r="F1824" s="2" t="inlineStr">
        <is>
          <t>Alfredo Maia; Paula Santos; Paulo Raimundo</t>
        </is>
      </c>
      <c r="G1824" s="2" t="inlineStr">
        <is>
          <t>Art. 121.º-A (aditamento)</t>
        </is>
      </c>
      <c r="H1824" s="2" t="n"/>
      <c r="I1824" s="2" t="n"/>
      <c r="J1824" s="2" t="n"/>
      <c r="K1824" s="2" t="n"/>
      <c r="L1824" s="2" t="inlineStr">
        <is>
          <t>Artigo 121.º-A (Programa de regresso de profissionais ao Serviço Nacional de Saúde)</t>
        </is>
      </c>
      <c r="M1824" s="4" t="n"/>
      <c r="N1824" s="4" t="n"/>
      <c r="O1824" s="2" t="n"/>
      <c r="P1824" s="2" t="n"/>
      <c r="Q1824" s="2" t="n"/>
      <c r="R1824" s="2" t="n"/>
      <c r="S1824" s="2" t="inlineStr">
        <is>
          <t>Rejeitado(a) em Comissão</t>
        </is>
      </c>
      <c r="T1824" s="2" t="inlineStr">
        <is>
          <t>Rejeitada</t>
        </is>
      </c>
      <c r="U1824" s="2" t="inlineStr">
        <is>
          <t>Favor: L, PCP, BE, PAN; Contra: PSD, CDS-PP; Abstenção: CH, PS, IL</t>
        </is>
      </c>
      <c r="V1824" s="3" t="n">
        <v>45985</v>
      </c>
      <c r="W1824" s="2" t="inlineStr">
        <is>
          <t>AR: https://www.parlamento.pt/OrcamentoEstado/Paginas/DetalhePropostaAlteracao.aspx?BID=24973 PDF: https://app.parlamento.pt/webutils/docs/doc.pdf?path=6148523063484d364c793942556b356c6443397a6158526c63793959566b6c4a544556484c3039464c7a49774d6a59794d4449314d5441774f5339515153396d4d7a68694d4445345a5330304e546b794c54526b4d4455744f5445354e6930794e4759315a474a6c595459355a4459756347526d&amp;Fich=f38b018e-4592-4d05-9196-24f5dbea69d6.pdf&amp;Inline=true</t>
        </is>
      </c>
      <c r="X1824" s="2" t="inlineStr">
        <is>
          <t>Saúde</t>
        </is>
      </c>
      <c r="Y1824" s="2" t="inlineStr">
        <is>
          <t>Articulado</t>
        </is>
      </c>
      <c r="Z1824" s="2" t="inlineStr">
        <is>
          <t>Aditamento (Artigo PPL)</t>
        </is>
      </c>
      <c r="AA1824" s="2" t="inlineStr">
        <is>
          <t>Rejeitado(a) em Comissão</t>
        </is>
      </c>
      <c r="AB1824" s="2" t="inlineStr"/>
      <c r="AC1824" s="2" t="inlineStr"/>
      <c r="AD1824" s="2" t="inlineStr">
        <is>
          <t>1</t>
        </is>
      </c>
      <c r="AE1824" s="2" t="inlineStr">
        <is>
          <t>24973</t>
        </is>
      </c>
      <c r="AF1824" s="2" t="inlineStr">
        <is>
          <t>https://www.parlamento.pt/OrcamentoEstado/Paginas/DetalhePropostaAlteracao.aspx?BID=24973</t>
        </is>
      </c>
      <c r="AG1824" s="2" t="inlineStr">
        <is>
          <t>https://app.parlamento.pt/webutils/docs/doc.pdf?path=6148523063484d364c793942556b356c6443397a6158526c63793959566b6c4a544556484c3039464c7a49774d6a59794d4449314d5441774f5339515153396d4d7a68694d4445345a5330304e546b794c54526b4d4455744f5445354e6930794e4759315a474a6c595459355a4459756347526d&amp;Fich=f38b018e-4592-4d05-9196-24f5dbea69d6.pdf&amp;Inline=true</t>
        </is>
      </c>
      <c r="AH1824" s="3" t="n">
        <v>46321.77847222222</v>
      </c>
      <c r="AI1824" s="3" t="n">
        <v>46321.78055555555</v>
      </c>
      <c r="AJ1824" s="2" t="inlineStr"/>
    </row>
    <row r="1825">
      <c r="A1825" s="2" t="n">
        <v>1824</v>
      </c>
      <c r="B1825" s="2" t="inlineStr">
        <is>
          <t>1725C</t>
        </is>
      </c>
      <c r="C1825" s="3" t="n">
        <v>45968.68402777778</v>
      </c>
      <c r="D1825" s="2" t="inlineStr">
        <is>
          <t>Original</t>
        </is>
      </c>
      <c r="E1825" s="2" t="inlineStr">
        <is>
          <t>CH</t>
        </is>
      </c>
      <c r="F182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25" s="2" t="inlineStr">
        <is>
          <t>Art. 126.º-A (aditamento)</t>
        </is>
      </c>
      <c r="H1825" s="2" t="n"/>
      <c r="I1825" s="2" t="n"/>
      <c r="J1825" s="2" t="n"/>
      <c r="K1825" s="2" t="n"/>
      <c r="L1825" s="2" t="inlineStr">
        <is>
          <t>Artigo 126.º-A (Construção de infraestruturas para aproveitamento hidráulico)</t>
        </is>
      </c>
      <c r="M1825" s="4" t="n"/>
      <c r="N1825" s="4" t="n"/>
      <c r="O1825" s="2" t="n"/>
      <c r="P1825" s="2" t="n"/>
      <c r="Q1825" s="2" t="n"/>
      <c r="R1825" s="2" t="n"/>
      <c r="S1825" s="2" t="inlineStr">
        <is>
          <t>Rejeitado(a) em Comissão</t>
        </is>
      </c>
      <c r="T1825" s="2" t="inlineStr">
        <is>
          <t>Rejeitada</t>
        </is>
      </c>
      <c r="U1825" s="2" t="inlineStr">
        <is>
          <t>Favor: CH; Contra: PSD, L, CDS-PP, BE; Abstenção: PS, IL, PCP, PAN</t>
        </is>
      </c>
      <c r="V1825" s="3" t="n">
        <v>45985</v>
      </c>
      <c r="W1825" s="2" t="inlineStr">
        <is>
          <t>AR: https://www.parlamento.pt/OrcamentoEstado/Paginas/DetalhePropostaAlteracao.aspx?BID=24974 PDF: https://app.parlamento.pt/webutils/docs/doc.pdf?path=6148523063484d364c793942556b356c6443397a6158526c63793959566b6c4a544556484c3039464c7a49774d6a59794d4449314d5441774f5339515153387a5932597a4f4463335a6931694e4455774c5451794d7a5574596d466c5a4330774e57466a4e6a4d77595463774e5445756347526d&amp;Fich=3cf3877f-b450-4235-baed-05ac630a7051.pdf&amp;Inline=true</t>
        </is>
      </c>
      <c r="X1825" s="2" t="inlineStr">
        <is>
          <t>Ambiente e Energia</t>
        </is>
      </c>
      <c r="Y1825" s="2" t="inlineStr">
        <is>
          <t>Articulado</t>
        </is>
      </c>
      <c r="Z1825" s="2" t="inlineStr">
        <is>
          <t>Aditamento (Artigo PPL)</t>
        </is>
      </c>
      <c r="AA1825" s="2" t="inlineStr">
        <is>
          <t>Rejeitado(a) em Comissão</t>
        </is>
      </c>
      <c r="AB1825" s="2" t="inlineStr"/>
      <c r="AC1825" s="2" t="inlineStr"/>
      <c r="AD1825" s="2" t="inlineStr">
        <is>
          <t>1</t>
        </is>
      </c>
      <c r="AE1825" s="2" t="inlineStr">
        <is>
          <t>24974</t>
        </is>
      </c>
      <c r="AF1825" s="2" t="inlineStr">
        <is>
          <t>https://www.parlamento.pt/OrcamentoEstado/Paginas/DetalhePropostaAlteracao.aspx?BID=24974</t>
        </is>
      </c>
      <c r="AG1825" s="2" t="inlineStr">
        <is>
          <t>https://app.parlamento.pt/webutils/docs/doc.pdf?path=6148523063484d364c793942556b356c6443397a6158526c63793959566b6c4a544556484c3039464c7a49774d6a59794d4449314d5441774f5339515153387a5932597a4f4463335a6931694e4455774c5451794d7a5574596d466c5a4330774e57466a4e6a4d77595463774e5445756347526d&amp;Fich=3cf3877f-b450-4235-baed-05ac630a7051.pdf&amp;Inline=true</t>
        </is>
      </c>
      <c r="AH1825" s="3" t="n">
        <v>46321.77847222222</v>
      </c>
      <c r="AI1825" s="3" t="n">
        <v>46321.78055555555</v>
      </c>
      <c r="AJ1825" s="2" t="inlineStr"/>
    </row>
    <row r="1826">
      <c r="A1826" s="2" t="n">
        <v>1825</v>
      </c>
      <c r="B1826" s="2" t="inlineStr">
        <is>
          <t>1726C</t>
        </is>
      </c>
      <c r="C1826" s="3" t="n">
        <v>45968.68472222222</v>
      </c>
      <c r="D1826" s="2" t="inlineStr">
        <is>
          <t>Original</t>
        </is>
      </c>
      <c r="E1826" s="2" t="inlineStr">
        <is>
          <t>L</t>
        </is>
      </c>
      <c r="F1826" s="2" t="inlineStr">
        <is>
          <t>Filipa Pinto; Isabel Mendes Lopes; Jorge Pinto; Patrícia Gonçalves; Paulo Muacho; Rui Tavares</t>
        </is>
      </c>
      <c r="G1826" s="2" t="inlineStr">
        <is>
          <t>Art. 138.º (aditamento)</t>
        </is>
      </c>
      <c r="H1826" s="2" t="n"/>
      <c r="I1826" s="2" t="n"/>
      <c r="J1826" s="2" t="n"/>
      <c r="K1826" s="2" t="n"/>
      <c r="L1826" s="2" t="inlineStr">
        <is>
          <t>Alínea c), Artigo 138.º</t>
        </is>
      </c>
      <c r="M1826" s="4" t="n"/>
      <c r="N1826" s="4" t="n"/>
      <c r="O1826" s="2" t="n"/>
      <c r="P1826" s="2" t="n"/>
      <c r="Q1826" s="2" t="n"/>
      <c r="R1826" s="2" t="n"/>
      <c r="S1826" s="2" t="inlineStr">
        <is>
          <t>Rejeitado(a) em Comissão</t>
        </is>
      </c>
      <c r="T1826" s="2" t="inlineStr">
        <is>
          <t>Rejeitada</t>
        </is>
      </c>
      <c r="U1826" s="2" t="inlineStr">
        <is>
          <t>Favor: IL, L, PCP, BE, PAN; Contra: PSD, CDS-PP; Abstenção: CH, PS</t>
        </is>
      </c>
      <c r="V1826" s="3" t="n">
        <v>45987</v>
      </c>
      <c r="W1826" s="2" t="inlineStr">
        <is>
          <t>AR: https://www.parlamento.pt/OrcamentoEstado/Paginas/DetalhePropostaAlteracao.aspx?BID=24975 PDF: https://app.parlamento.pt/webutils/docs/doc.pdf?path=6148523063484d364c793942556b356c6443397a6158526c63793959566b6c4a544556484c3039464c7a49774d6a59794d4449314d5441774f5339515153396c597a686a596d4e6b596930794d5441354c54517a4e474d74596d46694f5330315a4463355a544e6c5a444d77596a55756347526d&amp;Fich=ec8cbcdb-2109-434c-bab9-5d79e3ed30b5.pdf&amp;Inline=true</t>
        </is>
      </c>
      <c r="X1826" s="2" t="inlineStr">
        <is>
          <t>Infraestruturas, Mobilidade e Habitação; Orçamento, Finanças e Administração Pública</t>
        </is>
      </c>
      <c r="Y1826" s="2" t="inlineStr">
        <is>
          <t>Articulado</t>
        </is>
      </c>
      <c r="Z1826" s="2" t="inlineStr">
        <is>
          <t>Aditamento (Números e Alíneas)</t>
        </is>
      </c>
      <c r="AA1826" s="2" t="inlineStr">
        <is>
          <t>Rejeitado(a) em Comissão</t>
        </is>
      </c>
      <c r="AB1826" s="2" t="inlineStr"/>
      <c r="AC1826" s="2" t="inlineStr"/>
      <c r="AD1826" s="2" t="inlineStr">
        <is>
          <t>1</t>
        </is>
      </c>
      <c r="AE1826" s="2" t="inlineStr">
        <is>
          <t>24975</t>
        </is>
      </c>
      <c r="AF1826" s="2" t="inlineStr">
        <is>
          <t>https://www.parlamento.pt/OrcamentoEstado/Paginas/DetalhePropostaAlteracao.aspx?BID=24975</t>
        </is>
      </c>
      <c r="AG1826" s="2" t="inlineStr">
        <is>
          <t>https://app.parlamento.pt/webutils/docs/doc.pdf?path=6148523063484d364c793942556b356c6443397a6158526c63793959566b6c4a544556484c3039464c7a49774d6a59794d4449314d5441774f5339515153396c597a686a596d4e6b596930794d5441354c54517a4e474d74596d46694f5330315a4463355a544e6c5a444d77596a55756347526d&amp;Fich=ec8cbcdb-2109-434c-bab9-5d79e3ed30b5.pdf&amp;Inline=true</t>
        </is>
      </c>
      <c r="AH1826" s="3" t="n">
        <v>46321.77847222222</v>
      </c>
      <c r="AI1826" s="3" t="n">
        <v>46321.78055555555</v>
      </c>
      <c r="AJ1826" s="2" t="inlineStr"/>
    </row>
    <row r="1827">
      <c r="A1827" s="2" t="n">
        <v>1826</v>
      </c>
      <c r="B1827" s="2" t="inlineStr">
        <is>
          <t>1727C</t>
        </is>
      </c>
      <c r="C1827" s="3" t="n">
        <v>45968.68472222222</v>
      </c>
      <c r="D1827" s="2" t="inlineStr">
        <is>
          <t>Original</t>
        </is>
      </c>
      <c r="E1827" s="2" t="inlineStr">
        <is>
          <t>CH</t>
        </is>
      </c>
      <c r="F182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27" s="2" t="inlineStr">
        <is>
          <t>Art. 117.º-A (aditamento)</t>
        </is>
      </c>
      <c r="H1827" s="2" t="n"/>
      <c r="I1827" s="2" t="n"/>
      <c r="J1827" s="2" t="n"/>
      <c r="K1827" s="2" t="n"/>
      <c r="L1827" s="2" t="inlineStr">
        <is>
          <t>Artigo 117.º-A (Criação de mais cursos pós-laborais nas Instituições de Ensino Superior)</t>
        </is>
      </c>
      <c r="M1827" s="4" t="n"/>
      <c r="N1827" s="4" t="n"/>
      <c r="O1827" s="2" t="n"/>
      <c r="P1827" s="2" t="n"/>
      <c r="Q1827" s="2" t="n"/>
      <c r="R1827" s="2" t="n"/>
      <c r="S1827" s="2" t="inlineStr">
        <is>
          <t>Rejeitado(a) em Comissão</t>
        </is>
      </c>
      <c r="T1827" s="2" t="inlineStr">
        <is>
          <t>Rejeitada</t>
        </is>
      </c>
      <c r="U1827" s="2" t="inlineStr">
        <is>
          <t>Favor: CH, BE, PAN; Contra: PSD, IL, CDS-PP; Abstenção: PS, L, PCP</t>
        </is>
      </c>
      <c r="V1827" s="3" t="n">
        <v>45985</v>
      </c>
      <c r="W1827" s="2" t="inlineStr">
        <is>
          <t>AR: https://www.parlamento.pt/OrcamentoEstado/Paginas/DetalhePropostaAlteracao.aspx?BID=24976 PDF: https://app.parlamento.pt/webutils/docs/doc.pdf?path=6148523063484d364c793942556b356c6443397a6158526c63793959566b6c4a544556484c3039464c7a49774d6a59794d4449314d5441774f533951515338344e6a4132597a4e6d5a4330774e5749304c54517a5a5455744f574e694f5330304f47457a4f544a684d7a5a6b4d5445756347526d&amp;Fich=8606c3fd-05b4-43e5-9cb9-48a392a36d11.pdf&amp;Inline=true</t>
        </is>
      </c>
      <c r="X1827" s="2" t="inlineStr">
        <is>
          <t>Educação e Ciência</t>
        </is>
      </c>
      <c r="Y1827" s="2" t="inlineStr">
        <is>
          <t>Articulado</t>
        </is>
      </c>
      <c r="Z1827" s="2" t="inlineStr">
        <is>
          <t>Aditamento (Artigo PPL)</t>
        </is>
      </c>
      <c r="AA1827" s="2" t="inlineStr">
        <is>
          <t>Rejeitado(a) em Comissão</t>
        </is>
      </c>
      <c r="AB1827" s="2" t="inlineStr"/>
      <c r="AC1827" s="2" t="inlineStr"/>
      <c r="AD1827" s="2" t="inlineStr">
        <is>
          <t>1</t>
        </is>
      </c>
      <c r="AE1827" s="2" t="inlineStr">
        <is>
          <t>24976</t>
        </is>
      </c>
      <c r="AF1827" s="2" t="inlineStr">
        <is>
          <t>https://www.parlamento.pt/OrcamentoEstado/Paginas/DetalhePropostaAlteracao.aspx?BID=24976</t>
        </is>
      </c>
      <c r="AG1827" s="2" t="inlineStr">
        <is>
          <t>https://app.parlamento.pt/webutils/docs/doc.pdf?path=6148523063484d364c793942556b356c6443397a6158526c63793959566b6c4a544556484c3039464c7a49774d6a59794d4449314d5441774f533951515338344e6a4132597a4e6d5a4330774e5749304c54517a5a5455744f574e694f5330304f47457a4f544a684d7a5a6b4d5445756347526d&amp;Fich=8606c3fd-05b4-43e5-9cb9-48a392a36d11.pdf&amp;Inline=true</t>
        </is>
      </c>
      <c r="AH1827" s="3" t="n">
        <v>46321.77847222222</v>
      </c>
      <c r="AI1827" s="3" t="n">
        <v>46321.78055555555</v>
      </c>
      <c r="AJ1827" s="2" t="inlineStr"/>
    </row>
    <row r="1828">
      <c r="A1828" s="2" t="n">
        <v>1827</v>
      </c>
      <c r="B1828" s="2" t="inlineStr">
        <is>
          <t>1728C</t>
        </is>
      </c>
      <c r="C1828" s="3" t="n">
        <v>45968.68472222222</v>
      </c>
      <c r="D1828" s="2" t="inlineStr">
        <is>
          <t>Original</t>
        </is>
      </c>
      <c r="E1828" s="2" t="inlineStr">
        <is>
          <t>PCP</t>
        </is>
      </c>
      <c r="F1828" s="2" t="inlineStr">
        <is>
          <t>Alfredo Maia; Paula Santos; Paulo Raimundo</t>
        </is>
      </c>
      <c r="G1828" s="2" t="inlineStr">
        <is>
          <t>Art. 121.º-A (aditamento)</t>
        </is>
      </c>
      <c r="H1828" s="2" t="n"/>
      <c r="I1828" s="2" t="n"/>
      <c r="J1828" s="2" t="n"/>
      <c r="K1828" s="2" t="n"/>
      <c r="L1828" s="2" t="inlineStr">
        <is>
          <t>Artigo 121.º-A (Inquérito Nacional de Saúde)</t>
        </is>
      </c>
      <c r="M1828" s="4" t="n"/>
      <c r="N1828" s="4" t="n"/>
      <c r="O1828" s="2" t="n"/>
      <c r="P1828" s="2" t="n"/>
      <c r="Q1828" s="2" t="n"/>
      <c r="R1828" s="2" t="n"/>
      <c r="S1828" s="2" t="inlineStr">
        <is>
          <t>Rejeitado(a) em Comissão</t>
        </is>
      </c>
      <c r="T1828" s="2" t="inlineStr">
        <is>
          <t>Rejeitada</t>
        </is>
      </c>
      <c r="U1828" s="2" t="inlineStr">
        <is>
          <t>Favor: IL, L, PCP, BE, PAN; Contra: PSD, CH, CDS-PP; Abstenção: PS</t>
        </is>
      </c>
      <c r="V1828" s="3" t="n">
        <v>45985</v>
      </c>
      <c r="W1828" s="2" t="inlineStr">
        <is>
          <t>AR: https://www.parlamento.pt/OrcamentoEstado/Paginas/DetalhePropostaAlteracao.aspx?BID=24977 PDF: https://app.parlamento.pt/webutils/docs/doc.pdf?path=6148523063484d364c793942556b356c6443397a6158526c63793959566b6c4a544556484c3039464c7a49774d6a59794d4449314d5441774f5339515153396b4e44557a4e5459344e4331684e7a6c6a4c54526a4d544574595451345a693168597a49344d3255304f54646d4d5749756347526d&amp;Fich=d4535684-a79c-4c11-a48f-ac283e497f1b.pdf&amp;Inline=true</t>
        </is>
      </c>
      <c r="X1828" s="2" t="inlineStr">
        <is>
          <t>Saúde</t>
        </is>
      </c>
      <c r="Y1828" s="2" t="inlineStr">
        <is>
          <t>Articulado</t>
        </is>
      </c>
      <c r="Z1828" s="2" t="inlineStr">
        <is>
          <t>Aditamento (Artigo PPL)</t>
        </is>
      </c>
      <c r="AA1828" s="2" t="inlineStr">
        <is>
          <t>Rejeitado(a) em Comissão</t>
        </is>
      </c>
      <c r="AB1828" s="2" t="inlineStr"/>
      <c r="AC1828" s="2" t="inlineStr"/>
      <c r="AD1828" s="2" t="inlineStr">
        <is>
          <t>1</t>
        </is>
      </c>
      <c r="AE1828" s="2" t="inlineStr">
        <is>
          <t>24977</t>
        </is>
      </c>
      <c r="AF1828" s="2" t="inlineStr">
        <is>
          <t>https://www.parlamento.pt/OrcamentoEstado/Paginas/DetalhePropostaAlteracao.aspx?BID=24977</t>
        </is>
      </c>
      <c r="AG1828" s="2" t="inlineStr">
        <is>
          <t>https://app.parlamento.pt/webutils/docs/doc.pdf?path=6148523063484d364c793942556b356c6443397a6158526c63793959566b6c4a544556484c3039464c7a49774d6a59794d4449314d5441774f5339515153396b4e44557a4e5459344e4331684e7a6c6a4c54526a4d544574595451345a693168597a49344d3255304f54646d4d5749756347526d&amp;Fich=d4535684-a79c-4c11-a48f-ac283e497f1b.pdf&amp;Inline=true</t>
        </is>
      </c>
      <c r="AH1828" s="3" t="n">
        <v>46321.77847222222</v>
      </c>
      <c r="AI1828" s="3" t="n">
        <v>46321.78055555555</v>
      </c>
      <c r="AJ1828" s="2" t="inlineStr"/>
    </row>
    <row r="1829">
      <c r="A1829" s="2" t="n">
        <v>1828</v>
      </c>
      <c r="B1829" s="2" t="inlineStr">
        <is>
          <t>1729C</t>
        </is>
      </c>
      <c r="C1829" s="3" t="n">
        <v>45968.68472222222</v>
      </c>
      <c r="D1829" s="2" t="inlineStr">
        <is>
          <t>Original</t>
        </is>
      </c>
      <c r="E1829" s="2" t="inlineStr">
        <is>
          <t>BE</t>
        </is>
      </c>
      <c r="F1829" s="2" t="inlineStr">
        <is>
          <t>Mariana Mortágua</t>
        </is>
      </c>
      <c r="G1829" s="2" t="inlineStr">
        <is>
          <t>Art. 38.º-E (aditamento)</t>
        </is>
      </c>
      <c r="H1829" s="2" t="n"/>
      <c r="I1829" s="2" t="n"/>
      <c r="J1829" s="2" t="n"/>
      <c r="K1829" s="2" t="n"/>
      <c r="L1829" s="2" t="inlineStr">
        <is>
          <t>Artigo 38.º-E (Atribuição da Garantia para a Infância)</t>
        </is>
      </c>
      <c r="M1829" s="4" t="n"/>
      <c r="N1829" s="4" t="n"/>
      <c r="O1829" s="2" t="n"/>
      <c r="P1829" s="2" t="n"/>
      <c r="Q1829" s="2" t="n"/>
      <c r="R1829" s="2" t="n"/>
      <c r="S1829" s="2" t="inlineStr">
        <is>
          <t>Rejeitado(a) em Comissão</t>
        </is>
      </c>
      <c r="T1829" s="2" t="inlineStr">
        <is>
          <t>Rejeitada</t>
        </is>
      </c>
      <c r="U1829" s="2" t="inlineStr">
        <is>
          <t>Favor: L, PCP, BE, PAN; Contra: PSD, CDS-PP; Abstenção: CH, PS, IL</t>
        </is>
      </c>
      <c r="V1829" s="3" t="n">
        <v>45981</v>
      </c>
      <c r="W1829" s="2" t="inlineStr">
        <is>
          <t>AR: https://www.parlamento.pt/OrcamentoEstado/Paginas/DetalhePropostaAlteracao.aspx?BID=24978 PDF: https://app.parlamento.pt/webutils/docs/doc.pdf?path=6148523063484d364c793942556b356c6443397a6158526c63793959566b6c4a544556484c3039464c7a49774d6a59794d4449314d5441774f5339515153387a4e7a6731593245324e53316a4e446c684c5451354d7a59744f5749784e79303059544e6c5a6a42694d4441784d6a6b756347526d&amp;Fich=3785ca65-c49a-4936-9b17-4a3ef0b00129.pdf&amp;Inline=true</t>
        </is>
      </c>
      <c r="X1829" s="2" t="inlineStr">
        <is>
          <t>Trabalho, Segurança Social e Inclusão</t>
        </is>
      </c>
      <c r="Y1829" s="2" t="inlineStr">
        <is>
          <t>Articulado</t>
        </is>
      </c>
      <c r="Z1829" s="2" t="inlineStr">
        <is>
          <t>Aditamento (Artigo PPL)</t>
        </is>
      </c>
      <c r="AA1829" s="2" t="inlineStr">
        <is>
          <t>Rejeitado(a) em Comissão</t>
        </is>
      </c>
      <c r="AB1829" s="2" t="inlineStr"/>
      <c r="AC1829" s="2" t="inlineStr"/>
      <c r="AD1829" s="2" t="inlineStr">
        <is>
          <t>1</t>
        </is>
      </c>
      <c r="AE1829" s="2" t="inlineStr">
        <is>
          <t>24978</t>
        </is>
      </c>
      <c r="AF1829" s="2" t="inlineStr">
        <is>
          <t>https://www.parlamento.pt/OrcamentoEstado/Paginas/DetalhePropostaAlteracao.aspx?BID=24978</t>
        </is>
      </c>
      <c r="AG1829" s="2" t="inlineStr">
        <is>
          <t>https://app.parlamento.pt/webutils/docs/doc.pdf?path=6148523063484d364c793942556b356c6443397a6158526c63793959566b6c4a544556484c3039464c7a49774d6a59794d4449314d5441774f5339515153387a4e7a6731593245324e53316a4e446c684c5451354d7a59744f5749784e79303059544e6c5a6a42694d4441784d6a6b756347526d&amp;Fich=3785ca65-c49a-4936-9b17-4a3ef0b00129.pdf&amp;Inline=true</t>
        </is>
      </c>
      <c r="AH1829" s="3" t="n">
        <v>46321.77847222222</v>
      </c>
      <c r="AI1829" s="3" t="n">
        <v>46321.78055555555</v>
      </c>
      <c r="AJ1829" s="2" t="inlineStr"/>
    </row>
    <row r="1830">
      <c r="A1830" s="2" t="n">
        <v>1829</v>
      </c>
      <c r="B1830" s="2" t="inlineStr">
        <is>
          <t>1730C</t>
        </is>
      </c>
      <c r="C1830" s="3" t="n">
        <v>45968.68472222222</v>
      </c>
      <c r="D1830" s="2" t="inlineStr">
        <is>
          <t>Original</t>
        </is>
      </c>
      <c r="E1830" s="2" t="inlineStr">
        <is>
          <t>CH</t>
        </is>
      </c>
      <c r="F183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30" s="2" t="inlineStr">
        <is>
          <t>Art. 136.º-A (aditamento)</t>
        </is>
      </c>
      <c r="H1830" s="2" t="n"/>
      <c r="I1830" s="2" t="n"/>
      <c r="J1830" s="2" t="n"/>
      <c r="K1830" s="2" t="n"/>
      <c r="L1830" s="2" t="inlineStr">
        <is>
          <t>Artigo 136.º-A (Reativação da Linha Ferroviária do Corgo entre Peso da Régua a Chaves)</t>
        </is>
      </c>
      <c r="M1830" s="4" t="n"/>
      <c r="N1830" s="4" t="n"/>
      <c r="O1830" s="2" t="n"/>
      <c r="P1830" s="2" t="n"/>
      <c r="Q1830" s="2" t="n"/>
      <c r="R1830" s="2" t="n"/>
      <c r="S1830" s="2" t="inlineStr">
        <is>
          <t>Rejeitado(a) em Comissão</t>
        </is>
      </c>
      <c r="T1830" s="2" t="inlineStr">
        <is>
          <t>Rejeitada</t>
        </is>
      </c>
      <c r="U1830" s="2" t="inlineStr">
        <is>
          <t>Favor: CH, BE, PAN; Contra: PSD, CDS-PP; Abstenção: PS, IL, L, PCP</t>
        </is>
      </c>
      <c r="V1830" s="3" t="n">
        <v>45987</v>
      </c>
      <c r="W1830" s="2" t="inlineStr">
        <is>
          <t>AR: https://www.parlamento.pt/OrcamentoEstado/Paginas/DetalhePropostaAlteracao.aspx?BID=24979 PDF: https://app.parlamento.pt/webutils/docs/doc.pdf?path=6148523063484d364c793942556b356c6443397a6158526c63793959566b6c4a544556484c3039464c7a49774d6a59794d4449314d5441774f53395151533835597a55345a4455354e69316b4d44466b4c54526d596d4d745954686d5953316d4f5467314d474d344e44686d595467756347526d&amp;Fich=9c58d596-d01d-4fbc-a8fa-f9850c848fa8.pdf&amp;Inline=true</t>
        </is>
      </c>
      <c r="X1830" s="2" t="inlineStr">
        <is>
          <t>Infraestruturas, Mobilidade e Habitação</t>
        </is>
      </c>
      <c r="Y1830" s="2" t="inlineStr">
        <is>
          <t>Articulado</t>
        </is>
      </c>
      <c r="Z1830" s="2" t="inlineStr">
        <is>
          <t>Aditamento (Artigo PPL)</t>
        </is>
      </c>
      <c r="AA1830" s="2" t="inlineStr">
        <is>
          <t>Rejeitado(a) em Comissão</t>
        </is>
      </c>
      <c r="AB1830" s="2" t="inlineStr"/>
      <c r="AC1830" s="2" t="inlineStr"/>
      <c r="AD1830" s="2" t="inlineStr">
        <is>
          <t>1</t>
        </is>
      </c>
      <c r="AE1830" s="2" t="inlineStr">
        <is>
          <t>24979</t>
        </is>
      </c>
      <c r="AF1830" s="2" t="inlineStr">
        <is>
          <t>https://www.parlamento.pt/OrcamentoEstado/Paginas/DetalhePropostaAlteracao.aspx?BID=24979</t>
        </is>
      </c>
      <c r="AG1830" s="2" t="inlineStr">
        <is>
          <t>https://app.parlamento.pt/webutils/docs/doc.pdf?path=6148523063484d364c793942556b356c6443397a6158526c63793959566b6c4a544556484c3039464c7a49774d6a59794d4449314d5441774f53395151533835597a55345a4455354e69316b4d44466b4c54526d596d4d745954686d5953316d4f5467314d474d344e44686d595467756347526d&amp;Fich=9c58d596-d01d-4fbc-a8fa-f9850c848fa8.pdf&amp;Inline=true</t>
        </is>
      </c>
      <c r="AH1830" s="3" t="n">
        <v>46321.77847222222</v>
      </c>
      <c r="AI1830" s="3" t="n">
        <v>46321.78055555555</v>
      </c>
      <c r="AJ1830" s="2" t="inlineStr"/>
    </row>
    <row r="1831">
      <c r="A1831" s="2" t="n">
        <v>1830</v>
      </c>
      <c r="B1831" s="2" t="inlineStr">
        <is>
          <t>1731C</t>
        </is>
      </c>
      <c r="C1831" s="3" t="n">
        <v>45968.68541666667</v>
      </c>
      <c r="D1831" s="2" t="inlineStr">
        <is>
          <t>Original</t>
        </is>
      </c>
      <c r="E1831" s="2" t="inlineStr">
        <is>
          <t>PS</t>
        </is>
      </c>
      <c r="F1831" s="2" t="inlineStr">
        <is>
          <t>António Mendonça Mendes; Eurico Brilhante Dias; José Luís Carneiro; Júlia Rodrigues; Marina Gonçalves; Miguel Matos; Pedro do Carmo</t>
        </is>
      </c>
      <c r="G1831" s="2" t="inlineStr">
        <is>
          <t>Art. 128.º-A (aditamento)</t>
        </is>
      </c>
      <c r="H1831" s="2" t="n"/>
      <c r="I1831" s="2" t="n"/>
      <c r="J1831" s="2" t="n"/>
      <c r="K1831" s="2" t="n"/>
      <c r="L1831" s="2" t="inlineStr">
        <is>
          <t>Artigo 128.º-A (Apoio à Pastorícia Extensiva em Áreas Prioritárias de Prevenção e Segurança)</t>
        </is>
      </c>
      <c r="M1831" s="4" t="n"/>
      <c r="N1831" s="4" t="n"/>
      <c r="O1831" s="2" t="n"/>
      <c r="P1831" s="2" t="n"/>
      <c r="Q1831" s="2" t="n"/>
      <c r="R1831" s="2" t="n"/>
      <c r="S1831" s="2" t="inlineStr">
        <is>
          <t>Rejeitado(a) em Comissão</t>
        </is>
      </c>
      <c r="T1831" s="2" t="inlineStr">
        <is>
          <t>Rejeitada</t>
        </is>
      </c>
      <c r="U1831" s="2" t="inlineStr">
        <is>
          <t>Favor: PS, IL, L, PCP, BE, PAN; Contra: PSD, CDS-PP; Abstenção: CH</t>
        </is>
      </c>
      <c r="V1831" s="3" t="n">
        <v>45985</v>
      </c>
      <c r="W1831" s="2" t="inlineStr">
        <is>
          <t>AR: https://www.parlamento.pt/OrcamentoEstado/Paginas/DetalhePropostaAlteracao.aspx?BID=24980 PDF: https://app.parlamento.pt/webutils/docs/doc.pdf?path=6148523063484d364c793942556b356c6443397a6158526c63793959566b6c4a544556484c3039464c7a49774d6a59794d4449314d5441774f533951515338784d7a64684d4468684d5330324d6a4a684c5451344e54497459574d32596931685a6d5a6a5a544d344d546b785a5463756347526d&amp;Fich=137a08a1-622a-4852-ac6b-affce38191e7.pdf&amp;Inline=true</t>
        </is>
      </c>
      <c r="X1831" s="2" t="inlineStr">
        <is>
          <t>Agricultura e Pescas; Orçamento, Finanças e Administração Pública</t>
        </is>
      </c>
      <c r="Y1831" s="2" t="inlineStr">
        <is>
          <t>Articulado</t>
        </is>
      </c>
      <c r="Z1831" s="2" t="inlineStr">
        <is>
          <t>Aditamento (Artigo PPL)</t>
        </is>
      </c>
      <c r="AA1831" s="2" t="inlineStr">
        <is>
          <t>Rejeitado(a) em Comissão</t>
        </is>
      </c>
      <c r="AB1831" s="2" t="inlineStr"/>
      <c r="AC1831" s="2" t="inlineStr"/>
      <c r="AD1831" s="2" t="inlineStr">
        <is>
          <t>1</t>
        </is>
      </c>
      <c r="AE1831" s="2" t="inlineStr">
        <is>
          <t>24980</t>
        </is>
      </c>
      <c r="AF1831" s="2" t="inlineStr">
        <is>
          <t>https://www.parlamento.pt/OrcamentoEstado/Paginas/DetalhePropostaAlteracao.aspx?BID=24980</t>
        </is>
      </c>
      <c r="AG1831" s="2" t="inlineStr">
        <is>
          <t>https://app.parlamento.pt/webutils/docs/doc.pdf?path=6148523063484d364c793942556b356c6443397a6158526c63793959566b6c4a544556484c3039464c7a49774d6a59794d4449314d5441774f533951515338784d7a64684d4468684d5330324d6a4a684c5451344e54497459574d32596931685a6d5a6a5a544d344d546b785a5463756347526d&amp;Fich=137a08a1-622a-4852-ac6b-affce38191e7.pdf&amp;Inline=true</t>
        </is>
      </c>
      <c r="AH1831" s="3" t="n">
        <v>46321.77847222222</v>
      </c>
      <c r="AI1831" s="3" t="n">
        <v>46321.78055555555</v>
      </c>
      <c r="AJ1831" s="2" t="inlineStr"/>
    </row>
    <row r="1832">
      <c r="A1832" s="2" t="n">
        <v>1831</v>
      </c>
      <c r="B1832" s="2" t="inlineStr">
        <is>
          <t>1732C</t>
        </is>
      </c>
      <c r="C1832" s="3" t="n">
        <v>45968.68541666667</v>
      </c>
      <c r="D1832" s="2" t="inlineStr">
        <is>
          <t>Original</t>
        </is>
      </c>
      <c r="E1832" s="2" t="inlineStr">
        <is>
          <t>PCP</t>
        </is>
      </c>
      <c r="F1832" s="2" t="inlineStr">
        <is>
          <t>Alfredo Maia; Paula Santos; Paulo Raimundo</t>
        </is>
      </c>
      <c r="G1832" s="2" t="inlineStr">
        <is>
          <t>Art. 1.º (substituição)</t>
        </is>
      </c>
      <c r="H1832" s="2" t="n"/>
      <c r="I1832" s="2" t="n"/>
      <c r="J1832" s="2" t="n"/>
      <c r="K1832" s="2" t="n"/>
      <c r="L1832" s="2" t="inlineStr">
        <is>
          <t>Mapa 4, Reforço da verba, € 8.000.000</t>
        </is>
      </c>
      <c r="M1832" s="4" t="n"/>
      <c r="N1832" s="4" t="n"/>
      <c r="O1832" s="2" t="n"/>
      <c r="P1832" s="2" t="n"/>
      <c r="Q1832" s="2" t="n"/>
      <c r="R1832" s="2" t="n"/>
      <c r="S1832" s="2" t="inlineStr">
        <is>
          <t>Rejeitado(a) em Comissão</t>
        </is>
      </c>
      <c r="T1832" s="2" t="inlineStr">
        <is>
          <t>Rejeitada</t>
        </is>
      </c>
      <c r="U1832" s="2" t="inlineStr">
        <is>
          <t>Favor: L, PCP, BE, PAN; Contra: PSD, IL, CDS-PP; Abstenção: CH, PS</t>
        </is>
      </c>
      <c r="V1832" s="3" t="n">
        <v>45987</v>
      </c>
      <c r="W1832" s="2" t="inlineStr">
        <is>
          <t>AR: https://www.parlamento.pt/OrcamentoEstado/Paginas/DetalhePropostaAlteracao.aspx?BID=24981 PDF: https://app.parlamento.pt/webutils/docs/doc.pdf?path=6148523063484d364c793942556b356c6443397a6158526c63793959566b6c4a544556484c3039464c7a49774d6a59794d4449314d5441774f533951515338784f544d7a59575668597930774e4759794c54526d4d5745744f44466d4e5330794f5464684d474d794e546b305a5745756347526d&amp;Fich=1933aeac-04f2-4f1a-81f5-297a0c2594ea.pdf&amp;Inline=true</t>
        </is>
      </c>
      <c r="X1832" s="2" t="inlineStr">
        <is>
          <t>Saúde</t>
        </is>
      </c>
      <c r="Y1832" s="2" t="inlineStr">
        <is>
          <t>Mapas</t>
        </is>
      </c>
      <c r="Z1832" s="2" t="inlineStr">
        <is>
          <t>Substituição</t>
        </is>
      </c>
      <c r="AA1832" s="2" t="inlineStr">
        <is>
          <t>Rejeitado(a) em Comissão</t>
        </is>
      </c>
      <c r="AB1832" s="2" t="inlineStr"/>
      <c r="AC1832" s="2" t="inlineStr"/>
      <c r="AD1832" s="2" t="inlineStr">
        <is>
          <t>1</t>
        </is>
      </c>
      <c r="AE1832" s="2" t="inlineStr">
        <is>
          <t>24981</t>
        </is>
      </c>
      <c r="AF1832" s="2" t="inlineStr">
        <is>
          <t>https://www.parlamento.pt/OrcamentoEstado/Paginas/DetalhePropostaAlteracao.aspx?BID=24981</t>
        </is>
      </c>
      <c r="AG1832" s="2" t="inlineStr">
        <is>
          <t>https://app.parlamento.pt/webutils/docs/doc.pdf?path=6148523063484d364c793942556b356c6443397a6158526c63793959566b6c4a544556484c3039464c7a49774d6a59794d4449314d5441774f533951515338784f544d7a59575668597930774e4759794c54526d4d5745744f44466d4e5330794f5464684d474d794e546b305a5745756347526d&amp;Fich=1933aeac-04f2-4f1a-81f5-297a0c2594ea.pdf&amp;Inline=true</t>
        </is>
      </c>
      <c r="AH1832" s="3" t="n">
        <v>46321.77847222222</v>
      </c>
      <c r="AI1832" s="3" t="n">
        <v>46321.78055555555</v>
      </c>
      <c r="AJ1832" s="2" t="inlineStr"/>
    </row>
    <row r="1833">
      <c r="A1833" s="2" t="n">
        <v>1832</v>
      </c>
      <c r="B1833" s="2" t="inlineStr">
        <is>
          <t>1733C</t>
        </is>
      </c>
      <c r="C1833" s="3" t="n">
        <v>45968.68611111111</v>
      </c>
      <c r="D1833" s="2" t="inlineStr">
        <is>
          <t>Original</t>
        </is>
      </c>
      <c r="E1833" s="2" t="inlineStr">
        <is>
          <t>CH</t>
        </is>
      </c>
      <c r="F183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33" s="2" t="inlineStr">
        <is>
          <t>Art. 136.º-A (aditamento)</t>
        </is>
      </c>
      <c r="H1833" s="2" t="n"/>
      <c r="I1833" s="2" t="n"/>
      <c r="J1833" s="2" t="n"/>
      <c r="K1833" s="2" t="n"/>
      <c r="L1833" s="2" t="inlineStr">
        <is>
          <t>Artigo 136.º-A (Requalificação e construção de troços inerentes à Rede Rodoviária nos Distritos de Vila Real e Bragança)</t>
        </is>
      </c>
      <c r="M1833" s="4" t="n"/>
      <c r="N1833" s="4" t="n"/>
      <c r="O1833" s="2" t="n"/>
      <c r="P1833" s="2" t="n"/>
      <c r="Q1833" s="2" t="n"/>
      <c r="R1833" s="2" t="n"/>
      <c r="S1833" s="2" t="inlineStr">
        <is>
          <t>Rejeitado(a) em Comissão</t>
        </is>
      </c>
      <c r="T1833" s="2" t="inlineStr">
        <is>
          <t>Rejeitada</t>
        </is>
      </c>
      <c r="U1833" s="2" t="inlineStr">
        <is>
          <t>Favor: CH, BE, PAN; Contra: PSD, CDS-PP; Abstenção: PS, IL, L, PCP</t>
        </is>
      </c>
      <c r="V1833" s="3" t="n">
        <v>45987</v>
      </c>
      <c r="W1833" s="2" t="inlineStr">
        <is>
          <t>AR: https://www.parlamento.pt/OrcamentoEstado/Paginas/DetalhePropostaAlteracao.aspx?BID=24982 PDF: https://app.parlamento.pt/webutils/docs/doc.pdf?path=6148523063484d364c793942556b356c6443397a6158526c63793959566b6c4a544556484c3039464c7a49774d6a59794d4449314d5441774f53395151533879596a426a597a64685a43307a4d5751314c5451325a5745744f54417a4e6931684d3246695a6a49344d5759314e5751756347526d&amp;Fich=2b0cc7ad-31d5-46ea-9036-a3abf281f55d.pdf&amp;Inline=true</t>
        </is>
      </c>
      <c r="X1833" s="2" t="inlineStr">
        <is>
          <t>Infraestruturas, Mobilidade e Habitação</t>
        </is>
      </c>
      <c r="Y1833" s="2" t="inlineStr">
        <is>
          <t>Articulado</t>
        </is>
      </c>
      <c r="Z1833" s="2" t="inlineStr">
        <is>
          <t>Aditamento (Artigo PPL)</t>
        </is>
      </c>
      <c r="AA1833" s="2" t="inlineStr">
        <is>
          <t>Rejeitado(a) em Comissão</t>
        </is>
      </c>
      <c r="AB1833" s="2" t="inlineStr"/>
      <c r="AC1833" s="2" t="inlineStr"/>
      <c r="AD1833" s="2" t="inlineStr">
        <is>
          <t>1</t>
        </is>
      </c>
      <c r="AE1833" s="2" t="inlineStr">
        <is>
          <t>24982</t>
        </is>
      </c>
      <c r="AF1833" s="2" t="inlineStr">
        <is>
          <t>https://www.parlamento.pt/OrcamentoEstado/Paginas/DetalhePropostaAlteracao.aspx?BID=24982</t>
        </is>
      </c>
      <c r="AG1833" s="2" t="inlineStr">
        <is>
          <t>https://app.parlamento.pt/webutils/docs/doc.pdf?path=6148523063484d364c793942556b356c6443397a6158526c63793959566b6c4a544556484c3039464c7a49774d6a59794d4449314d5441774f53395151533879596a426a597a64685a43307a4d5751314c5451325a5745744f54417a4e6931684d3246695a6a49344d5759314e5751756347526d&amp;Fich=2b0cc7ad-31d5-46ea-9036-a3abf281f55d.pdf&amp;Inline=true</t>
        </is>
      </c>
      <c r="AH1833" s="3" t="n">
        <v>46321.77847222222</v>
      </c>
      <c r="AI1833" s="3" t="n">
        <v>46321.78055555555</v>
      </c>
      <c r="AJ1833" s="2" t="inlineStr"/>
    </row>
    <row r="1834">
      <c r="A1834" s="2" t="n">
        <v>1833</v>
      </c>
      <c r="B1834" s="2" t="inlineStr">
        <is>
          <t>1734C</t>
        </is>
      </c>
      <c r="C1834" s="3" t="n">
        <v>45968.68611111111</v>
      </c>
      <c r="D1834" s="2" t="inlineStr">
        <is>
          <t>Original</t>
        </is>
      </c>
      <c r="E1834" s="2" t="inlineStr">
        <is>
          <t>PCP</t>
        </is>
      </c>
      <c r="F1834" s="2" t="inlineStr">
        <is>
          <t>Alfredo Maia; Paula Santos; Paulo Raimundo</t>
        </is>
      </c>
      <c r="G1834" s="2" t="inlineStr">
        <is>
          <t>Art. 1.º (substituição)</t>
        </is>
      </c>
      <c r="H1834" s="2" t="n"/>
      <c r="I1834" s="2" t="n"/>
      <c r="J1834" s="2" t="n"/>
      <c r="K1834" s="2" t="n"/>
      <c r="L1834" s="2" t="inlineStr">
        <is>
          <t>Mapa 4, Reforço da verba, € 3.383.686</t>
        </is>
      </c>
      <c r="M1834" s="4" t="n"/>
      <c r="N1834" s="4" t="n"/>
      <c r="O1834" s="2" t="n"/>
      <c r="P1834" s="2" t="n"/>
      <c r="Q1834" s="2" t="n"/>
      <c r="R1834" s="2" t="n"/>
      <c r="S1834" s="2" t="inlineStr">
        <is>
          <t>Rejeitado(a) em Comissão</t>
        </is>
      </c>
      <c r="T1834" s="2" t="inlineStr">
        <is>
          <t>Rejeitada</t>
        </is>
      </c>
      <c r="U1834" s="2" t="inlineStr">
        <is>
          <t>Favor: L, PCP, BE, PAN; Contra: PSD, CH, IL, CDS-PP; Abstenção: PS</t>
        </is>
      </c>
      <c r="V1834" s="3" t="n">
        <v>45987</v>
      </c>
      <c r="W1834" s="2" t="inlineStr">
        <is>
          <t>AR: https://www.parlamento.pt/OrcamentoEstado/Paginas/DetalhePropostaAlteracao.aspx?BID=24983 PDF: https://app.parlamento.pt/webutils/docs/doc.pdf?path=6148523063484d364c793942556b356c6443397a6158526c63793959566b6c4a544556484c3039464c7a49774d6a59794d4449314d5441774f533951515338784e474d774d54646c4f4330344f544a6d4c5451785a6a5174595451334d6930304e445a6d4e5451334d5459334e6a55756347526d&amp;Fich=14c017e8-892f-41f4-a472-446f54716765.pdf&amp;Inline=true</t>
        </is>
      </c>
      <c r="X1834" s="2" t="inlineStr">
        <is>
          <t>Saúde</t>
        </is>
      </c>
      <c r="Y1834" s="2" t="inlineStr">
        <is>
          <t>Mapas</t>
        </is>
      </c>
      <c r="Z1834" s="2" t="inlineStr">
        <is>
          <t>Substituição</t>
        </is>
      </c>
      <c r="AA1834" s="2" t="inlineStr">
        <is>
          <t>Rejeitado(a) em Comissão</t>
        </is>
      </c>
      <c r="AB1834" s="2" t="inlineStr"/>
      <c r="AC1834" s="2" t="inlineStr"/>
      <c r="AD1834" s="2" t="inlineStr">
        <is>
          <t>1</t>
        </is>
      </c>
      <c r="AE1834" s="2" t="inlineStr">
        <is>
          <t>24983</t>
        </is>
      </c>
      <c r="AF1834" s="2" t="inlineStr">
        <is>
          <t>https://www.parlamento.pt/OrcamentoEstado/Paginas/DetalhePropostaAlteracao.aspx?BID=24983</t>
        </is>
      </c>
      <c r="AG1834" s="2" t="inlineStr">
        <is>
          <t>https://app.parlamento.pt/webutils/docs/doc.pdf?path=6148523063484d364c793942556b356c6443397a6158526c63793959566b6c4a544556484c3039464c7a49774d6a59794d4449314d5441774f533951515338784e474d774d54646c4f4330344f544a6d4c5451785a6a5174595451334d6930304e445a6d4e5451334d5459334e6a55756347526d&amp;Fich=14c017e8-892f-41f4-a472-446f54716765.pdf&amp;Inline=true</t>
        </is>
      </c>
      <c r="AH1834" s="3" t="n">
        <v>46321.77847222222</v>
      </c>
      <c r="AI1834" s="3" t="n">
        <v>46321.78055555555</v>
      </c>
      <c r="AJ1834" s="2" t="inlineStr"/>
    </row>
    <row r="1835">
      <c r="A1835" s="2" t="n">
        <v>1834</v>
      </c>
      <c r="B1835" s="2" t="inlineStr">
        <is>
          <t>1735C</t>
        </is>
      </c>
      <c r="C1835" s="3" t="n">
        <v>45968.68611111111</v>
      </c>
      <c r="D1835" s="2" t="inlineStr">
        <is>
          <t>Original</t>
        </is>
      </c>
      <c r="E1835" s="2" t="inlineStr">
        <is>
          <t>CH</t>
        </is>
      </c>
      <c r="F183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35" s="2" t="inlineStr">
        <is>
          <t>Art. 126.º-A (aditamento)</t>
        </is>
      </c>
      <c r="H1835" s="2" t="n"/>
      <c r="I1835" s="2" t="n"/>
      <c r="J1835" s="2" t="n"/>
      <c r="K1835" s="2" t="n"/>
      <c r="L1835" s="2" t="inlineStr">
        <is>
          <t>Artigo 126.º-A (Programa de reforço da autonomia energética dos edifícios públicos)</t>
        </is>
      </c>
      <c r="M1835" s="4" t="n"/>
      <c r="N1835" s="4" t="n"/>
      <c r="O1835" s="2" t="n"/>
      <c r="P1835" s="2" t="n"/>
      <c r="Q1835" s="2" t="n"/>
      <c r="R1835" s="2" t="n"/>
      <c r="S1835" s="2" t="inlineStr">
        <is>
          <t>Rejeitado(a) em Comissão</t>
        </is>
      </c>
      <c r="T1835" s="2" t="inlineStr">
        <is>
          <t>Rejeitada</t>
        </is>
      </c>
      <c r="U1835" s="2" t="inlineStr">
        <is>
          <t>Favor: CH, IL, BE, PAN; Contra: PSD, CDS-PP; Abstenção: PS, L, PCP</t>
        </is>
      </c>
      <c r="V1835" s="3" t="n">
        <v>45985</v>
      </c>
      <c r="W1835" s="2" t="inlineStr">
        <is>
          <t>AR: https://www.parlamento.pt/OrcamentoEstado/Paginas/DetalhePropostaAlteracao.aspx?BID=24984 PDF: https://app.parlamento.pt/webutils/docs/doc.pdf?path=6148523063484d364c793942556b356c6443397a6158526c63793959566b6c4a544556484c3039464c7a49774d6a59794d4449314d5441774f533951515338334f4463784e444d344f43307a4e32526d4c545178597a6b744f4463304e4330774e47457a595455774e6d59775a6d4d756347526d&amp;Fich=78714388-37df-41c9-8744-04a3a506f0fc.pdf&amp;Inline=true</t>
        </is>
      </c>
      <c r="X1835" s="2" t="inlineStr">
        <is>
          <t>Ambiente e Energia</t>
        </is>
      </c>
      <c r="Y1835" s="2" t="inlineStr">
        <is>
          <t>Articulado</t>
        </is>
      </c>
      <c r="Z1835" s="2" t="inlineStr">
        <is>
          <t>Aditamento (Artigo PPL)</t>
        </is>
      </c>
      <c r="AA1835" s="2" t="inlineStr">
        <is>
          <t>Rejeitado(a) em Comissão</t>
        </is>
      </c>
      <c r="AB1835" s="2" t="inlineStr"/>
      <c r="AC1835" s="2" t="inlineStr"/>
      <c r="AD1835" s="2" t="inlineStr">
        <is>
          <t>1</t>
        </is>
      </c>
      <c r="AE1835" s="2" t="inlineStr">
        <is>
          <t>24984</t>
        </is>
      </c>
      <c r="AF1835" s="2" t="inlineStr">
        <is>
          <t>https://www.parlamento.pt/OrcamentoEstado/Paginas/DetalhePropostaAlteracao.aspx?BID=24984</t>
        </is>
      </c>
      <c r="AG1835" s="2" t="inlineStr">
        <is>
          <t>https://app.parlamento.pt/webutils/docs/doc.pdf?path=6148523063484d364c793942556b356c6443397a6158526c63793959566b6c4a544556484c3039464c7a49774d6a59794d4449314d5441774f533951515338334f4463784e444d344f43307a4e32526d4c545178597a6b744f4463304e4330774e47457a595455774e6d59775a6d4d756347526d&amp;Fich=78714388-37df-41c9-8744-04a3a506f0fc.pdf&amp;Inline=true</t>
        </is>
      </c>
      <c r="AH1835" s="3" t="n">
        <v>46321.77847222222</v>
      </c>
      <c r="AI1835" s="3" t="n">
        <v>46321.78055555555</v>
      </c>
      <c r="AJ1835" s="2" t="inlineStr"/>
    </row>
    <row r="1836">
      <c r="A1836" s="2" t="n">
        <v>1835</v>
      </c>
      <c r="B1836" s="2" t="inlineStr">
        <is>
          <t>1736C</t>
        </is>
      </c>
      <c r="C1836" s="3" t="n">
        <v>45968.68680555555</v>
      </c>
      <c r="D1836" s="2" t="inlineStr">
        <is>
          <t>Original</t>
        </is>
      </c>
      <c r="E1836" s="2" t="inlineStr">
        <is>
          <t>L</t>
        </is>
      </c>
      <c r="F1836" s="2" t="inlineStr">
        <is>
          <t>Filipa Pinto; Isabel Mendes Lopes; Jorge Pinto; Patrícia Gonçalves; Paulo Muacho; Rui Tavares</t>
        </is>
      </c>
      <c r="G1836" s="2" t="inlineStr">
        <is>
          <t>Art. 60.º (substituição)</t>
        </is>
      </c>
      <c r="H1836" s="2" t="n"/>
      <c r="I1836" s="2" t="n"/>
      <c r="J1836" s="2" t="n"/>
      <c r="K1836" s="2" t="n"/>
      <c r="L1836" s="2" t="inlineStr">
        <is>
          <t>N.º 1, Artigo 70.º do Código do IRS, constante da PPL</t>
        </is>
      </c>
      <c r="M1836" s="4" t="n"/>
      <c r="N1836" s="4" t="n"/>
      <c r="O1836" s="2" t="n"/>
      <c r="P1836" s="2" t="n"/>
      <c r="Q1836" s="2" t="n"/>
      <c r="R1836" s="2" t="n"/>
      <c r="S1836" s="2" t="inlineStr">
        <is>
          <t>Rejeitado(a) em Comissão</t>
        </is>
      </c>
      <c r="T1836" s="2" t="inlineStr">
        <is>
          <t>Rejeitada</t>
        </is>
      </c>
      <c r="U1836" s="2" t="inlineStr">
        <is>
          <t>Favor: L, BE, PAN; Contra: PSD, CDS-PP; Abstenção: CH, PS, IL, PCP</t>
        </is>
      </c>
      <c r="V1836" s="3" t="n">
        <v>45981</v>
      </c>
      <c r="W1836" s="2" t="inlineStr">
        <is>
          <t>AR: https://www.parlamento.pt/OrcamentoEstado/Paginas/DetalhePropostaAlteracao.aspx?BID=24985 PDF: https://app.parlamento.pt/webutils/docs/doc.pdf?path=6148523063484d364c793942556b356c6443397a6158526c63793959566b6c4a544556484c3039464c7a49774d6a59794d4449314d5441774f5339515153396d596a553459544534595330304f4463334c545131595445744f444a6c4e53316b59324a684d44417a59544e6c5a5745756347526d&amp;Fich=fb58a18a-4877-45a1-82e5-dcba003a3eea.pdf&amp;Inline=true</t>
        </is>
      </c>
      <c r="X1836" s="2" t="inlineStr">
        <is>
          <t>Trabalho, Segurança Social e Inclusão</t>
        </is>
      </c>
      <c r="Y1836" s="2" t="inlineStr">
        <is>
          <t>Articulado</t>
        </is>
      </c>
      <c r="Z1836" s="2" t="inlineStr">
        <is>
          <t>Substituição</t>
        </is>
      </c>
      <c r="AA1836" s="2" t="inlineStr">
        <is>
          <t>Rejeitado(a) em Comissão</t>
        </is>
      </c>
      <c r="AB1836" s="2" t="inlineStr"/>
      <c r="AC1836" s="2" t="inlineStr"/>
      <c r="AD1836" s="2" t="inlineStr">
        <is>
          <t>1</t>
        </is>
      </c>
      <c r="AE1836" s="2" t="inlineStr">
        <is>
          <t>24985</t>
        </is>
      </c>
      <c r="AF1836" s="2" t="inlineStr">
        <is>
          <t>https://www.parlamento.pt/OrcamentoEstado/Paginas/DetalhePropostaAlteracao.aspx?BID=24985</t>
        </is>
      </c>
      <c r="AG1836" s="2" t="inlineStr">
        <is>
          <t>https://app.parlamento.pt/webutils/docs/doc.pdf?path=6148523063484d364c793942556b356c6443397a6158526c63793959566b6c4a544556484c3039464c7a49774d6a59794d4449314d5441774f5339515153396d596a553459544534595330304f4463334c545131595445744f444a6c4e53316b59324a684d44417a59544e6c5a5745756347526d&amp;Fich=fb58a18a-4877-45a1-82e5-dcba003a3eea.pdf&amp;Inline=true</t>
        </is>
      </c>
      <c r="AH1836" s="3" t="n">
        <v>46321.77847222222</v>
      </c>
      <c r="AI1836" s="3" t="n">
        <v>46321.78055555555</v>
      </c>
      <c r="AJ1836" s="2" t="inlineStr"/>
    </row>
    <row r="1837">
      <c r="A1837" s="2" t="n">
        <v>1836</v>
      </c>
      <c r="B1837" s="2" t="inlineStr">
        <is>
          <t>1737C</t>
        </is>
      </c>
      <c r="C1837" s="3" t="n">
        <v>45968.68680555555</v>
      </c>
      <c r="D1837" s="2" t="inlineStr">
        <is>
          <t>Original</t>
        </is>
      </c>
      <c r="E1837" s="2" t="inlineStr">
        <is>
          <t>PCP</t>
        </is>
      </c>
      <c r="F1837" s="2" t="inlineStr">
        <is>
          <t>Alfredo Maia; Paula Santos; Paulo Raimundo</t>
        </is>
      </c>
      <c r="G1837" s="2" t="inlineStr">
        <is>
          <t>Art. 1.º (substituição)</t>
        </is>
      </c>
      <c r="H1837" s="2" t="n"/>
      <c r="I1837" s="2" t="n"/>
      <c r="J1837" s="2" t="n"/>
      <c r="K1837" s="2" t="n"/>
      <c r="L1837" s="2" t="inlineStr">
        <is>
          <t>Mapa 4, Reforço da verba, € 326.093,84</t>
        </is>
      </c>
      <c r="M1837" s="4" t="n"/>
      <c r="N1837" s="4" t="n"/>
      <c r="O1837" s="2" t="n"/>
      <c r="P1837" s="2" t="n"/>
      <c r="Q1837" s="2" t="n"/>
      <c r="R1837" s="2" t="n"/>
      <c r="S1837" s="2" t="inlineStr">
        <is>
          <t>Rejeitado(a) em Comissão</t>
        </is>
      </c>
      <c r="T1837" s="2" t="inlineStr">
        <is>
          <t>Rejeitada</t>
        </is>
      </c>
      <c r="U1837" s="2" t="inlineStr">
        <is>
          <t>Favor: L, PCP, BE, PAN; Contra: PSD, CH, IL, CDS-PP; Abstenção: PS</t>
        </is>
      </c>
      <c r="V1837" s="3" t="n">
        <v>45987</v>
      </c>
      <c r="W1837" s="2" t="inlineStr">
        <is>
          <t>AR: https://www.parlamento.pt/OrcamentoEstado/Paginas/DetalhePropostaAlteracao.aspx?BID=24986 PDF: https://app.parlamento.pt/webutils/docs/doc.pdf?path=6148523063484d364c793942556b356c6443397a6158526c63793959566b6c4a544556484c3039464c7a49774d6a59794d4449314d5441774f533951515338314e6d45354e47566a4e533168596a4e694c5451344f5455744f4442694e5330795a475a695a6a45345a574e684e5449756347526d&amp;Fich=56a94ec5-ab3b-4895-80b5-2dfbf18eca52.pdf&amp;Inline=true</t>
        </is>
      </c>
      <c r="X1837" s="2" t="inlineStr">
        <is>
          <t>Saúde</t>
        </is>
      </c>
      <c r="Y1837" s="2" t="inlineStr">
        <is>
          <t>Mapas</t>
        </is>
      </c>
      <c r="Z1837" s="2" t="inlineStr">
        <is>
          <t>Substituição</t>
        </is>
      </c>
      <c r="AA1837" s="2" t="inlineStr">
        <is>
          <t>Rejeitado(a) em Comissão</t>
        </is>
      </c>
      <c r="AB1837" s="2" t="inlineStr"/>
      <c r="AC1837" s="2" t="inlineStr"/>
      <c r="AD1837" s="2" t="inlineStr">
        <is>
          <t>1</t>
        </is>
      </c>
      <c r="AE1837" s="2" t="inlineStr">
        <is>
          <t>24986</t>
        </is>
      </c>
      <c r="AF1837" s="2" t="inlineStr">
        <is>
          <t>https://www.parlamento.pt/OrcamentoEstado/Paginas/DetalhePropostaAlteracao.aspx?BID=24986</t>
        </is>
      </c>
      <c r="AG1837" s="2" t="inlineStr">
        <is>
          <t>https://app.parlamento.pt/webutils/docs/doc.pdf?path=6148523063484d364c793942556b356c6443397a6158526c63793959566b6c4a544556484c3039464c7a49774d6a59794d4449314d5441774f533951515338314e6d45354e47566a4e533168596a4e694c5451344f5455744f4442694e5330795a475a695a6a45345a574e684e5449756347526d&amp;Fich=56a94ec5-ab3b-4895-80b5-2dfbf18eca52.pdf&amp;Inline=true</t>
        </is>
      </c>
      <c r="AH1837" s="3" t="n">
        <v>46321.77847222222</v>
      </c>
      <c r="AI1837" s="3" t="n">
        <v>46321.78055555555</v>
      </c>
      <c r="AJ1837" s="2" t="inlineStr"/>
    </row>
    <row r="1838">
      <c r="A1838" s="2" t="n">
        <v>1837</v>
      </c>
      <c r="B1838" s="2" t="inlineStr">
        <is>
          <t>1738C</t>
        </is>
      </c>
      <c r="C1838" s="3" t="n">
        <v>45968.68680555555</v>
      </c>
      <c r="D1838" s="2" t="inlineStr">
        <is>
          <t>Original</t>
        </is>
      </c>
      <c r="E1838" s="2" t="inlineStr">
        <is>
          <t>CH</t>
        </is>
      </c>
      <c r="F183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38" s="2" t="inlineStr">
        <is>
          <t>Art. 127.º-A (aditamento)</t>
        </is>
      </c>
      <c r="H1838" s="2" t="n"/>
      <c r="I1838" s="2" t="n"/>
      <c r="J1838" s="2" t="n"/>
      <c r="K1838" s="2" t="n"/>
      <c r="L1838" s="2" t="inlineStr">
        <is>
          <t>Artigo 127.º-A (Apoio à descarbonização do setor do Táxi)</t>
        </is>
      </c>
      <c r="M1838" s="4" t="n"/>
      <c r="N1838" s="4" t="n"/>
      <c r="O1838" s="2" t="n"/>
      <c r="P1838" s="2" t="n"/>
      <c r="Q1838" s="2" t="n"/>
      <c r="R1838" s="2" t="n"/>
      <c r="S1838" s="2" t="inlineStr">
        <is>
          <t>Rejeitado(a) em Comissão</t>
        </is>
      </c>
      <c r="T1838" s="2" t="inlineStr">
        <is>
          <t>Rejeitada</t>
        </is>
      </c>
      <c r="U1838" s="2" t="inlineStr">
        <is>
          <t>Favor: CH, BE, PAN; Contra: PSD, IL, CDS-PP; Abstenção: PS, L, PCP</t>
        </is>
      </c>
      <c r="V1838" s="3" t="n">
        <v>45985</v>
      </c>
      <c r="W1838" s="2" t="inlineStr">
        <is>
          <t>AR: https://www.parlamento.pt/OrcamentoEstado/Paginas/DetalhePropostaAlteracao.aspx?BID=24987 PDF: https://app.parlamento.pt/webutils/docs/doc.pdf?path=6148523063484d364c793942556b356c6443397a6158526c63793959566b6c4a544556484c3039464c7a49774d6a59794d4449314d5441774f533951515338304d6a4e6d4e544a694d6930355a5459324c54513259324974596d497a4d693079597a5a6d4e4745305a575a6b4e4467756347526d&amp;Fich=423f52b2-9e66-46cb-bb32-2c6f4a4efd48.pdf&amp;Inline=true</t>
        </is>
      </c>
      <c r="X1838" s="2" t="inlineStr">
        <is>
          <t>Ambiente e Energia</t>
        </is>
      </c>
      <c r="Y1838" s="2" t="inlineStr">
        <is>
          <t>Articulado</t>
        </is>
      </c>
      <c r="Z1838" s="2" t="inlineStr">
        <is>
          <t>Aditamento (Artigo PPL)</t>
        </is>
      </c>
      <c r="AA1838" s="2" t="inlineStr">
        <is>
          <t>Rejeitado(a) em Comissão</t>
        </is>
      </c>
      <c r="AB1838" s="2" t="inlineStr"/>
      <c r="AC1838" s="2" t="inlineStr"/>
      <c r="AD1838" s="2" t="inlineStr">
        <is>
          <t>1</t>
        </is>
      </c>
      <c r="AE1838" s="2" t="inlineStr">
        <is>
          <t>24987</t>
        </is>
      </c>
      <c r="AF1838" s="2" t="inlineStr">
        <is>
          <t>https://www.parlamento.pt/OrcamentoEstado/Paginas/DetalhePropostaAlteracao.aspx?BID=24987</t>
        </is>
      </c>
      <c r="AG1838" s="2" t="inlineStr">
        <is>
          <t>https://app.parlamento.pt/webutils/docs/doc.pdf?path=6148523063484d364c793942556b356c6443397a6158526c63793959566b6c4a544556484c3039464c7a49774d6a59794d4449314d5441774f533951515338304d6a4e6d4e544a694d6930355a5459324c54513259324974596d497a4d693079597a5a6d4e4745305a575a6b4e4467756347526d&amp;Fich=423f52b2-9e66-46cb-bb32-2c6f4a4efd48.pdf&amp;Inline=true</t>
        </is>
      </c>
      <c r="AH1838" s="3" t="n">
        <v>46321.77847222222</v>
      </c>
      <c r="AI1838" s="3" t="n">
        <v>46321.78055555555</v>
      </c>
      <c r="AJ1838" s="2" t="inlineStr"/>
    </row>
    <row r="1839">
      <c r="A1839" s="2" t="n">
        <v>1838</v>
      </c>
      <c r="B1839" s="2" t="inlineStr">
        <is>
          <t>1739C</t>
        </is>
      </c>
      <c r="C1839" s="3" t="n">
        <v>45968.68680555555</v>
      </c>
      <c r="D1839" s="2" t="inlineStr">
        <is>
          <t>Original</t>
        </is>
      </c>
      <c r="E1839" s="2" t="inlineStr">
        <is>
          <t>PS</t>
        </is>
      </c>
      <c r="F1839" s="2" t="inlineStr">
        <is>
          <t>António Mendonça Mendes; Eurico Brilhante Dias; José Luís Carneiro; Júlia Rodrigues; Marina Gonçalves; Miguel Matos; Pedro do Carmo</t>
        </is>
      </c>
      <c r="G1839" s="2" t="inlineStr">
        <is>
          <t>Art. 128.º-A (aditamento)</t>
        </is>
      </c>
      <c r="H1839" s="2" t="n"/>
      <c r="I1839" s="2" t="n"/>
      <c r="J1839" s="2" t="n"/>
      <c r="K1839" s="2" t="n"/>
      <c r="L1839" s="2" t="inlineStr">
        <is>
          <t>Artigo 128.º-A (Atualização das taxas de amortização das plantações de amora e de framboesa)</t>
        </is>
      </c>
      <c r="M1839" s="4" t="n"/>
      <c r="N1839" s="4" t="n"/>
      <c r="O1839" s="2" t="n"/>
      <c r="P1839" s="2" t="n"/>
      <c r="Q1839" s="2" t="n"/>
      <c r="R1839" s="2" t="n"/>
      <c r="S1839" s="2" t="inlineStr">
        <is>
          <t>Rejeitado(a) em Comissão</t>
        </is>
      </c>
      <c r="T1839" s="2" t="inlineStr">
        <is>
          <t>Rejeitada</t>
        </is>
      </c>
      <c r="U1839" s="2" t="inlineStr">
        <is>
          <t>Favor: PS, L, PCP; Contra: PSD, CDS-PP; Abstenção: CH, IL, BE, PAN</t>
        </is>
      </c>
      <c r="V1839" s="3" t="n">
        <v>45985</v>
      </c>
      <c r="W1839" s="2" t="inlineStr">
        <is>
          <t>AR: https://www.parlamento.pt/OrcamentoEstado/Paginas/DetalhePropostaAlteracao.aspx?BID=24988 PDF: https://app.parlamento.pt/webutils/docs/doc.pdf?path=6148523063484d364c793942556b356c6443397a6158526c63793959566b6c4a544556484c3039464c7a49774d6a59794d4449314d5441774f533951515339684f575a6d4d32466b5a5330334d5746694c5451794f444974596d457a4d433034597a52695954557a5a5456684e6d49756347526d&amp;Fich=a9ff3ade-71ab-4282-ba30-8c4ba53e5a6b.pdf&amp;Inline=true</t>
        </is>
      </c>
      <c r="X1839" s="2" t="inlineStr">
        <is>
          <t>Agricultura e Pescas; Orçamento, Finanças e Administração Pública</t>
        </is>
      </c>
      <c r="Y1839" s="2" t="inlineStr">
        <is>
          <t>Articulado</t>
        </is>
      </c>
      <c r="Z1839" s="2" t="inlineStr">
        <is>
          <t>Aditamento (Artigo PPL)</t>
        </is>
      </c>
      <c r="AA1839" s="2" t="inlineStr">
        <is>
          <t>Rejeitado(a) em Comissão</t>
        </is>
      </c>
      <c r="AB1839" s="2" t="inlineStr"/>
      <c r="AC1839" s="2" t="inlineStr"/>
      <c r="AD1839" s="2" t="inlineStr">
        <is>
          <t>1</t>
        </is>
      </c>
      <c r="AE1839" s="2" t="inlineStr">
        <is>
          <t>24988</t>
        </is>
      </c>
      <c r="AF1839" s="2" t="inlineStr">
        <is>
          <t>https://www.parlamento.pt/OrcamentoEstado/Paginas/DetalhePropostaAlteracao.aspx?BID=24988</t>
        </is>
      </c>
      <c r="AG1839" s="2" t="inlineStr">
        <is>
          <t>https://app.parlamento.pt/webutils/docs/doc.pdf?path=6148523063484d364c793942556b356c6443397a6158526c63793959566b6c4a544556484c3039464c7a49774d6a59794d4449314d5441774f533951515339684f575a6d4d32466b5a5330334d5746694c5451794f444974596d457a4d433034597a52695954557a5a5456684e6d49756347526d&amp;Fich=a9ff3ade-71ab-4282-ba30-8c4ba53e5a6b.pdf&amp;Inline=true</t>
        </is>
      </c>
      <c r="AH1839" s="3" t="n">
        <v>46321.77847222222</v>
      </c>
      <c r="AI1839" s="3" t="n">
        <v>46321.78055555555</v>
      </c>
      <c r="AJ1839" s="2" t="inlineStr"/>
    </row>
    <row r="1840">
      <c r="A1840" s="2" t="n">
        <v>1839</v>
      </c>
      <c r="B1840" s="2" t="inlineStr">
        <is>
          <t>1740C</t>
        </is>
      </c>
      <c r="C1840" s="3" t="n">
        <v>45968.6875</v>
      </c>
      <c r="D1840" s="2" t="inlineStr">
        <is>
          <t>Original</t>
        </is>
      </c>
      <c r="E1840" s="2" t="inlineStr">
        <is>
          <t>PCP</t>
        </is>
      </c>
      <c r="F1840" s="2" t="inlineStr">
        <is>
          <t>Alfredo Maia; Paula Santos; Paulo Raimundo</t>
        </is>
      </c>
      <c r="G1840" s="2" t="inlineStr">
        <is>
          <t>Art. 1.º (substituição)</t>
        </is>
      </c>
      <c r="H1840" s="2" t="n"/>
      <c r="I1840" s="2" t="n"/>
      <c r="J1840" s="2" t="n"/>
      <c r="K1840" s="2" t="n"/>
      <c r="L1840" s="2" t="inlineStr">
        <is>
          <t>Mapa 4, Reforço da verba, € 45.000.000</t>
        </is>
      </c>
      <c r="M1840" s="4" t="n"/>
      <c r="N1840" s="4" t="n"/>
      <c r="O1840" s="2" t="n"/>
      <c r="P1840" s="2" t="n"/>
      <c r="Q1840" s="2" t="n"/>
      <c r="R1840" s="2" t="n"/>
      <c r="S1840" s="2" t="inlineStr">
        <is>
          <t>Rejeitado(a) em Comissão</t>
        </is>
      </c>
      <c r="T1840" s="2" t="inlineStr">
        <is>
          <t>Rejeitada</t>
        </is>
      </c>
      <c r="U1840" s="2" t="inlineStr">
        <is>
          <t>Favor: L, PCP, BE, PAN; Contra: PSD, IL, CDS-PP; Abstenção: CH, PS</t>
        </is>
      </c>
      <c r="V1840" s="3" t="n">
        <v>45987</v>
      </c>
      <c r="W1840" s="2" t="inlineStr">
        <is>
          <t>AR: https://www.parlamento.pt/OrcamentoEstado/Paginas/DetalhePropostaAlteracao.aspx?BID=24989 PDF: https://app.parlamento.pt/webutils/docs/doc.pdf?path=6148523063484d364c793942556b356c6443397a6158526c63793959566b6c4a544556484c3039464c7a49774d6a59794d4449314d5441774f5339515153396d5a5449355a6a6c6d595330334e32597a4c5451784f4751744f5441304d5330304e7a637a4d3259784d444d7a4e7a45756347526d&amp;Fich=fe29f9fa-77f3-418d-9041-47733f103371.pdf&amp;Inline=true</t>
        </is>
      </c>
      <c r="X1840" s="2" t="inlineStr">
        <is>
          <t>Saúde</t>
        </is>
      </c>
      <c r="Y1840" s="2" t="inlineStr">
        <is>
          <t>Mapas</t>
        </is>
      </c>
      <c r="Z1840" s="2" t="inlineStr">
        <is>
          <t>Substituição</t>
        </is>
      </c>
      <c r="AA1840" s="2" t="inlineStr">
        <is>
          <t>Rejeitado(a) em Comissão</t>
        </is>
      </c>
      <c r="AB1840" s="2" t="inlineStr"/>
      <c r="AC1840" s="2" t="inlineStr"/>
      <c r="AD1840" s="2" t="inlineStr">
        <is>
          <t>1</t>
        </is>
      </c>
      <c r="AE1840" s="2" t="inlineStr">
        <is>
          <t>24989</t>
        </is>
      </c>
      <c r="AF1840" s="2" t="inlineStr">
        <is>
          <t>https://www.parlamento.pt/OrcamentoEstado/Paginas/DetalhePropostaAlteracao.aspx?BID=24989</t>
        </is>
      </c>
      <c r="AG1840" s="2" t="inlineStr">
        <is>
          <t>https://app.parlamento.pt/webutils/docs/doc.pdf?path=6148523063484d364c793942556b356c6443397a6158526c63793959566b6c4a544556484c3039464c7a49774d6a59794d4449314d5441774f5339515153396d5a5449355a6a6c6d595330334e32597a4c5451784f4751744f5441304d5330304e7a637a4d3259784d444d7a4e7a45756347526d&amp;Fich=fe29f9fa-77f3-418d-9041-47733f103371.pdf&amp;Inline=true</t>
        </is>
      </c>
      <c r="AH1840" s="3" t="n">
        <v>46321.77847222222</v>
      </c>
      <c r="AI1840" s="3" t="n">
        <v>46321.78055555555</v>
      </c>
      <c r="AJ1840" s="2" t="inlineStr"/>
    </row>
    <row r="1841">
      <c r="A1841" s="2" t="n">
        <v>1840</v>
      </c>
      <c r="B1841" s="2" t="inlineStr">
        <is>
          <t>1741C</t>
        </is>
      </c>
      <c r="C1841" s="3" t="n">
        <v>45968.6875</v>
      </c>
      <c r="D1841" s="2" t="inlineStr">
        <is>
          <t>Original</t>
        </is>
      </c>
      <c r="E1841" s="2" t="inlineStr">
        <is>
          <t>CH</t>
        </is>
      </c>
      <c r="F184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41" s="2" t="inlineStr">
        <is>
          <t>Art. 136.º-A (aditamento)</t>
        </is>
      </c>
      <c r="H1841" s="2" t="n"/>
      <c r="I1841" s="2" t="n"/>
      <c r="J1841" s="2" t="n"/>
      <c r="K1841" s="2" t="n"/>
      <c r="L1841" s="2" t="inlineStr">
        <is>
          <t>Artigo 136.º-A (Alteração à Lei n.º 55/2012, de 6 de setembro)</t>
        </is>
      </c>
      <c r="M1841" s="4" t="n"/>
      <c r="N1841" s="4" t="n"/>
      <c r="O1841" s="2" t="n"/>
      <c r="P1841" s="2" t="n"/>
      <c r="Q1841" s="2" t="n"/>
      <c r="R1841" s="2" t="n"/>
      <c r="S1841" s="2" t="inlineStr">
        <is>
          <t>Rejeitado(a) em Comissão</t>
        </is>
      </c>
      <c r="T1841" s="2" t="inlineStr">
        <is>
          <t>Rejeitada</t>
        </is>
      </c>
      <c r="U1841" s="2" t="inlineStr">
        <is>
          <t>Favor: CH, BE, PAN; Contra: PSD, IL, CDS-PP; Abstenção: PS, L, PCP</t>
        </is>
      </c>
      <c r="V1841" s="3" t="n">
        <v>45987</v>
      </c>
      <c r="W1841" s="2" t="inlineStr">
        <is>
          <t>AR: https://www.parlamento.pt/OrcamentoEstado/Paginas/DetalhePropostaAlteracao.aspx?BID=24990 PDF: https://app.parlamento.pt/webutils/docs/doc.pdf?path=6148523063484d364c793942556b356c6443397a6158526c63793959566b6c4a544556484c3039464c7a49774d6a59794d4449314d5441774f533951515339684e544d784f4451334d53316b4e6a46684c5452684d444574596a526d4e7930354e5745794f5751344e7a63344e5749756347526d&amp;Fich=a5318471-d61a-4a01-b4f7-95a29d87785b.pdf&amp;Inline=true</t>
        </is>
      </c>
      <c r="X1841" s="2" t="inlineStr">
        <is>
          <t>Comissão de Economia e Coesão Territorial; Orçamento, Finanças e Administração Pública</t>
        </is>
      </c>
      <c r="Y1841" s="2" t="inlineStr">
        <is>
          <t>Articulado</t>
        </is>
      </c>
      <c r="Z1841" s="2" t="inlineStr">
        <is>
          <t>Aditamento (Artigo PPL)</t>
        </is>
      </c>
      <c r="AA1841" s="2" t="inlineStr">
        <is>
          <t>Rejeitado(a) em Comissão</t>
        </is>
      </c>
      <c r="AB1841" s="2" t="inlineStr"/>
      <c r="AC1841" s="2" t="inlineStr"/>
      <c r="AD1841" s="2" t="inlineStr">
        <is>
          <t>1</t>
        </is>
      </c>
      <c r="AE1841" s="2" t="inlineStr">
        <is>
          <t>24990</t>
        </is>
      </c>
      <c r="AF1841" s="2" t="inlineStr">
        <is>
          <t>https://www.parlamento.pt/OrcamentoEstado/Paginas/DetalhePropostaAlteracao.aspx?BID=24990</t>
        </is>
      </c>
      <c r="AG1841" s="2" t="inlineStr">
        <is>
          <t>https://app.parlamento.pt/webutils/docs/doc.pdf?path=6148523063484d364c793942556b356c6443397a6158526c63793959566b6c4a544556484c3039464c7a49774d6a59794d4449314d5441774f533951515339684e544d784f4451334d53316b4e6a46684c5452684d444574596a526d4e7930354e5745794f5751344e7a63344e5749756347526d&amp;Fich=a5318471-d61a-4a01-b4f7-95a29d87785b.pdf&amp;Inline=true</t>
        </is>
      </c>
      <c r="AH1841" s="3" t="n">
        <v>46321.77847222222</v>
      </c>
      <c r="AI1841" s="3" t="n">
        <v>46321.78055555555</v>
      </c>
      <c r="AJ1841" s="2" t="inlineStr"/>
    </row>
    <row r="1842">
      <c r="A1842" s="2" t="n">
        <v>1841</v>
      </c>
      <c r="B1842" s="2" t="inlineStr">
        <is>
          <t>1742C</t>
        </is>
      </c>
      <c r="C1842" s="3" t="n">
        <v>45968.6875</v>
      </c>
      <c r="D1842" s="2" t="inlineStr">
        <is>
          <t>Original</t>
        </is>
      </c>
      <c r="E1842" s="2" t="inlineStr">
        <is>
          <t>CH</t>
        </is>
      </c>
      <c r="F184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42" s="2" t="inlineStr">
        <is>
          <t>Art. 136.º-A (aditamento)</t>
        </is>
      </c>
      <c r="H1842" s="2" t="n"/>
      <c r="I1842" s="2" t="n"/>
      <c r="J1842" s="2" t="n"/>
      <c r="K1842" s="2" t="n"/>
      <c r="L1842" s="2" t="inlineStr">
        <is>
          <t>Artigo 136.º-A (Liquidação dos pagamentos em atraso na Cultura)</t>
        </is>
      </c>
      <c r="M1842" s="4" t="n"/>
      <c r="N1842" s="4" t="n"/>
      <c r="O1842" s="2" t="n"/>
      <c r="P1842" s="2" t="n"/>
      <c r="Q1842" s="2" t="n"/>
      <c r="R1842" s="2" t="n"/>
      <c r="S1842" s="2" t="inlineStr">
        <is>
          <t>Rejeitado(a) em Comissão</t>
        </is>
      </c>
      <c r="T1842" s="2" t="inlineStr">
        <is>
          <t>Rejeitada</t>
        </is>
      </c>
      <c r="U1842" s="2" t="inlineStr">
        <is>
          <t>Favor: CH, BE, PAN; Contra: PSD, CDS-PP; Abstenção: PS, IL, L, PCP</t>
        </is>
      </c>
      <c r="V1842" s="3" t="n">
        <v>45987</v>
      </c>
      <c r="W1842" s="2" t="inlineStr">
        <is>
          <t>AR: https://www.parlamento.pt/OrcamentoEstado/Paginas/DetalhePropostaAlteracao.aspx?BID=24991 PDF: https://app.parlamento.pt/webutils/docs/doc.pdf?path=6148523063484d364c793942556b356c6443397a6158526c63793959566b6c4a544556484c3039464c7a49774d6a59794d4449314d5441774f533951515339684d5455774e474e684e5330774d5745774c54526b5a5463744f47466b4d6930344e6d49774e544d784d7a51334e6a63756347526d&amp;Fich=a1504ca5-01a0-4de7-8ad2-86b053134767.pdf&amp;Inline=true</t>
        </is>
      </c>
      <c r="X1842" s="2" t="inlineStr">
        <is>
          <t>Cultura, Comunicação, Juventude e Desporto</t>
        </is>
      </c>
      <c r="Y1842" s="2" t="inlineStr">
        <is>
          <t>Articulado</t>
        </is>
      </c>
      <c r="Z1842" s="2" t="inlineStr">
        <is>
          <t>Aditamento (Artigo PPL)</t>
        </is>
      </c>
      <c r="AA1842" s="2" t="inlineStr">
        <is>
          <t>Rejeitado(a) em Comissão</t>
        </is>
      </c>
      <c r="AB1842" s="2" t="inlineStr"/>
      <c r="AC1842" s="2" t="inlineStr"/>
      <c r="AD1842" s="2" t="inlineStr">
        <is>
          <t>1</t>
        </is>
      </c>
      <c r="AE1842" s="2" t="inlineStr">
        <is>
          <t>24991</t>
        </is>
      </c>
      <c r="AF1842" s="2" t="inlineStr">
        <is>
          <t>https://www.parlamento.pt/OrcamentoEstado/Paginas/DetalhePropostaAlteracao.aspx?BID=24991</t>
        </is>
      </c>
      <c r="AG1842" s="2" t="inlineStr">
        <is>
          <t>https://app.parlamento.pt/webutils/docs/doc.pdf?path=6148523063484d364c793942556b356c6443397a6158526c63793959566b6c4a544556484c3039464c7a49774d6a59794d4449314d5441774f533951515339684d5455774e474e684e5330774d5745774c54526b5a5463744f47466b4d6930344e6d49774e544d784d7a51334e6a63756347526d&amp;Fich=a1504ca5-01a0-4de7-8ad2-86b053134767.pdf&amp;Inline=true</t>
        </is>
      </c>
      <c r="AH1842" s="3" t="n">
        <v>46321.77847222222</v>
      </c>
      <c r="AI1842" s="3" t="n">
        <v>46321.78055555555</v>
      </c>
      <c r="AJ1842" s="2" t="inlineStr"/>
    </row>
    <row r="1843">
      <c r="A1843" s="2" t="n">
        <v>1842</v>
      </c>
      <c r="B1843" s="2" t="inlineStr">
        <is>
          <t>1743C</t>
        </is>
      </c>
      <c r="C1843" s="3" t="n">
        <v>45968.68819444445</v>
      </c>
      <c r="D1843" s="2" t="inlineStr">
        <is>
          <t>Original</t>
        </is>
      </c>
      <c r="E1843" s="2" t="inlineStr">
        <is>
          <t>BE</t>
        </is>
      </c>
      <c r="F1843" s="2" t="inlineStr">
        <is>
          <t>Mariana Mortágua</t>
        </is>
      </c>
      <c r="G1843" s="2" t="inlineStr">
        <is>
          <t>Art. 113.º-A (aditamento)</t>
        </is>
      </c>
      <c r="H1843" s="2" t="n"/>
      <c r="I1843" s="2" t="n"/>
      <c r="J1843" s="2" t="n"/>
      <c r="K1843" s="2" t="n"/>
      <c r="L1843" s="2" t="inlineStr">
        <is>
          <t>Artigo 113.º-A (Melhoramentos no traçado do IC28 entre Ponte da Barca e Lindoso)</t>
        </is>
      </c>
      <c r="M1843" s="4" t="n"/>
      <c r="N1843" s="4" t="n"/>
      <c r="O1843" s="2" t="n"/>
      <c r="P1843" s="2" t="n"/>
      <c r="Q1843" s="2" t="n"/>
      <c r="R1843" s="2" t="n"/>
      <c r="S1843" s="2" t="inlineStr">
        <is>
          <t>Rejeitado(a) em Comissão</t>
        </is>
      </c>
      <c r="T1843" s="2" t="inlineStr">
        <is>
          <t>Rejeitada</t>
        </is>
      </c>
      <c r="U1843" s="2" t="inlineStr">
        <is>
          <t>Favor: CH, L, PCP, BE, PAN; Contra: PSD, CDS-PP; Abstenção: PS, IL</t>
        </is>
      </c>
      <c r="V1843" s="3" t="n">
        <v>45985</v>
      </c>
      <c r="W1843" s="2" t="inlineStr">
        <is>
          <t>AR: https://www.parlamento.pt/OrcamentoEstado/Paginas/DetalhePropostaAlteracao.aspx?BID=24992 PDF: https://app.parlamento.pt/webutils/docs/doc.pdf?path=6148523063484d364c793942556b356c6443397a6158526c63793959566b6c4a544556484c3039464c7a49774d6a59794d4449314d5441774f533951515338774e47566b5a444d7959693077596d59774c54513059546374596a566a597931694d546b784e7a5a694e4752694e4463756347526d&amp;Fich=04edd32b-0bf0-44a7-b5cc-b19176b4db47.pdf&amp;Inline=true</t>
        </is>
      </c>
      <c r="X1843" s="2" t="inlineStr">
        <is>
          <t>Comissão de Economia e Coesão Territorial</t>
        </is>
      </c>
      <c r="Y1843" s="2" t="inlineStr">
        <is>
          <t>Articulado</t>
        </is>
      </c>
      <c r="Z1843" s="2" t="inlineStr">
        <is>
          <t>Aditamento (Artigo PPL)</t>
        </is>
      </c>
      <c r="AA1843" s="2" t="inlineStr">
        <is>
          <t>Rejeitado(a) em Comissão</t>
        </is>
      </c>
      <c r="AB1843" s="2" t="inlineStr"/>
      <c r="AC1843" s="2" t="inlineStr"/>
      <c r="AD1843" s="2" t="inlineStr">
        <is>
          <t>1</t>
        </is>
      </c>
      <c r="AE1843" s="2" t="inlineStr">
        <is>
          <t>24992</t>
        </is>
      </c>
      <c r="AF1843" s="2" t="inlineStr">
        <is>
          <t>https://www.parlamento.pt/OrcamentoEstado/Paginas/DetalhePropostaAlteracao.aspx?BID=24992</t>
        </is>
      </c>
      <c r="AG1843" s="2" t="inlineStr">
        <is>
          <t>https://app.parlamento.pt/webutils/docs/doc.pdf?path=6148523063484d364c793942556b356c6443397a6158526c63793959566b6c4a544556484c3039464c7a49774d6a59794d4449314d5441774f533951515338774e47566b5a444d7959693077596d59774c54513059546374596a566a597931694d546b784e7a5a694e4752694e4463756347526d&amp;Fich=04edd32b-0bf0-44a7-b5cc-b19176b4db47.pdf&amp;Inline=true</t>
        </is>
      </c>
      <c r="AH1843" s="3" t="n">
        <v>46321.77847222222</v>
      </c>
      <c r="AI1843" s="3" t="n">
        <v>46321.78055555555</v>
      </c>
      <c r="AJ1843" s="2" t="inlineStr"/>
    </row>
    <row r="1844">
      <c r="A1844" s="2" t="n">
        <v>1843</v>
      </c>
      <c r="B1844" s="2" t="inlineStr">
        <is>
          <t>1744C</t>
        </is>
      </c>
      <c r="C1844" s="3" t="n">
        <v>45968.68819444445</v>
      </c>
      <c r="D1844" s="2" t="inlineStr">
        <is>
          <t>Original</t>
        </is>
      </c>
      <c r="E1844" s="2" t="inlineStr">
        <is>
          <t>PCP</t>
        </is>
      </c>
      <c r="F1844" s="2" t="inlineStr">
        <is>
          <t>Alfredo Maia; Paula Santos; Paulo Raimundo</t>
        </is>
      </c>
      <c r="G1844" s="2" t="inlineStr">
        <is>
          <t>Art. 121.º-A (aditamento)</t>
        </is>
      </c>
      <c r="H1844" s="2" t="n"/>
      <c r="I1844" s="2" t="n"/>
      <c r="J1844" s="2" t="n"/>
      <c r="K1844" s="2" t="n"/>
      <c r="L1844" s="2" t="inlineStr">
        <is>
          <t>Artigo 121.º-A (Planos de liquidação dos pagamentos em atraso no Serviço Nacional de Saúde)</t>
        </is>
      </c>
      <c r="M1844" s="4" t="n"/>
      <c r="N1844" s="4" t="n"/>
      <c r="O1844" s="2" t="n"/>
      <c r="P1844" s="2" t="n"/>
      <c r="Q1844" s="2" t="n"/>
      <c r="R1844" s="2" t="n"/>
      <c r="S1844" s="2" t="inlineStr">
        <is>
          <t>Rejeitado(a) em Comissão</t>
        </is>
      </c>
      <c r="T1844" s="2" t="inlineStr">
        <is>
          <t>Rejeitada</t>
        </is>
      </c>
      <c r="U1844" s="2" t="inlineStr">
        <is>
          <t>Favor: L, PCP, BE, PAN; Contra: PSD, IL, CDS-PP; Abstenção: CH, PS</t>
        </is>
      </c>
      <c r="V1844" s="3" t="n">
        <v>45985</v>
      </c>
      <c r="W1844" s="2" t="inlineStr">
        <is>
          <t>AR: https://www.parlamento.pt/OrcamentoEstado/Paginas/DetalhePropostaAlteracao.aspx?BID=24993 PDF: https://app.parlamento.pt/webutils/docs/doc.pdf?path=6148523063484d364c793942556b356c6443397a6158526c63793959566b6c4a544556484c3039464c7a49774d6a59794d4449314d5441774f53395151533832596a68694d6a67344e7930784e474e6c4c5451334e6d4d744f54686b4e79316b4e4759314d6a597a4e4459344f4441756347526d&amp;Fich=6b8b2887-14ce-476c-98d7-d4f526346880.pdf&amp;Inline=true</t>
        </is>
      </c>
      <c r="X1844" s="2" t="inlineStr">
        <is>
          <t>Saúde</t>
        </is>
      </c>
      <c r="Y1844" s="2" t="inlineStr">
        <is>
          <t>Articulado</t>
        </is>
      </c>
      <c r="Z1844" s="2" t="inlineStr">
        <is>
          <t>Aditamento (Artigo PPL)</t>
        </is>
      </c>
      <c r="AA1844" s="2" t="inlineStr">
        <is>
          <t>Rejeitado(a) em Comissão</t>
        </is>
      </c>
      <c r="AB1844" s="2" t="inlineStr"/>
      <c r="AC1844" s="2" t="inlineStr"/>
      <c r="AD1844" s="2" t="inlineStr">
        <is>
          <t>1</t>
        </is>
      </c>
      <c r="AE1844" s="2" t="inlineStr">
        <is>
          <t>24993</t>
        </is>
      </c>
      <c r="AF1844" s="2" t="inlineStr">
        <is>
          <t>https://www.parlamento.pt/OrcamentoEstado/Paginas/DetalhePropostaAlteracao.aspx?BID=24993</t>
        </is>
      </c>
      <c r="AG1844" s="2" t="inlineStr">
        <is>
          <t>https://app.parlamento.pt/webutils/docs/doc.pdf?path=6148523063484d364c793942556b356c6443397a6158526c63793959566b6c4a544556484c3039464c7a49774d6a59794d4449314d5441774f53395151533832596a68694d6a67344e7930784e474e6c4c5451334e6d4d744f54686b4e79316b4e4759314d6a597a4e4459344f4441756347526d&amp;Fich=6b8b2887-14ce-476c-98d7-d4f526346880.pdf&amp;Inline=true</t>
        </is>
      </c>
      <c r="AH1844" s="3" t="n">
        <v>46321.77847222222</v>
      </c>
      <c r="AI1844" s="3" t="n">
        <v>46321.78055555555</v>
      </c>
      <c r="AJ1844" s="2" t="inlineStr"/>
    </row>
    <row r="1845">
      <c r="A1845" s="2" t="n">
        <v>1844</v>
      </c>
      <c r="B1845" s="2" t="inlineStr">
        <is>
          <t>1745C</t>
        </is>
      </c>
      <c r="C1845" s="3" t="n">
        <v>45968.68819444445</v>
      </c>
      <c r="D1845" s="2" t="inlineStr">
        <is>
          <t>Original</t>
        </is>
      </c>
      <c r="E1845" s="2" t="inlineStr">
        <is>
          <t>CH</t>
        </is>
      </c>
      <c r="F184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45" s="2" t="inlineStr">
        <is>
          <t>Art. 136.º-A (aditamento)</t>
        </is>
      </c>
      <c r="H1845" s="2" t="n"/>
      <c r="I1845" s="2" t="n"/>
      <c r="J1845" s="2" t="n"/>
      <c r="K1845" s="2" t="n"/>
      <c r="L1845" s="2" t="inlineStr">
        <is>
          <t>Artigo 136.º-A (Construção do Nó Rodoviário dos Caniços na A1, troço Lisboa-Vila Franca de Xira)</t>
        </is>
      </c>
      <c r="M1845" s="4" t="n"/>
      <c r="N1845" s="4" t="n"/>
      <c r="O1845" s="2" t="n"/>
      <c r="P1845" s="2" t="n"/>
      <c r="Q1845" s="2" t="n"/>
      <c r="R1845" s="2" t="n"/>
      <c r="S1845" s="2" t="inlineStr">
        <is>
          <t>Rejeitado(a) em Comissão</t>
        </is>
      </c>
      <c r="T1845" s="2" t="inlineStr">
        <is>
          <t>Rejeitada</t>
        </is>
      </c>
      <c r="U1845" s="2" t="inlineStr">
        <is>
          <t>Favor: CH, BE, PAN; Contra: PSD, CDS-PP; Abstenção: PS, IL, L, PCP</t>
        </is>
      </c>
      <c r="V1845" s="3" t="n">
        <v>45987</v>
      </c>
      <c r="W1845" s="2" t="inlineStr">
        <is>
          <t>AR: https://www.parlamento.pt/OrcamentoEstado/Paginas/DetalhePropostaAlteracao.aspx?BID=24994 PDF: https://app.parlamento.pt/webutils/docs/doc.pdf?path=6148523063484d364c793942556b356c6443397a6158526c63793959566b6c4a544556484c3039464c7a49774d6a59794d4449314d5441774f533951515338325a6a41794e7a55324e5330304d574e6c4c5452695a544974596d49354f4330314d6a6c694d6d52694e54597a4f4441756347526d&amp;Fich=6f027565-41ce-4be2-bb98-529b2db56380.pdf&amp;Inline=true</t>
        </is>
      </c>
      <c r="X1845" s="2" t="inlineStr">
        <is>
          <t>Infraestruturas, Mobilidade e Habitação</t>
        </is>
      </c>
      <c r="Y1845" s="2" t="inlineStr">
        <is>
          <t>Articulado</t>
        </is>
      </c>
      <c r="Z1845" s="2" t="inlineStr">
        <is>
          <t>Aditamento (Artigo PPL)</t>
        </is>
      </c>
      <c r="AA1845" s="2" t="inlineStr">
        <is>
          <t>Rejeitado(a) em Comissão</t>
        </is>
      </c>
      <c r="AB1845" s="2" t="inlineStr"/>
      <c r="AC1845" s="2" t="inlineStr"/>
      <c r="AD1845" s="2" t="inlineStr">
        <is>
          <t>1</t>
        </is>
      </c>
      <c r="AE1845" s="2" t="inlineStr">
        <is>
          <t>24994</t>
        </is>
      </c>
      <c r="AF1845" s="2" t="inlineStr">
        <is>
          <t>https://www.parlamento.pt/OrcamentoEstado/Paginas/DetalhePropostaAlteracao.aspx?BID=24994</t>
        </is>
      </c>
      <c r="AG1845" s="2" t="inlineStr">
        <is>
          <t>https://app.parlamento.pt/webutils/docs/doc.pdf?path=6148523063484d364c793942556b356c6443397a6158526c63793959566b6c4a544556484c3039464c7a49774d6a59794d4449314d5441774f533951515338325a6a41794e7a55324e5330304d574e6c4c5452695a544974596d49354f4330314d6a6c694d6d52694e54597a4f4441756347526d&amp;Fich=6f027565-41ce-4be2-bb98-529b2db56380.pdf&amp;Inline=true</t>
        </is>
      </c>
      <c r="AH1845" s="3" t="n">
        <v>46321.77847222222</v>
      </c>
      <c r="AI1845" s="3" t="n">
        <v>46321.78055555555</v>
      </c>
      <c r="AJ1845" s="2" t="inlineStr"/>
    </row>
    <row r="1846">
      <c r="A1846" s="2" t="n">
        <v>1845</v>
      </c>
      <c r="B1846" s="2" t="inlineStr">
        <is>
          <t>1746C</t>
        </is>
      </c>
      <c r="C1846" s="3" t="n">
        <v>45968.68888888889</v>
      </c>
      <c r="D1846" s="2" t="inlineStr">
        <is>
          <t>Original</t>
        </is>
      </c>
      <c r="E1846" s="2" t="inlineStr">
        <is>
          <t>PAN</t>
        </is>
      </c>
      <c r="F1846" s="2" t="inlineStr">
        <is>
          <t>Inês de Sousa Real</t>
        </is>
      </c>
      <c r="G1846" s="2" t="inlineStr">
        <is>
          <t>Art. 60.º (substituição)</t>
        </is>
      </c>
      <c r="H1846" s="2" t="n"/>
      <c r="I1846" s="2" t="n"/>
      <c r="J1846" s="2" t="n"/>
      <c r="K1846" s="2" t="n"/>
      <c r="L1846" s="2" t="inlineStr">
        <is>
          <t>N.º 6, Artigo 78.º-F do Código do IRS</t>
        </is>
      </c>
      <c r="M1846" s="4" t="n"/>
      <c r="N1846" s="4" t="n"/>
      <c r="O1846" s="2" t="n"/>
      <c r="P1846" s="2" t="n"/>
      <c r="Q1846" s="2" t="n"/>
      <c r="R1846" s="2" t="n"/>
      <c r="S1846" s="2" t="inlineStr">
        <is>
          <t>Rejeitado(a) em Comissão</t>
        </is>
      </c>
      <c r="T1846" s="2" t="inlineStr">
        <is>
          <t>Rejeitada</t>
        </is>
      </c>
      <c r="U1846" s="2" t="inlineStr">
        <is>
          <t>Favor: CH, PAN; Contra: PSD, PCP, CDS-PP; Abstenção: PS, IL, BE</t>
        </is>
      </c>
      <c r="V1846" s="3" t="n">
        <v>45981</v>
      </c>
      <c r="W1846" s="2" t="inlineStr">
        <is>
          <t>AR: https://www.parlamento.pt/OrcamentoEstado/Paginas/DetalhePropostaAlteracao.aspx?BID=24995 PDF: https://app.parlamento.pt/webutils/docs/doc.pdf?path=6148523063484d364c793942556b356c6443397a6158526c63793959566b6c4a544556484c3039464c7a49774d6a59794d4449314d5441774f533951515338345a446b314e6d5a6d4f5331695a474e694c5451325a545574596a55784f53316c4d7a49304e4745304d5759344d6d49756347526d&amp;Fich=8d956ff9-bdcb-46e5-b519-e3244a41f82b.pdf&amp;Inline=true</t>
        </is>
      </c>
      <c r="X1846" s="2" t="inlineStr">
        <is>
          <t>Agricultura e Pescas; Orçamento, Finanças e Administração Pública</t>
        </is>
      </c>
      <c r="Y1846" s="2" t="inlineStr">
        <is>
          <t>Articulado</t>
        </is>
      </c>
      <c r="Z1846" s="2" t="inlineStr">
        <is>
          <t>Substituição</t>
        </is>
      </c>
      <c r="AA1846" s="2" t="inlineStr">
        <is>
          <t>Rejeitado(a) em Comissão</t>
        </is>
      </c>
      <c r="AB1846" s="2" t="inlineStr"/>
      <c r="AC1846" s="2" t="inlineStr"/>
      <c r="AD1846" s="2" t="inlineStr">
        <is>
          <t>1</t>
        </is>
      </c>
      <c r="AE1846" s="2" t="inlineStr">
        <is>
          <t>24995</t>
        </is>
      </c>
      <c r="AF1846" s="2" t="inlineStr">
        <is>
          <t>https://www.parlamento.pt/OrcamentoEstado/Paginas/DetalhePropostaAlteracao.aspx?BID=24995</t>
        </is>
      </c>
      <c r="AG1846" s="2" t="inlineStr">
        <is>
          <t>https://app.parlamento.pt/webutils/docs/doc.pdf?path=6148523063484d364c793942556b356c6443397a6158526c63793959566b6c4a544556484c3039464c7a49774d6a59794d4449314d5441774f533951515338345a446b314e6d5a6d4f5331695a474e694c5451325a545574596a55784f53316c4d7a49304e4745304d5759344d6d49756347526d&amp;Fich=8d956ff9-bdcb-46e5-b519-e3244a41f82b.pdf&amp;Inline=true</t>
        </is>
      </c>
      <c r="AH1846" s="3" t="n">
        <v>46321.77847222222</v>
      </c>
      <c r="AI1846" s="3" t="n">
        <v>46321.78055555555</v>
      </c>
      <c r="AJ1846" s="2" t="inlineStr"/>
    </row>
    <row r="1847">
      <c r="A1847" s="2" t="n">
        <v>1846</v>
      </c>
      <c r="B1847" s="2" t="inlineStr">
        <is>
          <t>1747C</t>
        </is>
      </c>
      <c r="C1847" s="3" t="n">
        <v>45968.68888888889</v>
      </c>
      <c r="D1847" s="2" t="inlineStr">
        <is>
          <t>Original</t>
        </is>
      </c>
      <c r="E1847" s="2" t="inlineStr">
        <is>
          <t>CH</t>
        </is>
      </c>
      <c r="F184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47" s="2" t="inlineStr">
        <is>
          <t>Art. 136.º-A (aditamento)</t>
        </is>
      </c>
      <c r="H1847" s="2" t="n"/>
      <c r="I1847" s="2" t="n"/>
      <c r="J1847" s="2" t="n"/>
      <c r="K1847" s="2" t="n"/>
      <c r="L1847" s="2" t="inlineStr">
        <is>
          <t>Artigo 136.º-A (Alteração ao Decreto-Lei n.º 176/2003)</t>
        </is>
      </c>
      <c r="M1847" s="4" t="n"/>
      <c r="N1847" s="4" t="n"/>
      <c r="O1847" s="2" t="n"/>
      <c r="P1847" s="2" t="n"/>
      <c r="Q1847" s="2" t="n"/>
      <c r="R1847" s="2" t="n"/>
      <c r="S1847" s="2" t="inlineStr">
        <is>
          <t>Rejeitado(a) em Comissão</t>
        </is>
      </c>
      <c r="T1847" s="2" t="inlineStr">
        <is>
          <t>Rejeitada</t>
        </is>
      </c>
      <c r="U1847" s="2" t="inlineStr">
        <is>
          <t>Favor: CH, PAN; Contra: PSD, PS, IL, PCP, CDS-PP; Abstenção: L, BE</t>
        </is>
      </c>
      <c r="V1847" s="3" t="n">
        <v>45987</v>
      </c>
      <c r="W1847" s="2" t="inlineStr">
        <is>
          <t>AR: https://www.parlamento.pt/OrcamentoEstado/Paginas/DetalhePropostaAlteracao.aspx?BID=24996 PDF: https://app.parlamento.pt/webutils/docs/doc.pdf?path=6148523063484d364c793942556b356c6443397a6158526c63793959566b6c4a544556484c3039464c7a49774d6a59794d4449314d5441774f533951515338354e7a59344e7a56694d533033597a63774c54526a595745744f444134596930334e446b315a6d56684d6d566d4d4751756347526d&amp;Fich=976875b1-7c70-4caa-808b-7495fea2ef0d.pdf&amp;Inline=true</t>
        </is>
      </c>
      <c r="X1847" s="2" t="inlineStr">
        <is>
          <t>Trabalho, Segurança Social e Inclusão</t>
        </is>
      </c>
      <c r="Y1847" s="2" t="inlineStr">
        <is>
          <t>Articulado</t>
        </is>
      </c>
      <c r="Z1847" s="2" t="inlineStr">
        <is>
          <t>Aditamento (Artigo PPL)</t>
        </is>
      </c>
      <c r="AA1847" s="2" t="inlineStr">
        <is>
          <t>Rejeitado(a) em Comissão</t>
        </is>
      </c>
      <c r="AB1847" s="2" t="inlineStr"/>
      <c r="AC1847" s="2" t="inlineStr"/>
      <c r="AD1847" s="2" t="inlineStr">
        <is>
          <t>1</t>
        </is>
      </c>
      <c r="AE1847" s="2" t="inlineStr">
        <is>
          <t>24996</t>
        </is>
      </c>
      <c r="AF1847" s="2" t="inlineStr">
        <is>
          <t>https://www.parlamento.pt/OrcamentoEstado/Paginas/DetalhePropostaAlteracao.aspx?BID=24996</t>
        </is>
      </c>
      <c r="AG1847" s="2" t="inlineStr">
        <is>
          <t>https://app.parlamento.pt/webutils/docs/doc.pdf?path=6148523063484d364c793942556b356c6443397a6158526c63793959566b6c4a544556484c3039464c7a49774d6a59794d4449314d5441774f533951515338354e7a59344e7a56694d533033597a63774c54526a595745744f444134596930334e446b315a6d56684d6d566d4d4751756347526d&amp;Fich=976875b1-7c70-4caa-808b-7495fea2ef0d.pdf&amp;Inline=true</t>
        </is>
      </c>
      <c r="AH1847" s="3" t="n">
        <v>46321.77847222222</v>
      </c>
      <c r="AI1847" s="3" t="n">
        <v>46321.78055555555</v>
      </c>
      <c r="AJ1847" s="2" t="inlineStr"/>
    </row>
    <row r="1848">
      <c r="A1848" s="2" t="n">
        <v>1847</v>
      </c>
      <c r="B1848" s="2" t="inlineStr">
        <is>
          <t>1748C</t>
        </is>
      </c>
      <c r="C1848" s="3" t="n">
        <v>45968.68888888889</v>
      </c>
      <c r="D1848" s="2" t="inlineStr">
        <is>
          <t>Original</t>
        </is>
      </c>
      <c r="E1848" s="2" t="inlineStr">
        <is>
          <t>PS</t>
        </is>
      </c>
      <c r="F1848" s="2" t="inlineStr">
        <is>
          <t>António Mendonça Mendes; Eurico Brilhante Dias; José Luís Carneiro; Júlia Rodrigues; Marina Gonçalves; Miguel Matos; Pedro do Carmo</t>
        </is>
      </c>
      <c r="G1848" s="2" t="inlineStr">
        <is>
          <t>Art. 108.º (substituição)</t>
        </is>
      </c>
      <c r="H1848" s="2" t="n"/>
      <c r="I1848" s="2" t="n"/>
      <c r="J1848" s="2" t="n"/>
      <c r="K1848" s="2" t="n"/>
      <c r="L1848" s="2" t="inlineStr">
        <is>
          <t>Alínea a), Alínea b), Corpo, Subalínea i), Subalínea ii), Alínea c), Corpo, Alínea e), Corpo, N.º 1, Artigo 108.º</t>
        </is>
      </c>
      <c r="M1848" s="4" t="n"/>
      <c r="N1848" s="4" t="n"/>
      <c r="O1848" s="2" t="n"/>
      <c r="P1848" s="2" t="n"/>
      <c r="Q1848" s="2" t="n"/>
      <c r="R1848" s="2" t="n"/>
      <c r="S1848" s="2" t="inlineStr">
        <is>
          <t>Aprovado(a) Parcialmente em Comissão</t>
        </is>
      </c>
      <c r="T1848" s="2" t="inlineStr">
        <is>
          <t>Aprovada parcialmente</t>
        </is>
      </c>
      <c r="U1848" s="2" t="inlineStr">
        <is>
          <t>Favor: PS, L, PCP, BE, PAN; Contra: PSD, CDS-PP; Abstenção: CH, IL</t>
        </is>
      </c>
      <c r="V1848" s="3" t="n">
        <v>45982</v>
      </c>
      <c r="W1848" s="2" t="inlineStr">
        <is>
          <t>AR: https://www.parlamento.pt/OrcamentoEstado/Paginas/DetalhePropostaAlteracao.aspx?BID=24997 PDF: https://app.parlamento.pt/webutils/docs/doc.pdf?path=6148523063484d364c793942556b356c6443397a6158526c63793959566b6c4a544556484c3039464c7a49774d6a59794d4449314d5441774f5339515153396d5932497a4e4459335a43316d4e446b7a4c5451314e325574595464694f4330304d57526b4e4463324f4449354f5755756347526d&amp;Fich=fcb3467d-f493-457e-a7b8-41dd4768299e.pdf&amp;Inline=true</t>
        </is>
      </c>
      <c r="X1848" s="2" t="inlineStr">
        <is>
          <t>Agricultura e Pescas; Orçamento, Finanças e Administração Pública</t>
        </is>
      </c>
      <c r="Y1848" s="2" t="inlineStr">
        <is>
          <t>Articulado</t>
        </is>
      </c>
      <c r="Z1848" s="2" t="inlineStr">
        <is>
          <t>Substituição</t>
        </is>
      </c>
      <c r="AA1848" s="2" t="inlineStr">
        <is>
          <t>Aprovado(a) Parcialmente em Comissão</t>
        </is>
      </c>
      <c r="AB1848" s="2" t="inlineStr"/>
      <c r="AC1848" s="2" t="inlineStr"/>
      <c r="AD1848" s="2" t="inlineStr">
        <is>
          <t>3</t>
        </is>
      </c>
      <c r="AE1848" s="2" t="inlineStr">
        <is>
          <t>24997</t>
        </is>
      </c>
      <c r="AF1848" s="2" t="inlineStr">
        <is>
          <t>https://www.parlamento.pt/OrcamentoEstado/Paginas/DetalhePropostaAlteracao.aspx?BID=24997</t>
        </is>
      </c>
      <c r="AG1848" s="2" t="inlineStr">
        <is>
          <t>https://app.parlamento.pt/webutils/docs/doc.pdf?path=6148523063484d364c793942556b356c6443397a6158526c63793959566b6c4a544556484c3039464c7a49774d6a59794d4449314d5441774f5339515153396d5932497a4e4459335a43316d4e446b7a4c5451314e325574595464694f4330304d57526b4e4463324f4449354f5755756347526d&amp;Fich=fcb3467d-f493-457e-a7b8-41dd4768299e.pdf&amp;Inline=true</t>
        </is>
      </c>
      <c r="AH1848" s="3" t="n">
        <v>46321.77847222222</v>
      </c>
      <c r="AI1848" s="3" t="n">
        <v>46321.78055555555</v>
      </c>
      <c r="AJ1848" s="2" t="inlineStr"/>
    </row>
    <row r="1849">
      <c r="A1849" s="2" t="n">
        <v>1848</v>
      </c>
      <c r="B1849" s="2" t="inlineStr">
        <is>
          <t>1749C</t>
        </is>
      </c>
      <c r="C1849" s="3" t="n">
        <v>45968.68888888889</v>
      </c>
      <c r="D1849" s="2" t="inlineStr">
        <is>
          <t>Original</t>
        </is>
      </c>
      <c r="E1849" s="2" t="inlineStr">
        <is>
          <t>PCP</t>
        </is>
      </c>
      <c r="F1849" s="2" t="inlineStr">
        <is>
          <t>Alfredo Maia; Paula Santos; Paulo Raimundo</t>
        </is>
      </c>
      <c r="G1849" s="2" t="inlineStr">
        <is>
          <t>Art. 121.º-A (aditamento)</t>
        </is>
      </c>
      <c r="H1849" s="2" t="n"/>
      <c r="I1849" s="2" t="n"/>
      <c r="J1849" s="2" t="n"/>
      <c r="K1849" s="2" t="n"/>
      <c r="L1849" s="2" t="inlineStr">
        <is>
          <t>Artigo 121.º-A (Alargamento da rede de Centros Públicos de Procriação Medicamente Assistida)</t>
        </is>
      </c>
      <c r="M1849" s="4" t="n"/>
      <c r="N1849" s="4" t="n"/>
      <c r="O1849" s="2" t="n"/>
      <c r="P1849" s="2" t="n"/>
      <c r="Q1849" s="2" t="n"/>
      <c r="R1849" s="2" t="n"/>
      <c r="S1849" s="2" t="inlineStr">
        <is>
          <t>Rejeitado(a) em Comissão</t>
        </is>
      </c>
      <c r="T1849" s="2" t="inlineStr">
        <is>
          <t>Rejeitada</t>
        </is>
      </c>
      <c r="U1849" s="2" t="inlineStr">
        <is>
          <t>Favor: L, PCP, BE, PAN; Contra: PSD, CDS-PP; Abstenção: CH, PS, IL</t>
        </is>
      </c>
      <c r="V1849" s="3" t="n">
        <v>45985</v>
      </c>
      <c r="W1849" s="2" t="inlineStr">
        <is>
          <t>AR: https://www.parlamento.pt/OrcamentoEstado/Paginas/DetalhePropostaAlteracao.aspx?BID=24998 PDF: https://app.parlamento.pt/webutils/docs/doc.pdf?path=6148523063484d364c793942556b356c6443397a6158526c63793959566b6c4a544556484c3039464c7a49774d6a59794d4449314d5441774f533951515338334f5441334d5459785953316b4f474d344c5451334f5751744f4755344d5331695a5749334e7a4d334f475535597a63756347526d&amp;Fich=7907161a-d8c8-479d-8e81-beb77378e9c7.pdf&amp;Inline=true</t>
        </is>
      </c>
      <c r="X1849" s="2" t="inlineStr">
        <is>
          <t>Saúde</t>
        </is>
      </c>
      <c r="Y1849" s="2" t="inlineStr">
        <is>
          <t>Articulado</t>
        </is>
      </c>
      <c r="Z1849" s="2" t="inlineStr">
        <is>
          <t>Aditamento (Artigo PPL)</t>
        </is>
      </c>
      <c r="AA1849" s="2" t="inlineStr">
        <is>
          <t>Rejeitado(a) em Comissão</t>
        </is>
      </c>
      <c r="AB1849" s="2" t="inlineStr"/>
      <c r="AC1849" s="2" t="inlineStr"/>
      <c r="AD1849" s="2" t="inlineStr">
        <is>
          <t>1</t>
        </is>
      </c>
      <c r="AE1849" s="2" t="inlineStr">
        <is>
          <t>24998</t>
        </is>
      </c>
      <c r="AF1849" s="2" t="inlineStr">
        <is>
          <t>https://www.parlamento.pt/OrcamentoEstado/Paginas/DetalhePropostaAlteracao.aspx?BID=24998</t>
        </is>
      </c>
      <c r="AG1849" s="2" t="inlineStr">
        <is>
          <t>https://app.parlamento.pt/webutils/docs/doc.pdf?path=6148523063484d364c793942556b356c6443397a6158526c63793959566b6c4a544556484c3039464c7a49774d6a59794d4449314d5441774f533951515338334f5441334d5459785953316b4f474d344c5451334f5751744f4755344d5331695a5749334e7a4d334f475535597a63756347526d&amp;Fich=7907161a-d8c8-479d-8e81-beb77378e9c7.pdf&amp;Inline=true</t>
        </is>
      </c>
      <c r="AH1849" s="3" t="n">
        <v>46321.77847222222</v>
      </c>
      <c r="AI1849" s="3" t="n">
        <v>46321.78055555555</v>
      </c>
      <c r="AJ1849" s="2" t="inlineStr"/>
    </row>
    <row r="1850">
      <c r="A1850" s="2" t="n">
        <v>1849</v>
      </c>
      <c r="B1850" s="2" t="inlineStr">
        <is>
          <t>1750C</t>
        </is>
      </c>
      <c r="C1850" s="3" t="n">
        <v>45968.68958333333</v>
      </c>
      <c r="D1850" s="2" t="inlineStr">
        <is>
          <t>Original</t>
        </is>
      </c>
      <c r="E1850" s="2" t="inlineStr">
        <is>
          <t>PCP</t>
        </is>
      </c>
      <c r="F1850" s="2" t="inlineStr">
        <is>
          <t>Alfredo Maia; Paula Santos; Paulo Raimundo</t>
        </is>
      </c>
      <c r="G1850" s="2" t="inlineStr">
        <is>
          <t>Art. 121.º-A (aditamento)</t>
        </is>
      </c>
      <c r="H1850" s="2" t="n"/>
      <c r="I1850" s="2" t="n"/>
      <c r="J1850" s="2" t="n"/>
      <c r="K1850" s="2" t="n"/>
      <c r="L1850" s="2" t="inlineStr">
        <is>
          <t>Artigo 121.º-A (Resposta de proximidade para situações de doença aguda)</t>
        </is>
      </c>
      <c r="M1850" s="4" t="n"/>
      <c r="N1850" s="4" t="n"/>
      <c r="O1850" s="2" t="n"/>
      <c r="P1850" s="2" t="n"/>
      <c r="Q1850" s="2" t="n"/>
      <c r="R1850" s="2" t="n"/>
      <c r="S1850" s="2" t="inlineStr">
        <is>
          <t>Rejeitado(a) em Comissão</t>
        </is>
      </c>
      <c r="T1850" s="2" t="inlineStr">
        <is>
          <t>Rejeitada</t>
        </is>
      </c>
      <c r="U1850" s="2" t="inlineStr">
        <is>
          <t>Favor: L, PCP, BE, PAN; Contra: PSD, IL, CDS-PP; Abstenção: CH, PS</t>
        </is>
      </c>
      <c r="V1850" s="3" t="n">
        <v>45985</v>
      </c>
      <c r="W1850" s="2" t="inlineStr">
        <is>
          <t>AR: https://www.parlamento.pt/OrcamentoEstado/Paginas/DetalhePropostaAlteracao.aspx?BID=24999 PDF: https://app.parlamento.pt/webutils/docs/doc.pdf?path=6148523063484d364c793942556b356c6443397a6158526c63793959566b6c4a544556484c3039464c7a49774d6a59794d4449314d5441774f533951515338314d47526b4d325a6a4e43303059575a6d4c5451324d546774596a526c4d7930314f4449354d32566a596d5a6d4e546b756347526d&amp;Fich=50dd3fc4-4aff-4618-b4e3-58293ecbff59.pdf&amp;Inline=true</t>
        </is>
      </c>
      <c r="X1850" s="2" t="inlineStr">
        <is>
          <t>Saúde</t>
        </is>
      </c>
      <c r="Y1850" s="2" t="inlineStr">
        <is>
          <t>Articulado</t>
        </is>
      </c>
      <c r="Z1850" s="2" t="inlineStr">
        <is>
          <t>Aditamento (Artigo PPL)</t>
        </is>
      </c>
      <c r="AA1850" s="2" t="inlineStr">
        <is>
          <t>Rejeitado(a) em Comissão</t>
        </is>
      </c>
      <c r="AB1850" s="2" t="inlineStr"/>
      <c r="AC1850" s="2" t="inlineStr"/>
      <c r="AD1850" s="2" t="inlineStr">
        <is>
          <t>1</t>
        </is>
      </c>
      <c r="AE1850" s="2" t="inlineStr">
        <is>
          <t>24999</t>
        </is>
      </c>
      <c r="AF1850" s="2" t="inlineStr">
        <is>
          <t>https://www.parlamento.pt/OrcamentoEstado/Paginas/DetalhePropostaAlteracao.aspx?BID=24999</t>
        </is>
      </c>
      <c r="AG1850" s="2" t="inlineStr">
        <is>
          <t>https://app.parlamento.pt/webutils/docs/doc.pdf?path=6148523063484d364c793942556b356c6443397a6158526c63793959566b6c4a544556484c3039464c7a49774d6a59794d4449314d5441774f533951515338314d47526b4d325a6a4e43303059575a6d4c5451324d546774596a526c4d7930314f4449354d32566a596d5a6d4e546b756347526d&amp;Fich=50dd3fc4-4aff-4618-b4e3-58293ecbff59.pdf&amp;Inline=true</t>
        </is>
      </c>
      <c r="AH1850" s="3" t="n">
        <v>46321.77847222222</v>
      </c>
      <c r="AI1850" s="3" t="n">
        <v>46321.78055555555</v>
      </c>
      <c r="AJ1850" s="2" t="inlineStr"/>
    </row>
    <row r="1851">
      <c r="A1851" s="2" t="n">
        <v>1850</v>
      </c>
      <c r="B1851" s="2" t="inlineStr">
        <is>
          <t>1751C</t>
        </is>
      </c>
      <c r="C1851" s="3" t="n">
        <v>45968.68958333333</v>
      </c>
      <c r="D1851" s="2" t="inlineStr">
        <is>
          <t>Original</t>
        </is>
      </c>
      <c r="E1851" s="2" t="inlineStr">
        <is>
          <t>CH</t>
        </is>
      </c>
      <c r="F185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51" s="2" t="inlineStr">
        <is>
          <t>Art. 136.º-A (aditamento)</t>
        </is>
      </c>
      <c r="H1851" s="2" t="n"/>
      <c r="I1851" s="2" t="n"/>
      <c r="J1851" s="2" t="n"/>
      <c r="K1851" s="2" t="n"/>
      <c r="L1851" s="2" t="inlineStr">
        <is>
          <t>Artigo 136.º-A (Apoio a agricultores, aquicultores e pescadores)</t>
        </is>
      </c>
      <c r="M1851" s="4" t="n"/>
      <c r="N1851" s="4" t="n"/>
      <c r="O1851" s="2" t="n"/>
      <c r="P1851" s="2" t="n"/>
      <c r="Q1851" s="2" t="n"/>
      <c r="R1851" s="2" t="n"/>
      <c r="S1851" s="2" t="inlineStr">
        <is>
          <t>Rejeitado(a) em Comissão</t>
        </is>
      </c>
      <c r="T1851" s="2" t="inlineStr">
        <is>
          <t>Rejeitada</t>
        </is>
      </c>
      <c r="U1851" s="2" t="inlineStr">
        <is>
          <t>Favor: CH, BE; Contra: PSD, CDS-PP, PAN; Abstenção: PS, IL, L, PCP</t>
        </is>
      </c>
      <c r="V1851" s="3" t="n">
        <v>45987</v>
      </c>
      <c r="W1851" s="2" t="inlineStr">
        <is>
          <t>AR: https://www.parlamento.pt/OrcamentoEstado/Paginas/DetalhePropostaAlteracao.aspx?BID=25000 PDF: https://app.parlamento.pt/webutils/docs/doc.pdf?path=6148523063484d364c793942556b356c6443397a6158526c63793959566b6c4a544556484c3039464c7a49774d6a59794d4449314d5441774f533951515338344e6d49355a54553459693168596d5a6d4c54526d595441744f444e685a6930334e7a45304e32517a4d44526a4d7a51756347526d&amp;Fich=86b9e58b-abff-4fa0-83af-77147d304c34.pdf&amp;Inline=true</t>
        </is>
      </c>
      <c r="X1851" s="2" t="inlineStr">
        <is>
          <t>Agricultura e Pescas</t>
        </is>
      </c>
      <c r="Y1851" s="2" t="inlineStr">
        <is>
          <t>Articulado</t>
        </is>
      </c>
      <c r="Z1851" s="2" t="inlineStr">
        <is>
          <t>Aditamento (Artigo PPL)</t>
        </is>
      </c>
      <c r="AA1851" s="2" t="inlineStr">
        <is>
          <t>Rejeitado(a) em Comissão</t>
        </is>
      </c>
      <c r="AB1851" s="2" t="inlineStr"/>
      <c r="AC1851" s="2" t="inlineStr"/>
      <c r="AD1851" s="2" t="inlineStr">
        <is>
          <t>1</t>
        </is>
      </c>
      <c r="AE1851" s="2" t="inlineStr">
        <is>
          <t>25000</t>
        </is>
      </c>
      <c r="AF1851" s="2" t="inlineStr">
        <is>
          <t>https://www.parlamento.pt/OrcamentoEstado/Paginas/DetalhePropostaAlteracao.aspx?BID=25000</t>
        </is>
      </c>
      <c r="AG1851" s="2" t="inlineStr">
        <is>
          <t>https://app.parlamento.pt/webutils/docs/doc.pdf?path=6148523063484d364c793942556b356c6443397a6158526c63793959566b6c4a544556484c3039464c7a49774d6a59794d4449314d5441774f533951515338344e6d49355a54553459693168596d5a6d4c54526d595441744f444e685a6930334e7a45304e32517a4d44526a4d7a51756347526d&amp;Fich=86b9e58b-abff-4fa0-83af-77147d304c34.pdf&amp;Inline=true</t>
        </is>
      </c>
      <c r="AH1851" s="3" t="n">
        <v>46321.77847222222</v>
      </c>
      <c r="AI1851" s="3" t="n">
        <v>46321.78055555555</v>
      </c>
      <c r="AJ1851" s="2" t="inlineStr"/>
    </row>
    <row r="1852">
      <c r="A1852" s="2" t="n">
        <v>1851</v>
      </c>
      <c r="B1852" s="2" t="inlineStr">
        <is>
          <t>1752C</t>
        </is>
      </c>
      <c r="C1852" s="3" t="n">
        <v>45968.68958333333</v>
      </c>
      <c r="D1852" s="2" t="inlineStr">
        <is>
          <t>Original</t>
        </is>
      </c>
      <c r="E1852" s="2" t="inlineStr">
        <is>
          <t>PS</t>
        </is>
      </c>
      <c r="F1852" s="2" t="inlineStr">
        <is>
          <t>António Mendonça Mendes; Eurico Brilhante Dias; José Luís Carneiro; Júlia Rodrigues; Marina Gonçalves; Miguel Matos; Pedro do Carmo</t>
        </is>
      </c>
      <c r="G1852" s="2" t="inlineStr">
        <is>
          <t>Art. 63.º (substituição)</t>
        </is>
      </c>
      <c r="H1852" s="2" t="n"/>
      <c r="I1852" s="2" t="n"/>
      <c r="J1852" s="2" t="n"/>
      <c r="K1852" s="2" t="n"/>
      <c r="L1852" s="2" t="inlineStr">
        <is>
          <t>Verba 1.6.4, Lista I anexa ao Código do IVA</t>
        </is>
      </c>
      <c r="M1852" s="4" t="n"/>
      <c r="N1852" s="4" t="n"/>
      <c r="O1852" s="2" t="n"/>
      <c r="P1852" s="2" t="n"/>
      <c r="Q1852" s="2" t="n"/>
      <c r="R1852" s="2" t="n"/>
      <c r="S1852" s="2" t="inlineStr">
        <is>
          <t>Rejeitado(a) em Comissão</t>
        </is>
      </c>
      <c r="T1852" s="2" t="inlineStr">
        <is>
          <t>Rejeitada</t>
        </is>
      </c>
      <c r="U1852" s="2" t="inlineStr">
        <is>
          <t>Favor: PS, IL, L, PCP, BE, PAN; Contra: PSD, CH, CDS-PP</t>
        </is>
      </c>
      <c r="V1852" s="3" t="n">
        <v>45982</v>
      </c>
      <c r="W1852" s="2" t="inlineStr">
        <is>
          <t>AR: https://www.parlamento.pt/OrcamentoEstado/Paginas/DetalhePropostaAlteracao.aspx?BID=25001 PDF: https://app.parlamento.pt/webutils/docs/doc.pdf?path=6148523063484d364c793942556b356c6443397a6158526c63793959566b6c4a544556484c3039464c7a49774d6a59794d4449314d5441774f533951515338784d474e6a4d5467334d5330315a4456684c54526a5a4467744f544e684d6930354d5756684e6a63784d5752685a5459756347526d&amp;Fich=10cc1871-5d5a-4cd8-93a2-91ea6711dae6.pdf&amp;Inline=true</t>
        </is>
      </c>
      <c r="X1852" s="2" t="inlineStr">
        <is>
          <t>Agricultura e Pescas; Orçamento, Finanças e Administração Pública</t>
        </is>
      </c>
      <c r="Y1852" s="2" t="inlineStr">
        <is>
          <t>Articulado</t>
        </is>
      </c>
      <c r="Z1852" s="2" t="inlineStr">
        <is>
          <t>Substituição</t>
        </is>
      </c>
      <c r="AA1852" s="2" t="inlineStr">
        <is>
          <t>Rejeitado(a) em Comissão</t>
        </is>
      </c>
      <c r="AB1852" s="2" t="inlineStr"/>
      <c r="AC1852" s="2" t="inlineStr"/>
      <c r="AD1852" s="2" t="inlineStr">
        <is>
          <t>1</t>
        </is>
      </c>
      <c r="AE1852" s="2" t="inlineStr">
        <is>
          <t>25001</t>
        </is>
      </c>
      <c r="AF1852" s="2" t="inlineStr">
        <is>
          <t>https://www.parlamento.pt/OrcamentoEstado/Paginas/DetalhePropostaAlteracao.aspx?BID=25001</t>
        </is>
      </c>
      <c r="AG1852" s="2" t="inlineStr">
        <is>
          <t>https://app.parlamento.pt/webutils/docs/doc.pdf?path=6148523063484d364c793942556b356c6443397a6158526c63793959566b6c4a544556484c3039464c7a49774d6a59794d4449314d5441774f533951515338784d474e6a4d5467334d5330315a4456684c54526a5a4467744f544e684d6930354d5756684e6a63784d5752685a5459756347526d&amp;Fich=10cc1871-5d5a-4cd8-93a2-91ea6711dae6.pdf&amp;Inline=true</t>
        </is>
      </c>
      <c r="AH1852" s="3" t="n">
        <v>46321.77847222222</v>
      </c>
      <c r="AI1852" s="3" t="n">
        <v>46321.78055555555</v>
      </c>
      <c r="AJ1852" s="2" t="inlineStr"/>
    </row>
    <row r="1853">
      <c r="A1853" s="2" t="n">
        <v>1852</v>
      </c>
      <c r="B1853" s="2" t="inlineStr">
        <is>
          <t>1753C</t>
        </is>
      </c>
      <c r="C1853" s="3" t="n">
        <v>45968.69027777778</v>
      </c>
      <c r="D1853" s="2" t="inlineStr">
        <is>
          <t>Original</t>
        </is>
      </c>
      <c r="E1853" s="2" t="inlineStr">
        <is>
          <t>CH</t>
        </is>
      </c>
      <c r="F185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53" s="2" t="inlineStr">
        <is>
          <t>Art. 8.º (aditamento)</t>
        </is>
      </c>
      <c r="H1853" s="2" t="n"/>
      <c r="I1853" s="2" t="n"/>
      <c r="J1853" s="2" t="n"/>
      <c r="K1853" s="2" t="n"/>
      <c r="L1853" s="2" t="inlineStr">
        <is>
          <t>N.º 27, Artigo 8.º</t>
        </is>
      </c>
      <c r="M1853" s="4" t="n"/>
      <c r="N1853" s="4" t="n"/>
      <c r="O1853" s="2" t="n"/>
      <c r="P1853" s="2" t="n"/>
      <c r="Q1853" s="2" t="n"/>
      <c r="R1853" s="2" t="n"/>
      <c r="S1853" s="2" t="inlineStr">
        <is>
          <t>Rejeitado(a) em Comissão</t>
        </is>
      </c>
      <c r="T1853" s="2" t="inlineStr">
        <is>
          <t>Rejeitada</t>
        </is>
      </c>
      <c r="U1853" s="2" t="inlineStr">
        <is>
          <t>Favor: CH, BE, PAN; Contra: PSD, IL, CDS-PP; Abstenção: PS, L, PCP</t>
        </is>
      </c>
      <c r="V1853" s="3" t="n">
        <v>45981</v>
      </c>
      <c r="W1853" s="2" t="inlineStr">
        <is>
          <t>AR: https://www.parlamento.pt/OrcamentoEstado/Paginas/DetalhePropostaAlteracao.aspx?BID=25002 PDF: https://app.parlamento.pt/webutils/docs/doc.pdf?path=6148523063484d364c793942556b356c6443397a6158526c63793959566b6c4a544556484c3039464c7a49774d6a59794d4449314d5441774f533951515338314d4445304f57566c5a69316d4e5449354c545179597a49744f47526b4d69316d5a4441794e4749774d7a4579595755756347526d&amp;Fich=50149eef-f529-42c2-8dd2-fd024b0312ae.pdf&amp;Inline=true</t>
        </is>
      </c>
      <c r="X1853" s="2" t="inlineStr">
        <is>
          <t>Educação e Ciência</t>
        </is>
      </c>
      <c r="Y1853" s="2" t="inlineStr">
        <is>
          <t>Articulado</t>
        </is>
      </c>
      <c r="Z1853" s="2" t="inlineStr">
        <is>
          <t>Aditamento (Números e Alíneas)</t>
        </is>
      </c>
      <c r="AA1853" s="2" t="inlineStr">
        <is>
          <t>Rejeitado(a) em Comissão</t>
        </is>
      </c>
      <c r="AB1853" s="2" t="inlineStr"/>
      <c r="AC1853" s="2" t="inlineStr"/>
      <c r="AD1853" s="2" t="inlineStr">
        <is>
          <t>1</t>
        </is>
      </c>
      <c r="AE1853" s="2" t="inlineStr">
        <is>
          <t>25002</t>
        </is>
      </c>
      <c r="AF1853" s="2" t="inlineStr">
        <is>
          <t>https://www.parlamento.pt/OrcamentoEstado/Paginas/DetalhePropostaAlteracao.aspx?BID=25002</t>
        </is>
      </c>
      <c r="AG1853" s="2" t="inlineStr">
        <is>
          <t>https://app.parlamento.pt/webutils/docs/doc.pdf?path=6148523063484d364c793942556b356c6443397a6158526c63793959566b6c4a544556484c3039464c7a49774d6a59794d4449314d5441774f533951515338314d4445304f57566c5a69316d4e5449354c545179597a49744f47526b4d69316d5a4441794e4749774d7a4579595755756347526d&amp;Fich=50149eef-f529-42c2-8dd2-fd024b0312ae.pdf&amp;Inline=true</t>
        </is>
      </c>
      <c r="AH1853" s="3" t="n">
        <v>46321.77847222222</v>
      </c>
      <c r="AI1853" s="3" t="n">
        <v>46321.78055555555</v>
      </c>
      <c r="AJ1853" s="2" t="inlineStr"/>
    </row>
    <row r="1854">
      <c r="A1854" s="2" t="n">
        <v>1853</v>
      </c>
      <c r="B1854" s="2" t="inlineStr">
        <is>
          <t>1754C</t>
        </is>
      </c>
      <c r="C1854" s="3" t="n">
        <v>45968.69027777778</v>
      </c>
      <c r="D1854" s="2" t="inlineStr">
        <is>
          <t>Original</t>
        </is>
      </c>
      <c r="E1854" s="2" t="inlineStr">
        <is>
          <t>PCP</t>
        </is>
      </c>
      <c r="F1854" s="2" t="inlineStr">
        <is>
          <t>Alfredo Maia; Paula Santos; Paulo Raimundo</t>
        </is>
      </c>
      <c r="G1854" s="2" t="inlineStr">
        <is>
          <t>Art. 121.º-A (aditamento)</t>
        </is>
      </c>
      <c r="H1854" s="2" t="n"/>
      <c r="I1854" s="2" t="n"/>
      <c r="J1854" s="2" t="n"/>
      <c r="K1854" s="2" t="n"/>
      <c r="L1854" s="2" t="inlineStr">
        <is>
          <t>Artigo 121.º-A (Cuidados Continuados Integrados)</t>
        </is>
      </c>
      <c r="M1854" s="4" t="n"/>
      <c r="N1854" s="4" t="n"/>
      <c r="O1854" s="2" t="n"/>
      <c r="P1854" s="2" t="n"/>
      <c r="Q1854" s="2" t="n"/>
      <c r="R1854" s="2" t="n"/>
      <c r="S1854" s="2" t="inlineStr">
        <is>
          <t>Rejeitado(a) em Comissão</t>
        </is>
      </c>
      <c r="T1854" s="2" t="inlineStr">
        <is>
          <t>Rejeitada</t>
        </is>
      </c>
      <c r="U1854" s="2" t="inlineStr">
        <is>
          <t>Favor: L, PCP, BE, PAN; Contra: PSD, IL, CDS-PP; Abstenção: CH, PS</t>
        </is>
      </c>
      <c r="V1854" s="3" t="n">
        <v>45985</v>
      </c>
      <c r="W1854" s="2" t="inlineStr">
        <is>
          <t>AR: https://www.parlamento.pt/OrcamentoEstado/Paginas/DetalhePropostaAlteracao.aspx?BID=25003 PDF: https://app.parlamento.pt/webutils/docs/doc.pdf?path=6148523063484d364c793942556b356c6443397a6158526c63793959566b6c4a544556484c3039464c7a49774d6a59794d4449314d5441774f533951515338314d4455784d7a67784f533077597a526b4c5451325a4467744f47566a4d7930334d5445305954646a4e6d4d32595745756347526d&amp;Fich=50513819-0c4d-46d8-8ec3-7114a7c6c6aa.pdf&amp;Inline=true</t>
        </is>
      </c>
      <c r="X1854" s="2" t="inlineStr">
        <is>
          <t>Saúde</t>
        </is>
      </c>
      <c r="Y1854" s="2" t="inlineStr">
        <is>
          <t>Articulado</t>
        </is>
      </c>
      <c r="Z1854" s="2" t="inlineStr">
        <is>
          <t>Aditamento (Artigo PPL)</t>
        </is>
      </c>
      <c r="AA1854" s="2" t="inlineStr">
        <is>
          <t>Rejeitado(a) em Comissão</t>
        </is>
      </c>
      <c r="AB1854" s="2" t="inlineStr"/>
      <c r="AC1854" s="2" t="inlineStr"/>
      <c r="AD1854" s="2" t="inlineStr">
        <is>
          <t>1</t>
        </is>
      </c>
      <c r="AE1854" s="2" t="inlineStr">
        <is>
          <t>25003</t>
        </is>
      </c>
      <c r="AF1854" s="2" t="inlineStr">
        <is>
          <t>https://www.parlamento.pt/OrcamentoEstado/Paginas/DetalhePropostaAlteracao.aspx?BID=25003</t>
        </is>
      </c>
      <c r="AG1854" s="2" t="inlineStr">
        <is>
          <t>https://app.parlamento.pt/webutils/docs/doc.pdf?path=6148523063484d364c793942556b356c6443397a6158526c63793959566b6c4a544556484c3039464c7a49774d6a59794d4449314d5441774f533951515338314d4455784d7a67784f533077597a526b4c5451325a4467744f47566a4d7930334d5445305954646a4e6d4d32595745756347526d&amp;Fich=50513819-0c4d-46d8-8ec3-7114a7c6c6aa.pdf&amp;Inline=true</t>
        </is>
      </c>
      <c r="AH1854" s="3" t="n">
        <v>46321.77847222222</v>
      </c>
      <c r="AI1854" s="3" t="n">
        <v>46321.78055555555</v>
      </c>
      <c r="AJ1854" s="2" t="inlineStr"/>
    </row>
    <row r="1855">
      <c r="A1855" s="2" t="n">
        <v>1854</v>
      </c>
      <c r="B1855" s="2" t="inlineStr">
        <is>
          <t>1755C</t>
        </is>
      </c>
      <c r="C1855" s="3" t="n">
        <v>45968.69027777778</v>
      </c>
      <c r="D1855" s="2" t="inlineStr">
        <is>
          <t>Original</t>
        </is>
      </c>
      <c r="E1855" s="2" t="inlineStr">
        <is>
          <t>L</t>
        </is>
      </c>
      <c r="F1855" s="2" t="inlineStr">
        <is>
          <t>Filipa Pinto; Isabel Mendes Lopes; Jorge Pinto; Patrícia Gonçalves; Paulo Muacho; Rui Tavares</t>
        </is>
      </c>
      <c r="G1855" s="2" t="inlineStr">
        <is>
          <t>Art. 112.º-A (aditamento)</t>
        </is>
      </c>
      <c r="H1855" s="2" t="n"/>
      <c r="I1855" s="2" t="n"/>
      <c r="J1855" s="2" t="n"/>
      <c r="K1855" s="2" t="n"/>
      <c r="L1855" s="2" t="inlineStr">
        <is>
          <t>Artigo 112.º-A (Levantamento exaustivo das famílias em situação de vulnerabilidade habitacional)</t>
        </is>
      </c>
      <c r="M1855" s="4" t="n"/>
      <c r="N1855" s="4" t="n"/>
      <c r="O1855" s="2" t="n"/>
      <c r="P1855" s="2" t="n"/>
      <c r="Q1855" s="2" t="n"/>
      <c r="R1855" s="2" t="n"/>
      <c r="S1855" s="2" t="inlineStr">
        <is>
          <t>Rejeitado(a) em Comissão</t>
        </is>
      </c>
      <c r="T1855" s="2" t="inlineStr">
        <is>
          <t>Rejeitada</t>
        </is>
      </c>
      <c r="U1855" s="2" t="inlineStr">
        <is>
          <t>Favor: L, PCP, BE, PAN; Contra: PSD, CDS-PP; Abstenção: CH, PS, IL</t>
        </is>
      </c>
      <c r="V1855" s="3" t="n">
        <v>45982</v>
      </c>
      <c r="W1855" s="2" t="inlineStr">
        <is>
          <t>AR: https://www.parlamento.pt/OrcamentoEstado/Paginas/DetalhePropostaAlteracao.aspx?BID=25004 PDF: https://app.parlamento.pt/webutils/docs/doc.pdf?path=6148523063484d364c793942556b356c6443397a6158526c63793959566b6c4a544556484c3039464c7a49774d6a59794d4449314d5441774f53395151533833595455784e7a45334e79316a4e5441344c5452684f5745744f4446695a53316b4f5468694d6a41774e6a63354f5459756347526d&amp;Fich=7a517177-c508-4a9a-81be-d98b20067996.pdf&amp;Inline=true</t>
        </is>
      </c>
      <c r="X1855" s="2" t="inlineStr">
        <is>
          <t>Assuntos Constitucionais, Direitos, Liberdades e Garantias; Infraestruturas, Mobilidade e Habitação</t>
        </is>
      </c>
      <c r="Y1855" s="2" t="inlineStr">
        <is>
          <t>Articulado</t>
        </is>
      </c>
      <c r="Z1855" s="2" t="inlineStr">
        <is>
          <t>Aditamento (Artigo PPL)</t>
        </is>
      </c>
      <c r="AA1855" s="2" t="inlineStr">
        <is>
          <t>Rejeitado(a) em Comissão</t>
        </is>
      </c>
      <c r="AB1855" s="2" t="inlineStr"/>
      <c r="AC1855" s="2" t="inlineStr"/>
      <c r="AD1855" s="2" t="inlineStr">
        <is>
          <t>1</t>
        </is>
      </c>
      <c r="AE1855" s="2" t="inlineStr">
        <is>
          <t>25004</t>
        </is>
      </c>
      <c r="AF1855" s="2" t="inlineStr">
        <is>
          <t>https://www.parlamento.pt/OrcamentoEstado/Paginas/DetalhePropostaAlteracao.aspx?BID=25004</t>
        </is>
      </c>
      <c r="AG1855" s="2" t="inlineStr">
        <is>
          <t>https://app.parlamento.pt/webutils/docs/doc.pdf?path=6148523063484d364c793942556b356c6443397a6158526c63793959566b6c4a544556484c3039464c7a49774d6a59794d4449314d5441774f53395151533833595455784e7a45334e79316a4e5441344c5452684f5745744f4446695a53316b4f5468694d6a41774e6a63354f5459756347526d&amp;Fich=7a517177-c508-4a9a-81be-d98b20067996.pdf&amp;Inline=true</t>
        </is>
      </c>
      <c r="AH1855" s="3" t="n">
        <v>46321.77847222222</v>
      </c>
      <c r="AI1855" s="3" t="n">
        <v>46321.78055555555</v>
      </c>
      <c r="AJ1855" s="2" t="inlineStr"/>
    </row>
    <row r="1856">
      <c r="A1856" s="2" t="n">
        <v>1855</v>
      </c>
      <c r="B1856" s="2" t="inlineStr">
        <is>
          <t>1756C</t>
        </is>
      </c>
      <c r="C1856" s="3" t="n">
        <v>45968.69027777778</v>
      </c>
      <c r="D1856" s="2" t="inlineStr">
        <is>
          <t>Original</t>
        </is>
      </c>
      <c r="E1856" s="2" t="inlineStr">
        <is>
          <t>CH</t>
        </is>
      </c>
      <c r="F185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56" s="2" t="inlineStr">
        <is>
          <t>Art. 136.º-A (aditamento)</t>
        </is>
      </c>
      <c r="H1856" s="2" t="n"/>
      <c r="I1856" s="2" t="n"/>
      <c r="J1856" s="2" t="n"/>
      <c r="K1856" s="2" t="n"/>
      <c r="L1856" s="2" t="inlineStr">
        <is>
          <t>Artigo 136.º-A (Apoio à construção do novo Quartel dos Bombeiros Voluntários de Fátima)</t>
        </is>
      </c>
      <c r="M1856" s="4" t="n"/>
      <c r="N1856" s="4" t="n"/>
      <c r="O1856" s="2" t="n"/>
      <c r="P1856" s="2" t="n"/>
      <c r="Q1856" s="2" t="n"/>
      <c r="R1856" s="2" t="n"/>
      <c r="S1856" s="2" t="inlineStr">
        <is>
          <t>Rejeitado(a) em Comissão</t>
        </is>
      </c>
      <c r="T1856" s="2" t="inlineStr">
        <is>
          <t>Rejeitada</t>
        </is>
      </c>
      <c r="U1856" s="2" t="inlineStr">
        <is>
          <t>Favor: CH, BE, PAN; Contra: PSD, CDS-PP; Abstenção: PS, IL, L, PCP</t>
        </is>
      </c>
      <c r="V1856" s="3" t="n">
        <v>45987</v>
      </c>
      <c r="W1856" s="2" t="inlineStr">
        <is>
          <t>AR: https://www.parlamento.pt/OrcamentoEstado/Paginas/DetalhePropostaAlteracao.aspx?BID=25005 PDF: https://app.parlamento.pt/webutils/docs/doc.pdf?path=6148523063484d364c793942556b356c6443397a6158526c63793959566b6c4a544556484c3039464c7a49774d6a59794d4449314d5441774f53395151533879593251784e6d51774d5330784d4467304c5451335a445574595449794e43316a4e444d77596a68695a5456684d324d756347526d&amp;Fich=2cd16d01-1084-47d5-a224-c430b8be5a3c.pdf&amp;Inline=true</t>
        </is>
      </c>
      <c r="X1856" s="2" t="inlineStr">
        <is>
          <t>Assuntos Constitucionais, Direitos, Liberdades e Garantias</t>
        </is>
      </c>
      <c r="Y1856" s="2" t="inlineStr">
        <is>
          <t>Articulado</t>
        </is>
      </c>
      <c r="Z1856" s="2" t="inlineStr">
        <is>
          <t>Aditamento (Artigo PPL)</t>
        </is>
      </c>
      <c r="AA1856" s="2" t="inlineStr">
        <is>
          <t>Rejeitado(a) em Comissão</t>
        </is>
      </c>
      <c r="AB1856" s="2" t="inlineStr"/>
      <c r="AC1856" s="2" t="inlineStr"/>
      <c r="AD1856" s="2" t="inlineStr">
        <is>
          <t>1</t>
        </is>
      </c>
      <c r="AE1856" s="2" t="inlineStr">
        <is>
          <t>25005</t>
        </is>
      </c>
      <c r="AF1856" s="2" t="inlineStr">
        <is>
          <t>https://www.parlamento.pt/OrcamentoEstado/Paginas/DetalhePropostaAlteracao.aspx?BID=25005</t>
        </is>
      </c>
      <c r="AG1856" s="2" t="inlineStr">
        <is>
          <t>https://app.parlamento.pt/webutils/docs/doc.pdf?path=6148523063484d364c793942556b356c6443397a6158526c63793959566b6c4a544556484c3039464c7a49774d6a59794d4449314d5441774f53395151533879593251784e6d51774d5330784d4467304c5451335a445574595449794e43316a4e444d77596a68695a5456684d324d756347526d&amp;Fich=2cd16d01-1084-47d5-a224-c430b8be5a3c.pdf&amp;Inline=true</t>
        </is>
      </c>
      <c r="AH1856" s="3" t="n">
        <v>46321.77847222222</v>
      </c>
      <c r="AI1856" s="3" t="n">
        <v>46321.78055555555</v>
      </c>
      <c r="AJ1856" s="2" t="inlineStr"/>
    </row>
    <row r="1857">
      <c r="A1857" s="2" t="n">
        <v>1856</v>
      </c>
      <c r="B1857" s="2" t="inlineStr">
        <is>
          <t>1757C</t>
        </is>
      </c>
      <c r="C1857" s="3" t="n">
        <v>45968.69097222222</v>
      </c>
      <c r="D1857" s="2" t="inlineStr">
        <is>
          <t>Original</t>
        </is>
      </c>
      <c r="E1857" s="2" t="inlineStr">
        <is>
          <t>CH</t>
        </is>
      </c>
      <c r="F185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57" s="2" t="inlineStr">
        <is>
          <t>Art. 21.º (aditamento)</t>
        </is>
      </c>
      <c r="H1857" s="2" t="n"/>
      <c r="I1857" s="2" t="n"/>
      <c r="J1857" s="2" t="n"/>
      <c r="K1857" s="2" t="n"/>
      <c r="L1857" s="2" t="inlineStr">
        <is>
          <t>N.º 6, Artigo 21.º</t>
        </is>
      </c>
      <c r="M1857" s="4" t="n"/>
      <c r="N1857" s="4" t="n"/>
      <c r="O1857" s="2" t="n"/>
      <c r="P1857" s="2" t="n"/>
      <c r="Q1857" s="2" t="n"/>
      <c r="R1857" s="2" t="n"/>
      <c r="S1857" s="2" t="inlineStr">
        <is>
          <t>Rejeitado(a) em Comissão</t>
        </is>
      </c>
      <c r="T1857" s="2" t="inlineStr">
        <is>
          <t>Rejeitada</t>
        </is>
      </c>
      <c r="U1857" s="2" t="inlineStr">
        <is>
          <t>Favor: CH, BE, PAN; Contra: PSD, IL, CDS-PP; Abstenção: PS, L, PCP</t>
        </is>
      </c>
      <c r="V1857" s="3" t="n">
        <v>45981</v>
      </c>
      <c r="W1857" s="2" t="inlineStr">
        <is>
          <t>AR: https://www.parlamento.pt/OrcamentoEstado/Paginas/DetalhePropostaAlteracao.aspx?BID=25006 PDF: https://app.parlamento.pt/webutils/docs/doc.pdf?path=6148523063484d364c793942556b356c6443397a6158526c63793959566b6c4a544556484c3039464c7a49774d6a59794d4449314d5441774f533951515338354d5745354e4449304d533077597a4d784c545133596a67744f546c6b4d53316c4e5751794f4759324d6a63324e7a6b756347526d&amp;Fich=91a94241-0c31-47b8-99d1-e5d28f627679.pdf&amp;Inline=true</t>
        </is>
      </c>
      <c r="X1857" s="2" t="inlineStr">
        <is>
          <t>Orçamento, Finanças e Administração Pública</t>
        </is>
      </c>
      <c r="Y1857" s="2" t="inlineStr">
        <is>
          <t>Articulado</t>
        </is>
      </c>
      <c r="Z1857" s="2" t="inlineStr">
        <is>
          <t>Aditamento (Números e Alíneas)</t>
        </is>
      </c>
      <c r="AA1857" s="2" t="inlineStr">
        <is>
          <t>Rejeitado(a) em Comissão</t>
        </is>
      </c>
      <c r="AB1857" s="2" t="inlineStr"/>
      <c r="AC1857" s="2" t="inlineStr"/>
      <c r="AD1857" s="2" t="inlineStr">
        <is>
          <t>1</t>
        </is>
      </c>
      <c r="AE1857" s="2" t="inlineStr">
        <is>
          <t>25006</t>
        </is>
      </c>
      <c r="AF1857" s="2" t="inlineStr">
        <is>
          <t>https://www.parlamento.pt/OrcamentoEstado/Paginas/DetalhePropostaAlteracao.aspx?BID=25006</t>
        </is>
      </c>
      <c r="AG1857" s="2" t="inlineStr">
        <is>
          <t>https://app.parlamento.pt/webutils/docs/doc.pdf?path=6148523063484d364c793942556b356c6443397a6158526c63793959566b6c4a544556484c3039464c7a49774d6a59794d4449314d5441774f533951515338354d5745354e4449304d533077597a4d784c545133596a67744f546c6b4d53316c4e5751794f4759324d6a63324e7a6b756347526d&amp;Fich=91a94241-0c31-47b8-99d1-e5d28f627679.pdf&amp;Inline=true</t>
        </is>
      </c>
      <c r="AH1857" s="3" t="n">
        <v>46321.77847222222</v>
      </c>
      <c r="AI1857" s="3" t="n">
        <v>46321.78055555555</v>
      </c>
      <c r="AJ1857" s="2" t="inlineStr"/>
    </row>
    <row r="1858">
      <c r="A1858" s="2" t="n">
        <v>1857</v>
      </c>
      <c r="B1858" s="2" t="inlineStr">
        <is>
          <t>1758C</t>
        </is>
      </c>
      <c r="C1858" s="3" t="n">
        <v>45968.69097222222</v>
      </c>
      <c r="D1858" s="2" t="inlineStr">
        <is>
          <t>Original</t>
        </is>
      </c>
      <c r="E1858" s="2" t="inlineStr">
        <is>
          <t>PCP</t>
        </is>
      </c>
      <c r="F1858" s="2" t="inlineStr">
        <is>
          <t>Alfredo Maia; Paula Santos; Paulo Raimundo</t>
        </is>
      </c>
      <c r="G1858" s="2" t="inlineStr">
        <is>
          <t>Art. 121.º-A (aditamento)</t>
        </is>
      </c>
      <c r="H1858" s="2" t="n"/>
      <c r="I1858" s="2" t="n"/>
      <c r="J1858" s="2" t="n"/>
      <c r="K1858" s="2" t="n"/>
      <c r="L1858" s="2" t="inlineStr">
        <is>
          <t>Artigo 121.º-A (Reforço da resposta em cuidados paliativos)</t>
        </is>
      </c>
      <c r="M1858" s="4" t="n"/>
      <c r="N1858" s="4" t="n"/>
      <c r="O1858" s="2" t="n"/>
      <c r="P1858" s="2" t="n"/>
      <c r="Q1858" s="2" t="n"/>
      <c r="R1858" s="2" t="n"/>
      <c r="S1858" s="2" t="inlineStr">
        <is>
          <t>Rejeitado(a) em Comissão</t>
        </is>
      </c>
      <c r="T1858" s="2" t="inlineStr">
        <is>
          <t>Rejeitada</t>
        </is>
      </c>
      <c r="U1858" s="2" t="inlineStr">
        <is>
          <t>Favor: L, PCP, BE, PAN; Contra: PSD, IL, CDS-PP; Abstenção: CH, PS</t>
        </is>
      </c>
      <c r="V1858" s="3" t="n">
        <v>45985</v>
      </c>
      <c r="W1858" s="2" t="inlineStr">
        <is>
          <t>AR: https://www.parlamento.pt/OrcamentoEstado/Paginas/DetalhePropostaAlteracao.aspx?BID=25007 PDF: https://app.parlamento.pt/webutils/docs/doc.pdf?path=6148523063484d364c793942556b356c6443397a6158526c63793959566b6c4a544556484c3039464c7a49774d6a59794d4449314d5441774f533951515338794d5455784f5449785a53316c596a51314c54517a596a4574595449355a6930334d44426c4e47526d4f474d344d4755756347526d&amp;Fich=2151921e-eb45-43b1-a29f-700e4df8c80e.pdf&amp;Inline=true</t>
        </is>
      </c>
      <c r="X1858" s="2" t="inlineStr">
        <is>
          <t>Saúde</t>
        </is>
      </c>
      <c r="Y1858" s="2" t="inlineStr">
        <is>
          <t>Articulado</t>
        </is>
      </c>
      <c r="Z1858" s="2" t="inlineStr">
        <is>
          <t>Aditamento (Artigo PPL)</t>
        </is>
      </c>
      <c r="AA1858" s="2" t="inlineStr">
        <is>
          <t>Rejeitado(a) em Comissão</t>
        </is>
      </c>
      <c r="AB1858" s="2" t="inlineStr"/>
      <c r="AC1858" s="2" t="inlineStr"/>
      <c r="AD1858" s="2" t="inlineStr">
        <is>
          <t>1</t>
        </is>
      </c>
      <c r="AE1858" s="2" t="inlineStr">
        <is>
          <t>25007</t>
        </is>
      </c>
      <c r="AF1858" s="2" t="inlineStr">
        <is>
          <t>https://www.parlamento.pt/OrcamentoEstado/Paginas/DetalhePropostaAlteracao.aspx?BID=25007</t>
        </is>
      </c>
      <c r="AG1858" s="2" t="inlineStr">
        <is>
          <t>https://app.parlamento.pt/webutils/docs/doc.pdf?path=6148523063484d364c793942556b356c6443397a6158526c63793959566b6c4a544556484c3039464c7a49774d6a59794d4449314d5441774f533951515338794d5455784f5449785a53316c596a51314c54517a596a4574595449355a6930334d44426c4e47526d4f474d344d4755756347526d&amp;Fich=2151921e-eb45-43b1-a29f-700e4df8c80e.pdf&amp;Inline=true</t>
        </is>
      </c>
      <c r="AH1858" s="3" t="n">
        <v>46321.77847222222</v>
      </c>
      <c r="AI1858" s="3" t="n">
        <v>46321.78055555555</v>
      </c>
      <c r="AJ1858" s="2" t="inlineStr"/>
    </row>
    <row r="1859">
      <c r="A1859" s="2" t="n">
        <v>1858</v>
      </c>
      <c r="B1859" s="2" t="inlineStr">
        <is>
          <t>1759C</t>
        </is>
      </c>
      <c r="C1859" s="3" t="n">
        <v>45968.69097222222</v>
      </c>
      <c r="D1859" s="2" t="inlineStr">
        <is>
          <t>Original</t>
        </is>
      </c>
      <c r="E1859" s="2" t="inlineStr">
        <is>
          <t>L</t>
        </is>
      </c>
      <c r="F1859" s="2" t="inlineStr">
        <is>
          <t>Filipa Pinto; Isabel Mendes Lopes; Jorge Pinto; Patrícia Gonçalves; Paulo Muacho; Rui Tavares</t>
        </is>
      </c>
      <c r="G1859" s="2" t="inlineStr">
        <is>
          <t>Art. 118.º-A (aditamento)</t>
        </is>
      </c>
      <c r="H1859" s="2" t="n"/>
      <c r="I1859" s="2" t="n"/>
      <c r="J1859" s="2" t="n"/>
      <c r="K1859" s="2" t="n"/>
      <c r="L1859" s="2" t="inlineStr">
        <is>
          <t>Artigo 118.º-A (Levantamento do edificado do Serviço Nacional de Saúde)</t>
        </is>
      </c>
      <c r="M1859" s="4" t="n"/>
      <c r="N1859" s="4" t="n"/>
      <c r="O1859" s="2" t="n"/>
      <c r="P1859" s="2" t="n"/>
      <c r="Q1859" s="2" t="n"/>
      <c r="R1859" s="2" t="n"/>
      <c r="S1859" s="2" t="inlineStr">
        <is>
          <t>Aprovado(a) em Comissão</t>
        </is>
      </c>
      <c r="T1859" s="2" t="inlineStr">
        <is>
          <t>Aprovada</t>
        </is>
      </c>
      <c r="U1859" s="2" t="inlineStr">
        <is>
          <t>Favor: CH, PS, L, PCP, BE, PAN; Contra: PSD, CDS-PP; Abstenção: IL</t>
        </is>
      </c>
      <c r="V1859" s="3" t="n">
        <v>45985</v>
      </c>
      <c r="W1859" s="2" t="inlineStr">
        <is>
          <t>AR: https://www.parlamento.pt/OrcamentoEstado/Paginas/DetalhePropostaAlteracao.aspx?BID=25008 PDF: https://app.parlamento.pt/webutils/docs/doc.pdf?path=6148523063484d364c793942556b356c6443397a6158526c63793959566b6c4a544556484c3039464c7a49774d6a59794d4449314d5441774f533951515338775a4445794f5463324d5330795a5745324c5451345a6d5974596a6b315a4330325a6a4e6d4d4745334d574e6c4d544d756347526d&amp;Fich=0d129761-2ea6-48ff-b95d-6f3f0a71ce13.pdf&amp;Inline=true</t>
        </is>
      </c>
      <c r="X1859" s="2" t="inlineStr">
        <is>
          <t>Infraestruturas, Mobilidade e Habitação; Saúde</t>
        </is>
      </c>
      <c r="Y1859" s="2" t="inlineStr">
        <is>
          <t>Articulado</t>
        </is>
      </c>
      <c r="Z1859" s="2" t="inlineStr">
        <is>
          <t>Aditamento (Artigo PPL)</t>
        </is>
      </c>
      <c r="AA1859" s="2" t="inlineStr">
        <is>
          <t>Aprovado(a) em Comissão</t>
        </is>
      </c>
      <c r="AB1859" s="2" t="inlineStr"/>
      <c r="AC1859" s="2" t="inlineStr"/>
      <c r="AD1859" s="2" t="inlineStr">
        <is>
          <t>1</t>
        </is>
      </c>
      <c r="AE1859" s="2" t="inlineStr">
        <is>
          <t>25008</t>
        </is>
      </c>
      <c r="AF1859" s="2" t="inlineStr">
        <is>
          <t>https://www.parlamento.pt/OrcamentoEstado/Paginas/DetalhePropostaAlteracao.aspx?BID=25008</t>
        </is>
      </c>
      <c r="AG1859" s="2" t="inlineStr">
        <is>
          <t>https://app.parlamento.pt/webutils/docs/doc.pdf?path=6148523063484d364c793942556b356c6443397a6158526c63793959566b6c4a544556484c3039464c7a49774d6a59794d4449314d5441774f533951515338775a4445794f5463324d5330795a5745324c5451345a6d5974596a6b315a4330325a6a4e6d4d4745334d574e6c4d544d756347526d&amp;Fich=0d129761-2ea6-48ff-b95d-6f3f0a71ce13.pdf&amp;Inline=true</t>
        </is>
      </c>
      <c r="AH1859" s="3" t="n">
        <v>46321.77847222222</v>
      </c>
      <c r="AI1859" s="3" t="n">
        <v>46321.78055555555</v>
      </c>
      <c r="AJ1859" s="2" t="inlineStr"/>
    </row>
    <row r="1860">
      <c r="A1860" s="2" t="n">
        <v>1859</v>
      </c>
      <c r="B1860" s="2" t="inlineStr">
        <is>
          <t>1760C</t>
        </is>
      </c>
      <c r="C1860" s="3" t="n">
        <v>45968.69097222222</v>
      </c>
      <c r="D1860" s="2" t="inlineStr">
        <is>
          <t>Original</t>
        </is>
      </c>
      <c r="E1860" s="2" t="inlineStr">
        <is>
          <t>PAN</t>
        </is>
      </c>
      <c r="F1860" s="2" t="inlineStr">
        <is>
          <t>Inês de Sousa Real</t>
        </is>
      </c>
      <c r="G1860" s="2" t="inlineStr">
        <is>
          <t>Art. 38.º-B (aditamento)</t>
        </is>
      </c>
      <c r="H1860" s="2" t="n"/>
      <c r="I1860" s="2" t="n"/>
      <c r="J1860" s="2" t="n"/>
      <c r="K1860" s="2" t="n"/>
      <c r="L1860" s="2" t="inlineStr">
        <is>
          <t>Artigo 38.º-B (Alteração ao Decreto-Lei n.º 91/2009, de 9 de abril)</t>
        </is>
      </c>
      <c r="M1860" s="4" t="n"/>
      <c r="N1860" s="4" t="n"/>
      <c r="O1860" s="2" t="n"/>
      <c r="P1860" s="2" t="n"/>
      <c r="Q1860" s="2" t="n"/>
      <c r="R1860" s="2" t="n"/>
      <c r="S1860" s="2" t="inlineStr">
        <is>
          <t>Rejeitado(a) em Comissão</t>
        </is>
      </c>
      <c r="T1860" s="2" t="inlineStr">
        <is>
          <t>Rejeitada</t>
        </is>
      </c>
      <c r="U1860" s="2" t="inlineStr">
        <is>
          <t>Favor: IL, L, PCP, BE, PAN; Contra: PSD, CDS-PP; Abstenção: CH, PS</t>
        </is>
      </c>
      <c r="V1860" s="3" t="n">
        <v>45981</v>
      </c>
      <c r="W1860" s="2" t="inlineStr">
        <is>
          <t>AR: https://www.parlamento.pt/OrcamentoEstado/Paginas/DetalhePropostaAlteracao.aspx?BID=25009 PDF: https://app.parlamento.pt/webutils/docs/doc.pdf?path=6148523063484d364c793942556b356c6443397a6158526c63793959566b6c4a544556484c3039464c7a49774d6a59794d4449314d5441774f5339515153387a4f44426b5a6a49345a433032596a63304c54526d4e446774595749354e4330304d7a49784e7a41325a4455354f4455756347526d&amp;Fich=380df28d-6b74-4f48-ab94-4321706d5985.pdf&amp;Inline=true</t>
        </is>
      </c>
      <c r="X1860" s="2" t="inlineStr">
        <is>
          <t>Trabalho, Segurança Social e Inclusão</t>
        </is>
      </c>
      <c r="Y1860" s="2" t="inlineStr">
        <is>
          <t>Articulado</t>
        </is>
      </c>
      <c r="Z1860" s="2" t="inlineStr">
        <is>
          <t>Aditamento (Artigo PPL)</t>
        </is>
      </c>
      <c r="AA1860" s="2" t="inlineStr">
        <is>
          <t>Rejeitado(a) em Comissão</t>
        </is>
      </c>
      <c r="AB1860" s="2" t="inlineStr"/>
      <c r="AC1860" s="2" t="inlineStr"/>
      <c r="AD1860" s="2" t="inlineStr">
        <is>
          <t>1</t>
        </is>
      </c>
      <c r="AE1860" s="2" t="inlineStr">
        <is>
          <t>25009</t>
        </is>
      </c>
      <c r="AF1860" s="2" t="inlineStr">
        <is>
          <t>https://www.parlamento.pt/OrcamentoEstado/Paginas/DetalhePropostaAlteracao.aspx?BID=25009</t>
        </is>
      </c>
      <c r="AG1860" s="2" t="inlineStr">
        <is>
          <t>https://app.parlamento.pt/webutils/docs/doc.pdf?path=6148523063484d364c793942556b356c6443397a6158526c63793959566b6c4a544556484c3039464c7a49774d6a59794d4449314d5441774f5339515153387a4f44426b5a6a49345a433032596a63304c54526d4e446774595749354e4330304d7a49784e7a41325a4455354f4455756347526d&amp;Fich=380df28d-6b74-4f48-ab94-4321706d5985.pdf&amp;Inline=true</t>
        </is>
      </c>
      <c r="AH1860" s="3" t="n">
        <v>46321.77847222222</v>
      </c>
      <c r="AI1860" s="3" t="n">
        <v>46321.78055555555</v>
      </c>
      <c r="AJ1860" s="2" t="inlineStr"/>
    </row>
    <row r="1861">
      <c r="A1861" s="2" t="n">
        <v>1860</v>
      </c>
      <c r="B1861" s="2" t="inlineStr">
        <is>
          <t>1761C-1</t>
        </is>
      </c>
      <c r="C1861" s="3" t="n">
        <v>45968.69097222222</v>
      </c>
      <c r="D1861" s="2" t="inlineStr">
        <is>
          <t>Original</t>
        </is>
      </c>
      <c r="E1861" s="2" t="inlineStr">
        <is>
          <t>PS</t>
        </is>
      </c>
      <c r="F1861" s="2" t="inlineStr">
        <is>
          <t>António Mendonça Mendes; Eurico Brilhante Dias; José Luís Carneiro; Júlia Rodrigues; Marina Gonçalves; Miguel Matos; Pedro do Carmo</t>
        </is>
      </c>
      <c r="G1861" s="2" t="inlineStr">
        <is>
          <t>Art. 8.º (substituição)</t>
        </is>
      </c>
      <c r="H1861" s="2" t="n"/>
      <c r="I1861" s="2" t="n"/>
      <c r="J1861" s="2" t="n"/>
      <c r="K1861" s="2" t="n"/>
      <c r="L1861" s="2" t="inlineStr">
        <is>
          <t>N.º 20, Artigo 8.º</t>
        </is>
      </c>
      <c r="M1861" s="4" t="n"/>
      <c r="N1861" s="4" t="n"/>
      <c r="O1861" s="2" t="n"/>
      <c r="P1861" s="2" t="n"/>
      <c r="Q1861" s="2" t="n"/>
      <c r="R1861" s="2" t="n"/>
      <c r="S1861" s="2" t="inlineStr">
        <is>
          <t>Rejeitado(a) em Comissão</t>
        </is>
      </c>
      <c r="T1861" s="2" t="inlineStr">
        <is>
          <t>Rejeitada</t>
        </is>
      </c>
      <c r="U1861" s="2" t="inlineStr">
        <is>
          <t>Favor: PS, IL, L, PCP, PAN; Contra: PSD, CDS-PP; Abstenção: CH, BE</t>
        </is>
      </c>
      <c r="V1861" s="3" t="n">
        <v>45981</v>
      </c>
      <c r="W1861" s="2" t="inlineStr">
        <is>
          <t>AR: https://www.parlamento.pt/OrcamentoEstado/Paginas/DetalhePropostaAlteracao.aspx?BID=25010 PDF: https://app.parlamento.pt/webutils/docs/doc.pdf?path=6148523063484d364c793942556b356c6443397a6158526c63793959566b6c4a544556484c3039464c7a49774d6a59794d4449314d5441774f5339515153396c5a474669595455304f43316d4f4759784c5452694e32457459575a6b4e4331684f4455784d575a6d4d474a6c4e7a6b756347526d&amp;Fich=edaba548-f8f1-4b7a-afd4-a8511ff0be79.pdf&amp;Inline=true</t>
        </is>
      </c>
      <c r="X1861" s="2" t="inlineStr">
        <is>
          <t>Agricultura e Pescas; Orçamento, Finanças e Administração Pública</t>
        </is>
      </c>
      <c r="Y1861" s="2" t="inlineStr">
        <is>
          <t>Articulado</t>
        </is>
      </c>
      <c r="Z1861" s="2" t="inlineStr">
        <is>
          <t>Substituição</t>
        </is>
      </c>
      <c r="AA1861" s="2" t="inlineStr">
        <is>
          <t>Rejeitado(a) em Comissão</t>
        </is>
      </c>
      <c r="AB1861" s="2" t="inlineStr"/>
      <c r="AC1861" s="2" t="inlineStr">
        <is>
          <t>1</t>
        </is>
      </c>
      <c r="AD1861" s="2" t="inlineStr">
        <is>
          <t>1</t>
        </is>
      </c>
      <c r="AE1861" s="2" t="inlineStr">
        <is>
          <t>25010</t>
        </is>
      </c>
      <c r="AF1861" s="2" t="inlineStr">
        <is>
          <t>https://www.parlamento.pt/OrcamentoEstado/Paginas/DetalhePropostaAlteracao.aspx?BID=25010</t>
        </is>
      </c>
      <c r="AG1861" s="2" t="inlineStr">
        <is>
          <t>https://app.parlamento.pt/webutils/docs/doc.pdf?path=6148523063484d364c793942556b356c6443397a6158526c63793959566b6c4a544556484c3039464c7a49774d6a59794d4449314d5441774f5339515153396c5a474669595455304f43316d4f4759784c5452694e32457459575a6b4e4331684f4455784d575a6d4d474a6c4e7a6b756347526d&amp;Fich=edaba548-f8f1-4b7a-afd4-a8511ff0be79.pdf&amp;Inline=true</t>
        </is>
      </c>
      <c r="AH1861" s="3" t="n">
        <v>46321.77847222222</v>
      </c>
      <c r="AI1861" s="3" t="n">
        <v>46321.78055555555</v>
      </c>
      <c r="AJ1861" s="2" t="inlineStr"/>
    </row>
    <row r="1862">
      <c r="A1862" s="2" t="n">
        <v>1861</v>
      </c>
      <c r="B1862" s="2" t="inlineStr">
        <is>
          <t>1761C-2</t>
        </is>
      </c>
      <c r="C1862" s="3" t="n">
        <v>45968.69097222222</v>
      </c>
      <c r="D1862" s="2" t="inlineStr">
        <is>
          <t>Original</t>
        </is>
      </c>
      <c r="E1862" s="2" t="inlineStr">
        <is>
          <t>PS</t>
        </is>
      </c>
      <c r="F1862" s="2" t="inlineStr">
        <is>
          <t>António Mendonça Mendes; Eurico Brilhante Dias; José Luís Carneiro; Júlia Rodrigues; Marina Gonçalves; Miguel Matos; Pedro do Carmo</t>
        </is>
      </c>
      <c r="G1862" s="2" t="inlineStr">
        <is>
          <t>Art. 8.º (aditamento)</t>
        </is>
      </c>
      <c r="H1862" s="2" t="n"/>
      <c r="I1862" s="2" t="n"/>
      <c r="J1862" s="2" t="n"/>
      <c r="K1862" s="2" t="n"/>
      <c r="L1862" s="2" t="inlineStr">
        <is>
          <t>Novo N.º 21, Artigo 8.º</t>
        </is>
      </c>
      <c r="M1862" s="4" t="n"/>
      <c r="N1862" s="4" t="n"/>
      <c r="O1862" s="2" t="n"/>
      <c r="P1862" s="2" t="n"/>
      <c r="Q1862" s="2" t="n"/>
      <c r="R1862" s="2" t="n"/>
      <c r="S1862" s="2" t="inlineStr">
        <is>
          <t>Rejeitado(a) em Comissão</t>
        </is>
      </c>
      <c r="T1862" s="2" t="inlineStr">
        <is>
          <t>Rejeitada</t>
        </is>
      </c>
      <c r="U1862" s="2" t="inlineStr">
        <is>
          <t>Favor: PS, IL, PCP, PAN; Contra: PSD, CDS-PP; Abstenção: CH, L, BE</t>
        </is>
      </c>
      <c r="V1862" s="3" t="n">
        <v>45981</v>
      </c>
      <c r="W1862" s="2" t="inlineStr">
        <is>
          <t>AR: https://www.parlamento.pt/OrcamentoEstado/Paginas/DetalhePropostaAlteracao.aspx?BID=25362 PDF: https://app.parlamento.pt/webutils/docs/doc.pdf?path=6148523063484d364c793942556b356c6443397a6158526c63793959566b6c4a544556484c3039464c7a49774d6a59794d4449314d5441774f53395151533832596a55324d6a45315953316c4f4463784c54526a4f5755744f54646a5a6930305954453259544e6b4d4751314d574d756347526d&amp;Fich=6b56215a-e871-4c9e-97cf-4a16a3d0d51c.pdf&amp;Inline=true</t>
        </is>
      </c>
      <c r="X1862" s="2" t="inlineStr">
        <is>
          <t>Agricultura e Pescas; Orçamento, Finanças e Administração Pública</t>
        </is>
      </c>
      <c r="Y1862" s="2" t="inlineStr">
        <is>
          <t>Articulado</t>
        </is>
      </c>
      <c r="Z1862" s="2" t="inlineStr">
        <is>
          <t>Aditamento (Números e Alíneas)</t>
        </is>
      </c>
      <c r="AA1862" s="2" t="inlineStr">
        <is>
          <t>Rejeitado(a) em Comissão</t>
        </is>
      </c>
      <c r="AB1862" s="2" t="inlineStr"/>
      <c r="AC1862" s="2" t="inlineStr">
        <is>
          <t>2</t>
        </is>
      </c>
      <c r="AD1862" s="2" t="inlineStr">
        <is>
          <t>1</t>
        </is>
      </c>
      <c r="AE1862" s="2" t="inlineStr">
        <is>
          <t>25362</t>
        </is>
      </c>
      <c r="AF1862" s="2" t="inlineStr">
        <is>
          <t>https://www.parlamento.pt/OrcamentoEstado/Paginas/DetalhePropostaAlteracao.aspx?BID=25362</t>
        </is>
      </c>
      <c r="AG1862" s="2" t="inlineStr">
        <is>
          <t>https://app.parlamento.pt/webutils/docs/doc.pdf?path=6148523063484d364c793942556b356c6443397a6158526c63793959566b6c4a544556484c3039464c7a49774d6a59794d4449314d5441774f53395151533832596a55324d6a45315953316c4f4463784c54526a4f5755744f54646a5a6930305954453259544e6b4d4751314d574d756347526d&amp;Fich=6b56215a-e871-4c9e-97cf-4a16a3d0d51c.pdf&amp;Inline=true</t>
        </is>
      </c>
      <c r="AH1862" s="3" t="n">
        <v>46321.77847222222</v>
      </c>
      <c r="AI1862" s="3" t="n">
        <v>46321.78055555555</v>
      </c>
      <c r="AJ1862" s="2" t="inlineStr"/>
    </row>
    <row r="1863">
      <c r="A1863" s="2" t="n">
        <v>1862</v>
      </c>
      <c r="B1863" s="2" t="inlineStr">
        <is>
          <t>1762C</t>
        </is>
      </c>
      <c r="C1863" s="3" t="n">
        <v>45968.69097222222</v>
      </c>
      <c r="D1863" s="2" t="inlineStr">
        <is>
          <t>Original</t>
        </is>
      </c>
      <c r="E1863" s="2" t="inlineStr">
        <is>
          <t>CH</t>
        </is>
      </c>
      <c r="F186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63" s="2" t="inlineStr">
        <is>
          <t>Art. 136.º-A (aditamento)</t>
        </is>
      </c>
      <c r="H1863" s="2" t="n"/>
      <c r="I1863" s="2" t="n"/>
      <c r="J1863" s="2" t="n"/>
      <c r="K1863" s="2" t="n"/>
      <c r="L1863" s="2" t="inlineStr">
        <is>
          <t>Artigo 136.º-A (Aquisição de armas de eletrochoque, câmaras de fardamento e rádios para o serviço policial das forças de segurança)</t>
        </is>
      </c>
      <c r="M1863" s="4" t="n"/>
      <c r="N1863" s="4" t="n"/>
      <c r="O1863" s="2" t="n"/>
      <c r="P1863" s="2" t="n"/>
      <c r="Q1863" s="2" t="n"/>
      <c r="R1863" s="2" t="n"/>
      <c r="S1863" s="2" t="inlineStr">
        <is>
          <t>Rejeitado(a) em Comissão</t>
        </is>
      </c>
      <c r="T1863" s="2" t="inlineStr">
        <is>
          <t>Rejeitada</t>
        </is>
      </c>
      <c r="U1863" s="2" t="inlineStr">
        <is>
          <t>Favor: CH, PAN; Contra: PSD, L, CDS-PP, BE; Abstenção: PS, IL, PCP</t>
        </is>
      </c>
      <c r="V1863" s="3" t="n">
        <v>45987</v>
      </c>
      <c r="W1863" s="2" t="inlineStr">
        <is>
          <t>AR: https://www.parlamento.pt/OrcamentoEstado/Paginas/DetalhePropostaAlteracao.aspx?BID=25011 PDF: https://app.parlamento.pt/webutils/docs/doc.pdf?path=6148523063484d364c793942556b356c6443397a6158526c63793959566b6c4a544556484c3039464c7a49774d6a59794d4449314d5441774f5339515153396b4e5751774f5755334f5330354e5464694c545132596a557459575a6b5979316d4d4445344e7a6b314d57466d4d4749756347526d&amp;Fich=d5d09e79-957b-46b5-afdc-f0187951af0b.pdf&amp;Inline=true</t>
        </is>
      </c>
      <c r="X1863" s="2" t="inlineStr">
        <is>
          <t>Assuntos Constitucionais, Direitos, Liberdades e Garantias</t>
        </is>
      </c>
      <c r="Y1863" s="2" t="inlineStr">
        <is>
          <t>Articulado</t>
        </is>
      </c>
      <c r="Z1863" s="2" t="inlineStr">
        <is>
          <t>Aditamento (Artigo PPL)</t>
        </is>
      </c>
      <c r="AA1863" s="2" t="inlineStr">
        <is>
          <t>Rejeitado(a) em Comissão</t>
        </is>
      </c>
      <c r="AB1863" s="2" t="inlineStr"/>
      <c r="AC1863" s="2" t="inlineStr"/>
      <c r="AD1863" s="2" t="inlineStr">
        <is>
          <t>1</t>
        </is>
      </c>
      <c r="AE1863" s="2" t="inlineStr">
        <is>
          <t>25011</t>
        </is>
      </c>
      <c r="AF1863" s="2" t="inlineStr">
        <is>
          <t>https://www.parlamento.pt/OrcamentoEstado/Paginas/DetalhePropostaAlteracao.aspx?BID=25011</t>
        </is>
      </c>
      <c r="AG1863" s="2" t="inlineStr">
        <is>
          <t>https://app.parlamento.pt/webutils/docs/doc.pdf?path=6148523063484d364c793942556b356c6443397a6158526c63793959566b6c4a544556484c3039464c7a49774d6a59794d4449314d5441774f5339515153396b4e5751774f5755334f5330354e5464694c545132596a557459575a6b5979316d4d4445344e7a6b314d57466d4d4749756347526d&amp;Fich=d5d09e79-957b-46b5-afdc-f0187951af0b.pdf&amp;Inline=true</t>
        </is>
      </c>
      <c r="AH1863" s="3" t="n">
        <v>46321.77847222222</v>
      </c>
      <c r="AI1863" s="3" t="n">
        <v>46321.78055555555</v>
      </c>
      <c r="AJ1863" s="2" t="inlineStr"/>
    </row>
    <row r="1864">
      <c r="A1864" s="2" t="n">
        <v>1863</v>
      </c>
      <c r="B1864" s="2" t="inlineStr">
        <is>
          <t>1763C</t>
        </is>
      </c>
      <c r="C1864" s="3" t="n">
        <v>45968.69166666667</v>
      </c>
      <c r="D1864" s="2" t="inlineStr">
        <is>
          <t>Original</t>
        </is>
      </c>
      <c r="E1864" s="2" t="inlineStr">
        <is>
          <t>PCP</t>
        </is>
      </c>
      <c r="F1864" s="2" t="inlineStr">
        <is>
          <t>Alfredo Maia; Paula Santos; Paulo Raimundo</t>
        </is>
      </c>
      <c r="G1864" s="2" t="inlineStr">
        <is>
          <t>Art. 121.º-A (aditamento)</t>
        </is>
      </c>
      <c r="H1864" s="2" t="n"/>
      <c r="I1864" s="2" t="n"/>
      <c r="J1864" s="2" t="n"/>
      <c r="K1864" s="2" t="n"/>
      <c r="L1864" s="2" t="inlineStr">
        <is>
          <t>Artigo 121.º-A (Alargamento das valências disponíveis nos cuidados de saúde primários)</t>
        </is>
      </c>
      <c r="M1864" s="4" t="n"/>
      <c r="N1864" s="4" t="n"/>
      <c r="O1864" s="2" t="n"/>
      <c r="P1864" s="2" t="n"/>
      <c r="Q1864" s="2" t="n"/>
      <c r="R1864" s="2" t="n"/>
      <c r="S1864" s="2" t="inlineStr">
        <is>
          <t>Rejeitado(a) em Comissão</t>
        </is>
      </c>
      <c r="T1864" s="2" t="inlineStr">
        <is>
          <t>Rejeitada</t>
        </is>
      </c>
      <c r="U1864" s="2" t="inlineStr">
        <is>
          <t>Favor: CH, L, PCP, BE, PAN; Contra: PSD, IL, CDS-PP; Abstenção: PS</t>
        </is>
      </c>
      <c r="V1864" s="3" t="n">
        <v>45985</v>
      </c>
      <c r="W1864" s="2" t="inlineStr">
        <is>
          <t>AR: https://www.parlamento.pt/OrcamentoEstado/Paginas/DetalhePropostaAlteracao.aspx?BID=25012 PDF: https://app.parlamento.pt/webutils/docs/doc.pdf?path=6148523063484d364c793942556b356c6443397a6158526c63793959566b6c4a544556484c3039464c7a49774d6a59794d4449314d5441774f5339515153396c4e5467344d546c6b595330314e446b324c54526d4e6a5574596d51314d4331695a475a694d44686a595449304e7a67756347526d&amp;Fich=e58819da-5496-4f65-bd50-bdfb08ca2478.pdf&amp;Inline=true</t>
        </is>
      </c>
      <c r="X1864" s="2" t="inlineStr">
        <is>
          <t>Saúde</t>
        </is>
      </c>
      <c r="Y1864" s="2" t="inlineStr">
        <is>
          <t>Articulado</t>
        </is>
      </c>
      <c r="Z1864" s="2" t="inlineStr">
        <is>
          <t>Aditamento (Artigo PPL)</t>
        </is>
      </c>
      <c r="AA1864" s="2" t="inlineStr">
        <is>
          <t>Rejeitado(a) em Comissão</t>
        </is>
      </c>
      <c r="AB1864" s="2" t="inlineStr"/>
      <c r="AC1864" s="2" t="inlineStr"/>
      <c r="AD1864" s="2" t="inlineStr">
        <is>
          <t>1</t>
        </is>
      </c>
      <c r="AE1864" s="2" t="inlineStr">
        <is>
          <t>25012</t>
        </is>
      </c>
      <c r="AF1864" s="2" t="inlineStr">
        <is>
          <t>https://www.parlamento.pt/OrcamentoEstado/Paginas/DetalhePropostaAlteracao.aspx?BID=25012</t>
        </is>
      </c>
      <c r="AG1864" s="2" t="inlineStr">
        <is>
          <t>https://app.parlamento.pt/webutils/docs/doc.pdf?path=6148523063484d364c793942556b356c6443397a6158526c63793959566b6c4a544556484c3039464c7a49774d6a59794d4449314d5441774f5339515153396c4e5467344d546c6b595330314e446b324c54526d4e6a5574596d51314d4331695a475a694d44686a595449304e7a67756347526d&amp;Fich=e58819da-5496-4f65-bd50-bdfb08ca2478.pdf&amp;Inline=true</t>
        </is>
      </c>
      <c r="AH1864" s="3" t="n">
        <v>46321.77847222222</v>
      </c>
      <c r="AI1864" s="3" t="n">
        <v>46321.78055555555</v>
      </c>
      <c r="AJ1864" s="2" t="inlineStr"/>
    </row>
    <row r="1865">
      <c r="A1865" s="2" t="n">
        <v>1864</v>
      </c>
      <c r="B1865" s="2" t="inlineStr">
        <is>
          <t>1764C</t>
        </is>
      </c>
      <c r="C1865" s="3" t="n">
        <v>45968.69166666667</v>
      </c>
      <c r="D1865" s="2" t="inlineStr">
        <is>
          <t>Original</t>
        </is>
      </c>
      <c r="E1865" s="2" t="inlineStr">
        <is>
          <t>CH</t>
        </is>
      </c>
      <c r="F186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65" s="2" t="inlineStr">
        <is>
          <t>Art. 136.º-A (aditamento)</t>
        </is>
      </c>
      <c r="H1865" s="2" t="n"/>
      <c r="I1865" s="2" t="n"/>
      <c r="J1865" s="2" t="n"/>
      <c r="K1865" s="2" t="n"/>
      <c r="L1865" s="2" t="inlineStr">
        <is>
          <t>Artigo 136.º-A (Instalação de inibidores de sinal para as cadeias portuguesas)</t>
        </is>
      </c>
      <c r="M1865" s="4" t="n"/>
      <c r="N1865" s="4" t="n"/>
      <c r="O1865" s="2" t="n"/>
      <c r="P1865" s="2" t="n"/>
      <c r="Q1865" s="2" t="n"/>
      <c r="R1865" s="2" t="n"/>
      <c r="S1865" s="2" t="inlineStr">
        <is>
          <t>Rejeitado(a) em Comissão</t>
        </is>
      </c>
      <c r="T1865" s="2" t="inlineStr">
        <is>
          <t>Rejeitada</t>
        </is>
      </c>
      <c r="U1865" s="2" t="inlineStr">
        <is>
          <t>Favor: CH, IL; Contra: PSD, CDS-PP, PAN; Abstenção: PS, L, PCP, BE</t>
        </is>
      </c>
      <c r="V1865" s="3" t="n">
        <v>45987</v>
      </c>
      <c r="W1865" s="2" t="inlineStr">
        <is>
          <t>AR: https://www.parlamento.pt/OrcamentoEstado/Paginas/DetalhePropostaAlteracao.aspx?BID=25013 PDF: https://app.parlamento.pt/webutils/docs/doc.pdf?path=6148523063484d364c793942556b356c6443397a6158526c63793959566b6c4a544556484c3039464c7a49774d6a59794d4449314d5441774f533951515338354e446c6c4e6a41784d4330794f444d354c54517859575574596d526c4e69307a5954566a595451324d575579596a55756347526d&amp;Fich=949e6010-2839-41ae-bde6-3a5ca461e2b5.pdf&amp;Inline=true</t>
        </is>
      </c>
      <c r="X1865" s="2" t="inlineStr">
        <is>
          <t>Assuntos Constitucionais, Direitos, Liberdades e Garantias</t>
        </is>
      </c>
      <c r="Y1865" s="2" t="inlineStr">
        <is>
          <t>Articulado</t>
        </is>
      </c>
      <c r="Z1865" s="2" t="inlineStr">
        <is>
          <t>Aditamento (Artigo PPL)</t>
        </is>
      </c>
      <c r="AA1865" s="2" t="inlineStr">
        <is>
          <t>Rejeitado(a) em Comissão</t>
        </is>
      </c>
      <c r="AB1865" s="2" t="inlineStr"/>
      <c r="AC1865" s="2" t="inlineStr"/>
      <c r="AD1865" s="2" t="inlineStr">
        <is>
          <t>1</t>
        </is>
      </c>
      <c r="AE1865" s="2" t="inlineStr">
        <is>
          <t>25013</t>
        </is>
      </c>
      <c r="AF1865" s="2" t="inlineStr">
        <is>
          <t>https://www.parlamento.pt/OrcamentoEstado/Paginas/DetalhePropostaAlteracao.aspx?BID=25013</t>
        </is>
      </c>
      <c r="AG1865" s="2" t="inlineStr">
        <is>
          <t>https://app.parlamento.pt/webutils/docs/doc.pdf?path=6148523063484d364c793942556b356c6443397a6158526c63793959566b6c4a544556484c3039464c7a49774d6a59794d4449314d5441774f533951515338354e446c6c4e6a41784d4330794f444d354c54517859575574596d526c4e69307a5954566a595451324d575579596a55756347526d&amp;Fich=949e6010-2839-41ae-bde6-3a5ca461e2b5.pdf&amp;Inline=true</t>
        </is>
      </c>
      <c r="AH1865" s="3" t="n">
        <v>46321.77847222222</v>
      </c>
      <c r="AI1865" s="3" t="n">
        <v>46321.78055555555</v>
      </c>
      <c r="AJ1865" s="2" t="inlineStr"/>
    </row>
    <row r="1866">
      <c r="A1866" s="2" t="n">
        <v>1865</v>
      </c>
      <c r="B1866" s="2" t="inlineStr">
        <is>
          <t>1765C</t>
        </is>
      </c>
      <c r="C1866" s="3" t="n">
        <v>45968.69236111111</v>
      </c>
      <c r="D1866" s="2" t="inlineStr">
        <is>
          <t>Original</t>
        </is>
      </c>
      <c r="E1866" s="2" t="inlineStr">
        <is>
          <t>PCP</t>
        </is>
      </c>
      <c r="F1866" s="2" t="inlineStr">
        <is>
          <t>Alfredo Maia; Paula Santos; Paulo Raimundo</t>
        </is>
      </c>
      <c r="G1866" s="2" t="inlineStr">
        <is>
          <t>Art. 22.º-A (aditamento)</t>
        </is>
      </c>
      <c r="H1866" s="2" t="n"/>
      <c r="I1866" s="2" t="n"/>
      <c r="J1866" s="2" t="n"/>
      <c r="K1866" s="2" t="n"/>
      <c r="L1866" s="2" t="inlineStr">
        <is>
          <t>Artigo 22.º-A (Definição e regulamentação de um regime laboral e de aposentação específico para os enfermeiros)</t>
        </is>
      </c>
      <c r="M1866" s="4" t="n"/>
      <c r="N1866" s="4" t="n"/>
      <c r="O1866" s="2" t="n"/>
      <c r="P1866" s="2" t="n"/>
      <c r="Q1866" s="2" t="n"/>
      <c r="R1866" s="2" t="n"/>
      <c r="S1866" s="2" t="inlineStr">
        <is>
          <t>Rejeitado(a) em Comissão</t>
        </is>
      </c>
      <c r="T1866" s="2" t="inlineStr">
        <is>
          <t>Rejeitada</t>
        </is>
      </c>
      <c r="U1866" s="2" t="inlineStr">
        <is>
          <t>Favor: L, PCP, BE, PAN; Contra: PSD, IL, CDS-PP; Abstenção: CH, PS</t>
        </is>
      </c>
      <c r="V1866" s="3" t="n">
        <v>45981</v>
      </c>
      <c r="W1866" s="2" t="inlineStr">
        <is>
          <t>AR: https://www.parlamento.pt/OrcamentoEstado/Paginas/DetalhePropostaAlteracao.aspx?BID=25014 PDF: https://app.parlamento.pt/webutils/docs/doc.pdf?path=6148523063484d364c793942556b356c6443397a6158526c63793959566b6c4a544556484c3039464c7a49774d6a59794d4449314d5441774f533951515338325a44686b4f4449784e793079595445784c54526b4e4755744f54426c4f5330304d6a5579596d4d34596a63325a6a49756347526d&amp;Fich=6d8d8217-2a11-4d4e-90e9-4252bc8b76f2.pdf&amp;Inline=true</t>
        </is>
      </c>
      <c r="X1866" s="2" t="inlineStr">
        <is>
          <t>Saúde</t>
        </is>
      </c>
      <c r="Y1866" s="2" t="inlineStr">
        <is>
          <t>Articulado</t>
        </is>
      </c>
      <c r="Z1866" s="2" t="inlineStr">
        <is>
          <t>Aditamento (Artigo PPL)</t>
        </is>
      </c>
      <c r="AA1866" s="2" t="inlineStr">
        <is>
          <t>Rejeitado(a) em Comissão</t>
        </is>
      </c>
      <c r="AB1866" s="2" t="inlineStr"/>
      <c r="AC1866" s="2" t="inlineStr"/>
      <c r="AD1866" s="2" t="inlineStr">
        <is>
          <t>1</t>
        </is>
      </c>
      <c r="AE1866" s="2" t="inlineStr">
        <is>
          <t>25014</t>
        </is>
      </c>
      <c r="AF1866" s="2" t="inlineStr">
        <is>
          <t>https://www.parlamento.pt/OrcamentoEstado/Paginas/DetalhePropostaAlteracao.aspx?BID=25014</t>
        </is>
      </c>
      <c r="AG1866" s="2" t="inlineStr">
        <is>
          <t>https://app.parlamento.pt/webutils/docs/doc.pdf?path=6148523063484d364c793942556b356c6443397a6158526c63793959566b6c4a544556484c3039464c7a49774d6a59794d4449314d5441774f533951515338325a44686b4f4449784e793079595445784c54526b4e4755744f54426c4f5330304d6a5579596d4d34596a63325a6a49756347526d&amp;Fich=6d8d8217-2a11-4d4e-90e9-4252bc8b76f2.pdf&amp;Inline=true</t>
        </is>
      </c>
      <c r="AH1866" s="3" t="n">
        <v>46321.77847222222</v>
      </c>
      <c r="AI1866" s="3" t="n">
        <v>46321.78055555555</v>
      </c>
      <c r="AJ1866" s="2" t="inlineStr"/>
    </row>
    <row r="1867">
      <c r="A1867" s="2" t="n">
        <v>1866</v>
      </c>
      <c r="B1867" s="2" t="inlineStr">
        <is>
          <t>1766C</t>
        </is>
      </c>
      <c r="C1867" s="3" t="n">
        <v>45968.69236111111</v>
      </c>
      <c r="D1867" s="2" t="inlineStr">
        <is>
          <t>Original</t>
        </is>
      </c>
      <c r="E1867" s="2" t="inlineStr">
        <is>
          <t>L</t>
        </is>
      </c>
      <c r="F1867" s="2" t="inlineStr">
        <is>
          <t>Filipa Pinto; Isabel Mendes Lopes; Jorge Pinto; Patrícia Gonçalves; Paulo Muacho; Rui Tavares</t>
        </is>
      </c>
      <c r="G1867" s="2" t="inlineStr">
        <is>
          <t>Art. 112.º-A (aditamento)</t>
        </is>
      </c>
      <c r="H1867" s="2" t="n"/>
      <c r="I1867" s="2" t="n"/>
      <c r="J1867" s="2" t="n"/>
      <c r="K1867" s="2" t="n"/>
      <c r="L1867" s="2" t="inlineStr">
        <is>
          <t>Artigo 112.º-A (Proteção das pessoas em vulnerabilidade habitacional)</t>
        </is>
      </c>
      <c r="M1867" s="4" t="n"/>
      <c r="N1867" s="4" t="n"/>
      <c r="O1867" s="2" t="n"/>
      <c r="P1867" s="2" t="n"/>
      <c r="Q1867" s="2" t="n"/>
      <c r="R1867" s="2" t="n"/>
      <c r="S1867" s="2" t="inlineStr">
        <is>
          <t>Rejeitado(a) em Comissão</t>
        </is>
      </c>
      <c r="T1867" s="2" t="inlineStr">
        <is>
          <t>Rejeitada</t>
        </is>
      </c>
      <c r="U1867" s="2" t="inlineStr">
        <is>
          <t>Favor: L, PCP, BE, PAN; Contra: PSD, CH, IL, CDS-PP; Abstenção: PS</t>
        </is>
      </c>
      <c r="V1867" s="3" t="n">
        <v>45982</v>
      </c>
      <c r="W1867" s="2" t="inlineStr">
        <is>
          <t>AR: https://www.parlamento.pt/OrcamentoEstado/Paginas/DetalhePropostaAlteracao.aspx?BID=25015 PDF: https://app.parlamento.pt/webutils/docs/doc.pdf?path=6148523063484d364c793942556b356c6443397a6158526c63793959566b6c4a544556484c3039464c7a49774d6a59794d4449314d5441774f5339515153396b5954517a4e546b354f43316a4f444a6d4c5451324d6a41744f4449354d6930774d5749324e5755795a54637a4f574d756347526d&amp;Fich=da435998-c82f-4620-8292-01b65e2e739c.pdf&amp;Inline=true</t>
        </is>
      </c>
      <c r="X1867" s="2" t="inlineStr">
        <is>
          <t>Infraestruturas, Mobilidade e Habitação</t>
        </is>
      </c>
      <c r="Y1867" s="2" t="inlineStr">
        <is>
          <t>Articulado</t>
        </is>
      </c>
      <c r="Z1867" s="2" t="inlineStr">
        <is>
          <t>Aditamento (Artigo PPL)</t>
        </is>
      </c>
      <c r="AA1867" s="2" t="inlineStr">
        <is>
          <t>Rejeitado(a) em Comissão</t>
        </is>
      </c>
      <c r="AB1867" s="2" t="inlineStr"/>
      <c r="AC1867" s="2" t="inlineStr"/>
      <c r="AD1867" s="2" t="inlineStr">
        <is>
          <t>1</t>
        </is>
      </c>
      <c r="AE1867" s="2" t="inlineStr">
        <is>
          <t>25015</t>
        </is>
      </c>
      <c r="AF1867" s="2" t="inlineStr">
        <is>
          <t>https://www.parlamento.pt/OrcamentoEstado/Paginas/DetalhePropostaAlteracao.aspx?BID=25015</t>
        </is>
      </c>
      <c r="AG1867" s="2" t="inlineStr">
        <is>
          <t>https://app.parlamento.pt/webutils/docs/doc.pdf?path=6148523063484d364c793942556b356c6443397a6158526c63793959566b6c4a544556484c3039464c7a49774d6a59794d4449314d5441774f5339515153396b5954517a4e546b354f43316a4f444a6d4c5451324d6a41744f4449354d6930774d5749324e5755795a54637a4f574d756347526d&amp;Fich=da435998-c82f-4620-8292-01b65e2e739c.pdf&amp;Inline=true</t>
        </is>
      </c>
      <c r="AH1867" s="3" t="n">
        <v>46321.77847222222</v>
      </c>
      <c r="AI1867" s="3" t="n">
        <v>46321.78055555555</v>
      </c>
      <c r="AJ1867" s="2" t="inlineStr"/>
    </row>
    <row r="1868">
      <c r="A1868" s="2" t="n">
        <v>1867</v>
      </c>
      <c r="B1868" s="2" t="inlineStr">
        <is>
          <t>1767C</t>
        </is>
      </c>
      <c r="C1868" s="3" t="n">
        <v>45968.69236111111</v>
      </c>
      <c r="D1868" s="2" t="inlineStr">
        <is>
          <t>Original</t>
        </is>
      </c>
      <c r="E1868" s="2" t="inlineStr">
        <is>
          <t>BE</t>
        </is>
      </c>
      <c r="F1868" s="2" t="inlineStr">
        <is>
          <t>Mariana Mortágua</t>
        </is>
      </c>
      <c r="G1868" s="2" t="inlineStr">
        <is>
          <t>Art. 113.º-A (aditamento)</t>
        </is>
      </c>
      <c r="H1868" s="2" t="n"/>
      <c r="I1868" s="2" t="n"/>
      <c r="J1868" s="2" t="n"/>
      <c r="K1868" s="2" t="n"/>
      <c r="L1868" s="2" t="inlineStr">
        <is>
          <t>Artigo 113.º-A (Serviços de Comunicação Fixa e Móvel)</t>
        </is>
      </c>
      <c r="M1868" s="4" t="n"/>
      <c r="N1868" s="4" t="n"/>
      <c r="O1868" s="2" t="n"/>
      <c r="P1868" s="2" t="n"/>
      <c r="Q1868" s="2" t="n"/>
      <c r="R1868" s="2" t="n"/>
      <c r="S1868" s="2" t="inlineStr">
        <is>
          <t>Rejeitado(a) em Comissão</t>
        </is>
      </c>
      <c r="T1868" s="2" t="inlineStr">
        <is>
          <t>Rejeitada</t>
        </is>
      </c>
      <c r="U1868" s="2" t="inlineStr">
        <is>
          <t>Favor: CH, L, PCP, BE, PAN; Contra: PSD, IL, CDS-PP; Abstenção: PS</t>
        </is>
      </c>
      <c r="V1868" s="3" t="n">
        <v>45985</v>
      </c>
      <c r="W1868" s="2" t="inlineStr">
        <is>
          <t>AR: https://www.parlamento.pt/OrcamentoEstado/Paginas/DetalhePropostaAlteracao.aspx?BID=25016 PDF: https://app.parlamento.pt/webutils/docs/doc.pdf?path=6148523063484d364c793942556b356c6443397a6158526c63793959566b6c4a544556484c3039464c7a49774d6a59794d4449314d5441774f5339515153387a4d3245324d6a67775a5330305a6a417a4c54526d4e7a4574596a426a4d69316c4d575a6d4f4759345a6a4a694d5449756347526d&amp;Fich=33a6280e-4f03-4f71-b0c2-e1ff8f8f2b12.pdf&amp;Inline=true</t>
        </is>
      </c>
      <c r="X1868" s="2" t="inlineStr">
        <is>
          <t>Comissão de Economia e Coesão Territorial</t>
        </is>
      </c>
      <c r="Y1868" s="2" t="inlineStr">
        <is>
          <t>Articulado</t>
        </is>
      </c>
      <c r="Z1868" s="2" t="inlineStr">
        <is>
          <t>Aditamento (Artigo PPL)</t>
        </is>
      </c>
      <c r="AA1868" s="2" t="inlineStr">
        <is>
          <t>Rejeitado(a) em Comissão</t>
        </is>
      </c>
      <c r="AB1868" s="2" t="inlineStr"/>
      <c r="AC1868" s="2" t="inlineStr"/>
      <c r="AD1868" s="2" t="inlineStr">
        <is>
          <t>1</t>
        </is>
      </c>
      <c r="AE1868" s="2" t="inlineStr">
        <is>
          <t>25016</t>
        </is>
      </c>
      <c r="AF1868" s="2" t="inlineStr">
        <is>
          <t>https://www.parlamento.pt/OrcamentoEstado/Paginas/DetalhePropostaAlteracao.aspx?BID=25016</t>
        </is>
      </c>
      <c r="AG1868" s="2" t="inlineStr">
        <is>
          <t>https://app.parlamento.pt/webutils/docs/doc.pdf?path=6148523063484d364c793942556b356c6443397a6158526c63793959566b6c4a544556484c3039464c7a49774d6a59794d4449314d5441774f5339515153387a4d3245324d6a67775a5330305a6a417a4c54526d4e7a4574596a426a4d69316c4d575a6d4f4759345a6a4a694d5449756347526d&amp;Fich=33a6280e-4f03-4f71-b0c2-e1ff8f8f2b12.pdf&amp;Inline=true</t>
        </is>
      </c>
      <c r="AH1868" s="3" t="n">
        <v>46321.77847222222</v>
      </c>
      <c r="AI1868" s="3" t="n">
        <v>46321.78055555555</v>
      </c>
      <c r="AJ1868" s="2" t="inlineStr"/>
    </row>
    <row r="1869">
      <c r="A1869" s="2" t="n">
        <v>1868</v>
      </c>
      <c r="B1869" s="2" t="inlineStr">
        <is>
          <t>1768C</t>
        </is>
      </c>
      <c r="C1869" s="3" t="n">
        <v>45968.69236111111</v>
      </c>
      <c r="D1869" s="2" t="inlineStr">
        <is>
          <t>Original</t>
        </is>
      </c>
      <c r="E1869" s="2" t="inlineStr">
        <is>
          <t>PS</t>
        </is>
      </c>
      <c r="F1869" s="2" t="inlineStr">
        <is>
          <t>António Mendonça Mendes; Eurico Brilhante Dias; José Luís Carneiro; Marina Gonçalves; Miguel Matos</t>
        </is>
      </c>
      <c r="G1869" s="2" t="inlineStr">
        <is>
          <t>Art. 60.º (substituição)</t>
        </is>
      </c>
      <c r="H1869" s="2" t="n"/>
      <c r="I1869" s="2" t="n"/>
      <c r="J1869" s="2" t="n"/>
      <c r="K1869" s="2" t="n"/>
      <c r="L1869" s="2" t="inlineStr">
        <is>
          <t>N.º 1, Artigo 27.º do Código do IRS</t>
        </is>
      </c>
      <c r="M1869" s="4" t="n"/>
      <c r="N1869" s="4" t="n"/>
      <c r="O1869" s="2" t="n"/>
      <c r="P1869" s="2" t="n"/>
      <c r="Q1869" s="2" t="n"/>
      <c r="R1869" s="2" t="n"/>
      <c r="S1869" s="2" t="inlineStr">
        <is>
          <t>Aprovado(a) em Comissão</t>
        </is>
      </c>
      <c r="T1869" s="2" t="inlineStr">
        <is>
          <t>Aprovada</t>
        </is>
      </c>
      <c r="U1869" s="2" t="inlineStr">
        <is>
          <t>Favor: PS, IL, L, PCP, BE, PAN; Abstenção: PSD, CH, CDS-PP</t>
        </is>
      </c>
      <c r="V1869" s="3" t="n">
        <v>45981</v>
      </c>
      <c r="W1869" s="2" t="inlineStr">
        <is>
          <t>AR: https://www.parlamento.pt/OrcamentoEstado/Paginas/DetalhePropostaAlteracao.aspx?BID=25017 PDF: https://app.parlamento.pt/webutils/docs/doc.pdf?path=6148523063484d364c793942556b356c6443397a6158526c63793959566b6c4a544556484c3039464c7a49774d6a59794d4449314d5441774f533951515338784e5455334e6a6b30596930314e7a41304c5452684f5445744f54457a4e6930784e44526a596a63334f5441774f4441756347526d&amp;Fich=1557694b-5704-4a91-9136-144cb7790080.pdf&amp;Inline=true</t>
        </is>
      </c>
      <c r="X1869" s="2" t="inlineStr">
        <is>
          <t>Orçamento, Finanças e Administração Pública</t>
        </is>
      </c>
      <c r="Y1869" s="2" t="inlineStr">
        <is>
          <t>Articulado</t>
        </is>
      </c>
      <c r="Z1869" s="2" t="inlineStr">
        <is>
          <t>Substituição</t>
        </is>
      </c>
      <c r="AA1869" s="2" t="inlineStr">
        <is>
          <t>Aprovado(a) em Comissão</t>
        </is>
      </c>
      <c r="AB1869" s="2" t="inlineStr"/>
      <c r="AC1869" s="2" t="inlineStr"/>
      <c r="AD1869" s="2" t="inlineStr">
        <is>
          <t>1</t>
        </is>
      </c>
      <c r="AE1869" s="2" t="inlineStr">
        <is>
          <t>25017</t>
        </is>
      </c>
      <c r="AF1869" s="2" t="inlineStr">
        <is>
          <t>https://www.parlamento.pt/OrcamentoEstado/Paginas/DetalhePropostaAlteracao.aspx?BID=25017</t>
        </is>
      </c>
      <c r="AG1869" s="2" t="inlineStr">
        <is>
          <t>https://app.parlamento.pt/webutils/docs/doc.pdf?path=6148523063484d364c793942556b356c6443397a6158526c63793959566b6c4a544556484c3039464c7a49774d6a59794d4449314d5441774f533951515338784e5455334e6a6b30596930314e7a41304c5452684f5445744f54457a4e6930784e44526a596a63334f5441774f4441756347526d&amp;Fich=1557694b-5704-4a91-9136-144cb7790080.pdf&amp;Inline=true</t>
        </is>
      </c>
      <c r="AH1869" s="3" t="n">
        <v>46321.77847222222</v>
      </c>
      <c r="AI1869" s="3" t="n">
        <v>46321.78055555555</v>
      </c>
      <c r="AJ1869" s="2" t="inlineStr"/>
    </row>
    <row r="1870">
      <c r="A1870" s="2" t="n">
        <v>1869</v>
      </c>
      <c r="B1870" s="2" t="inlineStr">
        <is>
          <t>1769C</t>
        </is>
      </c>
      <c r="C1870" s="3" t="n">
        <v>45968.69305555556</v>
      </c>
      <c r="D1870" s="2" t="inlineStr">
        <is>
          <t>Original</t>
        </is>
      </c>
      <c r="E1870" s="2" t="inlineStr">
        <is>
          <t>PCP</t>
        </is>
      </c>
      <c r="F1870" s="2" t="inlineStr">
        <is>
          <t>Alfredo Maia; Paula Santos; Paulo Raimundo</t>
        </is>
      </c>
      <c r="G1870" s="2" t="inlineStr">
        <is>
          <t>Art. 136.º-A (aditamento)</t>
        </is>
      </c>
      <c r="H1870" s="2" t="n"/>
      <c r="I1870" s="2" t="n"/>
      <c r="J1870" s="2" t="n"/>
      <c r="K1870" s="2" t="n"/>
      <c r="L1870" s="2" t="inlineStr">
        <is>
          <t>Artigo 136.º-A (Repristinação da alínea o) do n.º 1 do artigo 105.º do Decreto-Lei n.º176/2006 de 30 de agosto)</t>
        </is>
      </c>
      <c r="M1870" s="4" t="n"/>
      <c r="N1870" s="4" t="n"/>
      <c r="O1870" s="2" t="n"/>
      <c r="P1870" s="2" t="n"/>
      <c r="Q1870" s="2" t="n"/>
      <c r="R1870" s="2" t="n"/>
      <c r="S1870" s="2" t="inlineStr">
        <is>
          <t>Rejeitado(a) em Comissão</t>
        </is>
      </c>
      <c r="T1870" s="2" t="inlineStr">
        <is>
          <t>Rejeitada</t>
        </is>
      </c>
      <c r="U1870" s="2" t="inlineStr">
        <is>
          <t>Favor: CH, L, PCP, BE, PAN; Contra: PSD, IL, CDS-PP; Abstenção: PS</t>
        </is>
      </c>
      <c r="V1870" s="3" t="n">
        <v>45987</v>
      </c>
      <c r="W1870" s="2" t="inlineStr">
        <is>
          <t>AR: https://www.parlamento.pt/OrcamentoEstado/Paginas/DetalhePropostaAlteracao.aspx?BID=25018 PDF: https://app.parlamento.pt/webutils/docs/doc.pdf?path=6148523063484d364c793942556b356c6443397a6158526c63793959566b6c4a544556484c3039464c7a49774d6a59794d4449314d5441774f533951515338794f47526d4d5456684e53316b4d3249794c545133596a5574596a6b315a6930304d3245344e474669596a4979597a63756347526d&amp;Fich=28df15a5-d3b2-47b5-b95f-43a84abb22c7.pdf&amp;Inline=true</t>
        </is>
      </c>
      <c r="X1870" s="2" t="inlineStr">
        <is>
          <t>Saúde</t>
        </is>
      </c>
      <c r="Y1870" s="2" t="inlineStr">
        <is>
          <t>Articulado</t>
        </is>
      </c>
      <c r="Z1870" s="2" t="inlineStr">
        <is>
          <t>Aditamento (Artigo PPL)</t>
        </is>
      </c>
      <c r="AA1870" s="2" t="inlineStr">
        <is>
          <t>Rejeitado(a) em Comissão</t>
        </is>
      </c>
      <c r="AB1870" s="2" t="inlineStr"/>
      <c r="AC1870" s="2" t="inlineStr"/>
      <c r="AD1870" s="2" t="inlineStr">
        <is>
          <t>1</t>
        </is>
      </c>
      <c r="AE1870" s="2" t="inlineStr">
        <is>
          <t>25018</t>
        </is>
      </c>
      <c r="AF1870" s="2" t="inlineStr">
        <is>
          <t>https://www.parlamento.pt/OrcamentoEstado/Paginas/DetalhePropostaAlteracao.aspx?BID=25018</t>
        </is>
      </c>
      <c r="AG1870" s="2" t="inlineStr">
        <is>
          <t>https://app.parlamento.pt/webutils/docs/doc.pdf?path=6148523063484d364c793942556b356c6443397a6158526c63793959566b6c4a544556484c3039464c7a49774d6a59794d4449314d5441774f533951515338794f47526d4d5456684e53316b4d3249794c545133596a5574596a6b315a6930304d3245344e474669596a4979597a63756347526d&amp;Fich=28df15a5-d3b2-47b5-b95f-43a84abb22c7.pdf&amp;Inline=true</t>
        </is>
      </c>
      <c r="AH1870" s="3" t="n">
        <v>46321.77847222222</v>
      </c>
      <c r="AI1870" s="3" t="n">
        <v>46321.78055555555</v>
      </c>
      <c r="AJ1870" s="2" t="inlineStr"/>
    </row>
    <row r="1871">
      <c r="A1871" s="2" t="n">
        <v>1870</v>
      </c>
      <c r="B1871" s="2" t="inlineStr">
        <is>
          <t>1770C</t>
        </is>
      </c>
      <c r="C1871" s="3" t="n">
        <v>45968.69305555556</v>
      </c>
      <c r="D1871" s="2" t="inlineStr">
        <is>
          <t>Original</t>
        </is>
      </c>
      <c r="E1871" s="2" t="inlineStr">
        <is>
          <t>CH</t>
        </is>
      </c>
      <c r="F187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71" s="2" t="inlineStr">
        <is>
          <t>Art. 136.º-A (aditamento)</t>
        </is>
      </c>
      <c r="H1871" s="2" t="n"/>
      <c r="I1871" s="2" t="n"/>
      <c r="J1871" s="2" t="n"/>
      <c r="K1871" s="2" t="n"/>
      <c r="L1871" s="2" t="inlineStr">
        <is>
          <t>Artigo 136.º-A (Alteração à Lei n.º 68/2019, de 27 de agosto)</t>
        </is>
      </c>
      <c r="M1871" s="4" t="n"/>
      <c r="N1871" s="4" t="n"/>
      <c r="O1871" s="2" t="n"/>
      <c r="P1871" s="2" t="n"/>
      <c r="Q1871" s="2" t="n"/>
      <c r="R1871" s="2" t="n"/>
      <c r="S1871" s="2" t="inlineStr">
        <is>
          <t>Rejeitado(a) em Comissão</t>
        </is>
      </c>
      <c r="T1871" s="2" t="inlineStr">
        <is>
          <t>Rejeitada</t>
        </is>
      </c>
      <c r="U1871" s="2" t="inlineStr">
        <is>
          <t>Favor: CH, PAN; Contra: PSD, PS, IL, L, CDS-PP, BE; Abstenção: PCP</t>
        </is>
      </c>
      <c r="V1871" s="3" t="n">
        <v>45987</v>
      </c>
      <c r="W1871" s="2" t="inlineStr">
        <is>
          <t>AR: https://www.parlamento.pt/OrcamentoEstado/Paginas/DetalhePropostaAlteracao.aspx?BID=25019 PDF: https://app.parlamento.pt/webutils/docs/doc.pdf?path=6148523063484d364c793942556b356c6443397a6158526c63793959566b6c4a544556484c3039464c7a49774d6a59794d4449314d5441774f533951515338785a54417859544d305a5330785a5449334c5451345a474574596d45785a533032596a686b4e7a4978597a55795a4459756347526d&amp;Fich=1e01a34e-1e27-48da-ba1e-6b8d721c52d6.pdf&amp;Inline=true</t>
        </is>
      </c>
      <c r="X1871" s="2" t="inlineStr">
        <is>
          <t>Assuntos Constitucionais, Direitos, Liberdades e Garantias</t>
        </is>
      </c>
      <c r="Y1871" s="2" t="inlineStr">
        <is>
          <t>Articulado</t>
        </is>
      </c>
      <c r="Z1871" s="2" t="inlineStr">
        <is>
          <t>Aditamento (Artigo PPL)</t>
        </is>
      </c>
      <c r="AA1871" s="2" t="inlineStr">
        <is>
          <t>Rejeitado(a) em Comissão</t>
        </is>
      </c>
      <c r="AB1871" s="2" t="inlineStr"/>
      <c r="AC1871" s="2" t="inlineStr"/>
      <c r="AD1871" s="2" t="inlineStr">
        <is>
          <t>1</t>
        </is>
      </c>
      <c r="AE1871" s="2" t="inlineStr">
        <is>
          <t>25019</t>
        </is>
      </c>
      <c r="AF1871" s="2" t="inlineStr">
        <is>
          <t>https://www.parlamento.pt/OrcamentoEstado/Paginas/DetalhePropostaAlteracao.aspx?BID=25019</t>
        </is>
      </c>
      <c r="AG1871" s="2" t="inlineStr">
        <is>
          <t>https://app.parlamento.pt/webutils/docs/doc.pdf?path=6148523063484d364c793942556b356c6443397a6158526c63793959566b6c4a544556484c3039464c7a49774d6a59794d4449314d5441774f533951515338785a54417859544d305a5330785a5449334c5451345a474574596d45785a533032596a686b4e7a4978597a55795a4459756347526d&amp;Fich=1e01a34e-1e27-48da-ba1e-6b8d721c52d6.pdf&amp;Inline=true</t>
        </is>
      </c>
      <c r="AH1871" s="3" t="n">
        <v>46321.77847222222</v>
      </c>
      <c r="AI1871" s="3" t="n">
        <v>46321.78055555555</v>
      </c>
      <c r="AJ1871" s="2" t="inlineStr"/>
    </row>
    <row r="1872">
      <c r="A1872" s="2" t="n">
        <v>1871</v>
      </c>
      <c r="B1872" s="2" t="inlineStr">
        <is>
          <t>1771C</t>
        </is>
      </c>
      <c r="C1872" s="3" t="n">
        <v>45968.69305555556</v>
      </c>
      <c r="D1872" s="2" t="inlineStr">
        <is>
          <t>Original</t>
        </is>
      </c>
      <c r="E1872" s="2" t="inlineStr">
        <is>
          <t>PS</t>
        </is>
      </c>
      <c r="F1872" s="2" t="inlineStr">
        <is>
          <t>António Mendonça Mendes; Eurico Brilhante Dias; José Luís Carneiro; Marina Gonçalves; Miguel Matos</t>
        </is>
      </c>
      <c r="G1872" s="2" t="inlineStr">
        <is>
          <t>Art. 112.º-A (aditamento)</t>
        </is>
      </c>
      <c r="H1872" s="2" t="n"/>
      <c r="I1872" s="2" t="n"/>
      <c r="J1872" s="2" t="n"/>
      <c r="K1872" s="2" t="n"/>
      <c r="L1872" s="2" t="inlineStr">
        <is>
          <t>Artigo 112.º-A (Alteração ao Decreto-Lei n.º 74-A/2017, de 23 de junho)</t>
        </is>
      </c>
      <c r="M1872" s="4" t="n"/>
      <c r="N1872" s="4" t="n"/>
      <c r="O1872" s="2" t="n"/>
      <c r="P1872" s="2" t="n"/>
      <c r="Q1872" s="2" t="n"/>
      <c r="R1872" s="2" t="n"/>
      <c r="S1872" s="2" t="inlineStr">
        <is>
          <t>Rejeitado(a) em Comissão</t>
        </is>
      </c>
      <c r="T1872" s="2" t="inlineStr">
        <is>
          <t>Rejeitada</t>
        </is>
      </c>
      <c r="U1872" s="2" t="inlineStr">
        <is>
          <t>Favor: PS, L, PCP, BE, PAN; Contra: PSD, IL, CDS-PP; Abstenção: CH</t>
        </is>
      </c>
      <c r="V1872" s="3" t="n">
        <v>45982</v>
      </c>
      <c r="W1872" s="2" t="inlineStr">
        <is>
          <t>AR: https://www.parlamento.pt/OrcamentoEstado/Paginas/DetalhePropostaAlteracao.aspx?BID=25020 PDF: https://app.parlamento.pt/webutils/docs/doc.pdf?path=6148523063484d364c793942556b356c6443397a6158526c63793959566b6c4a544556484c3039464c7a49774d6a59794d4449314d5441774f5339515153396d596d566c4e546b794e433035596a55314c54517a4d4445744f5459794d533031597a4a6b5a5459784f446b34597a49756347526d&amp;Fich=fbee5924-9b55-4301-9621-5c2de61898c2.pdf&amp;Inline=true</t>
        </is>
      </c>
      <c r="X1872" s="2" t="inlineStr">
        <is>
          <t>Orçamento, Finanças e Administração Pública</t>
        </is>
      </c>
      <c r="Y1872" s="2" t="inlineStr">
        <is>
          <t>Articulado</t>
        </is>
      </c>
      <c r="Z1872" s="2" t="inlineStr">
        <is>
          <t>Aditamento (Artigo PPL)</t>
        </is>
      </c>
      <c r="AA1872" s="2" t="inlineStr">
        <is>
          <t>Rejeitado(a) em Comissão</t>
        </is>
      </c>
      <c r="AB1872" s="2" t="inlineStr"/>
      <c r="AC1872" s="2" t="inlineStr"/>
      <c r="AD1872" s="2" t="inlineStr">
        <is>
          <t>1</t>
        </is>
      </c>
      <c r="AE1872" s="2" t="inlineStr">
        <is>
          <t>25020</t>
        </is>
      </c>
      <c r="AF1872" s="2" t="inlineStr">
        <is>
          <t>https://www.parlamento.pt/OrcamentoEstado/Paginas/DetalhePropostaAlteracao.aspx?BID=25020</t>
        </is>
      </c>
      <c r="AG1872" s="2" t="inlineStr">
        <is>
          <t>https://app.parlamento.pt/webutils/docs/doc.pdf?path=6148523063484d364c793942556b356c6443397a6158526c63793959566b6c4a544556484c3039464c7a49774d6a59794d4449314d5441774f5339515153396d596d566c4e546b794e433035596a55314c54517a4d4445744f5459794d533031597a4a6b5a5459784f446b34597a49756347526d&amp;Fich=fbee5924-9b55-4301-9621-5c2de61898c2.pdf&amp;Inline=true</t>
        </is>
      </c>
      <c r="AH1872" s="3" t="n">
        <v>46321.77847222222</v>
      </c>
      <c r="AI1872" s="3" t="n">
        <v>46321.78055555555</v>
      </c>
      <c r="AJ1872" s="2" t="inlineStr"/>
    </row>
    <row r="1873">
      <c r="A1873" s="2" t="n">
        <v>1872</v>
      </c>
      <c r="B1873" s="2" t="inlineStr">
        <is>
          <t>1772C</t>
        </is>
      </c>
      <c r="C1873" s="3" t="n">
        <v>45968.69305555556</v>
      </c>
      <c r="D1873" s="2" t="inlineStr">
        <is>
          <t>Original</t>
        </is>
      </c>
      <c r="E1873" s="2" t="inlineStr">
        <is>
          <t>PCP</t>
        </is>
      </c>
      <c r="F1873" s="2" t="inlineStr">
        <is>
          <t>Alfredo Maia; Paula Santos; Paulo Raimundo</t>
        </is>
      </c>
      <c r="G1873" s="2" t="inlineStr">
        <is>
          <t>Art. 22.º-A (aditamento)</t>
        </is>
      </c>
      <c r="H1873" s="2" t="n"/>
      <c r="I1873" s="2" t="n"/>
      <c r="J1873" s="2" t="n"/>
      <c r="K1873" s="2" t="n"/>
      <c r="L1873" s="2" t="inlineStr">
        <is>
          <t>Artigo 22.º-A (Pagamento aos enfermeiros dos retroativos à data da aquisição do direito à progressão)</t>
        </is>
      </c>
      <c r="M1873" s="4" t="n"/>
      <c r="N1873" s="4" t="n"/>
      <c r="O1873" s="2" t="n"/>
      <c r="P1873" s="2" t="n"/>
      <c r="Q1873" s="2" t="n"/>
      <c r="R1873" s="2" t="n"/>
      <c r="S1873" s="2" t="inlineStr">
        <is>
          <t>Rejeitado(a) em Comissão</t>
        </is>
      </c>
      <c r="T1873" s="2" t="inlineStr">
        <is>
          <t>Rejeitada</t>
        </is>
      </c>
      <c r="U1873" s="2" t="inlineStr">
        <is>
          <t>Favor: CH, L, PCP, BE, PAN; Contra: PSD, PS, CDS-PP; Abstenção: IL</t>
        </is>
      </c>
      <c r="V1873" s="3" t="n">
        <v>45981</v>
      </c>
      <c r="W1873" s="2" t="inlineStr">
        <is>
          <t>AR: https://www.parlamento.pt/OrcamentoEstado/Paginas/DetalhePropostaAlteracao.aspx?BID=25021 PDF: https://app.parlamento.pt/webutils/docs/doc.pdf?path=6148523063484d364c793942556b356c6443397a6158526c63793959566b6c4a544556484c3039464c7a49774d6a59794d4449314d5441774f53395151533877595463784e54557a4d6930325a5751794c5451325a4751744f5468694f43307a5a5455774e44466b4e445131597a59756347526d&amp;Fich=0a715532-6ed2-46dd-98b8-3e5041d445c6.pdf&amp;Inline=true</t>
        </is>
      </c>
      <c r="X1873" s="2" t="inlineStr">
        <is>
          <t>Saúde</t>
        </is>
      </c>
      <c r="Y1873" s="2" t="inlineStr">
        <is>
          <t>Articulado</t>
        </is>
      </c>
      <c r="Z1873" s="2" t="inlineStr">
        <is>
          <t>Aditamento (Artigo PPL)</t>
        </is>
      </c>
      <c r="AA1873" s="2" t="inlineStr">
        <is>
          <t>Rejeitado(a) em Comissão</t>
        </is>
      </c>
      <c r="AB1873" s="2" t="inlineStr"/>
      <c r="AC1873" s="2" t="inlineStr"/>
      <c r="AD1873" s="2" t="inlineStr">
        <is>
          <t>1</t>
        </is>
      </c>
      <c r="AE1873" s="2" t="inlineStr">
        <is>
          <t>25021</t>
        </is>
      </c>
      <c r="AF1873" s="2" t="inlineStr">
        <is>
          <t>https://www.parlamento.pt/OrcamentoEstado/Paginas/DetalhePropostaAlteracao.aspx?BID=25021</t>
        </is>
      </c>
      <c r="AG1873" s="2" t="inlineStr">
        <is>
          <t>https://app.parlamento.pt/webutils/docs/doc.pdf?path=6148523063484d364c793942556b356c6443397a6158526c63793959566b6c4a544556484c3039464c7a49774d6a59794d4449314d5441774f53395151533877595463784e54557a4d6930325a5751794c5451325a4751744f5468694f43307a5a5455774e44466b4e445131597a59756347526d&amp;Fich=0a715532-6ed2-46dd-98b8-3e5041d445c6.pdf&amp;Inline=true</t>
        </is>
      </c>
      <c r="AH1873" s="3" t="n">
        <v>46321.77847222222</v>
      </c>
      <c r="AI1873" s="3" t="n">
        <v>46321.78055555555</v>
      </c>
      <c r="AJ1873" s="2" t="inlineStr"/>
    </row>
    <row r="1874">
      <c r="A1874" s="2" t="n">
        <v>1873</v>
      </c>
      <c r="B1874" s="2" t="inlineStr">
        <is>
          <t>1773C</t>
        </is>
      </c>
      <c r="C1874" s="3" t="n">
        <v>45968.69375</v>
      </c>
      <c r="D1874" s="2" t="inlineStr">
        <is>
          <t>Original</t>
        </is>
      </c>
      <c r="E1874" s="2" t="inlineStr">
        <is>
          <t>PS</t>
        </is>
      </c>
      <c r="F1874" s="2" t="inlineStr">
        <is>
          <t>António Mendonça Mendes; Eurico Brilhante Dias; José Luís Carneiro; Marina Gonçalves; Miguel Matos</t>
        </is>
      </c>
      <c r="G1874" s="2" t="inlineStr">
        <is>
          <t>Art. 61.º (substituição)</t>
        </is>
      </c>
      <c r="H1874" s="2" t="n"/>
      <c r="I1874" s="2" t="n"/>
      <c r="J1874" s="2" t="n"/>
      <c r="K1874" s="2" t="n"/>
      <c r="L1874" s="2" t="inlineStr">
        <is>
          <t>N.º 1, N.º 9, Artigo 43.º do Código do IRC</t>
        </is>
      </c>
      <c r="M1874" s="4" t="n"/>
      <c r="N1874" s="4" t="n"/>
      <c r="O1874" s="2" t="n"/>
      <c r="P1874" s="2" t="n"/>
      <c r="Q1874" s="2" t="n"/>
      <c r="R1874" s="2" t="n"/>
      <c r="S1874" s="2" t="inlineStr">
        <is>
          <t>Rejeitado(a) em Comissão</t>
        </is>
      </c>
      <c r="T1874" s="2" t="inlineStr">
        <is>
          <t>Rejeitada</t>
        </is>
      </c>
      <c r="U1874" s="2" t="inlineStr">
        <is>
          <t>Favor: PS, IL, L, PAN; Contra: PSD, PCP, CDS-PP, BE; Abstenção: CH</t>
        </is>
      </c>
      <c r="V1874" s="3" t="n">
        <v>45981</v>
      </c>
      <c r="W1874" s="2" t="inlineStr">
        <is>
          <t>AR: https://www.parlamento.pt/OrcamentoEstado/Paginas/DetalhePropostaAlteracao.aspx?BID=25022 PDF: https://app.parlamento.pt/webutils/docs/doc.pdf?path=6148523063484d364c793942556b356c6443397a6158526c63793959566b6c4a544556484c3039464c7a49774d6a59794d4449314d5441774f5339515153396d4d545a6c4f544d354d43316d4e4749314c5451334e7a6374596a566d5a4330795a575577596d52695a5442694d6d55756347526d&amp;Fich=f16e9390-f4b5-4777-b5fd-2ee0bdbe0b2e.pdf&amp;Inline=true</t>
        </is>
      </c>
      <c r="X1874" s="2" t="inlineStr">
        <is>
          <t>Orçamento, Finanças e Administração Pública</t>
        </is>
      </c>
      <c r="Y1874" s="2" t="inlineStr">
        <is>
          <t>Articulado</t>
        </is>
      </c>
      <c r="Z1874" s="2" t="inlineStr">
        <is>
          <t>Substituição</t>
        </is>
      </c>
      <c r="AA1874" s="2" t="inlineStr">
        <is>
          <t>Rejeitado(a) em Comissão</t>
        </is>
      </c>
      <c r="AB1874" s="2" t="inlineStr"/>
      <c r="AC1874" s="2" t="inlineStr"/>
      <c r="AD1874" s="2" t="inlineStr">
        <is>
          <t>1</t>
        </is>
      </c>
      <c r="AE1874" s="2" t="inlineStr">
        <is>
          <t>25022</t>
        </is>
      </c>
      <c r="AF1874" s="2" t="inlineStr">
        <is>
          <t>https://www.parlamento.pt/OrcamentoEstado/Paginas/DetalhePropostaAlteracao.aspx?BID=25022</t>
        </is>
      </c>
      <c r="AG1874" s="2" t="inlineStr">
        <is>
          <t>https://app.parlamento.pt/webutils/docs/doc.pdf?path=6148523063484d364c793942556b356c6443397a6158526c63793959566b6c4a544556484c3039464c7a49774d6a59794d4449314d5441774f5339515153396d4d545a6c4f544d354d43316d4e4749314c5451334e7a6374596a566d5a4330795a575577596d52695a5442694d6d55756347526d&amp;Fich=f16e9390-f4b5-4777-b5fd-2ee0bdbe0b2e.pdf&amp;Inline=true</t>
        </is>
      </c>
      <c r="AH1874" s="3" t="n">
        <v>46321.77847222222</v>
      </c>
      <c r="AI1874" s="3" t="n">
        <v>46321.78055555555</v>
      </c>
      <c r="AJ1874" s="2" t="inlineStr"/>
    </row>
    <row r="1875">
      <c r="A1875" s="2" t="n">
        <v>1874</v>
      </c>
      <c r="B1875" s="2" t="inlineStr">
        <is>
          <t>1774C</t>
        </is>
      </c>
      <c r="C1875" s="3" t="n">
        <v>45968.69375</v>
      </c>
      <c r="D1875" s="2" t="inlineStr">
        <is>
          <t>Original</t>
        </is>
      </c>
      <c r="E1875" s="2" t="inlineStr">
        <is>
          <t>L</t>
        </is>
      </c>
      <c r="F1875" s="2" t="inlineStr">
        <is>
          <t>Filipa Pinto; Isabel Mendes Lopes; Jorge Pinto; Patrícia Gonçalves; Paulo Muacho; Rui Tavares</t>
        </is>
      </c>
      <c r="G1875" s="2" t="inlineStr">
        <is>
          <t>Art. 120.º-A (aditamento)</t>
        </is>
      </c>
      <c r="H1875" s="2" t="n"/>
      <c r="I1875" s="2" t="n"/>
      <c r="J1875" s="2" t="n"/>
      <c r="K1875" s="2" t="n"/>
      <c r="L1875" s="2" t="inlineStr">
        <is>
          <t>Artigo 120.º-A (Tabela nacional de funcionalidade)</t>
        </is>
      </c>
      <c r="M1875" s="4" t="n"/>
      <c r="N1875" s="4" t="n"/>
      <c r="O1875" s="2" t="n"/>
      <c r="P1875" s="2" t="n"/>
      <c r="Q1875" s="2" t="n"/>
      <c r="R1875" s="2" t="n"/>
      <c r="S1875" s="2" t="inlineStr">
        <is>
          <t>Rejeitado(a) em Comissão</t>
        </is>
      </c>
      <c r="T1875" s="2" t="inlineStr">
        <is>
          <t>Rejeitada</t>
        </is>
      </c>
      <c r="U1875" s="2" t="inlineStr">
        <is>
          <t>Favor: PS, IL, L, PCP, PAN; Contra: PSD, CDS-PP; Abstenção: CH, BE</t>
        </is>
      </c>
      <c r="V1875" s="3" t="n">
        <v>45985</v>
      </c>
      <c r="W1875" s="2" t="inlineStr">
        <is>
          <t>AR: https://www.parlamento.pt/OrcamentoEstado/Paginas/DetalhePropostaAlteracao.aspx?BID=25023 PDF: https://app.parlamento.pt/webutils/docs/doc.pdf?path=6148523063484d364c793942556b356c6443397a6158526c63793959566b6c4a544556484c3039464c7a49774d6a59794d4449314d5441774f5339515153396a4e6d493359546b784f433035596d4d784c5451315a6d5974596d55354d79316a597a6b7a5a575668597a49334f5441756347526d&amp;Fich=c6b7a918-9bc1-45ff-be93-cc93eeac2790.pdf&amp;Inline=true</t>
        </is>
      </c>
      <c r="X1875" s="2" t="inlineStr">
        <is>
          <t>Saúde</t>
        </is>
      </c>
      <c r="Y1875" s="2" t="inlineStr">
        <is>
          <t>Articulado</t>
        </is>
      </c>
      <c r="Z1875" s="2" t="inlineStr">
        <is>
          <t>Aditamento (Artigo PPL)</t>
        </is>
      </c>
      <c r="AA1875" s="2" t="inlineStr">
        <is>
          <t>Rejeitado(a) em Comissão</t>
        </is>
      </c>
      <c r="AB1875" s="2" t="inlineStr"/>
      <c r="AC1875" s="2" t="inlineStr"/>
      <c r="AD1875" s="2" t="inlineStr">
        <is>
          <t>1</t>
        </is>
      </c>
      <c r="AE1875" s="2" t="inlineStr">
        <is>
          <t>25023</t>
        </is>
      </c>
      <c r="AF1875" s="2" t="inlineStr">
        <is>
          <t>https://www.parlamento.pt/OrcamentoEstado/Paginas/DetalhePropostaAlteracao.aspx?BID=25023</t>
        </is>
      </c>
      <c r="AG1875" s="2" t="inlineStr">
        <is>
          <t>https://app.parlamento.pt/webutils/docs/doc.pdf?path=6148523063484d364c793942556b356c6443397a6158526c63793959566b6c4a544556484c3039464c7a49774d6a59794d4449314d5441774f5339515153396a4e6d493359546b784f433035596d4d784c5451315a6d5974596d55354d79316a597a6b7a5a575668597a49334f5441756347526d&amp;Fich=c6b7a918-9bc1-45ff-be93-cc93eeac2790.pdf&amp;Inline=true</t>
        </is>
      </c>
      <c r="AH1875" s="3" t="n">
        <v>46321.77847222222</v>
      </c>
      <c r="AI1875" s="3" t="n">
        <v>46321.78055555555</v>
      </c>
      <c r="AJ1875" s="2" t="inlineStr"/>
    </row>
    <row r="1876">
      <c r="A1876" s="2" t="n">
        <v>1875</v>
      </c>
      <c r="B1876" s="2" t="inlineStr">
        <is>
          <t>1775C</t>
        </is>
      </c>
      <c r="C1876" s="3" t="n">
        <v>45968.69375</v>
      </c>
      <c r="D1876" s="2" t="inlineStr">
        <is>
          <t>Original</t>
        </is>
      </c>
      <c r="E1876" s="2" t="inlineStr">
        <is>
          <t>L</t>
        </is>
      </c>
      <c r="F1876" s="2" t="inlineStr">
        <is>
          <t>Filipa Pinto; Isabel Mendes Lopes; Jorge Pinto; Patrícia Gonçalves; Paulo Muacho; Rui Tavares</t>
        </is>
      </c>
      <c r="G1876" s="2" t="inlineStr">
        <is>
          <t>Art. 112.º-A (aditamento)</t>
        </is>
      </c>
      <c r="H1876" s="2" t="n"/>
      <c r="I1876" s="2" t="n"/>
      <c r="J1876" s="2" t="n"/>
      <c r="K1876" s="2" t="n"/>
      <c r="L1876" s="2" t="inlineStr">
        <is>
          <t>Artigo 112.º-A (Alteração ao Decreto-Lei n.º 308/2007, de 3 de setembro)</t>
        </is>
      </c>
      <c r="M1876" s="4" t="n"/>
      <c r="N1876" s="4" t="n"/>
      <c r="O1876" s="2" t="n"/>
      <c r="P1876" s="2" t="n"/>
      <c r="Q1876" s="2" t="n"/>
      <c r="R1876" s="2" t="n"/>
      <c r="S1876" s="2" t="inlineStr">
        <is>
          <t>Rejeitado(a) em Comissão</t>
        </is>
      </c>
      <c r="T1876" s="2" t="inlineStr">
        <is>
          <t>Rejeitada</t>
        </is>
      </c>
      <c r="U1876" s="2" t="inlineStr">
        <is>
          <t>Favor: PS, L, PCP, BE, PAN; Contra: PSD, IL, CDS-PP; Abstenção: CH</t>
        </is>
      </c>
      <c r="V1876" s="3" t="n">
        <v>45982</v>
      </c>
      <c r="W1876" s="2" t="inlineStr">
        <is>
          <t>AR: https://www.parlamento.pt/OrcamentoEstado/Paginas/DetalhePropostaAlteracao.aspx?BID=25024 PDF: https://app.parlamento.pt/webutils/docs/doc.pdf?path=6148523063484d364c793942556b356c6443397a6158526c63793959566b6c4a544556484c3039464c7a49774d6a59794d4449314d5441774f533951515338354d57517a4e574e6a4d69316c597a67354c54526a4d7a5174595459344d4331695a6a686a4d6d51345932466d4e6d51756347526d&amp;Fich=91d35cc2-ec89-4c34-a680-bf8c2d8caf6d.pdf&amp;Inline=true</t>
        </is>
      </c>
      <c r="X1876" s="2" t="inlineStr">
        <is>
          <t>Cultura, Comunicação, Juventude e Desporto; Infraestruturas, Mobilidade e Habitação</t>
        </is>
      </c>
      <c r="Y1876" s="2" t="inlineStr">
        <is>
          <t>Articulado</t>
        </is>
      </c>
      <c r="Z1876" s="2" t="inlineStr">
        <is>
          <t>Aditamento (Artigo PPL)</t>
        </is>
      </c>
      <c r="AA1876" s="2" t="inlineStr">
        <is>
          <t>Rejeitado(a) em Comissão</t>
        </is>
      </c>
      <c r="AB1876" s="2" t="inlineStr"/>
      <c r="AC1876" s="2" t="inlineStr"/>
      <c r="AD1876" s="2" t="inlineStr">
        <is>
          <t>1</t>
        </is>
      </c>
      <c r="AE1876" s="2" t="inlineStr">
        <is>
          <t>25024</t>
        </is>
      </c>
      <c r="AF1876" s="2" t="inlineStr">
        <is>
          <t>https://www.parlamento.pt/OrcamentoEstado/Paginas/DetalhePropostaAlteracao.aspx?BID=25024</t>
        </is>
      </c>
      <c r="AG1876" s="2" t="inlineStr">
        <is>
          <t>https://app.parlamento.pt/webutils/docs/doc.pdf?path=6148523063484d364c793942556b356c6443397a6158526c63793959566b6c4a544556484c3039464c7a49774d6a59794d4449314d5441774f533951515338354d57517a4e574e6a4d69316c597a67354c54526a4d7a5174595459344d4331695a6a686a4d6d51345932466d4e6d51756347526d&amp;Fich=91d35cc2-ec89-4c34-a680-bf8c2d8caf6d.pdf&amp;Inline=true</t>
        </is>
      </c>
      <c r="AH1876" s="3" t="n">
        <v>46321.77847222222</v>
      </c>
      <c r="AI1876" s="3" t="n">
        <v>46321.78055555555</v>
      </c>
      <c r="AJ1876" s="2" t="inlineStr"/>
    </row>
    <row r="1877">
      <c r="A1877" s="2" t="n">
        <v>1876</v>
      </c>
      <c r="B1877" s="2" t="inlineStr">
        <is>
          <t>1776C</t>
        </is>
      </c>
      <c r="C1877" s="3" t="n">
        <v>45968.69375</v>
      </c>
      <c r="D1877" s="2" t="inlineStr">
        <is>
          <t>Original</t>
        </is>
      </c>
      <c r="E1877" s="2" t="inlineStr">
        <is>
          <t>PCP</t>
        </is>
      </c>
      <c r="F1877" s="2" t="inlineStr">
        <is>
          <t>Alfredo Maia; Paula Santos; Paulo Raimundo</t>
        </is>
      </c>
      <c r="G1877" s="2" t="inlineStr">
        <is>
          <t>Art. 121.º-A (aditamento)</t>
        </is>
      </c>
      <c r="H1877" s="2" t="n"/>
      <c r="I1877" s="2" t="n"/>
      <c r="J1877" s="2" t="n"/>
      <c r="K1877" s="2" t="n"/>
      <c r="L1877" s="2" t="inlineStr">
        <is>
          <t>Artigo 121.º-A (Direito ao acompanhamento dos doentes com demência ou com situação psicologicamente instável ou similar)</t>
        </is>
      </c>
      <c r="M1877" s="4" t="n"/>
      <c r="N1877" s="4" t="n"/>
      <c r="O1877" s="2" t="n"/>
      <c r="P1877" s="2" t="n"/>
      <c r="Q1877" s="2" t="n"/>
      <c r="R1877" s="2" t="n"/>
      <c r="S1877" s="2" t="inlineStr">
        <is>
          <t>Aprovado(a) em Comissão</t>
        </is>
      </c>
      <c r="T1877" s="2" t="inlineStr">
        <is>
          <t>Aprovada</t>
        </is>
      </c>
      <c r="U1877" s="2" t="inlineStr">
        <is>
          <t>Favor: L, PCP, BE, PAN; Abstenção: PSD, CH, PS, IL, CDS-PP</t>
        </is>
      </c>
      <c r="V1877" s="3" t="n">
        <v>45985</v>
      </c>
      <c r="W1877" s="2" t="inlineStr">
        <is>
          <t>AR: https://www.parlamento.pt/OrcamentoEstado/Paginas/DetalhePropostaAlteracao.aspx?BID=25025 PDF: https://app.parlamento.pt/webutils/docs/doc.pdf?path=6148523063484d364c793942556b356c6443397a6158526c63793959566b6c4a544556484c3039464c7a49774d6a59794d4449314d5441774f53395151533835596a68695a5442685a533079596d45334c5451344e474974596d56694f5330344e54686c4d5441315a57526b59324d756347526d&amp;Fich=9b8be0ae-2ba7-484b-beb9-858e105eddcc.pdf&amp;Inline=true</t>
        </is>
      </c>
      <c r="X1877" s="2" t="inlineStr">
        <is>
          <t>Saúde</t>
        </is>
      </c>
      <c r="Y1877" s="2" t="inlineStr">
        <is>
          <t>Articulado</t>
        </is>
      </c>
      <c r="Z1877" s="2" t="inlineStr">
        <is>
          <t>Aditamento (Artigo PPL)</t>
        </is>
      </c>
      <c r="AA1877" s="2" t="inlineStr">
        <is>
          <t>Aprovado(a) em Comissão</t>
        </is>
      </c>
      <c r="AB1877" s="2" t="inlineStr"/>
      <c r="AC1877" s="2" t="inlineStr"/>
      <c r="AD1877" s="2" t="inlineStr">
        <is>
          <t>1</t>
        </is>
      </c>
      <c r="AE1877" s="2" t="inlineStr">
        <is>
          <t>25025</t>
        </is>
      </c>
      <c r="AF1877" s="2" t="inlineStr">
        <is>
          <t>https://www.parlamento.pt/OrcamentoEstado/Paginas/DetalhePropostaAlteracao.aspx?BID=25025</t>
        </is>
      </c>
      <c r="AG1877" s="2" t="inlineStr">
        <is>
          <t>https://app.parlamento.pt/webutils/docs/doc.pdf?path=6148523063484d364c793942556b356c6443397a6158526c63793959566b6c4a544556484c3039464c7a49774d6a59794d4449314d5441774f53395151533835596a68695a5442685a533079596d45334c5451344e474974596d56694f5330344e54686c4d5441315a57526b59324d756347526d&amp;Fich=9b8be0ae-2ba7-484b-beb9-858e105eddcc.pdf&amp;Inline=true</t>
        </is>
      </c>
      <c r="AH1877" s="3" t="n">
        <v>46321.77847222222</v>
      </c>
      <c r="AI1877" s="3" t="n">
        <v>46321.78055555555</v>
      </c>
      <c r="AJ1877" s="2" t="inlineStr"/>
    </row>
    <row r="1878">
      <c r="A1878" s="2" t="n">
        <v>1877</v>
      </c>
      <c r="B1878" s="2" t="inlineStr">
        <is>
          <t>1777C</t>
        </is>
      </c>
      <c r="C1878" s="3" t="n">
        <v>45968.69375</v>
      </c>
      <c r="D1878" s="2" t="inlineStr">
        <is>
          <t>Original</t>
        </is>
      </c>
      <c r="E1878" s="2" t="inlineStr">
        <is>
          <t>PS</t>
        </is>
      </c>
      <c r="F1878" s="2" t="inlineStr">
        <is>
          <t>António Mendonça Mendes; Eurico Brilhante Dias; José Luís Carneiro; Marina Gonçalves; Miguel Matos</t>
        </is>
      </c>
      <c r="G1878" s="2" t="inlineStr">
        <is>
          <t>Art. 28.º-A (aditamento)</t>
        </is>
      </c>
      <c r="H1878" s="2" t="n"/>
      <c r="I1878" s="2" t="n"/>
      <c r="J1878" s="2" t="n"/>
      <c r="K1878" s="2" t="n"/>
      <c r="L1878" s="2" t="inlineStr">
        <is>
          <t>Artigo 28.º-A (Recrutamento de trabalhadores na Administração Pública)</t>
        </is>
      </c>
      <c r="M1878" s="4" t="n"/>
      <c r="N1878" s="4" t="n"/>
      <c r="O1878" s="2" t="n"/>
      <c r="P1878" s="2" t="n"/>
      <c r="Q1878" s="2" t="n"/>
      <c r="R1878" s="2" t="n"/>
      <c r="S1878" s="2" t="inlineStr">
        <is>
          <t>Rejeitado(a) em Comissão</t>
        </is>
      </c>
      <c r="T1878" s="2" t="inlineStr">
        <is>
          <t>Rejeitada</t>
        </is>
      </c>
      <c r="U1878" s="2" t="inlineStr">
        <is>
          <t>Favor: PS, L, PCP, BE, PAN; Contra: PSD, IL, CDS-PP; Abstenção: CH</t>
        </is>
      </c>
      <c r="V1878" s="3" t="n">
        <v>45981</v>
      </c>
      <c r="W1878" s="2" t="inlineStr">
        <is>
          <t>AR: https://www.parlamento.pt/OrcamentoEstado/Paginas/DetalhePropostaAlteracao.aspx?BID=25026 PDF: https://app.parlamento.pt/webutils/docs/doc.pdf?path=6148523063484d364c793942556b356c6443397a6158526c63793959566b6c4a544556484c3039464c7a49774d6a59794d4449314d5441774f533951515338775a6d56684d7a457a4e7931684e324e6b4c54526b5a544174595751355a69316c597a45775a4463325a6a45315a4445756347526d&amp;Fich=0fea3137-a7cd-4de0-ad9f-ec10d76f15d1.pdf&amp;Inline=true</t>
        </is>
      </c>
      <c r="X1878" s="2" t="inlineStr">
        <is>
          <t>Orçamento, Finanças e Administração Pública</t>
        </is>
      </c>
      <c r="Y1878" s="2" t="inlineStr">
        <is>
          <t>Articulado</t>
        </is>
      </c>
      <c r="Z1878" s="2" t="inlineStr">
        <is>
          <t>Aditamento (Artigo PPL)</t>
        </is>
      </c>
      <c r="AA1878" s="2" t="inlineStr">
        <is>
          <t>Rejeitado(a) em Comissão</t>
        </is>
      </c>
      <c r="AB1878" s="2" t="inlineStr"/>
      <c r="AC1878" s="2" t="inlineStr"/>
      <c r="AD1878" s="2" t="inlineStr">
        <is>
          <t>1</t>
        </is>
      </c>
      <c r="AE1878" s="2" t="inlineStr">
        <is>
          <t>25026</t>
        </is>
      </c>
      <c r="AF1878" s="2" t="inlineStr">
        <is>
          <t>https://www.parlamento.pt/OrcamentoEstado/Paginas/DetalhePropostaAlteracao.aspx?BID=25026</t>
        </is>
      </c>
      <c r="AG1878" s="2" t="inlineStr">
        <is>
          <t>https://app.parlamento.pt/webutils/docs/doc.pdf?path=6148523063484d364c793942556b356c6443397a6158526c63793959566b6c4a544556484c3039464c7a49774d6a59794d4449314d5441774f533951515338775a6d56684d7a457a4e7931684e324e6b4c54526b5a544174595751355a69316c597a45775a4463325a6a45315a4445756347526d&amp;Fich=0fea3137-a7cd-4de0-ad9f-ec10d76f15d1.pdf&amp;Inline=true</t>
        </is>
      </c>
      <c r="AH1878" s="3" t="n">
        <v>46321.77847222222</v>
      </c>
      <c r="AI1878" s="3" t="n">
        <v>46321.78055555555</v>
      </c>
      <c r="AJ1878" s="2" t="inlineStr"/>
    </row>
    <row r="1879">
      <c r="A1879" s="2" t="n">
        <v>1878</v>
      </c>
      <c r="B1879" s="2" t="inlineStr">
        <is>
          <t>1778C-1</t>
        </is>
      </c>
      <c r="C1879" s="3" t="n">
        <v>45968.69444444445</v>
      </c>
      <c r="D1879" s="2" t="inlineStr">
        <is>
          <t>Original</t>
        </is>
      </c>
      <c r="E1879" s="2" t="inlineStr">
        <is>
          <t>CH</t>
        </is>
      </c>
      <c r="F187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79" s="2" t="inlineStr">
        <is>
          <t>Art. 136.º-A (aditamento)</t>
        </is>
      </c>
      <c r="H1879" s="2" t="n"/>
      <c r="I1879" s="2" t="n"/>
      <c r="J1879" s="2" t="n"/>
      <c r="K1879" s="2" t="n"/>
      <c r="L1879" s="2" t="inlineStr">
        <is>
          <t>Artigo 136.º-A (Alteração à Lei n.º 130/2015, de 4 de setembro)</t>
        </is>
      </c>
      <c r="M1879" s="4" t="n"/>
      <c r="N1879" s="4" t="n"/>
      <c r="O1879" s="2" t="n"/>
      <c r="P1879" s="2" t="n"/>
      <c r="Q1879" s="2" t="n"/>
      <c r="R1879" s="2" t="n"/>
      <c r="S1879" s="2" t="inlineStr">
        <is>
          <t>Rejeitado(a) em Comissão</t>
        </is>
      </c>
      <c r="T1879" s="2" t="inlineStr">
        <is>
          <t>Rejeitada</t>
        </is>
      </c>
      <c r="U1879" s="2" t="inlineStr">
        <is>
          <t>Favor: CH, BE, PAN; Contra: PSD, IL, CDS-PP; Abstenção: PS, L, PCP</t>
        </is>
      </c>
      <c r="V1879" s="3" t="n">
        <v>45987</v>
      </c>
      <c r="W1879" s="2" t="inlineStr">
        <is>
          <t>AR: https://www.parlamento.pt/OrcamentoEstado/Paginas/DetalhePropostaAlteracao.aspx?BID=25027 PDF: https://app.parlamento.pt/webutils/docs/doc.pdf?path=6148523063484d364c793942556b356c6443397a6158526c63793959566b6c4a544556484c3039464c7a49774d6a59794d4449314d5441774f533951515339694e575668595441334e693033596d59354c54526d4f544174595751334e5330795a6d52695a6d55325a4751354e4755756347526d&amp;Fich=b5eaa076-7bf9-4f90-ad75-2fdbfe6dd94e.pdf&amp;Inline=true</t>
        </is>
      </c>
      <c r="X1879" s="2" t="inlineStr">
        <is>
          <t>Assuntos Constitucionais, Direitos, Liberdades e Garantias</t>
        </is>
      </c>
      <c r="Y1879" s="2" t="inlineStr">
        <is>
          <t>Articulado</t>
        </is>
      </c>
      <c r="Z1879" s="2" t="inlineStr">
        <is>
          <t>Aditamento (Artigo PPL)</t>
        </is>
      </c>
      <c r="AA1879" s="2" t="inlineStr">
        <is>
          <t>Rejeitado(a) em Comissão</t>
        </is>
      </c>
      <c r="AB1879" s="2" t="inlineStr"/>
      <c r="AC1879" s="2" t="inlineStr">
        <is>
          <t>1</t>
        </is>
      </c>
      <c r="AD1879" s="2" t="inlineStr">
        <is>
          <t>1</t>
        </is>
      </c>
      <c r="AE1879" s="2" t="inlineStr">
        <is>
          <t>25027</t>
        </is>
      </c>
      <c r="AF1879" s="2" t="inlineStr">
        <is>
          <t>https://www.parlamento.pt/OrcamentoEstado/Paginas/DetalhePropostaAlteracao.aspx?BID=25027</t>
        </is>
      </c>
      <c r="AG1879" s="2" t="inlineStr">
        <is>
          <t>https://app.parlamento.pt/webutils/docs/doc.pdf?path=6148523063484d364c793942556b356c6443397a6158526c63793959566b6c4a544556484c3039464c7a49774d6a59794d4449314d5441774f533951515339694e575668595441334e693033596d59354c54526d4f544174595751334e5330795a6d52695a6d55325a4751354e4755756347526d&amp;Fich=b5eaa076-7bf9-4f90-ad75-2fdbfe6dd94e.pdf&amp;Inline=true</t>
        </is>
      </c>
      <c r="AH1879" s="3" t="n">
        <v>46321.77847222222</v>
      </c>
      <c r="AI1879" s="3" t="n">
        <v>46321.78055555555</v>
      </c>
      <c r="AJ1879" s="2" t="inlineStr"/>
    </row>
    <row r="1880">
      <c r="A1880" s="2" t="n">
        <v>1879</v>
      </c>
      <c r="B1880" s="2" t="inlineStr">
        <is>
          <t>1778C-2</t>
        </is>
      </c>
      <c r="C1880" s="3" t="n">
        <v>45968.69444444445</v>
      </c>
      <c r="D1880" s="2" t="inlineStr">
        <is>
          <t>Original</t>
        </is>
      </c>
      <c r="E1880" s="2" t="inlineStr">
        <is>
          <t>CH</t>
        </is>
      </c>
      <c r="F188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80" s="2" t="inlineStr">
        <is>
          <t>Art. 136.º-B (aditamento)</t>
        </is>
      </c>
      <c r="H1880" s="2" t="n"/>
      <c r="I1880" s="2" t="n"/>
      <c r="J1880" s="2" t="n"/>
      <c r="K1880" s="2" t="n"/>
      <c r="L1880" s="2" t="inlineStr">
        <is>
          <t>Artigo 136.º-B (Alteração à Lei n.º 34/2004, de 29 de julho)</t>
        </is>
      </c>
      <c r="M1880" s="4" t="n"/>
      <c r="N1880" s="4" t="n"/>
      <c r="O1880" s="2" t="n"/>
      <c r="P1880" s="2" t="n"/>
      <c r="Q1880" s="2" t="n"/>
      <c r="R1880" s="2" t="n"/>
      <c r="S1880" s="2" t="inlineStr">
        <is>
          <t>Rejeitado(a) em Comissão</t>
        </is>
      </c>
      <c r="T1880" s="2" t="inlineStr">
        <is>
          <t>Rejeitada</t>
        </is>
      </c>
      <c r="U1880" s="2" t="inlineStr">
        <is>
          <t>Favor: CH, BE, PAN; Contra: PSD, IL, CDS-PP; Abstenção: PS, L, PCP</t>
        </is>
      </c>
      <c r="V1880" s="3" t="n">
        <v>45987</v>
      </c>
      <c r="W1880" s="2" t="inlineStr">
        <is>
          <t>AR: https://www.parlamento.pt/OrcamentoEstado/Paginas/DetalhePropostaAlteracao.aspx?BID=25341 PDF: https://app.parlamento.pt/webutils/docs/doc.pdf?path=6148523063484d364c793942556b356c6443397a6158526c63793959566b6c4a544556484c3039464c7a49774d6a59794d4449314d5441774f53395151533830596a646a5a6d45784e69316b4e574e6a4c5451324e5751744f5441774d4330774e44646d4d5751795a6a6b31596a59756347526d&amp;Fich=4b7cfa16-d5cc-465d-9000-047f1d2f95b6.pdf&amp;Inline=true</t>
        </is>
      </c>
      <c r="X1880" s="2" t="inlineStr">
        <is>
          <t>Assuntos Constitucionais, Direitos, Liberdades e Garantias</t>
        </is>
      </c>
      <c r="Y1880" s="2" t="inlineStr">
        <is>
          <t>Articulado</t>
        </is>
      </c>
      <c r="Z1880" s="2" t="inlineStr">
        <is>
          <t>Aditamento (Artigo PPL)</t>
        </is>
      </c>
      <c r="AA1880" s="2" t="inlineStr">
        <is>
          <t>Rejeitado(a) em Comissão</t>
        </is>
      </c>
      <c r="AB1880" s="2" t="inlineStr"/>
      <c r="AC1880" s="2" t="inlineStr">
        <is>
          <t>2</t>
        </is>
      </c>
      <c r="AD1880" s="2" t="inlineStr">
        <is>
          <t>1</t>
        </is>
      </c>
      <c r="AE1880" s="2" t="inlineStr">
        <is>
          <t>25341</t>
        </is>
      </c>
      <c r="AF1880" s="2" t="inlineStr">
        <is>
          <t>https://www.parlamento.pt/OrcamentoEstado/Paginas/DetalhePropostaAlteracao.aspx?BID=25341</t>
        </is>
      </c>
      <c r="AG1880" s="2" t="inlineStr">
        <is>
          <t>https://app.parlamento.pt/webutils/docs/doc.pdf?path=6148523063484d364c793942556b356c6443397a6158526c63793959566b6c4a544556484c3039464c7a49774d6a59794d4449314d5441774f53395151533830596a646a5a6d45784e69316b4e574e6a4c5451324e5751744f5441774d4330774e44646d4d5751795a6a6b31596a59756347526d&amp;Fich=4b7cfa16-d5cc-465d-9000-047f1d2f95b6.pdf&amp;Inline=true</t>
        </is>
      </c>
      <c r="AH1880" s="3" t="n">
        <v>46321.77847222222</v>
      </c>
      <c r="AI1880" s="3" t="n">
        <v>46321.78055555555</v>
      </c>
      <c r="AJ1880" s="2" t="inlineStr"/>
    </row>
    <row r="1881">
      <c r="A1881" s="2" t="n">
        <v>1880</v>
      </c>
      <c r="B1881" s="2" t="inlineStr">
        <is>
          <t>1779C</t>
        </is>
      </c>
      <c r="C1881" s="3" t="n">
        <v>45968.69444444445</v>
      </c>
      <c r="D1881" s="2" t="inlineStr">
        <is>
          <t>Original</t>
        </is>
      </c>
      <c r="E1881" s="2" t="inlineStr">
        <is>
          <t>PS</t>
        </is>
      </c>
      <c r="F1881" s="2" t="inlineStr">
        <is>
          <t>António Mendonça Mendes; Eurico Brilhante Dias; José Luís Carneiro; Marina Gonçalves; Miguel Matos</t>
        </is>
      </c>
      <c r="G1881" s="2" t="inlineStr">
        <is>
          <t>Art. 60.º (aditamento)</t>
        </is>
      </c>
      <c r="H1881" s="2" t="n"/>
      <c r="I1881" s="2" t="n"/>
      <c r="J1881" s="2" t="n"/>
      <c r="K1881" s="2" t="n"/>
      <c r="L1881" s="2" t="inlineStr">
        <is>
          <t>N.º 14, Artigo 101.º</t>
        </is>
      </c>
      <c r="M1881" s="4" t="n"/>
      <c r="N1881" s="4" t="n"/>
      <c r="O1881" s="2" t="n"/>
      <c r="P1881" s="2" t="n"/>
      <c r="Q1881" s="2" t="n"/>
      <c r="R1881" s="2" t="n"/>
      <c r="S1881" s="2" t="inlineStr">
        <is>
          <t>Rejeitado(a) em Comissão</t>
        </is>
      </c>
      <c r="T1881" s="2" t="inlineStr">
        <is>
          <t>Rejeitada</t>
        </is>
      </c>
      <c r="U1881" s="2" t="inlineStr">
        <is>
          <t>Favor: PS, L, BE, PAN; Contra: PSD, CDS-PP; Abstenção: CH, IL, PCP</t>
        </is>
      </c>
      <c r="V1881" s="3" t="n">
        <v>45981</v>
      </c>
      <c r="W1881" s="2" t="inlineStr">
        <is>
          <t>AR: https://www.parlamento.pt/OrcamentoEstado/Paginas/DetalhePropostaAlteracao.aspx?BID=25028 PDF: https://app.parlamento.pt/webutils/docs/doc.pdf?path=6148523063484d364c793942556b356c6443397a6158526c63793959566b6c4a544556484c3039464c7a49774d6a59794d4449314d5441774f533951515338774d44646d59324d794e4330304d474d314c5451344e5445744f544a694f5331694d6a5a694f574d784d5451785a4745756347526d&amp;Fich=007fcc24-40c5-4851-92b9-b26b9c1141da.pdf&amp;Inline=true</t>
        </is>
      </c>
      <c r="X1881" s="2" t="inlineStr">
        <is>
          <t>Orçamento, Finanças e Administração Pública</t>
        </is>
      </c>
      <c r="Y1881" s="2" t="inlineStr">
        <is>
          <t>Articulado</t>
        </is>
      </c>
      <c r="Z1881" s="2" t="inlineStr">
        <is>
          <t>Aditamento (Números e Alíneas)</t>
        </is>
      </c>
      <c r="AA1881" s="2" t="inlineStr">
        <is>
          <t>Rejeitado(a) em Comissão</t>
        </is>
      </c>
      <c r="AB1881" s="2" t="inlineStr"/>
      <c r="AC1881" s="2" t="inlineStr"/>
      <c r="AD1881" s="2" t="inlineStr">
        <is>
          <t>1</t>
        </is>
      </c>
      <c r="AE1881" s="2" t="inlineStr">
        <is>
          <t>25028</t>
        </is>
      </c>
      <c r="AF1881" s="2" t="inlineStr">
        <is>
          <t>https://www.parlamento.pt/OrcamentoEstado/Paginas/DetalhePropostaAlteracao.aspx?BID=25028</t>
        </is>
      </c>
      <c r="AG1881" s="2" t="inlineStr">
        <is>
          <t>https://app.parlamento.pt/webutils/docs/doc.pdf?path=6148523063484d364c793942556b356c6443397a6158526c63793959566b6c4a544556484c3039464c7a49774d6a59794d4449314d5441774f533951515338774d44646d59324d794e4330304d474d314c5451344e5445744f544a694f5331694d6a5a694f574d784d5451785a4745756347526d&amp;Fich=007fcc24-40c5-4851-92b9-b26b9c1141da.pdf&amp;Inline=true</t>
        </is>
      </c>
      <c r="AH1881" s="3" t="n">
        <v>46321.77847222222</v>
      </c>
      <c r="AI1881" s="3" t="n">
        <v>46321.78055555555</v>
      </c>
      <c r="AJ1881" s="2" t="inlineStr"/>
    </row>
    <row r="1882">
      <c r="A1882" s="2" t="n">
        <v>1881</v>
      </c>
      <c r="B1882" s="2" t="inlineStr">
        <is>
          <t>1780C</t>
        </is>
      </c>
      <c r="C1882" s="3" t="n">
        <v>45968.69513888889</v>
      </c>
      <c r="D1882" s="2" t="inlineStr">
        <is>
          <t>Original</t>
        </is>
      </c>
      <c r="E1882" s="2" t="inlineStr">
        <is>
          <t>PCP</t>
        </is>
      </c>
      <c r="F1882" s="2" t="inlineStr">
        <is>
          <t>Alfredo Maia; Paula Santos; Paulo Raimundo</t>
        </is>
      </c>
      <c r="G1882" s="2" t="inlineStr">
        <is>
          <t>Art. 22.º-A (aditamento)</t>
        </is>
      </c>
      <c r="H1882" s="2" t="n"/>
      <c r="I1882" s="2" t="n"/>
      <c r="J1882" s="2" t="n"/>
      <c r="K1882" s="2" t="n"/>
      <c r="L1882" s="2" t="inlineStr">
        <is>
          <t>Artigo 22.º-A (Fixação de suplemento remuneratório por exercício de funções de saúde pública)</t>
        </is>
      </c>
      <c r="M1882" s="4" t="n"/>
      <c r="N1882" s="4" t="n"/>
      <c r="O1882" s="2" t="n"/>
      <c r="P1882" s="2" t="n"/>
      <c r="Q1882" s="2" t="n"/>
      <c r="R1882" s="2" t="n"/>
      <c r="S1882" s="2" t="inlineStr">
        <is>
          <t>Rejeitado(a) em Comissão</t>
        </is>
      </c>
      <c r="T1882" s="2" t="inlineStr">
        <is>
          <t>Rejeitada</t>
        </is>
      </c>
      <c r="U1882" s="2" t="inlineStr">
        <is>
          <t>Favor: L, PCP, BE, PAN; Contra: PSD, CDS-PP; Abstenção: CH, PS, IL</t>
        </is>
      </c>
      <c r="V1882" s="3" t="n">
        <v>45981</v>
      </c>
      <c r="W1882" s="2" t="inlineStr">
        <is>
          <t>AR: https://www.parlamento.pt/OrcamentoEstado/Paginas/DetalhePropostaAlteracao.aspx?BID=25029 PDF: https://app.parlamento.pt/webutils/docs/doc.pdf?path=6148523063484d364c793942556b356c6443397a6158526c63793959566b6c4a544556484c3039464c7a49774d6a59794d4449314d5441774f5339515153396b4d5745334e6d5930596930775a6a45784c5451354e4759744f4449794e53316c5a446b304d7a646b4d7a4e6b4f4759756347526d&amp;Fich=d1a76f4b-0f11-494f-8225-ed9437d33d8f.pdf&amp;Inline=true</t>
        </is>
      </c>
      <c r="X1882" s="2" t="inlineStr">
        <is>
          <t>Saúde</t>
        </is>
      </c>
      <c r="Y1882" s="2" t="inlineStr">
        <is>
          <t>Articulado</t>
        </is>
      </c>
      <c r="Z1882" s="2" t="inlineStr">
        <is>
          <t>Aditamento (Artigo PPL)</t>
        </is>
      </c>
      <c r="AA1882" s="2" t="inlineStr">
        <is>
          <t>Rejeitado(a) em Comissão</t>
        </is>
      </c>
      <c r="AB1882" s="2" t="inlineStr"/>
      <c r="AC1882" s="2" t="inlineStr"/>
      <c r="AD1882" s="2" t="inlineStr">
        <is>
          <t>1</t>
        </is>
      </c>
      <c r="AE1882" s="2" t="inlineStr">
        <is>
          <t>25029</t>
        </is>
      </c>
      <c r="AF1882" s="2" t="inlineStr">
        <is>
          <t>https://www.parlamento.pt/OrcamentoEstado/Paginas/DetalhePropostaAlteracao.aspx?BID=25029</t>
        </is>
      </c>
      <c r="AG1882" s="2" t="inlineStr">
        <is>
          <t>https://app.parlamento.pt/webutils/docs/doc.pdf?path=6148523063484d364c793942556b356c6443397a6158526c63793959566b6c4a544556484c3039464c7a49774d6a59794d4449314d5441774f5339515153396b4d5745334e6d5930596930775a6a45784c5451354e4759744f4449794e53316c5a446b304d7a646b4d7a4e6b4f4759756347526d&amp;Fich=d1a76f4b-0f11-494f-8225-ed9437d33d8f.pdf&amp;Inline=true</t>
        </is>
      </c>
      <c r="AH1882" s="3" t="n">
        <v>46321.77847222222</v>
      </c>
      <c r="AI1882" s="3" t="n">
        <v>46321.78055555555</v>
      </c>
      <c r="AJ1882" s="2" t="inlineStr"/>
    </row>
    <row r="1883">
      <c r="A1883" s="2" t="n">
        <v>1882</v>
      </c>
      <c r="B1883" s="2" t="inlineStr">
        <is>
          <t>1781C</t>
        </is>
      </c>
      <c r="C1883" s="3" t="n">
        <v>45968.69513888889</v>
      </c>
      <c r="D1883" s="2" t="inlineStr">
        <is>
          <t>Original</t>
        </is>
      </c>
      <c r="E1883" s="2" t="inlineStr">
        <is>
          <t>CH</t>
        </is>
      </c>
      <c r="F188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83" s="2" t="inlineStr">
        <is>
          <t>Art. 136.º-A (aditamento)</t>
        </is>
      </c>
      <c r="H1883" s="2" t="n"/>
      <c r="I1883" s="2" t="n"/>
      <c r="J1883" s="2" t="n"/>
      <c r="K1883" s="2" t="n"/>
      <c r="L1883" s="2" t="inlineStr">
        <is>
          <t>Artigo 136.º-A (Construção da Barragem de Fagilde)</t>
        </is>
      </c>
      <c r="M1883" s="4" t="n"/>
      <c r="N1883" s="4" t="n"/>
      <c r="O1883" s="2" t="n"/>
      <c r="P1883" s="2" t="n"/>
      <c r="Q1883" s="2" t="n"/>
      <c r="R1883" s="2" t="n"/>
      <c r="S1883" s="2" t="inlineStr">
        <is>
          <t>Rejeitado(a) em Comissão</t>
        </is>
      </c>
      <c r="T1883" s="2" t="inlineStr">
        <is>
          <t>Rejeitada</t>
        </is>
      </c>
      <c r="U1883" s="2" t="inlineStr">
        <is>
          <t>Favor: CH, IL; Contra: PSD, CDS-PP, BE, PAN; Abstenção: PS, L, PCP</t>
        </is>
      </c>
      <c r="V1883" s="3" t="n">
        <v>45987</v>
      </c>
      <c r="W1883" s="2" t="inlineStr">
        <is>
          <t>AR: https://www.parlamento.pt/OrcamentoEstado/Paginas/DetalhePropostaAlteracao.aspx?BID=25030 PDF: https://app.parlamento.pt/webutils/docs/doc.pdf?path=6148523063484d364c793942556b356c6443397a6158526c63793959566b6c4a544556484c3039464c7a49774d6a59794d4449314d5441774f533951515338775932526d5a546b324d69316b4e7a5a6b4c5451315a6a6774595759354d793030597a426c5a6a51314e575a6a4e6a55756347526d&amp;Fich=0cdfe962-d76d-45f8-af93-4c0ef455fc65.pdf&amp;Inline=true</t>
        </is>
      </c>
      <c r="X1883" s="2" t="inlineStr">
        <is>
          <t>Ambiente e Energia</t>
        </is>
      </c>
      <c r="Y1883" s="2" t="inlineStr">
        <is>
          <t>Articulado</t>
        </is>
      </c>
      <c r="Z1883" s="2" t="inlineStr">
        <is>
          <t>Aditamento (Artigo PPL)</t>
        </is>
      </c>
      <c r="AA1883" s="2" t="inlineStr">
        <is>
          <t>Rejeitado(a) em Comissão</t>
        </is>
      </c>
      <c r="AB1883" s="2" t="inlineStr"/>
      <c r="AC1883" s="2" t="inlineStr"/>
      <c r="AD1883" s="2" t="inlineStr">
        <is>
          <t>1</t>
        </is>
      </c>
      <c r="AE1883" s="2" t="inlineStr">
        <is>
          <t>25030</t>
        </is>
      </c>
      <c r="AF1883" s="2" t="inlineStr">
        <is>
          <t>https://www.parlamento.pt/OrcamentoEstado/Paginas/DetalhePropostaAlteracao.aspx?BID=25030</t>
        </is>
      </c>
      <c r="AG1883" s="2" t="inlineStr">
        <is>
          <t>https://app.parlamento.pt/webutils/docs/doc.pdf?path=6148523063484d364c793942556b356c6443397a6158526c63793959566b6c4a544556484c3039464c7a49774d6a59794d4449314d5441774f533951515338775932526d5a546b324d69316b4e7a5a6b4c5451315a6a6774595759354d793030597a426c5a6a51314e575a6a4e6a55756347526d&amp;Fich=0cdfe962-d76d-45f8-af93-4c0ef455fc65.pdf&amp;Inline=true</t>
        </is>
      </c>
      <c r="AH1883" s="3" t="n">
        <v>46321.77847222222</v>
      </c>
      <c r="AI1883" s="3" t="n">
        <v>46321.78055555555</v>
      </c>
      <c r="AJ1883" s="2" t="inlineStr"/>
    </row>
    <row r="1884">
      <c r="A1884" s="2" t="n">
        <v>1883</v>
      </c>
      <c r="B1884" s="2" t="inlineStr">
        <is>
          <t>1782C</t>
        </is>
      </c>
      <c r="C1884" s="3" t="n">
        <v>45968.69513888889</v>
      </c>
      <c r="D1884" s="2" t="inlineStr">
        <is>
          <t>Original</t>
        </is>
      </c>
      <c r="E1884" s="2" t="inlineStr">
        <is>
          <t>PAN</t>
        </is>
      </c>
      <c r="F1884" s="2" t="inlineStr">
        <is>
          <t>Inês de Sousa Real</t>
        </is>
      </c>
      <c r="G1884" s="2" t="inlineStr">
        <is>
          <t>Art. 60.º (substituição)</t>
        </is>
      </c>
      <c r="H1884" s="2" t="n"/>
      <c r="I1884" s="2" t="n"/>
      <c r="J1884" s="2" t="n"/>
      <c r="K1884" s="2" t="n"/>
      <c r="L1884" s="2" t="inlineStr">
        <is>
          <t>N.º 6, Artigo 78.º-F do Código do IRS</t>
        </is>
      </c>
      <c r="M1884" s="4" t="n"/>
      <c r="N1884" s="4" t="n"/>
      <c r="O1884" s="2" t="n"/>
      <c r="P1884" s="2" t="n"/>
      <c r="Q1884" s="2" t="n"/>
      <c r="R1884" s="2" t="n"/>
      <c r="S1884" s="2" t="inlineStr">
        <is>
          <t>Rejeitado(a) em Comissão</t>
        </is>
      </c>
      <c r="T1884" s="2" t="inlineStr">
        <is>
          <t>Rejeitada</t>
        </is>
      </c>
      <c r="U1884" s="2" t="inlineStr">
        <is>
          <t>Favor: CH, L, PAN; Contra: PSD, PCP, CDS-PP; Abstenção: PS, IL, BE</t>
        </is>
      </c>
      <c r="V1884" s="3" t="n">
        <v>45981</v>
      </c>
      <c r="W1884" s="2" t="inlineStr">
        <is>
          <t>AR: https://www.parlamento.pt/OrcamentoEstado/Paginas/DetalhePropostaAlteracao.aspx?BID=25031 PDF: https://app.parlamento.pt/webutils/docs/doc.pdf?path=6148523063484d364c793942556b356c6443397a6158526c63793959566b6c4a544556484c3039464c7a49774d6a59794d4449314d5441774f533951515339685a54466a4e44686d4d79316a4f5463304c54526a59546b74596d56694f533033597a51344d5759774f444d785a4449756347526d&amp;Fich=ae1c48f3-c974-4ca9-beb9-7c481f0831d2.pdf&amp;Inline=true</t>
        </is>
      </c>
      <c r="X1884" s="2" t="inlineStr">
        <is>
          <t>Agricultura e Pescas; Trabalho, Segurança Social e Inclusão</t>
        </is>
      </c>
      <c r="Y1884" s="2" t="inlineStr">
        <is>
          <t>Articulado</t>
        </is>
      </c>
      <c r="Z1884" s="2" t="inlineStr">
        <is>
          <t>Substituição</t>
        </is>
      </c>
      <c r="AA1884" s="2" t="inlineStr">
        <is>
          <t>Rejeitado(a) em Comissão</t>
        </is>
      </c>
      <c r="AB1884" s="2" t="inlineStr"/>
      <c r="AC1884" s="2" t="inlineStr"/>
      <c r="AD1884" s="2" t="inlineStr">
        <is>
          <t>1</t>
        </is>
      </c>
      <c r="AE1884" s="2" t="inlineStr">
        <is>
          <t>25031</t>
        </is>
      </c>
      <c r="AF1884" s="2" t="inlineStr">
        <is>
          <t>https://www.parlamento.pt/OrcamentoEstado/Paginas/DetalhePropostaAlteracao.aspx?BID=25031</t>
        </is>
      </c>
      <c r="AG1884" s="2" t="inlineStr">
        <is>
          <t>https://app.parlamento.pt/webutils/docs/doc.pdf?path=6148523063484d364c793942556b356c6443397a6158526c63793959566b6c4a544556484c3039464c7a49774d6a59794d4449314d5441774f533951515339685a54466a4e44686d4d79316a4f5463304c54526a59546b74596d56694f533033597a51344d5759774f444d785a4449756347526d&amp;Fich=ae1c48f3-c974-4ca9-beb9-7c481f0831d2.pdf&amp;Inline=true</t>
        </is>
      </c>
      <c r="AH1884" s="3" t="n">
        <v>46321.77847222222</v>
      </c>
      <c r="AI1884" s="3" t="n">
        <v>46321.78055555555</v>
      </c>
      <c r="AJ1884" s="2" t="inlineStr"/>
    </row>
    <row r="1885">
      <c r="A1885" s="2" t="n">
        <v>1884</v>
      </c>
      <c r="B1885" s="2" t="inlineStr">
        <is>
          <t>1783C</t>
        </is>
      </c>
      <c r="C1885" s="3" t="n">
        <v>45968.69583333333</v>
      </c>
      <c r="D1885" s="2" t="inlineStr">
        <is>
          <t>Original</t>
        </is>
      </c>
      <c r="E1885" s="2" t="inlineStr">
        <is>
          <t>L</t>
        </is>
      </c>
      <c r="F1885" s="2" t="inlineStr">
        <is>
          <t>Filipa Pinto; Isabel Mendes Lopes; Jorge Pinto; Patrícia Gonçalves; Paulo Muacho; Rui Tavares</t>
        </is>
      </c>
      <c r="G1885" s="2" t="inlineStr">
        <is>
          <t>Art. 126.º-A (aditamento)</t>
        </is>
      </c>
      <c r="H1885" s="2" t="n"/>
      <c r="I1885" s="2" t="n"/>
      <c r="J1885" s="2" t="n"/>
      <c r="K1885" s="2" t="n"/>
      <c r="L1885" s="2" t="inlineStr">
        <is>
          <t>Artigo 126.º-A (Cria o Programa de Remoção de Amianto em Imóveis Particulares)</t>
        </is>
      </c>
      <c r="M1885" s="4" t="n"/>
      <c r="N1885" s="4" t="n"/>
      <c r="O1885" s="2" t="n"/>
      <c r="P1885" s="2" t="n"/>
      <c r="Q1885" s="2" t="n"/>
      <c r="R1885" s="2" t="n"/>
      <c r="S1885" s="2" t="inlineStr">
        <is>
          <t>Rejeitado(a) em Comissão</t>
        </is>
      </c>
      <c r="T1885" s="2" t="inlineStr">
        <is>
          <t>Rejeitada</t>
        </is>
      </c>
      <c r="U1885" s="2" t="inlineStr">
        <is>
          <t>Favor: L, PCP, BE, PAN; Contra: PSD, CH, IL, CDS-PP; Abstenção: PS</t>
        </is>
      </c>
      <c r="V1885" s="3" t="n">
        <v>45985</v>
      </c>
      <c r="W1885" s="2" t="inlineStr">
        <is>
          <t>AR: https://www.parlamento.pt/OrcamentoEstado/Paginas/DetalhePropostaAlteracao.aspx?BID=25032 PDF: https://app.parlamento.pt/webutils/docs/doc.pdf?path=6148523063484d364c793942556b356c6443397a6158526c63793959566b6c4a544556484c3039464c7a49774d6a59794d4449314d5441774f533951515338344e5441794d7a4e694f43316c4f54466d4c5451354d4745744f474979595330315a474e6d4f5746684e474d7a4f5751756347526d&amp;Fich=850233b8-e91f-490a-8b2a-5dcf9aa4c39d.pdf&amp;Inline=true</t>
        </is>
      </c>
      <c r="X1885" s="2" t="inlineStr">
        <is>
          <t>Infraestruturas, Mobilidade e Habitação</t>
        </is>
      </c>
      <c r="Y1885" s="2" t="inlineStr">
        <is>
          <t>Articulado</t>
        </is>
      </c>
      <c r="Z1885" s="2" t="inlineStr">
        <is>
          <t>Aditamento (Artigo PPL)</t>
        </is>
      </c>
      <c r="AA1885" s="2" t="inlineStr">
        <is>
          <t>Rejeitado(a) em Comissão</t>
        </is>
      </c>
      <c r="AB1885" s="2" t="inlineStr"/>
      <c r="AC1885" s="2" t="inlineStr"/>
      <c r="AD1885" s="2" t="inlineStr">
        <is>
          <t>1</t>
        </is>
      </c>
      <c r="AE1885" s="2" t="inlineStr">
        <is>
          <t>25032</t>
        </is>
      </c>
      <c r="AF1885" s="2" t="inlineStr">
        <is>
          <t>https://www.parlamento.pt/OrcamentoEstado/Paginas/DetalhePropostaAlteracao.aspx?BID=25032</t>
        </is>
      </c>
      <c r="AG1885" s="2" t="inlineStr">
        <is>
          <t>https://app.parlamento.pt/webutils/docs/doc.pdf?path=6148523063484d364c793942556b356c6443397a6158526c63793959566b6c4a544556484c3039464c7a49774d6a59794d4449314d5441774f533951515338344e5441794d7a4e694f43316c4f54466d4c5451354d4745744f474979595330315a474e6d4f5746684e474d7a4f5751756347526d&amp;Fich=850233b8-e91f-490a-8b2a-5dcf9aa4c39d.pdf&amp;Inline=true</t>
        </is>
      </c>
      <c r="AH1885" s="3" t="n">
        <v>46321.77847222222</v>
      </c>
      <c r="AI1885" s="3" t="n">
        <v>46321.78055555555</v>
      </c>
      <c r="AJ1885" s="2" t="inlineStr"/>
    </row>
    <row r="1886">
      <c r="A1886" s="2" t="n">
        <v>1885</v>
      </c>
      <c r="B1886" s="2" t="inlineStr">
        <is>
          <t>1784C</t>
        </is>
      </c>
      <c r="C1886" s="3" t="n">
        <v>45968.69583333333</v>
      </c>
      <c r="D1886" s="2" t="inlineStr">
        <is>
          <t>Original</t>
        </is>
      </c>
      <c r="E1886" s="2" t="inlineStr">
        <is>
          <t>PCP</t>
        </is>
      </c>
      <c r="F1886" s="2" t="inlineStr">
        <is>
          <t>Alfredo Maia; Paula Santos; Paulo Raimundo</t>
        </is>
      </c>
      <c r="G1886" s="2" t="inlineStr">
        <is>
          <t>Art. 22.º-A (aditamento)</t>
        </is>
      </c>
      <c r="H1886" s="2" t="n"/>
      <c r="I1886" s="2" t="n"/>
      <c r="J1886" s="2" t="n"/>
      <c r="K1886" s="2" t="n"/>
      <c r="L1886" s="2" t="inlineStr">
        <is>
          <t>Artigo 22.º-A (Valorização dos Técnicos Auxiliares de Saúde)</t>
        </is>
      </c>
      <c r="M1886" s="4" t="n"/>
      <c r="N1886" s="4" t="n"/>
      <c r="O1886" s="2" t="n"/>
      <c r="P1886" s="2" t="n"/>
      <c r="Q1886" s="2" t="n"/>
      <c r="R1886" s="2" t="n"/>
      <c r="S1886" s="2" t="inlineStr">
        <is>
          <t>Rejeitado(a) em Comissão</t>
        </is>
      </c>
      <c r="T1886" s="2" t="inlineStr">
        <is>
          <t>Rejeitada</t>
        </is>
      </c>
      <c r="U1886" s="2" t="inlineStr">
        <is>
          <t>Favor: CH, L, PCP, BE, PAN; Contra: PSD, IL, CDS-PP; Abstenção: PS</t>
        </is>
      </c>
      <c r="V1886" s="3" t="n">
        <v>45981</v>
      </c>
      <c r="W1886" s="2" t="inlineStr">
        <is>
          <t>AR: https://www.parlamento.pt/OrcamentoEstado/Paginas/DetalhePropostaAlteracao.aspx?BID=25033 PDF: https://app.parlamento.pt/webutils/docs/doc.pdf?path=6148523063484d364c793942556b356c6443397a6158526c63793959566b6c4a544556484c3039464c7a49774d6a59794d4449314d5441774f5339515153396959324934596a59314d4330784d6d517a4c545268595459744f574e6d4d4330304d32466b5a474e684e474a694e7a45756347526d&amp;Fich=bcb8b650-12d3-4aa6-9cf0-43addca4bb71.pdf&amp;Inline=true</t>
        </is>
      </c>
      <c r="X1886" s="2" t="inlineStr">
        <is>
          <t>Saúde</t>
        </is>
      </c>
      <c r="Y1886" s="2" t="inlineStr">
        <is>
          <t>Articulado</t>
        </is>
      </c>
      <c r="Z1886" s="2" t="inlineStr">
        <is>
          <t>Aditamento (Artigo PPL)</t>
        </is>
      </c>
      <c r="AA1886" s="2" t="inlineStr">
        <is>
          <t>Rejeitado(a) em Comissão</t>
        </is>
      </c>
      <c r="AB1886" s="2" t="inlineStr"/>
      <c r="AC1886" s="2" t="inlineStr"/>
      <c r="AD1886" s="2" t="inlineStr">
        <is>
          <t>1</t>
        </is>
      </c>
      <c r="AE1886" s="2" t="inlineStr">
        <is>
          <t>25033</t>
        </is>
      </c>
      <c r="AF1886" s="2" t="inlineStr">
        <is>
          <t>https://www.parlamento.pt/OrcamentoEstado/Paginas/DetalhePropostaAlteracao.aspx?BID=25033</t>
        </is>
      </c>
      <c r="AG1886" s="2" t="inlineStr">
        <is>
          <t>https://app.parlamento.pt/webutils/docs/doc.pdf?path=6148523063484d364c793942556b356c6443397a6158526c63793959566b6c4a544556484c3039464c7a49774d6a59794d4449314d5441774f5339515153396959324934596a59314d4330784d6d517a4c545268595459744f574e6d4d4330304d32466b5a474e684e474a694e7a45756347526d&amp;Fich=bcb8b650-12d3-4aa6-9cf0-43addca4bb71.pdf&amp;Inline=true</t>
        </is>
      </c>
      <c r="AH1886" s="3" t="n">
        <v>46321.77847222222</v>
      </c>
      <c r="AI1886" s="3" t="n">
        <v>46321.78055555555</v>
      </c>
      <c r="AJ1886" s="2" t="inlineStr"/>
    </row>
    <row r="1887">
      <c r="A1887" s="2" t="n">
        <v>1886</v>
      </c>
      <c r="B1887" s="2" t="inlineStr">
        <is>
          <t>1785C</t>
        </is>
      </c>
      <c r="C1887" s="3" t="n">
        <v>45968.69583333333</v>
      </c>
      <c r="D1887" s="2" t="inlineStr">
        <is>
          <t>Original</t>
        </is>
      </c>
      <c r="E1887" s="2" t="inlineStr">
        <is>
          <t>PS</t>
        </is>
      </c>
      <c r="F1887" s="2" t="inlineStr">
        <is>
          <t>Emanuel Câmara; Francisco César</t>
        </is>
      </c>
      <c r="G1887" s="2" t="inlineStr">
        <is>
          <t>Art. 112.º-A (aditamento)</t>
        </is>
      </c>
      <c r="H1887" s="2" t="n"/>
      <c r="I1887" s="2" t="n"/>
      <c r="J1887" s="2" t="n"/>
      <c r="K1887" s="2" t="n"/>
      <c r="L1887" s="2" t="inlineStr">
        <is>
          <t>Artigo 112.º-A (Garantia de Pagamento Anual de Rateios no Setor Agrícola Regional)</t>
        </is>
      </c>
      <c r="M1887" s="4" t="n"/>
      <c r="N1887" s="4" t="n"/>
      <c r="O1887" s="2" t="n"/>
      <c r="P1887" s="2" t="n"/>
      <c r="Q1887" s="2" t="n"/>
      <c r="R1887" s="2" t="n"/>
      <c r="S1887" s="2" t="inlineStr">
        <is>
          <t>Rejeitado(a) em Comissão</t>
        </is>
      </c>
      <c r="T1887" s="2" t="inlineStr">
        <is>
          <t>Rejeitada</t>
        </is>
      </c>
      <c r="U1887" s="2" t="inlineStr">
        <is>
          <t>Favor: PS, L, PCP, BE; Contra: PSD, CDS-PP, PAN; Abstenção: CH, IL</t>
        </is>
      </c>
      <c r="V1887" s="3" t="n">
        <v>45982</v>
      </c>
      <c r="W1887" s="2" t="inlineStr">
        <is>
          <t>AR: https://www.parlamento.pt/OrcamentoEstado/Paginas/DetalhePropostaAlteracao.aspx?BID=25034 PDF: https://app.parlamento.pt/webutils/docs/doc.pdf?path=6148523063484d364c793942556b356c6443397a6158526c63793959566b6c4a544556484c3039464c7a49774d6a59794d4449314d5441774f533951515338314e5759304e6a59334d4330354e6a5a684c545177595467744f4745324d6930324e44566b4d4464694f444e6c5a5455756347526d&amp;Fich=55f46670-966a-40a8-8a62-645d07b83ee5.pdf&amp;Inline=true</t>
        </is>
      </c>
      <c r="X1887" s="2" t="inlineStr">
        <is>
          <t>Orçamento, Finanças e Administração Pública</t>
        </is>
      </c>
      <c r="Y1887" s="2" t="inlineStr">
        <is>
          <t>Articulado</t>
        </is>
      </c>
      <c r="Z1887" s="2" t="inlineStr">
        <is>
          <t>Aditamento (Artigo PPL)</t>
        </is>
      </c>
      <c r="AA1887" s="2" t="inlineStr">
        <is>
          <t>Rejeitado(a) em Comissão</t>
        </is>
      </c>
      <c r="AB1887" s="2" t="inlineStr"/>
      <c r="AC1887" s="2" t="inlineStr"/>
      <c r="AD1887" s="2" t="inlineStr">
        <is>
          <t>1</t>
        </is>
      </c>
      <c r="AE1887" s="2" t="inlineStr">
        <is>
          <t>25034</t>
        </is>
      </c>
      <c r="AF1887" s="2" t="inlineStr">
        <is>
          <t>https://www.parlamento.pt/OrcamentoEstado/Paginas/DetalhePropostaAlteracao.aspx?BID=25034</t>
        </is>
      </c>
      <c r="AG1887" s="2" t="inlineStr">
        <is>
          <t>https://app.parlamento.pt/webutils/docs/doc.pdf?path=6148523063484d364c793942556b356c6443397a6158526c63793959566b6c4a544556484c3039464c7a49774d6a59794d4449314d5441774f533951515338314e5759304e6a59334d4330354e6a5a684c545177595467744f4745324d6930324e44566b4d4464694f444e6c5a5455756347526d&amp;Fich=55f46670-966a-40a8-8a62-645d07b83ee5.pdf&amp;Inline=true</t>
        </is>
      </c>
      <c r="AH1887" s="3" t="n">
        <v>46321.77847222222</v>
      </c>
      <c r="AI1887" s="3" t="n">
        <v>46321.78055555555</v>
      </c>
      <c r="AJ1887" s="2" t="inlineStr"/>
    </row>
    <row r="1888">
      <c r="A1888" s="2" t="n">
        <v>1887</v>
      </c>
      <c r="B1888" s="2" t="inlineStr">
        <is>
          <t>1786C</t>
        </is>
      </c>
      <c r="C1888" s="3" t="n">
        <v>45968.69583333333</v>
      </c>
      <c r="D1888" s="2" t="inlineStr">
        <is>
          <t>Original</t>
        </is>
      </c>
      <c r="E1888" s="2" t="inlineStr">
        <is>
          <t>CH</t>
        </is>
      </c>
      <c r="F188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88" s="2" t="inlineStr">
        <is>
          <t>Art. 136.º-A (aditamento)</t>
        </is>
      </c>
      <c r="H1888" s="2" t="n"/>
      <c r="I1888" s="2" t="n"/>
      <c r="J1888" s="2" t="n"/>
      <c r="K1888" s="2" t="n"/>
      <c r="L1888" s="2" t="inlineStr">
        <is>
          <t>Artigo 136.º-A (Desporto escolar integrado em clubes ou associações desportivas)</t>
        </is>
      </c>
      <c r="M1888" s="4" t="n"/>
      <c r="N1888" s="4" t="n"/>
      <c r="O1888" s="2" t="n"/>
      <c r="P1888" s="2" t="n"/>
      <c r="Q1888" s="2" t="n"/>
      <c r="R1888" s="2" t="n"/>
      <c r="S1888" s="2" t="inlineStr">
        <is>
          <t>Rejeitado(a) em Comissão</t>
        </is>
      </c>
      <c r="T1888" s="2" t="inlineStr">
        <is>
          <t>Rejeitada</t>
        </is>
      </c>
      <c r="U1888" s="2" t="inlineStr">
        <is>
          <t>Favor: CH, IL, BE, PAN; Contra: PSD, PCP, CDS-PP; Abstenção: PS, L</t>
        </is>
      </c>
      <c r="V1888" s="3" t="n">
        <v>45987</v>
      </c>
      <c r="W1888" s="2" t="inlineStr">
        <is>
          <t>AR: https://www.parlamento.pt/OrcamentoEstado/Paginas/DetalhePropostaAlteracao.aspx?BID=25035 PDF: https://app.parlamento.pt/webutils/docs/doc.pdf?path=6148523063484d364c793942556b356c6443397a6158526c63793959566b6c4a544556484c3039464c7a49774d6a59794d4449314d5441774f5339515153396b4e446b7a4e574e685a69316b4e4451774c54526d597a4974596a51304d793077596a45324e54426b5a57566c593245756347526d&amp;Fich=d4935caf-d440-4fc2-b443-0b1650deeeca.pdf&amp;Inline=true</t>
        </is>
      </c>
      <c r="X1888" s="2" t="inlineStr">
        <is>
          <t>Cultura, Comunicação, Juventude e Desporto</t>
        </is>
      </c>
      <c r="Y1888" s="2" t="inlineStr">
        <is>
          <t>Articulado</t>
        </is>
      </c>
      <c r="Z1888" s="2" t="inlineStr">
        <is>
          <t>Aditamento (Artigo PPL)</t>
        </is>
      </c>
      <c r="AA1888" s="2" t="inlineStr">
        <is>
          <t>Rejeitado(a) em Comissão</t>
        </is>
      </c>
      <c r="AB1888" s="2" t="inlineStr"/>
      <c r="AC1888" s="2" t="inlineStr"/>
      <c r="AD1888" s="2" t="inlineStr">
        <is>
          <t>1</t>
        </is>
      </c>
      <c r="AE1888" s="2" t="inlineStr">
        <is>
          <t>25035</t>
        </is>
      </c>
      <c r="AF1888" s="2" t="inlineStr">
        <is>
          <t>https://www.parlamento.pt/OrcamentoEstado/Paginas/DetalhePropostaAlteracao.aspx?BID=25035</t>
        </is>
      </c>
      <c r="AG1888" s="2" t="inlineStr">
        <is>
          <t>https://app.parlamento.pt/webutils/docs/doc.pdf?path=6148523063484d364c793942556b356c6443397a6158526c63793959566b6c4a544556484c3039464c7a49774d6a59794d4449314d5441774f5339515153396b4e446b7a4e574e685a69316b4e4451774c54526d597a4974596a51304d793077596a45324e54426b5a57566c593245756347526d&amp;Fich=d4935caf-d440-4fc2-b443-0b1650deeeca.pdf&amp;Inline=true</t>
        </is>
      </c>
      <c r="AH1888" s="3" t="n">
        <v>46321.77847222222</v>
      </c>
      <c r="AI1888" s="3" t="n">
        <v>46321.78055555555</v>
      </c>
      <c r="AJ1888" s="2" t="inlineStr"/>
    </row>
    <row r="1889">
      <c r="A1889" s="2" t="n">
        <v>1888</v>
      </c>
      <c r="B1889" s="2" t="inlineStr">
        <is>
          <t>1787C</t>
        </is>
      </c>
      <c r="C1889" s="3" t="n">
        <v>45968.69583333333</v>
      </c>
      <c r="D1889" s="2" t="inlineStr">
        <is>
          <t>Original</t>
        </is>
      </c>
      <c r="E1889" s="2" t="inlineStr">
        <is>
          <t>L</t>
        </is>
      </c>
      <c r="F1889" s="2" t="inlineStr">
        <is>
          <t>Filipa Pinto; Isabel Mendes Lopes; Jorge Pinto; Patrícia Gonçalves; Paulo Muacho; Rui Tavares</t>
        </is>
      </c>
      <c r="G1889" s="2" t="inlineStr">
        <is>
          <t>Art. 119.º-A (aditamento)</t>
        </is>
      </c>
      <c r="H1889" s="2" t="n"/>
      <c r="I1889" s="2" t="n"/>
      <c r="J1889" s="2" t="n"/>
      <c r="K1889" s="2" t="n"/>
      <c r="L1889" s="2" t="inlineStr">
        <is>
          <t>Artigo 119.º-A (Políticas públicas de prevenção do suicídio e comportamentos autolesivos)</t>
        </is>
      </c>
      <c r="M1889" s="4" t="n"/>
      <c r="N1889" s="4" t="n"/>
      <c r="O1889" s="2" t="n"/>
      <c r="P1889" s="2" t="n"/>
      <c r="Q1889" s="2" t="n"/>
      <c r="R1889" s="2" t="n"/>
      <c r="S1889" s="2" t="inlineStr">
        <is>
          <t>Rejeitado(a) em Comissão</t>
        </is>
      </c>
      <c r="T1889" s="2" t="inlineStr">
        <is>
          <t>Rejeitada</t>
        </is>
      </c>
      <c r="U1889" s="2" t="inlineStr">
        <is>
          <t>Favor: CH, IL, L, PCP, BE, PAN; Contra: PSD, CDS-PP; Abstenção: PS</t>
        </is>
      </c>
      <c r="V1889" s="3" t="n">
        <v>45985</v>
      </c>
      <c r="W1889" s="2" t="inlineStr">
        <is>
          <t>AR: https://www.parlamento.pt/OrcamentoEstado/Paginas/DetalhePropostaAlteracao.aspx?BID=25036 PDF: https://app.parlamento.pt/webutils/docs/doc.pdf?path=6148523063484d364c793942556b356c6443397a6158526c63793959566b6c4a544556484c3039464c7a49774d6a59794d4449314d5441774f5339515153396d4e57466d4e6a51344e4330335a54466b4c54526d597a49744f574d7959533035596a51324e7a686a4e475a684d4449756347526d&amp;Fich=f5af6484-7e1d-4fc2-9c2a-9b4678c4fa02.pdf&amp;Inline=true</t>
        </is>
      </c>
      <c r="X1889" s="2" t="inlineStr">
        <is>
          <t>Saúde</t>
        </is>
      </c>
      <c r="Y1889" s="2" t="inlineStr">
        <is>
          <t>Articulado</t>
        </is>
      </c>
      <c r="Z1889" s="2" t="inlineStr">
        <is>
          <t>Aditamento (Artigo PPL)</t>
        </is>
      </c>
      <c r="AA1889" s="2" t="inlineStr">
        <is>
          <t>Rejeitado(a) em Comissão</t>
        </is>
      </c>
      <c r="AB1889" s="2" t="inlineStr"/>
      <c r="AC1889" s="2" t="inlineStr"/>
      <c r="AD1889" s="2" t="inlineStr">
        <is>
          <t>1</t>
        </is>
      </c>
      <c r="AE1889" s="2" t="inlineStr">
        <is>
          <t>25036</t>
        </is>
      </c>
      <c r="AF1889" s="2" t="inlineStr">
        <is>
          <t>https://www.parlamento.pt/OrcamentoEstado/Paginas/DetalhePropostaAlteracao.aspx?BID=25036</t>
        </is>
      </c>
      <c r="AG1889" s="2" t="inlineStr">
        <is>
          <t>https://app.parlamento.pt/webutils/docs/doc.pdf?path=6148523063484d364c793942556b356c6443397a6158526c63793959566b6c4a544556484c3039464c7a49774d6a59794d4449314d5441774f5339515153396d4e57466d4e6a51344e4330335a54466b4c54526d597a49744f574d7959533035596a51324e7a686a4e475a684d4449756347526d&amp;Fich=f5af6484-7e1d-4fc2-9c2a-9b4678c4fa02.pdf&amp;Inline=true</t>
        </is>
      </c>
      <c r="AH1889" s="3" t="n">
        <v>46321.77847222222</v>
      </c>
      <c r="AI1889" s="3" t="n">
        <v>46321.78055555555</v>
      </c>
      <c r="AJ1889" s="2" t="inlineStr"/>
    </row>
    <row r="1890">
      <c r="A1890" s="2" t="n">
        <v>1889</v>
      </c>
      <c r="B1890" s="2" t="inlineStr">
        <is>
          <t>1788C</t>
        </is>
      </c>
      <c r="C1890" s="3" t="n">
        <v>45968.69652777778</v>
      </c>
      <c r="D1890" s="2" t="inlineStr">
        <is>
          <t>Original</t>
        </is>
      </c>
      <c r="E1890" s="2" t="inlineStr">
        <is>
          <t>PS</t>
        </is>
      </c>
      <c r="F1890" s="2" t="inlineStr">
        <is>
          <t>Emanuel Câmara; Francisco César</t>
        </is>
      </c>
      <c r="G1890" s="2" t="inlineStr">
        <is>
          <t>Art. 112.º-A (aditamento)</t>
        </is>
      </c>
      <c r="H1890" s="2" t="n"/>
      <c r="I1890" s="2" t="n"/>
      <c r="J1890" s="2" t="n"/>
      <c r="K1890" s="2" t="n"/>
      <c r="L1890" s="2" t="inlineStr">
        <is>
          <t>Artigo 112.º-A (Majoração dos Apoios da DGARTES às Entidades e Artistas das Regiões Autónomas dos Açores e da Madeira)</t>
        </is>
      </c>
      <c r="M1890" s="4" t="n"/>
      <c r="N1890" s="4" t="n"/>
      <c r="O1890" s="2" t="n"/>
      <c r="P1890" s="2" t="n"/>
      <c r="Q1890" s="2" t="n"/>
      <c r="R1890" s="2" t="n"/>
      <c r="S1890" s="2" t="inlineStr">
        <is>
          <t>Rejeitado(a) em Comissão</t>
        </is>
      </c>
      <c r="T1890" s="2" t="inlineStr">
        <is>
          <t>Rejeitada</t>
        </is>
      </c>
      <c r="U1890" s="2" t="inlineStr">
        <is>
          <t>Favor: PS, L, PCP, BE, PAN; Contra: PSD, CDS-PP; Abstenção: CH, IL</t>
        </is>
      </c>
      <c r="V1890" s="3" t="n">
        <v>45982</v>
      </c>
      <c r="W1890" s="2" t="inlineStr">
        <is>
          <t>AR: https://www.parlamento.pt/OrcamentoEstado/Paginas/DetalhePropostaAlteracao.aspx?BID=25037 PDF: https://app.parlamento.pt/webutils/docs/doc.pdf?path=6148523063484d364c793942556b356c6443397a6158526c63793959566b6c4a544556484c3039464c7a49774d6a59794d4449314d5441774f533951515338324f57597a4f5441774e5331694f54426d4c5451355a6d5174596d51304e4330324e545131596a6b3359544d774d574d756347526d&amp;Fich=69f39005-b90f-49fd-bd44-6545b97a301c.pdf&amp;Inline=true</t>
        </is>
      </c>
      <c r="X1890" s="2" t="inlineStr">
        <is>
          <t>Orçamento, Finanças e Administração Pública</t>
        </is>
      </c>
      <c r="Y1890" s="2" t="inlineStr">
        <is>
          <t>Articulado</t>
        </is>
      </c>
      <c r="Z1890" s="2" t="inlineStr">
        <is>
          <t>Aditamento (Artigo PPL)</t>
        </is>
      </c>
      <c r="AA1890" s="2" t="inlineStr">
        <is>
          <t>Rejeitado(a) em Comissão</t>
        </is>
      </c>
      <c r="AB1890" s="2" t="inlineStr"/>
      <c r="AC1890" s="2" t="inlineStr"/>
      <c r="AD1890" s="2" t="inlineStr">
        <is>
          <t>1</t>
        </is>
      </c>
      <c r="AE1890" s="2" t="inlineStr">
        <is>
          <t>25037</t>
        </is>
      </c>
      <c r="AF1890" s="2" t="inlineStr">
        <is>
          <t>https://www.parlamento.pt/OrcamentoEstado/Paginas/DetalhePropostaAlteracao.aspx?BID=25037</t>
        </is>
      </c>
      <c r="AG1890" s="2" t="inlineStr">
        <is>
          <t>https://app.parlamento.pt/webutils/docs/doc.pdf?path=6148523063484d364c793942556b356c6443397a6158526c63793959566b6c4a544556484c3039464c7a49774d6a59794d4449314d5441774f533951515338324f57597a4f5441774e5331694f54426d4c5451355a6d5174596d51304e4330324e545131596a6b3359544d774d574d756347526d&amp;Fich=69f39005-b90f-49fd-bd44-6545b97a301c.pdf&amp;Inline=true</t>
        </is>
      </c>
      <c r="AH1890" s="3" t="n">
        <v>46321.77847222222</v>
      </c>
      <c r="AI1890" s="3" t="n">
        <v>46321.78055555555</v>
      </c>
      <c r="AJ1890" s="2" t="inlineStr"/>
    </row>
    <row r="1891">
      <c r="A1891" s="2" t="n">
        <v>1890</v>
      </c>
      <c r="B1891" s="2" t="inlineStr">
        <is>
          <t>1789C</t>
        </is>
      </c>
      <c r="C1891" s="3" t="n">
        <v>45968.69652777778</v>
      </c>
      <c r="D1891" s="2" t="inlineStr">
        <is>
          <t>Original</t>
        </is>
      </c>
      <c r="E1891" s="2" t="inlineStr">
        <is>
          <t>CH</t>
        </is>
      </c>
      <c r="F189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91" s="2" t="inlineStr">
        <is>
          <t>Art. 136.º-A (aditamento)</t>
        </is>
      </c>
      <c r="H1891" s="2" t="n"/>
      <c r="I1891" s="2" t="n"/>
      <c r="J1891" s="2" t="n"/>
      <c r="K1891" s="2" t="n"/>
      <c r="L1891" s="2" t="inlineStr">
        <is>
          <t>Artigo 136.º-A (Atualização da tabela de financiamento às turmas do ensino profissional)</t>
        </is>
      </c>
      <c r="M1891" s="4" t="n"/>
      <c r="N1891" s="4" t="n"/>
      <c r="O1891" s="2" t="n"/>
      <c r="P1891" s="2" t="n"/>
      <c r="Q1891" s="2" t="n"/>
      <c r="R1891" s="2" t="n"/>
      <c r="S1891" s="2" t="inlineStr">
        <is>
          <t>Rejeitado(a) em Comissão</t>
        </is>
      </c>
      <c r="T1891" s="2" t="inlineStr">
        <is>
          <t>Rejeitada</t>
        </is>
      </c>
      <c r="U1891" s="2" t="inlineStr">
        <is>
          <t>Favor: CH, IL, BE, PAN; Contra: PSD, CDS-PP; Abstenção: PS, L, PCP</t>
        </is>
      </c>
      <c r="V1891" s="3" t="n">
        <v>45987</v>
      </c>
      <c r="W1891" s="2" t="inlineStr">
        <is>
          <t>AR: https://www.parlamento.pt/OrcamentoEstado/Paginas/DetalhePropostaAlteracao.aspx?BID=25038 PDF: https://app.parlamento.pt/webutils/docs/doc.pdf?path=6148523063484d364c793942556b356c6443397a6158526c63793959566b6c4a544556484c3039464c7a49774d6a59794d4449314d5441774f53395151533834596a41354e6a41304d79316b4d5463334c5451304d7a41744f5449354d4330774f47597959325577596a497a4f5445756347526d&amp;Fich=8b096043-d177-4430-9290-08f2ce0b2391.pdf&amp;Inline=true</t>
        </is>
      </c>
      <c r="X1891" s="2" t="inlineStr">
        <is>
          <t>Educação e Ciência</t>
        </is>
      </c>
      <c r="Y1891" s="2" t="inlineStr">
        <is>
          <t>Articulado</t>
        </is>
      </c>
      <c r="Z1891" s="2" t="inlineStr">
        <is>
          <t>Aditamento (Artigo PPL)</t>
        </is>
      </c>
      <c r="AA1891" s="2" t="inlineStr">
        <is>
          <t>Rejeitado(a) em Comissão</t>
        </is>
      </c>
      <c r="AB1891" s="2" t="inlineStr"/>
      <c r="AC1891" s="2" t="inlineStr"/>
      <c r="AD1891" s="2" t="inlineStr">
        <is>
          <t>1</t>
        </is>
      </c>
      <c r="AE1891" s="2" t="inlineStr">
        <is>
          <t>25038</t>
        </is>
      </c>
      <c r="AF1891" s="2" t="inlineStr">
        <is>
          <t>https://www.parlamento.pt/OrcamentoEstado/Paginas/DetalhePropostaAlteracao.aspx?BID=25038</t>
        </is>
      </c>
      <c r="AG1891" s="2" t="inlineStr">
        <is>
          <t>https://app.parlamento.pt/webutils/docs/doc.pdf?path=6148523063484d364c793942556b356c6443397a6158526c63793959566b6c4a544556484c3039464c7a49774d6a59794d4449314d5441774f53395151533834596a41354e6a41304d79316b4d5463334c5451304d7a41744f5449354d4330774f47597959325577596a497a4f5445756347526d&amp;Fich=8b096043-d177-4430-9290-08f2ce0b2391.pdf&amp;Inline=true</t>
        </is>
      </c>
      <c r="AH1891" s="3" t="n">
        <v>46321.77847222222</v>
      </c>
      <c r="AI1891" s="3" t="n">
        <v>46321.78055555555</v>
      </c>
      <c r="AJ1891" s="2" t="inlineStr"/>
    </row>
    <row r="1892">
      <c r="A1892" s="2" t="n">
        <v>1891</v>
      </c>
      <c r="B1892" s="2" t="inlineStr">
        <is>
          <t>1790C</t>
        </is>
      </c>
      <c r="C1892" s="3" t="n">
        <v>45968.69652777778</v>
      </c>
      <c r="D1892" s="2" t="inlineStr">
        <is>
          <t>Original</t>
        </is>
      </c>
      <c r="E1892" s="2" t="inlineStr">
        <is>
          <t>BE</t>
        </is>
      </c>
      <c r="F1892" s="2" t="inlineStr">
        <is>
          <t>Mariana Mortágua</t>
        </is>
      </c>
      <c r="G1892" s="2" t="inlineStr">
        <is>
          <t>Art. 113.º-A (aditamento)</t>
        </is>
      </c>
      <c r="H1892" s="2" t="n"/>
      <c r="I1892" s="2" t="n"/>
      <c r="J1892" s="2" t="n"/>
      <c r="K1892" s="2" t="n"/>
      <c r="L1892" s="2" t="inlineStr">
        <is>
          <t>Artigo 113.º-A (Plano Nacional do Tua)</t>
        </is>
      </c>
      <c r="M1892" s="4" t="n"/>
      <c r="N1892" s="4" t="n"/>
      <c r="O1892" s="2" t="n"/>
      <c r="P1892" s="2" t="n"/>
      <c r="Q1892" s="2" t="n"/>
      <c r="R1892" s="2" t="n"/>
      <c r="S1892" s="2" t="inlineStr">
        <is>
          <t>Rejeitado(a) em Comissão</t>
        </is>
      </c>
      <c r="T1892" s="2" t="inlineStr">
        <is>
          <t>Rejeitada</t>
        </is>
      </c>
      <c r="U1892" s="2" t="inlineStr">
        <is>
          <t>Favor: CH, L, BE, PAN; Contra: PSD, CDS-PP; Abstenção: PS, IL, PCP</t>
        </is>
      </c>
      <c r="V1892" s="3" t="n">
        <v>45985</v>
      </c>
      <c r="W1892" s="2" t="inlineStr">
        <is>
          <t>AR: https://www.parlamento.pt/OrcamentoEstado/Paginas/DetalhePropostaAlteracao.aspx?BID=25039 PDF: https://app.parlamento.pt/webutils/docs/doc.pdf?path=6148523063484d364c793942556b356c6443397a6158526c63793959566b6c4a544556484c3039464c7a49774d6a59794d4449314d5441774f5339515153387a4d6a59334d32513159793032597a46694c54526a4f444574595446694e4331694d3251335a446b355a6a4269596d45756347526d&amp;Fich=32673d5c-6c1b-4c81-a1b4-b3d7d99f0bba.pdf&amp;Inline=true</t>
        </is>
      </c>
      <c r="X1892" s="2" t="inlineStr">
        <is>
          <t>Comissão de Economia e Coesão Territorial</t>
        </is>
      </c>
      <c r="Y1892" s="2" t="inlineStr">
        <is>
          <t>Articulado</t>
        </is>
      </c>
      <c r="Z1892" s="2" t="inlineStr">
        <is>
          <t>Aditamento (Artigo PPL)</t>
        </is>
      </c>
      <c r="AA1892" s="2" t="inlineStr">
        <is>
          <t>Rejeitado(a) em Comissão</t>
        </is>
      </c>
      <c r="AB1892" s="2" t="inlineStr"/>
      <c r="AC1892" s="2" t="inlineStr"/>
      <c r="AD1892" s="2" t="inlineStr">
        <is>
          <t>1</t>
        </is>
      </c>
      <c r="AE1892" s="2" t="inlineStr">
        <is>
          <t>25039</t>
        </is>
      </c>
      <c r="AF1892" s="2" t="inlineStr">
        <is>
          <t>https://www.parlamento.pt/OrcamentoEstado/Paginas/DetalhePropostaAlteracao.aspx?BID=25039</t>
        </is>
      </c>
      <c r="AG1892" s="2" t="inlineStr">
        <is>
          <t>https://app.parlamento.pt/webutils/docs/doc.pdf?path=6148523063484d364c793942556b356c6443397a6158526c63793959566b6c4a544556484c3039464c7a49774d6a59794d4449314d5441774f5339515153387a4d6a59334d32513159793032597a46694c54526a4f444574595446694e4331694d3251335a446b355a6a4269596d45756347526d&amp;Fich=32673d5c-6c1b-4c81-a1b4-b3d7d99f0bba.pdf&amp;Inline=true</t>
        </is>
      </c>
      <c r="AH1892" s="3" t="n">
        <v>46321.77847222222</v>
      </c>
      <c r="AI1892" s="3" t="n">
        <v>46321.78055555555</v>
      </c>
      <c r="AJ1892" s="2" t="inlineStr"/>
    </row>
    <row r="1893">
      <c r="A1893" s="2" t="n">
        <v>1892</v>
      </c>
      <c r="B1893" s="2" t="inlineStr">
        <is>
          <t>1791C</t>
        </is>
      </c>
      <c r="C1893" s="3" t="n">
        <v>45968.69652777778</v>
      </c>
      <c r="D1893" s="2" t="inlineStr">
        <is>
          <t>Original</t>
        </is>
      </c>
      <c r="E1893" s="2" t="inlineStr">
        <is>
          <t>CH</t>
        </is>
      </c>
      <c r="F189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893" s="2" t="inlineStr">
        <is>
          <t>Art. 21.º (aditamento)</t>
        </is>
      </c>
      <c r="H1893" s="2" t="n"/>
      <c r="I1893" s="2" t="n"/>
      <c r="J1893" s="2" t="n"/>
      <c r="K1893" s="2" t="n"/>
      <c r="L1893" s="2" t="inlineStr">
        <is>
          <t>N.º 6, Artigo 21.º</t>
        </is>
      </c>
      <c r="M1893" s="4" t="n"/>
      <c r="N1893" s="4" t="n"/>
      <c r="O1893" s="2" t="n"/>
      <c r="P1893" s="2" t="n"/>
      <c r="Q1893" s="2" t="n"/>
      <c r="R1893" s="2" t="n"/>
      <c r="S1893" s="2" t="inlineStr">
        <is>
          <t>Rejeitado(a) em Comissão</t>
        </is>
      </c>
      <c r="T1893" s="2" t="inlineStr">
        <is>
          <t>Rejeitada</t>
        </is>
      </c>
      <c r="U1893" s="2" t="inlineStr">
        <is>
          <t>Favor: CH, PAN; Contra: PSD, L, PCP, CDS-PP, BE; Abstenção: PS, IL</t>
        </is>
      </c>
      <c r="V1893" s="3" t="n">
        <v>45981</v>
      </c>
      <c r="W1893" s="2" t="inlineStr">
        <is>
          <t>AR: https://www.parlamento.pt/OrcamentoEstado/Paginas/DetalhePropostaAlteracao.aspx?BID=25040 PDF: https://app.parlamento.pt/webutils/docs/doc.pdf?path=6148523063484d364c793942556b356c6443397a6158526c63793959566b6c4a544556484c3039464c7a49774d6a59794d4449314d5441774f5339515153387a4e474d7a5a4756694e79316a5a6a4e6b4c5451355a544174596d59304d79316d4d5745344e4464694e6d4d325a474d756347526d&amp;Fich=34c3deb7-cf3d-49e0-bf43-f1a847b6c6dc.pdf&amp;Inline=true</t>
        </is>
      </c>
      <c r="X1893" s="2" t="inlineStr">
        <is>
          <t>Educação e Ciência</t>
        </is>
      </c>
      <c r="Y1893" s="2" t="inlineStr">
        <is>
          <t>Articulado</t>
        </is>
      </c>
      <c r="Z1893" s="2" t="inlineStr">
        <is>
          <t>Aditamento (Números e Alíneas)</t>
        </is>
      </c>
      <c r="AA1893" s="2" t="inlineStr">
        <is>
          <t>Rejeitado(a) em Comissão</t>
        </is>
      </c>
      <c r="AB1893" s="2" t="inlineStr"/>
      <c r="AC1893" s="2" t="inlineStr"/>
      <c r="AD1893" s="2" t="inlineStr">
        <is>
          <t>1</t>
        </is>
      </c>
      <c r="AE1893" s="2" t="inlineStr">
        <is>
          <t>25040</t>
        </is>
      </c>
      <c r="AF1893" s="2" t="inlineStr">
        <is>
          <t>https://www.parlamento.pt/OrcamentoEstado/Paginas/DetalhePropostaAlteracao.aspx?BID=25040</t>
        </is>
      </c>
      <c r="AG1893" s="2" t="inlineStr">
        <is>
          <t>https://app.parlamento.pt/webutils/docs/doc.pdf?path=6148523063484d364c793942556b356c6443397a6158526c63793959566b6c4a544556484c3039464c7a49774d6a59794d4449314d5441774f5339515153387a4e474d7a5a4756694e79316a5a6a4e6b4c5451355a544174596d59304d79316d4d5745344e4464694e6d4d325a474d756347526d&amp;Fich=34c3deb7-cf3d-49e0-bf43-f1a847b6c6dc.pdf&amp;Inline=true</t>
        </is>
      </c>
      <c r="AH1893" s="3" t="n">
        <v>46321.77847222222</v>
      </c>
      <c r="AI1893" s="3" t="n">
        <v>46321.78055555555</v>
      </c>
      <c r="AJ1893" s="2" t="inlineStr"/>
    </row>
    <row r="1894">
      <c r="A1894" s="2" t="n">
        <v>1893</v>
      </c>
      <c r="B1894" s="2" t="inlineStr">
        <is>
          <t>1792C</t>
        </is>
      </c>
      <c r="C1894" s="3" t="n">
        <v>45968.69652777778</v>
      </c>
      <c r="D1894" s="2" t="inlineStr">
        <is>
          <t>Original</t>
        </is>
      </c>
      <c r="E1894" s="2" t="inlineStr">
        <is>
          <t>PS</t>
        </is>
      </c>
      <c r="F1894" s="2" t="inlineStr">
        <is>
          <t>Emanuel Câmara; Francisco César</t>
        </is>
      </c>
      <c r="G1894" s="2" t="inlineStr">
        <is>
          <t>Art. 112.º-A (aditamento)</t>
        </is>
      </c>
      <c r="H1894" s="2" t="n"/>
      <c r="I1894" s="2" t="n"/>
      <c r="J1894" s="2" t="n"/>
      <c r="K1894" s="2" t="n"/>
      <c r="L1894" s="2" t="inlineStr">
        <is>
          <t>Artigo 112.º-A (Obrigações de serviço público de transporte aéreo de carga para as Regiões Autónomas)</t>
        </is>
      </c>
      <c r="M1894" s="4" t="n"/>
      <c r="N1894" s="4" t="n"/>
      <c r="O1894" s="2" t="n"/>
      <c r="P1894" s="2" t="n"/>
      <c r="Q1894" s="2" t="n"/>
      <c r="R1894" s="2" t="n"/>
      <c r="S1894" s="2" t="inlineStr">
        <is>
          <t>Rejeitado(a) em Comissão</t>
        </is>
      </c>
      <c r="T1894" s="2" t="inlineStr">
        <is>
          <t>Rejeitada</t>
        </is>
      </c>
      <c r="U1894" s="2" t="inlineStr">
        <is>
          <t>Favor: PS, L, PCP, BE, PAN; Contra: PSD, CDS-PP; Abstenção: CH, IL</t>
        </is>
      </c>
      <c r="V1894" s="3" t="n">
        <v>45982</v>
      </c>
      <c r="W1894" s="2" t="inlineStr">
        <is>
          <t>AR: https://www.parlamento.pt/OrcamentoEstado/Paginas/DetalhePropostaAlteracao.aspx?BID=25041 PDF: https://app.parlamento.pt/webutils/docs/doc.pdf?path=6148523063484d364c793942556b356c6443397a6158526c63793959566b6c4a544556484c3039464c7a49774d6a59794d4449314d5441774f533951515338354d3251354d574a684f43316a596d59314c54526b596d45745954466c5a4330775a44426d4e4459785a6a686c5a5759756347526d&amp;Fich=93d91ba8-cbf5-4dba-a1ed-0d0f461f8eef.pdf&amp;Inline=true</t>
        </is>
      </c>
      <c r="X1894" s="2" t="inlineStr">
        <is>
          <t>Orçamento, Finanças e Administração Pública</t>
        </is>
      </c>
      <c r="Y1894" s="2" t="inlineStr">
        <is>
          <t>Articulado</t>
        </is>
      </c>
      <c r="Z1894" s="2" t="inlineStr">
        <is>
          <t>Aditamento (Artigo PPL)</t>
        </is>
      </c>
      <c r="AA1894" s="2" t="inlineStr">
        <is>
          <t>Rejeitado(a) em Comissão</t>
        </is>
      </c>
      <c r="AB1894" s="2" t="inlineStr"/>
      <c r="AC1894" s="2" t="inlineStr"/>
      <c r="AD1894" s="2" t="inlineStr">
        <is>
          <t>1</t>
        </is>
      </c>
      <c r="AE1894" s="2" t="inlineStr">
        <is>
          <t>25041</t>
        </is>
      </c>
      <c r="AF1894" s="2" t="inlineStr">
        <is>
          <t>https://www.parlamento.pt/OrcamentoEstado/Paginas/DetalhePropostaAlteracao.aspx?BID=25041</t>
        </is>
      </c>
      <c r="AG1894" s="2" t="inlineStr">
        <is>
          <t>https://app.parlamento.pt/webutils/docs/doc.pdf?path=6148523063484d364c793942556b356c6443397a6158526c63793959566b6c4a544556484c3039464c7a49774d6a59794d4449314d5441774f533951515338354d3251354d574a684f43316a596d59314c54526b596d45745954466c5a4330775a44426d4e4459785a6a686c5a5759756347526d&amp;Fich=93d91ba8-cbf5-4dba-a1ed-0d0f461f8eef.pdf&amp;Inline=true</t>
        </is>
      </c>
      <c r="AH1894" s="3" t="n">
        <v>46321.77847222222</v>
      </c>
      <c r="AI1894" s="3" t="n">
        <v>46321.78055555555</v>
      </c>
      <c r="AJ1894" s="2" t="inlineStr"/>
    </row>
    <row r="1895">
      <c r="A1895" s="2" t="n">
        <v>1894</v>
      </c>
      <c r="B1895" s="2" t="inlineStr">
        <is>
          <t>1793C</t>
        </is>
      </c>
      <c r="C1895" s="3" t="n">
        <v>45968.69722222222</v>
      </c>
      <c r="D1895" s="2" t="inlineStr">
        <is>
          <t>Original</t>
        </is>
      </c>
      <c r="E1895" s="2" t="inlineStr">
        <is>
          <t>L</t>
        </is>
      </c>
      <c r="F1895" s="2" t="inlineStr">
        <is>
          <t>Filipa Pinto; Isabel Mendes Lopes; Jorge Pinto; Patrícia Gonçalves; Paulo Muacho; Rui Tavares</t>
        </is>
      </c>
      <c r="G1895" s="2" t="inlineStr">
        <is>
          <t>Art. 112.º-A (aditamento)</t>
        </is>
      </c>
      <c r="H1895" s="2" t="n"/>
      <c r="I1895" s="2" t="n"/>
      <c r="J1895" s="2" t="n"/>
      <c r="K1895" s="2" t="n"/>
      <c r="L1895" s="2" t="inlineStr">
        <is>
          <t>Artigo 112.º-A (Cria o balcão da habitação)</t>
        </is>
      </c>
      <c r="M1895" s="4" t="n"/>
      <c r="N1895" s="4" t="n"/>
      <c r="O1895" s="2" t="n"/>
      <c r="P1895" s="2" t="n"/>
      <c r="Q1895" s="2" t="n"/>
      <c r="R1895" s="2" t="n"/>
      <c r="S1895" s="2" t="inlineStr">
        <is>
          <t>Rejeitado(a) em Comissão</t>
        </is>
      </c>
      <c r="T1895" s="2" t="inlineStr">
        <is>
          <t>Rejeitada</t>
        </is>
      </c>
      <c r="U1895" s="2" t="inlineStr">
        <is>
          <t>Favor: L, PCP, BE, PAN; Contra: PSD, CDS-PP; Abstenção: CH, PS, IL</t>
        </is>
      </c>
      <c r="V1895" s="3" t="n">
        <v>45982</v>
      </c>
      <c r="W1895" s="2" t="inlineStr">
        <is>
          <t>AR: https://www.parlamento.pt/OrcamentoEstado/Paginas/DetalhePropostaAlteracao.aspx?BID=25042 PDF: https://app.parlamento.pt/webutils/docs/doc.pdf?path=6148523063484d364c793942556b356c6443397a6158526c63793959566b6c4a544556484c3039464c7a49774d6a59794d4449314d5441774f533951515338794d4455784d5451335a5331684f5745304c5451344e3251744f4459305a6930304f5445354d54413059574d354f5751756347526d&amp;Fich=2051147e-a9a4-487d-864f-4919104ac99d.pdf&amp;Inline=true</t>
        </is>
      </c>
      <c r="X1895" s="2" t="inlineStr">
        <is>
          <t>Infraestruturas, Mobilidade e Habitação</t>
        </is>
      </c>
      <c r="Y1895" s="2" t="inlineStr">
        <is>
          <t>Articulado</t>
        </is>
      </c>
      <c r="Z1895" s="2" t="inlineStr">
        <is>
          <t>Aditamento (Artigo PPL)</t>
        </is>
      </c>
      <c r="AA1895" s="2" t="inlineStr">
        <is>
          <t>Rejeitado(a) em Comissão</t>
        </is>
      </c>
      <c r="AB1895" s="2" t="inlineStr"/>
      <c r="AC1895" s="2" t="inlineStr"/>
      <c r="AD1895" s="2" t="inlineStr">
        <is>
          <t>1</t>
        </is>
      </c>
      <c r="AE1895" s="2" t="inlineStr">
        <is>
          <t>25042</t>
        </is>
      </c>
      <c r="AF1895" s="2" t="inlineStr">
        <is>
          <t>https://www.parlamento.pt/OrcamentoEstado/Paginas/DetalhePropostaAlteracao.aspx?BID=25042</t>
        </is>
      </c>
      <c r="AG1895" s="2" t="inlineStr">
        <is>
          <t>https://app.parlamento.pt/webutils/docs/doc.pdf?path=6148523063484d364c793942556b356c6443397a6158526c63793959566b6c4a544556484c3039464c7a49774d6a59794d4449314d5441774f533951515338794d4455784d5451335a5331684f5745304c5451344e3251744f4459305a6930304f5445354d54413059574d354f5751756347526d&amp;Fich=2051147e-a9a4-487d-864f-4919104ac99d.pdf&amp;Inline=true</t>
        </is>
      </c>
      <c r="AH1895" s="3" t="n">
        <v>46321.77847222222</v>
      </c>
      <c r="AI1895" s="3" t="n">
        <v>46321.78055555555</v>
      </c>
      <c r="AJ1895" s="2" t="inlineStr"/>
    </row>
    <row r="1896">
      <c r="A1896" s="2" t="n">
        <v>1895</v>
      </c>
      <c r="B1896" s="2" t="inlineStr">
        <is>
          <t>1794C</t>
        </is>
      </c>
      <c r="C1896" s="3" t="n">
        <v>45968.69722222222</v>
      </c>
      <c r="D1896" s="2" t="inlineStr">
        <is>
          <t>Original</t>
        </is>
      </c>
      <c r="E1896" s="2" t="inlineStr">
        <is>
          <t>PS</t>
        </is>
      </c>
      <c r="F1896" s="2" t="inlineStr">
        <is>
          <t>Emanuel Câmara; Francisco César</t>
        </is>
      </c>
      <c r="G1896" s="2" t="inlineStr">
        <is>
          <t>Art. 112.º-A (aditamento)</t>
        </is>
      </c>
      <c r="H1896" s="2" t="n"/>
      <c r="I1896" s="2" t="n"/>
      <c r="J1896" s="2" t="n"/>
      <c r="K1896" s="2" t="n"/>
      <c r="L1896" s="2" t="inlineStr">
        <is>
          <t>Artigo 112.º-A (Subsídio de mobilidade)</t>
        </is>
      </c>
      <c r="M1896" s="4" t="n"/>
      <c r="N1896" s="4" t="n"/>
      <c r="O1896" s="2" t="n"/>
      <c r="P1896" s="2" t="n"/>
      <c r="Q1896" s="2" t="n"/>
      <c r="R1896" s="2" t="n"/>
      <c r="S1896" s="2" t="inlineStr">
        <is>
          <t>Rejeitado(a) em Comissão</t>
        </is>
      </c>
      <c r="T1896" s="2" t="inlineStr">
        <is>
          <t>Rejeitada</t>
        </is>
      </c>
      <c r="U1896" s="2" t="inlineStr">
        <is>
          <t>Favor: PS, L, BE, PAN; Contra: PSD, CDS-PP; Abstenção: CH, IL, PCP</t>
        </is>
      </c>
      <c r="V1896" s="3" t="n">
        <v>45982</v>
      </c>
      <c r="W1896" s="2" t="inlineStr">
        <is>
          <t>AR: https://www.parlamento.pt/OrcamentoEstado/Paginas/DetalhePropostaAlteracao.aspx?BID=25043 PDF: https://app.parlamento.pt/webutils/docs/doc.pdf?path=6148523063484d364c793942556b356c6443397a6158526c63793959566b6c4a544556484c3039464c7a49774d6a59794d4449314d5441774f5339515153387a596a6b324f4455354e4330304f4751344c5451794d546774595449324d5330775a6d51344f57566d595455305a4759756347526d&amp;Fich=3b968594-48d8-4218-a261-0fd89efa54df.pdf&amp;Inline=true</t>
        </is>
      </c>
      <c r="X1896" s="2" t="inlineStr">
        <is>
          <t>Orçamento, Finanças e Administração Pública</t>
        </is>
      </c>
      <c r="Y1896" s="2" t="inlineStr">
        <is>
          <t>Articulado</t>
        </is>
      </c>
      <c r="Z1896" s="2" t="inlineStr">
        <is>
          <t>Aditamento (Artigo PPL)</t>
        </is>
      </c>
      <c r="AA1896" s="2" t="inlineStr">
        <is>
          <t>Rejeitado(a) em Comissão</t>
        </is>
      </c>
      <c r="AB1896" s="2" t="inlineStr"/>
      <c r="AC1896" s="2" t="inlineStr"/>
      <c r="AD1896" s="2" t="inlineStr">
        <is>
          <t>1</t>
        </is>
      </c>
      <c r="AE1896" s="2" t="inlineStr">
        <is>
          <t>25043</t>
        </is>
      </c>
      <c r="AF1896" s="2" t="inlineStr">
        <is>
          <t>https://www.parlamento.pt/OrcamentoEstado/Paginas/DetalhePropostaAlteracao.aspx?BID=25043</t>
        </is>
      </c>
      <c r="AG1896" s="2" t="inlineStr">
        <is>
          <t>https://app.parlamento.pt/webutils/docs/doc.pdf?path=6148523063484d364c793942556b356c6443397a6158526c63793959566b6c4a544556484c3039464c7a49774d6a59794d4449314d5441774f5339515153387a596a6b324f4455354e4330304f4751344c5451794d546774595449324d5330775a6d51344f57566d595455305a4759756347526d&amp;Fich=3b968594-48d8-4218-a261-0fd89efa54df.pdf&amp;Inline=true</t>
        </is>
      </c>
      <c r="AH1896" s="3" t="n">
        <v>46321.77847222222</v>
      </c>
      <c r="AI1896" s="3" t="n">
        <v>46321.78055555555</v>
      </c>
      <c r="AJ1896" s="2" t="inlineStr"/>
    </row>
    <row r="1897">
      <c r="A1897" s="2" t="n">
        <v>1896</v>
      </c>
      <c r="B1897" s="2" t="inlineStr">
        <is>
          <t>1795C-1</t>
        </is>
      </c>
      <c r="C1897" s="3" t="n">
        <v>45968.69722222222</v>
      </c>
      <c r="D1897" s="2" t="inlineStr">
        <is>
          <t>Original</t>
        </is>
      </c>
      <c r="E1897" s="2" t="inlineStr">
        <is>
          <t>PCP</t>
        </is>
      </c>
      <c r="F1897" s="2" t="inlineStr">
        <is>
          <t>Alfredo Maia; Paula Santos; Paulo Raimundo</t>
        </is>
      </c>
      <c r="G1897" s="2" t="inlineStr">
        <is>
          <t>Art. 136.º-A (aditamento)</t>
        </is>
      </c>
      <c r="H1897" s="2" t="n"/>
      <c r="I1897" s="2" t="n"/>
      <c r="J1897" s="2" t="n"/>
      <c r="K1897" s="2" t="n"/>
      <c r="L1897" s="2" t="inlineStr">
        <is>
          <t>Artigo 136.º-A (Alteração do Decreto-Lei n.º 176/2009, de 4 de agosto, alterado Decreto-Lei n.º 266-D/2012, de 31 de dezembro)</t>
        </is>
      </c>
      <c r="M1897" s="4" t="n"/>
      <c r="N1897" s="4" t="n"/>
      <c r="O1897" s="2" t="n"/>
      <c r="P1897" s="2" t="n"/>
      <c r="Q1897" s="2" t="n"/>
      <c r="R1897" s="2" t="n"/>
      <c r="S1897" s="2" t="inlineStr">
        <is>
          <t>Rejeitado(a) em Comissão</t>
        </is>
      </c>
      <c r="T1897" s="2" t="inlineStr">
        <is>
          <t>Rejeitada</t>
        </is>
      </c>
      <c r="U1897" s="2" t="inlineStr">
        <is>
          <t>Favor: CH, L, PCP, BE, PAN; Contra: PSD, IL, CDS-PP; Abstenção: PS</t>
        </is>
      </c>
      <c r="V1897" s="3" t="n">
        <v>45987</v>
      </c>
      <c r="W1897" s="2" t="inlineStr">
        <is>
          <t>AR: https://www.parlamento.pt/OrcamentoEstado/Paginas/DetalhePropostaAlteracao.aspx?BID=25044 PDF: https://app.parlamento.pt/webutils/docs/doc.pdf?path=6148523063484d364c793942556b356c6443397a6158526c63793959566b6c4a544556484c3039464c7a49774d6a59794d4449314d5441774f533951515338784e574d7a4e6d526b595330344e324d354c5451794d544d74596d49774e6930304e546469596d566c5a5755784f4751756347526d&amp;Fich=15c36dda-87c9-4213-bb06-457bbeeee18d.pdf&amp;Inline=true</t>
        </is>
      </c>
      <c r="X1897" s="2" t="inlineStr">
        <is>
          <t>Saúde</t>
        </is>
      </c>
      <c r="Y1897" s="2" t="inlineStr">
        <is>
          <t>Articulado</t>
        </is>
      </c>
      <c r="Z1897" s="2" t="inlineStr">
        <is>
          <t>Aditamento (Artigo PPL)</t>
        </is>
      </c>
      <c r="AA1897" s="2" t="inlineStr">
        <is>
          <t>Rejeitado(a) em Comissão</t>
        </is>
      </c>
      <c r="AB1897" s="2" t="inlineStr"/>
      <c r="AC1897" s="2" t="inlineStr">
        <is>
          <t>1</t>
        </is>
      </c>
      <c r="AD1897" s="2" t="inlineStr">
        <is>
          <t>1</t>
        </is>
      </c>
      <c r="AE1897" s="2" t="inlineStr">
        <is>
          <t>25044</t>
        </is>
      </c>
      <c r="AF1897" s="2" t="inlineStr">
        <is>
          <t>https://www.parlamento.pt/OrcamentoEstado/Paginas/DetalhePropostaAlteracao.aspx?BID=25044</t>
        </is>
      </c>
      <c r="AG1897" s="2" t="inlineStr">
        <is>
          <t>https://app.parlamento.pt/webutils/docs/doc.pdf?path=6148523063484d364c793942556b356c6443397a6158526c63793959566b6c4a544556484c3039464c7a49774d6a59794d4449314d5441774f533951515338784e574d7a4e6d526b595330344e324d354c5451794d544d74596d49774e6930304e546469596d566c5a5755784f4751756347526d&amp;Fich=15c36dda-87c9-4213-bb06-457bbeeee18d.pdf&amp;Inline=true</t>
        </is>
      </c>
      <c r="AH1897" s="3" t="n">
        <v>46321.77847222222</v>
      </c>
      <c r="AI1897" s="3" t="n">
        <v>46321.78055555555</v>
      </c>
      <c r="AJ1897" s="2" t="inlineStr"/>
    </row>
    <row r="1898">
      <c r="A1898" s="2" t="n">
        <v>1897</v>
      </c>
      <c r="B1898" s="2" t="inlineStr">
        <is>
          <t>1795C-2</t>
        </is>
      </c>
      <c r="C1898" s="3" t="n">
        <v>45968.69722222222</v>
      </c>
      <c r="D1898" s="2" t="inlineStr">
        <is>
          <t>Original</t>
        </is>
      </c>
      <c r="E1898" s="2" t="inlineStr">
        <is>
          <t>PCP</t>
        </is>
      </c>
      <c r="F1898" s="2" t="inlineStr">
        <is>
          <t>Alfredo Maia; Paula Santos; Paulo Raimundo</t>
        </is>
      </c>
      <c r="G1898" s="2" t="inlineStr">
        <is>
          <t>Art. 136.º-B (aditamento)</t>
        </is>
      </c>
      <c r="H1898" s="2" t="n"/>
      <c r="I1898" s="2" t="n"/>
      <c r="J1898" s="2" t="n"/>
      <c r="K1898" s="2" t="n"/>
      <c r="L1898" s="2" t="inlineStr">
        <is>
          <t>Artigo 136.º-B (Alteração ao Decreto-Lei n.º 177/2009, de 4 de agosto, alterado pelo Decreto-Lei n.º 266-D/2012, de 31 de dezembro, pelo Decreto-Lei n.º 103/2023, de 7 de novembro e pelo Decreto-Lei n.º 137/2023 de 19 de dezembro)</t>
        </is>
      </c>
      <c r="M1898" s="4" t="n"/>
      <c r="N1898" s="4" t="n"/>
      <c r="O1898" s="2" t="n"/>
      <c r="P1898" s="2" t="n"/>
      <c r="Q1898" s="2" t="n"/>
      <c r="R1898" s="2" t="n"/>
      <c r="S1898" s="2" t="inlineStr">
        <is>
          <t>Rejeitado(a) em Comissão</t>
        </is>
      </c>
      <c r="T1898" s="2" t="inlineStr">
        <is>
          <t>Rejeitada</t>
        </is>
      </c>
      <c r="U1898" s="2" t="inlineStr">
        <is>
          <t>Favor: CH, L, PCP, BE, PAN; Contra: PSD, IL, CDS-PP; Abstenção: PS</t>
        </is>
      </c>
      <c r="V1898" s="3" t="n">
        <v>45987</v>
      </c>
      <c r="W1898" s="2" t="inlineStr">
        <is>
          <t>AR: https://www.parlamento.pt/OrcamentoEstado/Paginas/DetalhePropostaAlteracao.aspx?BID=25342 PDF: https://app.parlamento.pt/webutils/docs/doc.pdf?path=6148523063484d364c793942556b356c6443397a6158526c63793959566b6c4a544556484c3039464c7a49774d6a59794d4449314d5441774f5339515153396d4d446b314e47597a5a53316d4d4463784c5451324f54457459574d324e4330774d5455794d5451334d4751345a5459756347526d&amp;Fich=f0954f3e-f071-4691-ac64-01521470d8e6.pdf&amp;Inline=true</t>
        </is>
      </c>
      <c r="X1898" s="2" t="inlineStr">
        <is>
          <t>Saúde</t>
        </is>
      </c>
      <c r="Y1898" s="2" t="inlineStr">
        <is>
          <t>Articulado</t>
        </is>
      </c>
      <c r="Z1898" s="2" t="inlineStr">
        <is>
          <t>Aditamento (Artigo PPL)</t>
        </is>
      </c>
      <c r="AA1898" s="2" t="inlineStr">
        <is>
          <t>Rejeitado(a) em Comissão</t>
        </is>
      </c>
      <c r="AB1898" s="2" t="inlineStr"/>
      <c r="AC1898" s="2" t="inlineStr">
        <is>
          <t>2</t>
        </is>
      </c>
      <c r="AD1898" s="2" t="inlineStr">
        <is>
          <t>1</t>
        </is>
      </c>
      <c r="AE1898" s="2" t="inlineStr">
        <is>
          <t>25342</t>
        </is>
      </c>
      <c r="AF1898" s="2" t="inlineStr">
        <is>
          <t>https://www.parlamento.pt/OrcamentoEstado/Paginas/DetalhePropostaAlteracao.aspx?BID=25342</t>
        </is>
      </c>
      <c r="AG1898" s="2" t="inlineStr">
        <is>
          <t>https://app.parlamento.pt/webutils/docs/doc.pdf?path=6148523063484d364c793942556b356c6443397a6158526c63793959566b6c4a544556484c3039464c7a49774d6a59794d4449314d5441774f5339515153396d4d446b314e47597a5a53316d4d4463784c5451324f54457459574d324e4330774d5455794d5451334d4751345a5459756347526d&amp;Fich=f0954f3e-f071-4691-ac64-01521470d8e6.pdf&amp;Inline=true</t>
        </is>
      </c>
      <c r="AH1898" s="3" t="n">
        <v>46321.77847222222</v>
      </c>
      <c r="AI1898" s="3" t="n">
        <v>46321.78055555555</v>
      </c>
      <c r="AJ1898" s="2" t="inlineStr"/>
    </row>
    <row r="1899">
      <c r="A1899" s="2" t="n">
        <v>1898</v>
      </c>
      <c r="B1899" s="2" t="inlineStr">
        <is>
          <t>1796C</t>
        </is>
      </c>
      <c r="C1899" s="3" t="n">
        <v>45968.69791666666</v>
      </c>
      <c r="D1899" s="2" t="inlineStr">
        <is>
          <t>Original</t>
        </is>
      </c>
      <c r="E1899" s="2" t="inlineStr">
        <is>
          <t>L</t>
        </is>
      </c>
      <c r="F1899" s="2" t="inlineStr">
        <is>
          <t>Filipa Pinto; Isabel Mendes Lopes; Jorge Pinto; Patrícia Gonçalves; Paulo Muacho; Rui Tavares</t>
        </is>
      </c>
      <c r="G1899" s="2" t="inlineStr">
        <is>
          <t>Art. 43.º (substituição)</t>
        </is>
      </c>
      <c r="H1899" s="2" t="n"/>
      <c r="I1899" s="2" t="n"/>
      <c r="J1899" s="2" t="n"/>
      <c r="K1899" s="2" t="n"/>
      <c r="L1899" s="2" t="inlineStr">
        <is>
          <t>N.º 3, Artigo 43.º</t>
        </is>
      </c>
      <c r="M1899" s="4" t="n"/>
      <c r="N1899" s="4" t="n"/>
      <c r="O1899" s="2" t="n"/>
      <c r="P1899" s="2" t="n"/>
      <c r="Q1899" s="2" t="n"/>
      <c r="R1899" s="2" t="n"/>
      <c r="S1899" s="2" t="inlineStr">
        <is>
          <t>Rejeitado(a) em Comissão</t>
        </is>
      </c>
      <c r="T1899" s="2" t="inlineStr">
        <is>
          <t>Rejeitada</t>
        </is>
      </c>
      <c r="U1899" s="2" t="inlineStr">
        <is>
          <t>Favor: CH, L; Contra: PSD, CDS-PP; Abstenção: PS, IL, PCP, BE, PAN</t>
        </is>
      </c>
      <c r="V1899" s="3" t="n">
        <v>45981</v>
      </c>
      <c r="W1899" s="2" t="inlineStr">
        <is>
          <t>AR: https://www.parlamento.pt/OrcamentoEstado/Paginas/DetalhePropostaAlteracao.aspx?BID=25045 PDF: https://app.parlamento.pt/webutils/docs/doc.pdf?path=6148523063484d364c793942556b356c6443397a6158526c63793959566b6c4a544556484c3039464c7a49774d6a59794d4449314d5441774f533951515339684d7a55334e544d34595330324d6a49794c54513559324d744f574a6a4f433030597a466a5a6a4a6b597a51314f444d756347526d&amp;Fich=a357538a-6222-49cc-9bc8-4c1cf2dc4583.pdf&amp;Inline=true</t>
        </is>
      </c>
      <c r="X1899" s="2" t="inlineStr">
        <is>
          <t>Saúde</t>
        </is>
      </c>
      <c r="Y1899" s="2" t="inlineStr">
        <is>
          <t>Articulado</t>
        </is>
      </c>
      <c r="Z1899" s="2" t="inlineStr">
        <is>
          <t>Substituição</t>
        </is>
      </c>
      <c r="AA1899" s="2" t="inlineStr">
        <is>
          <t>Rejeitado(a) em Comissão</t>
        </is>
      </c>
      <c r="AB1899" s="2" t="inlineStr"/>
      <c r="AC1899" s="2" t="inlineStr"/>
      <c r="AD1899" s="2" t="inlineStr">
        <is>
          <t>1</t>
        </is>
      </c>
      <c r="AE1899" s="2" t="inlineStr">
        <is>
          <t>25045</t>
        </is>
      </c>
      <c r="AF1899" s="2" t="inlineStr">
        <is>
          <t>https://www.parlamento.pt/OrcamentoEstado/Paginas/DetalhePropostaAlteracao.aspx?BID=25045</t>
        </is>
      </c>
      <c r="AG1899" s="2" t="inlineStr">
        <is>
          <t>https://app.parlamento.pt/webutils/docs/doc.pdf?path=6148523063484d364c793942556b356c6443397a6158526c63793959566b6c4a544556484c3039464c7a49774d6a59794d4449314d5441774f533951515339684d7a55334e544d34595330324d6a49794c54513559324d744f574a6a4f433030597a466a5a6a4a6b597a51314f444d756347526d&amp;Fich=a357538a-6222-49cc-9bc8-4c1cf2dc4583.pdf&amp;Inline=true</t>
        </is>
      </c>
      <c r="AH1899" s="3" t="n">
        <v>46321.77847222222</v>
      </c>
      <c r="AI1899" s="3" t="n">
        <v>46321.78055555555</v>
      </c>
      <c r="AJ1899" s="2" t="inlineStr"/>
    </row>
    <row r="1900">
      <c r="A1900" s="2" t="n">
        <v>1899</v>
      </c>
      <c r="B1900" s="2" t="inlineStr">
        <is>
          <t>1797C</t>
        </is>
      </c>
      <c r="C1900" s="3" t="n">
        <v>45968.69791666666</v>
      </c>
      <c r="D1900" s="2" t="inlineStr">
        <is>
          <t>Original</t>
        </is>
      </c>
      <c r="E1900" s="2" t="inlineStr">
        <is>
          <t>PS</t>
        </is>
      </c>
      <c r="F1900" s="2" t="inlineStr">
        <is>
          <t>Francisco César</t>
        </is>
      </c>
      <c r="G1900" s="2" t="inlineStr">
        <is>
          <t>Art. 112.º-A (aditamento)</t>
        </is>
      </c>
      <c r="H1900" s="2" t="n"/>
      <c r="I1900" s="2" t="n"/>
      <c r="J1900" s="2" t="n"/>
      <c r="K1900" s="2" t="n"/>
      <c r="L1900" s="2" t="inlineStr">
        <is>
          <t>Artigo 112.º-A (Ampliação da pista do aeroporto da Horta)</t>
        </is>
      </c>
      <c r="M1900" s="4" t="n"/>
      <c r="N1900" s="4" t="n"/>
      <c r="O1900" s="2" t="n"/>
      <c r="P1900" s="2" t="n"/>
      <c r="Q1900" s="2" t="n"/>
      <c r="R1900" s="2" t="n"/>
      <c r="S1900" s="2" t="inlineStr">
        <is>
          <t>Rejeitado(a) em Comissão</t>
        </is>
      </c>
      <c r="T1900" s="2" t="inlineStr">
        <is>
          <t>Rejeitada</t>
        </is>
      </c>
      <c r="U1900" s="2" t="inlineStr">
        <is>
          <t>Favor: PS, PCP, BE, PAN; Contra: PSD, CDS-PP; Abstenção: CH, IL, L</t>
        </is>
      </c>
      <c r="V1900" s="3" t="n">
        <v>45982</v>
      </c>
      <c r="W1900" s="2" t="inlineStr">
        <is>
          <t>AR: https://www.parlamento.pt/OrcamentoEstado/Paginas/DetalhePropostaAlteracao.aspx?BID=25046 PDF: https://app.parlamento.pt/webutils/docs/doc.pdf?path=6148523063484d364c793942556b356c6443397a6158526c63793959566b6c4a544556484c3039464c7a49774d6a59794d4449314d5441774f533951515338305a57566d4f54597a4f4330324d6d49784c5451345a4445744f44677a4d5330354d3256694e5467354f4441304f5455756347526d&amp;Fich=4eef9638-62b1-48d1-8831-93eb58980495.pdf&amp;Inline=true</t>
        </is>
      </c>
      <c r="X1900" s="2" t="inlineStr">
        <is>
          <t>Orçamento, Finanças e Administração Pública</t>
        </is>
      </c>
      <c r="Y1900" s="2" t="inlineStr">
        <is>
          <t>Articulado</t>
        </is>
      </c>
      <c r="Z1900" s="2" t="inlineStr">
        <is>
          <t>Aditamento (Artigo PPL)</t>
        </is>
      </c>
      <c r="AA1900" s="2" t="inlineStr">
        <is>
          <t>Rejeitado(a) em Comissão</t>
        </is>
      </c>
      <c r="AB1900" s="2" t="inlineStr"/>
      <c r="AC1900" s="2" t="inlineStr"/>
      <c r="AD1900" s="2" t="inlineStr">
        <is>
          <t>1</t>
        </is>
      </c>
      <c r="AE1900" s="2" t="inlineStr">
        <is>
          <t>25046</t>
        </is>
      </c>
      <c r="AF1900" s="2" t="inlineStr">
        <is>
          <t>https://www.parlamento.pt/OrcamentoEstado/Paginas/DetalhePropostaAlteracao.aspx?BID=25046</t>
        </is>
      </c>
      <c r="AG1900" s="2" t="inlineStr">
        <is>
          <t>https://app.parlamento.pt/webutils/docs/doc.pdf?path=6148523063484d364c793942556b356c6443397a6158526c63793959566b6c4a544556484c3039464c7a49774d6a59794d4449314d5441774f533951515338305a57566d4f54597a4f4330324d6d49784c5451345a4445744f44677a4d5330354d3256694e5467354f4441304f5455756347526d&amp;Fich=4eef9638-62b1-48d1-8831-93eb58980495.pdf&amp;Inline=true</t>
        </is>
      </c>
      <c r="AH1900" s="3" t="n">
        <v>46321.77847222222</v>
      </c>
      <c r="AI1900" s="3" t="n">
        <v>46321.78055555555</v>
      </c>
      <c r="AJ1900" s="2" t="inlineStr"/>
    </row>
    <row r="1901">
      <c r="A1901" s="2" t="n">
        <v>1900</v>
      </c>
      <c r="B1901" s="2" t="inlineStr">
        <is>
          <t>1798C</t>
        </is>
      </c>
      <c r="C1901" s="3" t="n">
        <v>45968.69861111111</v>
      </c>
      <c r="D1901" s="2" t="inlineStr">
        <is>
          <t>Original</t>
        </is>
      </c>
      <c r="E1901" s="2" t="inlineStr">
        <is>
          <t>PS</t>
        </is>
      </c>
      <c r="F1901" s="2" t="inlineStr">
        <is>
          <t>Francisco César</t>
        </is>
      </c>
      <c r="G1901" s="2" t="inlineStr">
        <is>
          <t>Art. 112.º-A (aditamento)</t>
        </is>
      </c>
      <c r="H1901" s="2" t="n"/>
      <c r="I1901" s="2" t="n"/>
      <c r="J1901" s="2" t="n"/>
      <c r="K1901" s="2" t="n"/>
      <c r="L1901" s="2" t="inlineStr">
        <is>
          <t>Artigo 112.º-A (Atribuição de Apoio Extraordinário à Agricultura dos Açores)</t>
        </is>
      </c>
      <c r="M1901" s="4" t="n"/>
      <c r="N1901" s="4" t="n"/>
      <c r="O1901" s="2" t="n"/>
      <c r="P1901" s="2" t="n"/>
      <c r="Q1901" s="2" t="n"/>
      <c r="R1901" s="2" t="n"/>
      <c r="S1901" s="2" t="inlineStr">
        <is>
          <t>Aprovado(a) em Comissão</t>
        </is>
      </c>
      <c r="T1901" s="2" t="inlineStr">
        <is>
          <t>Aprovada</t>
        </is>
      </c>
      <c r="U1901" s="2" t="inlineStr">
        <is>
          <t>Favor: PSD, CH, PS, PCP, CDS-PP, BE; Contra: PAN; Abstenção: IL, L</t>
        </is>
      </c>
      <c r="V1901" s="3" t="n">
        <v>45982</v>
      </c>
      <c r="W1901" s="2" t="inlineStr">
        <is>
          <t>AR: https://www.parlamento.pt/OrcamentoEstado/Paginas/DetalhePropostaAlteracao.aspx?BID=25047 PDF: https://app.parlamento.pt/webutils/docs/doc.pdf?path=6148523063484d364c793942556b356c6443397a6158526c63793959566b6c4a544556484c3039464c7a49774d6a59794d4449314d5441774f533951515339694e54466a4d324531597930335a5455304c54517a4e6d5974595755324d7930785a57466c5a5441784e6a45354e5759756347526d&amp;Fich=b51c3a5c-7e54-436f-ae63-1eaee016195f.pdf&amp;Inline=true</t>
        </is>
      </c>
      <c r="X1901" s="2" t="inlineStr">
        <is>
          <t>Orçamento, Finanças e Administração Pública</t>
        </is>
      </c>
      <c r="Y1901" s="2" t="inlineStr">
        <is>
          <t>Articulado</t>
        </is>
      </c>
      <c r="Z1901" s="2" t="inlineStr">
        <is>
          <t>Aditamento (Artigo PPL)</t>
        </is>
      </c>
      <c r="AA1901" s="2" t="inlineStr">
        <is>
          <t>Aprovado(a) em Comissão</t>
        </is>
      </c>
      <c r="AB1901" s="2" t="inlineStr"/>
      <c r="AC1901" s="2" t="inlineStr"/>
      <c r="AD1901" s="2" t="inlineStr">
        <is>
          <t>1</t>
        </is>
      </c>
      <c r="AE1901" s="2" t="inlineStr">
        <is>
          <t>25047</t>
        </is>
      </c>
      <c r="AF1901" s="2" t="inlineStr">
        <is>
          <t>https://www.parlamento.pt/OrcamentoEstado/Paginas/DetalhePropostaAlteracao.aspx?BID=25047</t>
        </is>
      </c>
      <c r="AG1901" s="2" t="inlineStr">
        <is>
          <t>https://app.parlamento.pt/webutils/docs/doc.pdf?path=6148523063484d364c793942556b356c6443397a6158526c63793959566b6c4a544556484c3039464c7a49774d6a59794d4449314d5441774f533951515339694e54466a4d324531597930335a5455304c54517a4e6d5974595755324d7930785a57466c5a5441784e6a45354e5759756347526d&amp;Fich=b51c3a5c-7e54-436f-ae63-1eaee016195f.pdf&amp;Inline=true</t>
        </is>
      </c>
      <c r="AH1901" s="3" t="n">
        <v>46321.77847222222</v>
      </c>
      <c r="AI1901" s="3" t="n">
        <v>46321.78055555555</v>
      </c>
      <c r="AJ1901" s="2" t="inlineStr"/>
    </row>
    <row r="1902">
      <c r="A1902" s="2" t="n">
        <v>1901</v>
      </c>
      <c r="B1902" s="2" t="inlineStr">
        <is>
          <t>1799C</t>
        </is>
      </c>
      <c r="C1902" s="3" t="n">
        <v>45968.69861111111</v>
      </c>
      <c r="D1902" s="2" t="inlineStr">
        <is>
          <t>Original</t>
        </is>
      </c>
      <c r="E1902" s="2" t="inlineStr">
        <is>
          <t>PS</t>
        </is>
      </c>
      <c r="F1902" s="2" t="inlineStr">
        <is>
          <t>Francisco César</t>
        </is>
      </c>
      <c r="G1902" s="2" t="inlineStr">
        <is>
          <t>Art. 112.º-A (aditamento)</t>
        </is>
      </c>
      <c r="H1902" s="2" t="n"/>
      <c r="I1902" s="2" t="n"/>
      <c r="J1902" s="2" t="n"/>
      <c r="K1902" s="2" t="n"/>
      <c r="L1902" s="2" t="inlineStr">
        <is>
          <t>Artigo 112.º-A (Descontaminação dos solos e aquíferos na ilha Terceira)</t>
        </is>
      </c>
      <c r="M1902" s="4" t="n"/>
      <c r="N1902" s="4" t="n"/>
      <c r="O1902" s="2" t="n"/>
      <c r="P1902" s="2" t="n"/>
      <c r="Q1902" s="2" t="n"/>
      <c r="R1902" s="2" t="n"/>
      <c r="S1902" s="2" t="inlineStr">
        <is>
          <t>Aprovado(a) Parcialmente em Comissão</t>
        </is>
      </c>
      <c r="T1902" s="2" t="inlineStr">
        <is>
          <t>Aprovada parcialmente</t>
        </is>
      </c>
      <c r="U1902" s="2" t="inlineStr">
        <is>
          <t>Favor: PS, IL, L, PCP, BE, PAN; Abstenção: PSD, CH, CDS-PP</t>
        </is>
      </c>
      <c r="V1902" s="3" t="n">
        <v>45982</v>
      </c>
      <c r="W1902" s="2" t="inlineStr">
        <is>
          <t>AR: https://www.parlamento.pt/OrcamentoEstado/Paginas/DetalhePropostaAlteracao.aspx?BID=25048 PDF: https://app.parlamento.pt/webutils/docs/doc.pdf?path=6148523063484d364c793942556b356c6443397a6158526c63793959566b6c4a544556484c3039464c7a49774d6a59794d4449314d5441774f5339515153387a596d59324e7a4132597930355a446b344c54526d5a5449744f544e6b4d7931695a54597a4d5449784e7a417a5a6a59756347526d&amp;Fich=3bf6706c-9d98-4fe2-93d3-be63121703f6.pdf&amp;Inline=true</t>
        </is>
      </c>
      <c r="X1902" s="2" t="inlineStr">
        <is>
          <t>Orçamento, Finanças e Administração Pública</t>
        </is>
      </c>
      <c r="Y1902" s="2" t="inlineStr">
        <is>
          <t>Articulado</t>
        </is>
      </c>
      <c r="Z1902" s="2" t="inlineStr">
        <is>
          <t>Aditamento (Artigo PPL)</t>
        </is>
      </c>
      <c r="AA1902" s="2" t="inlineStr">
        <is>
          <t>Aprovado(a) Parcialmente em Comissão</t>
        </is>
      </c>
      <c r="AB1902" s="2" t="inlineStr"/>
      <c r="AC1902" s="2" t="inlineStr"/>
      <c r="AD1902" s="2" t="inlineStr">
        <is>
          <t>1</t>
        </is>
      </c>
      <c r="AE1902" s="2" t="inlineStr">
        <is>
          <t>25048</t>
        </is>
      </c>
      <c r="AF1902" s="2" t="inlineStr">
        <is>
          <t>https://www.parlamento.pt/OrcamentoEstado/Paginas/DetalhePropostaAlteracao.aspx?BID=25048</t>
        </is>
      </c>
      <c r="AG1902" s="2" t="inlineStr">
        <is>
          <t>https://app.parlamento.pt/webutils/docs/doc.pdf?path=6148523063484d364c793942556b356c6443397a6158526c63793959566b6c4a544556484c3039464c7a49774d6a59794d4449314d5441774f5339515153387a596d59324e7a4132597930355a446b344c54526d5a5449744f544e6b4d7931695a54597a4d5449784e7a417a5a6a59756347526d&amp;Fich=3bf6706c-9d98-4fe2-93d3-be63121703f6.pdf&amp;Inline=true</t>
        </is>
      </c>
      <c r="AH1902" s="3" t="n">
        <v>46321.77847222222</v>
      </c>
      <c r="AI1902" s="3" t="n">
        <v>46321.78055555555</v>
      </c>
      <c r="AJ1902" s="2" t="inlineStr"/>
    </row>
    <row r="1903">
      <c r="A1903" s="2" t="n">
        <v>1902</v>
      </c>
      <c r="B1903" s="2" t="inlineStr">
        <is>
          <t>1800C</t>
        </is>
      </c>
      <c r="C1903" s="3" t="n">
        <v>45968.69930555556</v>
      </c>
      <c r="D1903" s="2" t="inlineStr">
        <is>
          <t>Original</t>
        </is>
      </c>
      <c r="E1903" s="2" t="inlineStr">
        <is>
          <t>CH</t>
        </is>
      </c>
      <c r="F190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903" s="2" t="inlineStr">
        <is>
          <t>Art. 63.º-A (aditamento)</t>
        </is>
      </c>
      <c r="H1903" s="2" t="n"/>
      <c r="I1903" s="2" t="n"/>
      <c r="J1903" s="2" t="n"/>
      <c r="K1903" s="2" t="n"/>
      <c r="L1903" s="2" t="inlineStr">
        <is>
          <t>Artigo 63.º-A (Alteração à lista I anexa ao Código do Imposto sobre o Valor Acrescentado)</t>
        </is>
      </c>
      <c r="M1903" s="4" t="n"/>
      <c r="N1903" s="4" t="n"/>
      <c r="O1903" s="2" t="n"/>
      <c r="P1903" s="2" t="n"/>
      <c r="Q1903" s="2" t="n"/>
      <c r="R1903" s="2" t="n"/>
      <c r="S1903" s="2" t="inlineStr">
        <is>
          <t>Rejeitado(a) em Comissão</t>
        </is>
      </c>
      <c r="T1903" s="2" t="inlineStr">
        <is>
          <t>Rejeitada</t>
        </is>
      </c>
      <c r="U1903" s="2" t="inlineStr">
        <is>
          <t>Favor: CH, BE; Contra: PSD, CDS-PP, PAN; Abstenção: PS, IL, L, PCP</t>
        </is>
      </c>
      <c r="V1903" s="3" t="n">
        <v>45982</v>
      </c>
      <c r="W1903" s="2" t="inlineStr">
        <is>
          <t>AR: https://www.parlamento.pt/OrcamentoEstado/Paginas/DetalhePropostaAlteracao.aspx?BID=25049 PDF: https://app.parlamento.pt/webutils/docs/doc.pdf?path=6148523063484d364c793942556b356c6443397a6158526c63793959566b6c4a544556484c3039464c7a49774d6a59794d4449314d5441774f533951515338344f446b315a6d51795a69307a4f4755334c54526859324d74596d51344d43316c4e474e6a5a4445304e6a45315a5441756347526d&amp;Fich=8895fd2f-38e7-4acc-bd80-e4ccd14615e0.pdf&amp;Inline=true</t>
        </is>
      </c>
      <c r="X1903" s="2" t="inlineStr">
        <is>
          <t>Orçamento, Finanças e Administração Pública</t>
        </is>
      </c>
      <c r="Y1903" s="2" t="inlineStr">
        <is>
          <t>Articulado</t>
        </is>
      </c>
      <c r="Z1903" s="2" t="inlineStr">
        <is>
          <t>Aditamento (Artigo PPL)</t>
        </is>
      </c>
      <c r="AA1903" s="2" t="inlineStr">
        <is>
          <t>Rejeitado(a) em Comissão</t>
        </is>
      </c>
      <c r="AB1903" s="2" t="inlineStr"/>
      <c r="AC1903" s="2" t="inlineStr"/>
      <c r="AD1903" s="2" t="inlineStr">
        <is>
          <t>1</t>
        </is>
      </c>
      <c r="AE1903" s="2" t="inlineStr">
        <is>
          <t>25049</t>
        </is>
      </c>
      <c r="AF1903" s="2" t="inlineStr">
        <is>
          <t>https://www.parlamento.pt/OrcamentoEstado/Paginas/DetalhePropostaAlteracao.aspx?BID=25049</t>
        </is>
      </c>
      <c r="AG1903" s="2" t="inlineStr">
        <is>
          <t>https://app.parlamento.pt/webutils/docs/doc.pdf?path=6148523063484d364c793942556b356c6443397a6158526c63793959566b6c4a544556484c3039464c7a49774d6a59794d4449314d5441774f533951515338344f446b315a6d51795a69307a4f4755334c54526859324d74596d51344d43316c4e474e6a5a4445304e6a45315a5441756347526d&amp;Fich=8895fd2f-38e7-4acc-bd80-e4ccd14615e0.pdf&amp;Inline=true</t>
        </is>
      </c>
      <c r="AH1903" s="3" t="n">
        <v>46321.77847222222</v>
      </c>
      <c r="AI1903" s="3" t="n">
        <v>46321.78055555555</v>
      </c>
      <c r="AJ1903" s="2" t="inlineStr"/>
    </row>
    <row r="1904">
      <c r="A1904" s="2" t="n">
        <v>1903</v>
      </c>
      <c r="B1904" s="2" t="inlineStr">
        <is>
          <t>1801C</t>
        </is>
      </c>
      <c r="C1904" s="3" t="n">
        <v>45968.69930555556</v>
      </c>
      <c r="D1904" s="2" t="inlineStr">
        <is>
          <t>Original</t>
        </is>
      </c>
      <c r="E1904" s="2" t="inlineStr">
        <is>
          <t>BE</t>
        </is>
      </c>
      <c r="F1904" s="2" t="inlineStr">
        <is>
          <t>Mariana Mortágua</t>
        </is>
      </c>
      <c r="G1904" s="2" t="inlineStr">
        <is>
          <t>Art. 113.º-A (aditamento)</t>
        </is>
      </c>
      <c r="H1904" s="2" t="n"/>
      <c r="I1904" s="2" t="n"/>
      <c r="J1904" s="2" t="n"/>
      <c r="K1904" s="2" t="n"/>
      <c r="L1904" s="2" t="inlineStr">
        <is>
          <t>Artigo 113.º-A (Reabertura Linha do Douro entre Pocinho e Barca d'Alva)</t>
        </is>
      </c>
      <c r="M1904" s="4" t="n"/>
      <c r="N1904" s="4" t="n"/>
      <c r="O1904" s="2" t="n"/>
      <c r="P1904" s="2" t="n"/>
      <c r="Q1904" s="2" t="n"/>
      <c r="R1904" s="2" t="n"/>
      <c r="S1904" s="2" t="inlineStr">
        <is>
          <t>Aprovado(a) em Comissão</t>
        </is>
      </c>
      <c r="T1904" s="2" t="inlineStr">
        <is>
          <t>Aprovada</t>
        </is>
      </c>
      <c r="U1904" s="2" t="inlineStr">
        <is>
          <t>Favor: CH, PS, IL, L, PCP, BE, PAN; Contra: PSD, CDS-PP</t>
        </is>
      </c>
      <c r="V1904" s="3" t="n">
        <v>45985</v>
      </c>
      <c r="W1904" s="2" t="inlineStr">
        <is>
          <t>AR: https://www.parlamento.pt/OrcamentoEstado/Paginas/DetalhePropostaAlteracao.aspx?BID=25050 PDF: https://app.parlamento.pt/webutils/docs/doc.pdf?path=6148523063484d364c793942556b356c6443397a6158526c63793959566b6c4a544556484c3039464c7a49774d6a59794d4449314d5441774f53395151533879593251304f574530596931694e3249774c54526b5a44497459574579597930344d7a4978596a56694f57466a4d6a6b756347526d&amp;Fich=2cd49a4b-b7b0-4dd2-aa2c-8321b5b9ac29.pdf&amp;Inline=true</t>
        </is>
      </c>
      <c r="X1904" s="2" t="inlineStr">
        <is>
          <t>Infraestruturas, Mobilidade e Habitação</t>
        </is>
      </c>
      <c r="Y1904" s="2" t="inlineStr">
        <is>
          <t>Articulado</t>
        </is>
      </c>
      <c r="Z1904" s="2" t="inlineStr">
        <is>
          <t>Aditamento (Artigo PPL)</t>
        </is>
      </c>
      <c r="AA1904" s="2" t="inlineStr">
        <is>
          <t>Aprovado(a) em Comissão</t>
        </is>
      </c>
      <c r="AB1904" s="2" t="inlineStr"/>
      <c r="AC1904" s="2" t="inlineStr"/>
      <c r="AD1904" s="2" t="inlineStr">
        <is>
          <t>1</t>
        </is>
      </c>
      <c r="AE1904" s="2" t="inlineStr">
        <is>
          <t>25050</t>
        </is>
      </c>
      <c r="AF1904" s="2" t="inlineStr">
        <is>
          <t>https://www.parlamento.pt/OrcamentoEstado/Paginas/DetalhePropostaAlteracao.aspx?BID=25050</t>
        </is>
      </c>
      <c r="AG1904" s="2" t="inlineStr">
        <is>
          <t>https://app.parlamento.pt/webutils/docs/doc.pdf?path=6148523063484d364c793942556b356c6443397a6158526c63793959566b6c4a544556484c3039464c7a49774d6a59794d4449314d5441774f53395151533879593251304f574530596931694e3249774c54526b5a44497459574579597930344d7a4978596a56694f57466a4d6a6b756347526d&amp;Fich=2cd49a4b-b7b0-4dd2-aa2c-8321b5b9ac29.pdf&amp;Inline=true</t>
        </is>
      </c>
      <c r="AH1904" s="3" t="n">
        <v>46321.77847222222</v>
      </c>
      <c r="AI1904" s="3" t="n">
        <v>46321.78055555555</v>
      </c>
      <c r="AJ1904" s="2" t="inlineStr"/>
    </row>
    <row r="1905">
      <c r="A1905" s="2" t="n">
        <v>1904</v>
      </c>
      <c r="B1905" s="2" t="inlineStr">
        <is>
          <t>1802C</t>
        </is>
      </c>
      <c r="C1905" s="3" t="n">
        <v>45968.69930555556</v>
      </c>
      <c r="D1905" s="2" t="inlineStr">
        <is>
          <t>Original</t>
        </is>
      </c>
      <c r="E1905" s="2" t="inlineStr">
        <is>
          <t>L</t>
        </is>
      </c>
      <c r="F1905" s="2" t="inlineStr">
        <is>
          <t>Filipa Pinto; Isabel Mendes Lopes; Jorge Pinto; Patrícia Gonçalves; Paulo Muacho; Rui Tavares</t>
        </is>
      </c>
      <c r="G1905" s="2" t="inlineStr">
        <is>
          <t>Art. 126.º-A (aditamento)</t>
        </is>
      </c>
      <c r="H1905" s="2" t="n"/>
      <c r="I1905" s="2" t="n"/>
      <c r="J1905" s="2" t="n"/>
      <c r="K1905" s="2" t="n"/>
      <c r="L1905" s="2" t="inlineStr">
        <is>
          <t>Artigo 126.º-A (Remoção de infraestruturas hidráulicas obsoletas e restauro fluvial)</t>
        </is>
      </c>
      <c r="M1905" s="4" t="n"/>
      <c r="N1905" s="4" t="n"/>
      <c r="O1905" s="2" t="n"/>
      <c r="P1905" s="2" t="n"/>
      <c r="Q1905" s="2" t="n"/>
      <c r="R1905" s="2" t="n"/>
      <c r="S1905" s="2" t="inlineStr">
        <is>
          <t>Rejeitado(a) em Comissão</t>
        </is>
      </c>
      <c r="T1905" s="2" t="inlineStr">
        <is>
          <t>Rejeitada</t>
        </is>
      </c>
      <c r="U1905" s="2" t="inlineStr">
        <is>
          <t>Favor: PS, IL, L, BE, PAN; Contra: PSD, CDS-PP; Abstenção: CH, PCP</t>
        </is>
      </c>
      <c r="V1905" s="3" t="n">
        <v>45985</v>
      </c>
      <c r="W1905" s="2" t="inlineStr">
        <is>
          <t>AR: https://www.parlamento.pt/OrcamentoEstado/Paginas/DetalhePropostaAlteracao.aspx?BID=25051 PDF: https://app.parlamento.pt/webutils/docs/doc.pdf?path=6148523063484d364c793942556b356c6443397a6158526c63793959566b6c4a544556484c3039464c7a49774d6a59794d4449314d5441774f53395151533830593256694f57526d4f53316c4d6a63314c54517a4d445174596a6b795a69316d59546330596a426b4e6a68684d3259756347526d&amp;Fich=4ceb9df9-e275-4304-b92f-fa74b0d68a3f.pdf&amp;Inline=true</t>
        </is>
      </c>
      <c r="X1905" s="2" t="inlineStr">
        <is>
          <t>Ambiente e Energia</t>
        </is>
      </c>
      <c r="Y1905" s="2" t="inlineStr">
        <is>
          <t>Articulado</t>
        </is>
      </c>
      <c r="Z1905" s="2" t="inlineStr">
        <is>
          <t>Aditamento (Artigo PPL)</t>
        </is>
      </c>
      <c r="AA1905" s="2" t="inlineStr">
        <is>
          <t>Rejeitado(a) em Comissão</t>
        </is>
      </c>
      <c r="AB1905" s="2" t="inlineStr"/>
      <c r="AC1905" s="2" t="inlineStr"/>
      <c r="AD1905" s="2" t="inlineStr">
        <is>
          <t>1</t>
        </is>
      </c>
      <c r="AE1905" s="2" t="inlineStr">
        <is>
          <t>25051</t>
        </is>
      </c>
      <c r="AF1905" s="2" t="inlineStr">
        <is>
          <t>https://www.parlamento.pt/OrcamentoEstado/Paginas/DetalhePropostaAlteracao.aspx?BID=25051</t>
        </is>
      </c>
      <c r="AG1905" s="2" t="inlineStr">
        <is>
          <t>https://app.parlamento.pt/webutils/docs/doc.pdf?path=6148523063484d364c793942556b356c6443397a6158526c63793959566b6c4a544556484c3039464c7a49774d6a59794d4449314d5441774f53395151533830593256694f57526d4f53316c4d6a63314c54517a4d445174596a6b795a69316d59546330596a426b4e6a68684d3259756347526d&amp;Fich=4ceb9df9-e275-4304-b92f-fa74b0d68a3f.pdf&amp;Inline=true</t>
        </is>
      </c>
      <c r="AH1905" s="3" t="n">
        <v>46321.77847222222</v>
      </c>
      <c r="AI1905" s="3" t="n">
        <v>46321.78055555555</v>
      </c>
      <c r="AJ1905" s="2" t="inlineStr"/>
    </row>
    <row r="1906">
      <c r="A1906" s="2" t="n">
        <v>1905</v>
      </c>
      <c r="B1906" s="2" t="inlineStr">
        <is>
          <t>1803C</t>
        </is>
      </c>
      <c r="C1906" s="3" t="n">
        <v>45968.7</v>
      </c>
      <c r="D1906" s="2" t="inlineStr">
        <is>
          <t>Original</t>
        </is>
      </c>
      <c r="E1906" s="2" t="inlineStr">
        <is>
          <t>PS</t>
        </is>
      </c>
      <c r="F1906" s="2" t="inlineStr">
        <is>
          <t>Francisco César</t>
        </is>
      </c>
      <c r="G1906" s="2" t="inlineStr">
        <is>
          <t>Art. 112.º-A (aditamento)</t>
        </is>
      </c>
      <c r="H1906" s="2" t="n"/>
      <c r="I1906" s="2" t="n"/>
      <c r="J1906" s="2" t="n"/>
      <c r="K1906" s="2" t="n"/>
      <c r="L1906" s="2" t="inlineStr">
        <is>
          <t>Artigo 112.º-A (Estudo Multissectorial sobre Novas Substâncias Psicoativas nas Regiões Autónomas)</t>
        </is>
      </c>
      <c r="M1906" s="4" t="n"/>
      <c r="N1906" s="4" t="n"/>
      <c r="O1906" s="2" t="n"/>
      <c r="P1906" s="2" t="n"/>
      <c r="Q1906" s="2" t="n"/>
      <c r="R1906" s="2" t="n"/>
      <c r="S1906" s="2" t="inlineStr">
        <is>
          <t>Aprovado(a) em Comissão</t>
        </is>
      </c>
      <c r="T1906" s="2" t="inlineStr">
        <is>
          <t>Aprovada</t>
        </is>
      </c>
      <c r="U1906" s="2" t="inlineStr">
        <is>
          <t>Favor: CH, PS, IL, L, PCP, BE, PAN; Contra: PSD, CDS-PP</t>
        </is>
      </c>
      <c r="V1906" s="3" t="n">
        <v>45982</v>
      </c>
      <c r="W1906" s="2" t="inlineStr">
        <is>
          <t>AR: https://www.parlamento.pt/OrcamentoEstado/Paginas/DetalhePropostaAlteracao.aspx?BID=25052 PDF: https://app.parlamento.pt/webutils/docs/doc.pdf?path=6148523063484d364c793942556b356c6443397a6158526c63793959566b6c4a544556484c3039464c7a49774d6a59794d4449314d5441774f5339515153396a4e574977595749304f53316a4e3251314c5451794d474574596a6b774e533032597a45304d5751334e6a55344d7a45756347526d&amp;Fich=c5b0ab49-c7d5-420a-b905-6c141d765831.pdf&amp;Inline=true</t>
        </is>
      </c>
      <c r="X1906" s="2" t="inlineStr">
        <is>
          <t>Orçamento, Finanças e Administração Pública</t>
        </is>
      </c>
      <c r="Y1906" s="2" t="inlineStr">
        <is>
          <t>Articulado</t>
        </is>
      </c>
      <c r="Z1906" s="2" t="inlineStr">
        <is>
          <t>Aditamento (Artigo PPL)</t>
        </is>
      </c>
      <c r="AA1906" s="2" t="inlineStr">
        <is>
          <t>Aprovado(a) em Comissão</t>
        </is>
      </c>
      <c r="AB1906" s="2" t="inlineStr"/>
      <c r="AC1906" s="2" t="inlineStr"/>
      <c r="AD1906" s="2" t="inlineStr">
        <is>
          <t>1</t>
        </is>
      </c>
      <c r="AE1906" s="2" t="inlineStr">
        <is>
          <t>25052</t>
        </is>
      </c>
      <c r="AF1906" s="2" t="inlineStr">
        <is>
          <t>https://www.parlamento.pt/OrcamentoEstado/Paginas/DetalhePropostaAlteracao.aspx?BID=25052</t>
        </is>
      </c>
      <c r="AG1906" s="2" t="inlineStr">
        <is>
          <t>https://app.parlamento.pt/webutils/docs/doc.pdf?path=6148523063484d364c793942556b356c6443397a6158526c63793959566b6c4a544556484c3039464c7a49774d6a59794d4449314d5441774f5339515153396a4e574977595749304f53316a4e3251314c5451794d474574596a6b774e533032597a45304d5751334e6a55344d7a45756347526d&amp;Fich=c5b0ab49-c7d5-420a-b905-6c141d765831.pdf&amp;Inline=true</t>
        </is>
      </c>
      <c r="AH1906" s="3" t="n">
        <v>46321.77847222222</v>
      </c>
      <c r="AI1906" s="3" t="n">
        <v>46321.78055555555</v>
      </c>
      <c r="AJ1906" s="2" t="inlineStr"/>
    </row>
    <row r="1907">
      <c r="A1907" s="2" t="n">
        <v>1906</v>
      </c>
      <c r="B1907" s="2" t="inlineStr">
        <is>
          <t>1804C</t>
        </is>
      </c>
      <c r="C1907" s="3" t="n">
        <v>45968.7</v>
      </c>
      <c r="D1907" s="2" t="inlineStr">
        <is>
          <t>Original</t>
        </is>
      </c>
      <c r="E1907" s="2" t="inlineStr">
        <is>
          <t>CH</t>
        </is>
      </c>
      <c r="F190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907" s="2" t="inlineStr">
        <is>
          <t>Art. 123.º-A (aditamento)</t>
        </is>
      </c>
      <c r="H1907" s="2" t="n"/>
      <c r="I1907" s="2" t="n"/>
      <c r="J1907" s="2" t="n"/>
      <c r="K1907" s="2" t="n"/>
      <c r="L1907" s="2" t="inlineStr">
        <is>
          <t>Artigo 123.º-A (Concretizar a “Linha Violeta” do Metropolitano de Lisboa metro entre Odivelas e Loures)</t>
        </is>
      </c>
      <c r="M1907" s="4" t="n"/>
      <c r="N1907" s="4" t="n"/>
      <c r="O1907" s="2" t="n"/>
      <c r="P1907" s="2" t="n"/>
      <c r="Q1907" s="2" t="n"/>
      <c r="R1907" s="2" t="n"/>
      <c r="S1907" s="2" t="inlineStr">
        <is>
          <t>Rejeitado(a) em Comissão</t>
        </is>
      </c>
      <c r="T1907" s="2" t="inlineStr">
        <is>
          <t>Rejeitada</t>
        </is>
      </c>
      <c r="U1907" s="2" t="inlineStr">
        <is>
          <t>Favor: CH, BE, PAN; Contra: PSD, IL, CDS-PP; Abstenção: PS, L, PCP</t>
        </is>
      </c>
      <c r="V1907" s="3" t="n">
        <v>45985</v>
      </c>
      <c r="W1907" s="2" t="inlineStr">
        <is>
          <t>AR: https://www.parlamento.pt/OrcamentoEstado/Paginas/DetalhePropostaAlteracao.aspx?BID=25053 PDF: https://app.parlamento.pt/webutils/docs/doc.pdf?path=6148523063484d364c793942556b356c6443397a6158526c63793959566b6c4a544556484c3039464c7a49774d6a59794d4449314d5441774f5339515153396d4e47466c4f4455304d5330315a44426b4c5451785a444d744f5746695a4330344e6d4e684f47557a5a6d45334d6a49756347526d&amp;Fich=f4ae8541-5d0d-41d3-9abd-86ca8e3fa722.pdf&amp;Inline=true</t>
        </is>
      </c>
      <c r="X1907" s="2" t="inlineStr">
        <is>
          <t>Infraestruturas, Mobilidade e Habitação</t>
        </is>
      </c>
      <c r="Y1907" s="2" t="inlineStr">
        <is>
          <t>Articulado</t>
        </is>
      </c>
      <c r="Z1907" s="2" t="inlineStr">
        <is>
          <t>Aditamento (Artigo PPL)</t>
        </is>
      </c>
      <c r="AA1907" s="2" t="inlineStr">
        <is>
          <t>Rejeitado(a) em Comissão</t>
        </is>
      </c>
      <c r="AB1907" s="2" t="inlineStr"/>
      <c r="AC1907" s="2" t="inlineStr"/>
      <c r="AD1907" s="2" t="inlineStr">
        <is>
          <t>1</t>
        </is>
      </c>
      <c r="AE1907" s="2" t="inlineStr">
        <is>
          <t>25053</t>
        </is>
      </c>
      <c r="AF1907" s="2" t="inlineStr">
        <is>
          <t>https://www.parlamento.pt/OrcamentoEstado/Paginas/DetalhePropostaAlteracao.aspx?BID=25053</t>
        </is>
      </c>
      <c r="AG1907" s="2" t="inlineStr">
        <is>
          <t>https://app.parlamento.pt/webutils/docs/doc.pdf?path=6148523063484d364c793942556b356c6443397a6158526c63793959566b6c4a544556484c3039464c7a49774d6a59794d4449314d5441774f5339515153396d4e47466c4f4455304d5330315a44426b4c5451785a444d744f5746695a4330344e6d4e684f47557a5a6d45334d6a49756347526d&amp;Fich=f4ae8541-5d0d-41d3-9abd-86ca8e3fa722.pdf&amp;Inline=true</t>
        </is>
      </c>
      <c r="AH1907" s="3" t="n">
        <v>46321.77847222222</v>
      </c>
      <c r="AI1907" s="3" t="n">
        <v>46321.78055555555</v>
      </c>
      <c r="AJ1907" s="2" t="inlineStr"/>
    </row>
    <row r="1908">
      <c r="A1908" s="2" t="n">
        <v>1907</v>
      </c>
      <c r="B1908" s="2" t="inlineStr">
        <is>
          <t>1805C</t>
        </is>
      </c>
      <c r="C1908" s="3" t="n">
        <v>45968.7</v>
      </c>
      <c r="D1908" s="2" t="inlineStr">
        <is>
          <t>Original</t>
        </is>
      </c>
      <c r="E1908" s="2" t="inlineStr">
        <is>
          <t>PAN</t>
        </is>
      </c>
      <c r="F1908" s="2" t="inlineStr">
        <is>
          <t>Inês de Sousa Real</t>
        </is>
      </c>
      <c r="G1908" s="2" t="inlineStr">
        <is>
          <t>Art. 38.º-B (aditamento)</t>
        </is>
      </c>
      <c r="H1908" s="2" t="n"/>
      <c r="I1908" s="2" t="n"/>
      <c r="J1908" s="2" t="n"/>
      <c r="K1908" s="2" t="n"/>
      <c r="L1908" s="2" t="inlineStr">
        <is>
          <t>Artigo 38.º-B (Alteração ao Decreto-Lei n.º 91/2009, de 9 de abril)</t>
        </is>
      </c>
      <c r="M1908" s="4" t="n"/>
      <c r="N1908" s="4" t="n"/>
      <c r="O1908" s="2" t="n"/>
      <c r="P1908" s="2" t="n"/>
      <c r="Q1908" s="2" t="n"/>
      <c r="R1908" s="2" t="n"/>
      <c r="S1908" s="2" t="inlineStr">
        <is>
          <t>Rejeitado(a) em Comissão</t>
        </is>
      </c>
      <c r="T1908" s="2" t="inlineStr">
        <is>
          <t>Rejeitada</t>
        </is>
      </c>
      <c r="U1908" s="2" t="inlineStr">
        <is>
          <t>Favor: IL, L, PCP, BE, PAN; Contra: PSD, CDS-PP; Abstenção: CH, PS</t>
        </is>
      </c>
      <c r="V1908" s="3" t="n">
        <v>45981</v>
      </c>
      <c r="W1908" s="2" t="inlineStr">
        <is>
          <t>AR: https://www.parlamento.pt/OrcamentoEstado/Paginas/DetalhePropostaAlteracao.aspx?BID=25054 PDF: https://app.parlamento.pt/webutils/docs/doc.pdf?path=6148523063484d364c793942556b356c6443397a6158526c63793959566b6c4a544556484c3039464c7a49774d6a59794d4449314d5441774f5339515153396c4e5759355a6a4179595330334d575a6a4c5452684e7a4174595451334f5330354e7a466c5a6a566859574d334d4467756347526d&amp;Fich=e5f9f02a-71fc-4a70-a479-971ef5aac708.pdf&amp;Inline=true</t>
        </is>
      </c>
      <c r="X1908" s="2" t="inlineStr">
        <is>
          <t>Trabalho, Segurança Social e Inclusão</t>
        </is>
      </c>
      <c r="Y1908" s="2" t="inlineStr">
        <is>
          <t>Articulado</t>
        </is>
      </c>
      <c r="Z1908" s="2" t="inlineStr">
        <is>
          <t>Aditamento (Artigo PPL)</t>
        </is>
      </c>
      <c r="AA1908" s="2" t="inlineStr">
        <is>
          <t>Rejeitado(a) em Comissão</t>
        </is>
      </c>
      <c r="AB1908" s="2" t="inlineStr"/>
      <c r="AC1908" s="2" t="inlineStr"/>
      <c r="AD1908" s="2" t="inlineStr">
        <is>
          <t>1</t>
        </is>
      </c>
      <c r="AE1908" s="2" t="inlineStr">
        <is>
          <t>25054</t>
        </is>
      </c>
      <c r="AF1908" s="2" t="inlineStr">
        <is>
          <t>https://www.parlamento.pt/OrcamentoEstado/Paginas/DetalhePropostaAlteracao.aspx?BID=25054</t>
        </is>
      </c>
      <c r="AG1908" s="2" t="inlineStr">
        <is>
          <t>https://app.parlamento.pt/webutils/docs/doc.pdf?path=6148523063484d364c793942556b356c6443397a6158526c63793959566b6c4a544556484c3039464c7a49774d6a59794d4449314d5441774f5339515153396c4e5759355a6a4179595330334d575a6a4c5452684e7a4174595451334f5330354e7a466c5a6a566859574d334d4467756347526d&amp;Fich=e5f9f02a-71fc-4a70-a479-971ef5aac708.pdf&amp;Inline=true</t>
        </is>
      </c>
      <c r="AH1908" s="3" t="n">
        <v>46321.77847222222</v>
      </c>
      <c r="AI1908" s="3" t="n">
        <v>46321.78055555555</v>
      </c>
      <c r="AJ1908" s="2" t="inlineStr"/>
    </row>
    <row r="1909">
      <c r="A1909" s="2" t="n">
        <v>1908</v>
      </c>
      <c r="B1909" s="2" t="inlineStr">
        <is>
          <t>1806C</t>
        </is>
      </c>
      <c r="C1909" s="3" t="n">
        <v>45968.7</v>
      </c>
      <c r="D1909" s="2" t="inlineStr">
        <is>
          <t>Original</t>
        </is>
      </c>
      <c r="E1909" s="2" t="inlineStr">
        <is>
          <t>Vários</t>
        </is>
      </c>
      <c r="F1909" s="2" t="inlineStr">
        <is>
          <t>Alberto Fonseca; Ana Gabriela Cabilhas; Bruno Faria; Carolina Marques; Eva Brás Pinho; Francisco Pimentel; Hugo Carneiro; Hugo Soares; Inês Barroso; João Pedro Louro; José Lago Gonçalves; Leandro Ferreira Luís; Martim Syder; Pedro Alves; Ricardo Carlos; João Pinho de Almeida; Paulo Núncio</t>
        </is>
      </c>
      <c r="G1909" s="2" t="inlineStr">
        <is>
          <t>Art. 118.º-A (aditamento)</t>
        </is>
      </c>
      <c r="H1909" s="2" t="n"/>
      <c r="I1909" s="2" t="n"/>
      <c r="J1909" s="2" t="n"/>
      <c r="K1909" s="2" t="n"/>
      <c r="L1909" s="2" t="inlineStr">
        <is>
          <t>Artigo 118.º-A (Limitação das propinas em todos os ciclos de estudo)</t>
        </is>
      </c>
      <c r="M1909" s="4" t="n"/>
      <c r="N1909" s="4" t="n"/>
      <c r="O1909" s="2" t="n"/>
      <c r="P1909" s="2" t="n"/>
      <c r="Q1909" s="2" t="n"/>
      <c r="R1909" s="2" t="n"/>
      <c r="S1909" s="2" t="inlineStr">
        <is>
          <t>Rejeitado(a) em Plenário</t>
        </is>
      </c>
      <c r="T1909" s="2" t="inlineStr">
        <is>
          <t>Rejeitada</t>
        </is>
      </c>
      <c r="U1909" s="2" t="inlineStr">
        <is>
          <t>Favor: PSD, IL, CDS-PP; Contra: CH, PS, L, PCP, BE, PAN, JPP</t>
        </is>
      </c>
      <c r="V1909" s="3" t="n">
        <v>45987</v>
      </c>
      <c r="W1909" s="2" t="inlineStr">
        <is>
          <t>Avocada a Plenário. AR: https://www.parlamento.pt/OrcamentoEstado/Paginas/DetalhePropostaAlteracao.aspx?BID=25055 PDF: https://app.parlamento.pt/webutils/docs/doc.pdf?path=6148523063484d364c793942556b356c6443397a6158526c63793959566b6c4a544556484c3039464c7a49774d6a59794d4449314d5441774f5339515153396c4e5751774e54466c5969316a593251794c54526a4e4455745954526a5a6930345a475934597a45774d3252684f4459756347526d&amp;Fich=e5d051eb-ccd2-4c45-a4cf-8df8c103da86.pdf&amp;Inline=true</t>
        </is>
      </c>
      <c r="X1909" s="2" t="inlineStr">
        <is>
          <t>Educação e Ciência</t>
        </is>
      </c>
      <c r="Y1909" s="2" t="inlineStr">
        <is>
          <t>Articulado</t>
        </is>
      </c>
      <c r="Z1909" s="2" t="inlineStr">
        <is>
          <t>Aditamento (Artigo PPL)</t>
        </is>
      </c>
      <c r="AA1909" s="2" t="inlineStr">
        <is>
          <t>Rejeitado(a) em Plenário</t>
        </is>
      </c>
      <c r="AB1909" s="2" t="inlineStr">
        <is>
          <t>S</t>
        </is>
      </c>
      <c r="AC1909" s="2" t="inlineStr"/>
      <c r="AD1909" s="2" t="inlineStr">
        <is>
          <t>2</t>
        </is>
      </c>
      <c r="AE1909" s="2" t="inlineStr">
        <is>
          <t>25055</t>
        </is>
      </c>
      <c r="AF1909" s="2" t="inlineStr">
        <is>
          <t>https://www.parlamento.pt/OrcamentoEstado/Paginas/DetalhePropostaAlteracao.aspx?BID=25055</t>
        </is>
      </c>
      <c r="AG1909" s="2" t="inlineStr">
        <is>
          <t>https://app.parlamento.pt/webutils/docs/doc.pdf?path=6148523063484d364c793942556b356c6443397a6158526c63793959566b6c4a544556484c3039464c7a49774d6a59794d4449314d5441774f5339515153396c4e5751774e54466c5969316a593251794c54526a4e4455745954526a5a6930345a475934597a45774d3252684f4459756347526d&amp;Fich=e5d051eb-ccd2-4c45-a4cf-8df8c103da86.pdf&amp;Inline=true</t>
        </is>
      </c>
      <c r="AH1909" s="3" t="n">
        <v>46321.77847222222</v>
      </c>
      <c r="AI1909" s="3" t="n">
        <v>46321.78055555555</v>
      </c>
      <c r="AJ1909" s="2" t="inlineStr"/>
    </row>
    <row r="1910">
      <c r="A1910" s="2" t="n">
        <v>1909</v>
      </c>
      <c r="B1910" s="2" t="inlineStr">
        <is>
          <t>1807C</t>
        </is>
      </c>
      <c r="C1910" s="3" t="n">
        <v>45968.70069444444</v>
      </c>
      <c r="D1910" s="2" t="inlineStr">
        <is>
          <t>Original</t>
        </is>
      </c>
      <c r="E1910" s="2" t="inlineStr">
        <is>
          <t>PS</t>
        </is>
      </c>
      <c r="F1910" s="2" t="inlineStr">
        <is>
          <t>Francisco César</t>
        </is>
      </c>
      <c r="G1910" s="2" t="inlineStr">
        <is>
          <t>Art. 112.º-A (aditamento)</t>
        </is>
      </c>
      <c r="H1910" s="2" t="n"/>
      <c r="I1910" s="2" t="n"/>
      <c r="J1910" s="2" t="n"/>
      <c r="K1910" s="2" t="n"/>
      <c r="L1910" s="2" t="inlineStr">
        <is>
          <t>Artigo 112.º-A (Novo estabelecimento prisional de São Miguel)</t>
        </is>
      </c>
      <c r="M1910" s="4" t="n"/>
      <c r="N1910" s="4" t="n"/>
      <c r="O1910" s="2" t="n"/>
      <c r="P1910" s="2" t="n"/>
      <c r="Q1910" s="2" t="n"/>
      <c r="R1910" s="2" t="n"/>
      <c r="S1910" s="2" t="inlineStr">
        <is>
          <t>Rejeitado(a) em Comissão</t>
        </is>
      </c>
      <c r="T1910" s="2" t="inlineStr">
        <is>
          <t>Rejeitada</t>
        </is>
      </c>
      <c r="U1910" s="2" t="inlineStr">
        <is>
          <t>Favor: PS, IL, L, PCP, BE, PAN; Contra: PSD, CDS-PP; Abstenção: CH</t>
        </is>
      </c>
      <c r="V1910" s="3" t="n">
        <v>45982</v>
      </c>
      <c r="W1910" s="2" t="inlineStr">
        <is>
          <t>AR: https://www.parlamento.pt/OrcamentoEstado/Paginas/DetalhePropostaAlteracao.aspx?BID=25056 PDF: https://app.parlamento.pt/webutils/docs/doc.pdf?path=6148523063484d364c793942556b356c6443397a6158526c63793959566b6c4a544556484c3039464c7a49774d6a59794d4449314d5441774f533951515338774e544577596a5a694f433030597a41774c545133596d4d744f474a694e53316a4d6d526b4e47513159545934597a63756347526d&amp;Fich=0510b6b8-4c00-47bc-8bb5-c2dd4d5a68c7.pdf&amp;Inline=true</t>
        </is>
      </c>
      <c r="X1910" s="2" t="inlineStr">
        <is>
          <t>Orçamento, Finanças e Administração Pública</t>
        </is>
      </c>
      <c r="Y1910" s="2" t="inlineStr">
        <is>
          <t>Articulado</t>
        </is>
      </c>
      <c r="Z1910" s="2" t="inlineStr">
        <is>
          <t>Aditamento (Artigo PPL)</t>
        </is>
      </c>
      <c r="AA1910" s="2" t="inlineStr">
        <is>
          <t>Rejeitado(a) em Comissão</t>
        </is>
      </c>
      <c r="AB1910" s="2" t="inlineStr"/>
      <c r="AC1910" s="2" t="inlineStr"/>
      <c r="AD1910" s="2" t="inlineStr">
        <is>
          <t>1</t>
        </is>
      </c>
      <c r="AE1910" s="2" t="inlineStr">
        <is>
          <t>25056</t>
        </is>
      </c>
      <c r="AF1910" s="2" t="inlineStr">
        <is>
          <t>https://www.parlamento.pt/OrcamentoEstado/Paginas/DetalhePropostaAlteracao.aspx?BID=25056</t>
        </is>
      </c>
      <c r="AG1910" s="2" t="inlineStr">
        <is>
          <t>https://app.parlamento.pt/webutils/docs/doc.pdf?path=6148523063484d364c793942556b356c6443397a6158526c63793959566b6c4a544556484c3039464c7a49774d6a59794d4449314d5441774f533951515338774e544577596a5a694f433030597a41774c545133596d4d744f474a694e53316a4d6d526b4e47513159545934597a63756347526d&amp;Fich=0510b6b8-4c00-47bc-8bb5-c2dd4d5a68c7.pdf&amp;Inline=true</t>
        </is>
      </c>
      <c r="AH1910" s="3" t="n">
        <v>46321.77847222222</v>
      </c>
      <c r="AI1910" s="3" t="n">
        <v>46321.78055555555</v>
      </c>
      <c r="AJ1910" s="2" t="inlineStr"/>
    </row>
    <row r="1911">
      <c r="A1911" s="2" t="n">
        <v>1910</v>
      </c>
      <c r="B1911" s="2" t="inlineStr">
        <is>
          <t>1808C</t>
        </is>
      </c>
      <c r="C1911" s="3" t="n">
        <v>45968.70069444444</v>
      </c>
      <c r="D1911" s="2" t="inlineStr">
        <is>
          <t>Original</t>
        </is>
      </c>
      <c r="E1911" s="2" t="inlineStr">
        <is>
          <t>PS</t>
        </is>
      </c>
      <c r="F1911" s="2" t="inlineStr">
        <is>
          <t>Francisco César</t>
        </is>
      </c>
      <c r="G1911" s="2" t="inlineStr">
        <is>
          <t>Art. 112.º-A (aditamento)</t>
        </is>
      </c>
      <c r="H1911" s="2" t="n"/>
      <c r="I1911" s="2" t="n"/>
      <c r="J1911" s="2" t="n"/>
      <c r="K1911" s="2" t="n"/>
      <c r="L1911" s="2" t="inlineStr">
        <is>
          <t>Artigo 112.º-A (Revisão das Obrigações de Serviço Público no Transporte Marítimo de Mercadorias)</t>
        </is>
      </c>
      <c r="M1911" s="4" t="n"/>
      <c r="N1911" s="4" t="n"/>
      <c r="O1911" s="2" t="n"/>
      <c r="P1911" s="2" t="n"/>
      <c r="Q1911" s="2" t="n"/>
      <c r="R1911" s="2" t="n"/>
      <c r="S1911" s="2" t="inlineStr">
        <is>
          <t>Rejeitado(a) em Comissão</t>
        </is>
      </c>
      <c r="T1911" s="2" t="inlineStr">
        <is>
          <t>Rejeitada</t>
        </is>
      </c>
      <c r="U1911" s="2" t="inlineStr">
        <is>
          <t>Favor: PS, L, PCP, BE, PAN; Contra: PSD, CDS-PP; Abstenção: CH, IL</t>
        </is>
      </c>
      <c r="V1911" s="3" t="n">
        <v>45982</v>
      </c>
      <c r="W1911" s="2" t="inlineStr">
        <is>
          <t>AR: https://www.parlamento.pt/OrcamentoEstado/Paginas/DetalhePropostaAlteracao.aspx?BID=25057 PDF: https://app.parlamento.pt/webutils/docs/doc.pdf?path=6148523063484d364c793942556b356c6443397a6158526c63793959566b6c4a544556484c3039464c7a49774d6a59794d4449314d5441774f533951515338775a4445784d6d46694e533035595463774c5451774e5451744f4446684d53316b4e6a6c6a4e47466c5a6d4530597a51756347526d&amp;Fich=0d112ab5-9a70-4054-81a1-d69c4aefa4c4.pdf&amp;Inline=true</t>
        </is>
      </c>
      <c r="X1911" s="2" t="inlineStr">
        <is>
          <t>Orçamento, Finanças e Administração Pública</t>
        </is>
      </c>
      <c r="Y1911" s="2" t="inlineStr">
        <is>
          <t>Articulado</t>
        </is>
      </c>
      <c r="Z1911" s="2" t="inlineStr">
        <is>
          <t>Aditamento (Artigo PPL)</t>
        </is>
      </c>
      <c r="AA1911" s="2" t="inlineStr">
        <is>
          <t>Rejeitado(a) em Comissão</t>
        </is>
      </c>
      <c r="AB1911" s="2" t="inlineStr"/>
      <c r="AC1911" s="2" t="inlineStr"/>
      <c r="AD1911" s="2" t="inlineStr">
        <is>
          <t>1</t>
        </is>
      </c>
      <c r="AE1911" s="2" t="inlineStr">
        <is>
          <t>25057</t>
        </is>
      </c>
      <c r="AF1911" s="2" t="inlineStr">
        <is>
          <t>https://www.parlamento.pt/OrcamentoEstado/Paginas/DetalhePropostaAlteracao.aspx?BID=25057</t>
        </is>
      </c>
      <c r="AG1911" s="2" t="inlineStr">
        <is>
          <t>https://app.parlamento.pt/webutils/docs/doc.pdf?path=6148523063484d364c793942556b356c6443397a6158526c63793959566b6c4a544556484c3039464c7a49774d6a59794d4449314d5441774f533951515338775a4445784d6d46694e533035595463774c5451774e5451744f4446684d53316b4e6a6c6a4e47466c5a6d4530597a51756347526d&amp;Fich=0d112ab5-9a70-4054-81a1-d69c4aefa4c4.pdf&amp;Inline=true</t>
        </is>
      </c>
      <c r="AH1911" s="3" t="n">
        <v>46321.77847222222</v>
      </c>
      <c r="AI1911" s="3" t="n">
        <v>46321.78055555555</v>
      </c>
      <c r="AJ1911" s="2" t="inlineStr"/>
    </row>
    <row r="1912">
      <c r="A1912" s="2" t="n">
        <v>1911</v>
      </c>
      <c r="B1912" s="2" t="inlineStr">
        <is>
          <t>1809C</t>
        </is>
      </c>
      <c r="C1912" s="3" t="n">
        <v>45968.70069444444</v>
      </c>
      <c r="D1912" s="2" t="inlineStr">
        <is>
          <t>Original</t>
        </is>
      </c>
      <c r="E1912" s="2" t="inlineStr">
        <is>
          <t>CH</t>
        </is>
      </c>
      <c r="F191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912" s="2" t="inlineStr">
        <is>
          <t>Art. 136.º-A (aditamento)</t>
        </is>
      </c>
      <c r="H1912" s="2" t="n"/>
      <c r="I1912" s="2" t="n"/>
      <c r="J1912" s="2" t="n"/>
      <c r="K1912" s="2" t="n"/>
      <c r="L1912" s="2" t="inlineStr">
        <is>
          <t>Artigo 136.º-A (Alteração à Lei n.º 27/2008, de 30 de Junho)</t>
        </is>
      </c>
      <c r="M1912" s="4" t="n"/>
      <c r="N1912" s="4" t="n"/>
      <c r="O1912" s="2" t="n"/>
      <c r="P1912" s="2" t="n"/>
      <c r="Q1912" s="2" t="n"/>
      <c r="R1912" s="2" t="n"/>
      <c r="S1912" s="2" t="inlineStr">
        <is>
          <t>Rejeitado(a) em Plenário</t>
        </is>
      </c>
      <c r="T1912" s="2" t="inlineStr">
        <is>
          <t>Rejeitada</t>
        </is>
      </c>
      <c r="U1912" s="2" t="inlineStr">
        <is>
          <t>Favor: CH, PCP; Contra: PSD, PS, IL, L, CDS-PP, BE, PAN; Abstenção: JPP</t>
        </is>
      </c>
      <c r="V1912" s="3" t="n">
        <v>45988</v>
      </c>
      <c r="W1912" s="2" t="inlineStr">
        <is>
          <t>Avocada a Plenário. AR: https://www.parlamento.pt/OrcamentoEstado/Paginas/DetalhePropostaAlteracao.aspx?BID=25058 PDF: https://app.parlamento.pt/webutils/docs/doc.pdf?path=6148523063484d364c793942556b356c6443397a6158526c63793959566b6c4a544556484c3039464c7a49774d6a59794d4449314d5441774f533951515338325a445a694e32466b5a6930324e544d354c5452694d6a6b74596d45305a6930784e546b7a5a475934597a526d4e4441756347526d&amp;Fich=6d6b7adf-6539-4b29-ba4f-1593df8c4f40.pdf&amp;Inline=true</t>
        </is>
      </c>
      <c r="X1912" s="2" t="inlineStr">
        <is>
          <t>Assuntos Constitucionais, Direitos, Liberdades e Garantias</t>
        </is>
      </c>
      <c r="Y1912" s="2" t="inlineStr">
        <is>
          <t>Articulado</t>
        </is>
      </c>
      <c r="Z1912" s="2" t="inlineStr">
        <is>
          <t>Aditamento (Artigo PPL)</t>
        </is>
      </c>
      <c r="AA1912" s="2" t="inlineStr">
        <is>
          <t>Rejeitado(a) em Plenário</t>
        </is>
      </c>
      <c r="AB1912" s="2" t="inlineStr">
        <is>
          <t>S</t>
        </is>
      </c>
      <c r="AC1912" s="2" t="inlineStr"/>
      <c r="AD1912" s="2" t="inlineStr">
        <is>
          <t>2</t>
        </is>
      </c>
      <c r="AE1912" s="2" t="inlineStr">
        <is>
          <t>25058</t>
        </is>
      </c>
      <c r="AF1912" s="2" t="inlineStr">
        <is>
          <t>https://www.parlamento.pt/OrcamentoEstado/Paginas/DetalhePropostaAlteracao.aspx?BID=25058</t>
        </is>
      </c>
      <c r="AG1912" s="2" t="inlineStr">
        <is>
          <t>https://app.parlamento.pt/webutils/docs/doc.pdf?path=6148523063484d364c793942556b356c6443397a6158526c63793959566b6c4a544556484c3039464c7a49774d6a59794d4449314d5441774f533951515338325a445a694e32466b5a6930324e544d354c5452694d6a6b74596d45305a6930784e546b7a5a475934597a526d4e4441756347526d&amp;Fich=6d6b7adf-6539-4b29-ba4f-1593df8c4f40.pdf&amp;Inline=true</t>
        </is>
      </c>
      <c r="AH1912" s="3" t="n">
        <v>46321.77847222222</v>
      </c>
      <c r="AI1912" s="3" t="n">
        <v>46321.78055555555</v>
      </c>
      <c r="AJ1912" s="2" t="inlineStr"/>
    </row>
    <row r="1913">
      <c r="A1913" s="2" t="n">
        <v>1912</v>
      </c>
      <c r="B1913" s="2" t="inlineStr">
        <is>
          <t>1810C</t>
        </is>
      </c>
      <c r="C1913" s="3" t="n">
        <v>45968.70138888889</v>
      </c>
      <c r="D1913" s="2" t="inlineStr">
        <is>
          <t>Original</t>
        </is>
      </c>
      <c r="E1913" s="2" t="inlineStr">
        <is>
          <t>CH</t>
        </is>
      </c>
      <c r="F191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913" s="2" t="inlineStr">
        <is>
          <t>Art. 60.º (substituição)</t>
        </is>
      </c>
      <c r="H1913" s="2" t="n"/>
      <c r="I1913" s="2" t="n"/>
      <c r="J1913" s="2" t="n"/>
      <c r="K1913" s="2" t="n"/>
      <c r="L1913" s="2" t="inlineStr">
        <is>
          <t>Corpo, N.º 1, Artigo 78.º-D do Código do IRS</t>
        </is>
      </c>
      <c r="M1913" s="4" t="n"/>
      <c r="N1913" s="4" t="n"/>
      <c r="O1913" s="2" t="n"/>
      <c r="P1913" s="2" t="n"/>
      <c r="Q1913" s="2" t="n"/>
      <c r="R1913" s="2" t="n"/>
      <c r="S1913" s="2" t="inlineStr">
        <is>
          <t>Rejeitado(a) em Comissão</t>
        </is>
      </c>
      <c r="T1913" s="2" t="inlineStr">
        <is>
          <t>Rejeitada</t>
        </is>
      </c>
      <c r="U1913" s="2" t="inlineStr">
        <is>
          <t>Favor: CH, IL, BE, PAN; Contra: PSD, PCP, CDS-PP; Abstenção: PS, L</t>
        </is>
      </c>
      <c r="V1913" s="3" t="n">
        <v>45981</v>
      </c>
      <c r="W1913" s="2" t="inlineStr">
        <is>
          <t>AR: https://www.parlamento.pt/OrcamentoEstado/Paginas/DetalhePropostaAlteracao.aspx?BID=25059 PDF: https://app.parlamento.pt/webutils/docs/doc.pdf?path=6148523063484d364c793942556b356c6443397a6158526c63793959566b6c4a544556484c3039464c7a49774d6a59794d4449314d5441774f533951515338344d7a49324d5752685a433168596d51344c5452684d475174596a4d7a4d4330324d544a685a4749794e47566b4d4749756347526d&amp;Fich=83261dad-abd8-4a0d-b330-612adb24ed0b.pdf&amp;Inline=true</t>
        </is>
      </c>
      <c r="X1913" s="2" t="inlineStr">
        <is>
          <t>Orçamento, Finanças e Administração Pública</t>
        </is>
      </c>
      <c r="Y1913" s="2" t="inlineStr">
        <is>
          <t>Articulado</t>
        </is>
      </c>
      <c r="Z1913" s="2" t="inlineStr">
        <is>
          <t>Substituição</t>
        </is>
      </c>
      <c r="AA1913" s="2" t="inlineStr">
        <is>
          <t>Rejeitado(a) em Comissão</t>
        </is>
      </c>
      <c r="AB1913" s="2" t="inlineStr"/>
      <c r="AC1913" s="2" t="inlineStr"/>
      <c r="AD1913" s="2" t="inlineStr">
        <is>
          <t>1</t>
        </is>
      </c>
      <c r="AE1913" s="2" t="inlineStr">
        <is>
          <t>25059</t>
        </is>
      </c>
      <c r="AF1913" s="2" t="inlineStr">
        <is>
          <t>https://www.parlamento.pt/OrcamentoEstado/Paginas/DetalhePropostaAlteracao.aspx?BID=25059</t>
        </is>
      </c>
      <c r="AG1913" s="2" t="inlineStr">
        <is>
          <t>https://app.parlamento.pt/webutils/docs/doc.pdf?path=6148523063484d364c793942556b356c6443397a6158526c63793959566b6c4a544556484c3039464c7a49774d6a59794d4449314d5441774f533951515338344d7a49324d5752685a433168596d51344c5452684d475174596a4d7a4d4330324d544a685a4749794e47566b4d4749756347526d&amp;Fich=83261dad-abd8-4a0d-b330-612adb24ed0b.pdf&amp;Inline=true</t>
        </is>
      </c>
      <c r="AH1913" s="3" t="n">
        <v>46321.77847222222</v>
      </c>
      <c r="AI1913" s="3" t="n">
        <v>46321.78055555555</v>
      </c>
      <c r="AJ1913" s="2" t="inlineStr"/>
    </row>
    <row r="1914">
      <c r="A1914" s="2" t="n">
        <v>1913</v>
      </c>
      <c r="B1914" s="2" t="inlineStr">
        <is>
          <t>1811C</t>
        </is>
      </c>
      <c r="C1914" s="3" t="n">
        <v>45968.70138888889</v>
      </c>
      <c r="D1914" s="2" t="inlineStr">
        <is>
          <t>Original</t>
        </is>
      </c>
      <c r="E1914" s="2" t="inlineStr">
        <is>
          <t>L</t>
        </is>
      </c>
      <c r="F1914" s="2" t="inlineStr">
        <is>
          <t>Filipa Pinto; Isabel Mendes Lopes; Jorge Pinto; Patrícia Gonçalves; Paulo Muacho; Rui Tavares</t>
        </is>
      </c>
      <c r="G1914" s="2" t="inlineStr">
        <is>
          <t>Art. 126.º-A (aditamento)</t>
        </is>
      </c>
      <c r="H1914" s="2" t="n"/>
      <c r="I1914" s="2" t="n"/>
      <c r="J1914" s="2" t="n"/>
      <c r="K1914" s="2" t="n"/>
      <c r="L1914" s="2" t="inlineStr">
        <is>
          <t>Artigo 126.º-A (Redução das perdas de água na rede)</t>
        </is>
      </c>
      <c r="M1914" s="4" t="n"/>
      <c r="N1914" s="4" t="n"/>
      <c r="O1914" s="2" t="n"/>
      <c r="P1914" s="2" t="n"/>
      <c r="Q1914" s="2" t="n"/>
      <c r="R1914" s="2" t="n"/>
      <c r="S1914" s="2" t="inlineStr">
        <is>
          <t>Rejeitado(a) em Comissão</t>
        </is>
      </c>
      <c r="T1914" s="2" t="inlineStr">
        <is>
          <t>Rejeitada</t>
        </is>
      </c>
      <c r="U1914" s="2" t="inlineStr">
        <is>
          <t>Favor: CH, L, PCP, BE, PAN; Contra: PSD, CDS-PP; Abstenção: PS, IL</t>
        </is>
      </c>
      <c r="V1914" s="3" t="n">
        <v>45985</v>
      </c>
      <c r="W1914" s="2" t="inlineStr">
        <is>
          <t>AR: https://www.parlamento.pt/OrcamentoEstado/Paginas/DetalhePropostaAlteracao.aspx?BID=25060 PDF: https://app.parlamento.pt/webutils/docs/doc.pdf?path=6148523063484d364c793942556b356c6443397a6158526c63793959566b6c4a544556484c3039464c7a49774d6a59794d4449314d5441774f533951515338774f4467314e6a6c6d4f4331684f446c6c4c54526b4e474d74595752684f4331694e6a46694d4755324f44566b4d3249756347526d&amp;Fich=088569f8-a89e-4d4c-ada8-b61b0e685d3b.pdf&amp;Inline=true</t>
        </is>
      </c>
      <c r="X1914" s="2" t="inlineStr">
        <is>
          <t>Ambiente e Energia</t>
        </is>
      </c>
      <c r="Y1914" s="2" t="inlineStr">
        <is>
          <t>Articulado</t>
        </is>
      </c>
      <c r="Z1914" s="2" t="inlineStr">
        <is>
          <t>Aditamento (Artigo PPL)</t>
        </is>
      </c>
      <c r="AA1914" s="2" t="inlineStr">
        <is>
          <t>Rejeitado(a) em Comissão</t>
        </is>
      </c>
      <c r="AB1914" s="2" t="inlineStr"/>
      <c r="AC1914" s="2" t="inlineStr"/>
      <c r="AD1914" s="2" t="inlineStr">
        <is>
          <t>1</t>
        </is>
      </c>
      <c r="AE1914" s="2" t="inlineStr">
        <is>
          <t>25060</t>
        </is>
      </c>
      <c r="AF1914" s="2" t="inlineStr">
        <is>
          <t>https://www.parlamento.pt/OrcamentoEstado/Paginas/DetalhePropostaAlteracao.aspx?BID=25060</t>
        </is>
      </c>
      <c r="AG1914" s="2" t="inlineStr">
        <is>
          <t>https://app.parlamento.pt/webutils/docs/doc.pdf?path=6148523063484d364c793942556b356c6443397a6158526c63793959566b6c4a544556484c3039464c7a49774d6a59794d4449314d5441774f533951515338774f4467314e6a6c6d4f4331684f446c6c4c54526b4e474d74595752684f4331694e6a46694d4755324f44566b4d3249756347526d&amp;Fich=088569f8-a89e-4d4c-ada8-b61b0e685d3b.pdf&amp;Inline=true</t>
        </is>
      </c>
      <c r="AH1914" s="3" t="n">
        <v>46321.77847222222</v>
      </c>
      <c r="AI1914" s="3" t="n">
        <v>46321.78055555555</v>
      </c>
      <c r="AJ1914" s="2" t="inlineStr"/>
    </row>
    <row r="1915">
      <c r="A1915" s="2" t="n">
        <v>1914</v>
      </c>
      <c r="B1915" s="2" t="inlineStr">
        <is>
          <t>1812C</t>
        </is>
      </c>
      <c r="C1915" s="3" t="n">
        <v>45968.70138888889</v>
      </c>
      <c r="D1915" s="2" t="inlineStr">
        <is>
          <t>Original</t>
        </is>
      </c>
      <c r="E1915" s="2" t="inlineStr">
        <is>
          <t>PS</t>
        </is>
      </c>
      <c r="F1915" s="2" t="inlineStr">
        <is>
          <t>Francisco César</t>
        </is>
      </c>
      <c r="G1915" s="2" t="inlineStr">
        <is>
          <t>Art. 112.º-A (aditamento)</t>
        </is>
      </c>
      <c r="H1915" s="2" t="n"/>
      <c r="I1915" s="2" t="n"/>
      <c r="J1915" s="2" t="n"/>
      <c r="K1915" s="2" t="n"/>
      <c r="L1915" s="2" t="inlineStr">
        <is>
          <t>Artigo 112.º-A (Reforço do Efetivo da Polícia de Segurança Pública nos Açores)</t>
        </is>
      </c>
      <c r="M1915" s="4" t="n"/>
      <c r="N1915" s="4" t="n"/>
      <c r="O1915" s="2" t="n"/>
      <c r="P1915" s="2" t="n"/>
      <c r="Q1915" s="2" t="n"/>
      <c r="R1915" s="2" t="n"/>
      <c r="S1915" s="2" t="inlineStr">
        <is>
          <t>Aprovado(a) em Comissão</t>
        </is>
      </c>
      <c r="T1915" s="2" t="inlineStr">
        <is>
          <t>Aprovada</t>
        </is>
      </c>
      <c r="U1915" s="2" t="inlineStr">
        <is>
          <t>Favor: CH, PS, L, PCP, BE, PAN; Contra: PSD, CDS-PP; Abstenção: IL</t>
        </is>
      </c>
      <c r="V1915" s="3" t="n">
        <v>45982</v>
      </c>
      <c r="W1915" s="2" t="inlineStr">
        <is>
          <t>AR: https://www.parlamento.pt/OrcamentoEstado/Paginas/DetalhePropostaAlteracao.aspx?BID=25061 PDF: https://app.parlamento.pt/webutils/docs/doc.pdf?path=6148523063484d364c793942556b356c6443397a6158526c63793959566b6c4a544556484c3039464c7a49774d6a59794d4449314d5441774f5339515153396d4e4455334d7a6c6d597930324e7a4d784c54526d4e475974596d55774d69316d4d446b774d3246684e575579596d4d756347526d&amp;Fich=f45739fc-6731-4f4f-be02-f0903aa5e2bc.pdf&amp;Inline=true</t>
        </is>
      </c>
      <c r="X1915" s="2" t="inlineStr">
        <is>
          <t>Orçamento, Finanças e Administração Pública</t>
        </is>
      </c>
      <c r="Y1915" s="2" t="inlineStr">
        <is>
          <t>Articulado</t>
        </is>
      </c>
      <c r="Z1915" s="2" t="inlineStr">
        <is>
          <t>Aditamento (Artigo PPL)</t>
        </is>
      </c>
      <c r="AA1915" s="2" t="inlineStr">
        <is>
          <t>Aprovado(a) em Comissão</t>
        </is>
      </c>
      <c r="AB1915" s="2" t="inlineStr"/>
      <c r="AC1915" s="2" t="inlineStr"/>
      <c r="AD1915" s="2" t="inlineStr">
        <is>
          <t>1</t>
        </is>
      </c>
      <c r="AE1915" s="2" t="inlineStr">
        <is>
          <t>25061</t>
        </is>
      </c>
      <c r="AF1915" s="2" t="inlineStr">
        <is>
          <t>https://www.parlamento.pt/OrcamentoEstado/Paginas/DetalhePropostaAlteracao.aspx?BID=25061</t>
        </is>
      </c>
      <c r="AG1915" s="2" t="inlineStr">
        <is>
          <t>https://app.parlamento.pt/webutils/docs/doc.pdf?path=6148523063484d364c793942556b356c6443397a6158526c63793959566b6c4a544556484c3039464c7a49774d6a59794d4449314d5441774f5339515153396d4e4455334d7a6c6d597930324e7a4d784c54526d4e475974596d55774d69316d4d446b774d3246684e575579596d4d756347526d&amp;Fich=f45739fc-6731-4f4f-be02-f0903aa5e2bc.pdf&amp;Inline=true</t>
        </is>
      </c>
      <c r="AH1915" s="3" t="n">
        <v>46321.77847222222</v>
      </c>
      <c r="AI1915" s="3" t="n">
        <v>46321.78055555555</v>
      </c>
      <c r="AJ1915" s="2" t="inlineStr"/>
    </row>
    <row r="1916">
      <c r="A1916" s="2" t="n">
        <v>1915</v>
      </c>
      <c r="B1916" s="2" t="inlineStr">
        <is>
          <t>1813C</t>
        </is>
      </c>
      <c r="C1916" s="3" t="n">
        <v>45968.70138888889</v>
      </c>
      <c r="D1916" s="2" t="inlineStr">
        <is>
          <t>Original</t>
        </is>
      </c>
      <c r="E1916" s="2" t="inlineStr">
        <is>
          <t>CH</t>
        </is>
      </c>
      <c r="F191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916" s="2" t="inlineStr">
        <is>
          <t>Art. 136.º-A (aditamento)</t>
        </is>
      </c>
      <c r="H1916" s="2" t="n"/>
      <c r="I1916" s="2" t="n"/>
      <c r="J1916" s="2" t="n"/>
      <c r="K1916" s="2" t="n"/>
      <c r="L1916" s="2" t="inlineStr">
        <is>
          <t>Artigo 136.º-A (Criação de suplemento extraordinário de Valorização da Carreira Docente)</t>
        </is>
      </c>
      <c r="M1916" s="4" t="n"/>
      <c r="N1916" s="4" t="n"/>
      <c r="O1916" s="2" t="n"/>
      <c r="P1916" s="2" t="n"/>
      <c r="Q1916" s="2" t="n"/>
      <c r="R1916" s="2" t="n"/>
      <c r="S1916" s="2" t="inlineStr">
        <is>
          <t>Rejeitado(a) em Comissão</t>
        </is>
      </c>
      <c r="T1916" s="2" t="inlineStr">
        <is>
          <t>Rejeitada</t>
        </is>
      </c>
      <c r="U1916" s="2" t="inlineStr">
        <is>
          <t>Favor: CH, PAN; Contra: PSD, IL, CDS-PP; Abstenção: PS, L, PCP, BE</t>
        </is>
      </c>
      <c r="V1916" s="3" t="n">
        <v>45987</v>
      </c>
      <c r="W1916" s="2" t="inlineStr">
        <is>
          <t>AR: https://www.parlamento.pt/OrcamentoEstado/Paginas/DetalhePropostaAlteracao.aspx?BID=25062 PDF: https://app.parlamento.pt/webutils/docs/doc.pdf?path=6148523063484d364c793942556b356c6443397a6158526c63793959566b6c4a544556484c3039464c7a49774d6a59794d4449314d5441774f5339515153396d5932466a596a41314d6930334d324e684c5451794e7a55744f4456694e4330795932526b4d7a4668596a466c595455756347526d&amp;Fich=fcacb052-73ca-4275-85b4-2cdd31ab1ea5.pdf&amp;Inline=true</t>
        </is>
      </c>
      <c r="X1916" s="2" t="inlineStr">
        <is>
          <t>Educação e Ciência</t>
        </is>
      </c>
      <c r="Y1916" s="2" t="inlineStr">
        <is>
          <t>Articulado</t>
        </is>
      </c>
      <c r="Z1916" s="2" t="inlineStr">
        <is>
          <t>Aditamento (Artigo PPL)</t>
        </is>
      </c>
      <c r="AA1916" s="2" t="inlineStr">
        <is>
          <t>Rejeitado(a) em Comissão</t>
        </is>
      </c>
      <c r="AB1916" s="2" t="inlineStr"/>
      <c r="AC1916" s="2" t="inlineStr"/>
      <c r="AD1916" s="2" t="inlineStr">
        <is>
          <t>1</t>
        </is>
      </c>
      <c r="AE1916" s="2" t="inlineStr">
        <is>
          <t>25062</t>
        </is>
      </c>
      <c r="AF1916" s="2" t="inlineStr">
        <is>
          <t>https://www.parlamento.pt/OrcamentoEstado/Paginas/DetalhePropostaAlteracao.aspx?BID=25062</t>
        </is>
      </c>
      <c r="AG1916" s="2" t="inlineStr">
        <is>
          <t>https://app.parlamento.pt/webutils/docs/doc.pdf?path=6148523063484d364c793942556b356c6443397a6158526c63793959566b6c4a544556484c3039464c7a49774d6a59794d4449314d5441774f5339515153396d5932466a596a41314d6930334d324e684c5451794e7a55744f4456694e4330795932526b4d7a4668596a466c595455756347526d&amp;Fich=fcacb052-73ca-4275-85b4-2cdd31ab1ea5.pdf&amp;Inline=true</t>
        </is>
      </c>
      <c r="AH1916" s="3" t="n">
        <v>46321.77847222222</v>
      </c>
      <c r="AI1916" s="3" t="n">
        <v>46321.78055555555</v>
      </c>
      <c r="AJ1916" s="2" t="inlineStr"/>
    </row>
    <row r="1917">
      <c r="A1917" s="2" t="n">
        <v>1916</v>
      </c>
      <c r="B1917" s="2" t="inlineStr">
        <is>
          <t>1814C-1</t>
        </is>
      </c>
      <c r="C1917" s="3" t="n">
        <v>45968.70277777778</v>
      </c>
      <c r="D1917" s="2" t="inlineStr">
        <is>
          <t>Original</t>
        </is>
      </c>
      <c r="E1917" s="2" t="inlineStr">
        <is>
          <t>PS</t>
        </is>
      </c>
      <c r="F1917" s="2" t="inlineStr">
        <is>
          <t>Carlos Pereira; Emanuel Câmara</t>
        </is>
      </c>
      <c r="G1917" s="2" t="inlineStr">
        <is>
          <t>Art. 62.º (substituição)</t>
        </is>
      </c>
      <c r="H1917" s="2" t="n"/>
      <c r="I1917" s="2" t="n"/>
      <c r="J1917" s="2" t="n"/>
      <c r="K1917" s="2" t="n"/>
      <c r="L1917" s="2" t="inlineStr">
        <is>
          <t>Corpo, N.º 1, Corpo, N.º 10, Artigo 36.º-A do Estatuto do EBF</t>
        </is>
      </c>
      <c r="M1917" s="4" t="n"/>
      <c r="N1917" s="4" t="n"/>
      <c r="O1917" s="2" t="n"/>
      <c r="P1917" s="2" t="n"/>
      <c r="Q1917" s="2" t="n"/>
      <c r="R1917" s="2" t="n"/>
      <c r="S1917" s="2" t="inlineStr">
        <is>
          <t>Rejeitado(a) em Comissão</t>
        </is>
      </c>
      <c r="T1917" s="2" t="inlineStr">
        <is>
          <t>Rejeitada</t>
        </is>
      </c>
      <c r="U1917" s="2" t="inlineStr">
        <is>
          <t>Favor: PS, IL; Contra: PSD, CH, L, PCP, CDS-PP, BE, PAN</t>
        </is>
      </c>
      <c r="V1917" s="3" t="n">
        <v>45981</v>
      </c>
      <c r="W1917" s="2" t="inlineStr">
        <is>
          <t>AR: https://www.parlamento.pt/OrcamentoEstado/Paginas/DetalhePropostaAlteracao.aspx?BID=25063 PDF: https://app.parlamento.pt/webutils/docs/doc.pdf?path=6148523063484d364c793942556b356c6443397a6158526c63793959566b6c4a544556484c3039464c7a49774d6a59794d4449314d5441774f5339515153396c597a4d794f4441335a6931694e5751314c5451304e446b744f47466b4e4331684f4449344e5755335a444a684e546b756347526d&amp;Fich=ec32807f-b5d5-4449-8ad4-a8285e7d2a59.pdf&amp;Inline=true</t>
        </is>
      </c>
      <c r="X1917" s="2" t="inlineStr">
        <is>
          <t>Orçamento, Finanças e Administração Pública</t>
        </is>
      </c>
      <c r="Y1917" s="2" t="inlineStr">
        <is>
          <t>Articulado</t>
        </is>
      </c>
      <c r="Z1917" s="2" t="inlineStr">
        <is>
          <t>Substituição</t>
        </is>
      </c>
      <c r="AA1917" s="2" t="inlineStr">
        <is>
          <t>Rejeitado(a) em Comissão</t>
        </is>
      </c>
      <c r="AB1917" s="2" t="inlineStr"/>
      <c r="AC1917" s="2" t="inlineStr">
        <is>
          <t>1</t>
        </is>
      </c>
      <c r="AD1917" s="2" t="inlineStr">
        <is>
          <t>1</t>
        </is>
      </c>
      <c r="AE1917" s="2" t="inlineStr">
        <is>
          <t>25063</t>
        </is>
      </c>
      <c r="AF1917" s="2" t="inlineStr">
        <is>
          <t>https://www.parlamento.pt/OrcamentoEstado/Paginas/DetalhePropostaAlteracao.aspx?BID=25063</t>
        </is>
      </c>
      <c r="AG1917" s="2" t="inlineStr">
        <is>
          <t>https://app.parlamento.pt/webutils/docs/doc.pdf?path=6148523063484d364c793942556b356c6443397a6158526c63793959566b6c4a544556484c3039464c7a49774d6a59794d4449314d5441774f5339515153396c597a4d794f4441335a6931694e5751314c5451304e446b744f47466b4e4331684f4449344e5755335a444a684e546b756347526d&amp;Fich=ec32807f-b5d5-4449-8ad4-a8285e7d2a59.pdf&amp;Inline=true</t>
        </is>
      </c>
      <c r="AH1917" s="3" t="n">
        <v>46321.77847222222</v>
      </c>
      <c r="AI1917" s="3" t="n">
        <v>46321.78055555555</v>
      </c>
      <c r="AJ1917" s="2" t="inlineStr"/>
    </row>
    <row r="1918">
      <c r="A1918" s="2" t="n">
        <v>1917</v>
      </c>
      <c r="B1918" s="2" t="inlineStr">
        <is>
          <t>1814C-2</t>
        </is>
      </c>
      <c r="C1918" s="3" t="n">
        <v>45968.70277777778</v>
      </c>
      <c r="D1918" s="2" t="inlineStr">
        <is>
          <t>Original</t>
        </is>
      </c>
      <c r="E1918" s="2" t="inlineStr">
        <is>
          <t>PS</t>
        </is>
      </c>
      <c r="F1918" s="2" t="inlineStr">
        <is>
          <t>Carlos Pereira; Emanuel Câmara</t>
        </is>
      </c>
      <c r="G1918" s="2" t="inlineStr">
        <is>
          <t>Art. 83.º-A (aditamento)</t>
        </is>
      </c>
      <c r="H1918" s="2" t="n"/>
      <c r="I1918" s="2" t="n"/>
      <c r="J1918" s="2" t="n"/>
      <c r="K1918" s="2" t="n"/>
      <c r="L1918" s="2" t="inlineStr">
        <is>
          <t>Artigo 83.º-A (Alteração à Lei n.º 21/2021, de 20 de abril)</t>
        </is>
      </c>
      <c r="M1918" s="4" t="n"/>
      <c r="N1918" s="4" t="n"/>
      <c r="O1918" s="2" t="n"/>
      <c r="P1918" s="2" t="n"/>
      <c r="Q1918" s="2" t="n"/>
      <c r="R1918" s="2" t="n"/>
      <c r="S1918" s="2" t="inlineStr">
        <is>
          <t>Rejeitado(a) em Comissão</t>
        </is>
      </c>
      <c r="T1918" s="2" t="inlineStr">
        <is>
          <t>Rejeitada</t>
        </is>
      </c>
      <c r="U1918" s="2" t="inlineStr">
        <is>
          <t>Favor: PS, IL; Contra: PSD, CH, L, PCP, CDS-PP, BE, PAN</t>
        </is>
      </c>
      <c r="V1918" s="3" t="n">
        <v>45982</v>
      </c>
      <c r="W1918" s="2" t="inlineStr">
        <is>
          <t>AR: https://www.parlamento.pt/OrcamentoEstado/Paginas/DetalhePropostaAlteracao.aspx?BID=25361 PDF: https://app.parlamento.pt/webutils/docs/doc.pdf?path=6148523063484d364c793942556b356c6443397a6158526c63793959566b6c4a544556484c3039464c7a49774d6a59794d4449314d5441774f533951515338304d7a55774e3251345a533168597a59324c5451324e7a4d744f574934597930314d444d355a544a684e4451354e446b756347526d&amp;Fich=43507d8e-ac66-4673-9b8c-5039e2a44949.pdf&amp;Inline=true</t>
        </is>
      </c>
      <c r="X1918" s="2" t="inlineStr">
        <is>
          <t>Orçamento, Finanças e Administração Pública</t>
        </is>
      </c>
      <c r="Y1918" s="2" t="inlineStr">
        <is>
          <t>Articulado</t>
        </is>
      </c>
      <c r="Z1918" s="2" t="inlineStr">
        <is>
          <t>Aditamento (Artigo PPL)</t>
        </is>
      </c>
      <c r="AA1918" s="2" t="inlineStr">
        <is>
          <t>Rejeitado(a) em Comissão</t>
        </is>
      </c>
      <c r="AB1918" s="2" t="inlineStr"/>
      <c r="AC1918" s="2" t="inlineStr">
        <is>
          <t>2</t>
        </is>
      </c>
      <c r="AD1918" s="2" t="inlineStr">
        <is>
          <t>1</t>
        </is>
      </c>
      <c r="AE1918" s="2" t="inlineStr">
        <is>
          <t>25361</t>
        </is>
      </c>
      <c r="AF1918" s="2" t="inlineStr">
        <is>
          <t>https://www.parlamento.pt/OrcamentoEstado/Paginas/DetalhePropostaAlteracao.aspx?BID=25361</t>
        </is>
      </c>
      <c r="AG1918" s="2" t="inlineStr">
        <is>
          <t>https://app.parlamento.pt/webutils/docs/doc.pdf?path=6148523063484d364c793942556b356c6443397a6158526c63793959566b6c4a544556484c3039464c7a49774d6a59794d4449314d5441774f533951515338304d7a55774e3251345a533168597a59324c5451324e7a4d744f574934597930314d444d355a544a684e4451354e446b756347526d&amp;Fich=43507d8e-ac66-4673-9b8c-5039e2a44949.pdf&amp;Inline=true</t>
        </is>
      </c>
      <c r="AH1918" s="3" t="n">
        <v>46321.77847222222</v>
      </c>
      <c r="AI1918" s="3" t="n">
        <v>46321.78055555555</v>
      </c>
      <c r="AJ1918" s="2" t="inlineStr"/>
    </row>
    <row r="1919">
      <c r="A1919" s="2" t="n">
        <v>1918</v>
      </c>
      <c r="B1919" s="2" t="inlineStr">
        <is>
          <t>1815C</t>
        </is>
      </c>
      <c r="C1919" s="3" t="n">
        <v>45968.70277777778</v>
      </c>
      <c r="D1919" s="2" t="inlineStr">
        <is>
          <t>Original</t>
        </is>
      </c>
      <c r="E1919" s="2" t="inlineStr">
        <is>
          <t>L</t>
        </is>
      </c>
      <c r="F1919" s="2" t="inlineStr">
        <is>
          <t>Filipa Pinto; Isabel Mendes Lopes; Jorge Pinto; Patrícia Gonçalves; Paulo Muacho; Rui Tavares</t>
        </is>
      </c>
      <c r="G1919" s="2" t="inlineStr">
        <is>
          <t>Art. 63.º-A (aditamento)</t>
        </is>
      </c>
      <c r="H1919" s="2" t="n"/>
      <c r="I1919" s="2" t="n"/>
      <c r="J1919" s="2" t="n"/>
      <c r="K1919" s="2" t="n"/>
      <c r="L1919" s="2" t="inlineStr">
        <is>
          <t>Artigo 63.º-A (Aditamento ao Código do Imposto sobre o Valor Acrescentado)</t>
        </is>
      </c>
      <c r="M1919" s="4" t="n"/>
      <c r="N1919" s="4" t="n"/>
      <c r="O1919" s="2" t="n"/>
      <c r="P1919" s="2" t="n"/>
      <c r="Q1919" s="2" t="n"/>
      <c r="R1919" s="2" t="n"/>
      <c r="S1919" s="2" t="inlineStr">
        <is>
          <t>Rejeitado(a) em Comissão</t>
        </is>
      </c>
      <c r="T1919" s="2" t="inlineStr">
        <is>
          <t>Rejeitada</t>
        </is>
      </c>
      <c r="U1919" s="2" t="inlineStr">
        <is>
          <t>Favor: CH, IL, L, BE, PAN; Contra: PSD, CDS-PP; Abstenção: PS, PCP</t>
        </is>
      </c>
      <c r="V1919" s="3" t="n">
        <v>45982</v>
      </c>
      <c r="W1919" s="2" t="inlineStr">
        <is>
          <t>AR: https://www.parlamento.pt/OrcamentoEstado/Paginas/DetalhePropostaAlteracao.aspx?BID=25064 PDF: https://app.parlamento.pt/webutils/docs/doc.pdf?path=6148523063484d364c793942556b356c6443397a6158526c63793959566b6c4a544556484c3039464c7a49774d6a59794d4449314d5441774f5339515153387a4e4751794f475a695a4330304d6a646a4c5452684e3249744f4445794f5330305a6a466b4d7a686c4e575a6a4d4463756347526d&amp;Fich=34d28fbd-427c-4a7b-8129-4f1d38e5fc07.pdf&amp;Inline=true</t>
        </is>
      </c>
      <c r="X1919" s="2" t="inlineStr">
        <is>
          <t>Ambiente e Energia; Orçamento, Finanças e Administração Pública</t>
        </is>
      </c>
      <c r="Y1919" s="2" t="inlineStr">
        <is>
          <t>Articulado</t>
        </is>
      </c>
      <c r="Z1919" s="2" t="inlineStr">
        <is>
          <t>Aditamento (Artigo PPL)</t>
        </is>
      </c>
      <c r="AA1919" s="2" t="inlineStr">
        <is>
          <t>Rejeitado(a) em Comissão</t>
        </is>
      </c>
      <c r="AB1919" s="2" t="inlineStr"/>
      <c r="AC1919" s="2" t="inlineStr"/>
      <c r="AD1919" s="2" t="inlineStr">
        <is>
          <t>1</t>
        </is>
      </c>
      <c r="AE1919" s="2" t="inlineStr">
        <is>
          <t>25064</t>
        </is>
      </c>
      <c r="AF1919" s="2" t="inlineStr">
        <is>
          <t>https://www.parlamento.pt/OrcamentoEstado/Paginas/DetalhePropostaAlteracao.aspx?BID=25064</t>
        </is>
      </c>
      <c r="AG1919" s="2" t="inlineStr">
        <is>
          <t>https://app.parlamento.pt/webutils/docs/doc.pdf?path=6148523063484d364c793942556b356c6443397a6158526c63793959566b6c4a544556484c3039464c7a49774d6a59794d4449314d5441774f5339515153387a4e4751794f475a695a4330304d6a646a4c5452684e3249744f4445794f5330305a6a466b4d7a686c4e575a6a4d4463756347526d&amp;Fich=34d28fbd-427c-4a7b-8129-4f1d38e5fc07.pdf&amp;Inline=true</t>
        </is>
      </c>
      <c r="AH1919" s="3" t="n">
        <v>46321.77847222222</v>
      </c>
      <c r="AI1919" s="3" t="n">
        <v>46321.78055555555</v>
      </c>
      <c r="AJ1919" s="2" t="inlineStr"/>
    </row>
    <row r="1920">
      <c r="A1920" s="2" t="n">
        <v>1919</v>
      </c>
      <c r="B1920" s="2" t="inlineStr">
        <is>
          <t>1816C</t>
        </is>
      </c>
      <c r="C1920" s="3" t="n">
        <v>45968.70347222222</v>
      </c>
      <c r="D1920" s="2" t="inlineStr">
        <is>
          <t>Original</t>
        </is>
      </c>
      <c r="E1920" s="2" t="inlineStr">
        <is>
          <t>PAN</t>
        </is>
      </c>
      <c r="F1920" s="2" t="inlineStr">
        <is>
          <t>Inês de Sousa Real</t>
        </is>
      </c>
      <c r="G1920" s="2" t="inlineStr">
        <is>
          <t>Art. 108.º-A (aditamento)</t>
        </is>
      </c>
      <c r="H1920" s="2" t="n"/>
      <c r="I1920" s="2" t="n"/>
      <c r="J1920" s="2" t="n"/>
      <c r="K1920" s="2" t="n"/>
      <c r="L1920" s="2" t="inlineStr">
        <is>
          <t>Artigo 108.º-A (Fim de apoios públicos à tauromaquia)</t>
        </is>
      </c>
      <c r="M1920" s="4" t="n"/>
      <c r="N1920" s="4" t="n"/>
      <c r="O1920" s="2" t="n"/>
      <c r="P1920" s="2" t="n"/>
      <c r="Q1920" s="2" t="n"/>
      <c r="R1920" s="2" t="n"/>
      <c r="S1920" s="2" t="inlineStr">
        <is>
          <t>Rejeitado(a) em Comissão</t>
        </is>
      </c>
      <c r="T1920" s="2" t="inlineStr">
        <is>
          <t>Rejeitada</t>
        </is>
      </c>
      <c r="U1920" s="2" t="inlineStr">
        <is>
          <t>Favor: L, BE, PAN; Contra: PSD, CH, PCP, CDS-PP; Abstenção: PS, IL</t>
        </is>
      </c>
      <c r="V1920" s="3" t="n">
        <v>45982</v>
      </c>
      <c r="W1920" s="2" t="inlineStr">
        <is>
          <t>AR: https://www.parlamento.pt/OrcamentoEstado/Paginas/DetalhePropostaAlteracao.aspx?BID=25065 PDF: https://app.parlamento.pt/webutils/docs/doc.pdf?path=6148523063484d364c793942556b356c6443397a6158526c63793959566b6c4a544556484c3039464c7a49774d6a59794d4449314d5441774f533951515338354f4467774e47457a4d69316b4e32497a4c54526d4f5467744f574d325a533030596d4d334f574e6a597a637a5a5455756347526d&amp;Fich=98804a32-d7b3-4f98-9c6e-4bc79ccc73e5.pdf&amp;Inline=true</t>
        </is>
      </c>
      <c r="X1920" s="2" t="inlineStr">
        <is>
          <t>Agricultura e Pescas</t>
        </is>
      </c>
      <c r="Y1920" s="2" t="inlineStr">
        <is>
          <t>Articulado</t>
        </is>
      </c>
      <c r="Z1920" s="2" t="inlineStr">
        <is>
          <t>Aditamento (Artigo PPL)</t>
        </is>
      </c>
      <c r="AA1920" s="2" t="inlineStr">
        <is>
          <t>Rejeitado(a) em Comissão</t>
        </is>
      </c>
      <c r="AB1920" s="2" t="inlineStr"/>
      <c r="AC1920" s="2" t="inlineStr"/>
      <c r="AD1920" s="2" t="inlineStr">
        <is>
          <t>1</t>
        </is>
      </c>
      <c r="AE1920" s="2" t="inlineStr">
        <is>
          <t>25065</t>
        </is>
      </c>
      <c r="AF1920" s="2" t="inlineStr">
        <is>
          <t>https://www.parlamento.pt/OrcamentoEstado/Paginas/DetalhePropostaAlteracao.aspx?BID=25065</t>
        </is>
      </c>
      <c r="AG1920" s="2" t="inlineStr">
        <is>
          <t>https://app.parlamento.pt/webutils/docs/doc.pdf?path=6148523063484d364c793942556b356c6443397a6158526c63793959566b6c4a544556484c3039464c7a49774d6a59794d4449314d5441774f533951515338354f4467774e47457a4d69316b4e32497a4c54526d4f5467744f574d325a533030596d4d334f574e6a597a637a5a5455756347526d&amp;Fich=98804a32-d7b3-4f98-9c6e-4bc79ccc73e5.pdf&amp;Inline=true</t>
        </is>
      </c>
      <c r="AH1920" s="3" t="n">
        <v>46321.77847222222</v>
      </c>
      <c r="AI1920" s="3" t="n">
        <v>46321.78055555555</v>
      </c>
      <c r="AJ1920" s="2" t="inlineStr"/>
    </row>
    <row r="1921">
      <c r="A1921" s="2" t="n">
        <v>1920</v>
      </c>
      <c r="B1921" s="2" t="inlineStr">
        <is>
          <t>1817C</t>
        </is>
      </c>
      <c r="C1921" s="3" t="n">
        <v>45968.70347222222</v>
      </c>
      <c r="D1921" s="2" t="inlineStr">
        <is>
          <t>Original</t>
        </is>
      </c>
      <c r="E1921" s="2" t="inlineStr">
        <is>
          <t>L</t>
        </is>
      </c>
      <c r="F1921" s="2" t="inlineStr">
        <is>
          <t>Filipa Pinto; Isabel Mendes Lopes; Jorge Pinto; Patrícia Gonçalves; Paulo Muacho; Rui Tavares</t>
        </is>
      </c>
      <c r="G1921" s="2" t="inlineStr">
        <is>
          <t>Art. 112.º-A (aditamento)</t>
        </is>
      </c>
      <c r="H1921" s="2" t="n"/>
      <c r="I1921" s="2" t="n"/>
      <c r="J1921" s="2" t="n"/>
      <c r="K1921" s="2" t="n"/>
      <c r="L1921" s="2" t="inlineStr">
        <is>
          <t>Artigo 112.º-A (Reforço de meios e de recursos humanos para as políticas públicas de habitação)</t>
        </is>
      </c>
      <c r="M1921" s="4" t="n"/>
      <c r="N1921" s="4" t="n"/>
      <c r="O1921" s="2" t="n"/>
      <c r="P1921" s="2" t="n"/>
      <c r="Q1921" s="2" t="n"/>
      <c r="R1921" s="2" t="n"/>
      <c r="S1921" s="2" t="inlineStr">
        <is>
          <t>Rejeitado(a) em Comissão</t>
        </is>
      </c>
      <c r="T1921" s="2" t="inlineStr">
        <is>
          <t>Rejeitada</t>
        </is>
      </c>
      <c r="U1921" s="2" t="inlineStr">
        <is>
          <t>Favor: L, PCP, BE, PAN; Contra: PSD, IL, CDS-PP; Abstenção: CH, PS</t>
        </is>
      </c>
      <c r="V1921" s="3" t="n">
        <v>45987</v>
      </c>
      <c r="W1921" s="2" t="inlineStr">
        <is>
          <t>AR: https://www.parlamento.pt/OrcamentoEstado/Paginas/DetalhePropostaAlteracao.aspx?BID=25066 PDF: https://app.parlamento.pt/webutils/docs/doc.pdf?path=6148523063484d364c793942556b356c6443397a6158526c63793959566b6c4a544556484c3039464c7a49774d6a59794d4449314d5441774f533951515338794e6a4e685a4749354d4330334e5459774c5451344d544974596d45784f53316b4e325931597a4e6b596a4d7a4e6a51756347526d&amp;Fich=263adb90-7560-4812-ba19-d7f5c3db3364.pdf&amp;Inline=true</t>
        </is>
      </c>
      <c r="X1921" s="2" t="inlineStr">
        <is>
          <t>Infraestruturas, Mobilidade e Habitação</t>
        </is>
      </c>
      <c r="Y1921" s="2" t="inlineStr">
        <is>
          <t>Articulado</t>
        </is>
      </c>
      <c r="Z1921" s="2" t="inlineStr">
        <is>
          <t>Aditamento (Artigo PPL)</t>
        </is>
      </c>
      <c r="AA1921" s="2" t="inlineStr">
        <is>
          <t>Rejeitado(a) em Comissão</t>
        </is>
      </c>
      <c r="AB1921" s="2" t="inlineStr"/>
      <c r="AC1921" s="2" t="inlineStr"/>
      <c r="AD1921" s="2" t="inlineStr">
        <is>
          <t>1</t>
        </is>
      </c>
      <c r="AE1921" s="2" t="inlineStr">
        <is>
          <t>25066</t>
        </is>
      </c>
      <c r="AF1921" s="2" t="inlineStr">
        <is>
          <t>https://www.parlamento.pt/OrcamentoEstado/Paginas/DetalhePropostaAlteracao.aspx?BID=25066</t>
        </is>
      </c>
      <c r="AG1921" s="2" t="inlineStr">
        <is>
          <t>https://app.parlamento.pt/webutils/docs/doc.pdf?path=6148523063484d364c793942556b356c6443397a6158526c63793959566b6c4a544556484c3039464c7a49774d6a59794d4449314d5441774f533951515338794e6a4e685a4749354d4330334e5459774c5451344d544974596d45784f53316b4e325931597a4e6b596a4d7a4e6a51756347526d&amp;Fich=263adb90-7560-4812-ba19-d7f5c3db3364.pdf&amp;Inline=true</t>
        </is>
      </c>
      <c r="AH1921" s="3" t="n">
        <v>46321.77847222222</v>
      </c>
      <c r="AI1921" s="3" t="n">
        <v>46321.78055555555</v>
      </c>
      <c r="AJ1921" s="2" t="inlineStr"/>
    </row>
    <row r="1922">
      <c r="A1922" s="2" t="n">
        <v>1921</v>
      </c>
      <c r="B1922" s="2" t="inlineStr">
        <is>
          <t>1818C</t>
        </is>
      </c>
      <c r="C1922" s="3" t="n">
        <v>45968.70416666667</v>
      </c>
      <c r="D1922" s="2" t="inlineStr">
        <is>
          <t>Original</t>
        </is>
      </c>
      <c r="E1922" s="2" t="inlineStr">
        <is>
          <t>PS</t>
        </is>
      </c>
      <c r="F1922" s="2" t="inlineStr">
        <is>
          <t>Emanuel Câmara</t>
        </is>
      </c>
      <c r="G1922" s="2" t="inlineStr">
        <is>
          <t>Art. 110.º-A (aditamento)</t>
        </is>
      </c>
      <c r="H1922" s="2" t="n"/>
      <c r="I1922" s="2" t="n"/>
      <c r="J1922" s="2" t="n"/>
      <c r="K1922" s="2" t="n"/>
      <c r="L1922" s="2" t="inlineStr">
        <is>
          <t>Artigo 110.º-A (Apuramento dos encargos com a prestação de cuidados de saúde suportados pelas regiões autónomas relativos aos beneficiários dos subsistemas de saúde)</t>
        </is>
      </c>
      <c r="M1922" s="4" t="n"/>
      <c r="N1922" s="4" t="n"/>
      <c r="O1922" s="2" t="n"/>
      <c r="P1922" s="2" t="n"/>
      <c r="Q1922" s="2" t="n"/>
      <c r="R1922" s="2" t="n"/>
      <c r="S1922" s="2" t="inlineStr">
        <is>
          <t>Aprovado(a) Parcialmente em Comissão</t>
        </is>
      </c>
      <c r="T1922" s="2" t="inlineStr">
        <is>
          <t>Aprovada parcialmente</t>
        </is>
      </c>
      <c r="U1922" s="2" t="inlineStr">
        <is>
          <t>Favor: PSD, PS, IL, L, PCP, CDS-PP, BE, PAN; Abstenção: CH</t>
        </is>
      </c>
      <c r="V1922" s="3" t="n">
        <v>45982</v>
      </c>
      <c r="W1922" s="2" t="inlineStr">
        <is>
          <t>AR: https://www.parlamento.pt/OrcamentoEstado/Paginas/DetalhePropostaAlteracao.aspx?BID=25067 PDF: https://app.parlamento.pt/webutils/docs/doc.pdf?path=6148523063484d364c793942556b356c6443397a6158526c63793959566b6c4a544556484c3039464c7a49774d6a59794d4449314d5441774f533951515338314d6d4e694e474d774d79316d5a5745774c5451334d544974595441784d433033596a59324d544a6959324a6a4d7a63756347526d&amp;Fich=52cb4c03-fea0-4712-a010-7b6612bcbc37.pdf&amp;Inline=true</t>
        </is>
      </c>
      <c r="X1922" s="2" t="inlineStr">
        <is>
          <t>Orçamento, Finanças e Administração Pública</t>
        </is>
      </c>
      <c r="Y1922" s="2" t="inlineStr">
        <is>
          <t>Articulado</t>
        </is>
      </c>
      <c r="Z1922" s="2" t="inlineStr">
        <is>
          <t>Aditamento (Artigo PPL)</t>
        </is>
      </c>
      <c r="AA1922" s="2" t="inlineStr">
        <is>
          <t>Aprovado(a) Parcialmente em Comissão</t>
        </is>
      </c>
      <c r="AB1922" s="2" t="inlineStr"/>
      <c r="AC1922" s="2" t="inlineStr"/>
      <c r="AD1922" s="2" t="inlineStr">
        <is>
          <t>1</t>
        </is>
      </c>
      <c r="AE1922" s="2" t="inlineStr">
        <is>
          <t>25067</t>
        </is>
      </c>
      <c r="AF1922" s="2" t="inlineStr">
        <is>
          <t>https://www.parlamento.pt/OrcamentoEstado/Paginas/DetalhePropostaAlteracao.aspx?BID=25067</t>
        </is>
      </c>
      <c r="AG1922" s="2" t="inlineStr">
        <is>
          <t>https://app.parlamento.pt/webutils/docs/doc.pdf?path=6148523063484d364c793942556b356c6443397a6158526c63793959566b6c4a544556484c3039464c7a49774d6a59794d4449314d5441774f533951515338314d6d4e694e474d774d79316d5a5745774c5451334d544974595441784d433033596a59324d544a6959324a6a4d7a63756347526d&amp;Fich=52cb4c03-fea0-4712-a010-7b6612bcbc37.pdf&amp;Inline=true</t>
        </is>
      </c>
      <c r="AH1922" s="3" t="n">
        <v>46321.77847222222</v>
      </c>
      <c r="AI1922" s="3" t="n">
        <v>46321.78055555555</v>
      </c>
      <c r="AJ1922" s="2" t="inlineStr"/>
    </row>
    <row r="1923">
      <c r="A1923" s="2" t="n">
        <v>1922</v>
      </c>
      <c r="B1923" s="2" t="inlineStr">
        <is>
          <t>1819C</t>
        </is>
      </c>
      <c r="C1923" s="3" t="n">
        <v>45968.70416666667</v>
      </c>
      <c r="D1923" s="2" t="inlineStr">
        <is>
          <t>Original</t>
        </is>
      </c>
      <c r="E1923" s="2" t="inlineStr">
        <is>
          <t>CH</t>
        </is>
      </c>
      <c r="F192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923" s="2" t="inlineStr">
        <is>
          <t>Art. 62.º-A (aditamento)</t>
        </is>
      </c>
      <c r="H1923" s="2" t="n"/>
      <c r="I1923" s="2" t="n"/>
      <c r="J1923" s="2" t="n"/>
      <c r="K1923" s="2" t="n"/>
      <c r="L1923" s="2" t="inlineStr">
        <is>
          <t>Artigo 62.º-A (Alteração ao Código do Imposto Municipal sobre Imóveis)</t>
        </is>
      </c>
      <c r="M1923" s="4" t="n"/>
      <c r="N1923" s="4" t="n"/>
      <c r="O1923" s="2" t="n"/>
      <c r="P1923" s="2" t="n"/>
      <c r="Q1923" s="2" t="n"/>
      <c r="R1923" s="2" t="n"/>
      <c r="S1923" s="2" t="inlineStr">
        <is>
          <t>Rejeitado(a) em Comissão</t>
        </is>
      </c>
      <c r="T1923" s="2" t="inlineStr">
        <is>
          <t>Rejeitada</t>
        </is>
      </c>
      <c r="U1923" s="2" t="inlineStr">
        <is>
          <t>Favor: CH; Contra: PSD, PCP, CDS-PP, BE; Abstenção: PS, IL, L, PAN</t>
        </is>
      </c>
      <c r="V1923" s="3" t="n">
        <v>45981</v>
      </c>
      <c r="W1923" s="2" t="inlineStr">
        <is>
          <t>AR: https://www.parlamento.pt/OrcamentoEstado/Paginas/DetalhePropostaAlteracao.aspx?BID=25068 PDF: https://app.parlamento.pt/webutils/docs/doc.pdf?path=6148523063484d364c793942556b356c6443397a6158526c63793959566b6c4a544556484c3039464c7a49774d6a59794d4449314d5441774f5339515153396d4d6a6b784d4459344e6930335a6d4a6c4c5451774e325574596a63315a53316b4e6a55775a6d4978596a42685a6a6b756347526d&amp;Fich=f2910686-7fbe-407e-b75e-d650fb1b0af9.pdf&amp;Inline=true</t>
        </is>
      </c>
      <c r="X1923" s="2" t="inlineStr">
        <is>
          <t>Orçamento, Finanças e Administração Pública</t>
        </is>
      </c>
      <c r="Y1923" s="2" t="inlineStr">
        <is>
          <t>Articulado</t>
        </is>
      </c>
      <c r="Z1923" s="2" t="inlineStr">
        <is>
          <t>Aditamento (Artigo PPL)</t>
        </is>
      </c>
      <c r="AA1923" s="2" t="inlineStr">
        <is>
          <t>Rejeitado(a) em Comissão</t>
        </is>
      </c>
      <c r="AB1923" s="2" t="inlineStr"/>
      <c r="AC1923" s="2" t="inlineStr"/>
      <c r="AD1923" s="2" t="inlineStr">
        <is>
          <t>1</t>
        </is>
      </c>
      <c r="AE1923" s="2" t="inlineStr">
        <is>
          <t>25068</t>
        </is>
      </c>
      <c r="AF1923" s="2" t="inlineStr">
        <is>
          <t>https://www.parlamento.pt/OrcamentoEstado/Paginas/DetalhePropostaAlteracao.aspx?BID=25068</t>
        </is>
      </c>
      <c r="AG1923" s="2" t="inlineStr">
        <is>
          <t>https://app.parlamento.pt/webutils/docs/doc.pdf?path=6148523063484d364c793942556b356c6443397a6158526c63793959566b6c4a544556484c3039464c7a49774d6a59794d4449314d5441774f5339515153396d4d6a6b784d4459344e6930335a6d4a6c4c5451774e325574596a63315a53316b4e6a55775a6d4978596a42685a6a6b756347526d&amp;Fich=f2910686-7fbe-407e-b75e-d650fb1b0af9.pdf&amp;Inline=true</t>
        </is>
      </c>
      <c r="AH1923" s="3" t="n">
        <v>46321.77847222222</v>
      </c>
      <c r="AI1923" s="3" t="n">
        <v>46321.78055555555</v>
      </c>
      <c r="AJ1923" s="2" t="inlineStr"/>
    </row>
    <row r="1924">
      <c r="A1924" s="2" t="n">
        <v>1923</v>
      </c>
      <c r="B1924" s="2" t="inlineStr">
        <is>
          <t>1820C</t>
        </is>
      </c>
      <c r="C1924" s="3" t="n">
        <v>45968.70416666667</v>
      </c>
      <c r="D1924" s="2" t="inlineStr">
        <is>
          <t>Original</t>
        </is>
      </c>
      <c r="E1924" s="2" t="inlineStr">
        <is>
          <t>BE</t>
        </is>
      </c>
      <c r="F1924" s="2" t="inlineStr">
        <is>
          <t>Mariana Mortágua</t>
        </is>
      </c>
      <c r="G1924" s="2" t="inlineStr">
        <is>
          <t>Art. 113.º-A (aditamento)</t>
        </is>
      </c>
      <c r="H1924" s="2" t="n"/>
      <c r="I1924" s="2" t="n"/>
      <c r="J1924" s="2" t="n"/>
      <c r="K1924" s="2" t="n"/>
      <c r="L1924" s="2" t="inlineStr">
        <is>
          <t>Artigo 113.º-A (Requalificação do Mosteiro de Rendufe)</t>
        </is>
      </c>
      <c r="M1924" s="4" t="n"/>
      <c r="N1924" s="4" t="n"/>
      <c r="O1924" s="2" t="n"/>
      <c r="P1924" s="2" t="n"/>
      <c r="Q1924" s="2" t="n"/>
      <c r="R1924" s="2" t="n"/>
      <c r="S1924" s="2" t="inlineStr">
        <is>
          <t>Rejeitado(a) em Comissão</t>
        </is>
      </c>
      <c r="T1924" s="2" t="inlineStr">
        <is>
          <t>Rejeitada</t>
        </is>
      </c>
      <c r="U1924" s="2" t="inlineStr">
        <is>
          <t>Favor: CH, IL, L, PCP, BE, PAN; Contra: PSD, CDS-PP; Abstenção: PS</t>
        </is>
      </c>
      <c r="V1924" s="3" t="n">
        <v>45985</v>
      </c>
      <c r="W1924" s="2" t="inlineStr">
        <is>
          <t>AR: https://www.parlamento.pt/OrcamentoEstado/Paginas/DetalhePropostaAlteracao.aspx?BID=25069 PDF: https://app.parlamento.pt/webutils/docs/doc.pdf?path=6148523063484d364c793942556b356c6443397a6158526c63793959566b6c4a544556484c3039464c7a49774d6a59794d4449314d5441774f533951515338305a6a51795a4751775a5330335a5751794c54517a4f475574595451354e43307a4d6a45315a446b314e544a6b5a5751756347526d&amp;Fich=4f42dd0e-7ed2-438e-a494-3215d9552ded.pdf&amp;Inline=true</t>
        </is>
      </c>
      <c r="X1924" s="2" t="inlineStr">
        <is>
          <t>Cultura, Comunicação, Juventude e Desporto</t>
        </is>
      </c>
      <c r="Y1924" s="2" t="inlineStr">
        <is>
          <t>Articulado</t>
        </is>
      </c>
      <c r="Z1924" s="2" t="inlineStr">
        <is>
          <t>Aditamento (Artigo PPL)</t>
        </is>
      </c>
      <c r="AA1924" s="2" t="inlineStr">
        <is>
          <t>Rejeitado(a) em Comissão</t>
        </is>
      </c>
      <c r="AB1924" s="2" t="inlineStr"/>
      <c r="AC1924" s="2" t="inlineStr"/>
      <c r="AD1924" s="2" t="inlineStr">
        <is>
          <t>1</t>
        </is>
      </c>
      <c r="AE1924" s="2" t="inlineStr">
        <is>
          <t>25069</t>
        </is>
      </c>
      <c r="AF1924" s="2" t="inlineStr">
        <is>
          <t>https://www.parlamento.pt/OrcamentoEstado/Paginas/DetalhePropostaAlteracao.aspx?BID=25069</t>
        </is>
      </c>
      <c r="AG1924" s="2" t="inlineStr">
        <is>
          <t>https://app.parlamento.pt/webutils/docs/doc.pdf?path=6148523063484d364c793942556b356c6443397a6158526c63793959566b6c4a544556484c3039464c7a49774d6a59794d4449314d5441774f533951515338305a6a51795a4751775a5330335a5751794c54517a4f475574595451354e43307a4d6a45315a446b314e544a6b5a5751756347526d&amp;Fich=4f42dd0e-7ed2-438e-a494-3215d9552ded.pdf&amp;Inline=true</t>
        </is>
      </c>
      <c r="AH1924" s="3" t="n">
        <v>46321.77847222222</v>
      </c>
      <c r="AI1924" s="3" t="n">
        <v>46321.78055555555</v>
      </c>
      <c r="AJ1924" s="2" t="inlineStr"/>
    </row>
    <row r="1925">
      <c r="A1925" s="2" t="n">
        <v>1924</v>
      </c>
      <c r="B1925" s="2" t="inlineStr">
        <is>
          <t>1821C</t>
        </is>
      </c>
      <c r="C1925" s="3" t="n">
        <v>45968.70486111111</v>
      </c>
      <c r="D1925" s="2" t="inlineStr">
        <is>
          <t>Original</t>
        </is>
      </c>
      <c r="E1925" s="2" t="inlineStr">
        <is>
          <t>PS</t>
        </is>
      </c>
      <c r="F1925" s="2" t="inlineStr">
        <is>
          <t>Emanuel Câmara</t>
        </is>
      </c>
      <c r="G1925" s="2" t="inlineStr">
        <is>
          <t>Art. 110.º-A (aditamento)</t>
        </is>
      </c>
      <c r="H1925" s="2" t="n"/>
      <c r="I1925" s="2" t="n"/>
      <c r="J1925" s="2" t="n"/>
      <c r="K1925" s="2" t="n"/>
      <c r="L1925" s="2" t="inlineStr">
        <is>
          <t>Artigo 110.º-A (Antigo Centro Educativo da Madeira)</t>
        </is>
      </c>
      <c r="M1925" s="4" t="n"/>
      <c r="N1925" s="4" t="n"/>
      <c r="O1925" s="2" t="n"/>
      <c r="P1925" s="2" t="n"/>
      <c r="Q1925" s="2" t="n"/>
      <c r="R1925" s="2" t="n"/>
      <c r="S1925" s="2" t="inlineStr">
        <is>
          <t>Aprovado(a) em Comissão</t>
        </is>
      </c>
      <c r="T1925" s="2" t="inlineStr">
        <is>
          <t>Aprovada</t>
        </is>
      </c>
      <c r="U1925" s="2" t="inlineStr">
        <is>
          <t>Favor: PSD, PS, L, PCP, CDS-PP, BE, PAN; Contra: CH, IL</t>
        </is>
      </c>
      <c r="V1925" s="3" t="n">
        <v>45982</v>
      </c>
      <c r="W1925" s="2" t="inlineStr">
        <is>
          <t>AR: https://www.parlamento.pt/OrcamentoEstado/Paginas/DetalhePropostaAlteracao.aspx?BID=25070 PDF: https://app.parlamento.pt/webutils/docs/doc.pdf?path=6148523063484d364c793942556b356c6443397a6158526c63793959566b6c4a544556484c3039464c7a49774d6a59794d4449314d5441774f5339515153396b4e3249345a6d45324e6930324d544d344c5452685954637459575a685a43316d5a6a63304d474e6d4d54526c5a5751756347526d&amp;Fich=d7b8fa66-6138-4aa7-afad-ff740cf14eed.pdf&amp;Inline=true</t>
        </is>
      </c>
      <c r="X1925" s="2" t="inlineStr">
        <is>
          <t>Orçamento, Finanças e Administração Pública</t>
        </is>
      </c>
      <c r="Y1925" s="2" t="inlineStr">
        <is>
          <t>Articulado</t>
        </is>
      </c>
      <c r="Z1925" s="2" t="inlineStr">
        <is>
          <t>Aditamento (Artigo PPL)</t>
        </is>
      </c>
      <c r="AA1925" s="2" t="inlineStr">
        <is>
          <t>Aprovado(a) em Comissão</t>
        </is>
      </c>
      <c r="AB1925" s="2" t="inlineStr"/>
      <c r="AC1925" s="2" t="inlineStr"/>
      <c r="AD1925" s="2" t="inlineStr">
        <is>
          <t>1</t>
        </is>
      </c>
      <c r="AE1925" s="2" t="inlineStr">
        <is>
          <t>25070</t>
        </is>
      </c>
      <c r="AF1925" s="2" t="inlineStr">
        <is>
          <t>https://www.parlamento.pt/OrcamentoEstado/Paginas/DetalhePropostaAlteracao.aspx?BID=25070</t>
        </is>
      </c>
      <c r="AG1925" s="2" t="inlineStr">
        <is>
          <t>https://app.parlamento.pt/webutils/docs/doc.pdf?path=6148523063484d364c793942556b356c6443397a6158526c63793959566b6c4a544556484c3039464c7a49774d6a59794d4449314d5441774f5339515153396b4e3249345a6d45324e6930324d544d344c5452685954637459575a685a43316d5a6a63304d474e6d4d54526c5a5751756347526d&amp;Fich=d7b8fa66-6138-4aa7-afad-ff740cf14eed.pdf&amp;Inline=true</t>
        </is>
      </c>
      <c r="AH1925" s="3" t="n">
        <v>46321.77847222222</v>
      </c>
      <c r="AI1925" s="3" t="n">
        <v>46321.78055555555</v>
      </c>
      <c r="AJ1925" s="2" t="inlineStr"/>
    </row>
    <row r="1926">
      <c r="A1926" s="2" t="n">
        <v>1925</v>
      </c>
      <c r="B1926" s="2" t="inlineStr">
        <is>
          <t>1822C</t>
        </is>
      </c>
      <c r="C1926" s="3" t="n">
        <v>45968.70486111111</v>
      </c>
      <c r="D1926" s="2" t="inlineStr">
        <is>
          <t>Original</t>
        </is>
      </c>
      <c r="E1926" s="2" t="inlineStr">
        <is>
          <t>L</t>
        </is>
      </c>
      <c r="F1926" s="2" t="inlineStr">
        <is>
          <t>Filipa Pinto; Isabel Mendes Lopes; Jorge Pinto; Patrícia Gonçalves; Paulo Muacho; Rui Tavares</t>
        </is>
      </c>
      <c r="G1926" s="2" t="inlineStr">
        <is>
          <t>Art. 113.º-A (aditamento)</t>
        </is>
      </c>
      <c r="H1926" s="2" t="n"/>
      <c r="I1926" s="2" t="n"/>
      <c r="J1926" s="2" t="n"/>
      <c r="K1926" s="2" t="n"/>
      <c r="L1926" s="2" t="inlineStr">
        <is>
          <t>Artigo 113.º-A (Ensino de Português Nível Zero a crianças e jovens migrantes recém-chegados)</t>
        </is>
      </c>
      <c r="M1926" s="4" t="n"/>
      <c r="N1926" s="4" t="n"/>
      <c r="O1926" s="2" t="n"/>
      <c r="P1926" s="2" t="n"/>
      <c r="Q1926" s="2" t="n"/>
      <c r="R1926" s="2" t="n"/>
      <c r="S1926" s="2" t="inlineStr">
        <is>
          <t>Rejeitado(a) em Comissão</t>
        </is>
      </c>
      <c r="T1926" s="2" t="inlineStr">
        <is>
          <t>Rejeitada</t>
        </is>
      </c>
      <c r="U1926" s="2" t="inlineStr">
        <is>
          <t>Favor: PS, L, PCP, BE, PAN; Contra: PSD, CH, CDS-PP; Abstenção: IL</t>
        </is>
      </c>
      <c r="V1926" s="3" t="n">
        <v>45985</v>
      </c>
      <c r="W1926" s="2" t="inlineStr">
        <is>
          <t>AR: https://www.parlamento.pt/OrcamentoEstado/Paginas/DetalhePropostaAlteracao.aspx?BID=25071 PDF: https://app.parlamento.pt/webutils/docs/doc.pdf?path=6148523063484d364c793942556b356c6443397a6158526c63793959566b6c4a544556484c3039464c7a49774d6a59794d4449314d5441774f533951515338335954686a593249344d433078595449334c545132593249744f574d334e79316b596d52695a4759784e5449354f474d756347526d&amp;Fich=7a8ccb80-1a27-46cb-9c77-dbdbdf15298c.pdf&amp;Inline=true</t>
        </is>
      </c>
      <c r="X1926" s="2" t="inlineStr">
        <is>
          <t>Educação e Ciência</t>
        </is>
      </c>
      <c r="Y1926" s="2" t="inlineStr">
        <is>
          <t>Articulado</t>
        </is>
      </c>
      <c r="Z1926" s="2" t="inlineStr">
        <is>
          <t>Aditamento (Artigo PPL)</t>
        </is>
      </c>
      <c r="AA1926" s="2" t="inlineStr">
        <is>
          <t>Rejeitado(a) em Comissão</t>
        </is>
      </c>
      <c r="AB1926" s="2" t="inlineStr"/>
      <c r="AC1926" s="2" t="inlineStr"/>
      <c r="AD1926" s="2" t="inlineStr">
        <is>
          <t>1</t>
        </is>
      </c>
      <c r="AE1926" s="2" t="inlineStr">
        <is>
          <t>25071</t>
        </is>
      </c>
      <c r="AF1926" s="2" t="inlineStr">
        <is>
          <t>https://www.parlamento.pt/OrcamentoEstado/Paginas/DetalhePropostaAlteracao.aspx?BID=25071</t>
        </is>
      </c>
      <c r="AG1926" s="2" t="inlineStr">
        <is>
          <t>https://app.parlamento.pt/webutils/docs/doc.pdf?path=6148523063484d364c793942556b356c6443397a6158526c63793959566b6c4a544556484c3039464c7a49774d6a59794d4449314d5441774f533951515338335954686a593249344d433078595449334c545132593249744f574d334e79316b596d52695a4759784e5449354f474d756347526d&amp;Fich=7a8ccb80-1a27-46cb-9c77-dbdbdf15298c.pdf&amp;Inline=true</t>
        </is>
      </c>
      <c r="AH1926" s="3" t="n">
        <v>46321.77847222222</v>
      </c>
      <c r="AI1926" s="3" t="n">
        <v>46321.78055555555</v>
      </c>
      <c r="AJ1926" s="2" t="inlineStr"/>
    </row>
    <row r="1927">
      <c r="A1927" s="2" t="n">
        <v>1926</v>
      </c>
      <c r="B1927" s="2" t="inlineStr">
        <is>
          <t>1823C</t>
        </is>
      </c>
      <c r="C1927" s="3" t="n">
        <v>45968.70486111111</v>
      </c>
      <c r="D1927" s="2" t="inlineStr">
        <is>
          <t>Original</t>
        </is>
      </c>
      <c r="E1927" s="2" t="inlineStr">
        <is>
          <t>CH</t>
        </is>
      </c>
      <c r="F192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927" s="2" t="inlineStr">
        <is>
          <t>Art. 63.º (aditamento)</t>
        </is>
      </c>
      <c r="H1927" s="2" t="n"/>
      <c r="I1927" s="2" t="n"/>
      <c r="J1927" s="2" t="n"/>
      <c r="K1927" s="2" t="n"/>
      <c r="L1927" s="2" t="inlineStr">
        <is>
          <t>Verba 2.42, Lista I anexa ao código do IVA</t>
        </is>
      </c>
      <c r="M1927" s="4" t="n"/>
      <c r="N1927" s="4" t="n"/>
      <c r="O1927" s="2" t="n"/>
      <c r="P1927" s="2" t="n"/>
      <c r="Q1927" s="2" t="n"/>
      <c r="R1927" s="2" t="n"/>
      <c r="S1927" s="2" t="inlineStr">
        <is>
          <t>Rejeitado(a) em Comissão</t>
        </is>
      </c>
      <c r="T1927" s="2" t="inlineStr">
        <is>
          <t>Rejeitada</t>
        </is>
      </c>
      <c r="U1927" s="2" t="inlineStr">
        <is>
          <t>Favor: CH, IL, PAN; Contra: PSD, PCP, CDS-PP; Abstenção: PS, L, BE</t>
        </is>
      </c>
      <c r="V1927" s="3" t="n">
        <v>45982</v>
      </c>
      <c r="W1927" s="2" t="inlineStr">
        <is>
          <t>AR: https://www.parlamento.pt/OrcamentoEstado/Paginas/DetalhePropostaAlteracao.aspx?BID=25072 PDF: https://app.parlamento.pt/webutils/docs/doc.pdf?path=6148523063484d364c793942556b356c6443397a6158526c63793959566b6c4a544556484c3039464c7a49774d6a59794d4449314d5441774f533951515338784e5449324e474e6c5a433169597a6b354c5451304f4751744f5451354d7930335a6a557a4d5445794d6a6c6c4d324d756347526d&amp;Fich=15264ced-bc99-448d-9493-7f5311229e3c.pdf&amp;Inline=true</t>
        </is>
      </c>
      <c r="X1927" s="2" t="inlineStr">
        <is>
          <t>Orçamento, Finanças e Administração Pública</t>
        </is>
      </c>
      <c r="Y1927" s="2" t="inlineStr">
        <is>
          <t>Articulado</t>
        </is>
      </c>
      <c r="Z1927" s="2" t="inlineStr">
        <is>
          <t>Aditamento (Números e Alíneas)</t>
        </is>
      </c>
      <c r="AA1927" s="2" t="inlineStr">
        <is>
          <t>Rejeitado(a) em Comissão</t>
        </is>
      </c>
      <c r="AB1927" s="2" t="inlineStr"/>
      <c r="AC1927" s="2" t="inlineStr"/>
      <c r="AD1927" s="2" t="inlineStr">
        <is>
          <t>1</t>
        </is>
      </c>
      <c r="AE1927" s="2" t="inlineStr">
        <is>
          <t>25072</t>
        </is>
      </c>
      <c r="AF1927" s="2" t="inlineStr">
        <is>
          <t>https://www.parlamento.pt/OrcamentoEstado/Paginas/DetalhePropostaAlteracao.aspx?BID=25072</t>
        </is>
      </c>
      <c r="AG1927" s="2" t="inlineStr">
        <is>
          <t>https://app.parlamento.pt/webutils/docs/doc.pdf?path=6148523063484d364c793942556b356c6443397a6158526c63793959566b6c4a544556484c3039464c7a49774d6a59794d4449314d5441774f533951515338784e5449324e474e6c5a433169597a6b354c5451304f4751744f5451354d7930335a6a557a4d5445794d6a6c6c4d324d756347526d&amp;Fich=15264ced-bc99-448d-9493-7f5311229e3c.pdf&amp;Inline=true</t>
        </is>
      </c>
      <c r="AH1927" s="3" t="n">
        <v>46321.77847222222</v>
      </c>
      <c r="AI1927" s="3" t="n">
        <v>46321.78055555555</v>
      </c>
      <c r="AJ1927" s="2" t="inlineStr"/>
    </row>
    <row r="1928">
      <c r="A1928" s="2" t="n">
        <v>1927</v>
      </c>
      <c r="B1928" s="2" t="inlineStr">
        <is>
          <t>1824C</t>
        </is>
      </c>
      <c r="C1928" s="3" t="n">
        <v>45968.70555555556</v>
      </c>
      <c r="D1928" s="2" t="inlineStr">
        <is>
          <t>Original</t>
        </is>
      </c>
      <c r="E1928" s="2" t="inlineStr">
        <is>
          <t>PS</t>
        </is>
      </c>
      <c r="F1928" s="2" t="inlineStr">
        <is>
          <t>Emanuel Câmara</t>
        </is>
      </c>
      <c r="G1928" s="2" t="inlineStr">
        <is>
          <t>Art. 110.º-A (aditamento)</t>
        </is>
      </c>
      <c r="H1928" s="2" t="n"/>
      <c r="I1928" s="2" t="n"/>
      <c r="J1928" s="2" t="n"/>
      <c r="K1928" s="2" t="n"/>
      <c r="L1928" s="2" t="inlineStr">
        <is>
          <t>Artigo 110.º-A (Financiamento do transporte marítimo regular de passageiros entre a ilha da Madeira e o continente português)</t>
        </is>
      </c>
      <c r="M1928" s="4" t="n"/>
      <c r="N1928" s="4" t="n"/>
      <c r="O1928" s="2" t="n"/>
      <c r="P1928" s="2" t="n"/>
      <c r="Q1928" s="2" t="n"/>
      <c r="R1928" s="2" t="n"/>
      <c r="S1928" s="2" t="inlineStr">
        <is>
          <t>Rejeitado(a) em Comissão</t>
        </is>
      </c>
      <c r="T1928" s="2" t="inlineStr">
        <is>
          <t>Rejeitada</t>
        </is>
      </c>
      <c r="U1928" s="2" t="inlineStr">
        <is>
          <t>Favor: PS, L, PCP, BE, PAN; Contra: PSD, CDS-PP; Abstenção: CH, IL</t>
        </is>
      </c>
      <c r="V1928" s="3" t="n">
        <v>45982</v>
      </c>
      <c r="W1928" s="2" t="inlineStr">
        <is>
          <t>AR: https://www.parlamento.pt/OrcamentoEstado/Paginas/DetalhePropostaAlteracao.aspx?BID=25073 PDF: https://app.parlamento.pt/webutils/docs/doc.pdf?path=6148523063484d364c793942556b356c6443397a6158526c63793959566b6c4a544556484c3039464c7a49774d6a59794d4449314d5441774f533951515339684e474d78597a4d314e433168596a41314c545133596d4574596a426c4e53316a4e57466a4d4455784e6a6c6d595467756347526d&amp;Fich=a4c1c354-ab05-47ba-b0e5-c5ac05169fa8.pdf&amp;Inline=true</t>
        </is>
      </c>
      <c r="X1928" s="2" t="inlineStr">
        <is>
          <t>Orçamento, Finanças e Administração Pública</t>
        </is>
      </c>
      <c r="Y1928" s="2" t="inlineStr">
        <is>
          <t>Articulado</t>
        </is>
      </c>
      <c r="Z1928" s="2" t="inlineStr">
        <is>
          <t>Aditamento (Artigo PPL)</t>
        </is>
      </c>
      <c r="AA1928" s="2" t="inlineStr">
        <is>
          <t>Rejeitado(a) em Comissão</t>
        </is>
      </c>
      <c r="AB1928" s="2" t="inlineStr"/>
      <c r="AC1928" s="2" t="inlineStr"/>
      <c r="AD1928" s="2" t="inlineStr">
        <is>
          <t>1</t>
        </is>
      </c>
      <c r="AE1928" s="2" t="inlineStr">
        <is>
          <t>25073</t>
        </is>
      </c>
      <c r="AF1928" s="2" t="inlineStr">
        <is>
          <t>https://www.parlamento.pt/OrcamentoEstado/Paginas/DetalhePropostaAlteracao.aspx?BID=25073</t>
        </is>
      </c>
      <c r="AG1928" s="2" t="inlineStr">
        <is>
          <t>https://app.parlamento.pt/webutils/docs/doc.pdf?path=6148523063484d364c793942556b356c6443397a6158526c63793959566b6c4a544556484c3039464c7a49774d6a59794d4449314d5441774f533951515339684e474d78597a4d314e433168596a41314c545133596d4574596a426c4e53316a4e57466a4d4455784e6a6c6d595467756347526d&amp;Fich=a4c1c354-ab05-47ba-b0e5-c5ac05169fa8.pdf&amp;Inline=true</t>
        </is>
      </c>
      <c r="AH1928" s="3" t="n">
        <v>46321.77847222222</v>
      </c>
      <c r="AI1928" s="3" t="n">
        <v>46321.78055555555</v>
      </c>
      <c r="AJ1928" s="2" t="inlineStr"/>
    </row>
    <row r="1929">
      <c r="A1929" s="2" t="n">
        <v>1928</v>
      </c>
      <c r="B1929" s="2" t="inlineStr">
        <is>
          <t>1825C</t>
        </is>
      </c>
      <c r="C1929" s="3" t="n">
        <v>45968.70555555556</v>
      </c>
      <c r="D1929" s="2" t="inlineStr">
        <is>
          <t>Original</t>
        </is>
      </c>
      <c r="E1929" s="2" t="inlineStr">
        <is>
          <t>L</t>
        </is>
      </c>
      <c r="F1929" s="2" t="inlineStr">
        <is>
          <t>Filipa Pinto; Isabel Mendes Lopes; Jorge Pinto; Patrícia Gonçalves; Paulo Muacho; Rui Tavares</t>
        </is>
      </c>
      <c r="G1929" s="2" t="inlineStr">
        <is>
          <t>Art. 6.º (aditamento)</t>
        </is>
      </c>
      <c r="H1929" s="2" t="n"/>
      <c r="I1929" s="2" t="n"/>
      <c r="J1929" s="2" t="n"/>
      <c r="K1929" s="2" t="n"/>
      <c r="L1929" s="2" t="inlineStr">
        <is>
          <t>N.º 17, N.º 18, Artigo 6.º</t>
        </is>
      </c>
      <c r="M1929" s="4" t="n"/>
      <c r="N1929" s="4" t="n"/>
      <c r="O1929" s="2" t="n"/>
      <c r="P1929" s="2" t="n"/>
      <c r="Q1929" s="2" t="n"/>
      <c r="R1929" s="2" t="n"/>
      <c r="S1929" s="2" t="inlineStr">
        <is>
          <t>Rejeitado(a) em Comissão</t>
        </is>
      </c>
      <c r="T1929" s="2" t="inlineStr">
        <is>
          <t>Rejeitada</t>
        </is>
      </c>
      <c r="U1929" s="2" t="inlineStr">
        <is>
          <t>Favor: PS, L, PCP, BE, PAN; Contra: PSD, IL, CDS-PP; Abstenção: CH</t>
        </is>
      </c>
      <c r="V1929" s="3" t="n">
        <v>45981</v>
      </c>
      <c r="W1929" s="2" t="inlineStr">
        <is>
          <t>AR: https://www.parlamento.pt/OrcamentoEstado/Paginas/DetalhePropostaAlteracao.aspx?BID=25074 PDF: https://app.parlamento.pt/webutils/docs/doc.pdf?path=6148523063484d364c793942556b356c6443397a6158526c63793959566b6c4a544556484c3039464c7a49774d6a59794d4449314d5441774f533951515339694f57466c5a574e6b5a5330314f4455324c5451784d6a4974595756684e79316d5a5459314e5445345954517a4e544d756347526d&amp;Fich=b9aeecde-5856-4122-aea7-fe65518a4353.pdf&amp;Inline=true</t>
        </is>
      </c>
      <c r="X1929" s="2" t="inlineStr">
        <is>
          <t>Infraestruturas, Mobilidade e Habitação</t>
        </is>
      </c>
      <c r="Y1929" s="2" t="inlineStr">
        <is>
          <t>Articulado</t>
        </is>
      </c>
      <c r="Z1929" s="2" t="inlineStr">
        <is>
          <t>Aditamento (Números e Alíneas)</t>
        </is>
      </c>
      <c r="AA1929" s="2" t="inlineStr">
        <is>
          <t>Rejeitado(a) em Comissão</t>
        </is>
      </c>
      <c r="AB1929" s="2" t="inlineStr"/>
      <c r="AC1929" s="2" t="inlineStr"/>
      <c r="AD1929" s="2" t="inlineStr">
        <is>
          <t>1</t>
        </is>
      </c>
      <c r="AE1929" s="2" t="inlineStr">
        <is>
          <t>25074</t>
        </is>
      </c>
      <c r="AF1929" s="2" t="inlineStr">
        <is>
          <t>https://www.parlamento.pt/OrcamentoEstado/Paginas/DetalhePropostaAlteracao.aspx?BID=25074</t>
        </is>
      </c>
      <c r="AG1929" s="2" t="inlineStr">
        <is>
          <t>https://app.parlamento.pt/webutils/docs/doc.pdf?path=6148523063484d364c793942556b356c6443397a6158526c63793959566b6c4a544556484c3039464c7a49774d6a59794d4449314d5441774f533951515339694f57466c5a574e6b5a5330314f4455324c5451784d6a4974595756684e79316d5a5459314e5445345954517a4e544d756347526d&amp;Fich=b9aeecde-5856-4122-aea7-fe65518a4353.pdf&amp;Inline=true</t>
        </is>
      </c>
      <c r="AH1929" s="3" t="n">
        <v>46321.77847222222</v>
      </c>
      <c r="AI1929" s="3" t="n">
        <v>46321.78055555555</v>
      </c>
      <c r="AJ1929" s="2" t="inlineStr"/>
    </row>
    <row r="1930">
      <c r="A1930" s="2" t="n">
        <v>1929</v>
      </c>
      <c r="B1930" s="2" t="inlineStr">
        <is>
          <t>1826C</t>
        </is>
      </c>
      <c r="C1930" s="3" t="n">
        <v>45968.70625</v>
      </c>
      <c r="D1930" s="2" t="inlineStr">
        <is>
          <t>Original</t>
        </is>
      </c>
      <c r="E1930" s="2" t="inlineStr">
        <is>
          <t>Vários</t>
        </is>
      </c>
      <c r="F1930" s="2" t="inlineStr">
        <is>
          <t>Alberto Fonseca; Ana Oliveira; Francisco Pimentel; Francisco Sousa Vieira; Hugo Carneiro; Hugo Soares; Miguel Guimarães; João Pinho de Almeida; Paulo Núncio</t>
        </is>
      </c>
      <c r="G1930" s="2" t="inlineStr">
        <is>
          <t>Art. 120.º-A (aditamento)</t>
        </is>
      </c>
      <c r="H1930" s="2" t="n"/>
      <c r="I1930" s="2" t="n"/>
      <c r="J1930" s="2" t="n"/>
      <c r="K1930" s="2" t="n"/>
      <c r="L1930" s="2" t="inlineStr">
        <is>
          <t>Artigo 120.º-A (Reforço da Rede Nacional de Cuidados Continuados Integrados)</t>
        </is>
      </c>
      <c r="M1930" s="4" t="n"/>
      <c r="N1930" s="4" t="n"/>
      <c r="O1930" s="2" t="n"/>
      <c r="P1930" s="2" t="n"/>
      <c r="Q1930" s="2" t="n"/>
      <c r="R1930" s="2" t="n"/>
      <c r="S1930" s="2" t="inlineStr">
        <is>
          <t>Aprovado(a) em Comissão</t>
        </is>
      </c>
      <c r="T1930" s="2" t="inlineStr">
        <is>
          <t>Aprovada</t>
        </is>
      </c>
      <c r="U1930" s="2" t="inlineStr">
        <is>
          <t>Favor: PSD, PS, IL, L, CDS-PP, BE, PAN; Abstenção: CH, PCP</t>
        </is>
      </c>
      <c r="V1930" s="3" t="n">
        <v>45985</v>
      </c>
      <c r="W1930" s="2" t="inlineStr">
        <is>
          <t>AR: https://www.parlamento.pt/OrcamentoEstado/Paginas/DetalhePropostaAlteracao.aspx?BID=25075 PDF: https://app.parlamento.pt/webutils/docs/doc.pdf?path=6148523063484d364c793942556b356c6443397a6158526c63793959566b6c4a544556484c3039464c7a49774d6a59794d4449314d5441774f5339515153396a5a475530596d466a5969316a5a4459794c5452684d6d4d744f574d334e7930324e4449794e6a686d597a41784e4751756347526d&amp;Fich=cde4bacb-cd62-4a2c-9c77-642268fc014d.pdf&amp;Inline=true</t>
        </is>
      </c>
      <c r="X1930" s="2" t="inlineStr">
        <is>
          <t>Saúde</t>
        </is>
      </c>
      <c r="Y1930" s="2" t="inlineStr">
        <is>
          <t>Articulado</t>
        </is>
      </c>
      <c r="Z1930" s="2" t="inlineStr">
        <is>
          <t>Aditamento (Artigo PPL)</t>
        </is>
      </c>
      <c r="AA1930" s="2" t="inlineStr">
        <is>
          <t>Aprovado(a) em Comissão</t>
        </is>
      </c>
      <c r="AB1930" s="2" t="inlineStr"/>
      <c r="AC1930" s="2" t="inlineStr"/>
      <c r="AD1930" s="2" t="inlineStr">
        <is>
          <t>1</t>
        </is>
      </c>
      <c r="AE1930" s="2" t="inlineStr">
        <is>
          <t>25075</t>
        </is>
      </c>
      <c r="AF1930" s="2" t="inlineStr">
        <is>
          <t>https://www.parlamento.pt/OrcamentoEstado/Paginas/DetalhePropostaAlteracao.aspx?BID=25075</t>
        </is>
      </c>
      <c r="AG1930" s="2" t="inlineStr">
        <is>
          <t>https://app.parlamento.pt/webutils/docs/doc.pdf?path=6148523063484d364c793942556b356c6443397a6158526c63793959566b6c4a544556484c3039464c7a49774d6a59794d4449314d5441774f5339515153396a5a475530596d466a5969316a5a4459794c5452684d6d4d744f574d334e7930324e4449794e6a686d597a41784e4751756347526d&amp;Fich=cde4bacb-cd62-4a2c-9c77-642268fc014d.pdf&amp;Inline=true</t>
        </is>
      </c>
      <c r="AH1930" s="3" t="n">
        <v>46321.77847222222</v>
      </c>
      <c r="AI1930" s="3" t="n">
        <v>46321.78055555555</v>
      </c>
      <c r="AJ1930" s="2" t="inlineStr"/>
    </row>
    <row r="1931">
      <c r="A1931" s="2" t="n">
        <v>1930</v>
      </c>
      <c r="B1931" s="2" t="inlineStr">
        <is>
          <t>1827C</t>
        </is>
      </c>
      <c r="C1931" s="3" t="n">
        <v>45968.70625</v>
      </c>
      <c r="D1931" s="2" t="inlineStr">
        <is>
          <t>Original</t>
        </is>
      </c>
      <c r="E1931" s="2" t="inlineStr">
        <is>
          <t>CH</t>
        </is>
      </c>
      <c r="F193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G1931" s="2" t="inlineStr">
        <is>
          <t>Art. 63.º (aditamento)</t>
        </is>
      </c>
      <c r="H1931" s="2" t="n"/>
      <c r="I1931" s="2" t="n"/>
      <c r="J1931" s="2" t="n"/>
      <c r="K1931" s="2" t="n"/>
      <c r="L1931" s="2" t="inlineStr">
        <is>
          <t>Verba 2.42, Lista I anexa ao código do IVA</t>
        </is>
      </c>
      <c r="M1931" s="4" t="n"/>
      <c r="N1931" s="4" t="n"/>
      <c r="O1931" s="2" t="n"/>
      <c r="P1931" s="2" t="n"/>
      <c r="Q1931" s="2" t="n"/>
      <c r="R1931" s="2" t="n"/>
      <c r="S1931" s="2" t="inlineStr">
        <is>
          <t>Rejeitado(a) em Comissão</t>
        </is>
      </c>
      <c r="T1931" s="2" t="inlineStr">
        <is>
          <t>Rejeitada</t>
        </is>
      </c>
      <c r="U1931" s="2" t="inlineStr">
        <is>
          <t>Favor: CH, IL, BE, PAN; Contra: PSD, CDS-PP; Abstenção: PS, L, PCP</t>
        </is>
      </c>
      <c r="V1931" s="3" t="n">
        <v>45982</v>
      </c>
      <c r="W1931" s="2" t="inlineStr">
        <is>
          <t>AR: https://www.parlamento.pt/OrcamentoEstado/Paginas/DetalhePropostaAlteracao.aspx?BID=25076 PDF: https://app.parlamento.pt/webutils/docs/doc.pdf?path=6148523063484d364c793942556b356c6443397a6158526c63793959566b6c4a544556484c3039464c7a49774d6a59794d4449314d5441774f533951515339684e5751774e4467345953316b4e475a694c5451334f546b744f444e695a53316d5a54646d597a466b4d6a4a6a4d4467756347526d&amp;Fich=a5d0488a-d4fb-4799-83be-fe7fc1d22c08.pdf&amp;Inline=true</t>
        </is>
      </c>
      <c r="X1931" s="2" t="inlineStr">
        <is>
          <t>Orçamento, Finanças e Administração Pública</t>
        </is>
      </c>
      <c r="Y1931" s="2" t="inlineStr">
        <is>
          <t>Articulado</t>
        </is>
      </c>
      <c r="Z1931" s="2" t="inlineStr">
        <is>
          <t>Aditamento (Números e Alíneas)</t>
        </is>
      </c>
      <c r="AA1931" s="2" t="inlineStr">
        <is>
          <t>Rejeitado(a) em Comissão</t>
        </is>
      </c>
      <c r="AB1931" s="2" t="inlineStr"/>
      <c r="AC1931" s="2" t="inlineStr"/>
      <c r="AD1931" s="2" t="inlineStr">
        <is>
          <t>1</t>
        </is>
      </c>
      <c r="AE1931" s="2" t="inlineStr">
        <is>
          <t>25076</t>
        </is>
      </c>
      <c r="AF1931" s="2" t="inlineStr">
        <is>
          <t>https://www.parlamento.pt/OrcamentoEstado/Paginas/DetalhePropostaAlteracao.aspx?BID=25076</t>
        </is>
      </c>
      <c r="AG1931" s="2" t="inlineStr">
        <is>
          <t>https://app.parlamento.pt/webutils/docs/doc.pdf?path=6148523063484d364c793942556b356c6443397a6158526c63793959566b6c4a544556484c3039464c7a49774d6a59794d4449314d5441774f533951515339684e5751774e4467345953316b4e475a694c5451334f546b744f444e695a53316d5a54646d597a466b4d6a4a6a4d4467756347526d&amp;Fich=a5d0488a-d4fb-4799-83be-fe7fc1d22c08.pdf&amp;Inline=true</t>
        </is>
      </c>
      <c r="AH1931" s="3" t="n">
        <v>46321.77847222222</v>
      </c>
      <c r="AI1931" s="3" t="n">
        <v>46321.78055555555</v>
      </c>
      <c r="AJ1931" s="2" t="inlineStr"/>
    </row>
    <row r="1932">
      <c r="A1932" s="2" t="n">
        <v>1931</v>
      </c>
      <c r="B1932" s="2" t="inlineStr">
        <is>
          <t>1828C</t>
        </is>
      </c>
      <c r="C1932" s="3" t="n">
        <v>45968.70694444444</v>
      </c>
      <c r="D1932" s="2" t="inlineStr">
        <is>
          <t>Original</t>
        </is>
      </c>
      <c r="E1932" s="2" t="inlineStr">
        <is>
          <t>L</t>
        </is>
      </c>
      <c r="F1932" s="2" t="inlineStr">
        <is>
          <t>Filipa Pinto; Isabel Mendes Lopes; Jorge Pinto; Patrícia Gonçalves; Paulo Muacho; Rui Tavares</t>
        </is>
      </c>
      <c r="G1932" s="2" t="inlineStr">
        <is>
          <t>Art. 60.º (substituição)</t>
        </is>
      </c>
      <c r="H1932" s="2" t="n"/>
      <c r="I1932" s="2" t="n"/>
      <c r="J1932" s="2" t="n"/>
      <c r="K1932" s="2" t="n"/>
      <c r="L1932" s="2" t="inlineStr">
        <is>
          <t>Tabela, N.º 1, Artigo 68.º do Código do IRS</t>
        </is>
      </c>
      <c r="M1932" s="4" t="n"/>
      <c r="N1932" s="4" t="n"/>
      <c r="O1932" s="2" t="n"/>
      <c r="P1932" s="2" t="n"/>
      <c r="Q1932" s="2" t="n"/>
      <c r="R1932" s="2" t="n"/>
      <c r="S1932" s="2" t="inlineStr">
        <is>
          <t>Rejeitado(a) em Comissão</t>
        </is>
      </c>
      <c r="T1932" s="2" t="inlineStr">
        <is>
          <t>Rejeitada</t>
        </is>
      </c>
      <c r="U1932" s="2" t="inlineStr">
        <is>
          <t>Favor: L, BE, PAN; Contra: PSD, CH, IL, CDS-PP; Abstenção: PS, PCP</t>
        </is>
      </c>
      <c r="V1932" s="3" t="n">
        <v>45981</v>
      </c>
      <c r="W1932" s="2" t="inlineStr">
        <is>
          <t>AR: https://www.parlamento.pt/OrcamentoEstado/Paginas/DetalhePropostaAlteracao.aspx?BID=25077 PDF: https://app.parlamento.pt/webutils/docs/doc.pdf?path=6148523063484d364c793942556b356c6443397a6158526c63793959566b6c4a544556484c3039464c7a49774d6a59794d4449314d5441774f5339515153396c5a5751774e6a6c6b4f43307a4d4463314c5451794f574d7459574d794d43307a5a6a6b324e6d5a6b4d47566b4e324d756347526d&amp;Fich=eed069d8-3075-429c-ac20-3f966fd0ed7c.pdf&amp;Inline=true</t>
        </is>
      </c>
      <c r="X1932" s="2" t="inlineStr">
        <is>
          <t>Orçamento, Finanças e Administração Pública</t>
        </is>
      </c>
      <c r="Y1932" s="2" t="inlineStr">
        <is>
          <t>Articulado</t>
        </is>
      </c>
      <c r="Z1932" s="2" t="inlineStr">
        <is>
          <t>Substituição</t>
        </is>
      </c>
      <c r="AA1932" s="2" t="inlineStr">
        <is>
          <t>Rejeitado(a) em Comissão</t>
        </is>
      </c>
      <c r="AB1932" s="2" t="inlineStr"/>
      <c r="AC1932" s="2" t="inlineStr"/>
      <c r="AD1932" s="2" t="inlineStr">
        <is>
          <t>1</t>
        </is>
      </c>
      <c r="AE1932" s="2" t="inlineStr">
        <is>
          <t>25077</t>
        </is>
      </c>
      <c r="AF1932" s="2" t="inlineStr">
        <is>
          <t>https://www.parlamento.pt/OrcamentoEstado/Paginas/DetalhePropostaAlteracao.aspx?BID=25077</t>
        </is>
      </c>
      <c r="AG1932" s="2" t="inlineStr">
        <is>
          <t>https://app.parlamento.pt/webutils/docs/doc.pdf?path=6148523063484d364c793942556b356c6443397a6158526c63793959566b6c4a544556484c3039464c7a49774d6a59794d4449314d5441774f5339515153396c5a5751774e6a6c6b4f43307a4d4463314c5451794f574d7459574d794d43307a5a6a6b324e6d5a6b4d47566b4e324d756347526d&amp;Fich=eed069d8-3075-429c-ac20-3f966fd0ed7c.pdf&amp;Inline=true</t>
        </is>
      </c>
      <c r="AH1932" s="3" t="n">
        <v>46321.77847222222</v>
      </c>
      <c r="AI1932" s="3" t="n">
        <v>46321.78055555555</v>
      </c>
      <c r="AJ1932" s="2" t="inlineStr"/>
    </row>
    <row r="1933">
      <c r="A1933" s="2" t="n">
        <v>1932</v>
      </c>
      <c r="B1933" s="2" t="inlineStr">
        <is>
          <t>1829C</t>
        </is>
      </c>
      <c r="C1933" s="3" t="n">
        <v>45968.70694444444</v>
      </c>
      <c r="D1933" s="2" t="inlineStr">
        <is>
          <t>Original</t>
        </is>
      </c>
      <c r="E1933" s="2" t="inlineStr">
        <is>
          <t>L</t>
        </is>
      </c>
      <c r="F1933" s="2" t="inlineStr">
        <is>
          <t>Filipa Pinto; Isabel Mendes Lopes; Jorge Pinto; Patrícia Gonçalves; Paulo Muacho; Rui Tavares</t>
        </is>
      </c>
      <c r="G1933" s="2" t="inlineStr">
        <is>
          <t>Art. 126.º-A (aditamento)</t>
        </is>
      </c>
      <c r="H1933" s="2" t="n"/>
      <c r="I1933" s="2" t="n"/>
      <c r="J1933" s="2" t="n"/>
      <c r="K1933" s="2" t="n"/>
      <c r="L1933" s="2" t="inlineStr">
        <is>
          <t>Artigo 126.º-A (Animais Errantes)</t>
        </is>
      </c>
      <c r="M1933" s="4" t="n"/>
      <c r="N1933" s="4" t="n"/>
      <c r="O1933" s="2" t="n"/>
      <c r="P1933" s="2" t="n"/>
      <c r="Q1933" s="2" t="n"/>
      <c r="R1933" s="2" t="n"/>
      <c r="S1933" s="2" t="inlineStr">
        <is>
          <t>Rejeitado(a) em Comissão</t>
        </is>
      </c>
      <c r="T1933" s="2" t="inlineStr">
        <is>
          <t>Rejeitada</t>
        </is>
      </c>
      <c r="U1933" s="2" t="inlineStr">
        <is>
          <t>Favor: IL, L, PCP, BE, PAN; Contra: PSD, CDS-PP; Abstenção: CH, PS</t>
        </is>
      </c>
      <c r="V1933" s="3" t="n">
        <v>45985</v>
      </c>
      <c r="W1933" s="2" t="inlineStr">
        <is>
          <t>AR: https://www.parlamento.pt/OrcamentoEstado/Paginas/DetalhePropostaAlteracao.aspx?BID=25078 PDF: https://app.parlamento.pt/webutils/docs/doc.pdf?path=6148523063484d364c793942556b356c6443397a6158526c63793959566b6c4a544556484c3039464c7a49774d6a59794d4449314d5441774f53395151533830597a566b596a4a685a4330784d5441334c545177595455745957497a4d53316c5a4445354e6a59314e5749354e6d45756347526d&amp;Fich=4c5db2ad-1107-40a5-ab31-ed196655b96a.pdf&amp;Inline=true</t>
        </is>
      </c>
      <c r="X1933" s="2" t="inlineStr">
        <is>
          <t>Agricultura e Pescas; Ambiente e Energia</t>
        </is>
      </c>
      <c r="Y1933" s="2" t="inlineStr">
        <is>
          <t>Articulado</t>
        </is>
      </c>
      <c r="Z1933" s="2" t="inlineStr">
        <is>
          <t>Aditamento (Artigo PPL)</t>
        </is>
      </c>
      <c r="AA1933" s="2" t="inlineStr">
        <is>
          <t>Rejeitado(a) em Comissão</t>
        </is>
      </c>
      <c r="AB1933" s="2" t="inlineStr"/>
      <c r="AC1933" s="2" t="inlineStr"/>
      <c r="AD1933" s="2" t="inlineStr">
        <is>
          <t>1</t>
        </is>
      </c>
      <c r="AE1933" s="2" t="inlineStr">
        <is>
          <t>25078</t>
        </is>
      </c>
      <c r="AF1933" s="2" t="inlineStr">
        <is>
          <t>https://www.parlamento.pt/OrcamentoEstado/Paginas/DetalhePropostaAlteracao.aspx?BID=25078</t>
        </is>
      </c>
      <c r="AG1933" s="2" t="inlineStr">
        <is>
          <t>https://app.parlamento.pt/webutils/docs/doc.pdf?path=6148523063484d364c793942556b356c6443397a6158526c63793959566b6c4a544556484c3039464c7a49774d6a59794d4449314d5441774f53395151533830597a566b596a4a685a4330784d5441334c545177595455745957497a4d53316c5a4445354e6a59314e5749354e6d45756347526d&amp;Fich=4c5db2ad-1107-40a5-ab31-ed196655b96a.pdf&amp;Inline=true</t>
        </is>
      </c>
      <c r="AH1933" s="3" t="n">
        <v>46321.77847222222</v>
      </c>
      <c r="AI1933" s="3" t="n">
        <v>46321.78055555555</v>
      </c>
      <c r="AJ1933" s="2" t="inlineStr"/>
    </row>
    <row r="1934">
      <c r="A1934" s="2" t="n">
        <v>1933</v>
      </c>
      <c r="B1934" s="2" t="inlineStr">
        <is>
          <t>1830C</t>
        </is>
      </c>
      <c r="C1934" s="3" t="n">
        <v>45968.70694444444</v>
      </c>
      <c r="D1934" s="2" t="inlineStr">
        <is>
          <t>Original</t>
        </is>
      </c>
      <c r="E1934" s="2" t="inlineStr">
        <is>
          <t>PS</t>
        </is>
      </c>
      <c r="F1934" s="2" t="inlineStr">
        <is>
          <t>António Mendonça Mendes; Elza Pais; Eurico Brilhante Dias; Isabel Alves Moreira; José Luís Carneiro; Lia Ferreira; Marina Gonçalves; Miguel Matos</t>
        </is>
      </c>
      <c r="G1934" s="2" t="inlineStr">
        <is>
          <t>Art. 7.º (aditamento)</t>
        </is>
      </c>
      <c r="H1934" s="2" t="n"/>
      <c r="I1934" s="2" t="n"/>
      <c r="J1934" s="2" t="n"/>
      <c r="K1934" s="2" t="n"/>
      <c r="L1934" s="2" t="inlineStr">
        <is>
          <t>Verba 107, Mapa de alterações e transferências orçamentais, Artigo 7.º</t>
        </is>
      </c>
      <c r="M1934" s="4" t="n"/>
      <c r="N1934" s="4" t="n"/>
      <c r="O1934" s="2" t="n"/>
      <c r="P1934" s="2" t="n"/>
      <c r="Q1934" s="2" t="n"/>
      <c r="R1934" s="2" t="n"/>
      <c r="S1934" s="2" t="inlineStr">
        <is>
          <t>Aprovado(a) em Plenário</t>
        </is>
      </c>
      <c r="T1934" s="2" t="inlineStr">
        <is>
          <t>Aprovada</t>
        </is>
      </c>
      <c r="U1934" s="2" t="inlineStr">
        <is>
          <t>Favor: CH, PS, L, PCP, BE, PAN, JPP; Contra: PSD, CDS-PP; Abstenção: IL</t>
        </is>
      </c>
      <c r="V1934" s="3" t="n">
        <v>45988</v>
      </c>
      <c r="W1934" s="2" t="inlineStr">
        <is>
          <t>Avocada a Plenário. AR: https://www.parlamento.pt/OrcamentoEstado/Paginas/DetalhePropostaAlteracao.aspx?BID=25079 PDF: https://app.parlamento.pt/webutils/docs/doc.pdf?path=6148523063484d364c793942556b356c6443397a6158526c63793959566b6c4a544556484c3039464c7a49774d6a59794d4449314d5441774f533951515338774e474d794d6d4a6b4e6930324d5446684c54526d4e445974596a6b314e7931695a475a694e4451784d6d49334f4751756347526d&amp;Fich=04c22bd6-611a-4f46-b957-bdfb4412b78d.pdf&amp;Inline=true</t>
        </is>
      </c>
      <c r="X1934" s="2" t="inlineStr">
        <is>
          <t>Assuntos Constitucionais, Direitos, Liberdades e Garantias; Orçamento, Finanças e Administração Pública</t>
        </is>
      </c>
      <c r="Y1934" s="2" t="inlineStr">
        <is>
          <t>Articulado</t>
        </is>
      </c>
      <c r="Z1934" s="2" t="inlineStr">
        <is>
          <t>Aditamento (Números e Alíneas)</t>
        </is>
      </c>
      <c r="AA1934" s="2" t="inlineStr">
        <is>
          <t>Aprovado(a) em Plenário</t>
        </is>
      </c>
      <c r="AB1934" s="2" t="inlineStr">
        <is>
          <t>S</t>
        </is>
      </c>
      <c r="AC1934" s="2" t="inlineStr"/>
      <c r="AD1934" s="2" t="inlineStr">
        <is>
          <t>2</t>
        </is>
      </c>
      <c r="AE1934" s="2" t="inlineStr">
        <is>
          <t>25079</t>
        </is>
      </c>
      <c r="AF1934" s="2" t="inlineStr">
        <is>
          <t>https://www.parlamento.pt/OrcamentoEstado/Paginas/DetalhePropostaAlteracao.aspx?BID=25079</t>
        </is>
      </c>
      <c r="AG1934" s="2" t="inlineStr">
        <is>
          <t>https://app.parlamento.pt/webutils/docs/doc.pdf?path=6148523063484d364c793942556b356c6443397a6158526c63793959566b6c4a544556484c3039464c7a49774d6a59794d4449314d5441774f533951515338774e474d794d6d4a6b4e6930324d5446684c54526d4e445974596a6b314e7931695a475a694e4451784d6d49334f4751756347526d&amp;Fich=04c22bd6-611a-4f46-b957-bdfb4412b78d.pdf&amp;Inline=true</t>
        </is>
      </c>
      <c r="AH1934" s="3" t="n">
        <v>46321.77847222222</v>
      </c>
      <c r="AI1934" s="3" t="n">
        <v>46321.78055555555</v>
      </c>
      <c r="AJ1934" s="2" t="inlineStr"/>
    </row>
    <row r="1935">
      <c r="A1935" s="2" t="n">
        <v>1934</v>
      </c>
      <c r="B1935" s="2" t="inlineStr">
        <is>
          <t>1831C</t>
        </is>
      </c>
      <c r="C1935" s="3" t="n">
        <v>45968.70694444444</v>
      </c>
      <c r="D1935" s="2" t="inlineStr">
        <is>
          <t>Original</t>
        </is>
      </c>
      <c r="E1935" s="2" t="inlineStr">
        <is>
          <t>BE</t>
        </is>
      </c>
      <c r="F1935" s="2" t="inlineStr">
        <is>
          <t>Mariana Mortágua</t>
        </is>
      </c>
      <c r="G1935" s="2" t="inlineStr">
        <is>
          <t>Art. 113.º-A (aditamento)</t>
        </is>
      </c>
      <c r="H1935" s="2" t="n"/>
      <c r="I1935" s="2" t="n"/>
      <c r="J1935" s="2" t="n"/>
      <c r="K1935" s="2" t="n"/>
      <c r="L1935" s="2" t="inlineStr">
        <is>
          <t>Artigo 113.º-A (Troço do IC5 entre o Alto do Pópulo (Alijó) e Vila Pouca de Aguiar)</t>
        </is>
      </c>
      <c r="M1935" s="4" t="n"/>
      <c r="N1935" s="4" t="n"/>
      <c r="O1935" s="2" t="n"/>
      <c r="P1935" s="2" t="n"/>
      <c r="Q1935" s="2" t="n"/>
      <c r="R1935" s="2" t="n"/>
      <c r="S1935" s="2" t="inlineStr">
        <is>
          <t>Rejeitado(a) em Comissão</t>
        </is>
      </c>
      <c r="T1935" s="2" t="inlineStr">
        <is>
          <t>Rejeitada</t>
        </is>
      </c>
      <c r="U1935" s="2" t="inlineStr">
        <is>
          <t>Favor: CH, L, PCP, BE; Contra: PSD, CDS-PP; Abstenção: PS, IL, PAN</t>
        </is>
      </c>
      <c r="V1935" s="3" t="n">
        <v>45985</v>
      </c>
      <c r="W1935" s="2" t="inlineStr">
        <is>
          <t>AR: https://www.parlamento.pt/OrcamentoEstado/Paginas/DetalhePropostaAlteracao.aspx?BID=25080 PDF: https://app.parlamento.pt/webutils/docs/doc.pdf?path=6148523063484d364c793942556b356c6443397a6158526c63793959566b6c4a544556484c3039464c7a49774d6a59794d4449314d5441774f533951515338314d47517a4e445a694d69316b597a51774c54526a4e474574595749774d5330774d7a55314d4445345a544d7a596d59756347526d&amp;Fich=50d346b2-dc40-4c4a-ab01-0355018e33bf.pdf&amp;Inline=true</t>
        </is>
      </c>
      <c r="X1935" s="2" t="inlineStr">
        <is>
          <t>Infraestruturas, Mobilidade e Habitação</t>
        </is>
      </c>
      <c r="Y1935" s="2" t="inlineStr">
        <is>
          <t>Articulado</t>
        </is>
      </c>
      <c r="Z1935" s="2" t="inlineStr">
        <is>
          <t>Aditamento (Artigo PPL)</t>
        </is>
      </c>
      <c r="AA1935" s="2" t="inlineStr">
        <is>
          <t>Rejeitado(a) em Comissão</t>
        </is>
      </c>
      <c r="AB1935" s="2" t="inlineStr"/>
      <c r="AC1935" s="2" t="inlineStr"/>
      <c r="AD1935" s="2" t="inlineStr">
        <is>
          <t>1</t>
        </is>
      </c>
      <c r="AE1935" s="2" t="inlineStr">
        <is>
          <t>25080</t>
        </is>
      </c>
      <c r="AF1935" s="2" t="inlineStr">
        <is>
          <t>https://www.parlamento.pt/OrcamentoEstado/Paginas/DetalhePropostaAlteracao.aspx?BID=25080</t>
        </is>
      </c>
      <c r="AG1935" s="2" t="inlineStr">
        <is>
          <t>https://app.parlamento.pt/webutils/docs/doc.pdf?path=6148523063484d364c793942556b356c6443397a6158526c63793959566b6c4a544556484c3039464c7a49774d6a59794d4449314d5441774f533951515338314d47517a4e445a694d69316b597a51774c54526a4e474574595749774d5330774d7a55314d4445345a544d7a596d59756347526d&amp;Fich=50d346b2-dc40-4c4a-ab01-0355018e33bf.pdf&amp;Inline=true</t>
        </is>
      </c>
      <c r="AH1935" s="3" t="n">
        <v>46321.77847222222</v>
      </c>
      <c r="AI1935" s="3" t="n">
        <v>46321.78055555555</v>
      </c>
      <c r="AJ1935" s="2" t="inlineStr"/>
    </row>
    <row r="1936">
      <c r="A1936" s="2" t="n">
        <v>1935</v>
      </c>
      <c r="B1936" s="2" t="inlineStr">
        <is>
          <t>1832C</t>
        </is>
      </c>
      <c r="C1936" s="3" t="n">
        <v>45968.70763888889</v>
      </c>
      <c r="D1936" s="2" t="inlineStr">
        <is>
          <t>Original</t>
        </is>
      </c>
      <c r="E1936" s="2" t="inlineStr">
        <is>
          <t>PS</t>
        </is>
      </c>
      <c r="F1936" s="2" t="inlineStr">
        <is>
          <t>António Mendonça Mendes; Elza Pais; Eurico Brilhante Dias; Isabel Alves Moreira; José Luís Carneiro; Marina Gonçalves; Miguel Matos</t>
        </is>
      </c>
      <c r="G1936" s="2" t="inlineStr">
        <is>
          <t>Art. 11.º (aditamento)</t>
        </is>
      </c>
      <c r="H1936" s="2" t="n"/>
      <c r="I1936" s="2" t="n"/>
      <c r="J1936" s="2" t="n"/>
      <c r="K1936" s="2" t="n"/>
      <c r="L1936" s="2" t="inlineStr">
        <is>
          <t>N.º 3, Artigo 11.º</t>
        </is>
      </c>
      <c r="M1936" s="4" t="n"/>
      <c r="N1936" s="4" t="n"/>
      <c r="O1936" s="2" t="n"/>
      <c r="P1936" s="2" t="n"/>
      <c r="Q1936" s="2" t="n"/>
      <c r="R1936" s="2" t="n"/>
      <c r="S1936" s="2" t="inlineStr">
        <is>
          <t>Rejeitado(a) em Comissão</t>
        </is>
      </c>
      <c r="T1936" s="2" t="inlineStr">
        <is>
          <t>Rejeitada</t>
        </is>
      </c>
      <c r="U1936" s="2" t="inlineStr">
        <is>
          <t>Favor: PS, L, BE, PAN; Contra: PSD, CH, CDS-PP; Abstenção: IL, PCP</t>
        </is>
      </c>
      <c r="V1936" s="3" t="n">
        <v>45981</v>
      </c>
      <c r="W1936" s="2" t="inlineStr">
        <is>
          <t>AR: https://www.parlamento.pt/OrcamentoEstado/Paginas/DetalhePropostaAlteracao.aspx?BID=25081 PDF: https://app.parlamento.pt/webutils/docs/doc.pdf?path=6148523063484d364c793942556b356c6443397a6158526c63793959566b6c4a544556484c3039464c7a49774d6a59794d4449314d5441774f533951515338314d3255304e4751325a4331694e54686c4c545130597a51744f57526c5979307a59546468595749354d4463314e6a45756347526d&amp;Fich=53e44d6d-b58e-44c4-9dec-3a7aab907561.pdf&amp;Inline=true</t>
        </is>
      </c>
      <c r="X1936" s="2" t="inlineStr">
        <is>
          <t>Assuntos Constitucionais, Direitos, Liberdades e Garantias; Orçamento, Finanças e Administração Pública</t>
        </is>
      </c>
      <c r="Y1936" s="2" t="inlineStr">
        <is>
          <t>Articulado</t>
        </is>
      </c>
      <c r="Z1936" s="2" t="inlineStr">
        <is>
          <t>Aditamento (Números e Alíneas)</t>
        </is>
      </c>
      <c r="AA1936" s="2" t="inlineStr">
        <is>
          <t>Rejeitado(a) em Comissão</t>
        </is>
      </c>
      <c r="AB1936" s="2" t="inlineStr"/>
      <c r="AC1936" s="2" t="inlineStr"/>
      <c r="AD1936" s="2" t="inlineStr">
        <is>
          <t>1</t>
        </is>
      </c>
      <c r="AE1936" s="2" t="inlineStr">
        <is>
          <t>25081</t>
        </is>
      </c>
      <c r="AF1936" s="2" t="inlineStr">
        <is>
          <t>https://www.parlamento.pt/OrcamentoEstado/Paginas/DetalhePropostaAlteracao.aspx?BID=25081</t>
        </is>
      </c>
      <c r="AG1936" s="2" t="inlineStr">
        <is>
          <t>https://app.parlamento.pt/webutils/docs/doc.pdf?path=6148523063484d364c793942556b356c6443397a6158526c63793959566b6c4a544556484c3039464c7a49774d6a59794d4449314d5441774f533951515338314d3255304e4751325a4331694e54686c4c545130597a51744f57526c5979307a59546468595749354d4463314e6a45756347526d&amp;Fich=53e44d6d-b58e-44c4-9dec-3a7aab907561.pdf&amp;Inline=true</t>
        </is>
      </c>
      <c r="AH1936" s="3" t="n">
        <v>46321.77847222222</v>
      </c>
      <c r="AI1936" s="3" t="n">
        <v>46321.78055555555</v>
      </c>
      <c r="AJ1936" s="2" t="inlineStr"/>
    </row>
    <row r="1937">
      <c r="A1937" s="2" t="n">
        <v>1936</v>
      </c>
      <c r="B1937" s="2" t="inlineStr">
        <is>
          <t>1833C</t>
        </is>
      </c>
      <c r="C1937" s="3" t="n">
        <v>45968.70763888889</v>
      </c>
      <c r="D1937" s="2" t="inlineStr">
        <is>
          <t>Original</t>
        </is>
      </c>
      <c r="E1937" s="2" t="inlineStr">
        <is>
          <t>Vários</t>
        </is>
      </c>
      <c r="F1937" s="2" t="inlineStr">
        <is>
          <t>Alberto Fonseca; Francisco Pimentel; Hugo Carneiro; Hugo Soares; João Pinho de Almeida; Paulo Núncio</t>
        </is>
      </c>
      <c r="G1937" s="2" t="inlineStr">
        <is>
          <t>Art. 8.º (substituição)</t>
        </is>
      </c>
      <c r="H1937" s="2" t="n"/>
      <c r="I1937" s="2" t="n"/>
      <c r="J1937" s="2" t="n"/>
      <c r="K1937" s="2" t="n"/>
      <c r="L1937" s="2" t="inlineStr">
        <is>
          <t>Alínea h), N.º 18, Artigo 8.º</t>
        </is>
      </c>
      <c r="M1937" s="4" t="n"/>
      <c r="N1937" s="4" t="n"/>
      <c r="O1937" s="2" t="n"/>
      <c r="P1937" s="2" t="n"/>
      <c r="Q1937" s="2" t="n"/>
      <c r="R1937" s="2" t="n"/>
      <c r="S1937" s="2" t="inlineStr">
        <is>
          <t>Aprovado(a) em Comissão</t>
        </is>
      </c>
      <c r="T1937" s="2" t="inlineStr">
        <is>
          <t>Aprovada</t>
        </is>
      </c>
      <c r="U1937" s="2" t="inlineStr">
        <is>
          <t>Favor: PSD, CH, IL, CDS-PP, PAN; Contra: L, PCP, BE; Abstenção: PS</t>
        </is>
      </c>
      <c r="V1937" s="3" t="n">
        <v>45981</v>
      </c>
      <c r="W1937" s="2" t="inlineStr">
        <is>
          <t>AR: https://www.parlamento.pt/OrcamentoEstado/Paginas/DetalhePropostaAlteracao.aspx?BID=25082 PDF: https://app.parlamento.pt/webutils/docs/doc.pdf?path=6148523063484d364c793942556b356c6443397a6158526c63793959566b6c4a544556484c3039464c7a49774d6a59794d4449314d5441774f533951515338344d7a4d344d6a4535595330785954517a4c5451344e5467744f575a6d5a5330795a446c684d5467785a474a6a4d7a51756347526d&amp;Fich=8338219a-1a43-4858-9ffe-2d9a181dbc34.pdf&amp;Inline=true</t>
        </is>
      </c>
      <c r="X1937" s="2" t="inlineStr">
        <is>
          <t>Educação e Ciência</t>
        </is>
      </c>
      <c r="Y1937" s="2" t="inlineStr">
        <is>
          <t>Articulado</t>
        </is>
      </c>
      <c r="Z1937" s="2" t="inlineStr">
        <is>
          <t>Substituição</t>
        </is>
      </c>
      <c r="AA1937" s="2" t="inlineStr">
        <is>
          <t>Aprovado(a) em Comissão</t>
        </is>
      </c>
      <c r="AB1937" s="2" t="inlineStr"/>
      <c r="AC1937" s="2" t="inlineStr"/>
      <c r="AD1937" s="2" t="inlineStr">
        <is>
          <t>1</t>
        </is>
      </c>
      <c r="AE1937" s="2" t="inlineStr">
        <is>
          <t>25082</t>
        </is>
      </c>
      <c r="AF1937" s="2" t="inlineStr">
        <is>
          <t>https://www.parlamento.pt/OrcamentoEstado/Paginas/DetalhePropostaAlteracao.aspx?BID=25082</t>
        </is>
      </c>
      <c r="AG1937" s="2" t="inlineStr">
        <is>
          <t>https://app.parlamento.pt/webutils/docs/doc.pdf?path=6148523063484d364c793942556b356c6443397a6158526c63793959566b6c4a544556484c3039464c7a49774d6a59794d4449314d5441774f533951515338344d7a4d344d6a4535595330785954517a4c5451344e5467744f575a6d5a5330795a446c684d5467785a474a6a4d7a51756347526d&amp;Fich=8338219a-1a43-4858-9ffe-2d9a181dbc34.pdf&amp;Inline=true</t>
        </is>
      </c>
      <c r="AH1937" s="3" t="n">
        <v>46321.77847222222</v>
      </c>
      <c r="AI1937" s="3" t="n">
        <v>46321.78055555555</v>
      </c>
      <c r="AJ1937" s="2" t="inlineStr"/>
    </row>
    <row r="1938">
      <c r="A1938" s="2" t="n">
        <v>1937</v>
      </c>
      <c r="B1938" s="2" t="inlineStr">
        <is>
          <t>1834C</t>
        </is>
      </c>
      <c r="C1938" s="3" t="n">
        <v>45968.70833333334</v>
      </c>
      <c r="D1938" s="2" t="inlineStr">
        <is>
          <t>Original</t>
        </is>
      </c>
      <c r="E1938" s="2" t="inlineStr">
        <is>
          <t>L</t>
        </is>
      </c>
      <c r="F1938" s="2" t="inlineStr">
        <is>
          <t>Filipa Pinto; Isabel Mendes Lopes; Jorge Pinto; Patrícia Gonçalves; Paulo Muacho; Rui Tavares</t>
        </is>
      </c>
      <c r="G1938" s="2" t="inlineStr">
        <is>
          <t>Art. 126.º-A (aditamento)</t>
        </is>
      </c>
      <c r="H1938" s="2" t="n"/>
      <c r="I1938" s="2" t="n"/>
      <c r="J1938" s="2" t="n"/>
      <c r="K1938" s="2" t="n"/>
      <c r="L1938" s="2" t="inlineStr">
        <is>
          <t>Artigo 126.º-A (Conselho Nacional para o Bem-estar e Proteção Animal)</t>
        </is>
      </c>
      <c r="M1938" s="4" t="n"/>
      <c r="N1938" s="4" t="n"/>
      <c r="O1938" s="2" t="n"/>
      <c r="P1938" s="2" t="n"/>
      <c r="Q1938" s="2" t="n"/>
      <c r="R1938" s="2" t="n"/>
      <c r="S1938" s="2" t="inlineStr">
        <is>
          <t>Rejeitado(a) em Comissão</t>
        </is>
      </c>
      <c r="T1938" s="2" t="inlineStr">
        <is>
          <t>Rejeitada</t>
        </is>
      </c>
      <c r="U1938" s="2" t="inlineStr">
        <is>
          <t>Favor: L, PCP, BE, PAN; Contra: PSD, CH, IL, CDS-PP; Abstenção: PS</t>
        </is>
      </c>
      <c r="V1938" s="3" t="n">
        <v>45985</v>
      </c>
      <c r="W1938" s="2" t="inlineStr">
        <is>
          <t>AR: https://www.parlamento.pt/OrcamentoEstado/Paginas/DetalhePropostaAlteracao.aspx?BID=25083 PDF: https://app.parlamento.pt/webutils/docs/doc.pdf?path=6148523063484d364c793942556b356c6443397a6158526c63793959566b6c4a544556484c3039464c7a49774d6a59794d4449314d5441774f533951515338315a6a4d784e574a685a4330325a6a49334c5451335a4751745957557a4e6930334e474a684e5452685a6d4d344e4467756347526d&amp;Fich=5f315bad-6f27-47dd-ae36-74ba54afc848.pdf&amp;Inline=true</t>
        </is>
      </c>
      <c r="X1938" s="2" t="inlineStr">
        <is>
          <t>Agricultura e Pescas; Ambiente e Energia</t>
        </is>
      </c>
      <c r="Y1938" s="2" t="inlineStr">
        <is>
          <t>Articulado</t>
        </is>
      </c>
      <c r="Z1938" s="2" t="inlineStr">
        <is>
          <t>Aditamento (Artigo PPL)</t>
        </is>
      </c>
      <c r="AA1938" s="2" t="inlineStr">
        <is>
          <t>Rejeitado(a) em Comissão</t>
        </is>
      </c>
      <c r="AB1938" s="2" t="inlineStr"/>
      <c r="AC1938" s="2" t="inlineStr"/>
      <c r="AD1938" s="2" t="inlineStr">
        <is>
          <t>1</t>
        </is>
      </c>
      <c r="AE1938" s="2" t="inlineStr">
        <is>
          <t>25083</t>
        </is>
      </c>
      <c r="AF1938" s="2" t="inlineStr">
        <is>
          <t>https://www.parlamento.pt/OrcamentoEstado/Paginas/DetalhePropostaAlteracao.aspx?BID=25083</t>
        </is>
      </c>
      <c r="AG1938" s="2" t="inlineStr">
        <is>
          <t>https://app.parlamento.pt/webutils/docs/doc.pdf?path=6148523063484d364c793942556b356c6443397a6158526c63793959566b6c4a544556484c3039464c7a49774d6a59794d4449314d5441774f533951515338315a6a4d784e574a685a4330325a6a49334c5451335a4751745957557a4e6930334e474a684e5452685a6d4d344e4467756347526d&amp;Fich=5f315bad-6f27-47dd-ae36-74ba54afc848.pdf&amp;Inline=true</t>
        </is>
      </c>
      <c r="AH1938" s="3" t="n">
        <v>46321.77847222222</v>
      </c>
      <c r="AI1938" s="3" t="n">
        <v>46321.78055555555</v>
      </c>
      <c r="AJ1938" s="2" t="inlineStr"/>
    </row>
    <row r="1939">
      <c r="A1939" s="2" t="n">
        <v>1938</v>
      </c>
      <c r="B1939" s="2" t="inlineStr">
        <is>
          <t>1835C</t>
        </is>
      </c>
      <c r="C1939" s="3" t="n">
        <v>45968.70902777778</v>
      </c>
      <c r="D1939" s="2" t="inlineStr">
        <is>
          <t>Original</t>
        </is>
      </c>
      <c r="E1939" s="2" t="inlineStr">
        <is>
          <t>PAN</t>
        </is>
      </c>
      <c r="F1939" s="2" t="inlineStr">
        <is>
          <t>Inês de Sousa Real</t>
        </is>
      </c>
      <c r="G1939" s="2" t="inlineStr">
        <is>
          <t>Art. 126.º-A (aditamento)</t>
        </is>
      </c>
      <c r="H1939" s="2" t="n"/>
      <c r="I1939" s="2" t="n"/>
      <c r="J1939" s="2" t="n"/>
      <c r="K1939" s="2" t="n"/>
      <c r="L1939" s="2" t="inlineStr">
        <is>
          <t>Artigo 126.º-A (Reforço da Inspeção-Geral da Agricultura, do Mar, do Ambiente e do Ordenamento do Território)</t>
        </is>
      </c>
      <c r="M1939" s="4" t="n"/>
      <c r="N1939" s="4" t="n"/>
      <c r="O1939" s="2" t="n"/>
      <c r="P1939" s="2" t="n"/>
      <c r="Q1939" s="2" t="n"/>
      <c r="R1939" s="2" t="n"/>
      <c r="S1939" s="2" t="inlineStr">
        <is>
          <t>Rejeitado(a) em Comissão</t>
        </is>
      </c>
      <c r="T1939" s="2" t="inlineStr">
        <is>
          <t>Rejeitada</t>
        </is>
      </c>
      <c r="U1939" s="2" t="inlineStr">
        <is>
          <t>Favor: L, PCP, BE, PAN; Contra: PSD, CDS-PP; Abstenção: CH, PS, IL</t>
        </is>
      </c>
      <c r="V1939" s="3" t="n">
        <v>45985</v>
      </c>
      <c r="W1939" s="2" t="inlineStr">
        <is>
          <t>AR: https://www.parlamento.pt/OrcamentoEstado/Paginas/DetalhePropostaAlteracao.aspx?BID=25084 PDF: https://app.parlamento.pt/webutils/docs/doc.pdf?path=6148523063484d364c793942556b356c6443397a6158526c63793959566b6c4a544556484c3039464c7a49774d6a59794d4449314d5441774f533951515338794f5451355a4467344d79316c597a426d4c5452694e6d4974595445334e693168595449344f54686d59544a6d4f574d756347526d&amp;Fich=2949d883-ec0f-4b6b-a176-aa2898fa2f9c.pdf&amp;Inline=true</t>
        </is>
      </c>
      <c r="X1939" s="2" t="inlineStr">
        <is>
          <t>Defesa Nacional; Educação e Ciência; Infraestruturas, Mobilidade e Habitação</t>
        </is>
      </c>
      <c r="Y1939" s="2" t="inlineStr">
        <is>
          <t>Articulado</t>
        </is>
      </c>
      <c r="Z1939" s="2" t="inlineStr">
        <is>
          <t>Aditamento (Artigo PPL)</t>
        </is>
      </c>
      <c r="AA1939" s="2" t="inlineStr">
        <is>
          <t>Rejeitado(a) em Comissão</t>
        </is>
      </c>
      <c r="AB1939" s="2" t="inlineStr"/>
      <c r="AC1939" s="2" t="inlineStr"/>
      <c r="AD1939" s="2" t="inlineStr">
        <is>
          <t>1</t>
        </is>
      </c>
      <c r="AE1939" s="2" t="inlineStr">
        <is>
          <t>25084</t>
        </is>
      </c>
      <c r="AF1939" s="2" t="inlineStr">
        <is>
          <t>https://www.parlamento.pt/OrcamentoEstado/Paginas/DetalhePropostaAlteracao.aspx?BID=25084</t>
        </is>
      </c>
      <c r="AG1939" s="2" t="inlineStr">
        <is>
          <t>https://app.parlamento.pt/webutils/docs/doc.pdf?path=6148523063484d364c793942556b356c6443397a6158526c63793959566b6c4a544556484c3039464c7a49774d6a59794d4449314d5441774f533951515338794f5451355a4467344d79316c597a426d4c5452694e6d4974595445334e693168595449344f54686d59544a6d4f574d756347526d&amp;Fich=2949d883-ec0f-4b6b-a176-aa2898fa2f9c.pdf&amp;Inline=true</t>
        </is>
      </c>
      <c r="AH1939" s="3" t="n">
        <v>46321.77847222222</v>
      </c>
      <c r="AI1939" s="3" t="n">
        <v>46321.78055555555</v>
      </c>
      <c r="AJ1939" s="2" t="inlineStr"/>
    </row>
    <row r="1940">
      <c r="A1940" s="2" t="n">
        <v>1939</v>
      </c>
      <c r="B1940" s="2" t="inlineStr">
        <is>
          <t>1836C</t>
        </is>
      </c>
      <c r="C1940" s="3" t="n">
        <v>45968.70972222222</v>
      </c>
      <c r="D1940" s="2" t="inlineStr">
        <is>
          <t>Original</t>
        </is>
      </c>
      <c r="E1940" s="2" t="inlineStr">
        <is>
          <t>Vários</t>
        </is>
      </c>
      <c r="F1940" s="2" t="inlineStr">
        <is>
          <t>Alberto Fonseca; Ana Oliveira; Carla Barros; Francisco Pimentel; Francisco Sousa Vieira; Helga Correia; Hugo Carneiro; Hugo Soares; Isaura Morais; Miguel Guimarães; João Pinho de Almeida; Paulo Núncio</t>
        </is>
      </c>
      <c r="G1940" s="2" t="inlineStr">
        <is>
          <t>Art. 38.º-A (aditamento)</t>
        </is>
      </c>
      <c r="H1940" s="2" t="n"/>
      <c r="I1940" s="2" t="n"/>
      <c r="J1940" s="2" t="n"/>
      <c r="K1940" s="2" t="n"/>
      <c r="L1940" s="2" t="inlineStr">
        <is>
          <t>Artigo 38.º-A (Subsídio para assistência a filho com deficiência, doença crónica ou doença oncológica)</t>
        </is>
      </c>
      <c r="M1940" s="4" t="n"/>
      <c r="N1940" s="4" t="n"/>
      <c r="O1940" s="2" t="n"/>
      <c r="P1940" s="2" t="n"/>
      <c r="Q1940" s="2" t="n"/>
      <c r="R1940" s="2" t="n"/>
      <c r="S1940" s="2" t="inlineStr">
        <is>
          <t>Aprovado(a) em Plenário</t>
        </is>
      </c>
      <c r="T1940" s="2" t="inlineStr">
        <is>
          <t>Aprovada</t>
        </is>
      </c>
      <c r="U1940" s="2" t="inlineStr">
        <is>
          <t>Favor: PSD, CH, IL, L, PCP, CDS-PP, BE, PAN, JPP; Abstenção: PS</t>
        </is>
      </c>
      <c r="V1940" s="3" t="n">
        <v>45982</v>
      </c>
      <c r="W1940" s="2" t="inlineStr">
        <is>
          <t>Avocada a Plenário. AR: https://www.parlamento.pt/OrcamentoEstado/Paginas/DetalhePropostaAlteracao.aspx?BID=25085 PDF: https://app.parlamento.pt/webutils/docs/doc.pdf?path=6148523063484d364c793942556b356c6443397a6158526c63793959566b6c4a544556484c3039464c7a49774d6a59794d4449314d5441774f5339515153396d4e6a4a684e324a694f43316a4d4442694c5451774e324d744f4445774d69307a4d5751324e6a5a6b4f5745324f4463756347526d&amp;Fich=f62a7bb8-c00b-407c-8102-31d666d9a687.pdf&amp;Inline=true</t>
        </is>
      </c>
      <c r="X1940" s="2" t="inlineStr">
        <is>
          <t>Saúde; Trabalho, Segurança Social e Inclusão</t>
        </is>
      </c>
      <c r="Y1940" s="2" t="inlineStr">
        <is>
          <t>Articulado</t>
        </is>
      </c>
      <c r="Z1940" s="2" t="inlineStr">
        <is>
          <t>Aditamento (Artigo PPL)</t>
        </is>
      </c>
      <c r="AA1940" s="2" t="inlineStr">
        <is>
          <t>Aprovado(a) em Plenário</t>
        </is>
      </c>
      <c r="AB1940" s="2" t="inlineStr">
        <is>
          <t>S</t>
        </is>
      </c>
      <c r="AC1940" s="2" t="inlineStr"/>
      <c r="AD1940" s="2" t="inlineStr">
        <is>
          <t>2</t>
        </is>
      </c>
      <c r="AE1940" s="2" t="inlineStr">
        <is>
          <t>25085</t>
        </is>
      </c>
      <c r="AF1940" s="2" t="inlineStr">
        <is>
          <t>https://www.parlamento.pt/OrcamentoEstado/Paginas/DetalhePropostaAlteracao.aspx?BID=25085</t>
        </is>
      </c>
      <c r="AG1940" s="2" t="inlineStr">
        <is>
          <t>https://app.parlamento.pt/webutils/docs/doc.pdf?path=6148523063484d364c793942556b356c6443397a6158526c63793959566b6c4a544556484c3039464c7a49774d6a59794d4449314d5441774f5339515153396d4e6a4a684e324a694f43316a4d4442694c5451774e324d744f4445774d69307a4d5751324e6a5a6b4f5745324f4463756347526d&amp;Fich=f62a7bb8-c00b-407c-8102-31d666d9a687.pdf&amp;Inline=true</t>
        </is>
      </c>
      <c r="AH1940" s="3" t="n">
        <v>46321.77847222222</v>
      </c>
      <c r="AI1940" s="3" t="n">
        <v>46321.78055555555</v>
      </c>
      <c r="AJ1940" s="2" t="inlineStr"/>
    </row>
    <row r="1941">
      <c r="A1941" s="2" t="n">
        <v>1940</v>
      </c>
      <c r="B1941" s="2" t="inlineStr">
        <is>
          <t>1837C</t>
        </is>
      </c>
      <c r="C1941" s="3" t="n">
        <v>45968.70972222222</v>
      </c>
      <c r="D1941" s="2" t="inlineStr">
        <is>
          <t>Original</t>
        </is>
      </c>
      <c r="E1941" s="2" t="inlineStr">
        <is>
          <t>BE</t>
        </is>
      </c>
      <c r="F1941" s="2" t="inlineStr">
        <is>
          <t>Mariana Mortágua</t>
        </is>
      </c>
      <c r="G1941" s="2" t="inlineStr">
        <is>
          <t>Art. 113.º-A (aditamento)</t>
        </is>
      </c>
      <c r="H1941" s="2" t="n"/>
      <c r="I1941" s="2" t="n"/>
      <c r="J1941" s="2" t="n"/>
      <c r="K1941" s="2" t="n"/>
      <c r="L1941" s="2" t="inlineStr">
        <is>
          <t>Artigo 113.º-A (Ligação ferroviária Guimarães - Braga)</t>
        </is>
      </c>
      <c r="M1941" s="4" t="n"/>
      <c r="N1941" s="4" t="n"/>
      <c r="O1941" s="2" t="n"/>
      <c r="P1941" s="2" t="n"/>
      <c r="Q1941" s="2" t="n"/>
      <c r="R1941" s="2" t="n"/>
      <c r="S1941" s="2" t="inlineStr">
        <is>
          <t>Rejeitado(a) em Comissão</t>
        </is>
      </c>
      <c r="T1941" s="2" t="inlineStr">
        <is>
          <t>Rejeitada</t>
        </is>
      </c>
      <c r="U1941" s="2" t="inlineStr">
        <is>
          <t>Favor: CH, IL, L, PCP, BE, PAN; Contra: PSD, CDS-PP; Abstenção: PS</t>
        </is>
      </c>
      <c r="V1941" s="3" t="n">
        <v>45985</v>
      </c>
      <c r="W1941" s="2" t="inlineStr">
        <is>
          <t>AR: https://www.parlamento.pt/OrcamentoEstado/Paginas/DetalhePropostaAlteracao.aspx?BID=25086 PDF: https://app.parlamento.pt/webutils/docs/doc.pdf?path=6148523063484d364c793942556b356c6443397a6158526c63793959566b6c4a544556484c3039464c7a49774d6a59794d4449314d5441774f5339515153396a4e4459784e6a597a4e69316d4e4463784c5451785a6a41744f54597a4e4331694f57566b5a575a694e6a4d314e3259756347526d&amp;Fich=c4616636-f471-41f0-9634-b9edefb6357f.pdf&amp;Inline=true</t>
        </is>
      </c>
      <c r="X1941" s="2" t="inlineStr">
        <is>
          <t>Infraestruturas, Mobilidade e Habitação</t>
        </is>
      </c>
      <c r="Y1941" s="2" t="inlineStr">
        <is>
          <t>Articulado</t>
        </is>
      </c>
      <c r="Z1941" s="2" t="inlineStr">
        <is>
          <t>Aditamento (Artigo PPL)</t>
        </is>
      </c>
      <c r="AA1941" s="2" t="inlineStr">
        <is>
          <t>Rejeitado(a) em Comissão</t>
        </is>
      </c>
      <c r="AB1941" s="2" t="inlineStr"/>
      <c r="AC1941" s="2" t="inlineStr"/>
      <c r="AD1941" s="2" t="inlineStr">
        <is>
          <t>1</t>
        </is>
      </c>
      <c r="AE1941" s="2" t="inlineStr">
        <is>
          <t>25086</t>
        </is>
      </c>
      <c r="AF1941" s="2" t="inlineStr">
        <is>
          <t>https://www.parlamento.pt/OrcamentoEstado/Paginas/DetalhePropostaAlteracao.aspx?BID=25086</t>
        </is>
      </c>
      <c r="AG1941" s="2" t="inlineStr">
        <is>
          <t>https://app.parlamento.pt/webutils/docs/doc.pdf?path=6148523063484d364c793942556b356c6443397a6158526c63793959566b6c4a544556484c3039464c7a49774d6a59794d4449314d5441774f5339515153396a4e4459784e6a597a4e69316d4e4463784c5451785a6a41744f54597a4e4331694f57566b5a575a694e6a4d314e3259756347526d&amp;Fich=c4616636-f471-41f0-9634-b9edefb6357f.pdf&amp;Inline=true</t>
        </is>
      </c>
      <c r="AH1941" s="3" t="n">
        <v>46321.77847222222</v>
      </c>
      <c r="AI1941" s="3" t="n">
        <v>46321.78055555555</v>
      </c>
      <c r="AJ1941" s="2" t="inlineStr"/>
    </row>
    <row r="1942">
      <c r="A1942" s="2" t="n">
        <v>1941</v>
      </c>
      <c r="B1942" s="2" t="inlineStr">
        <is>
          <t>1838C</t>
        </is>
      </c>
      <c r="C1942" s="3" t="n">
        <v>45968.71041666667</v>
      </c>
      <c r="D1942" s="2" t="inlineStr">
        <is>
          <t>Original</t>
        </is>
      </c>
      <c r="E1942" s="2" t="inlineStr">
        <is>
          <t>PAN</t>
        </is>
      </c>
      <c r="F1942" s="2" t="inlineStr">
        <is>
          <t>Inês de Sousa Real</t>
        </is>
      </c>
      <c r="G1942" s="2" t="inlineStr">
        <is>
          <t>Art. 119.º-A (aditamento)</t>
        </is>
      </c>
      <c r="H1942" s="2" t="n"/>
      <c r="I1942" s="2" t="n"/>
      <c r="J1942" s="2" t="n"/>
      <c r="K1942" s="2" t="n"/>
      <c r="L1942" s="2" t="inlineStr">
        <is>
          <t>Artigo 119.º-A (Comparticipação das vacinas antialérgicas)</t>
        </is>
      </c>
      <c r="M1942" s="4" t="n"/>
      <c r="N1942" s="4" t="n"/>
      <c r="O1942" s="2" t="n"/>
      <c r="P1942" s="2" t="n"/>
      <c r="Q1942" s="2" t="n"/>
      <c r="R1942" s="2" t="n"/>
      <c r="S1942" s="2" t="inlineStr">
        <is>
          <t>Aprovado(a) em Comissão</t>
        </is>
      </c>
      <c r="T1942" s="2" t="inlineStr">
        <is>
          <t>Aprovada</t>
        </is>
      </c>
      <c r="U1942" s="2" t="inlineStr">
        <is>
          <t>Favor: CH, PS, IL, PCP, BE, PAN; Contra: PSD, CDS-PP; Abstenção: L</t>
        </is>
      </c>
      <c r="V1942" s="3" t="n">
        <v>45985</v>
      </c>
      <c r="W1942" s="2" t="inlineStr">
        <is>
          <t>AR: https://www.parlamento.pt/OrcamentoEstado/Paginas/DetalhePropostaAlteracao.aspx?BID=25087 PDF: https://app.parlamento.pt/webutils/docs/doc.pdf?path=6148523063484d364c793942556b356c6443397a6158526c63793959566b6c4a544556484c3039464c7a49774d6a59794d4449314d5441774f5339515153396c4f5759314f5759314e69316c4e4749324c545132597a51744f44457a5a4330304e6a4d794d6a637a4e474e6a4e7a59756347526d&amp;Fich=e9f59f56-e4b6-46c4-813d-46322734cc76.pdf&amp;Inline=true</t>
        </is>
      </c>
      <c r="X1942" s="2" t="inlineStr">
        <is>
          <t>Saúde</t>
        </is>
      </c>
      <c r="Y1942" s="2" t="inlineStr">
        <is>
          <t>Articulado</t>
        </is>
      </c>
      <c r="Z1942" s="2" t="inlineStr">
        <is>
          <t>Aditamento (Artigo PPL)</t>
        </is>
      </c>
      <c r="AA1942" s="2" t="inlineStr">
        <is>
          <t>Aprovado(a) em Comissão</t>
        </is>
      </c>
      <c r="AB1942" s="2" t="inlineStr"/>
      <c r="AC1942" s="2" t="inlineStr"/>
      <c r="AD1942" s="2" t="inlineStr">
        <is>
          <t>1</t>
        </is>
      </c>
      <c r="AE1942" s="2" t="inlineStr">
        <is>
          <t>25087</t>
        </is>
      </c>
      <c r="AF1942" s="2" t="inlineStr">
        <is>
          <t>https://www.parlamento.pt/OrcamentoEstado/Paginas/DetalhePropostaAlteracao.aspx?BID=25087</t>
        </is>
      </c>
      <c r="AG1942" s="2" t="inlineStr">
        <is>
          <t>https://app.parlamento.pt/webutils/docs/doc.pdf?path=6148523063484d364c793942556b356c6443397a6158526c63793959566b6c4a544556484c3039464c7a49774d6a59794d4449314d5441774f5339515153396c4f5759314f5759314e69316c4e4749324c545132597a51744f44457a5a4330304e6a4d794d6a637a4e474e6a4e7a59756347526d&amp;Fich=e9f59f56-e4b6-46c4-813d-46322734cc76.pdf&amp;Inline=true</t>
        </is>
      </c>
      <c r="AH1942" s="3" t="n">
        <v>46321.77847222222</v>
      </c>
      <c r="AI1942" s="3" t="n">
        <v>46321.78055555555</v>
      </c>
      <c r="AJ1942" s="2" t="inlineStr"/>
    </row>
    <row r="1943">
      <c r="A1943" s="2" t="n">
        <v>1942</v>
      </c>
      <c r="B1943" s="2" t="inlineStr">
        <is>
          <t>1839C</t>
        </is>
      </c>
      <c r="C1943" s="3" t="n">
        <v>45968.71041666667</v>
      </c>
      <c r="D1943" s="2" t="inlineStr">
        <is>
          <t>Original</t>
        </is>
      </c>
      <c r="E1943" s="2" t="inlineStr">
        <is>
          <t>L</t>
        </is>
      </c>
      <c r="F1943" s="2" t="inlineStr">
        <is>
          <t>Filipa Pinto; Isabel Mendes Lopes; Jorge Pinto; Patrícia Gonçalves; Paulo Muacho; Rui Tavares</t>
        </is>
      </c>
      <c r="G1943" s="2" t="inlineStr">
        <is>
          <t>Art. 63.º (substituição)</t>
        </is>
      </c>
      <c r="H1943" s="2" t="n"/>
      <c r="I1943" s="2" t="n"/>
      <c r="J1943" s="2" t="n"/>
      <c r="K1943" s="2" t="n"/>
      <c r="L1943" s="2" t="inlineStr">
        <is>
          <t>Verba 2.32, Lista I anexa ao Código do IVA</t>
        </is>
      </c>
      <c r="M1943" s="4" t="n"/>
      <c r="N1943" s="4" t="n"/>
      <c r="O1943" s="2" t="n"/>
      <c r="P1943" s="2" t="n"/>
      <c r="Q1943" s="2" t="n"/>
      <c r="R1943" s="2" t="n"/>
      <c r="S1943" s="2" t="inlineStr">
        <is>
          <t>Rejeitado(a) em Comissão</t>
        </is>
      </c>
      <c r="T1943" s="2" t="inlineStr">
        <is>
          <t>Rejeitada</t>
        </is>
      </c>
      <c r="U1943" s="2" t="inlineStr">
        <is>
          <t>Favor: IL, L, BE, PAN; Contra: PSD, CH, PCP, CDS-PP; Abstenção: PS</t>
        </is>
      </c>
      <c r="V1943" s="3" t="n">
        <v>45982</v>
      </c>
      <c r="W1943" s="2" t="inlineStr">
        <is>
          <t>AR: https://www.parlamento.pt/OrcamentoEstado/Paginas/DetalhePropostaAlteracao.aspx?BID=25088 PDF: https://app.parlamento.pt/webutils/docs/doc.pdf?path=6148523063484d364c793942556b356c6443397a6158526c63793959566b6c4a544556484c3039464c7a49774d6a59794d4449314d5441774f533951515338784d7a426b4d574e684e4330315957566b4c5451794e544174596d557a595331695954597a4d6a6b314f544d3059544d756347526d&amp;Fich=130d1ca4-5aed-4250-be3a-ba63295934a3.pdf&amp;Inline=true</t>
        </is>
      </c>
      <c r="X1943" s="2" t="inlineStr">
        <is>
          <t>Orçamento, Finanças e Administração Pública</t>
        </is>
      </c>
      <c r="Y1943" s="2" t="inlineStr">
        <is>
          <t>Articulado</t>
        </is>
      </c>
      <c r="Z1943" s="2" t="inlineStr">
        <is>
          <t>Substituição</t>
        </is>
      </c>
      <c r="AA1943" s="2" t="inlineStr">
        <is>
          <t>Rejeitado(a) em Comissão</t>
        </is>
      </c>
      <c r="AB1943" s="2" t="inlineStr"/>
      <c r="AC1943" s="2" t="inlineStr"/>
      <c r="AD1943" s="2" t="inlineStr">
        <is>
          <t>1</t>
        </is>
      </c>
      <c r="AE1943" s="2" t="inlineStr">
        <is>
          <t>25088</t>
        </is>
      </c>
      <c r="AF1943" s="2" t="inlineStr">
        <is>
          <t>https://www.parlamento.pt/OrcamentoEstado/Paginas/DetalhePropostaAlteracao.aspx?BID=25088</t>
        </is>
      </c>
      <c r="AG1943" s="2" t="inlineStr">
        <is>
          <t>https://app.parlamento.pt/webutils/docs/doc.pdf?path=6148523063484d364c793942556b356c6443397a6158526c63793959566b6c4a544556484c3039464c7a49774d6a59794d4449314d5441774f533951515338784d7a426b4d574e684e4330315957566b4c5451794e544174596d557a595331695954597a4d6a6b314f544d3059544d756347526d&amp;Fich=130d1ca4-5aed-4250-be3a-ba63295934a3.pdf&amp;Inline=true</t>
        </is>
      </c>
      <c r="AH1943" s="3" t="n">
        <v>46321.77847222222</v>
      </c>
      <c r="AI1943" s="3" t="n">
        <v>46321.78055555555</v>
      </c>
      <c r="AJ1943" s="2" t="inlineStr"/>
    </row>
    <row r="1944">
      <c r="A1944" s="2" t="n">
        <v>1943</v>
      </c>
      <c r="B1944" s="2" t="inlineStr">
        <is>
          <t>1840C</t>
        </is>
      </c>
      <c r="C1944" s="3" t="n">
        <v>45968.71180555555</v>
      </c>
      <c r="D1944" s="2" t="inlineStr">
        <is>
          <t>Original</t>
        </is>
      </c>
      <c r="E1944" s="2" t="inlineStr">
        <is>
          <t>PCP</t>
        </is>
      </c>
      <c r="F1944" s="2" t="inlineStr">
        <is>
          <t>Alfredo Maia; Paula Santos; Paulo Raimundo</t>
        </is>
      </c>
      <c r="G1944" s="2" t="inlineStr">
        <is>
          <t>Art. 21.º-A (aditamento)</t>
        </is>
      </c>
      <c r="H1944" s="2" t="n"/>
      <c r="I1944" s="2" t="n"/>
      <c r="J1944" s="2" t="n"/>
      <c r="K1944" s="2" t="n"/>
      <c r="L1944" s="2" t="inlineStr">
        <is>
          <t>Artigo 21.º-A (Alargamento do acesso à profissionalização para obtenção de habilitação própria para a docência)</t>
        </is>
      </c>
      <c r="M1944" s="4" t="n"/>
      <c r="N1944" s="4" t="n"/>
      <c r="O1944" s="2" t="n"/>
      <c r="P1944" s="2" t="n"/>
      <c r="Q1944" s="2" t="n"/>
      <c r="R1944" s="2" t="n"/>
      <c r="S1944" s="2" t="inlineStr">
        <is>
          <t>Rejeitado(a) em Comissão</t>
        </is>
      </c>
      <c r="T1944" s="2" t="inlineStr">
        <is>
          <t>Rejeitada</t>
        </is>
      </c>
      <c r="U1944" s="2" t="inlineStr">
        <is>
          <t>Favor: IL, L, PCP, BE, PAN; Contra: PSD, CDS-PP; Abstenção: CH, PS</t>
        </is>
      </c>
      <c r="V1944" s="3" t="n">
        <v>45981</v>
      </c>
      <c r="W1944" s="2" t="inlineStr">
        <is>
          <t>AR: https://www.parlamento.pt/OrcamentoEstado/Paginas/DetalhePropostaAlteracao.aspx?BID=25089 PDF: https://app.parlamento.pt/webutils/docs/doc.pdf?path=6148523063484d364c793942556b356c6443397a6158526c63793959566b6c4a544556484c3039464c7a49774d6a59794d4449314d5441774f5339515153396d4e324d77597a4533595330785957517a4c5451334d546774595464695969307a4e54426c4e475a6b597a5a685a474d756347526d&amp;Fich=f7c0c17a-1ad3-4718-a7bb-350e4fdc6adc.pdf&amp;Inline=true</t>
        </is>
      </c>
      <c r="X1944" s="2" t="inlineStr">
        <is>
          <t>Educação e Ciência</t>
        </is>
      </c>
      <c r="Y1944" s="2" t="inlineStr">
        <is>
          <t>Articulado</t>
        </is>
      </c>
      <c r="Z1944" s="2" t="inlineStr">
        <is>
          <t>Aditamento (Artigo PPL)</t>
        </is>
      </c>
      <c r="AA1944" s="2" t="inlineStr">
        <is>
          <t>Rejeitado(a) em Comissão</t>
        </is>
      </c>
      <c r="AB1944" s="2" t="inlineStr"/>
      <c r="AC1944" s="2" t="inlineStr"/>
      <c r="AD1944" s="2" t="inlineStr">
        <is>
          <t>1</t>
        </is>
      </c>
      <c r="AE1944" s="2" t="inlineStr">
        <is>
          <t>25089</t>
        </is>
      </c>
      <c r="AF1944" s="2" t="inlineStr">
        <is>
          <t>https://www.parlamento.pt/OrcamentoEstado/Paginas/DetalhePropostaAlteracao.aspx?BID=25089</t>
        </is>
      </c>
      <c r="AG1944" s="2" t="inlineStr">
        <is>
          <t>https://app.parlamento.pt/webutils/docs/doc.pdf?path=6148523063484d364c793942556b356c6443397a6158526c63793959566b6c4a544556484c3039464c7a49774d6a59794d4449314d5441774f5339515153396d4e324d77597a4533595330785957517a4c5451334d546774595464695969307a4e54426c4e475a6b597a5a685a474d756347526d&amp;Fich=f7c0c17a-1ad3-4718-a7bb-350e4fdc6adc.pdf&amp;Inline=true</t>
        </is>
      </c>
      <c r="AH1944" s="3" t="n">
        <v>46321.77847222222</v>
      </c>
      <c r="AI1944" s="3" t="n">
        <v>46321.78055555555</v>
      </c>
      <c r="AJ1944" s="2" t="inlineStr"/>
    </row>
    <row r="1945">
      <c r="A1945" s="2" t="n">
        <v>1944</v>
      </c>
      <c r="B1945" s="2" t="inlineStr">
        <is>
          <t>1841C</t>
        </is>
      </c>
      <c r="C1945" s="3" t="n">
        <v>45968.7125</v>
      </c>
      <c r="D1945" s="2" t="inlineStr">
        <is>
          <t>Original</t>
        </is>
      </c>
      <c r="E1945" s="2" t="inlineStr">
        <is>
          <t>L</t>
        </is>
      </c>
      <c r="F1945" s="2" t="inlineStr">
        <is>
          <t>Filipa Pinto; Isabel Mendes Lopes; Jorge Pinto; Patrícia Gonçalves; Paulo Muacho; Rui Tavares</t>
        </is>
      </c>
      <c r="G1945" s="2" t="inlineStr">
        <is>
          <t>Art. 112.º-A (aditamento)</t>
        </is>
      </c>
      <c r="H1945" s="2" t="n"/>
      <c r="I1945" s="2" t="n"/>
      <c r="J1945" s="2" t="n"/>
      <c r="K1945" s="2" t="n"/>
      <c r="L1945" s="2" t="inlineStr">
        <is>
          <t>Artigo 112.º-A (Prova do Conhecimento da Língua Portuguesa para Aquisição da Nacionalidade)</t>
        </is>
      </c>
      <c r="M1945" s="4" t="n"/>
      <c r="N1945" s="4" t="n"/>
      <c r="O1945" s="2" t="n"/>
      <c r="P1945" s="2" t="n"/>
      <c r="Q1945" s="2" t="n"/>
      <c r="R1945" s="2" t="n"/>
      <c r="S1945" s="2" t="inlineStr">
        <is>
          <t>Rejeitado(a) em Comissão</t>
        </is>
      </c>
      <c r="T1945" s="2" t="inlineStr">
        <is>
          <t>Rejeitada</t>
        </is>
      </c>
      <c r="U1945" s="2" t="inlineStr">
        <is>
          <t>Favor: IL, L, BE, PAN; Contra: PSD, CH, PCP, CDS-PP; Abstenção: PS</t>
        </is>
      </c>
      <c r="V1945" s="3" t="n">
        <v>45982</v>
      </c>
      <c r="W1945" s="2" t="inlineStr">
        <is>
          <t>AR: https://www.parlamento.pt/OrcamentoEstado/Paginas/DetalhePropostaAlteracao.aspx?BID=25090 PDF: https://app.parlamento.pt/webutils/docs/doc.pdf?path=6148523063484d364c793942556b356c6443397a6158526c63793959566b6c4a544556484c3039464c7a49774d6a59794d4449314d5441774f533951515338774d3245355a446b775969316c596d46694c5452684e6a5574596a41324e53316d4e7a453359324d33597a59354f574d756347526d&amp;Fich=03a9d90b-ebab-4a65-b065-f717cc7c699c.pdf&amp;Inline=true</t>
        </is>
      </c>
      <c r="X1945" s="2" t="inlineStr">
        <is>
          <t>Assuntos Constitucionais, Direitos, Liberdades e Garantias; Trabalho, Segurança Social e Inclusão</t>
        </is>
      </c>
      <c r="Y1945" s="2" t="inlineStr">
        <is>
          <t>Articulado</t>
        </is>
      </c>
      <c r="Z1945" s="2" t="inlineStr">
        <is>
          <t>Aditamento (Artigo PPL)</t>
        </is>
      </c>
      <c r="AA1945" s="2" t="inlineStr">
        <is>
          <t>Rejeitado(a) em Comissão</t>
        </is>
      </c>
      <c r="AB1945" s="2" t="inlineStr"/>
      <c r="AC1945" s="2" t="inlineStr"/>
      <c r="AD1945" s="2" t="inlineStr">
        <is>
          <t>1</t>
        </is>
      </c>
      <c r="AE1945" s="2" t="inlineStr">
        <is>
          <t>25090</t>
        </is>
      </c>
      <c r="AF1945" s="2" t="inlineStr">
        <is>
          <t>https://www.parlamento.pt/OrcamentoEstado/Paginas/DetalhePropostaAlteracao.aspx?BID=25090</t>
        </is>
      </c>
      <c r="AG1945" s="2" t="inlineStr">
        <is>
          <t>https://app.parlamento.pt/webutils/docs/doc.pdf?path=6148523063484d364c793942556b356c6443397a6158526c63793959566b6c4a544556484c3039464c7a49774d6a59794d4449314d5441774f533951515338774d3245355a446b775969316c596d46694c5452684e6a5574596a41324e53316d4e7a453359324d33597a59354f574d756347526d&amp;Fich=03a9d90b-ebab-4a65-b065-f717cc7c699c.pdf&amp;Inline=true</t>
        </is>
      </c>
      <c r="AH1945" s="3" t="n">
        <v>46321.77847222222</v>
      </c>
      <c r="AI1945" s="3" t="n">
        <v>46321.78055555555</v>
      </c>
      <c r="AJ1945" s="2" t="inlineStr"/>
    </row>
    <row r="1946">
      <c r="A1946" s="2" t="n">
        <v>1945</v>
      </c>
      <c r="B1946" s="2" t="inlineStr">
        <is>
          <t>1842C</t>
        </is>
      </c>
      <c r="C1946" s="3" t="n">
        <v>45968.7125</v>
      </c>
      <c r="D1946" s="2" t="inlineStr">
        <is>
          <t>Original</t>
        </is>
      </c>
      <c r="E1946" s="2" t="inlineStr">
        <is>
          <t>PCP</t>
        </is>
      </c>
      <c r="F1946" s="2" t="inlineStr">
        <is>
          <t>Alfredo Maia; Paula Santos; Paulo Raimundo</t>
        </is>
      </c>
      <c r="G1946" s="2" t="inlineStr">
        <is>
          <t>Art. 21.º-A (aditamento)</t>
        </is>
      </c>
      <c r="H1946" s="2" t="n"/>
      <c r="I1946" s="2" t="n"/>
      <c r="J1946" s="2" t="n"/>
      <c r="K1946" s="2" t="n"/>
      <c r="L1946" s="2" t="inlineStr">
        <is>
          <t>Artigo 21.º-A (Apoio à fixação nas áreas identificadas como carenciadas)</t>
        </is>
      </c>
      <c r="M1946" s="4" t="n"/>
      <c r="N1946" s="4" t="n"/>
      <c r="O1946" s="2" t="n"/>
      <c r="P1946" s="2" t="n"/>
      <c r="Q1946" s="2" t="n"/>
      <c r="R1946" s="2" t="n"/>
      <c r="S1946" s="2" t="inlineStr">
        <is>
          <t>Rejeitado(a) em Comissão</t>
        </is>
      </c>
      <c r="T1946" s="2" t="inlineStr">
        <is>
          <t>Rejeitada</t>
        </is>
      </c>
      <c r="U1946" s="2" t="inlineStr">
        <is>
          <t>Favor: L, PCP, BE, PAN; Contra: PSD, IL, CDS-PP; Abstenção: CH, PS</t>
        </is>
      </c>
      <c r="V1946" s="3" t="n">
        <v>45981</v>
      </c>
      <c r="W1946" s="2" t="inlineStr">
        <is>
          <t>AR: https://www.parlamento.pt/OrcamentoEstado/Paginas/DetalhePropostaAlteracao.aspx?BID=25091 PDF: https://app.parlamento.pt/webutils/docs/doc.pdf?path=6148523063484d364c793942556b356c6443397a6158526c63793959566b6c4a544556484c3039464c7a49774d6a59794d4449314d5441774f5339515153387a593245784e5755335979316c5a6a63354c5451344f445974596a4e694d69316c5a5449344e3245315a5459324e6d4d756347526d&amp;Fich=3ca15e7c-ef79-4886-b3b2-ee287a5e666c.pdf&amp;Inline=true</t>
        </is>
      </c>
      <c r="X1946" s="2" t="inlineStr">
        <is>
          <t>Educação e Ciência</t>
        </is>
      </c>
      <c r="Y1946" s="2" t="inlineStr">
        <is>
          <t>Articulado</t>
        </is>
      </c>
      <c r="Z1946" s="2" t="inlineStr">
        <is>
          <t>Aditamento (Artigo PPL)</t>
        </is>
      </c>
      <c r="AA1946" s="2" t="inlineStr">
        <is>
          <t>Rejeitado(a) em Comissão</t>
        </is>
      </c>
      <c r="AB1946" s="2" t="inlineStr"/>
      <c r="AC1946" s="2" t="inlineStr"/>
      <c r="AD1946" s="2" t="inlineStr">
        <is>
          <t>1</t>
        </is>
      </c>
      <c r="AE1946" s="2" t="inlineStr">
        <is>
          <t>25091</t>
        </is>
      </c>
      <c r="AF1946" s="2" t="inlineStr">
        <is>
          <t>https://www.parlamento.pt/OrcamentoEstado/Paginas/DetalhePropostaAlteracao.aspx?BID=25091</t>
        </is>
      </c>
      <c r="AG1946" s="2" t="inlineStr">
        <is>
          <t>https://app.parlamento.pt/webutils/docs/doc.pdf?path=6148523063484d364c793942556b356c6443397a6158526c63793959566b6c4a544556484c3039464c7a49774d6a59794d4449314d5441774f5339515153387a593245784e5755335979316c5a6a63354c5451344f445974596a4e694d69316c5a5449344e3245315a5459324e6d4d756347526d&amp;Fich=3ca15e7c-ef79-4886-b3b2-ee287a5e666c.pdf&amp;Inline=true</t>
        </is>
      </c>
      <c r="AH1946" s="3" t="n">
        <v>46321.77847222222</v>
      </c>
      <c r="AI1946" s="3" t="n">
        <v>46321.78055555555</v>
      </c>
      <c r="AJ1946" s="2" t="inlineStr"/>
    </row>
    <row r="1947">
      <c r="A1947" s="2" t="n">
        <v>1946</v>
      </c>
      <c r="B1947" s="2" t="inlineStr">
        <is>
          <t>1843C</t>
        </is>
      </c>
      <c r="C1947" s="3" t="n">
        <v>45968.7125</v>
      </c>
      <c r="D1947" s="2" t="inlineStr">
        <is>
          <t>Original</t>
        </is>
      </c>
      <c r="E1947" s="2" t="inlineStr">
        <is>
          <t>Vários</t>
        </is>
      </c>
      <c r="F1947" s="2" t="inlineStr">
        <is>
          <t>Alberto Fonseca; Ana Oliveira; Francisco Pimentel; Francisco Sousa Vieira; Hugo Carneiro; Hugo Soares; Miguel Guimarães; João Pinho de Almeida; Paulo Núncio</t>
        </is>
      </c>
      <c r="G1947" s="2" t="inlineStr">
        <is>
          <t>Art. 120.º-A (aditamento)</t>
        </is>
      </c>
      <c r="H1947" s="2" t="n"/>
      <c r="I1947" s="2" t="n"/>
      <c r="J1947" s="2" t="n"/>
      <c r="K1947" s="2" t="n"/>
      <c r="L1947" s="2" t="inlineStr">
        <is>
          <t>Artigo 120.º-A (Reforço da Rede Nacional de Cuidados Paliativos)</t>
        </is>
      </c>
      <c r="M1947" s="4" t="n"/>
      <c r="N1947" s="4" t="n"/>
      <c r="O1947" s="2" t="n"/>
      <c r="P1947" s="2" t="n"/>
      <c r="Q1947" s="2" t="n"/>
      <c r="R1947" s="2" t="n"/>
      <c r="S1947" s="2" t="inlineStr">
        <is>
          <t>Aprovado(a) em Comissão</t>
        </is>
      </c>
      <c r="T1947" s="2" t="inlineStr">
        <is>
          <t>Aprovada</t>
        </is>
      </c>
      <c r="U1947" s="2" t="inlineStr">
        <is>
          <t>Favor: PSD, CH, PS, IL, L, CDS-PP, BE, PAN; Abstenção: PCP</t>
        </is>
      </c>
      <c r="V1947" s="3" t="n">
        <v>45985</v>
      </c>
      <c r="W1947" s="2" t="inlineStr">
        <is>
          <t>AR: https://www.parlamento.pt/OrcamentoEstado/Paginas/DetalhePropostaAlteracao.aspx?BID=25092 PDF: https://app.parlamento.pt/webutils/docs/doc.pdf?path=6148523063484d364c793942556b356c6443397a6158526c63793959566b6c4a544556484c3039464c7a49774d6a59794d4449314d5441774f533951515339694f4759774d6a68694d53316d4e54426b4c545132596d5174596d45314e79307a4e6a68695a474d344d6a5a6c597a63756347526d&amp;Fich=b8f028b1-f50d-46bd-ba57-368bdc826ec7.pdf&amp;Inline=true</t>
        </is>
      </c>
      <c r="X1947" s="2" t="inlineStr">
        <is>
          <t>Saúde</t>
        </is>
      </c>
      <c r="Y1947" s="2" t="inlineStr">
        <is>
          <t>Articulado</t>
        </is>
      </c>
      <c r="Z1947" s="2" t="inlineStr">
        <is>
          <t>Aditamento (Artigo PPL)</t>
        </is>
      </c>
      <c r="AA1947" s="2" t="inlineStr">
        <is>
          <t>Aprovado(a) em Comissão</t>
        </is>
      </c>
      <c r="AB1947" s="2" t="inlineStr"/>
      <c r="AC1947" s="2" t="inlineStr"/>
      <c r="AD1947" s="2" t="inlineStr">
        <is>
          <t>1</t>
        </is>
      </c>
      <c r="AE1947" s="2" t="inlineStr">
        <is>
          <t>25092</t>
        </is>
      </c>
      <c r="AF1947" s="2" t="inlineStr">
        <is>
          <t>https://www.parlamento.pt/OrcamentoEstado/Paginas/DetalhePropostaAlteracao.aspx?BID=25092</t>
        </is>
      </c>
      <c r="AG1947" s="2" t="inlineStr">
        <is>
          <t>https://app.parlamento.pt/webutils/docs/doc.pdf?path=6148523063484d364c793942556b356c6443397a6158526c63793959566b6c4a544556484c3039464c7a49774d6a59794d4449314d5441774f533951515339694f4759774d6a68694d53316d4e54426b4c545132596d5174596d45314e79307a4e6a68695a474d344d6a5a6c597a63756347526d&amp;Fich=b8f028b1-f50d-46bd-ba57-368bdc826ec7.pdf&amp;Inline=true</t>
        </is>
      </c>
      <c r="AH1947" s="3" t="n">
        <v>46321.77847222222</v>
      </c>
      <c r="AI1947" s="3" t="n">
        <v>46321.78055555555</v>
      </c>
      <c r="AJ1947" s="2" t="inlineStr"/>
    </row>
    <row r="1948">
      <c r="A1948" s="2" t="n">
        <v>1947</v>
      </c>
      <c r="B1948" s="2" t="inlineStr">
        <is>
          <t>1844C-1</t>
        </is>
      </c>
      <c r="C1948" s="3" t="n">
        <v>45968.71319444444</v>
      </c>
      <c r="D1948" s="2" t="inlineStr">
        <is>
          <t>Original</t>
        </is>
      </c>
      <c r="E1948" s="2" t="inlineStr">
        <is>
          <t>L</t>
        </is>
      </c>
      <c r="F1948" s="2" t="inlineStr">
        <is>
          <t>Filipa Pinto; Isabel Mendes Lopes; Jorge Pinto; Patrícia Gonçalves; Paulo Muacho; Rui Tavares</t>
        </is>
      </c>
      <c r="G1948" s="2" t="inlineStr">
        <is>
          <t>Art. 63.º-A (aditamento)</t>
        </is>
      </c>
      <c r="H1948" s="2" t="n"/>
      <c r="I1948" s="2" t="n"/>
      <c r="J1948" s="2" t="n"/>
      <c r="K1948" s="2" t="n"/>
      <c r="L1948" s="2" t="inlineStr">
        <is>
          <t>Artigo 63.º-A (Alteração ao Código do Imposto sobre o Valor Acrescentado)</t>
        </is>
      </c>
      <c r="M1948" s="4" t="n"/>
      <c r="N1948" s="4" t="n"/>
      <c r="O1948" s="2" t="n"/>
      <c r="P1948" s="2" t="n"/>
      <c r="Q1948" s="2" t="n"/>
      <c r="R1948" s="2" t="n"/>
      <c r="S1948" s="2" t="inlineStr">
        <is>
          <t>Rejeitado(a) em Comissão</t>
        </is>
      </c>
      <c r="T1948" s="2" t="inlineStr">
        <is>
          <t>Rejeitada</t>
        </is>
      </c>
      <c r="U1948" s="2" t="inlineStr">
        <is>
          <t>Favor: IL, L, BE, PAN; Contra: PSD, CDS-PP; Abstenção: CH, PS, PCP</t>
        </is>
      </c>
      <c r="V1948" s="3" t="n">
        <v>45982</v>
      </c>
      <c r="W1948" s="2" t="inlineStr">
        <is>
          <t>AR: https://www.parlamento.pt/OrcamentoEstado/Paginas/DetalhePropostaAlteracao.aspx?BID=25093 PDF: https://app.parlamento.pt/webutils/docs/doc.pdf?path=6148523063484d364c793942556b356c6443397a6158526c63793959566b6c4a544556484c3039464c7a49774d6a59794d4449314d5441774f533951515338784d5745354f5749775953316c5a4751354c54517a4e7a51744f47566d4f53316c5a5759334e5755304e54637a4f4451756347526d&amp;Fich=11a99b0a-edd9-4374-8ef9-eef75e457384.pdf&amp;Inline=true</t>
        </is>
      </c>
      <c r="X1948" s="2" t="inlineStr">
        <is>
          <t>Orçamento, Finanças e Administração Pública</t>
        </is>
      </c>
      <c r="Y1948" s="2" t="inlineStr">
        <is>
          <t>Articulado</t>
        </is>
      </c>
      <c r="Z1948" s="2" t="inlineStr">
        <is>
          <t>Aditamento (Artigo PPL)</t>
        </is>
      </c>
      <c r="AA1948" s="2" t="inlineStr">
        <is>
          <t>Rejeitado(a) em Comissão</t>
        </is>
      </c>
      <c r="AB1948" s="2" t="inlineStr"/>
      <c r="AC1948" s="2" t="inlineStr">
        <is>
          <t>1</t>
        </is>
      </c>
      <c r="AD1948" s="2" t="inlineStr">
        <is>
          <t>1</t>
        </is>
      </c>
      <c r="AE1948" s="2" t="inlineStr">
        <is>
          <t>25093</t>
        </is>
      </c>
      <c r="AF1948" s="2" t="inlineStr">
        <is>
          <t>https://www.parlamento.pt/OrcamentoEstado/Paginas/DetalhePropostaAlteracao.aspx?BID=25093</t>
        </is>
      </c>
      <c r="AG1948" s="2" t="inlineStr">
        <is>
          <t>https://app.parlamento.pt/webutils/docs/doc.pdf?path=6148523063484d364c793942556b356c6443397a6158526c63793959566b6c4a544556484c3039464c7a49774d6a59794d4449314d5441774f533951515338784d5745354f5749775953316c5a4751354c54517a4e7a51744f47566d4f53316c5a5759334e5755304e54637a4f4451756347526d&amp;Fich=11a99b0a-edd9-4374-8ef9-eef75e457384.pdf&amp;Inline=true</t>
        </is>
      </c>
      <c r="AH1948" s="3" t="n">
        <v>46321.77847222222</v>
      </c>
      <c r="AI1948" s="3" t="n">
        <v>46321.78055555555</v>
      </c>
      <c r="AJ1948" s="2" t="inlineStr"/>
    </row>
    <row r="1949">
      <c r="A1949" s="2" t="n">
        <v>1948</v>
      </c>
      <c r="B1949" s="2" t="inlineStr">
        <is>
          <t>1844C-2</t>
        </is>
      </c>
      <c r="C1949" s="3" t="n">
        <v>45968.71319444444</v>
      </c>
      <c r="D1949" s="2" t="inlineStr">
        <is>
          <t>Original</t>
        </is>
      </c>
      <c r="E1949" s="2" t="inlineStr">
        <is>
          <t>L</t>
        </is>
      </c>
      <c r="F1949" s="2" t="inlineStr">
        <is>
          <t>Filipa Pinto; Isabel Mendes Lopes; Jorge Pinto; Patrícia Gonçalves; Paulo Muacho; Rui Tavares</t>
        </is>
      </c>
      <c r="G1949" s="2" t="inlineStr">
        <is>
          <t>Art. 137.º (aditamento)</t>
        </is>
      </c>
      <c r="H1949" s="2" t="n"/>
      <c r="I1949" s="2" t="n"/>
      <c r="J1949" s="2" t="n"/>
      <c r="K1949" s="2" t="n"/>
      <c r="L1949" s="2" t="inlineStr">
        <is>
          <t>N.º 4, Artigo 137.º</t>
        </is>
      </c>
      <c r="M1949" s="4" t="n"/>
      <c r="N1949" s="4" t="n"/>
      <c r="O1949" s="2" t="n"/>
      <c r="P1949" s="2" t="n"/>
      <c r="Q1949" s="2" t="n"/>
      <c r="R1949" s="2" t="n"/>
      <c r="S1949" s="2" t="inlineStr">
        <is>
          <t>Rejeitado(a) em Comissão</t>
        </is>
      </c>
      <c r="T1949" s="2" t="inlineStr">
        <is>
          <t>Rejeitada</t>
        </is>
      </c>
      <c r="U1949" s="2" t="inlineStr">
        <is>
          <t>Favor: IL, L, BE, PAN; Contra: PSD, CDS-PP; Abstenção: CH, PS, PCP</t>
        </is>
      </c>
      <c r="V1949" s="3" t="n">
        <v>45987</v>
      </c>
      <c r="W1949" s="2" t="inlineStr">
        <is>
          <t>AR: https://www.parlamento.pt/OrcamentoEstado/Paginas/DetalhePropostaAlteracao.aspx?BID=25363 PDF: https://app.parlamento.pt/webutils/docs/doc.pdf?path=6148523063484d364c793942556b356c6443397a6158526c63793959566b6c4a544556484c3039464c7a49774d6a59794d4449314d5441774f533951515338794d6a6b78596a68694d7930354e54677a4c5451334e7a59744f546b314f53307a4f4759314d7a6b78596d51305a4445756347526d&amp;Fich=2291b8b3-9583-4776-9959-38f5391bd4d1.pdf&amp;Inline=true</t>
        </is>
      </c>
      <c r="X1949" s="2" t="inlineStr">
        <is>
          <t>Orçamento, Finanças e Administração Pública</t>
        </is>
      </c>
      <c r="Y1949" s="2" t="inlineStr">
        <is>
          <t>Articulado</t>
        </is>
      </c>
      <c r="Z1949" s="2" t="inlineStr">
        <is>
          <t>Aditamento (Números e Alíneas)</t>
        </is>
      </c>
      <c r="AA1949" s="2" t="inlineStr">
        <is>
          <t>Rejeitado(a) em Comissão</t>
        </is>
      </c>
      <c r="AB1949" s="2" t="inlineStr"/>
      <c r="AC1949" s="2" t="inlineStr">
        <is>
          <t>2</t>
        </is>
      </c>
      <c r="AD1949" s="2" t="inlineStr">
        <is>
          <t>1</t>
        </is>
      </c>
      <c r="AE1949" s="2" t="inlineStr">
        <is>
          <t>25363</t>
        </is>
      </c>
      <c r="AF1949" s="2" t="inlineStr">
        <is>
          <t>https://www.parlamento.pt/OrcamentoEstado/Paginas/DetalhePropostaAlteracao.aspx?BID=25363</t>
        </is>
      </c>
      <c r="AG1949" s="2" t="inlineStr">
        <is>
          <t>https://app.parlamento.pt/webutils/docs/doc.pdf?path=6148523063484d364c793942556b356c6443397a6158526c63793959566b6c4a544556484c3039464c7a49774d6a59794d4449314d5441774f533951515338794d6a6b78596a68694d7930354e54677a4c5451334e7a59744f546b314f53307a4f4759314d7a6b78596d51305a4445756347526d&amp;Fich=2291b8b3-9583-4776-9959-38f5391bd4d1.pdf&amp;Inline=true</t>
        </is>
      </c>
      <c r="AH1949" s="3" t="n">
        <v>46321.77847222222</v>
      </c>
      <c r="AI1949" s="3" t="n">
        <v>46321.78055555555</v>
      </c>
      <c r="AJ1949" s="2" t="inlineStr"/>
    </row>
    <row r="1950">
      <c r="A1950" s="2" t="n">
        <v>1949</v>
      </c>
      <c r="B1950" s="2" t="inlineStr">
        <is>
          <t>1845C</t>
        </is>
      </c>
      <c r="C1950" s="3" t="n">
        <v>45968.71319444444</v>
      </c>
      <c r="D1950" s="2" t="inlineStr">
        <is>
          <t>Original</t>
        </is>
      </c>
      <c r="E1950" s="2" t="inlineStr">
        <is>
          <t>PCP</t>
        </is>
      </c>
      <c r="F1950" s="2" t="inlineStr">
        <is>
          <t>Alfredo Maia; Paula Santos; Paulo Raimundo</t>
        </is>
      </c>
      <c r="G1950" s="2" t="inlineStr">
        <is>
          <t>Art. 21.º-A (aditamento)</t>
        </is>
      </c>
      <c r="H1950" s="2" t="n"/>
      <c r="I1950" s="2" t="n"/>
      <c r="J1950" s="2" t="n"/>
      <c r="K1950" s="2" t="n"/>
      <c r="L1950" s="2" t="inlineStr">
        <is>
          <t>Artigo 21.º-A (Complemento de deslocação para técnicos especializados da Escola Pública)</t>
        </is>
      </c>
      <c r="M1950" s="4" t="n"/>
      <c r="N1950" s="4" t="n"/>
      <c r="O1950" s="2" t="n"/>
      <c r="P1950" s="2" t="n"/>
      <c r="Q1950" s="2" t="n"/>
      <c r="R1950" s="2" t="n"/>
      <c r="S1950" s="2" t="inlineStr">
        <is>
          <t>Rejeitado(a) em Comissão</t>
        </is>
      </c>
      <c r="T1950" s="2" t="inlineStr">
        <is>
          <t>Rejeitada</t>
        </is>
      </c>
      <c r="U1950" s="2" t="inlineStr">
        <is>
          <t>Favor: L, PCP, BE, PAN; Contra: PSD, IL, CDS-PP; Abstenção: CH, PS</t>
        </is>
      </c>
      <c r="V1950" s="3" t="n">
        <v>45981</v>
      </c>
      <c r="W1950" s="2" t="inlineStr">
        <is>
          <t>AR: https://www.parlamento.pt/OrcamentoEstado/Paginas/DetalhePropostaAlteracao.aspx?BID=25094 PDF: https://app.parlamento.pt/webutils/docs/doc.pdf?path=6148523063484d364c793942556b356c6443397a6158526c63793959566b6c4a544556484c3039464c7a49774d6a59794d4449314d5441774f5339515153396c4d6a5133596a63345a6930774e5745334c54526a595459744f5451354f5330344d7a6c6c597a6c6d4e6d5a6c5a6d49756347526d&amp;Fich=e247b78f-05a7-4ca6-9499-839ec9f6fefb.pdf&amp;Inline=true</t>
        </is>
      </c>
      <c r="X1950" s="2" t="inlineStr">
        <is>
          <t>Educação e Ciência</t>
        </is>
      </c>
      <c r="Y1950" s="2" t="inlineStr">
        <is>
          <t>Articulado</t>
        </is>
      </c>
      <c r="Z1950" s="2" t="inlineStr">
        <is>
          <t>Aditamento (Artigo PPL)</t>
        </is>
      </c>
      <c r="AA1950" s="2" t="inlineStr">
        <is>
          <t>Rejeitado(a) em Comissão</t>
        </is>
      </c>
      <c r="AB1950" s="2" t="inlineStr"/>
      <c r="AC1950" s="2" t="inlineStr"/>
      <c r="AD1950" s="2" t="inlineStr">
        <is>
          <t>1</t>
        </is>
      </c>
      <c r="AE1950" s="2" t="inlineStr">
        <is>
          <t>25094</t>
        </is>
      </c>
      <c r="AF1950" s="2" t="inlineStr">
        <is>
          <t>https://www.parlamento.pt/OrcamentoEstado/Paginas/DetalhePropostaAlteracao.aspx?BID=25094</t>
        </is>
      </c>
      <c r="AG1950" s="2" t="inlineStr">
        <is>
          <t>https://app.parlamento.pt/webutils/docs/doc.pdf?path=6148523063484d364c793942556b356c6443397a6158526c63793959566b6c4a544556484c3039464c7a49774d6a59794d4449314d5441774f5339515153396c4d6a5133596a63345a6930774e5745334c54526a595459744f5451354f5330344d7a6c6c597a6c6d4e6d5a6c5a6d49756347526d&amp;Fich=e247b78f-05a7-4ca6-9499-839ec9f6fefb.pdf&amp;Inline=true</t>
        </is>
      </c>
      <c r="AH1950" s="3" t="n">
        <v>46321.77847222222</v>
      </c>
      <c r="AI1950" s="3" t="n">
        <v>46321.78055555555</v>
      </c>
      <c r="AJ1950" s="2" t="inlineStr"/>
    </row>
    <row r="1951">
      <c r="A1951" s="2" t="n">
        <v>1950</v>
      </c>
      <c r="B1951" s="2" t="inlineStr">
        <is>
          <t>1846C</t>
        </is>
      </c>
      <c r="C1951" s="3" t="n">
        <v>45968.71388888889</v>
      </c>
      <c r="D1951" s="2" t="inlineStr">
        <is>
          <t>Original</t>
        </is>
      </c>
      <c r="E1951" s="2" t="inlineStr">
        <is>
          <t>BE</t>
        </is>
      </c>
      <c r="F1951" s="2" t="inlineStr">
        <is>
          <t>Mariana Mortágua</t>
        </is>
      </c>
      <c r="G1951" s="2" t="inlineStr">
        <is>
          <t>Art. 113.º-A (aditamento)</t>
        </is>
      </c>
      <c r="H1951" s="2" t="n"/>
      <c r="I1951" s="2" t="n"/>
      <c r="J1951" s="2" t="n"/>
      <c r="K1951" s="2" t="n"/>
      <c r="L1951" s="2" t="inlineStr">
        <is>
          <t>Artigo 113.º-A (Requalificação do portinho de Vila Praia de Âncora)</t>
        </is>
      </c>
      <c r="M1951" s="4" t="n"/>
      <c r="N1951" s="4" t="n"/>
      <c r="O1951" s="2" t="n"/>
      <c r="P1951" s="2" t="n"/>
      <c r="Q1951" s="2" t="n"/>
      <c r="R1951" s="2" t="n"/>
      <c r="S1951" s="2" t="inlineStr">
        <is>
          <t>Aprovado(a) em Comissão</t>
        </is>
      </c>
      <c r="T1951" s="2" t="inlineStr">
        <is>
          <t>Aprovada</t>
        </is>
      </c>
      <c r="U1951" s="2" t="inlineStr">
        <is>
          <t>Favor: CH, PS, IL, L, PCP, BE, PAN; Contra: PSD, CDS-PP</t>
        </is>
      </c>
      <c r="V1951" s="3" t="n">
        <v>45985</v>
      </c>
      <c r="W1951" s="2" t="inlineStr">
        <is>
          <t>AR: https://www.parlamento.pt/OrcamentoEstado/Paginas/DetalhePropostaAlteracao.aspx?BID=25095 PDF: https://app.parlamento.pt/webutils/docs/doc.pdf?path=6148523063484d364c793942556b356c6443397a6158526c63793959566b6c4a544556484c3039464c7a49774d6a59794d4449314d5441774f533951515338344d7a5130597a6b334f43316b4d6d59774c54526b5a4455744f4746694d6930334e4467794e44466b4d6a4a6b4e6d59756347526d&amp;Fich=8344c978-d2f0-4dd5-8ab2-748241d22d6f.pdf&amp;Inline=true</t>
        </is>
      </c>
      <c r="X1951" s="2" t="inlineStr">
        <is>
          <t>Comissão de Economia e Coesão Territorial</t>
        </is>
      </c>
      <c r="Y1951" s="2" t="inlineStr">
        <is>
          <t>Articulado</t>
        </is>
      </c>
      <c r="Z1951" s="2" t="inlineStr">
        <is>
          <t>Aditamento (Artigo PPL)</t>
        </is>
      </c>
      <c r="AA1951" s="2" t="inlineStr">
        <is>
          <t>Aprovado(a) em Comissão</t>
        </is>
      </c>
      <c r="AB1951" s="2" t="inlineStr"/>
      <c r="AC1951" s="2" t="inlineStr"/>
      <c r="AD1951" s="2" t="inlineStr">
        <is>
          <t>1</t>
        </is>
      </c>
      <c r="AE1951" s="2" t="inlineStr">
        <is>
          <t>25095</t>
        </is>
      </c>
      <c r="AF1951" s="2" t="inlineStr">
        <is>
          <t>https://www.parlamento.pt/OrcamentoEstado/Paginas/DetalhePropostaAlteracao.aspx?BID=25095</t>
        </is>
      </c>
      <c r="AG1951" s="2" t="inlineStr">
        <is>
          <t>https://app.parlamento.pt/webutils/docs/doc.pdf?path=6148523063484d364c793942556b356c6443397a6158526c63793959566b6c4a544556484c3039464c7a49774d6a59794d4449314d5441774f533951515338344d7a5130597a6b334f43316b4d6d59774c54526b5a4455744f4746694d6930334e4467794e44466b4d6a4a6b4e6d59756347526d&amp;Fich=8344c978-d2f0-4dd5-8ab2-748241d22d6f.pdf&amp;Inline=true</t>
        </is>
      </c>
      <c r="AH1951" s="3" t="n">
        <v>46321.77847222222</v>
      </c>
      <c r="AI1951" s="3" t="n">
        <v>46321.78055555555</v>
      </c>
      <c r="AJ1951" s="2" t="inlineStr"/>
    </row>
    <row r="1952">
      <c r="A1952" s="2" t="n">
        <v>1951</v>
      </c>
      <c r="B1952" s="2" t="inlineStr">
        <is>
          <t>1847C</t>
        </is>
      </c>
      <c r="C1952" s="3" t="n">
        <v>45968.71388888889</v>
      </c>
      <c r="D1952" s="2" t="inlineStr">
        <is>
          <t>Original</t>
        </is>
      </c>
      <c r="E1952" s="2" t="inlineStr">
        <is>
          <t>PCP</t>
        </is>
      </c>
      <c r="F1952" s="2" t="inlineStr">
        <is>
          <t>Alfredo Maia; Paula Santos; Paulo Raimundo</t>
        </is>
      </c>
      <c r="G1952" s="2" t="inlineStr">
        <is>
          <t>Art. 21.º-A (aditamento)</t>
        </is>
      </c>
      <c r="H1952" s="2" t="n"/>
      <c r="I1952" s="2" t="n"/>
      <c r="J1952" s="2" t="n"/>
      <c r="K1952" s="2" t="n"/>
      <c r="L1952" s="2" t="inlineStr">
        <is>
          <t>Artigo 21.º-A (Concurso externo vinculação extraordinária de docentes)</t>
        </is>
      </c>
      <c r="M1952" s="4" t="n"/>
      <c r="N1952" s="4" t="n"/>
      <c r="O1952" s="2" t="n"/>
      <c r="P1952" s="2" t="n"/>
      <c r="Q1952" s="2" t="n"/>
      <c r="R1952" s="2" t="n"/>
      <c r="S1952" s="2" t="inlineStr">
        <is>
          <t>Rejeitado(a) em Comissão</t>
        </is>
      </c>
      <c r="T1952" s="2" t="inlineStr">
        <is>
          <t>Rejeitada</t>
        </is>
      </c>
      <c r="U1952" s="2" t="inlineStr">
        <is>
          <t>Favor: CH, L, PCP, BE, PAN; Contra: PSD, IL, CDS-PP; Abstenção: PS</t>
        </is>
      </c>
      <c r="V1952" s="3" t="n">
        <v>45981</v>
      </c>
      <c r="W1952" s="2" t="inlineStr">
        <is>
          <t>AR: https://www.parlamento.pt/OrcamentoEstado/Paginas/DetalhePropostaAlteracao.aspx?BID=25096 PDF: https://app.parlamento.pt/webutils/docs/doc.pdf?path=6148523063484d364c793942556b356c6443397a6158526c63793959566b6c4a544556484c3039464c7a49774d6a59794d4449314d5441774f533951515338324e6d526c4f44566a4d4330344d5749304c545130593259744f5441794e5330774d7a517a596d45784f5751324e4449756347526d&amp;Fich=66de85c0-81b4-44cf-9025-0343ba19d642.pdf&amp;Inline=true</t>
        </is>
      </c>
      <c r="X1952" s="2" t="inlineStr">
        <is>
          <t>Educação e Ciência</t>
        </is>
      </c>
      <c r="Y1952" s="2" t="inlineStr">
        <is>
          <t>Articulado</t>
        </is>
      </c>
      <c r="Z1952" s="2" t="inlineStr">
        <is>
          <t>Aditamento (Artigo PPL)</t>
        </is>
      </c>
      <c r="AA1952" s="2" t="inlineStr">
        <is>
          <t>Rejeitado(a) em Comissão</t>
        </is>
      </c>
      <c r="AB1952" s="2" t="inlineStr"/>
      <c r="AC1952" s="2" t="inlineStr"/>
      <c r="AD1952" s="2" t="inlineStr">
        <is>
          <t>1</t>
        </is>
      </c>
      <c r="AE1952" s="2" t="inlineStr">
        <is>
          <t>25096</t>
        </is>
      </c>
      <c r="AF1952" s="2" t="inlineStr">
        <is>
          <t>https://www.parlamento.pt/OrcamentoEstado/Paginas/DetalhePropostaAlteracao.aspx?BID=25096</t>
        </is>
      </c>
      <c r="AG1952" s="2" t="inlineStr">
        <is>
          <t>https://app.parlamento.pt/webutils/docs/doc.pdf?path=6148523063484d364c793942556b356c6443397a6158526c63793959566b6c4a544556484c3039464c7a49774d6a59794d4449314d5441774f533951515338324e6d526c4f44566a4d4330344d5749304c545130593259744f5441794e5330774d7a517a596d45784f5751324e4449756347526d&amp;Fich=66de85c0-81b4-44cf-9025-0343ba19d642.pdf&amp;Inline=true</t>
        </is>
      </c>
      <c r="AH1952" s="3" t="n">
        <v>46321.77847222222</v>
      </c>
      <c r="AI1952" s="3" t="n">
        <v>46321.78055555555</v>
      </c>
      <c r="AJ1952" s="2" t="inlineStr"/>
    </row>
    <row r="1953">
      <c r="A1953" s="2" t="n">
        <v>1952</v>
      </c>
      <c r="B1953" s="2" t="inlineStr">
        <is>
          <t>1848C</t>
        </is>
      </c>
      <c r="C1953" s="3" t="n">
        <v>45968.71388888889</v>
      </c>
      <c r="D1953" s="2" t="inlineStr">
        <is>
          <t>Original</t>
        </is>
      </c>
      <c r="E1953" s="2" t="inlineStr">
        <is>
          <t>L</t>
        </is>
      </c>
      <c r="F1953" s="2" t="inlineStr">
        <is>
          <t>Filipa Pinto; Isabel Mendes Lopes; Jorge Pinto; Patrícia Gonçalves; Paulo Muacho; Rui Tavares</t>
        </is>
      </c>
      <c r="G1953" s="2" t="inlineStr">
        <is>
          <t>Art. 121.º-A (aditamento)</t>
        </is>
      </c>
      <c r="H1953" s="2" t="n"/>
      <c r="I1953" s="2" t="n"/>
      <c r="J1953" s="2" t="n"/>
      <c r="K1953" s="2" t="n"/>
      <c r="L1953" s="2" t="inlineStr">
        <is>
          <t>Artigo 121.º-A (Violência Contra Pessoas com Deficiência)</t>
        </is>
      </c>
      <c r="M1953" s="4" t="n"/>
      <c r="N1953" s="4" t="n"/>
      <c r="O1953" s="2" t="n"/>
      <c r="P1953" s="2" t="n"/>
      <c r="Q1953" s="2" t="n"/>
      <c r="R1953" s="2" t="n"/>
      <c r="S1953" s="2" t="inlineStr">
        <is>
          <t>Aprovado(a) em Comissão</t>
        </is>
      </c>
      <c r="T1953" s="2" t="inlineStr">
        <is>
          <t>Aprovada</t>
        </is>
      </c>
      <c r="U1953" s="2" t="inlineStr">
        <is>
          <t>Favor: CH, PS, IL, L, PCP, BE, PAN; Contra: PSD, CDS-PP</t>
        </is>
      </c>
      <c r="V1953" s="3" t="n">
        <v>45985</v>
      </c>
      <c r="W1953" s="2" t="inlineStr">
        <is>
          <t>AR: https://www.parlamento.pt/OrcamentoEstado/Paginas/DetalhePropostaAlteracao.aspx?BID=25097 PDF: https://app.parlamento.pt/webutils/docs/doc.pdf?path=6148523063484d364c793942556b356c6443397a6158526c63793959566b6c4a544556484c3039464c7a49774d6a59794d4449314d5441774f5339515153396c4d5455775a4459784e5330785a47597a4c54517a4e5745745954646d4f53307a59545a694f5749794d546b774d3251756347526d&amp;Fich=e150d615-1df3-435a-a7f9-3a6b9b21903d.pdf&amp;Inline=true</t>
        </is>
      </c>
      <c r="X1953" s="2" t="inlineStr">
        <is>
          <t>Assuntos Constitucionais, Direitos, Liberdades e Garantias; Trabalho, Segurança Social e Inclusão</t>
        </is>
      </c>
      <c r="Y1953" s="2" t="inlineStr">
        <is>
          <t>Articulado</t>
        </is>
      </c>
      <c r="Z1953" s="2" t="inlineStr">
        <is>
          <t>Aditamento (Artigo PPL)</t>
        </is>
      </c>
      <c r="AA1953" s="2" t="inlineStr">
        <is>
          <t>Aprovado(a) em Comissão</t>
        </is>
      </c>
      <c r="AB1953" s="2" t="inlineStr"/>
      <c r="AC1953" s="2" t="inlineStr"/>
      <c r="AD1953" s="2" t="inlineStr">
        <is>
          <t>1</t>
        </is>
      </c>
      <c r="AE1953" s="2" t="inlineStr">
        <is>
          <t>25097</t>
        </is>
      </c>
      <c r="AF1953" s="2" t="inlineStr">
        <is>
          <t>https://www.parlamento.pt/OrcamentoEstado/Paginas/DetalhePropostaAlteracao.aspx?BID=25097</t>
        </is>
      </c>
      <c r="AG1953" s="2" t="inlineStr">
        <is>
          <t>https://app.parlamento.pt/webutils/docs/doc.pdf?path=6148523063484d364c793942556b356c6443397a6158526c63793959566b6c4a544556484c3039464c7a49774d6a59794d4449314d5441774f5339515153396c4d5455775a4459784e5330785a47597a4c54517a4e5745745954646d4f53307a59545a694f5749794d546b774d3251756347526d&amp;Fich=e150d615-1df3-435a-a7f9-3a6b9b21903d.pdf&amp;Inline=true</t>
        </is>
      </c>
      <c r="AH1953" s="3" t="n">
        <v>46321.77847222222</v>
      </c>
      <c r="AI1953" s="3" t="n">
        <v>46321.78055555555</v>
      </c>
      <c r="AJ1953" s="2" t="inlineStr"/>
    </row>
    <row r="1954">
      <c r="A1954" s="2" t="n">
        <v>1953</v>
      </c>
      <c r="B1954" s="2" t="inlineStr">
        <is>
          <t>1849C</t>
        </is>
      </c>
      <c r="C1954" s="3" t="n">
        <v>45968.71458333333</v>
      </c>
      <c r="D1954" s="2" t="inlineStr">
        <is>
          <t>Original</t>
        </is>
      </c>
      <c r="E1954" s="2" t="inlineStr">
        <is>
          <t>L</t>
        </is>
      </c>
      <c r="F1954" s="2" t="inlineStr">
        <is>
          <t>Filipa Pinto; Isabel Mendes Lopes; Jorge Pinto; Patrícia Gonçalves; Paulo Muacho; Rui Tavares</t>
        </is>
      </c>
      <c r="G1954" s="2" t="inlineStr">
        <is>
          <t>Art. 60.º (aditamento)</t>
        </is>
      </c>
      <c r="H1954" s="2" t="n"/>
      <c r="I1954" s="2" t="n"/>
      <c r="J1954" s="2" t="n"/>
      <c r="K1954" s="2" t="n"/>
      <c r="L1954" s="2" t="inlineStr">
        <is>
          <t>N.º 9, Artigo 78.º-B do Código do IRS</t>
        </is>
      </c>
      <c r="M1954" s="4" t="n"/>
      <c r="N1954" s="4" t="n"/>
      <c r="O1954" s="2" t="n"/>
      <c r="P1954" s="2" t="n"/>
      <c r="Q1954" s="2" t="n"/>
      <c r="R1954" s="2" t="n"/>
      <c r="S1954" s="2" t="inlineStr">
        <is>
          <t>Rejeitado(a) em Comissão</t>
        </is>
      </c>
      <c r="T1954" s="2" t="inlineStr">
        <is>
          <t>Rejeitada</t>
        </is>
      </c>
      <c r="U1954" s="2" t="inlineStr">
        <is>
          <t>Favor: CH, IL, L, PCP, BE, PAN; Contra: PSD, CDS-PP; Abstenção: PS</t>
        </is>
      </c>
      <c r="V1954" s="3" t="n">
        <v>45981</v>
      </c>
      <c r="W1954" s="2" t="inlineStr">
        <is>
          <t>AR: https://www.parlamento.pt/OrcamentoEstado/Paginas/DetalhePropostaAlteracao.aspx?BID=25098 PDF: https://app.parlamento.pt/webutils/docs/doc.pdf?path=6148523063484d364c793942556b356c6443397a6158526c63793959566b6c4a544556484c3039464c7a49774d6a59794d4449314d5441774f53395151533968597a51355a544d77597930784d7a55344c54526d4e446b745957497a596930784f54526d5a5467324e575a6d4d4745756347526d&amp;Fich=ac49e30c-1358-4f49-ab3b-194fe865ff0a.pdf&amp;Inline=true</t>
        </is>
      </c>
      <c r="X1954" s="2" t="inlineStr">
        <is>
          <t>Orçamento, Finanças e Administração Pública</t>
        </is>
      </c>
      <c r="Y1954" s="2" t="inlineStr">
        <is>
          <t>Articulado</t>
        </is>
      </c>
      <c r="Z1954" s="2" t="inlineStr">
        <is>
          <t>Aditamento (Números e Alíneas)</t>
        </is>
      </c>
      <c r="AA1954" s="2" t="inlineStr">
        <is>
          <t>Rejeitado(a) em Comissão</t>
        </is>
      </c>
      <c r="AB1954" s="2" t="inlineStr"/>
      <c r="AC1954" s="2" t="inlineStr"/>
      <c r="AD1954" s="2" t="inlineStr">
        <is>
          <t>1</t>
        </is>
      </c>
      <c r="AE1954" s="2" t="inlineStr">
        <is>
          <t>25098</t>
        </is>
      </c>
      <c r="AF1954" s="2" t="inlineStr">
        <is>
          <t>https://www.parlamento.pt/OrcamentoEstado/Paginas/DetalhePropostaAlteracao.aspx?BID=25098</t>
        </is>
      </c>
      <c r="AG1954" s="2" t="inlineStr">
        <is>
          <t>https://app.parlamento.pt/webutils/docs/doc.pdf?path=6148523063484d364c793942556b356c6443397a6158526c63793959566b6c4a544556484c3039464c7a49774d6a59794d4449314d5441774f53395151533968597a51355a544d77597930784d7a55344c54526d4e446b745957497a596930784f54526d5a5467324e575a6d4d4745756347526d&amp;Fich=ac49e30c-1358-4f49-ab3b-194fe865ff0a.pdf&amp;Inline=true</t>
        </is>
      </c>
      <c r="AH1954" s="3" t="n">
        <v>46321.77847222222</v>
      </c>
      <c r="AI1954" s="3" t="n">
        <v>46321.78055555555</v>
      </c>
      <c r="AJ1954" s="2" t="inlineStr"/>
    </row>
    <row r="1955">
      <c r="A1955" s="2" t="n">
        <v>1954</v>
      </c>
      <c r="B1955" s="2" t="inlineStr">
        <is>
          <t>1850C</t>
        </is>
      </c>
      <c r="C1955" s="3" t="n">
        <v>45968.71458333333</v>
      </c>
      <c r="D1955" s="2" t="inlineStr">
        <is>
          <t>Original</t>
        </is>
      </c>
      <c r="E1955" s="2" t="inlineStr">
        <is>
          <t>PCP</t>
        </is>
      </c>
      <c r="F1955" s="2" t="inlineStr">
        <is>
          <t>Alfredo Maia; Paula Santos; Paulo Raimundo</t>
        </is>
      </c>
      <c r="G1955" s="2" t="inlineStr">
        <is>
          <t>Art. 21.º-A (aditamento)</t>
        </is>
      </c>
      <c r="H1955" s="2" t="n"/>
      <c r="I1955" s="2" t="n"/>
      <c r="J1955" s="2" t="n"/>
      <c r="K1955" s="2" t="n"/>
      <c r="L1955" s="2" t="inlineStr">
        <is>
          <t>Artigo 21.º-A (Contratação de psicólogos escolares)</t>
        </is>
      </c>
      <c r="M1955" s="4" t="n"/>
      <c r="N1955" s="4" t="n"/>
      <c r="O1955" s="2" t="n"/>
      <c r="P1955" s="2" t="n"/>
      <c r="Q1955" s="2" t="n"/>
      <c r="R1955" s="2" t="n"/>
      <c r="S1955" s="2" t="inlineStr">
        <is>
          <t>Rejeitado(a) em Comissão</t>
        </is>
      </c>
      <c r="T1955" s="2" t="inlineStr">
        <is>
          <t>Rejeitada</t>
        </is>
      </c>
      <c r="U1955" s="2" t="inlineStr">
        <is>
          <t>Favor: CH, L, PCP, BE, PAN; Contra: PSD, CDS-PP; Abstenção: PS, IL</t>
        </is>
      </c>
      <c r="V1955" s="3" t="n">
        <v>45981</v>
      </c>
      <c r="W1955" s="2" t="inlineStr">
        <is>
          <t>AR: https://www.parlamento.pt/OrcamentoEstado/Paginas/DetalhePropostaAlteracao.aspx?BID=25099 PDF: https://app.parlamento.pt/webutils/docs/doc.pdf?path=6148523063484d364c793942556b356c6443397a6158526c63793959566b6c4a544556484c3039464c7a49774d6a59794d4449314d5441774f533951515338774e4442684d6d5a694e693030596d56694c54526a5a4449744f574a6b596930355a6d51344d6a453159544d335a4467756347526d&amp;Fich=040a2fb6-4beb-4cd2-9bdb-9fd8215a37d8.pdf&amp;Inline=true</t>
        </is>
      </c>
      <c r="X1955" s="2" t="inlineStr">
        <is>
          <t>Educação e Ciência</t>
        </is>
      </c>
      <c r="Y1955" s="2" t="inlineStr">
        <is>
          <t>Articulado</t>
        </is>
      </c>
      <c r="Z1955" s="2" t="inlineStr">
        <is>
          <t>Aditamento (Artigo PPL)</t>
        </is>
      </c>
      <c r="AA1955" s="2" t="inlineStr">
        <is>
          <t>Rejeitado(a) em Comissão</t>
        </is>
      </c>
      <c r="AB1955" s="2" t="inlineStr"/>
      <c r="AC1955" s="2" t="inlineStr"/>
      <c r="AD1955" s="2" t="inlineStr">
        <is>
          <t>1</t>
        </is>
      </c>
      <c r="AE1955" s="2" t="inlineStr">
        <is>
          <t>25099</t>
        </is>
      </c>
      <c r="AF1955" s="2" t="inlineStr">
        <is>
          <t>https://www.parlamento.pt/OrcamentoEstado/Paginas/DetalhePropostaAlteracao.aspx?BID=25099</t>
        </is>
      </c>
      <c r="AG1955" s="2" t="inlineStr">
        <is>
          <t>https://app.parlamento.pt/webutils/docs/doc.pdf?path=6148523063484d364c793942556b356c6443397a6158526c63793959566b6c4a544556484c3039464c7a49774d6a59794d4449314d5441774f533951515338774e4442684d6d5a694e693030596d56694c54526a5a4449744f574a6b596930355a6d51344d6a453159544d335a4467756347526d&amp;Fich=040a2fb6-4beb-4cd2-9bdb-9fd8215a37d8.pdf&amp;Inline=true</t>
        </is>
      </c>
      <c r="AH1955" s="3" t="n">
        <v>46321.77847222222</v>
      </c>
      <c r="AI1955" s="3" t="n">
        <v>46321.78055555555</v>
      </c>
      <c r="AJ1955" s="2" t="inlineStr"/>
    </row>
    <row r="1956">
      <c r="A1956" s="2" t="n">
        <v>1955</v>
      </c>
      <c r="B1956" s="2" t="inlineStr">
        <is>
          <t>1851C</t>
        </is>
      </c>
      <c r="C1956" s="3" t="n">
        <v>45968.71527777778</v>
      </c>
      <c r="D1956" s="2" t="inlineStr">
        <is>
          <t>Original</t>
        </is>
      </c>
      <c r="E1956" s="2" t="inlineStr">
        <is>
          <t>PCP</t>
        </is>
      </c>
      <c r="F1956" s="2" t="inlineStr">
        <is>
          <t>Alfredo Maia; Paula Santos; Paulo Raimundo</t>
        </is>
      </c>
      <c r="G1956" s="2" t="inlineStr">
        <is>
          <t>Art. 21.º-A (aditamento)</t>
        </is>
      </c>
      <c r="H1956" s="2" t="n"/>
      <c r="I1956" s="2" t="n"/>
      <c r="J1956" s="2" t="n"/>
      <c r="K1956" s="2" t="n"/>
      <c r="L1956" s="2" t="inlineStr">
        <is>
          <t>Artigo 21.º-A (A Grupos de Recrutamento de Teatro e Expressão Dramática e Intervenção Precoce na Infância)</t>
        </is>
      </c>
      <c r="M1956" s="4" t="n"/>
      <c r="N1956" s="4" t="n"/>
      <c r="O1956" s="2" t="n"/>
      <c r="P1956" s="2" t="n"/>
      <c r="Q1956" s="2" t="n"/>
      <c r="R1956" s="2" t="n"/>
      <c r="S1956" s="2" t="inlineStr">
        <is>
          <t>Rejeitado(a) em Comissão</t>
        </is>
      </c>
      <c r="T1956" s="2" t="inlineStr">
        <is>
          <t>Rejeitada</t>
        </is>
      </c>
      <c r="U1956" s="2" t="inlineStr">
        <is>
          <t>Favor: L, PCP, BE, PAN; Contra: PSD, CH, IL, CDS-PP; Abstenção: PS</t>
        </is>
      </c>
      <c r="V1956" s="3" t="n">
        <v>45981</v>
      </c>
      <c r="W1956" s="2" t="inlineStr">
        <is>
          <t>AR: https://www.parlamento.pt/OrcamentoEstado/Paginas/DetalhePropostaAlteracao.aspx?BID=25100 PDF: https://app.parlamento.pt/webutils/docs/doc.pdf?path=6148523063484d364c793942556b356c6443397a6158526c63793959566b6c4a544556484c3039464c7a49774d6a59794d4449314d5441774f5339515153396d5954426b5a44677a4d6931694d57466c4c5451334d324974596a67774e4330794f446c6a4d7a63795a444d304d7a67756347526d&amp;Fich=fa0dd832-b1ae-473b-b804-289c372d3438.pdf&amp;Inline=true</t>
        </is>
      </c>
      <c r="X1956" s="2" t="inlineStr">
        <is>
          <t>Educação e Ciência</t>
        </is>
      </c>
      <c r="Y1956" s="2" t="inlineStr">
        <is>
          <t>Articulado</t>
        </is>
      </c>
      <c r="Z1956" s="2" t="inlineStr">
        <is>
          <t>Aditamento (Artigo PPL)</t>
        </is>
      </c>
      <c r="AA1956" s="2" t="inlineStr">
        <is>
          <t>Rejeitado(a) em Comissão</t>
        </is>
      </c>
      <c r="AB1956" s="2" t="inlineStr"/>
      <c r="AC1956" s="2" t="inlineStr"/>
      <c r="AD1956" s="2" t="inlineStr">
        <is>
          <t>1</t>
        </is>
      </c>
      <c r="AE1956" s="2" t="inlineStr">
        <is>
          <t>25100</t>
        </is>
      </c>
      <c r="AF1956" s="2" t="inlineStr">
        <is>
          <t>https://www.parlamento.pt/OrcamentoEstado/Paginas/DetalhePropostaAlteracao.aspx?BID=25100</t>
        </is>
      </c>
      <c r="AG1956" s="2" t="inlineStr">
        <is>
          <t>https://app.parlamento.pt/webutils/docs/doc.pdf?path=6148523063484d364c793942556b356c6443397a6158526c63793959566b6c4a544556484c3039464c7a49774d6a59794d4449314d5441774f5339515153396d5954426b5a44677a4d6931694d57466c4c5451334d324974596a67774e4330794f446c6a4d7a63795a444d304d7a67756347526d&amp;Fich=fa0dd832-b1ae-473b-b804-289c372d3438.pdf&amp;Inline=true</t>
        </is>
      </c>
      <c r="AH1956" s="3" t="n">
        <v>46321.77847222222</v>
      </c>
      <c r="AI1956" s="3" t="n">
        <v>46321.78055555555</v>
      </c>
      <c r="AJ1956" s="2" t="inlineStr"/>
    </row>
    <row r="1957">
      <c r="A1957" s="2" t="n">
        <v>1956</v>
      </c>
      <c r="B1957" s="2" t="inlineStr">
        <is>
          <t>1852C</t>
        </is>
      </c>
      <c r="C1957" s="3" t="n">
        <v>45968.71527777778</v>
      </c>
      <c r="D1957" s="2" t="inlineStr">
        <is>
          <t>Original</t>
        </is>
      </c>
      <c r="E1957" s="2" t="inlineStr">
        <is>
          <t>BE</t>
        </is>
      </c>
      <c r="F1957" s="2" t="inlineStr">
        <is>
          <t>Mariana Mortágua</t>
        </is>
      </c>
      <c r="G1957" s="2" t="inlineStr">
        <is>
          <t>Art. 119.º-A (aditamento)</t>
        </is>
      </c>
      <c r="H1957" s="2" t="n"/>
      <c r="I1957" s="2" t="n"/>
      <c r="J1957" s="2" t="n"/>
      <c r="K1957" s="2" t="n"/>
      <c r="L1957" s="2" t="inlineStr">
        <is>
          <t>Artigo 119.º-A (Promoção da saúde mental dos estudantes)</t>
        </is>
      </c>
      <c r="M1957" s="4" t="n"/>
      <c r="N1957" s="4" t="n"/>
      <c r="O1957" s="2" t="n"/>
      <c r="P1957" s="2" t="n"/>
      <c r="Q1957" s="2" t="n"/>
      <c r="R1957" s="2" t="n"/>
      <c r="S1957" s="2" t="inlineStr">
        <is>
          <t>Rejeitado(a) em Comissão</t>
        </is>
      </c>
      <c r="T1957" s="2" t="inlineStr">
        <is>
          <t>Rejeitada</t>
        </is>
      </c>
      <c r="U1957" s="2" t="inlineStr">
        <is>
          <t>Favor: PS, L, PCP, BE, PAN; Contra: PSD, CDS-PP; Abstenção: CH, IL</t>
        </is>
      </c>
      <c r="V1957" s="3" t="n">
        <v>45985</v>
      </c>
      <c r="W1957" s="2" t="inlineStr">
        <is>
          <t>AR: https://www.parlamento.pt/OrcamentoEstado/Paginas/DetalhePropostaAlteracao.aspx?BID=25102 PDF: https://app.parlamento.pt/webutils/docs/doc.pdf?path=6148523063484d364c793942556b356c6443397a6158526c63793959566b6c4a544556484c3039464c7a49774d6a59794d4449314d5441774f533951515338304e6a59314d4749324e7930314f44646d4c5451324d5745744f44566b4e4330344d47566d5954526a4d4463354d3251756347526d&amp;Fich=46650b67-587f-461a-85d4-80efa4c0793d.pdf&amp;Inline=true</t>
        </is>
      </c>
      <c r="X1957" s="2" t="inlineStr">
        <is>
          <t>Educação e Ciência</t>
        </is>
      </c>
      <c r="Y1957" s="2" t="inlineStr">
        <is>
          <t>Articulado</t>
        </is>
      </c>
      <c r="Z1957" s="2" t="inlineStr">
        <is>
          <t>Aditamento (Artigo PPL)</t>
        </is>
      </c>
      <c r="AA1957" s="2" t="inlineStr">
        <is>
          <t>Rejeitado(a) em Comissão</t>
        </is>
      </c>
      <c r="AB1957" s="2" t="inlineStr"/>
      <c r="AC1957" s="2" t="inlineStr"/>
      <c r="AD1957" s="2" t="inlineStr">
        <is>
          <t>1</t>
        </is>
      </c>
      <c r="AE1957" s="2" t="inlineStr">
        <is>
          <t>25102</t>
        </is>
      </c>
      <c r="AF1957" s="2" t="inlineStr">
        <is>
          <t>https://www.parlamento.pt/OrcamentoEstado/Paginas/DetalhePropostaAlteracao.aspx?BID=25102</t>
        </is>
      </c>
      <c r="AG1957" s="2" t="inlineStr">
        <is>
          <t>https://app.parlamento.pt/webutils/docs/doc.pdf?path=6148523063484d364c793942556b356c6443397a6158526c63793959566b6c4a544556484c3039464c7a49774d6a59794d4449314d5441774f533951515338304e6a59314d4749324e7930314f44646d4c5451324d5745744f44566b4e4330344d47566d5954526a4d4463354d3251756347526d&amp;Fich=46650b67-587f-461a-85d4-80efa4c0793d.pdf&amp;Inline=true</t>
        </is>
      </c>
      <c r="AH1957" s="3" t="n">
        <v>46321.77847222222</v>
      </c>
      <c r="AI1957" s="3" t="n">
        <v>46321.78055555555</v>
      </c>
      <c r="AJ1957" s="2" t="inlineStr"/>
    </row>
    <row r="1958">
      <c r="A1958" s="2" t="n">
        <v>1957</v>
      </c>
      <c r="B1958" s="2" t="inlineStr">
        <is>
          <t>1853C</t>
        </is>
      </c>
      <c r="C1958" s="3" t="n">
        <v>45968.71597222222</v>
      </c>
      <c r="D1958" s="2" t="inlineStr">
        <is>
          <t>Original</t>
        </is>
      </c>
      <c r="E1958" s="2" t="inlineStr">
        <is>
          <t>PCP</t>
        </is>
      </c>
      <c r="F1958" s="2" t="inlineStr">
        <is>
          <t>Alfredo Maia; Paula Santos; Paulo Raimundo</t>
        </is>
      </c>
      <c r="G1958" s="2" t="inlineStr">
        <is>
          <t>Art. 21.º-A (aditamento)</t>
        </is>
      </c>
      <c r="H1958" s="2" t="n"/>
      <c r="I1958" s="2" t="n"/>
      <c r="J1958" s="2" t="n"/>
      <c r="K1958" s="2" t="n"/>
      <c r="L1958" s="2" t="inlineStr">
        <is>
          <t>Artigo 21.º-A (Reposicionamento remuneratório)</t>
        </is>
      </c>
      <c r="M1958" s="4" t="n"/>
      <c r="N1958" s="4" t="n"/>
      <c r="O1958" s="2" t="n"/>
      <c r="P1958" s="2" t="n"/>
      <c r="Q1958" s="2" t="n"/>
      <c r="R1958" s="2" t="n"/>
      <c r="S1958" s="2" t="inlineStr">
        <is>
          <t>Rejeitado(a) em Comissão</t>
        </is>
      </c>
      <c r="T1958" s="2" t="inlineStr">
        <is>
          <t>Rejeitada</t>
        </is>
      </c>
      <c r="U1958" s="2" t="inlineStr">
        <is>
          <t>Favor: CH, L, PCP, BE, PAN; Contra: PSD, IL, CDS-PP; Abstenção: PS</t>
        </is>
      </c>
      <c r="V1958" s="3" t="n">
        <v>45981</v>
      </c>
      <c r="W1958" s="2" t="inlineStr">
        <is>
          <t>AR: https://www.parlamento.pt/OrcamentoEstado/Paginas/DetalhePropostaAlteracao.aspx?BID=25104 PDF: https://app.parlamento.pt/webutils/docs/doc.pdf?path=6148523063484d364c793942556b356c6443397a6158526c63793959566b6c4a544556484c3039464c7a49774d6a59794d4449314d5441774f533951515338324e47526b4e7a457a59533032596d59784c545130593255744f57466d4d4330314d6a45344e47566d5a44557a4e6d51756347526d&amp;Fich=64dd713a-6bf1-44ce-9af0-52184efd536d.pdf&amp;Inline=true</t>
        </is>
      </c>
      <c r="X1958" s="2" t="inlineStr">
        <is>
          <t>Educação e Ciência</t>
        </is>
      </c>
      <c r="Y1958" s="2" t="inlineStr">
        <is>
          <t>Articulado</t>
        </is>
      </c>
      <c r="Z1958" s="2" t="inlineStr">
        <is>
          <t>Aditamento (Artigo PPL)</t>
        </is>
      </c>
      <c r="AA1958" s="2" t="inlineStr">
        <is>
          <t>Rejeitado(a) em Comissão</t>
        </is>
      </c>
      <c r="AB1958" s="2" t="inlineStr"/>
      <c r="AC1958" s="2" t="inlineStr"/>
      <c r="AD1958" s="2" t="inlineStr">
        <is>
          <t>1</t>
        </is>
      </c>
      <c r="AE1958" s="2" t="inlineStr">
        <is>
          <t>25104</t>
        </is>
      </c>
      <c r="AF1958" s="2" t="inlineStr">
        <is>
          <t>https://www.parlamento.pt/OrcamentoEstado/Paginas/DetalhePropostaAlteracao.aspx?BID=25104</t>
        </is>
      </c>
      <c r="AG1958" s="2" t="inlineStr">
        <is>
          <t>https://app.parlamento.pt/webutils/docs/doc.pdf?path=6148523063484d364c793942556b356c6443397a6158526c63793959566b6c4a544556484c3039464c7a49774d6a59794d4449314d5441774f533951515338324e47526b4e7a457a59533032596d59784c545130593255744f57466d4d4330314d6a45344e47566d5a44557a4e6d51756347526d&amp;Fich=64dd713a-6bf1-44ce-9af0-52184efd536d.pdf&amp;Inline=true</t>
        </is>
      </c>
      <c r="AH1958" s="3" t="n">
        <v>46321.77847222222</v>
      </c>
      <c r="AI1958" s="3" t="n">
        <v>46321.78055555555</v>
      </c>
      <c r="AJ1958" s="2" t="inlineStr"/>
    </row>
    <row r="1959">
      <c r="A1959" s="2" t="n">
        <v>1958</v>
      </c>
      <c r="B1959" s="2" t="inlineStr">
        <is>
          <t>1854C</t>
        </is>
      </c>
      <c r="C1959" s="3" t="n">
        <v>45968.71597222222</v>
      </c>
      <c r="D1959" s="2" t="inlineStr">
        <is>
          <t>Original</t>
        </is>
      </c>
      <c r="E1959" s="2" t="inlineStr">
        <is>
          <t>L</t>
        </is>
      </c>
      <c r="F1959" s="2" t="inlineStr">
        <is>
          <t>Filipa Pinto; Isabel Mendes Lopes; Jorge Pinto; Patrícia Gonçalves; Paulo Muacho; Rui Tavares</t>
        </is>
      </c>
      <c r="G1959" s="2" t="inlineStr">
        <is>
          <t>Art. 60.º (substituição)</t>
        </is>
      </c>
      <c r="H1959" s="2" t="n"/>
      <c r="I1959" s="2" t="n"/>
      <c r="J1959" s="2" t="n"/>
      <c r="K1959" s="2" t="n"/>
      <c r="L1959" s="2" t="inlineStr">
        <is>
          <t>N.º 1, Artigo 78.º-B do Código do IRS</t>
        </is>
      </c>
      <c r="M1959" s="4" t="n"/>
      <c r="N1959" s="4" t="n"/>
      <c r="O1959" s="2" t="n"/>
      <c r="P1959" s="2" t="n"/>
      <c r="Q1959" s="2" t="n"/>
      <c r="R1959" s="2" t="n"/>
      <c r="S1959" s="2" t="inlineStr">
        <is>
          <t>Rejeitado(a) em Comissão</t>
        </is>
      </c>
      <c r="T1959" s="2" t="inlineStr">
        <is>
          <t>Rejeitada</t>
        </is>
      </c>
      <c r="U1959" s="2" t="inlineStr">
        <is>
          <t>Favor: IL, L, BE, PAN; Contra: PSD, CDS-PP; Abstenção: CH, PS, PCP</t>
        </is>
      </c>
      <c r="V1959" s="3" t="n">
        <v>45981</v>
      </c>
      <c r="W1959" s="2" t="inlineStr">
        <is>
          <t>AR: https://www.parlamento.pt/OrcamentoEstado/Paginas/DetalhePropostaAlteracao.aspx?BID=25105 PDF: https://app.parlamento.pt/webutils/docs/doc.pdf?path=6148523063484d364c793942556b356c6443397a6158526c63793959566b6c4a544556484c3039464c7a49774d6a59794d4449314d5441774f533951515338314f47566d5a6d59344e6930334d6a51344c54526d4e6d5174596a646a595330784d7a566b5a6d566d5a6d55334d6a67756347526d&amp;Fich=58efff86-7248-4f6d-b7ca-135dfeffe728.pdf&amp;Inline=true</t>
        </is>
      </c>
      <c r="X1959" s="2" t="inlineStr">
        <is>
          <t>Orçamento, Finanças e Administração Pública</t>
        </is>
      </c>
      <c r="Y1959" s="2" t="inlineStr">
        <is>
          <t>Articulado</t>
        </is>
      </c>
      <c r="Z1959" s="2" t="inlineStr">
        <is>
          <t>Substituição</t>
        </is>
      </c>
      <c r="AA1959" s="2" t="inlineStr">
        <is>
          <t>Rejeitado(a) em Comissão</t>
        </is>
      </c>
      <c r="AB1959" s="2" t="inlineStr"/>
      <c r="AC1959" s="2" t="inlineStr"/>
      <c r="AD1959" s="2" t="inlineStr">
        <is>
          <t>1</t>
        </is>
      </c>
      <c r="AE1959" s="2" t="inlineStr">
        <is>
          <t>25105</t>
        </is>
      </c>
      <c r="AF1959" s="2" t="inlineStr">
        <is>
          <t>https://www.parlamento.pt/OrcamentoEstado/Paginas/DetalhePropostaAlteracao.aspx?BID=25105</t>
        </is>
      </c>
      <c r="AG1959" s="2" t="inlineStr">
        <is>
          <t>https://app.parlamento.pt/webutils/docs/doc.pdf?path=6148523063484d364c793942556b356c6443397a6158526c63793959566b6c4a544556484c3039464c7a49774d6a59794d4449314d5441774f533951515338314f47566d5a6d59344e6930334d6a51344c54526d4e6d5174596a646a595330784d7a566b5a6d566d5a6d55334d6a67756347526d&amp;Fich=58efff86-7248-4f6d-b7ca-135dfeffe728.pdf&amp;Inline=true</t>
        </is>
      </c>
      <c r="AH1959" s="3" t="n">
        <v>46321.77847222222</v>
      </c>
      <c r="AI1959" s="3" t="n">
        <v>46321.78055555555</v>
      </c>
      <c r="AJ1959" s="2" t="inlineStr"/>
    </row>
    <row r="1960">
      <c r="A1960" s="2" t="n">
        <v>1959</v>
      </c>
      <c r="B1960" s="2" t="inlineStr">
        <is>
          <t>1855C</t>
        </is>
      </c>
      <c r="C1960" s="3" t="n">
        <v>45968.71597222222</v>
      </c>
      <c r="D1960" s="2" t="inlineStr">
        <is>
          <t>Original</t>
        </is>
      </c>
      <c r="E1960" s="2" t="inlineStr">
        <is>
          <t>L</t>
        </is>
      </c>
      <c r="F1960" s="2" t="inlineStr">
        <is>
          <t>Filipa Pinto; Isabel Mendes Lopes; Jorge Pinto; Patrícia Gonçalves; Paulo Muacho; Rui Tavares</t>
        </is>
      </c>
      <c r="G1960" s="2" t="inlineStr">
        <is>
          <t>Art. 112.º-A (aditamento)</t>
        </is>
      </c>
      <c r="H1960" s="2" t="n"/>
      <c r="I1960" s="2" t="n"/>
      <c r="J1960" s="2" t="n"/>
      <c r="K1960" s="2" t="n"/>
      <c r="L1960" s="2" t="inlineStr">
        <is>
          <t>Artigo 112.º-A (Escola no Exílio para Refugiados e Apátridas)</t>
        </is>
      </c>
      <c r="M1960" s="4" t="n"/>
      <c r="N1960" s="4" t="n"/>
      <c r="O1960" s="2" t="n"/>
      <c r="P1960" s="2" t="n"/>
      <c r="Q1960" s="2" t="n"/>
      <c r="R1960" s="2" t="n"/>
      <c r="S1960" s="2" t="inlineStr">
        <is>
          <t>Rejeitado(a) em Comissão</t>
        </is>
      </c>
      <c r="T1960" s="2" t="inlineStr">
        <is>
          <t>Rejeitada</t>
        </is>
      </c>
      <c r="U1960" s="2" t="inlineStr">
        <is>
          <t>Favor: PS, IL, L, BE, PAN; Contra: PSD, CH, CDS-PP; Abstenção: PCP</t>
        </is>
      </c>
      <c r="V1960" s="3" t="n">
        <v>45982</v>
      </c>
      <c r="W1960" s="2" t="inlineStr">
        <is>
          <t>AR: https://www.parlamento.pt/OrcamentoEstado/Paginas/DetalhePropostaAlteracao.aspx?BID=25106 PDF: https://app.parlamento.pt/webutils/docs/doc.pdf?path=6148523063484d364c793942556b356c6443397a6158526c63793959566b6c4a544556484c3039464c7a49774d6a59794d4449314d5441774f533951515338314e4446694d475179595330354f4445794c5451784d6d55744f47517a597930794d544d315a445534593255324e4459756347526d&amp;Fich=541b0d2a-9812-412e-8d3c-2135d58ce646.pdf&amp;Inline=true</t>
        </is>
      </c>
      <c r="X1960" s="2" t="inlineStr">
        <is>
          <t>Assuntos Constitucionais, Direitos, Liberdades e Garantias; Educação e Ciência</t>
        </is>
      </c>
      <c r="Y1960" s="2" t="inlineStr">
        <is>
          <t>Articulado</t>
        </is>
      </c>
      <c r="Z1960" s="2" t="inlineStr">
        <is>
          <t>Aditamento (Artigo PPL)</t>
        </is>
      </c>
      <c r="AA1960" s="2" t="inlineStr">
        <is>
          <t>Rejeitado(a) em Comissão</t>
        </is>
      </c>
      <c r="AB1960" s="2" t="inlineStr"/>
      <c r="AC1960" s="2" t="inlineStr"/>
      <c r="AD1960" s="2" t="inlineStr">
        <is>
          <t>1</t>
        </is>
      </c>
      <c r="AE1960" s="2" t="inlineStr">
        <is>
          <t>25106</t>
        </is>
      </c>
      <c r="AF1960" s="2" t="inlineStr">
        <is>
          <t>https://www.parlamento.pt/OrcamentoEstado/Paginas/DetalhePropostaAlteracao.aspx?BID=25106</t>
        </is>
      </c>
      <c r="AG1960" s="2" t="inlineStr">
        <is>
          <t>https://app.parlamento.pt/webutils/docs/doc.pdf?path=6148523063484d364c793942556b356c6443397a6158526c63793959566b6c4a544556484c3039464c7a49774d6a59794d4449314d5441774f533951515338314e4446694d475179595330354f4445794c5451784d6d55744f47517a597930794d544d315a445534593255324e4459756347526d&amp;Fich=541b0d2a-9812-412e-8d3c-2135d58ce646.pdf&amp;Inline=true</t>
        </is>
      </c>
      <c r="AH1960" s="3" t="n">
        <v>46321.77847222222</v>
      </c>
      <c r="AI1960" s="3" t="n">
        <v>46321.78055555555</v>
      </c>
      <c r="AJ1960" s="2" t="inlineStr"/>
    </row>
    <row r="1961">
      <c r="A1961" s="2" t="n">
        <v>1960</v>
      </c>
      <c r="B1961" s="2" t="inlineStr">
        <is>
          <t>1856C</t>
        </is>
      </c>
      <c r="C1961" s="3" t="n">
        <v>45968.71597222222</v>
      </c>
      <c r="D1961" s="2" t="inlineStr">
        <is>
          <t>Original</t>
        </is>
      </c>
      <c r="E1961" s="2" t="inlineStr">
        <is>
          <t>PCP</t>
        </is>
      </c>
      <c r="F1961" s="2" t="inlineStr">
        <is>
          <t>Alfredo Maia; Paula Santos; Paulo Raimundo</t>
        </is>
      </c>
      <c r="G1961" s="2" t="inlineStr">
        <is>
          <t>Art. 89.º-A (aditamento)</t>
        </is>
      </c>
      <c r="H1961" s="2" t="n"/>
      <c r="I1961" s="2" t="n"/>
      <c r="J1961" s="2" t="n"/>
      <c r="K1961" s="2" t="n"/>
      <c r="L1961" s="2" t="inlineStr">
        <is>
          <t>Artigo 89.º-A (Requalificação e valorização dos espaços de recreio)</t>
        </is>
      </c>
      <c r="M1961" s="4" t="n"/>
      <c r="N1961" s="4" t="n"/>
      <c r="O1961" s="2" t="n"/>
      <c r="P1961" s="2" t="n"/>
      <c r="Q1961" s="2" t="n"/>
      <c r="R1961" s="2" t="n"/>
      <c r="S1961" s="2" t="inlineStr">
        <is>
          <t>Rejeitado(a) em Comissão</t>
        </is>
      </c>
      <c r="T1961" s="2" t="inlineStr">
        <is>
          <t>Rejeitada</t>
        </is>
      </c>
      <c r="U1961" s="2" t="inlineStr">
        <is>
          <t>Favor: L, PCP, BE, PAN; Contra: PSD, CDS-PP</t>
        </is>
      </c>
      <c r="V1961" s="3" t="n">
        <v>45982</v>
      </c>
      <c r="W1961" s="2" t="inlineStr">
        <is>
          <t>AR: https://www.parlamento.pt/OrcamentoEstado/Paginas/DetalhePropostaAlteracao.aspx?BID=25107 PDF: https://app.parlamento.pt/webutils/docs/doc.pdf?path=6148523063484d364c793942556b356c6443397a6158526c63793959566b6c4a544556484c3039464c7a49774d6a59794d4449314d5441774f533951515338794d6a51334d5749355a5330774e7a45304c54526a4f5745744f546c6a4e6930784d7a6c6a5a47466b4d6a45794e7a59756347526d&amp;Fich=22471b9e-0714-4c9a-99c6-139cdad21276.pdf&amp;Inline=true</t>
        </is>
      </c>
      <c r="X1961" s="2" t="inlineStr">
        <is>
          <t>Educação e Ciência</t>
        </is>
      </c>
      <c r="Y1961" s="2" t="inlineStr">
        <is>
          <t>Articulado</t>
        </is>
      </c>
      <c r="Z1961" s="2" t="inlineStr">
        <is>
          <t>Aditamento (Artigo PPL)</t>
        </is>
      </c>
      <c r="AA1961" s="2" t="inlineStr">
        <is>
          <t>Rejeitado(a) em Comissão</t>
        </is>
      </c>
      <c r="AB1961" s="2" t="inlineStr"/>
      <c r="AC1961" s="2" t="inlineStr"/>
      <c r="AD1961" s="2" t="inlineStr">
        <is>
          <t>1</t>
        </is>
      </c>
      <c r="AE1961" s="2" t="inlineStr">
        <is>
          <t>25107</t>
        </is>
      </c>
      <c r="AF1961" s="2" t="inlineStr">
        <is>
          <t>https://www.parlamento.pt/OrcamentoEstado/Paginas/DetalhePropostaAlteracao.aspx?BID=25107</t>
        </is>
      </c>
      <c r="AG1961" s="2" t="inlineStr">
        <is>
          <t>https://app.parlamento.pt/webutils/docs/doc.pdf?path=6148523063484d364c793942556b356c6443397a6158526c63793959566b6c4a544556484c3039464c7a49774d6a59794d4449314d5441774f533951515338794d6a51334d5749355a5330774e7a45304c54526a4f5745744f546c6a4e6930784d7a6c6a5a47466b4d6a45794e7a59756347526d&amp;Fich=22471b9e-0714-4c9a-99c6-139cdad21276.pdf&amp;Inline=true</t>
        </is>
      </c>
      <c r="AH1961" s="3" t="n">
        <v>46321.77847222222</v>
      </c>
      <c r="AI1961" s="3" t="n">
        <v>46321.78055555555</v>
      </c>
      <c r="AJ1961" s="2" t="inlineStr"/>
    </row>
    <row r="1962">
      <c r="A1962" s="2" t="n">
        <v>1961</v>
      </c>
      <c r="B1962" s="2" t="inlineStr">
        <is>
          <t>1857C</t>
        </is>
      </c>
      <c r="C1962" s="3" t="n">
        <v>45968.71666666667</v>
      </c>
      <c r="D1962" s="2" t="inlineStr">
        <is>
          <t>Original</t>
        </is>
      </c>
      <c r="E1962" s="2" t="inlineStr">
        <is>
          <t>PCP</t>
        </is>
      </c>
      <c r="F1962" s="2" t="inlineStr">
        <is>
          <t>Alfredo Maia; Paula Santos; Paulo Raimundo</t>
        </is>
      </c>
      <c r="G1962" s="2" t="inlineStr">
        <is>
          <t>Art. 118.º-A (aditamento)</t>
        </is>
      </c>
      <c r="H1962" s="2" t="n"/>
      <c r="I1962" s="2" t="n"/>
      <c r="J1962" s="2" t="n"/>
      <c r="K1962" s="2" t="n"/>
      <c r="L1962" s="2" t="inlineStr">
        <is>
          <t>Artigo 118.º-A (Alargamento da rede pública de educação pré-escolar)</t>
        </is>
      </c>
      <c r="M1962" s="4" t="n"/>
      <c r="N1962" s="4" t="n"/>
      <c r="O1962" s="2" t="n"/>
      <c r="P1962" s="2" t="n"/>
      <c r="Q1962" s="2" t="n"/>
      <c r="R1962" s="2" t="n"/>
      <c r="S1962" s="2" t="inlineStr">
        <is>
          <t>Rejeitado(a) em Comissão</t>
        </is>
      </c>
      <c r="T1962" s="2" t="inlineStr">
        <is>
          <t>Rejeitada</t>
        </is>
      </c>
      <c r="U1962" s="2" t="inlineStr">
        <is>
          <t>Favor: CH, L, PCP, BE, PAN; Contra: PSD, CDS-PP; Abstenção: PS, IL</t>
        </is>
      </c>
      <c r="V1962" s="3" t="n">
        <v>45985</v>
      </c>
      <c r="W1962" s="2" t="inlineStr">
        <is>
          <t>AR: https://www.parlamento.pt/OrcamentoEstado/Paginas/DetalhePropostaAlteracao.aspx?BID=25108 PDF: https://app.parlamento.pt/webutils/docs/doc.pdf?path=6148523063484d364c793942556b356c6443397a6158526c63793959566b6c4a544556484c3039464c7a49774d6a59794d4449314d5441774f533951515338354e54686a4f57566b4d6930335954457a4c5451784d4445744f4745324f53316a4d545a6c4d57453159545a6d4d4455756347526d&amp;Fich=958c9ed2-7a13-4101-8a69-c16e1a5a6f05.pdf&amp;Inline=true</t>
        </is>
      </c>
      <c r="X1962" s="2" t="inlineStr">
        <is>
          <t>Educação e Ciência</t>
        </is>
      </c>
      <c r="Y1962" s="2" t="inlineStr">
        <is>
          <t>Articulado</t>
        </is>
      </c>
      <c r="Z1962" s="2" t="inlineStr">
        <is>
          <t>Aditamento (Artigo PPL)</t>
        </is>
      </c>
      <c r="AA1962" s="2" t="inlineStr">
        <is>
          <t>Rejeitado(a) em Comissão</t>
        </is>
      </c>
      <c r="AB1962" s="2" t="inlineStr"/>
      <c r="AC1962" s="2" t="inlineStr"/>
      <c r="AD1962" s="2" t="inlineStr">
        <is>
          <t>1</t>
        </is>
      </c>
      <c r="AE1962" s="2" t="inlineStr">
        <is>
          <t>25108</t>
        </is>
      </c>
      <c r="AF1962" s="2" t="inlineStr">
        <is>
          <t>https://www.parlamento.pt/OrcamentoEstado/Paginas/DetalhePropostaAlteracao.aspx?BID=25108</t>
        </is>
      </c>
      <c r="AG1962" s="2" t="inlineStr">
        <is>
          <t>https://app.parlamento.pt/webutils/docs/doc.pdf?path=6148523063484d364c793942556b356c6443397a6158526c63793959566b6c4a544556484c3039464c7a49774d6a59794d4449314d5441774f533951515338354e54686a4f57566b4d6930335954457a4c5451784d4445744f4745324f53316a4d545a6c4d57453159545a6d4d4455756347526d&amp;Fich=958c9ed2-7a13-4101-8a69-c16e1a5a6f05.pdf&amp;Inline=true</t>
        </is>
      </c>
      <c r="AH1962" s="3" t="n">
        <v>46321.77847222222</v>
      </c>
      <c r="AI1962" s="3" t="n">
        <v>46321.78055555555</v>
      </c>
      <c r="AJ1962" s="2" t="inlineStr"/>
    </row>
    <row r="1963">
      <c r="A1963" s="2" t="n">
        <v>1962</v>
      </c>
      <c r="B1963" s="2" t="inlineStr">
        <is>
          <t>1858C-1</t>
        </is>
      </c>
      <c r="C1963" s="3" t="n">
        <v>45968.71736111111</v>
      </c>
      <c r="D1963" s="2" t="inlineStr">
        <is>
          <t>Original</t>
        </is>
      </c>
      <c r="E1963" s="2" t="inlineStr">
        <is>
          <t>L</t>
        </is>
      </c>
      <c r="F1963" s="2" t="inlineStr">
        <is>
          <t>Filipa Pinto; Isabel Mendes Lopes; Jorge Pinto; Patrícia Gonçalves; Paulo Muacho; Rui Tavares</t>
        </is>
      </c>
      <c r="G1963" s="2" t="inlineStr">
        <is>
          <t>Art. 63.º-A (aditamento)</t>
        </is>
      </c>
      <c r="H1963" s="2" t="n"/>
      <c r="I1963" s="2" t="n"/>
      <c r="J1963" s="2" t="n"/>
      <c r="K1963" s="2" t="n"/>
      <c r="L1963" s="2" t="inlineStr">
        <is>
          <t>Artigo 63.º-A (Aditamento à lista I anexa ao Código do Imposto sobre o Valor Acrescentado)</t>
        </is>
      </c>
      <c r="M1963" s="4" t="n"/>
      <c r="N1963" s="4" t="n"/>
      <c r="O1963" s="2" t="n"/>
      <c r="P1963" s="2" t="n"/>
      <c r="Q1963" s="2" t="n"/>
      <c r="R1963" s="2" t="n"/>
      <c r="S1963" s="2" t="inlineStr">
        <is>
          <t>Rejeitado(a) em Comissão</t>
        </is>
      </c>
      <c r="T1963" s="2" t="inlineStr">
        <is>
          <t>Rejeitada</t>
        </is>
      </c>
      <c r="U1963" s="2" t="inlineStr">
        <is>
          <t>Favor: CH, IL, L, PCP, BE, PAN; Contra: PSD, CDS-PP; Abstenção: PS</t>
        </is>
      </c>
      <c r="V1963" s="3" t="n">
        <v>45982</v>
      </c>
      <c r="W1963" s="2" t="inlineStr">
        <is>
          <t>AR: https://www.parlamento.pt/OrcamentoEstado/Paginas/DetalhePropostaAlteracao.aspx?BID=25110 PDF: https://app.parlamento.pt/webutils/docs/doc.pdf?path=6148523063484d364c793942556b356c6443397a6158526c63793959566b6c4a544556484c3039464c7a49774d6a59794d4449314d5441774f5339515153396a593251785a4446695a4330795957566a4c54517a5a575574596d566d4f5330304e7a466c5a574a6c4e44557a59546b756347526d&amp;Fich=ccd1d1bd-2aec-43ee-bef9-471eebe453a9.pdf&amp;Inline=true</t>
        </is>
      </c>
      <c r="X1963" s="2" t="inlineStr">
        <is>
          <t>Orçamento, Finanças e Administração Pública</t>
        </is>
      </c>
      <c r="Y1963" s="2" t="inlineStr">
        <is>
          <t>Articulado</t>
        </is>
      </c>
      <c r="Z1963" s="2" t="inlineStr">
        <is>
          <t>Aditamento (Artigo PPL)</t>
        </is>
      </c>
      <c r="AA1963" s="2" t="inlineStr">
        <is>
          <t>Rejeitado(a) em Comissão</t>
        </is>
      </c>
      <c r="AB1963" s="2" t="inlineStr"/>
      <c r="AC1963" s="2" t="inlineStr">
        <is>
          <t>1</t>
        </is>
      </c>
      <c r="AD1963" s="2" t="inlineStr">
        <is>
          <t>1</t>
        </is>
      </c>
      <c r="AE1963" s="2" t="inlineStr">
        <is>
          <t>25110</t>
        </is>
      </c>
      <c r="AF1963" s="2" t="inlineStr">
        <is>
          <t>https://www.parlamento.pt/OrcamentoEstado/Paginas/DetalhePropostaAlteracao.aspx?BID=25110</t>
        </is>
      </c>
      <c r="AG1963" s="2" t="inlineStr">
        <is>
          <t>https://app.parlamento.pt/webutils/docs/doc.pdf?path=6148523063484d364c793942556b356c6443397a6158526c63793959566b6c4a544556484c3039464c7a49774d6a59794d4449314d5441774f5339515153396a593251785a4446695a4330795957566a4c54517a5a575574596d566d4f5330304e7a466c5a574a6c4e44557a59546b756347526d&amp;Fich=ccd1d1bd-2aec-43ee-bef9-471eebe453a9.pdf&amp;Inline=true</t>
        </is>
      </c>
      <c r="AH1963" s="3" t="n">
        <v>46321.77847222222</v>
      </c>
      <c r="AI1963" s="3" t="n">
        <v>46321.78055555555</v>
      </c>
      <c r="AJ1963" s="2" t="inlineStr"/>
    </row>
    <row r="1964">
      <c r="A1964" s="2" t="n">
        <v>1963</v>
      </c>
      <c r="B1964" s="2" t="inlineStr">
        <is>
          <t>1858C-2</t>
        </is>
      </c>
      <c r="C1964" s="3" t="n">
        <v>45968.71736111111</v>
      </c>
      <c r="D1964" s="2" t="inlineStr">
        <is>
          <t>Original</t>
        </is>
      </c>
      <c r="E1964" s="2" t="inlineStr">
        <is>
          <t>L</t>
        </is>
      </c>
      <c r="F1964" s="2" t="inlineStr">
        <is>
          <t>Filipa Pinto; Isabel Mendes Lopes; Jorge Pinto; Patrícia Gonçalves; Paulo Muacho; Rui Tavares</t>
        </is>
      </c>
      <c r="G1964" s="2" t="inlineStr">
        <is>
          <t>Art. 63.º-B (aditamento)</t>
        </is>
      </c>
      <c r="H1964" s="2" t="n"/>
      <c r="I1964" s="2" t="n"/>
      <c r="J1964" s="2" t="n"/>
      <c r="K1964" s="2" t="n"/>
      <c r="L1964" s="2" t="inlineStr">
        <is>
          <t>Artigo 63.º-B (Alteração à Lista II anexa ao Código do Imposto sobre o Valor Acrescentado)</t>
        </is>
      </c>
      <c r="M1964" s="4" t="n"/>
      <c r="N1964" s="4" t="n"/>
      <c r="O1964" s="2" t="n"/>
      <c r="P1964" s="2" t="n"/>
      <c r="Q1964" s="2" t="n"/>
      <c r="R1964" s="2" t="n"/>
      <c r="S1964" s="2" t="inlineStr">
        <is>
          <t>Rejeitado(a) em Comissão</t>
        </is>
      </c>
      <c r="T1964" s="2" t="inlineStr">
        <is>
          <t>Rejeitada</t>
        </is>
      </c>
      <c r="U1964" s="2" t="inlineStr">
        <is>
          <t>Favor: CH, L, BE, PAN; Contra: PSD, IL, PCP, CDS-PP; Abstenção: PS</t>
        </is>
      </c>
      <c r="V1964" s="3" t="n">
        <v>45982</v>
      </c>
      <c r="W1964" s="2" t="inlineStr">
        <is>
          <t>AR: https://www.parlamento.pt/OrcamentoEstado/Paginas/DetalhePropostaAlteracao.aspx?BID=25345 PDF: https://app.parlamento.pt/webutils/docs/doc.pdf?path=6148523063484d364c793942556b356c6443397a6158526c63793959566b6c4a544556484c3039464c7a49774d6a59794d4449314d5441774f533951515338304f4756694d4459305a693078596a67334c54526d596a67745954597a4e43316c4f57557a597a4133596a63354f4441756347526d&amp;Fich=48eb064f-1b87-4fb8-a634-e9e3c07b7980.pdf&amp;Inline=true</t>
        </is>
      </c>
      <c r="X1964" s="2" t="inlineStr">
        <is>
          <t>Orçamento, Finanças e Administração Pública</t>
        </is>
      </c>
      <c r="Y1964" s="2" t="inlineStr">
        <is>
          <t>Articulado</t>
        </is>
      </c>
      <c r="Z1964" s="2" t="inlineStr">
        <is>
          <t>Aditamento (Artigo PPL)</t>
        </is>
      </c>
      <c r="AA1964" s="2" t="inlineStr">
        <is>
          <t>Rejeitado(a) em Comissão</t>
        </is>
      </c>
      <c r="AB1964" s="2" t="inlineStr"/>
      <c r="AC1964" s="2" t="inlineStr">
        <is>
          <t>2</t>
        </is>
      </c>
      <c r="AD1964" s="2" t="inlineStr">
        <is>
          <t>1</t>
        </is>
      </c>
      <c r="AE1964" s="2" t="inlineStr">
        <is>
          <t>25345</t>
        </is>
      </c>
      <c r="AF1964" s="2" t="inlineStr">
        <is>
          <t>https://www.parlamento.pt/OrcamentoEstado/Paginas/DetalhePropostaAlteracao.aspx?BID=25345</t>
        </is>
      </c>
      <c r="AG1964" s="2" t="inlineStr">
        <is>
          <t>https://app.parlamento.pt/webutils/docs/doc.pdf?path=6148523063484d364c793942556b356c6443397a6158526c63793959566b6c4a544556484c3039464c7a49774d6a59794d4449314d5441774f533951515338304f4756694d4459305a693078596a67334c54526d596a67745954597a4e43316c4f57557a597a4133596a63354f4441756347526d&amp;Fich=48eb064f-1b87-4fb8-a634-e9e3c07b7980.pdf&amp;Inline=true</t>
        </is>
      </c>
      <c r="AH1964" s="3" t="n">
        <v>46321.77847222222</v>
      </c>
      <c r="AI1964" s="3" t="n">
        <v>46321.78055555555</v>
      </c>
      <c r="AJ1964" s="2" t="inlineStr"/>
    </row>
    <row r="1965">
      <c r="A1965" s="2" t="n">
        <v>1964</v>
      </c>
      <c r="B1965" s="2" t="inlineStr">
        <is>
          <t>1859C</t>
        </is>
      </c>
      <c r="C1965" s="3" t="n">
        <v>45968.71875</v>
      </c>
      <c r="D1965" s="2" t="inlineStr">
        <is>
          <t>Original</t>
        </is>
      </c>
      <c r="E1965" s="2" t="inlineStr">
        <is>
          <t>PCP</t>
        </is>
      </c>
      <c r="F1965" s="2" t="inlineStr">
        <is>
          <t>Alfredo Maia; Paula Santos; Paulo Raimundo</t>
        </is>
      </c>
      <c r="G1965" s="2" t="inlineStr">
        <is>
          <t>Art. 118.º-A (aditamento)</t>
        </is>
      </c>
      <c r="H1965" s="2" t="n"/>
      <c r="I1965" s="2" t="n"/>
      <c r="J1965" s="2" t="n"/>
      <c r="K1965" s="2" t="n"/>
      <c r="L1965" s="2" t="inlineStr">
        <is>
          <t>Artigo 118.º-A (Alargamento da rede pública de ensino artístico especializado)</t>
        </is>
      </c>
      <c r="M1965" s="4" t="n"/>
      <c r="N1965" s="4" t="n"/>
      <c r="O1965" s="2" t="n"/>
      <c r="P1965" s="2" t="n"/>
      <c r="Q1965" s="2" t="n"/>
      <c r="R1965" s="2" t="n"/>
      <c r="S1965" s="2" t="inlineStr">
        <is>
          <t>Rejeitado(a) em Comissão</t>
        </is>
      </c>
      <c r="T1965" s="2" t="inlineStr">
        <is>
          <t>Rejeitada</t>
        </is>
      </c>
      <c r="U1965" s="2" t="inlineStr">
        <is>
          <t>Favor: L, PCP, BE, PAN; Contra: PSD, CH, IL, CDS-PP; Abstenção: PS</t>
        </is>
      </c>
      <c r="V1965" s="3" t="n">
        <v>45985</v>
      </c>
      <c r="W1965" s="2" t="inlineStr">
        <is>
          <t>AR: https://www.parlamento.pt/OrcamentoEstado/Paginas/DetalhePropostaAlteracao.aspx?BID=25111 PDF: https://app.parlamento.pt/webutils/docs/doc.pdf?path=6148523063484d364c793942556b356c6443397a6158526c63793959566b6c4a544556484c3039464c7a49774d6a59794d4449314d5441774f53395151533833596a45305a4759774f43316b595467324c5451304d3245744f4445344e433078596a55345a44637859545668597a59756347526d&amp;Fich=7b14df08-da86-443a-8184-1b58d71a5ac6.pdf&amp;Inline=true</t>
        </is>
      </c>
      <c r="X1965" s="2" t="inlineStr">
        <is>
          <t>Educação e Ciência</t>
        </is>
      </c>
      <c r="Y1965" s="2" t="inlineStr">
        <is>
          <t>Articulado</t>
        </is>
      </c>
      <c r="Z1965" s="2" t="inlineStr">
        <is>
          <t>Aditamento (Artigo PPL)</t>
        </is>
      </c>
      <c r="AA1965" s="2" t="inlineStr">
        <is>
          <t>Rejeitado(a) em Comissão</t>
        </is>
      </c>
      <c r="AB1965" s="2" t="inlineStr"/>
      <c r="AC1965" s="2" t="inlineStr"/>
      <c r="AD1965" s="2" t="inlineStr">
        <is>
          <t>1</t>
        </is>
      </c>
      <c r="AE1965" s="2" t="inlineStr">
        <is>
          <t>25111</t>
        </is>
      </c>
      <c r="AF1965" s="2" t="inlineStr">
        <is>
          <t>https://www.parlamento.pt/OrcamentoEstado/Paginas/DetalhePropostaAlteracao.aspx?BID=25111</t>
        </is>
      </c>
      <c r="AG1965" s="2" t="inlineStr">
        <is>
          <t>https://app.parlamento.pt/webutils/docs/doc.pdf?path=6148523063484d364c793942556b356c6443397a6158526c63793959566b6c4a544556484c3039464c7a49774d6a59794d4449314d5441774f53395151533833596a45305a4759774f43316b595467324c5451304d3245744f4445344e433078596a55345a44637859545668597a59756347526d&amp;Fich=7b14df08-da86-443a-8184-1b58d71a5ac6.pdf&amp;Inline=true</t>
        </is>
      </c>
      <c r="AH1965" s="3" t="n">
        <v>46321.77847222222</v>
      </c>
      <c r="AI1965" s="3" t="n">
        <v>46321.78055555555</v>
      </c>
      <c r="AJ1965" s="2" t="inlineStr"/>
    </row>
    <row r="1966">
      <c r="A1966" s="2" t="n">
        <v>1965</v>
      </c>
      <c r="B1966" s="2" t="inlineStr">
        <is>
          <t>1860C</t>
        </is>
      </c>
      <c r="C1966" s="3" t="n">
        <v>45968.71875</v>
      </c>
      <c r="D1966" s="2" t="inlineStr">
        <is>
          <t>Original</t>
        </is>
      </c>
      <c r="E1966" s="2" t="inlineStr">
        <is>
          <t>PAN</t>
        </is>
      </c>
      <c r="F1966" s="2" t="inlineStr">
        <is>
          <t>Inês de Sousa Real</t>
        </is>
      </c>
      <c r="G1966" s="2" t="inlineStr">
        <is>
          <t>Art. 39.º-C (aditamento)</t>
        </is>
      </c>
      <c r="H1966" s="2" t="n"/>
      <c r="I1966" s="2" t="n"/>
      <c r="J1966" s="2" t="n"/>
      <c r="K1966" s="2" t="n"/>
      <c r="L1966" s="2" t="inlineStr">
        <is>
          <t>Artigo 39.º-C (Alteração ao Decreto-Lei n.º 28/2004, de 4 de fevereiro)</t>
        </is>
      </c>
      <c r="M1966" s="4" t="n"/>
      <c r="N1966" s="4" t="n"/>
      <c r="O1966" s="2" t="n"/>
      <c r="P1966" s="2" t="n"/>
      <c r="Q1966" s="2" t="n"/>
      <c r="R1966" s="2" t="n"/>
      <c r="S1966" s="2" t="inlineStr">
        <is>
          <t>Rejeitado(a) em Comissão</t>
        </is>
      </c>
      <c r="T1966" s="2" t="inlineStr">
        <is>
          <t>Rejeitada</t>
        </is>
      </c>
      <c r="U1966" s="2" t="inlineStr">
        <is>
          <t>Favor: CH, IL, L, PCP, BE, PAN; Contra: PSD, CDS-PP; Abstenção: PS</t>
        </is>
      </c>
      <c r="V1966" s="3" t="n">
        <v>45981</v>
      </c>
      <c r="W1966" s="2" t="inlineStr">
        <is>
          <t>AR: https://www.parlamento.pt/OrcamentoEstado/Paginas/DetalhePropostaAlteracao.aspx?BID=25112 PDF: https://app.parlamento.pt/webutils/docs/doc.pdf?path=6148523063484d364c793942556b356c6443397a6158526c63793959566b6c4a544556484c3039464c7a49774d6a59794d4449314d5441774f533951515338344e546b334f5756685a6930304e574e6a4c5452684f575574596a686c596930345a574a694e444a684d6a6b344e6d59756347526d&amp;Fich=85979eaf-45cc-4a9e-b8eb-8ebb42a2986f.pdf&amp;Inline=true</t>
        </is>
      </c>
      <c r="X1966" s="2" t="inlineStr">
        <is>
          <t>Trabalho, Segurança Social e Inclusão</t>
        </is>
      </c>
      <c r="Y1966" s="2" t="inlineStr">
        <is>
          <t>Articulado</t>
        </is>
      </c>
      <c r="Z1966" s="2" t="inlineStr">
        <is>
          <t>Aditamento (Artigo PPL)</t>
        </is>
      </c>
      <c r="AA1966" s="2" t="inlineStr">
        <is>
          <t>Rejeitado(a) em Comissão</t>
        </is>
      </c>
      <c r="AB1966" s="2" t="inlineStr"/>
      <c r="AC1966" s="2" t="inlineStr"/>
      <c r="AD1966" s="2" t="inlineStr">
        <is>
          <t>1</t>
        </is>
      </c>
      <c r="AE1966" s="2" t="inlineStr">
        <is>
          <t>25112</t>
        </is>
      </c>
      <c r="AF1966" s="2" t="inlineStr">
        <is>
          <t>https://www.parlamento.pt/OrcamentoEstado/Paginas/DetalhePropostaAlteracao.aspx?BID=25112</t>
        </is>
      </c>
      <c r="AG1966" s="2" t="inlineStr">
        <is>
          <t>https://app.parlamento.pt/webutils/docs/doc.pdf?path=6148523063484d364c793942556b356c6443397a6158526c63793959566b6c4a544556484c3039464c7a49774d6a59794d4449314d5441774f533951515338344e546b334f5756685a6930304e574e6a4c5452684f575574596a686c596930345a574a694e444a684d6a6b344e6d59756347526d&amp;Fich=85979eaf-45cc-4a9e-b8eb-8ebb42a2986f.pdf&amp;Inline=true</t>
        </is>
      </c>
      <c r="AH1966" s="3" t="n">
        <v>46321.77847222222</v>
      </c>
      <c r="AI1966" s="3" t="n">
        <v>46321.78055555555</v>
      </c>
      <c r="AJ1966" s="2" t="inlineStr"/>
    </row>
    <row r="1967">
      <c r="A1967" s="2" t="n">
        <v>1966</v>
      </c>
      <c r="B1967" s="2" t="inlineStr">
        <is>
          <t>1861C</t>
        </is>
      </c>
      <c r="C1967" s="3" t="n">
        <v>45968.71944444445</v>
      </c>
      <c r="D1967" s="2" t="inlineStr">
        <is>
          <t>Original</t>
        </is>
      </c>
      <c r="E1967" s="2" t="inlineStr">
        <is>
          <t>IL</t>
        </is>
      </c>
      <c r="F1967" s="2" t="inlineStr">
        <is>
          <t>Angélique Da Teresa; Carlos Guimarães Pinto; Joana Cordeiro; Jorge Miguel Teixeira; Mariana Leitão; Mário Amorim Lopes; Miguel Rangel; Rodrigo Saraiva; Rui Rocha</t>
        </is>
      </c>
      <c r="G1967" s="2" t="inlineStr">
        <is>
          <t>Art. 21.º-A (aditamento)</t>
        </is>
      </c>
      <c r="H1967" s="2" t="n"/>
      <c r="I1967" s="2" t="n"/>
      <c r="J1967" s="2" t="n"/>
      <c r="K1967" s="2" t="n"/>
      <c r="L1967" s="2" t="inlineStr">
        <is>
          <t>Artigo 21.º-A (Formação e Desenvolvimento da Saúde Mental na Comunidade Escolar)</t>
        </is>
      </c>
      <c r="M1967" s="4" t="n"/>
      <c r="N1967" s="4" t="n"/>
      <c r="O1967" s="2" t="n"/>
      <c r="P1967" s="2" t="n"/>
      <c r="Q1967" s="2" t="n"/>
      <c r="R1967" s="2" t="n"/>
      <c r="S1967" s="2" t="inlineStr">
        <is>
          <t>Rejeitado(a) em Comissão</t>
        </is>
      </c>
      <c r="T1967" s="2" t="inlineStr">
        <is>
          <t>Rejeitada</t>
        </is>
      </c>
      <c r="U1967" s="2" t="inlineStr">
        <is>
          <t>Favor: CH, IL, L, PCP, BE, PAN; Contra: PSD, CDS-PP; Abstenção: PS</t>
        </is>
      </c>
      <c r="V1967" s="3" t="n">
        <v>45981</v>
      </c>
      <c r="W1967" s="2" t="inlineStr">
        <is>
          <t>AR: https://www.parlamento.pt/OrcamentoEstado/Paginas/DetalhePropostaAlteracao.aspx?BID=25113 PDF: https://app.parlamento.pt/webutils/docs/doc.pdf?path=6148523063484d364c793942556b356c6443397a6158526c63793959566b6c4a544556484c3039464c7a49774d6a59794d4449314d5441774f533951515338784d7a49334e575a6b4d7930335a574a6b4c5451345a4751745957526a595330794d444d315a545a6c4d6a466d593251756347526d&amp;Fich=13275fd3-7ebd-48dd-adca-2035e6e21fcd.pdf&amp;Inline=true</t>
        </is>
      </c>
      <c r="X1967" s="2" t="inlineStr">
        <is>
          <t>Educação e Ciência; Saúde</t>
        </is>
      </c>
      <c r="Y1967" s="2" t="inlineStr">
        <is>
          <t>Articulado</t>
        </is>
      </c>
      <c r="Z1967" s="2" t="inlineStr">
        <is>
          <t>Aditamento (Artigo PPL)</t>
        </is>
      </c>
      <c r="AA1967" s="2" t="inlineStr">
        <is>
          <t>Rejeitado(a) em Comissão</t>
        </is>
      </c>
      <c r="AB1967" s="2" t="inlineStr"/>
      <c r="AC1967" s="2" t="inlineStr"/>
      <c r="AD1967" s="2" t="inlineStr">
        <is>
          <t>1</t>
        </is>
      </c>
      <c r="AE1967" s="2" t="inlineStr">
        <is>
          <t>25113</t>
        </is>
      </c>
      <c r="AF1967" s="2" t="inlineStr">
        <is>
          <t>https://www.parlamento.pt/OrcamentoEstado/Paginas/DetalhePropostaAlteracao.aspx?BID=25113</t>
        </is>
      </c>
      <c r="AG1967" s="2" t="inlineStr">
        <is>
          <t>https://app.parlamento.pt/webutils/docs/doc.pdf?path=6148523063484d364c793942556b356c6443397a6158526c63793959566b6c4a544556484c3039464c7a49774d6a59794d4449314d5441774f533951515338784d7a49334e575a6b4d7930335a574a6b4c5451345a4751745957526a595330794d444d315a545a6c4d6a466d593251756347526d&amp;Fich=13275fd3-7ebd-48dd-adca-2035e6e21fcd.pdf&amp;Inline=true</t>
        </is>
      </c>
      <c r="AH1967" s="3" t="n">
        <v>46321.77847222222</v>
      </c>
      <c r="AI1967" s="3" t="n">
        <v>46321.78055555555</v>
      </c>
      <c r="AJ1967" s="2" t="inlineStr"/>
    </row>
    <row r="1968">
      <c r="A1968" s="2" t="n">
        <v>1967</v>
      </c>
      <c r="B1968" s="2" t="inlineStr">
        <is>
          <t>1862C</t>
        </is>
      </c>
      <c r="C1968" s="3" t="n">
        <v>45968.71944444445</v>
      </c>
      <c r="D1968" s="2" t="inlineStr">
        <is>
          <t>Original</t>
        </is>
      </c>
      <c r="E1968" s="2" t="inlineStr">
        <is>
          <t>PCP</t>
        </is>
      </c>
      <c r="F1968" s="2" t="inlineStr">
        <is>
          <t>Alfredo Maia; Paula Santos; Paulo Raimundo</t>
        </is>
      </c>
      <c r="G1968" s="2" t="inlineStr">
        <is>
          <t>Art. 118.º-A (aditamento)</t>
        </is>
      </c>
      <c r="H1968" s="2" t="n"/>
      <c r="I1968" s="2" t="n"/>
      <c r="J1968" s="2" t="n"/>
      <c r="K1968" s="2" t="n"/>
      <c r="L1968" s="2" t="inlineStr">
        <is>
          <t>Artigo 118.º-A (Apoio aos professores e aos alunos dos ensinos básico e secundário no acesso ao serviço de conetividade à Internet)</t>
        </is>
      </c>
      <c r="M1968" s="4" t="n"/>
      <c r="N1968" s="4" t="n"/>
      <c r="O1968" s="2" t="n"/>
      <c r="P1968" s="2" t="n"/>
      <c r="Q1968" s="2" t="n"/>
      <c r="R1968" s="2" t="n"/>
      <c r="S1968" s="2" t="inlineStr">
        <is>
          <t>Rejeitado(a) em Comissão</t>
        </is>
      </c>
      <c r="T1968" s="2" t="inlineStr">
        <is>
          <t>Rejeitada</t>
        </is>
      </c>
      <c r="U1968" s="2" t="inlineStr">
        <is>
          <t>Favor: CH, L, PCP, BE, PAN; Contra: PSD, CDS-PP; Abstenção: PS, IL</t>
        </is>
      </c>
      <c r="V1968" s="3" t="n">
        <v>45985</v>
      </c>
      <c r="W1968" s="2" t="inlineStr">
        <is>
          <t>AR: https://www.parlamento.pt/OrcamentoEstado/Paginas/DetalhePropostaAlteracao.aspx?BID=25114 PDF: https://app.parlamento.pt/webutils/docs/doc.pdf?path=6148523063484d364c793942556b356c6443397a6158526c63793959566b6c4a544556484c3039464c7a49774d6a59794d4449314d5441774f5339515153387959574d774d6a4d32595331694d4745354c5451304e54597459546b77597930314d6a56684d44526d5a6a67794d544d756347526d&amp;Fich=2ac0236a-b0a9-4456-a90c-525a04ff8213.pdf&amp;Inline=true</t>
        </is>
      </c>
      <c r="X1968" s="2" t="inlineStr">
        <is>
          <t>Educação e Ciência</t>
        </is>
      </c>
      <c r="Y1968" s="2" t="inlineStr">
        <is>
          <t>Articulado</t>
        </is>
      </c>
      <c r="Z1968" s="2" t="inlineStr">
        <is>
          <t>Aditamento (Artigo PPL)</t>
        </is>
      </c>
      <c r="AA1968" s="2" t="inlineStr">
        <is>
          <t>Rejeitado(a) em Comissão</t>
        </is>
      </c>
      <c r="AB1968" s="2" t="inlineStr"/>
      <c r="AC1968" s="2" t="inlineStr"/>
      <c r="AD1968" s="2" t="inlineStr">
        <is>
          <t>1</t>
        </is>
      </c>
      <c r="AE1968" s="2" t="inlineStr">
        <is>
          <t>25114</t>
        </is>
      </c>
      <c r="AF1968" s="2" t="inlineStr">
        <is>
          <t>https://www.parlamento.pt/OrcamentoEstado/Paginas/DetalhePropostaAlteracao.aspx?BID=25114</t>
        </is>
      </c>
      <c r="AG1968" s="2" t="inlineStr">
        <is>
          <t>https://app.parlamento.pt/webutils/docs/doc.pdf?path=6148523063484d364c793942556b356c6443397a6158526c63793959566b6c4a544556484c3039464c7a49774d6a59794d4449314d5441774f5339515153387959574d774d6a4d32595331694d4745354c5451304e54597459546b77597930314d6a56684d44526d5a6a67794d544d756347526d&amp;Fich=2ac0236a-b0a9-4456-a90c-525a04ff8213.pdf&amp;Inline=true</t>
        </is>
      </c>
      <c r="AH1968" s="3" t="n">
        <v>46321.77847222222</v>
      </c>
      <c r="AI1968" s="3" t="n">
        <v>46321.78055555555</v>
      </c>
      <c r="AJ1968" s="2" t="inlineStr"/>
    </row>
    <row r="1969">
      <c r="A1969" s="2" t="n">
        <v>1968</v>
      </c>
      <c r="B1969" s="2" t="inlineStr">
        <is>
          <t>1863C</t>
        </is>
      </c>
      <c r="C1969" s="3" t="n">
        <v>45968.71944444445</v>
      </c>
      <c r="D1969" s="2" t="inlineStr">
        <is>
          <t>Original</t>
        </is>
      </c>
      <c r="E1969" s="2" t="inlineStr">
        <is>
          <t>L</t>
        </is>
      </c>
      <c r="F1969" s="2" t="inlineStr">
        <is>
          <t>Filipa Pinto; Isabel Mendes Lopes; Jorge Pinto; Patrícia Gonçalves; Paulo Muacho; Rui Tavares</t>
        </is>
      </c>
      <c r="G1969" s="2" t="inlineStr">
        <is>
          <t>Art. 29.º (substituição)</t>
        </is>
      </c>
      <c r="H1969" s="2" t="n"/>
      <c r="I1969" s="2" t="n"/>
      <c r="J1969" s="2" t="n"/>
      <c r="K1969" s="2" t="n"/>
      <c r="L1969" s="2" t="inlineStr">
        <is>
          <t>N.º 1, Artigo 29.º</t>
        </is>
      </c>
      <c r="M1969" s="4" t="n"/>
      <c r="N1969" s="4" t="n"/>
      <c r="O1969" s="2" t="n"/>
      <c r="P1969" s="2" t="n"/>
      <c r="Q1969" s="2" t="n"/>
      <c r="R1969" s="2" t="n"/>
      <c r="S1969" s="2" t="inlineStr">
        <is>
          <t>Aprovado(a) em Comissão</t>
        </is>
      </c>
      <c r="T1969" s="2" t="inlineStr">
        <is>
          <t>Aprovada</t>
        </is>
      </c>
      <c r="U1969" s="2" t="inlineStr">
        <is>
          <t>Favor: PSD, PS, IL, L, PCP, CDS-PP, BE, PAN; Contra: CH</t>
        </is>
      </c>
      <c r="V1969" s="3" t="n">
        <v>45981</v>
      </c>
      <c r="W1969" s="2" t="inlineStr">
        <is>
          <t>AR: https://www.parlamento.pt/OrcamentoEstado/Paginas/DetalhePropostaAlteracao.aspx?BID=25115 PDF: https://app.parlamento.pt/webutils/docs/doc.pdf?path=6148523063484d364c793942556b356c6443397a6158526c63793959566b6c4a544556484c3039464c7a49774d6a59794d4449314d5441774f533951515339684d3255324e4463794d7930354d7a4e694c5451315a4459744f54426b59793034596d4d774e546b7a5a446469596d4d756347526d&amp;Fich=a3e64723-933b-45d6-90dc-8bc0593d7bbc.pdf&amp;Inline=true</t>
        </is>
      </c>
      <c r="X1969" s="2" t="inlineStr">
        <is>
          <t>Orçamento, Finanças e Administração Pública</t>
        </is>
      </c>
      <c r="Y1969" s="2" t="inlineStr">
        <is>
          <t>Articulado</t>
        </is>
      </c>
      <c r="Z1969" s="2" t="inlineStr">
        <is>
          <t>Substituição</t>
        </is>
      </c>
      <c r="AA1969" s="2" t="inlineStr">
        <is>
          <t>Aprovado(a) em Comissão</t>
        </is>
      </c>
      <c r="AB1969" s="2" t="inlineStr"/>
      <c r="AC1969" s="2" t="inlineStr"/>
      <c r="AD1969" s="2" t="inlineStr">
        <is>
          <t>1</t>
        </is>
      </c>
      <c r="AE1969" s="2" t="inlineStr">
        <is>
          <t>25115</t>
        </is>
      </c>
      <c r="AF1969" s="2" t="inlineStr">
        <is>
          <t>https://www.parlamento.pt/OrcamentoEstado/Paginas/DetalhePropostaAlteracao.aspx?BID=25115</t>
        </is>
      </c>
      <c r="AG1969" s="2" t="inlineStr">
        <is>
          <t>https://app.parlamento.pt/webutils/docs/doc.pdf?path=6148523063484d364c793942556b356c6443397a6158526c63793959566b6c4a544556484c3039464c7a49774d6a59794d4449314d5441774f533951515339684d3255324e4463794d7930354d7a4e694c5451315a4459744f54426b59793034596d4d774e546b7a5a446469596d4d756347526d&amp;Fich=a3e64723-933b-45d6-90dc-8bc0593d7bbc.pdf&amp;Inline=true</t>
        </is>
      </c>
      <c r="AH1969" s="3" t="n">
        <v>46321.77847222222</v>
      </c>
      <c r="AI1969" s="3" t="n">
        <v>46321.78055555555</v>
      </c>
      <c r="AJ1969" s="2" t="inlineStr"/>
    </row>
    <row r="1970">
      <c r="A1970" s="2" t="n">
        <v>1969</v>
      </c>
      <c r="B1970" s="2" t="inlineStr">
        <is>
          <t>1864C</t>
        </is>
      </c>
      <c r="C1970" s="3" t="n">
        <v>45968.72013888889</v>
      </c>
      <c r="D1970" s="2" t="inlineStr">
        <is>
          <t>Original</t>
        </is>
      </c>
      <c r="E1970" s="2" t="inlineStr">
        <is>
          <t>PCP</t>
        </is>
      </c>
      <c r="F1970" s="2" t="inlineStr">
        <is>
          <t>Alfredo Maia; Paula Santos; Paulo Raimundo</t>
        </is>
      </c>
      <c r="G1970" s="2" t="inlineStr">
        <is>
          <t>Art. 118.º-A (aditamento)</t>
        </is>
      </c>
      <c r="H1970" s="2" t="n"/>
      <c r="I1970" s="2" t="n"/>
      <c r="J1970" s="2" t="n"/>
      <c r="K1970" s="2" t="n"/>
      <c r="L1970" s="2" t="inlineStr">
        <is>
          <t>Artigo 118.º-A (Atualização do modelo de financiamento no ensino artístico especializado)</t>
        </is>
      </c>
      <c r="M1970" s="4" t="n"/>
      <c r="N1970" s="4" t="n"/>
      <c r="O1970" s="2" t="n"/>
      <c r="P1970" s="2" t="n"/>
      <c r="Q1970" s="2" t="n"/>
      <c r="R1970" s="2" t="n"/>
      <c r="S1970" s="2" t="inlineStr">
        <is>
          <t>Rejeitado(a) em Comissão</t>
        </is>
      </c>
      <c r="T1970" s="2" t="inlineStr">
        <is>
          <t>Rejeitada</t>
        </is>
      </c>
      <c r="U1970" s="2" t="inlineStr">
        <is>
          <t>Favor: L, PCP, BE, PAN; Contra: PSD, CDS-PP; Abstenção: CH, PS, IL</t>
        </is>
      </c>
      <c r="V1970" s="3" t="n">
        <v>45985</v>
      </c>
      <c r="W1970" s="2" t="inlineStr">
        <is>
          <t>AR: https://www.parlamento.pt/OrcamentoEstado/Paginas/DetalhePropostaAlteracao.aspx?BID=25116 PDF: https://app.parlamento.pt/webutils/docs/doc.pdf?path=6148523063484d364c793942556b356c6443397a6158526c63793959566b6c4a544556484c3039464c7a49774d6a59794d4449314d5441774f5339515153396a596d51305954466a4d7930355a4467314c5451335a4445744f5455325969316b4e324532597a686b596a55334f446b756347526d&amp;Fich=cbd4a1c3-9d85-47d1-956b-d7a6c8db5789.pdf&amp;Inline=true</t>
        </is>
      </c>
      <c r="X1970" s="2" t="inlineStr">
        <is>
          <t>Educação e Ciência</t>
        </is>
      </c>
      <c r="Y1970" s="2" t="inlineStr">
        <is>
          <t>Articulado</t>
        </is>
      </c>
      <c r="Z1970" s="2" t="inlineStr">
        <is>
          <t>Aditamento (Artigo PPL)</t>
        </is>
      </c>
      <c r="AA1970" s="2" t="inlineStr">
        <is>
          <t>Rejeitado(a) em Comissão</t>
        </is>
      </c>
      <c r="AB1970" s="2" t="inlineStr"/>
      <c r="AC1970" s="2" t="inlineStr"/>
      <c r="AD1970" s="2" t="inlineStr">
        <is>
          <t>1</t>
        </is>
      </c>
      <c r="AE1970" s="2" t="inlineStr">
        <is>
          <t>25116</t>
        </is>
      </c>
      <c r="AF1970" s="2" t="inlineStr">
        <is>
          <t>https://www.parlamento.pt/OrcamentoEstado/Paginas/DetalhePropostaAlteracao.aspx?BID=25116</t>
        </is>
      </c>
      <c r="AG1970" s="2" t="inlineStr">
        <is>
          <t>https://app.parlamento.pt/webutils/docs/doc.pdf?path=6148523063484d364c793942556b356c6443397a6158526c63793959566b6c4a544556484c3039464c7a49774d6a59794d4449314d5441774f5339515153396a596d51305954466a4d7930355a4467314c5451335a4445744f5455325969316b4e324532597a686b596a55334f446b756347526d&amp;Fich=cbd4a1c3-9d85-47d1-956b-d7a6c8db5789.pdf&amp;Inline=true</t>
        </is>
      </c>
      <c r="AH1970" s="3" t="n">
        <v>46321.77847222222</v>
      </c>
      <c r="AI1970" s="3" t="n">
        <v>46321.78055555555</v>
      </c>
      <c r="AJ1970" s="2" t="inlineStr"/>
    </row>
    <row r="1971">
      <c r="A1971" s="2" t="n">
        <v>1970</v>
      </c>
      <c r="B1971" s="2" t="inlineStr">
        <is>
          <t>1865C</t>
        </is>
      </c>
      <c r="C1971" s="3" t="n">
        <v>45968.72013888889</v>
      </c>
      <c r="D1971" s="2" t="inlineStr">
        <is>
          <t>Original</t>
        </is>
      </c>
      <c r="E1971" s="2" t="inlineStr">
        <is>
          <t>BE</t>
        </is>
      </c>
      <c r="F1971" s="2" t="inlineStr">
        <is>
          <t>Mariana Mortágua</t>
        </is>
      </c>
      <c r="G1971" s="2" t="inlineStr">
        <is>
          <t>Art. 113.º-A (aditamento)</t>
        </is>
      </c>
      <c r="H1971" s="2" t="n"/>
      <c r="I1971" s="2" t="n"/>
      <c r="J1971" s="2" t="n"/>
      <c r="K1971" s="2" t="n"/>
      <c r="L1971" s="2" t="inlineStr">
        <is>
          <t>Artigo 113.º-A (Acesso ao serviço de urgência do Hospital Senhora da Oliveira)</t>
        </is>
      </c>
      <c r="M1971" s="4" t="n"/>
      <c r="N1971" s="4" t="n"/>
      <c r="O1971" s="2" t="n"/>
      <c r="P1971" s="2" t="n"/>
      <c r="Q1971" s="2" t="n"/>
      <c r="R1971" s="2" t="n"/>
      <c r="S1971" s="2" t="inlineStr">
        <is>
          <t>Rejeitado(a) em Comissão</t>
        </is>
      </c>
      <c r="T1971" s="2" t="inlineStr">
        <is>
          <t>Rejeitada</t>
        </is>
      </c>
      <c r="U1971" s="2" t="inlineStr">
        <is>
          <t>Favor: CH, L, PCP, BE, PAN; Contra: PSD, CDS-PP; Abstenção: PS, IL</t>
        </is>
      </c>
      <c r="V1971" s="3" t="n">
        <v>45985</v>
      </c>
      <c r="W1971" s="2" t="inlineStr">
        <is>
          <t>AR: https://www.parlamento.pt/OrcamentoEstado/Paginas/DetalhePropostaAlteracao.aspx?BID=25117 PDF: https://app.parlamento.pt/webutils/docs/doc.pdf?path=6148523063484d364c793942556b356c6443397a6158526c63793959566b6c4a544556484c3039464c7a49774d6a59794d4449314d5441774f5339515153396a595449314e6a6c6c4e4330334d7a52684c5452694e7a4574595452684f4330794d5452685a54466b59575531597a49756347526d&amp;Fich=ca2569e4-734a-4b71-a4a8-214ae1dae5c2.pdf&amp;Inline=true</t>
        </is>
      </c>
      <c r="X1971" s="2" t="inlineStr">
        <is>
          <t>Saúde</t>
        </is>
      </c>
      <c r="Y1971" s="2" t="inlineStr">
        <is>
          <t>Articulado</t>
        </is>
      </c>
      <c r="Z1971" s="2" t="inlineStr">
        <is>
          <t>Aditamento (Artigo PPL)</t>
        </is>
      </c>
      <c r="AA1971" s="2" t="inlineStr">
        <is>
          <t>Rejeitado(a) em Comissão</t>
        </is>
      </c>
      <c r="AB1971" s="2" t="inlineStr"/>
      <c r="AC1971" s="2" t="inlineStr"/>
      <c r="AD1971" s="2" t="inlineStr">
        <is>
          <t>1</t>
        </is>
      </c>
      <c r="AE1971" s="2" t="inlineStr">
        <is>
          <t>25117</t>
        </is>
      </c>
      <c r="AF1971" s="2" t="inlineStr">
        <is>
          <t>https://www.parlamento.pt/OrcamentoEstado/Paginas/DetalhePropostaAlteracao.aspx?BID=25117</t>
        </is>
      </c>
      <c r="AG1971" s="2" t="inlineStr">
        <is>
          <t>https://app.parlamento.pt/webutils/docs/doc.pdf?path=6148523063484d364c793942556b356c6443397a6158526c63793959566b6c4a544556484c3039464c7a49774d6a59794d4449314d5441774f5339515153396a595449314e6a6c6c4e4330334d7a52684c5452694e7a4574595452684f4330794d5452685a54466b59575531597a49756347526d&amp;Fich=ca2569e4-734a-4b71-a4a8-214ae1dae5c2.pdf&amp;Inline=true</t>
        </is>
      </c>
      <c r="AH1971" s="3" t="n">
        <v>46321.77847222222</v>
      </c>
      <c r="AI1971" s="3" t="n">
        <v>46321.78055555555</v>
      </c>
      <c r="AJ1971" s="2" t="inlineStr"/>
    </row>
    <row r="1972">
      <c r="A1972" s="2" t="n">
        <v>1971</v>
      </c>
      <c r="B1972" s="2" t="inlineStr">
        <is>
          <t>1866C</t>
        </is>
      </c>
      <c r="C1972" s="3" t="n">
        <v>45968.72013888889</v>
      </c>
      <c r="D1972" s="2" t="inlineStr">
        <is>
          <t>Original</t>
        </is>
      </c>
      <c r="E1972" s="2" t="inlineStr">
        <is>
          <t>L</t>
        </is>
      </c>
      <c r="F1972" s="2" t="inlineStr">
        <is>
          <t>Filipa Pinto; Isabel Mendes Lopes; Jorge Pinto; Patrícia Gonçalves; Paulo Muacho; Rui Tavares</t>
        </is>
      </c>
      <c r="G1972" s="2" t="inlineStr">
        <is>
          <t>Art. 116.º-A (aditamento)</t>
        </is>
      </c>
      <c r="H1972" s="2" t="n"/>
      <c r="I1972" s="2" t="n"/>
      <c r="J1972" s="2" t="n"/>
      <c r="K1972" s="2" t="n"/>
      <c r="L1972" s="2" t="inlineStr">
        <is>
          <t>Artigo 116.º-A (Estratégia Nacional de Combate à Pobreza 2021-2030)</t>
        </is>
      </c>
      <c r="M1972" s="4" t="n"/>
      <c r="N1972" s="4" t="n"/>
      <c r="O1972" s="2" t="n"/>
      <c r="P1972" s="2" t="n"/>
      <c r="Q1972" s="2" t="n"/>
      <c r="R1972" s="2" t="n"/>
      <c r="S1972" s="2" t="inlineStr">
        <is>
          <t>Aprovado(a) em Comissão</t>
        </is>
      </c>
      <c r="T1972" s="2" t="inlineStr">
        <is>
          <t>Aprovada</t>
        </is>
      </c>
      <c r="U1972" s="2" t="inlineStr">
        <is>
          <t>Favor: CH, PS, IL, L, PCP, BE, PAN; Contra: PSD, CDS-PP</t>
        </is>
      </c>
      <c r="V1972" s="3" t="n">
        <v>45985</v>
      </c>
      <c r="W1972" s="2" t="inlineStr">
        <is>
          <t>AR: https://www.parlamento.pt/OrcamentoEstado/Paginas/DetalhePropostaAlteracao.aspx?BID=25118 PDF: https://app.parlamento.pt/webutils/docs/doc.pdf?path=6148523063484d364c793942556b356c6443397a6158526c63793959566b6c4a544556484c3039464c7a49774d6a59794d4449314d5441774f533951515338354d544d784d3245354f4330354e4449774c5451774d3245744f4455354f43316b4f5449304f44686b4e6a68694f546b756347526d&amp;Fich=91313a98-9420-403a-8598-d92488d68b99.pdf&amp;Inline=true</t>
        </is>
      </c>
      <c r="X1972" s="2" t="inlineStr">
        <is>
          <t>Assuntos Constitucionais, Direitos, Liberdades e Garantias; Trabalho, Segurança Social e Inclusão</t>
        </is>
      </c>
      <c r="Y1972" s="2" t="inlineStr">
        <is>
          <t>Articulado</t>
        </is>
      </c>
      <c r="Z1972" s="2" t="inlineStr">
        <is>
          <t>Aditamento (Artigo PPL)</t>
        </is>
      </c>
      <c r="AA1972" s="2" t="inlineStr">
        <is>
          <t>Aprovado(a) em Comissão</t>
        </is>
      </c>
      <c r="AB1972" s="2" t="inlineStr"/>
      <c r="AC1972" s="2" t="inlineStr"/>
      <c r="AD1972" s="2" t="inlineStr">
        <is>
          <t>1</t>
        </is>
      </c>
      <c r="AE1972" s="2" t="inlineStr">
        <is>
          <t>25118</t>
        </is>
      </c>
      <c r="AF1972" s="2" t="inlineStr">
        <is>
          <t>https://www.parlamento.pt/OrcamentoEstado/Paginas/DetalhePropostaAlteracao.aspx?BID=25118</t>
        </is>
      </c>
      <c r="AG1972" s="2" t="inlineStr">
        <is>
          <t>https://app.parlamento.pt/webutils/docs/doc.pdf?path=6148523063484d364c793942556b356c6443397a6158526c63793959566b6c4a544556484c3039464c7a49774d6a59794d4449314d5441774f533951515338354d544d784d3245354f4330354e4449774c5451774d3245744f4455354f43316b4f5449304f44686b4e6a68694f546b756347526d&amp;Fich=91313a98-9420-403a-8598-d92488d68b99.pdf&amp;Inline=true</t>
        </is>
      </c>
      <c r="AH1972" s="3" t="n">
        <v>46321.77847222222</v>
      </c>
      <c r="AI1972" s="3" t="n">
        <v>46321.78055555555</v>
      </c>
      <c r="AJ1972" s="2" t="inlineStr"/>
    </row>
    <row r="1973">
      <c r="A1973" s="2" t="n">
        <v>1972</v>
      </c>
      <c r="B1973" s="2" t="inlineStr">
        <is>
          <t>1867C</t>
        </is>
      </c>
      <c r="C1973" s="3" t="n">
        <v>45968.72013888889</v>
      </c>
      <c r="D1973" s="2" t="inlineStr">
        <is>
          <t>Original</t>
        </is>
      </c>
      <c r="E1973" s="2" t="inlineStr">
        <is>
          <t>PCP</t>
        </is>
      </c>
      <c r="F1973" s="2" t="inlineStr">
        <is>
          <t>Alfredo Maia; Paula Santos; Paulo Raimundo</t>
        </is>
      </c>
      <c r="G1973" s="2" t="inlineStr">
        <is>
          <t>Art. 118.º-A (aditamento)</t>
        </is>
      </c>
      <c r="H1973" s="2" t="n"/>
      <c r="I1973" s="2" t="n"/>
      <c r="J1973" s="2" t="n"/>
      <c r="K1973" s="2" t="n"/>
      <c r="L1973" s="2" t="inlineStr">
        <is>
          <t>Artigo 118.º-A (Eliminação das taxas e emolumentos na escolaridade obrigatória)</t>
        </is>
      </c>
      <c r="M1973" s="4" t="n"/>
      <c r="N1973" s="4" t="n"/>
      <c r="O1973" s="2" t="n"/>
      <c r="P1973" s="2" t="n"/>
      <c r="Q1973" s="2" t="n"/>
      <c r="R1973" s="2" t="n"/>
      <c r="S1973" s="2" t="inlineStr">
        <is>
          <t>Rejeitado(a) em Comissão</t>
        </is>
      </c>
      <c r="T1973" s="2" t="inlineStr">
        <is>
          <t>Rejeitada</t>
        </is>
      </c>
      <c r="U1973" s="2" t="inlineStr">
        <is>
          <t>Favor: CH, IL, L, PCP, BE, PAN; Contra: PSD, CDS-PP; Abstenção: PS</t>
        </is>
      </c>
      <c r="V1973" s="3" t="n">
        <v>45985</v>
      </c>
      <c r="W1973" s="2" t="inlineStr">
        <is>
          <t>AR: https://www.parlamento.pt/OrcamentoEstado/Paginas/DetalhePropostaAlteracao.aspx?BID=25119 PDF: https://app.parlamento.pt/webutils/docs/doc.pdf?path=6148523063484d364c793942556b356c6443397a6158526c63793959566b6c4a544556484c3039464c7a49774d6a59794d4449314d5441774f533951515339684e6a59354d6d45775969316a4d7a686c4c5451354d545574595749344d79316d4e6a566a4e44466b4e4459774d7a59756347526d&amp;Fich=a6692a0b-c38e-4915-ab83-f65c41d46036.pdf&amp;Inline=true</t>
        </is>
      </c>
      <c r="X1973" s="2" t="inlineStr">
        <is>
          <t>Educação e Ciência</t>
        </is>
      </c>
      <c r="Y1973" s="2" t="inlineStr">
        <is>
          <t>Articulado</t>
        </is>
      </c>
      <c r="Z1973" s="2" t="inlineStr">
        <is>
          <t>Aditamento (Artigo PPL)</t>
        </is>
      </c>
      <c r="AA1973" s="2" t="inlineStr">
        <is>
          <t>Rejeitado(a) em Comissão</t>
        </is>
      </c>
      <c r="AB1973" s="2" t="inlineStr"/>
      <c r="AC1973" s="2" t="inlineStr"/>
      <c r="AD1973" s="2" t="inlineStr">
        <is>
          <t>1</t>
        </is>
      </c>
      <c r="AE1973" s="2" t="inlineStr">
        <is>
          <t>25119</t>
        </is>
      </c>
      <c r="AF1973" s="2" t="inlineStr">
        <is>
          <t>https://www.parlamento.pt/OrcamentoEstado/Paginas/DetalhePropostaAlteracao.aspx?BID=25119</t>
        </is>
      </c>
      <c r="AG1973" s="2" t="inlineStr">
        <is>
          <t>https://app.parlamento.pt/webutils/docs/doc.pdf?path=6148523063484d364c793942556b356c6443397a6158526c63793959566b6c4a544556484c3039464c7a49774d6a59794d4449314d5441774f533951515339684e6a59354d6d45775969316a4d7a686c4c5451354d545574595749344d79316d4e6a566a4e44466b4e4459774d7a59756347526d&amp;Fich=a6692a0b-c38e-4915-ab83-f65c41d46036.pdf&amp;Inline=true</t>
        </is>
      </c>
      <c r="AH1973" s="3" t="n">
        <v>46321.77847222222</v>
      </c>
      <c r="AI1973" s="3" t="n">
        <v>46321.78055555555</v>
      </c>
      <c r="AJ1973" s="2" t="inlineStr"/>
    </row>
    <row r="1974">
      <c r="A1974" s="2" t="n">
        <v>1973</v>
      </c>
      <c r="B1974" s="2" t="inlineStr">
        <is>
          <t>1868C</t>
        </is>
      </c>
      <c r="C1974" s="3" t="n">
        <v>45968.72083333333</v>
      </c>
      <c r="D1974" s="2" t="inlineStr">
        <is>
          <t>Original</t>
        </is>
      </c>
      <c r="E1974" s="2" t="inlineStr">
        <is>
          <t>PAN</t>
        </is>
      </c>
      <c r="F1974" s="2" t="inlineStr">
        <is>
          <t>Inês de Sousa Real</t>
        </is>
      </c>
      <c r="G1974" s="2" t="inlineStr">
        <is>
          <t>Art. 108.º-A (aditamento)</t>
        </is>
      </c>
      <c r="H1974" s="2" t="n"/>
      <c r="I1974" s="2" t="n"/>
      <c r="J1974" s="2" t="n"/>
      <c r="K1974" s="2" t="n"/>
      <c r="L1974" s="2" t="inlineStr">
        <is>
          <t>Artigo 108.º-A (Regime de comparticipação de medicamentos de uso médico-veterinário)</t>
        </is>
      </c>
      <c r="M1974" s="4" t="n"/>
      <c r="N1974" s="4" t="n"/>
      <c r="O1974" s="2" t="n"/>
      <c r="P1974" s="2" t="n"/>
      <c r="Q1974" s="2" t="n"/>
      <c r="R1974" s="2" t="n"/>
      <c r="S1974" s="2" t="inlineStr">
        <is>
          <t>Rejeitado(a) em Comissão</t>
        </is>
      </c>
      <c r="T1974" s="2" t="inlineStr">
        <is>
          <t>Rejeitada</t>
        </is>
      </c>
      <c r="U1974" s="2" t="inlineStr">
        <is>
          <t>Favor: CH, L, CDS-PP, BE, PAN; Contra: PSD, IL, PCP; Abstenção: PS</t>
        </is>
      </c>
      <c r="V1974" s="3" t="n">
        <v>45982</v>
      </c>
      <c r="W1974" s="2" t="inlineStr">
        <is>
          <t>AR: https://www.parlamento.pt/OrcamentoEstado/Paginas/DetalhePropostaAlteracao.aspx?BID=25120 PDF: https://app.parlamento.pt/webutils/docs/doc.pdf?path=6148523063484d364c793942556b356c6443397a6158526c63793959566b6c4a544556484c3039464c7a49774d6a59794d4449314d5441774f53395151533831596a6c6a596d4d355a4330784d5456684c54526d4d7a59744f4755795953316a4f445a6b4e32553259324669597a6b756347526d&amp;Fich=5b9cbc9d-115a-4f36-8e2a-c86d7e6cabc9.pdf&amp;Inline=true</t>
        </is>
      </c>
      <c r="X1974" s="2" t="inlineStr">
        <is>
          <t>Agricultura e Pescas</t>
        </is>
      </c>
      <c r="Y1974" s="2" t="inlineStr">
        <is>
          <t>Articulado</t>
        </is>
      </c>
      <c r="Z1974" s="2" t="inlineStr">
        <is>
          <t>Aditamento (Artigo PPL)</t>
        </is>
      </c>
      <c r="AA1974" s="2" t="inlineStr">
        <is>
          <t>Rejeitado(a) em Comissão</t>
        </is>
      </c>
      <c r="AB1974" s="2" t="inlineStr"/>
      <c r="AC1974" s="2" t="inlineStr"/>
      <c r="AD1974" s="2" t="inlineStr">
        <is>
          <t>1</t>
        </is>
      </c>
      <c r="AE1974" s="2" t="inlineStr">
        <is>
          <t>25120</t>
        </is>
      </c>
      <c r="AF1974" s="2" t="inlineStr">
        <is>
          <t>https://www.parlamento.pt/OrcamentoEstado/Paginas/DetalhePropostaAlteracao.aspx?BID=25120</t>
        </is>
      </c>
      <c r="AG1974" s="2" t="inlineStr">
        <is>
          <t>https://app.parlamento.pt/webutils/docs/doc.pdf?path=6148523063484d364c793942556b356c6443397a6158526c63793959566b6c4a544556484c3039464c7a49774d6a59794d4449314d5441774f53395151533831596a6c6a596d4d355a4330784d5456684c54526d4d7a59744f4755795953316a4f445a6b4e32553259324669597a6b756347526d&amp;Fich=5b9cbc9d-115a-4f36-8e2a-c86d7e6cabc9.pdf&amp;Inline=true</t>
        </is>
      </c>
      <c r="AH1974" s="3" t="n">
        <v>46321.77847222222</v>
      </c>
      <c r="AI1974" s="3" t="n">
        <v>46321.78055555555</v>
      </c>
      <c r="AJ1974" s="2" t="inlineStr"/>
    </row>
    <row r="1975">
      <c r="A1975" s="2" t="n">
        <v>1974</v>
      </c>
      <c r="B1975" s="2" t="inlineStr">
        <is>
          <t>1869C</t>
        </is>
      </c>
      <c r="C1975" s="3" t="n">
        <v>45968.72152777778</v>
      </c>
      <c r="D1975" s="2" t="inlineStr">
        <is>
          <t>Original</t>
        </is>
      </c>
      <c r="E1975" s="2" t="inlineStr">
        <is>
          <t>PCP</t>
        </is>
      </c>
      <c r="F1975" s="2" t="inlineStr">
        <is>
          <t>Alfredo Maia; Paula Santos; Paulo Raimundo</t>
        </is>
      </c>
      <c r="G1975" s="2" t="inlineStr">
        <is>
          <t>Art. 118.º-A (aditamento)</t>
        </is>
      </c>
      <c r="H1975" s="2" t="n"/>
      <c r="I1975" s="2" t="n"/>
      <c r="J1975" s="2" t="n"/>
      <c r="K1975" s="2" t="n"/>
      <c r="L1975" s="2" t="inlineStr">
        <is>
          <t>Artigo 118.º-A (Garantia do direito à Educação Física no 1.º ciclo do Ensino Básico)</t>
        </is>
      </c>
      <c r="M1975" s="4" t="n"/>
      <c r="N1975" s="4" t="n"/>
      <c r="O1975" s="2" t="n"/>
      <c r="P1975" s="2" t="n"/>
      <c r="Q1975" s="2" t="n"/>
      <c r="R1975" s="2" t="n"/>
      <c r="S1975" s="2" t="inlineStr">
        <is>
          <t>Aprovado(a) em Comissão</t>
        </is>
      </c>
      <c r="T1975" s="2" t="inlineStr">
        <is>
          <t>Aprovada</t>
        </is>
      </c>
      <c r="U1975" s="2" t="inlineStr">
        <is>
          <t>Favor: CH, PS, IL, L, PCP, BE, PAN; Contra: PSD, CDS-PP</t>
        </is>
      </c>
      <c r="V1975" s="3" t="n">
        <v>45985</v>
      </c>
      <c r="W1975" s="2" t="inlineStr">
        <is>
          <t>AR: https://www.parlamento.pt/OrcamentoEstado/Paginas/DetalhePropostaAlteracao.aspx?BID=25121 PDF: https://app.parlamento.pt/webutils/docs/doc.pdf?path=6148523063484d364c793942556b356c6443397a6158526c63793959566b6c4a544556484c3039464c7a49774d6a59794d4449314d5441774f5339515153396b5954526c4e5755334e69316d597a41354c54526d4d7a6374596a63315a6930324e4459784e474d7a4f5463314f444d756347526d&amp;Fich=da4e5e76-fc09-4f37-b75f-64614c397583.pdf&amp;Inline=true</t>
        </is>
      </c>
      <c r="X1975" s="2" t="inlineStr">
        <is>
          <t>Educação e Ciência</t>
        </is>
      </c>
      <c r="Y1975" s="2" t="inlineStr">
        <is>
          <t>Articulado</t>
        </is>
      </c>
      <c r="Z1975" s="2" t="inlineStr">
        <is>
          <t>Aditamento (Artigo PPL)</t>
        </is>
      </c>
      <c r="AA1975" s="2" t="inlineStr">
        <is>
          <t>Aprovado(a) em Comissão</t>
        </is>
      </c>
      <c r="AB1975" s="2" t="inlineStr"/>
      <c r="AC1975" s="2" t="inlineStr"/>
      <c r="AD1975" s="2" t="inlineStr">
        <is>
          <t>1</t>
        </is>
      </c>
      <c r="AE1975" s="2" t="inlineStr">
        <is>
          <t>25121</t>
        </is>
      </c>
      <c r="AF1975" s="2" t="inlineStr">
        <is>
          <t>https://www.parlamento.pt/OrcamentoEstado/Paginas/DetalhePropostaAlteracao.aspx?BID=25121</t>
        </is>
      </c>
      <c r="AG1975" s="2" t="inlineStr">
        <is>
          <t>https://app.parlamento.pt/webutils/docs/doc.pdf?path=6148523063484d364c793942556b356c6443397a6158526c63793959566b6c4a544556484c3039464c7a49774d6a59794d4449314d5441774f5339515153396b5954526c4e5755334e69316d597a41354c54526d4d7a6374596a63315a6930324e4459784e474d7a4f5463314f444d756347526d&amp;Fich=da4e5e76-fc09-4f37-b75f-64614c397583.pdf&amp;Inline=true</t>
        </is>
      </c>
      <c r="AH1975" s="3" t="n">
        <v>46321.77847222222</v>
      </c>
      <c r="AI1975" s="3" t="n">
        <v>46321.78055555555</v>
      </c>
      <c r="AJ1975" s="2" t="inlineStr"/>
    </row>
    <row r="1976">
      <c r="A1976" s="2" t="n">
        <v>1975</v>
      </c>
      <c r="B1976" s="2" t="inlineStr">
        <is>
          <t>1870C</t>
        </is>
      </c>
      <c r="C1976" s="3" t="n">
        <v>45968.72152777778</v>
      </c>
      <c r="D1976" s="2" t="inlineStr">
        <is>
          <t>Original</t>
        </is>
      </c>
      <c r="E1976" s="2" t="inlineStr">
        <is>
          <t>PCP</t>
        </is>
      </c>
      <c r="F1976" s="2" t="inlineStr">
        <is>
          <t>Alfredo Maia; Paula Santos; Paulo Raimundo</t>
        </is>
      </c>
      <c r="G1976" s="2" t="inlineStr">
        <is>
          <t>Art. 118.º-A (aditamento)</t>
        </is>
      </c>
      <c r="H1976" s="2" t="n"/>
      <c r="I1976" s="2" t="n"/>
      <c r="J1976" s="2" t="n"/>
      <c r="K1976" s="2" t="n"/>
      <c r="L1976" s="2" t="inlineStr">
        <is>
          <t>Artigo 118.º-A (Gratuitidade do material escolar na escola pública)</t>
        </is>
      </c>
      <c r="M1976" s="4" t="n"/>
      <c r="N1976" s="4" t="n"/>
      <c r="O1976" s="2" t="n"/>
      <c r="P1976" s="2" t="n"/>
      <c r="Q1976" s="2" t="n"/>
      <c r="R1976" s="2" t="n"/>
      <c r="S1976" s="2" t="inlineStr">
        <is>
          <t>Rejeitado(a) em Comissão</t>
        </is>
      </c>
      <c r="T1976" s="2" t="inlineStr">
        <is>
          <t>Rejeitada</t>
        </is>
      </c>
      <c r="U1976" s="2" t="inlineStr">
        <is>
          <t>Favor: L, PCP, BE, PAN; Contra: PSD, IL, CDS-PP; Abstenção: CH, PS</t>
        </is>
      </c>
      <c r="V1976" s="3" t="n">
        <v>45985</v>
      </c>
      <c r="W1976" s="2" t="inlineStr">
        <is>
          <t>AR: https://www.parlamento.pt/OrcamentoEstado/Paginas/DetalhePropostaAlteracao.aspx?BID=25122 PDF: https://app.parlamento.pt/webutils/docs/doc.pdf?path=6148523063484d364c793942556b356c6443397a6158526c63793959566b6c4a544556484c3039464c7a49774d6a59794d4449314d5441774f533951515338775a6d526a4e32526a5a6930794f546b794c5452684d574d74595759785a6930774d7a42694e54497a4d7a5a6d595755756347526d&amp;Fich=0fdc7dcf-2992-4a1c-af1f-030b52336fae.pdf&amp;Inline=true</t>
        </is>
      </c>
      <c r="X1976" s="2" t="inlineStr">
        <is>
          <t>Educação e Ciência</t>
        </is>
      </c>
      <c r="Y1976" s="2" t="inlineStr">
        <is>
          <t>Articulado</t>
        </is>
      </c>
      <c r="Z1976" s="2" t="inlineStr">
        <is>
          <t>Aditamento (Artigo PPL)</t>
        </is>
      </c>
      <c r="AA1976" s="2" t="inlineStr">
        <is>
          <t>Rejeitado(a) em Comissão</t>
        </is>
      </c>
      <c r="AB1976" s="2" t="inlineStr"/>
      <c r="AC1976" s="2" t="inlineStr"/>
      <c r="AD1976" s="2" t="inlineStr">
        <is>
          <t>1</t>
        </is>
      </c>
      <c r="AE1976" s="2" t="inlineStr">
        <is>
          <t>25122</t>
        </is>
      </c>
      <c r="AF1976" s="2" t="inlineStr">
        <is>
          <t>https://www.parlamento.pt/OrcamentoEstado/Paginas/DetalhePropostaAlteracao.aspx?BID=25122</t>
        </is>
      </c>
      <c r="AG1976" s="2" t="inlineStr">
        <is>
          <t>https://app.parlamento.pt/webutils/docs/doc.pdf?path=6148523063484d364c793942556b356c6443397a6158526c63793959566b6c4a544556484c3039464c7a49774d6a59794d4449314d5441774f533951515338775a6d526a4e32526a5a6930794f546b794c5452684d574d74595759785a6930774d7a42694e54497a4d7a5a6d595755756347526d&amp;Fich=0fdc7dcf-2992-4a1c-af1f-030b52336fae.pdf&amp;Inline=true</t>
        </is>
      </c>
      <c r="AH1976" s="3" t="n">
        <v>46321.77847222222</v>
      </c>
      <c r="AI1976" s="3" t="n">
        <v>46321.78055555555</v>
      </c>
      <c r="AJ1976" s="2" t="inlineStr"/>
    </row>
    <row r="1977">
      <c r="A1977" s="2" t="n">
        <v>1976</v>
      </c>
      <c r="B1977" s="2" t="inlineStr">
        <is>
          <t>1871C</t>
        </is>
      </c>
      <c r="C1977" s="3" t="n">
        <v>45968.72222222222</v>
      </c>
      <c r="D1977" s="2" t="inlineStr">
        <is>
          <t>Original</t>
        </is>
      </c>
      <c r="E1977" s="2" t="inlineStr">
        <is>
          <t>L</t>
        </is>
      </c>
      <c r="F1977" s="2" t="inlineStr">
        <is>
          <t>Filipa Pinto; Isabel Mendes Lopes; Jorge Pinto; Patrícia Gonçalves; Paulo Muacho; Rui Tavares</t>
        </is>
      </c>
      <c r="G1977" s="2" t="inlineStr">
        <is>
          <t>Art. 112.º-A (aditamento)</t>
        </is>
      </c>
      <c r="H1977" s="2" t="n"/>
      <c r="I1977" s="2" t="n"/>
      <c r="J1977" s="2" t="n"/>
      <c r="K1977" s="2" t="n"/>
      <c r="L1977" s="2" t="inlineStr">
        <is>
          <t>Artigo 112.º-A (Entidades que acolhem menores não acompanhados)</t>
        </is>
      </c>
      <c r="M1977" s="4" t="n"/>
      <c r="N1977" s="4" t="n"/>
      <c r="O1977" s="2" t="n"/>
      <c r="P1977" s="2" t="n"/>
      <c r="Q1977" s="2" t="n"/>
      <c r="R1977" s="2" t="n"/>
      <c r="S1977" s="2" t="inlineStr">
        <is>
          <t>Rejeitado(a) em Comissão</t>
        </is>
      </c>
      <c r="T1977" s="2" t="inlineStr">
        <is>
          <t>Rejeitada</t>
        </is>
      </c>
      <c r="U1977" s="2" t="inlineStr">
        <is>
          <t>Favor: L, PCP, BE, PAN; Contra: PSD, CDS-PP; Abstenção: CH, PS, IL</t>
        </is>
      </c>
      <c r="V1977" s="3" t="n">
        <v>45982</v>
      </c>
      <c r="W1977" s="2" t="inlineStr">
        <is>
          <t>AR: https://www.parlamento.pt/OrcamentoEstado/Paginas/DetalhePropostaAlteracao.aspx?BID=25123 PDF: https://app.parlamento.pt/webutils/docs/doc.pdf?path=6148523063484d364c793942556b356c6443397a6158526c63793959566b6c4a544556484c3039464c7a49774d6a59794d4449314d5441774f53395151533878593255344e7a55324e5330325a6a59334c54526d4d475574595752684d5331694e446b344d324d774e324933597a59756347526d&amp;Fich=1ce87565-6f67-4f0e-ada1-b4983c07b7c6.pdf&amp;Inline=true</t>
        </is>
      </c>
      <c r="X1977" s="2" t="inlineStr">
        <is>
          <t>Assuntos Constitucionais, Direitos, Liberdades e Garantias; Trabalho, Segurança Social e Inclusão</t>
        </is>
      </c>
      <c r="Y1977" s="2" t="inlineStr">
        <is>
          <t>Articulado</t>
        </is>
      </c>
      <c r="Z1977" s="2" t="inlineStr">
        <is>
          <t>Aditamento (Artigo PPL)</t>
        </is>
      </c>
      <c r="AA1977" s="2" t="inlineStr">
        <is>
          <t>Rejeitado(a) em Comissão</t>
        </is>
      </c>
      <c r="AB1977" s="2" t="inlineStr"/>
      <c r="AC1977" s="2" t="inlineStr"/>
      <c r="AD1977" s="2" t="inlineStr">
        <is>
          <t>1</t>
        </is>
      </c>
      <c r="AE1977" s="2" t="inlineStr">
        <is>
          <t>25123</t>
        </is>
      </c>
      <c r="AF1977" s="2" t="inlineStr">
        <is>
          <t>https://www.parlamento.pt/OrcamentoEstado/Paginas/DetalhePropostaAlteracao.aspx?BID=25123</t>
        </is>
      </c>
      <c r="AG1977" s="2" t="inlineStr">
        <is>
          <t>https://app.parlamento.pt/webutils/docs/doc.pdf?path=6148523063484d364c793942556b356c6443397a6158526c63793959566b6c4a544556484c3039464c7a49774d6a59794d4449314d5441774f53395151533878593255344e7a55324e5330325a6a59334c54526d4d475574595752684d5331694e446b344d324d774e324933597a59756347526d&amp;Fich=1ce87565-6f67-4f0e-ada1-b4983c07b7c6.pdf&amp;Inline=true</t>
        </is>
      </c>
      <c r="AH1977" s="3" t="n">
        <v>46321.77847222222</v>
      </c>
      <c r="AI1977" s="3" t="n">
        <v>46321.78055555555</v>
      </c>
      <c r="AJ1977" s="2" t="inlineStr"/>
    </row>
    <row r="1978">
      <c r="A1978" s="2" t="n">
        <v>1977</v>
      </c>
      <c r="B1978" s="2" t="inlineStr">
        <is>
          <t>1872C</t>
        </is>
      </c>
      <c r="C1978" s="3" t="n">
        <v>45968.72222222222</v>
      </c>
      <c r="D1978" s="2" t="inlineStr">
        <is>
          <t>Original</t>
        </is>
      </c>
      <c r="E1978" s="2" t="inlineStr">
        <is>
          <t>PCP</t>
        </is>
      </c>
      <c r="F1978" s="2" t="inlineStr">
        <is>
          <t>Alfredo Maia; Paula Santos; Paulo Raimundo</t>
        </is>
      </c>
      <c r="G1978" s="2" t="inlineStr">
        <is>
          <t>Art. 118.º-A (aditamento)</t>
        </is>
      </c>
      <c r="H1978" s="2" t="n"/>
      <c r="I1978" s="2" t="n"/>
      <c r="J1978" s="2" t="n"/>
      <c r="K1978" s="2" t="n"/>
      <c r="L1978" s="2" t="inlineStr">
        <is>
          <t>Artigo 118.º-A (Reforço dos meios para integração e inclusão de crianças e jovens com necessidades educativas específicas na Escola Pública)</t>
        </is>
      </c>
      <c r="M1978" s="4" t="n"/>
      <c r="N1978" s="4" t="n"/>
      <c r="O1978" s="2" t="n"/>
      <c r="P1978" s="2" t="n"/>
      <c r="Q1978" s="2" t="n"/>
      <c r="R1978" s="2" t="n"/>
      <c r="S1978" s="2" t="inlineStr">
        <is>
          <t>Rejeitado(a) em Comissão</t>
        </is>
      </c>
      <c r="T1978" s="2" t="inlineStr">
        <is>
          <t>Rejeitada</t>
        </is>
      </c>
      <c r="U1978" s="2" t="inlineStr">
        <is>
          <t>Favor: CH, L, PCP, BE, PAN; Contra: PSD, CDS-PP; Abstenção: PS, IL</t>
        </is>
      </c>
      <c r="V1978" s="3" t="n">
        <v>45985</v>
      </c>
      <c r="W1978" s="2" t="inlineStr">
        <is>
          <t>AR: https://www.parlamento.pt/OrcamentoEstado/Paginas/DetalhePropostaAlteracao.aspx?BID=25125 PDF: https://app.parlamento.pt/webutils/docs/doc.pdf?path=6148523063484d364c793942556b356c6443397a6158526c63793959566b6c4a544556484c3039464c7a49774d6a59794d4449314d5441774f5339515153396d4d4445794d6a4e6c595330304f574d354c5451334f5463744f546c695a4330345954637a5954566c4d444e684f5759756347526d&amp;Fich=f01223ea-49c9-4797-99bd-8a73a5e03a9f.pdf&amp;Inline=true</t>
        </is>
      </c>
      <c r="X1978" s="2" t="inlineStr">
        <is>
          <t>Educação e Ciência</t>
        </is>
      </c>
      <c r="Y1978" s="2" t="inlineStr">
        <is>
          <t>Articulado</t>
        </is>
      </c>
      <c r="Z1978" s="2" t="inlineStr">
        <is>
          <t>Aditamento (Artigo PPL)</t>
        </is>
      </c>
      <c r="AA1978" s="2" t="inlineStr">
        <is>
          <t>Rejeitado(a) em Comissão</t>
        </is>
      </c>
      <c r="AB1978" s="2" t="inlineStr"/>
      <c r="AC1978" s="2" t="inlineStr"/>
      <c r="AD1978" s="2" t="inlineStr">
        <is>
          <t>1</t>
        </is>
      </c>
      <c r="AE1978" s="2" t="inlineStr">
        <is>
          <t>25125</t>
        </is>
      </c>
      <c r="AF1978" s="2" t="inlineStr">
        <is>
          <t>https://www.parlamento.pt/OrcamentoEstado/Paginas/DetalhePropostaAlteracao.aspx?BID=25125</t>
        </is>
      </c>
      <c r="AG1978" s="2" t="inlineStr">
        <is>
          <t>https://app.parlamento.pt/webutils/docs/doc.pdf?path=6148523063484d364c793942556b356c6443397a6158526c63793959566b6c4a544556484c3039464c7a49774d6a59794d4449314d5441774f5339515153396d4d4445794d6a4e6c595330304f574d354c5451334f5463744f546c695a4330345954637a5954566c4d444e684f5759756347526d&amp;Fich=f01223ea-49c9-4797-99bd-8a73a5e03a9f.pdf&amp;Inline=true</t>
        </is>
      </c>
      <c r="AH1978" s="3" t="n">
        <v>46321.77847222222</v>
      </c>
      <c r="AI1978" s="3" t="n">
        <v>46321.78055555555</v>
      </c>
      <c r="AJ1978" s="2" t="inlineStr"/>
    </row>
    <row r="1979">
      <c r="A1979" s="2" t="n">
        <v>1978</v>
      </c>
      <c r="B1979" s="2" t="inlineStr">
        <is>
          <t>1873C</t>
        </is>
      </c>
      <c r="C1979" s="3" t="n">
        <v>45968.72291666667</v>
      </c>
      <c r="D1979" s="2" t="inlineStr">
        <is>
          <t>Original</t>
        </is>
      </c>
      <c r="E1979" s="2" t="inlineStr">
        <is>
          <t>PCP</t>
        </is>
      </c>
      <c r="F1979" s="2" t="inlineStr">
        <is>
          <t>Alfredo Maia; Paula Santos; Paulo Raimundo</t>
        </is>
      </c>
      <c r="G1979" s="2" t="inlineStr">
        <is>
          <t>Art. 118.º-A (aditamento)</t>
        </is>
      </c>
      <c r="H1979" s="2" t="n"/>
      <c r="I1979" s="2" t="n"/>
      <c r="J1979" s="2" t="n"/>
      <c r="K1979" s="2" t="n"/>
      <c r="L1979" s="2" t="inlineStr">
        <is>
          <t>Artigo 118.º-A (Verbas para o funcionamento pedagógico no ensino público)</t>
        </is>
      </c>
      <c r="M1979" s="4" t="n"/>
      <c r="N1979" s="4" t="n"/>
      <c r="O1979" s="2" t="n"/>
      <c r="P1979" s="2" t="n"/>
      <c r="Q1979" s="2" t="n"/>
      <c r="R1979" s="2" t="n"/>
      <c r="S1979" s="2" t="inlineStr">
        <is>
          <t>Rejeitado(a) em Comissão</t>
        </is>
      </c>
      <c r="T1979" s="2" t="inlineStr">
        <is>
          <t>Rejeitada</t>
        </is>
      </c>
      <c r="U1979" s="2" t="inlineStr">
        <is>
          <t>Favor: L, PCP, BE, PAN; Contra: PSD, IL, CDS-PP; Abstenção: CH, PS</t>
        </is>
      </c>
      <c r="V1979" s="3" t="n">
        <v>45985</v>
      </c>
      <c r="W1979" s="2" t="inlineStr">
        <is>
          <t>AR: https://www.parlamento.pt/OrcamentoEstado/Paginas/DetalhePropostaAlteracao.aspx?BID=25126 PDF: https://app.parlamento.pt/webutils/docs/doc.pdf?path=6148523063484d364c793942556b356c6443397a6158526c63793959566b6c4a544556484c3039464c7a49774d6a59794d4449314d5441774f533951515339694d4749795a6a466d4d69307a4f544d304c54526a4d7a4974595755774d693077597a4d325a6a4d784f54466c4f4451756347526d&amp;Fich=b0b2f1f2-3934-4c32-ae02-0c36f3191e84.pdf&amp;Inline=true</t>
        </is>
      </c>
      <c r="X1979" s="2" t="inlineStr">
        <is>
          <t>Educação e Ciência</t>
        </is>
      </c>
      <c r="Y1979" s="2" t="inlineStr">
        <is>
          <t>Articulado</t>
        </is>
      </c>
      <c r="Z1979" s="2" t="inlineStr">
        <is>
          <t>Aditamento (Artigo PPL)</t>
        </is>
      </c>
      <c r="AA1979" s="2" t="inlineStr">
        <is>
          <t>Rejeitado(a) em Comissão</t>
        </is>
      </c>
      <c r="AB1979" s="2" t="inlineStr"/>
      <c r="AC1979" s="2" t="inlineStr"/>
      <c r="AD1979" s="2" t="inlineStr">
        <is>
          <t>1</t>
        </is>
      </c>
      <c r="AE1979" s="2" t="inlineStr">
        <is>
          <t>25126</t>
        </is>
      </c>
      <c r="AF1979" s="2" t="inlineStr">
        <is>
          <t>https://www.parlamento.pt/OrcamentoEstado/Paginas/DetalhePropostaAlteracao.aspx?BID=25126</t>
        </is>
      </c>
      <c r="AG1979" s="2" t="inlineStr">
        <is>
          <t>https://app.parlamento.pt/webutils/docs/doc.pdf?path=6148523063484d364c793942556b356c6443397a6158526c63793959566b6c4a544556484c3039464c7a49774d6a59794d4449314d5441774f533951515339694d4749795a6a466d4d69307a4f544d304c54526a4d7a4974595755774d693077597a4d325a6a4d784f54466c4f4451756347526d&amp;Fich=b0b2f1f2-3934-4c32-ae02-0c36f3191e84.pdf&amp;Inline=true</t>
        </is>
      </c>
      <c r="AH1979" s="3" t="n">
        <v>46321.77847222222</v>
      </c>
      <c r="AI1979" s="3" t="n">
        <v>46321.78055555555</v>
      </c>
      <c r="AJ1979" s="2" t="inlineStr"/>
    </row>
    <row r="1980">
      <c r="A1980" s="2" t="n">
        <v>1979</v>
      </c>
      <c r="B1980" s="2" t="inlineStr">
        <is>
          <t>1874C</t>
        </is>
      </c>
      <c r="C1980" s="3" t="n">
        <v>45968.72291666667</v>
      </c>
      <c r="D1980" s="2" t="inlineStr">
        <is>
          <t>Original</t>
        </is>
      </c>
      <c r="E1980" s="2" t="inlineStr">
        <is>
          <t>L</t>
        </is>
      </c>
      <c r="F1980" s="2" t="inlineStr">
        <is>
          <t>Filipa Pinto; Isabel Mendes Lopes; Jorge Pinto; Patrícia Gonçalves; Paulo Muacho; Rui Tavares</t>
        </is>
      </c>
      <c r="G1980" s="2" t="inlineStr">
        <is>
          <t>Art. 136.º-A (aditamento)</t>
        </is>
      </c>
      <c r="H1980" s="2" t="n"/>
      <c r="I1980" s="2" t="n"/>
      <c r="J1980" s="2" t="n"/>
      <c r="K1980" s="2" t="n"/>
      <c r="L1980" s="2" t="inlineStr">
        <is>
          <t>Artigo 136.º-A (Guia de Direitos e Recursos para Vítimas de Violência Doméstica)</t>
        </is>
      </c>
      <c r="M1980" s="4" t="n"/>
      <c r="N1980" s="4" t="n"/>
      <c r="O1980" s="2" t="n"/>
      <c r="P1980" s="2" t="n"/>
      <c r="Q1980" s="2" t="n"/>
      <c r="R1980" s="2" t="n"/>
      <c r="S1980" s="2" t="inlineStr">
        <is>
          <t>Rejeitado(a) em Comissão</t>
        </is>
      </c>
      <c r="T1980" s="2" t="inlineStr">
        <is>
          <t>Rejeitada</t>
        </is>
      </c>
      <c r="U1980" s="2" t="inlineStr">
        <is>
          <t>Favor: CH, IL, L, PCP, BE, PAN; Contra: PSD, CDS-PP; Abstenção: PS</t>
        </is>
      </c>
      <c r="V1980" s="3" t="n">
        <v>45987</v>
      </c>
      <c r="W1980" s="2" t="inlineStr">
        <is>
          <t>AR: https://www.parlamento.pt/OrcamentoEstado/Paginas/DetalhePropostaAlteracao.aspx?BID=25127 PDF: https://app.parlamento.pt/webutils/docs/doc.pdf?path=6148523063484d364c793942556b356c6443397a6158526c63793959566b6c4a544556484c3039464c7a49774d6a59794d4449314d5441774f533951515339694d7a4a694f575668596931694f5749304c54526c596d4574595455335a5330335a446c6c596a49774e4745784e3251756347526d&amp;Fich=b32b9eab-b9b4-4eba-a57e-7d9eb204a17d.pdf&amp;Inline=true</t>
        </is>
      </c>
      <c r="X1980" s="2" t="inlineStr">
        <is>
          <t>Assuntos Constitucionais, Direitos, Liberdades e Garantias; Orçamento, Finanças e Administração Pública</t>
        </is>
      </c>
      <c r="Y1980" s="2" t="inlineStr">
        <is>
          <t>Articulado</t>
        </is>
      </c>
      <c r="Z1980" s="2" t="inlineStr">
        <is>
          <t>Aditamento (Artigo PPL)</t>
        </is>
      </c>
      <c r="AA1980" s="2" t="inlineStr">
        <is>
          <t>Rejeitado(a) em Comissão</t>
        </is>
      </c>
      <c r="AB1980" s="2" t="inlineStr"/>
      <c r="AC1980" s="2" t="inlineStr"/>
      <c r="AD1980" s="2" t="inlineStr">
        <is>
          <t>1</t>
        </is>
      </c>
      <c r="AE1980" s="2" t="inlineStr">
        <is>
          <t>25127</t>
        </is>
      </c>
      <c r="AF1980" s="2" t="inlineStr">
        <is>
          <t>https://www.parlamento.pt/OrcamentoEstado/Paginas/DetalhePropostaAlteracao.aspx?BID=25127</t>
        </is>
      </c>
      <c r="AG1980" s="2" t="inlineStr">
        <is>
          <t>https://app.parlamento.pt/webutils/docs/doc.pdf?path=6148523063484d364c793942556b356c6443397a6158526c63793959566b6c4a544556484c3039464c7a49774d6a59794d4449314d5441774f533951515339694d7a4a694f575668596931694f5749304c54526c596d4574595455335a5330335a446c6c596a49774e4745784e3251756347526d&amp;Fich=b32b9eab-b9b4-4eba-a57e-7d9eb204a17d.pdf&amp;Inline=true</t>
        </is>
      </c>
      <c r="AH1980" s="3" t="n">
        <v>46321.77847222222</v>
      </c>
      <c r="AI1980" s="3" t="n">
        <v>46321.78055555555</v>
      </c>
      <c r="AJ1980" s="2" t="inlineStr"/>
    </row>
    <row r="1981">
      <c r="A1981" s="2" t="n">
        <v>1980</v>
      </c>
      <c r="B1981" s="2" t="inlineStr">
        <is>
          <t>1875C</t>
        </is>
      </c>
      <c r="C1981" s="3" t="n">
        <v>45968.72361111111</v>
      </c>
      <c r="D1981" s="2" t="inlineStr">
        <is>
          <t>Original</t>
        </is>
      </c>
      <c r="E1981" s="2" t="inlineStr">
        <is>
          <t>Vários</t>
        </is>
      </c>
      <c r="F1981" s="2" t="inlineStr">
        <is>
          <t>Alberto Fonseca; Francisco Pimentel; Hugo Carneiro; Hugo Soares; João Pinho de Almeida; Paulo Núncio</t>
        </is>
      </c>
      <c r="G1981" s="2" t="inlineStr">
        <is>
          <t>Art. 83.º (aditamento)</t>
        </is>
      </c>
      <c r="H1981" s="2" t="n"/>
      <c r="I1981" s="2" t="n"/>
      <c r="J1981" s="2" t="n"/>
      <c r="K1981" s="2" t="n"/>
      <c r="L1981" s="2" t="inlineStr">
        <is>
          <t>N.º 7, Artigo 83.º</t>
        </is>
      </c>
      <c r="M1981" s="4" t="n"/>
      <c r="N1981" s="4" t="n"/>
      <c r="O1981" s="2" t="n"/>
      <c r="P1981" s="2" t="n"/>
      <c r="Q1981" s="2" t="n"/>
      <c r="R1981" s="2" t="n"/>
      <c r="S1981" s="2" t="inlineStr">
        <is>
          <t>Aprovado(a) em Comissão</t>
        </is>
      </c>
      <c r="T1981" s="2" t="inlineStr">
        <is>
          <t>Aprovada</t>
        </is>
      </c>
      <c r="U1981" s="2" t="inlineStr">
        <is>
          <t>Favor: PSD, CH, IL, CDS-PP, PAN; Contra: PCP; Abstenção: PS, L, BE</t>
        </is>
      </c>
      <c r="V1981" s="3" t="n">
        <v>45982</v>
      </c>
      <c r="W1981" s="2" t="inlineStr">
        <is>
          <t>AR: https://www.parlamento.pt/OrcamentoEstado/Paginas/DetalhePropostaAlteracao.aspx?BID=25128 PDF: https://app.parlamento.pt/webutils/docs/doc.pdf?path=6148523063484d364c793942556b356c6443397a6158526c63793959566b6c4a544556484c3039464c7a49774d6a59794d4449314d5441774f5339515153396d4e6a55794e44637a5a4330334e324d334c5451354e6a5974595452684d6930784e5755324d5464684f4441315a6a59756347526d&amp;Fich=f652473d-77c7-4966-a4a2-15e617a805f6.pdf&amp;Inline=true</t>
        </is>
      </c>
      <c r="X1981" s="2" t="inlineStr">
        <is>
          <t>Orçamento, Finanças e Administração Pública</t>
        </is>
      </c>
      <c r="Y1981" s="2" t="inlineStr">
        <is>
          <t>Articulado</t>
        </is>
      </c>
      <c r="Z1981" s="2" t="inlineStr">
        <is>
          <t>Aditamento (Números e Alíneas)</t>
        </is>
      </c>
      <c r="AA1981" s="2" t="inlineStr">
        <is>
          <t>Aprovado(a) em Comissão</t>
        </is>
      </c>
      <c r="AB1981" s="2" t="inlineStr"/>
      <c r="AC1981" s="2" t="inlineStr"/>
      <c r="AD1981" s="2" t="inlineStr">
        <is>
          <t>1</t>
        </is>
      </c>
      <c r="AE1981" s="2" t="inlineStr">
        <is>
          <t>25128</t>
        </is>
      </c>
      <c r="AF1981" s="2" t="inlineStr">
        <is>
          <t>https://www.parlamento.pt/OrcamentoEstado/Paginas/DetalhePropostaAlteracao.aspx?BID=25128</t>
        </is>
      </c>
      <c r="AG1981" s="2" t="inlineStr">
        <is>
          <t>https://app.parlamento.pt/webutils/docs/doc.pdf?path=6148523063484d364c793942556b356c6443397a6158526c63793959566b6c4a544556484c3039464c7a49774d6a59794d4449314d5441774f5339515153396d4e6a55794e44637a5a4330334e324d334c5451354e6a5974595452684d6930784e5755324d5464684f4441315a6a59756347526d&amp;Fich=f652473d-77c7-4966-a4a2-15e617a805f6.pdf&amp;Inline=true</t>
        </is>
      </c>
      <c r="AH1981" s="3" t="n">
        <v>46321.77847222222</v>
      </c>
      <c r="AI1981" s="3" t="n">
        <v>46321.78055555555</v>
      </c>
      <c r="AJ1981" s="2" t="inlineStr"/>
    </row>
    <row r="1982">
      <c r="A1982" s="2" t="n">
        <v>1981</v>
      </c>
      <c r="B1982" s="2" t="inlineStr">
        <is>
          <t>1876C</t>
        </is>
      </c>
      <c r="C1982" s="3" t="n">
        <v>45968.72361111111</v>
      </c>
      <c r="D1982" s="2" t="inlineStr">
        <is>
          <t>Original</t>
        </is>
      </c>
      <c r="E1982" s="2" t="inlineStr">
        <is>
          <t>PCP</t>
        </is>
      </c>
      <c r="F1982" s="2" t="inlineStr">
        <is>
          <t>Alfredo Maia; Paula Santos; Paulo Raimundo</t>
        </is>
      </c>
      <c r="G1982" s="2" t="inlineStr">
        <is>
          <t>Art. 136.º-A (aditamento)</t>
        </is>
      </c>
      <c r="H1982" s="2" t="n"/>
      <c r="I1982" s="2" t="n"/>
      <c r="J1982" s="2" t="n"/>
      <c r="K1982" s="2" t="n"/>
      <c r="L1982" s="2" t="inlineStr">
        <is>
          <t>Artigo 136.º-A (Alteração ao Decreto-Lei n.º 57-A/2024, de 13 de setembro)</t>
        </is>
      </c>
      <c r="M1982" s="4" t="n"/>
      <c r="N1982" s="4" t="n"/>
      <c r="O1982" s="2" t="n"/>
      <c r="P1982" s="2" t="n"/>
      <c r="Q1982" s="2" t="n"/>
      <c r="R1982" s="2" t="n"/>
      <c r="S1982" s="2" t="inlineStr">
        <is>
          <t>Rejeitado(a) em Comissão</t>
        </is>
      </c>
      <c r="T1982" s="2" t="inlineStr">
        <is>
          <t>Rejeitada</t>
        </is>
      </c>
      <c r="U1982" s="2" t="inlineStr">
        <is>
          <t>Favor: L, PCP, BE, PAN; Contra: PSD, IL, CDS-PP; Abstenção: CH, PS</t>
        </is>
      </c>
      <c r="V1982" s="3" t="n">
        <v>45987</v>
      </c>
      <c r="W1982" s="2" t="inlineStr">
        <is>
          <t>AR: https://www.parlamento.pt/OrcamentoEstado/Paginas/DetalhePropostaAlteracao.aspx?BID=25129 PDF: https://app.parlamento.pt/webutils/docs/doc.pdf?path=6148523063484d364c793942556b356c6443397a6158526c63793959566b6c4a544556484c3039464c7a49774d6a59794d4449314d5441774f533951515338324f474a684d6d59314d53316b4d4455304c54526a596d55744f544d774d7930324e546b345a474d325954466a4d4451756347526d&amp;Fich=68ba2f51-d054-4cbe-9303-6598dc6a1c04.pdf&amp;Inline=true</t>
        </is>
      </c>
      <c r="X1982" s="2" t="inlineStr">
        <is>
          <t>Educação e Ciência</t>
        </is>
      </c>
      <c r="Y1982" s="2" t="inlineStr">
        <is>
          <t>Articulado</t>
        </is>
      </c>
      <c r="Z1982" s="2" t="inlineStr">
        <is>
          <t>Aditamento (Artigo PPL)</t>
        </is>
      </c>
      <c r="AA1982" s="2" t="inlineStr">
        <is>
          <t>Rejeitado(a) em Comissão</t>
        </is>
      </c>
      <c r="AB1982" s="2" t="inlineStr"/>
      <c r="AC1982" s="2" t="inlineStr"/>
      <c r="AD1982" s="2" t="inlineStr">
        <is>
          <t>1</t>
        </is>
      </c>
      <c r="AE1982" s="2" t="inlineStr">
        <is>
          <t>25129</t>
        </is>
      </c>
      <c r="AF1982" s="2" t="inlineStr">
        <is>
          <t>https://www.parlamento.pt/OrcamentoEstado/Paginas/DetalhePropostaAlteracao.aspx?BID=25129</t>
        </is>
      </c>
      <c r="AG1982" s="2" t="inlineStr">
        <is>
          <t>https://app.parlamento.pt/webutils/docs/doc.pdf?path=6148523063484d364c793942556b356c6443397a6158526c63793959566b6c4a544556484c3039464c7a49774d6a59794d4449314d5441774f533951515338324f474a684d6d59314d53316b4d4455304c54526a596d55744f544d774d7930324e546b345a474d325954466a4d4451756347526d&amp;Fich=68ba2f51-d054-4cbe-9303-6598dc6a1c04.pdf&amp;Inline=true</t>
        </is>
      </c>
      <c r="AH1982" s="3" t="n">
        <v>46321.77847222222</v>
      </c>
      <c r="AI1982" s="3" t="n">
        <v>46321.78055555555</v>
      </c>
      <c r="AJ1982" s="2" t="inlineStr"/>
    </row>
    <row r="1983">
      <c r="A1983" s="2" t="n">
        <v>1982</v>
      </c>
      <c r="B1983" s="2" t="inlineStr">
        <is>
          <t>1877C</t>
        </is>
      </c>
      <c r="C1983" s="3" t="n">
        <v>45968.72361111111</v>
      </c>
      <c r="D1983" s="2" t="inlineStr">
        <is>
          <t>Original</t>
        </is>
      </c>
      <c r="E1983" s="2" t="inlineStr">
        <is>
          <t>L</t>
        </is>
      </c>
      <c r="F1983" s="2" t="inlineStr">
        <is>
          <t>Filipa Pinto; Isabel Mendes Lopes; Jorge Pinto; Patrícia Gonçalves; Paulo Muacho; Rui Tavares</t>
        </is>
      </c>
      <c r="G1983" s="2" t="inlineStr">
        <is>
          <t>Art. 136.º-A (aditamento)</t>
        </is>
      </c>
      <c r="H1983" s="2" t="n"/>
      <c r="I1983" s="2" t="n"/>
      <c r="J1983" s="2" t="n"/>
      <c r="K1983" s="2" t="n"/>
      <c r="L1983" s="2" t="inlineStr">
        <is>
          <t>Artigo 136.º-A (Contributo financeiro para a Agência das Nações Unidas de Assistência aos Refugiados da Palestina no Próximo Oriente (UNRWA))</t>
        </is>
      </c>
      <c r="M1983" s="4" t="n"/>
      <c r="N1983" s="4" t="n"/>
      <c r="O1983" s="2" t="n"/>
      <c r="P1983" s="2" t="n"/>
      <c r="Q1983" s="2" t="n"/>
      <c r="R1983" s="2" t="n"/>
      <c r="S1983" s="2" t="inlineStr">
        <is>
          <t>Rejeitado(a) em Comissão</t>
        </is>
      </c>
      <c r="T1983" s="2" t="inlineStr">
        <is>
          <t>Rejeitada</t>
        </is>
      </c>
      <c r="U1983" s="2" t="inlineStr">
        <is>
          <t>Favor: L, PCP, BE, PAN; Contra: PSD, CH, IL, CDS-PP; Abstenção: PS</t>
        </is>
      </c>
      <c r="V1983" s="3" t="n">
        <v>45987</v>
      </c>
      <c r="W1983" s="2" t="inlineStr">
        <is>
          <t>AR: https://www.parlamento.pt/OrcamentoEstado/Paginas/DetalhePropostaAlteracao.aspx?BID=25130 PDF: https://app.parlamento.pt/webutils/docs/doc.pdf?path=6148523063484d364c793942556b356c6443397a6158526c63793959566b6c4a544556484c3039464c7a49774d6a59794d4449314d5441774f533951515338304f5441324e7a6330596930794e47526c4c5451344d545974596d597a597930774d6d4a6b4d5751785a6a6b304e6a55756347526d&amp;Fich=4906774b-24de-4816-bf3c-02bd1d1f9465.pdf&amp;Inline=true</t>
        </is>
      </c>
      <c r="X1983" s="2" t="inlineStr">
        <is>
          <t>Assuntos Constitucionais, Direitos, Liberdades e Garantias; Negócios Estrangeiros e Comunidades Portuguesas</t>
        </is>
      </c>
      <c r="Y1983" s="2" t="inlineStr">
        <is>
          <t>Articulado</t>
        </is>
      </c>
      <c r="Z1983" s="2" t="inlineStr">
        <is>
          <t>Aditamento (Artigo PPL)</t>
        </is>
      </c>
      <c r="AA1983" s="2" t="inlineStr">
        <is>
          <t>Rejeitado(a) em Comissão</t>
        </is>
      </c>
      <c r="AB1983" s="2" t="inlineStr"/>
      <c r="AC1983" s="2" t="inlineStr"/>
      <c r="AD1983" s="2" t="inlineStr">
        <is>
          <t>1</t>
        </is>
      </c>
      <c r="AE1983" s="2" t="inlineStr">
        <is>
          <t>25130</t>
        </is>
      </c>
      <c r="AF1983" s="2" t="inlineStr">
        <is>
          <t>https://www.parlamento.pt/OrcamentoEstado/Paginas/DetalhePropostaAlteracao.aspx?BID=25130</t>
        </is>
      </c>
      <c r="AG1983" s="2" t="inlineStr">
        <is>
          <t>https://app.parlamento.pt/webutils/docs/doc.pdf?path=6148523063484d364c793942556b356c6443397a6158526c63793959566b6c4a544556484c3039464c7a49774d6a59794d4449314d5441774f533951515338304f5441324e7a6330596930794e47526c4c5451344d545974596d597a597930774d6d4a6b4d5751785a6a6b304e6a55756347526d&amp;Fich=4906774b-24de-4816-bf3c-02bd1d1f9465.pdf&amp;Inline=true</t>
        </is>
      </c>
      <c r="AH1983" s="3" t="n">
        <v>46321.77847222222</v>
      </c>
      <c r="AI1983" s="3" t="n">
        <v>46321.78055555555</v>
      </c>
      <c r="AJ1983" s="2" t="inlineStr"/>
    </row>
    <row r="1984">
      <c r="A1984" s="2" t="n">
        <v>1983</v>
      </c>
      <c r="B1984" s="2" t="inlineStr">
        <is>
          <t>1878C</t>
        </is>
      </c>
      <c r="C1984" s="3" t="n">
        <v>45968.72361111111</v>
      </c>
      <c r="D1984" s="2" t="inlineStr">
        <is>
          <t>Original</t>
        </is>
      </c>
      <c r="E1984" s="2" t="inlineStr">
        <is>
          <t>Vários</t>
        </is>
      </c>
      <c r="F1984" s="2" t="inlineStr">
        <is>
          <t>Alberto Fonseca; Ana Oliveira; Carla Barros; Francisco Pimentel; Francisco Sousa Vieira; Helga Correia; Hugo Carneiro; Hugo Soares; Isaura Morais; Miguel Guimarães; João Pinho de Almeida; Paulo Núncio</t>
        </is>
      </c>
      <c r="G1984" s="2" t="inlineStr">
        <is>
          <t>Art. 38.º-A (aditamento)</t>
        </is>
      </c>
      <c r="H1984" s="2" t="n"/>
      <c r="I1984" s="2" t="n"/>
      <c r="J1984" s="2" t="n"/>
      <c r="K1984" s="2" t="n"/>
      <c r="L1984" s="2" t="inlineStr">
        <is>
          <t>Artigo 38.º-A (Subsídio para assistência a filho com deficiência, doença crónica ou doença oncológica)</t>
        </is>
      </c>
      <c r="M1984" s="4" t="n"/>
      <c r="N1984" s="4" t="n"/>
      <c r="O1984" s="2" t="n"/>
      <c r="P1984" s="2" t="n"/>
      <c r="Q1984" s="2" t="n"/>
      <c r="R1984" s="2" t="n"/>
      <c r="S1984" s="2" t="inlineStr">
        <is>
          <t>Aprovado(a) em Comissão</t>
        </is>
      </c>
      <c r="T1984" s="2" t="inlineStr">
        <is>
          <t>Aprovada</t>
        </is>
      </c>
      <c r="U1984" s="2" t="inlineStr">
        <is>
          <t>Favor: PSD, CH, IL, L, PCP, CDS-PP, BE, PAN; Abstenção: PS</t>
        </is>
      </c>
      <c r="V1984" s="3" t="n">
        <v>45981</v>
      </c>
      <c r="W1984" s="2" t="inlineStr">
        <is>
          <t>AR: https://www.parlamento.pt/OrcamentoEstado/Paginas/DetalhePropostaAlteracao.aspx?BID=25131 PDF: https://app.parlamento.pt/webutils/docs/doc.pdf?path=6148523063484d364c793942556b356c6443397a6158526c63793959566b6c4a544556484c3039464c7a49774d6a59794d4449314d5441774f533951515338784e546c6a4d5441795979307a4e325a6b4c5451324d474d74596a63314d5330354e7a64694d47457a4d546c69593249756347526d&amp;Fich=159c102c-37fd-460c-b751-977b0a319bcb.pdf&amp;Inline=true</t>
        </is>
      </c>
      <c r="X1984" s="2" t="inlineStr">
        <is>
          <t>Saúde; Trabalho, Segurança Social e Inclusão</t>
        </is>
      </c>
      <c r="Y1984" s="2" t="inlineStr">
        <is>
          <t>Articulado</t>
        </is>
      </c>
      <c r="Z1984" s="2" t="inlineStr">
        <is>
          <t>Aditamento (Artigo PPL)</t>
        </is>
      </c>
      <c r="AA1984" s="2" t="inlineStr">
        <is>
          <t>Aprovado(a) em Comissão</t>
        </is>
      </c>
      <c r="AB1984" s="2" t="inlineStr"/>
      <c r="AC1984" s="2" t="inlineStr"/>
      <c r="AD1984" s="2" t="inlineStr">
        <is>
          <t>1</t>
        </is>
      </c>
      <c r="AE1984" s="2" t="inlineStr">
        <is>
          <t>25131</t>
        </is>
      </c>
      <c r="AF1984" s="2" t="inlineStr">
        <is>
          <t>https://www.parlamento.pt/OrcamentoEstado/Paginas/DetalhePropostaAlteracao.aspx?BID=25131</t>
        </is>
      </c>
      <c r="AG1984" s="2" t="inlineStr">
        <is>
          <t>https://app.parlamento.pt/webutils/docs/doc.pdf?path=6148523063484d364c793942556b356c6443397a6158526c63793959566b6c4a544556484c3039464c7a49774d6a59794d4449314d5441774f533951515338784e546c6a4d5441795979307a4e325a6b4c5451324d474d74596a63314d5330354e7a64694d47457a4d546c69593249756347526d&amp;Fich=159c102c-37fd-460c-b751-977b0a319bcb.pdf&amp;Inline=true</t>
        </is>
      </c>
      <c r="AH1984" s="3" t="n">
        <v>46321.77847222222</v>
      </c>
      <c r="AI1984" s="3" t="n">
        <v>46321.78055555555</v>
      </c>
      <c r="AJ1984" s="2" t="inlineStr"/>
    </row>
    <row r="1985">
      <c r="A1985" s="2" t="n">
        <v>1984</v>
      </c>
      <c r="B1985" s="2" t="inlineStr">
        <is>
          <t>1879C</t>
        </is>
      </c>
      <c r="C1985" s="3" t="n">
        <v>45968.72430555556</v>
      </c>
      <c r="D1985" s="2" t="inlineStr">
        <is>
          <t>Original</t>
        </is>
      </c>
      <c r="E1985" s="2" t="inlineStr">
        <is>
          <t>PCP</t>
        </is>
      </c>
      <c r="F1985" s="2" t="inlineStr">
        <is>
          <t>Alfredo Maia; Paula Santos; Paulo Raimundo</t>
        </is>
      </c>
      <c r="G1985" s="2" t="inlineStr">
        <is>
          <t>Art. 136.º-A (aditamento)</t>
        </is>
      </c>
      <c r="H1985" s="2" t="n"/>
      <c r="I1985" s="2" t="n"/>
      <c r="J1985" s="2" t="n"/>
      <c r="K1985" s="2" t="n"/>
      <c r="L1985" s="2" t="inlineStr">
        <is>
          <t>Artigo 136.º-A (Alteração à Lei n.º 41/2022, de 17 de junho)</t>
        </is>
      </c>
      <c r="M1985" s="4" t="n"/>
      <c r="N1985" s="4" t="n"/>
      <c r="O1985" s="2" t="n"/>
      <c r="P1985" s="2" t="n"/>
      <c r="Q1985" s="2" t="n"/>
      <c r="R1985" s="2" t="n"/>
      <c r="S1985" s="2" t="inlineStr">
        <is>
          <t>Rejeitado(a) em Comissão</t>
        </is>
      </c>
      <c r="T1985" s="2" t="inlineStr">
        <is>
          <t>Rejeitada</t>
        </is>
      </c>
      <c r="U1985" s="2" t="inlineStr">
        <is>
          <t>Favor: CH, IL, L, PCP, BE, PAN; Contra: PSD, CDS-PP; Abstenção: PS</t>
        </is>
      </c>
      <c r="V1985" s="3" t="n">
        <v>45987</v>
      </c>
      <c r="W1985" s="2" t="inlineStr">
        <is>
          <t>AR: https://www.parlamento.pt/OrcamentoEstado/Paginas/DetalhePropostaAlteracao.aspx?BID=25132 PDF: https://app.parlamento.pt/webutils/docs/doc.pdf?path=6148523063484d364c793942556b356c6443397a6158526c63793959566b6c4a544556484c3039464c7a49774d6a59794d4449314d5441774f53395151533968597a6379596a466c4d7930774f44646c4c54526c4f54497459545a695a69316a4d6a59774d6a426c4e6a63314f4459756347526d&amp;Fich=ac72b1e3-087e-4e92-a6bf-c26020e67586.pdf&amp;Inline=true</t>
        </is>
      </c>
      <c r="X1985" s="2" t="inlineStr">
        <is>
          <t>Educação e Ciência</t>
        </is>
      </c>
      <c r="Y1985" s="2" t="inlineStr">
        <is>
          <t>Articulado</t>
        </is>
      </c>
      <c r="Z1985" s="2" t="inlineStr">
        <is>
          <t>Aditamento (Artigo PPL)</t>
        </is>
      </c>
      <c r="AA1985" s="2" t="inlineStr">
        <is>
          <t>Rejeitado(a) em Comissão</t>
        </is>
      </c>
      <c r="AB1985" s="2" t="inlineStr"/>
      <c r="AC1985" s="2" t="inlineStr"/>
      <c r="AD1985" s="2" t="inlineStr">
        <is>
          <t>1</t>
        </is>
      </c>
      <c r="AE1985" s="2" t="inlineStr">
        <is>
          <t>25132</t>
        </is>
      </c>
      <c r="AF1985" s="2" t="inlineStr">
        <is>
          <t>https://www.parlamento.pt/OrcamentoEstado/Paginas/DetalhePropostaAlteracao.aspx?BID=25132</t>
        </is>
      </c>
      <c r="AG1985" s="2" t="inlineStr">
        <is>
          <t>https://app.parlamento.pt/webutils/docs/doc.pdf?path=6148523063484d364c793942556b356c6443397a6158526c63793959566b6c4a544556484c3039464c7a49774d6a59794d4449314d5441774f53395151533968597a6379596a466c4d7930774f44646c4c54526c4f54497459545a695a69316a4d6a59774d6a426c4e6a63314f4459756347526d&amp;Fich=ac72b1e3-087e-4e92-a6bf-c26020e67586.pdf&amp;Inline=true</t>
        </is>
      </c>
      <c r="AH1985" s="3" t="n">
        <v>46321.77847222222</v>
      </c>
      <c r="AI1985" s="3" t="n">
        <v>46321.78055555555</v>
      </c>
      <c r="AJ1985" s="2" t="inlineStr"/>
    </row>
    <row r="1986">
      <c r="A1986" s="2" t="n">
        <v>1985</v>
      </c>
      <c r="B1986" s="2" t="inlineStr">
        <is>
          <t>1880C</t>
        </is>
      </c>
      <c r="C1986" s="3" t="n">
        <v>45968.72430555556</v>
      </c>
      <c r="D1986" s="2" t="inlineStr">
        <is>
          <t>Original</t>
        </is>
      </c>
      <c r="E1986" s="2" t="inlineStr">
        <is>
          <t>L</t>
        </is>
      </c>
      <c r="F1986" s="2" t="inlineStr">
        <is>
          <t>Filipa Pinto; Isabel Mendes Lopes; Jorge Pinto; Patrícia Gonçalves; Paulo Muacho; Rui Tavares</t>
        </is>
      </c>
      <c r="G1986" s="2" t="inlineStr">
        <is>
          <t>Art. 112.º-A (aditamento)</t>
        </is>
      </c>
      <c r="H1986" s="2" t="n"/>
      <c r="I1986" s="2" t="n"/>
      <c r="J1986" s="2" t="n"/>
      <c r="K1986" s="2" t="n"/>
      <c r="L1986" s="2" t="inlineStr">
        <is>
          <t>Artigo 112.º-A (Apoio Financeiro ao Financiamento das Organizações Não Governamentais de Pessoas com Deficiência)</t>
        </is>
      </c>
      <c r="M1986" s="4" t="n"/>
      <c r="N1986" s="4" t="n"/>
      <c r="O1986" s="2" t="n"/>
      <c r="P1986" s="2" t="n"/>
      <c r="Q1986" s="2" t="n"/>
      <c r="R1986" s="2" t="n"/>
      <c r="S1986" s="2" t="inlineStr">
        <is>
          <t>Rejeitado(a) em Comissão</t>
        </is>
      </c>
      <c r="T1986" s="2" t="inlineStr">
        <is>
          <t>Rejeitada</t>
        </is>
      </c>
      <c r="U1986" s="2" t="inlineStr">
        <is>
          <t>Favor: CH, L, PCP, BE, PAN; Contra: PSD, IL, CDS-PP; Abstenção: PS</t>
        </is>
      </c>
      <c r="V1986" s="3" t="n">
        <v>45982</v>
      </c>
      <c r="W1986" s="2" t="inlineStr">
        <is>
          <t>AR: https://www.parlamento.pt/OrcamentoEstado/Paginas/DetalhePropostaAlteracao.aspx?BID=25133 PDF: https://app.parlamento.pt/webutils/docs/doc.pdf?path=6148523063484d364c793942556b356c6443397a6158526c63793959566b6c4a544556484c3039464c7a49774d6a59794d4449314d5441774f533951515338345a4455334e324a6b5969316b595463324c5451305a44457459545a6d4e79307a4e574d314e7a45344d6d51775a6d45756347526d&amp;Fich=8d577bdb-da76-44d1-a6f7-35c57182d0fa.pdf&amp;Inline=true</t>
        </is>
      </c>
      <c r="X1986" s="2" t="inlineStr">
        <is>
          <t>Trabalho, Segurança Social e Inclusão</t>
        </is>
      </c>
      <c r="Y1986" s="2" t="inlineStr">
        <is>
          <t>Articulado</t>
        </is>
      </c>
      <c r="Z1986" s="2" t="inlineStr">
        <is>
          <t>Aditamento (Artigo PPL)</t>
        </is>
      </c>
      <c r="AA1986" s="2" t="inlineStr">
        <is>
          <t>Rejeitado(a) em Comissão</t>
        </is>
      </c>
      <c r="AB1986" s="2" t="inlineStr"/>
      <c r="AC1986" s="2" t="inlineStr"/>
      <c r="AD1986" s="2" t="inlineStr">
        <is>
          <t>1</t>
        </is>
      </c>
      <c r="AE1986" s="2" t="inlineStr">
        <is>
          <t>25133</t>
        </is>
      </c>
      <c r="AF1986" s="2" t="inlineStr">
        <is>
          <t>https://www.parlamento.pt/OrcamentoEstado/Paginas/DetalhePropostaAlteracao.aspx?BID=25133</t>
        </is>
      </c>
      <c r="AG1986" s="2" t="inlineStr">
        <is>
          <t>https://app.parlamento.pt/webutils/docs/doc.pdf?path=6148523063484d364c793942556b356c6443397a6158526c63793959566b6c4a544556484c3039464c7a49774d6a59794d4449314d5441774f533951515338345a4455334e324a6b5969316b595463324c5451305a44457459545a6d4e79307a4e574d314e7a45344d6d51775a6d45756347526d&amp;Fich=8d577bdb-da76-44d1-a6f7-35c57182d0fa.pdf&amp;Inline=true</t>
        </is>
      </c>
      <c r="AH1986" s="3" t="n">
        <v>46321.77847222222</v>
      </c>
      <c r="AI1986" s="3" t="n">
        <v>46321.78055555555</v>
      </c>
      <c r="AJ1986" s="2" t="inlineStr"/>
    </row>
    <row r="1987">
      <c r="A1987" s="2" t="n">
        <v>1986</v>
      </c>
      <c r="B1987" s="2" t="inlineStr">
        <is>
          <t>1881C</t>
        </is>
      </c>
      <c r="C1987" s="3" t="n">
        <v>45968.725</v>
      </c>
      <c r="D1987" s="2" t="inlineStr">
        <is>
          <t>Original</t>
        </is>
      </c>
      <c r="E1987" s="2" t="inlineStr">
        <is>
          <t>PCP</t>
        </is>
      </c>
      <c r="F1987" s="2" t="inlineStr">
        <is>
          <t>Alfredo Maia; Paula Santos; Paulo Raimundo</t>
        </is>
      </c>
      <c r="G1987" s="2" t="inlineStr">
        <is>
          <t>Art. 89.º-A (aditamento)</t>
        </is>
      </c>
      <c r="H1987" s="2" t="n"/>
      <c r="I1987" s="2" t="n"/>
      <c r="J1987" s="2" t="n"/>
      <c r="K1987" s="2" t="n"/>
      <c r="L1987" s="2" t="inlineStr">
        <is>
          <t>Artigo 89.º-A (Financiamento do Programa de Recuperação/Reabilitação de Escolas no âmbito do Acordo Setorial de Compromisso entre o Governo e a ANMP)</t>
        </is>
      </c>
      <c r="M1987" s="4" t="n"/>
      <c r="N1987" s="4" t="n"/>
      <c r="O1987" s="2" t="n"/>
      <c r="P1987" s="2" t="n"/>
      <c r="Q1987" s="2" t="n"/>
      <c r="R1987" s="2" t="n"/>
      <c r="S1987" s="2" t="inlineStr">
        <is>
          <t>Rejeitado(a) em Comissão</t>
        </is>
      </c>
      <c r="T1987" s="2" t="inlineStr">
        <is>
          <t>Rejeitada</t>
        </is>
      </c>
      <c r="U1987" s="2" t="inlineStr">
        <is>
          <t>Favor: L, PCP, BE, PAN; Contra: PSD, CDS-PP; Abstenção: CH, PS, IL</t>
        </is>
      </c>
      <c r="V1987" s="3" t="n">
        <v>45982</v>
      </c>
      <c r="W1987" s="2" t="inlineStr">
        <is>
          <t>AR: https://www.parlamento.pt/OrcamentoEstado/Paginas/DetalhePropostaAlteracao.aspx?BID=25134 PDF: https://app.parlamento.pt/webutils/docs/doc.pdf?path=6148523063484d364c793942556b356c6443397a6158526c63793959566b6c4a544556484c3039464c7a49774d6a59794d4449314d5441774f5339515153387a596a426c4d3245335a69316b5a6a67334c5451784d544d744f445a6d5a6930774e6a637a4e4451344d6a566c4d3251756347526d&amp;Fich=3b0e3a7f-df87-4113-86ff-067344825e3d.pdf&amp;Inline=true</t>
        </is>
      </c>
      <c r="X1987" s="2" t="inlineStr">
        <is>
          <t>Educação e Ciência</t>
        </is>
      </c>
      <c r="Y1987" s="2" t="inlineStr">
        <is>
          <t>Articulado</t>
        </is>
      </c>
      <c r="Z1987" s="2" t="inlineStr">
        <is>
          <t>Aditamento (Artigo PPL)</t>
        </is>
      </c>
      <c r="AA1987" s="2" t="inlineStr">
        <is>
          <t>Rejeitado(a) em Comissão</t>
        </is>
      </c>
      <c r="AB1987" s="2" t="inlineStr"/>
      <c r="AC1987" s="2" t="inlineStr"/>
      <c r="AD1987" s="2" t="inlineStr">
        <is>
          <t>1</t>
        </is>
      </c>
      <c r="AE1987" s="2" t="inlineStr">
        <is>
          <t>25134</t>
        </is>
      </c>
      <c r="AF1987" s="2" t="inlineStr">
        <is>
          <t>https://www.parlamento.pt/OrcamentoEstado/Paginas/DetalhePropostaAlteracao.aspx?BID=25134</t>
        </is>
      </c>
      <c r="AG1987" s="2" t="inlineStr">
        <is>
          <t>https://app.parlamento.pt/webutils/docs/doc.pdf?path=6148523063484d364c793942556b356c6443397a6158526c63793959566b6c4a544556484c3039464c7a49774d6a59794d4449314d5441774f5339515153387a596a426c4d3245335a69316b5a6a67334c5451784d544d744f445a6d5a6930774e6a637a4e4451344d6a566c4d3251756347526d&amp;Fich=3b0e3a7f-df87-4113-86ff-067344825e3d.pdf&amp;Inline=true</t>
        </is>
      </c>
      <c r="AH1987" s="3" t="n">
        <v>46321.77847222222</v>
      </c>
      <c r="AI1987" s="3" t="n">
        <v>46321.78055555555</v>
      </c>
      <c r="AJ1987" s="2" t="inlineStr"/>
    </row>
    <row r="1988">
      <c r="A1988" s="2" t="n">
        <v>1987</v>
      </c>
      <c r="B1988" s="2" t="inlineStr">
        <is>
          <t>1882C</t>
        </is>
      </c>
      <c r="C1988" s="3" t="n">
        <v>45968.72569444445</v>
      </c>
      <c r="D1988" s="2" t="inlineStr">
        <is>
          <t>Original</t>
        </is>
      </c>
      <c r="E1988" s="2" t="inlineStr">
        <is>
          <t>L</t>
        </is>
      </c>
      <c r="F1988" s="2" t="inlineStr">
        <is>
          <t>Filipa Pinto; Isabel Mendes Lopes; Jorge Pinto; Patrícia Gonçalves; Paulo Muacho; Rui Tavares</t>
        </is>
      </c>
      <c r="G1988" s="2" t="inlineStr">
        <is>
          <t>Art. 112.º-A (aditamento)</t>
        </is>
      </c>
      <c r="H1988" s="2" t="n"/>
      <c r="I1988" s="2" t="n"/>
      <c r="J1988" s="2" t="n"/>
      <c r="K1988" s="2" t="n"/>
      <c r="L1988" s="2" t="inlineStr">
        <is>
          <t>Artigo 112.º-A (Reforço do investimento no acolhimento no âmbito do sistema de asilo)</t>
        </is>
      </c>
      <c r="M1988" s="4" t="n"/>
      <c r="N1988" s="4" t="n"/>
      <c r="O1988" s="2" t="n"/>
      <c r="P1988" s="2" t="n"/>
      <c r="Q1988" s="2" t="n"/>
      <c r="R1988" s="2" t="n"/>
      <c r="S1988" s="2" t="inlineStr">
        <is>
          <t>Rejeitado(a) em Comissão</t>
        </is>
      </c>
      <c r="T1988" s="2" t="inlineStr">
        <is>
          <t>Rejeitada</t>
        </is>
      </c>
      <c r="U1988" s="2" t="inlineStr">
        <is>
          <t>Favor: L, PCP, BE, PAN; Contra: PSD, CH, CDS-PP; Abstenção: PS, IL</t>
        </is>
      </c>
      <c r="V1988" s="3" t="n">
        <v>45982</v>
      </c>
      <c r="W1988" s="2" t="inlineStr">
        <is>
          <t>AR: https://www.parlamento.pt/OrcamentoEstado/Paginas/DetalhePropostaAlteracao.aspx?BID=25135 PDF: https://app.parlamento.pt/webutils/docs/doc.pdf?path=6148523063484d364c793942556b356c6443397a6158526c63793959566b6c4a544556484c3039464c7a49774d6a59794d4449314d5441774f533951515338325a544535596a56684e6930344e6a67794c5451304e444974595759304e7930774d6a6c6b4e5751334e6a426c4e6a6b756347526d&amp;Fich=6e19b5a6-8682-4442-af47-029d5d760e69.pdf&amp;Inline=true</t>
        </is>
      </c>
      <c r="X1988" s="2" t="inlineStr">
        <is>
          <t>Trabalho, Segurança Social e Inclusão</t>
        </is>
      </c>
      <c r="Y1988" s="2" t="inlineStr">
        <is>
          <t>Articulado</t>
        </is>
      </c>
      <c r="Z1988" s="2" t="inlineStr">
        <is>
          <t>Aditamento (Artigo PPL)</t>
        </is>
      </c>
      <c r="AA1988" s="2" t="inlineStr">
        <is>
          <t>Rejeitado(a) em Comissão</t>
        </is>
      </c>
      <c r="AB1988" s="2" t="inlineStr"/>
      <c r="AC1988" s="2" t="inlineStr"/>
      <c r="AD1988" s="2" t="inlineStr">
        <is>
          <t>1</t>
        </is>
      </c>
      <c r="AE1988" s="2" t="inlineStr">
        <is>
          <t>25135</t>
        </is>
      </c>
      <c r="AF1988" s="2" t="inlineStr">
        <is>
          <t>https://www.parlamento.pt/OrcamentoEstado/Paginas/DetalhePropostaAlteracao.aspx?BID=25135</t>
        </is>
      </c>
      <c r="AG1988" s="2" t="inlineStr">
        <is>
          <t>https://app.parlamento.pt/webutils/docs/doc.pdf?path=6148523063484d364c793942556b356c6443397a6158526c63793959566b6c4a544556484c3039464c7a49774d6a59794d4449314d5441774f533951515338325a544535596a56684e6930344e6a67794c5451304e444974595759304e7930774d6a6c6b4e5751334e6a426c4e6a6b756347526d&amp;Fich=6e19b5a6-8682-4442-af47-029d5d760e69.pdf&amp;Inline=true</t>
        </is>
      </c>
      <c r="AH1988" s="3" t="n">
        <v>46321.77847222222</v>
      </c>
      <c r="AI1988" s="3" t="n">
        <v>46321.78055555555</v>
      </c>
      <c r="AJ1988" s="2" t="inlineStr"/>
    </row>
    <row r="1989">
      <c r="A1989" s="2" t="n">
        <v>1988</v>
      </c>
      <c r="B1989" s="2" t="inlineStr">
        <is>
          <t>1883C</t>
        </is>
      </c>
      <c r="C1989" s="3" t="n">
        <v>45968.72569444445</v>
      </c>
      <c r="D1989" s="2" t="inlineStr">
        <is>
          <t>Original</t>
        </is>
      </c>
      <c r="E1989" s="2" t="inlineStr">
        <is>
          <t>PCP</t>
        </is>
      </c>
      <c r="F1989" s="2" t="inlineStr">
        <is>
          <t>Alfredo Maia; Paula Santos; Paulo Raimundo</t>
        </is>
      </c>
      <c r="G1989" s="2" t="inlineStr">
        <is>
          <t>Art. 118.º-A (aditamento)</t>
        </is>
      </c>
      <c r="H1989" s="2" t="n"/>
      <c r="I1989" s="2" t="n"/>
      <c r="J1989" s="2" t="n"/>
      <c r="K1989" s="2" t="n"/>
      <c r="L1989" s="2" t="inlineStr">
        <is>
          <t>Artigo 118.º-A (Financiamento para a construção de pavilhões gimnodesportivos nas escolas)</t>
        </is>
      </c>
      <c r="M1989" s="4" t="n"/>
      <c r="N1989" s="4" t="n"/>
      <c r="O1989" s="2" t="n"/>
      <c r="P1989" s="2" t="n"/>
      <c r="Q1989" s="2" t="n"/>
      <c r="R1989" s="2" t="n"/>
      <c r="S1989" s="2" t="inlineStr">
        <is>
          <t>Rejeitado(a) em Comissão</t>
        </is>
      </c>
      <c r="T1989" s="2" t="inlineStr">
        <is>
          <t>Rejeitada</t>
        </is>
      </c>
      <c r="U1989" s="2" t="inlineStr">
        <is>
          <t>Favor: L, PCP, BE, PAN; Contra: PSD, CDS-PP; Abstenção: CH, PS, IL</t>
        </is>
      </c>
      <c r="V1989" s="3" t="n">
        <v>45985</v>
      </c>
      <c r="W1989" s="2" t="inlineStr">
        <is>
          <t>AR: https://www.parlamento.pt/OrcamentoEstado/Paginas/DetalhePropostaAlteracao.aspx?BID=25136 PDF: https://app.parlamento.pt/webutils/docs/doc.pdf?path=6148523063484d364c793942556b356c6443397a6158526c63793959566b6c4a544556484c3039464c7a49774d6a59794d4449314d5441774f533951515338354d6d4d785a444133597930304d57526a4c5451785a4755745954686a5a53316d5a6d453259544a68596d55344e324d756347526d&amp;Fich=92c1d07c-41dc-41de-a8ce-ffa6a2abe87c.pdf&amp;Inline=true</t>
        </is>
      </c>
      <c r="X1989" s="2" t="inlineStr">
        <is>
          <t>Educação e Ciência</t>
        </is>
      </c>
      <c r="Y1989" s="2" t="inlineStr">
        <is>
          <t>Articulado</t>
        </is>
      </c>
      <c r="Z1989" s="2" t="inlineStr">
        <is>
          <t>Aditamento (Artigo PPL)</t>
        </is>
      </c>
      <c r="AA1989" s="2" t="inlineStr">
        <is>
          <t>Rejeitado(a) em Comissão</t>
        </is>
      </c>
      <c r="AB1989" s="2" t="inlineStr"/>
      <c r="AC1989" s="2" t="inlineStr"/>
      <c r="AD1989" s="2" t="inlineStr">
        <is>
          <t>1</t>
        </is>
      </c>
      <c r="AE1989" s="2" t="inlineStr">
        <is>
          <t>25136</t>
        </is>
      </c>
      <c r="AF1989" s="2" t="inlineStr">
        <is>
          <t>https://www.parlamento.pt/OrcamentoEstado/Paginas/DetalhePropostaAlteracao.aspx?BID=25136</t>
        </is>
      </c>
      <c r="AG1989" s="2" t="inlineStr">
        <is>
          <t>https://app.parlamento.pt/webutils/docs/doc.pdf?path=6148523063484d364c793942556b356c6443397a6158526c63793959566b6c4a544556484c3039464c7a49774d6a59794d4449314d5441774f533951515338354d6d4d785a444133597930304d57526a4c5451785a4755745954686a5a53316d5a6d453259544a68596d55344e324d756347526d&amp;Fich=92c1d07c-41dc-41de-a8ce-ffa6a2abe87c.pdf&amp;Inline=true</t>
        </is>
      </c>
      <c r="AH1989" s="3" t="n">
        <v>46321.77847222222</v>
      </c>
      <c r="AI1989" s="3" t="n">
        <v>46321.78055555555</v>
      </c>
      <c r="AJ1989" s="2" t="inlineStr"/>
    </row>
    <row r="1990">
      <c r="A1990" s="2" t="n">
        <v>1989</v>
      </c>
      <c r="B1990" s="2" t="inlineStr">
        <is>
          <t>1884C-1</t>
        </is>
      </c>
      <c r="C1990" s="3" t="n">
        <v>45968.72708333333</v>
      </c>
      <c r="D1990" s="2" t="inlineStr">
        <is>
          <t>Original</t>
        </is>
      </c>
      <c r="E1990" s="2" t="inlineStr">
        <is>
          <t>Vários</t>
        </is>
      </c>
      <c r="F1990" s="2" t="inlineStr">
        <is>
          <t>Alberto Fonseca; Francisco Pimentel; Hugo Carneiro; Hugo Soares; Nuna Menezes; Paulo Moniz; Paulo Neves; Pedro Coelho; Vânia Jesus; João Pinho de Almeida; Paulo Núncio</t>
        </is>
      </c>
      <c r="G1990" s="2" t="inlineStr">
        <is>
          <t>Art. 111.º (eliminação)</t>
        </is>
      </c>
      <c r="H1990" s="2" t="n"/>
      <c r="I1990" s="2" t="n"/>
      <c r="J1990" s="2" t="n"/>
      <c r="K1990" s="2" t="n"/>
      <c r="L1990" s="2" t="inlineStr">
        <is>
          <t>N.º 3, Artigo 111.º</t>
        </is>
      </c>
      <c r="M1990" s="4" t="n"/>
      <c r="N1990" s="4" t="n"/>
      <c r="O1990" s="2" t="n"/>
      <c r="P1990" s="2" t="n"/>
      <c r="Q1990" s="2" t="n"/>
      <c r="R1990" s="2" t="n"/>
      <c r="S1990" s="2" t="inlineStr">
        <is>
          <t>Aprovado(a) em Plenário</t>
        </is>
      </c>
      <c r="T1990" s="2" t="inlineStr">
        <is>
          <t>Aprovada</t>
        </is>
      </c>
      <c r="U1990" s="2" t="inlineStr">
        <is>
          <t>Favor: PSD, PS, L, PCP, CDS-PP, BE, PAN, JPP; Abstenção: CH, IL</t>
        </is>
      </c>
      <c r="V1990" s="3" t="n">
        <v>45985</v>
      </c>
      <c r="W1990" s="2" t="inlineStr">
        <is>
          <t>Avocada a Plenário. AR: https://www.parlamento.pt/OrcamentoEstado/Paginas/DetalhePropostaAlteracao.aspx?BID=25137 PDF: https://app.parlamento.pt/webutils/docs/doc.pdf?path=6148523063484d364c793942556b356c6443397a6158526c63793959566b6c4a544556484c3039464c7a49774d6a59794d4449314d5441774f53395151533969596a55354e7a4e6c4d69307759324d314c5451314f546b744f4751305a4331684f546b7a4e6d4979597a45334d5459756347526d&amp;Fich=bb5973e2-0cc5-4599-8d4d-a9936b2c1716.pdf&amp;Inline=true</t>
        </is>
      </c>
      <c r="X1990" s="2" t="inlineStr">
        <is>
          <t>Orçamento, Finanças e Administração Pública</t>
        </is>
      </c>
      <c r="Y1990" s="2" t="inlineStr">
        <is>
          <t>Articulado</t>
        </is>
      </c>
      <c r="Z1990" s="2" t="inlineStr">
        <is>
          <t>Eliminação</t>
        </is>
      </c>
      <c r="AA1990" s="2" t="inlineStr">
        <is>
          <t>Aprovado(a) em Plenário</t>
        </is>
      </c>
      <c r="AB1990" s="2" t="inlineStr">
        <is>
          <t>S</t>
        </is>
      </c>
      <c r="AC1990" s="2" t="inlineStr">
        <is>
          <t>1</t>
        </is>
      </c>
      <c r="AD1990" s="2" t="inlineStr">
        <is>
          <t>2</t>
        </is>
      </c>
      <c r="AE1990" s="2" t="inlineStr">
        <is>
          <t>25137</t>
        </is>
      </c>
      <c r="AF1990" s="2" t="inlineStr">
        <is>
          <t>https://www.parlamento.pt/OrcamentoEstado/Paginas/DetalhePropostaAlteracao.aspx?BID=25137</t>
        </is>
      </c>
      <c r="AG1990" s="2" t="inlineStr">
        <is>
          <t>https://app.parlamento.pt/webutils/docs/doc.pdf?path=6148523063484d364c793942556b356c6443397a6158526c63793959566b6c4a544556484c3039464c7a49774d6a59794d4449314d5441774f53395151533969596a55354e7a4e6c4d69307759324d314c5451314f546b744f4751305a4331684f546b7a4e6d4979597a45334d5459756347526d&amp;Fich=bb5973e2-0cc5-4599-8d4d-a9936b2c1716.pdf&amp;Inline=true</t>
        </is>
      </c>
      <c r="AH1990" s="3" t="n">
        <v>46321.77847222222</v>
      </c>
      <c r="AI1990" s="3" t="n">
        <v>46321.78055555555</v>
      </c>
      <c r="AJ1990" s="2" t="inlineStr"/>
    </row>
    <row r="1991">
      <c r="A1991" s="2" t="n">
        <v>1990</v>
      </c>
      <c r="B1991" s="2" t="inlineStr">
        <is>
          <t>1884C-2</t>
        </is>
      </c>
      <c r="C1991" s="3" t="n">
        <v>45968.72708333333</v>
      </c>
      <c r="D1991" s="2" t="inlineStr">
        <is>
          <t>Original</t>
        </is>
      </c>
      <c r="E1991" s="2" t="inlineStr">
        <is>
          <t>Vários</t>
        </is>
      </c>
      <c r="F1991" s="2" t="inlineStr">
        <is>
          <t>Alberto Fonseca; Francisco Pimentel; Hugo Carneiro; Hugo Soares; Nuna Menezes; Paulo Moniz; Paulo Neves; Pedro Coelho; Vânia Jesus; João Pinho de Almeida; Paulo Núncio</t>
        </is>
      </c>
      <c r="G1991" s="2" t="inlineStr">
        <is>
          <t>Art. 111.º-A (aditamento)</t>
        </is>
      </c>
      <c r="H1991" s="2" t="n"/>
      <c r="I1991" s="2" t="n"/>
      <c r="J1991" s="2" t="n"/>
      <c r="K1991" s="2" t="n"/>
      <c r="L1991" s="2" t="inlineStr">
        <is>
          <t>Artigo 111.º-A (Redução da dívida das Regiões Autónomas dos Açores e da Madeira)</t>
        </is>
      </c>
      <c r="M1991" s="4" t="n"/>
      <c r="N1991" s="4" t="n"/>
      <c r="O1991" s="2" t="n"/>
      <c r="P1991" s="2" t="n"/>
      <c r="Q1991" s="2" t="n"/>
      <c r="R1991" s="2" t="n"/>
      <c r="S1991" s="2" t="inlineStr">
        <is>
          <t>Aprovado(a) em Plenário</t>
        </is>
      </c>
      <c r="T1991" s="2" t="inlineStr">
        <is>
          <t>Aprovada</t>
        </is>
      </c>
      <c r="U1991" s="2" t="inlineStr">
        <is>
          <t>Favor: PSD, PS, L, CDS-PP, BE, PAN; Abstenção: CH, IL, PCP</t>
        </is>
      </c>
      <c r="V1991" s="3" t="n">
        <v>45985</v>
      </c>
      <c r="W1991" s="2" t="inlineStr">
        <is>
          <t>Avocada a Plenário. AR: https://www.parlamento.pt/OrcamentoEstado/Paginas/DetalhePropostaAlteracao.aspx?BID=25364 PDF: https://app.parlamento.pt/webutils/docs/doc.pdf?path=6148523063484d364c793942556b356c6443397a6158526c63793959566b6c4a544556484c3039464c7a49774d6a59794d4449314d5441774f533951515338324e5467354e54686d596931684d324d794c545268597a597459544a694e4331694f4463304f545a6d4e6a46684e474d756347526d&amp;Fich=658958fb-a3c2-4ac6-a2b4-b87496f61a4c.pdf&amp;Inline=true</t>
        </is>
      </c>
      <c r="X1991" s="2" t="inlineStr">
        <is>
          <t>Orçamento, Finanças e Administração Pública</t>
        </is>
      </c>
      <c r="Y1991" s="2" t="inlineStr">
        <is>
          <t>Articulado</t>
        </is>
      </c>
      <c r="Z1991" s="2" t="inlineStr">
        <is>
          <t>Aditamento (Artigo PPL)</t>
        </is>
      </c>
      <c r="AA1991" s="2" t="inlineStr">
        <is>
          <t>Aprovado(a) em Plenário</t>
        </is>
      </c>
      <c r="AB1991" s="2" t="inlineStr">
        <is>
          <t>S</t>
        </is>
      </c>
      <c r="AC1991" s="2" t="inlineStr">
        <is>
          <t>2</t>
        </is>
      </c>
      <c r="AD1991" s="2" t="inlineStr">
        <is>
          <t>2</t>
        </is>
      </c>
      <c r="AE1991" s="2" t="inlineStr">
        <is>
          <t>25364</t>
        </is>
      </c>
      <c r="AF1991" s="2" t="inlineStr">
        <is>
          <t>https://www.parlamento.pt/OrcamentoEstado/Paginas/DetalhePropostaAlteracao.aspx?BID=25364</t>
        </is>
      </c>
      <c r="AG1991" s="2" t="inlineStr">
        <is>
          <t>https://app.parlamento.pt/webutils/docs/doc.pdf?path=6148523063484d364c793942556b356c6443397a6158526c63793959566b6c4a544556484c3039464c7a49774d6a59794d4449314d5441774f533951515338324e5467354e54686d596931684d324d794c545268597a597459544a694e4331694f4463304f545a6d4e6a46684e474d756347526d&amp;Fich=658958fb-a3c2-4ac6-a2b4-b87496f61a4c.pdf&amp;Inline=true</t>
        </is>
      </c>
      <c r="AH1991" s="3" t="n">
        <v>46321.77847222222</v>
      </c>
      <c r="AI1991" s="3" t="n">
        <v>46321.78055555555</v>
      </c>
      <c r="AJ1991" s="2" t="inlineStr"/>
    </row>
    <row r="1992">
      <c r="A1992" s="2" t="n">
        <v>1991</v>
      </c>
      <c r="B1992" s="2" t="inlineStr">
        <is>
          <t>1885C</t>
        </is>
      </c>
      <c r="C1992" s="3" t="n">
        <v>45968.72708333333</v>
      </c>
      <c r="D1992" s="2" t="inlineStr">
        <is>
          <t>Original</t>
        </is>
      </c>
      <c r="E1992" s="2" t="inlineStr">
        <is>
          <t>L</t>
        </is>
      </c>
      <c r="F1992" s="2" t="inlineStr">
        <is>
          <t>Filipa Pinto; Isabel Mendes Lopes; Jorge Pinto; Patrícia Gonçalves; Paulo Muacho; Rui Tavares</t>
        </is>
      </c>
      <c r="G1992" s="2" t="inlineStr">
        <is>
          <t>Art. 101.º-A (aditamento)</t>
        </is>
      </c>
      <c r="H1992" s="2" t="n"/>
      <c r="I1992" s="2" t="n"/>
      <c r="J1992" s="2" t="n"/>
      <c r="K1992" s="2" t="n"/>
      <c r="L1992" s="2" t="inlineStr">
        <is>
          <t>Artigo 101.º-A (Programa Nacional para a Prevenção da Violência Infantil)</t>
        </is>
      </c>
      <c r="M1992" s="4" t="n"/>
      <c r="N1992" s="4" t="n"/>
      <c r="O1992" s="2" t="n"/>
      <c r="P1992" s="2" t="n"/>
      <c r="Q1992" s="2" t="n"/>
      <c r="R1992" s="2" t="n"/>
      <c r="S1992" s="2" t="inlineStr">
        <is>
          <t>Rejeitado(a) em Comissão</t>
        </is>
      </c>
      <c r="T1992" s="2" t="inlineStr">
        <is>
          <t>Rejeitada</t>
        </is>
      </c>
      <c r="U1992" s="2" t="inlineStr">
        <is>
          <t>Favor: L, PCP, BE, PAN; Contra: PSD, CDS-PP; Abstenção: CH, PS, IL</t>
        </is>
      </c>
      <c r="V1992" s="3" t="n">
        <v>45982</v>
      </c>
      <c r="W1992" s="2" t="inlineStr">
        <is>
          <t>AR: https://www.parlamento.pt/OrcamentoEstado/Paginas/DetalhePropostaAlteracao.aspx?BID=25138 PDF: https://app.parlamento.pt/webutils/docs/doc.pdf?path=6148523063484d364c793942556b356c6443397a6158526c63793959566b6c4a544556484c3039464c7a49774d6a59794d4449314d5441774f5339515153396c4e7a6c6b4d5449794e79316b4d6a55774c5451314d545574595467354d7930775a444178597a45355932517a597a4d756347526d&amp;Fich=e79d1227-d250-4515-a893-0d01c19cd3c3.pdf&amp;Inline=true</t>
        </is>
      </c>
      <c r="X1992" s="2" t="inlineStr">
        <is>
          <t>Assuntos Constitucionais, Direitos, Liberdades e Garantias; Trabalho, Segurança Social e Inclusão</t>
        </is>
      </c>
      <c r="Y1992" s="2" t="inlineStr">
        <is>
          <t>Articulado</t>
        </is>
      </c>
      <c r="Z1992" s="2" t="inlineStr">
        <is>
          <t>Aditamento (Artigo PPL)</t>
        </is>
      </c>
      <c r="AA1992" s="2" t="inlineStr">
        <is>
          <t>Rejeitado(a) em Comissão</t>
        </is>
      </c>
      <c r="AB1992" s="2" t="inlineStr"/>
      <c r="AC1992" s="2" t="inlineStr"/>
      <c r="AD1992" s="2" t="inlineStr">
        <is>
          <t>1</t>
        </is>
      </c>
      <c r="AE1992" s="2" t="inlineStr">
        <is>
          <t>25138</t>
        </is>
      </c>
      <c r="AF1992" s="2" t="inlineStr">
        <is>
          <t>https://www.parlamento.pt/OrcamentoEstado/Paginas/DetalhePropostaAlteracao.aspx?BID=25138</t>
        </is>
      </c>
      <c r="AG1992" s="2" t="inlineStr">
        <is>
          <t>https://app.parlamento.pt/webutils/docs/doc.pdf?path=6148523063484d364c793942556b356c6443397a6158526c63793959566b6c4a544556484c3039464c7a49774d6a59794d4449314d5441774f5339515153396c4e7a6c6b4d5449794e79316b4d6a55774c5451314d545574595467354d7930775a444178597a45355932517a597a4d756347526d&amp;Fich=e79d1227-d250-4515-a893-0d01c19cd3c3.pdf&amp;Inline=true</t>
        </is>
      </c>
      <c r="AH1992" s="3" t="n">
        <v>46321.77847222222</v>
      </c>
      <c r="AI1992" s="3" t="n">
        <v>46321.78055555555</v>
      </c>
      <c r="AJ1992" s="2" t="inlineStr"/>
    </row>
    <row r="1993">
      <c r="A1993" s="2" t="n">
        <v>1992</v>
      </c>
      <c r="B1993" s="2" t="inlineStr">
        <is>
          <t>1886C</t>
        </is>
      </c>
      <c r="C1993" s="3" t="n">
        <v>45968.72847222222</v>
      </c>
      <c r="D1993" s="2" t="inlineStr">
        <is>
          <t>Original</t>
        </is>
      </c>
      <c r="E1993" s="2" t="inlineStr">
        <is>
          <t>PCP</t>
        </is>
      </c>
      <c r="F1993" s="2" t="inlineStr">
        <is>
          <t>Alfredo Maia; Paula Santos; Paulo Raimundo</t>
        </is>
      </c>
      <c r="G1993" s="2" t="inlineStr">
        <is>
          <t>Art. 136.º-A (aditamento)</t>
        </is>
      </c>
      <c r="H1993" s="2" t="n"/>
      <c r="I1993" s="2" t="n"/>
      <c r="J1993" s="2" t="n"/>
      <c r="K1993" s="2" t="n"/>
      <c r="L1993" s="2" t="inlineStr">
        <is>
          <t>Artigo 136.º-A (Aditamento ao Decreto-Lei n.º 48-B/2024, de 25 de julho)</t>
        </is>
      </c>
      <c r="M1993" s="4" t="n"/>
      <c r="N1993" s="4" t="n"/>
      <c r="O1993" s="2" t="n"/>
      <c r="P1993" s="2" t="n"/>
      <c r="Q1993" s="2" t="n"/>
      <c r="R1993" s="2" t="n"/>
      <c r="S1993" s="2" t="inlineStr">
        <is>
          <t>Rejeitado(a) em Comissão</t>
        </is>
      </c>
      <c r="T1993" s="2" t="inlineStr">
        <is>
          <t>Rejeitada</t>
        </is>
      </c>
      <c r="U1993" s="2" t="inlineStr">
        <is>
          <t>Favor: CH, L, PCP, BE, PAN; Contra: PSD, PS, IL, CDS-PP</t>
        </is>
      </c>
      <c r="V1993" s="3" t="n">
        <v>45987</v>
      </c>
      <c r="W1993" s="2" t="inlineStr">
        <is>
          <t>AR: https://www.parlamento.pt/OrcamentoEstado/Paginas/DetalhePropostaAlteracao.aspx?BID=25139 PDF: https://app.parlamento.pt/webutils/docs/doc.pdf?path=6148523063484d364c793942556b356c6443397a6158526c63793959566b6c4a544556484c3039464c7a49774d6a59794d4449314d5441774f5339515153396c4f57566d4e546b344d5330314f57526a4c5451355a445174596a64694d5330314d54426a4d6a59324e54646d4f4755756347526d&amp;Fich=e9ef5981-59dc-49d4-b7b1-510c26657f8e.pdf&amp;Inline=true</t>
        </is>
      </c>
      <c r="X1993" s="2" t="inlineStr">
        <is>
          <t>Educação e Ciência</t>
        </is>
      </c>
      <c r="Y1993" s="2" t="inlineStr">
        <is>
          <t>Articulado</t>
        </is>
      </c>
      <c r="Z1993" s="2" t="inlineStr">
        <is>
          <t>Aditamento (Artigo PPL)</t>
        </is>
      </c>
      <c r="AA1993" s="2" t="inlineStr">
        <is>
          <t>Rejeitado(a) em Comissão</t>
        </is>
      </c>
      <c r="AB1993" s="2" t="inlineStr"/>
      <c r="AC1993" s="2" t="inlineStr"/>
      <c r="AD1993" s="2" t="inlineStr">
        <is>
          <t>1</t>
        </is>
      </c>
      <c r="AE1993" s="2" t="inlineStr">
        <is>
          <t>25139</t>
        </is>
      </c>
      <c r="AF1993" s="2" t="inlineStr">
        <is>
          <t>https://www.parlamento.pt/OrcamentoEstado/Paginas/DetalhePropostaAlteracao.aspx?BID=25139</t>
        </is>
      </c>
      <c r="AG1993" s="2" t="inlineStr">
        <is>
          <t>https://app.parlamento.pt/webutils/docs/doc.pdf?path=6148523063484d364c793942556b356c6443397a6158526c63793959566b6c4a544556484c3039464c7a49774d6a59794d4449314d5441774f5339515153396c4f57566d4e546b344d5330314f57526a4c5451355a445174596a64694d5330314d54426a4d6a59324e54646d4f4755756347526d&amp;Fich=e9ef5981-59dc-49d4-b7b1-510c26657f8e.pdf&amp;Inline=true</t>
        </is>
      </c>
      <c r="AH1993" s="3" t="n">
        <v>46321.77847222222</v>
      </c>
      <c r="AI1993" s="3" t="n">
        <v>46321.78055555555</v>
      </c>
      <c r="AJ1993" s="2" t="inlineStr"/>
    </row>
    <row r="1994">
      <c r="A1994" s="2" t="n">
        <v>1993</v>
      </c>
      <c r="B1994" s="2" t="inlineStr">
        <is>
          <t>1887C</t>
        </is>
      </c>
      <c r="C1994" s="3" t="n">
        <v>45968.72847222222</v>
      </c>
      <c r="D1994" s="2" t="inlineStr">
        <is>
          <t>Original</t>
        </is>
      </c>
      <c r="E1994" s="2" t="inlineStr">
        <is>
          <t>PAN</t>
        </is>
      </c>
      <c r="F1994" s="2" t="inlineStr">
        <is>
          <t>Inês de Sousa Real</t>
        </is>
      </c>
      <c r="G1994" s="2" t="inlineStr">
        <is>
          <t>Art. 122.º-A (aditamento)</t>
        </is>
      </c>
      <c r="H1994" s="2" t="n"/>
      <c r="I1994" s="2" t="n"/>
      <c r="J1994" s="2" t="n"/>
      <c r="K1994" s="2" t="n"/>
      <c r="L1994" s="2" t="inlineStr">
        <is>
          <t>Artigo 122.º-A (Medidas de proteção das crianças e jovens com cancro)</t>
        </is>
      </c>
      <c r="M1994" s="4" t="n"/>
      <c r="N1994" s="4" t="n"/>
      <c r="O1994" s="2" t="n"/>
      <c r="P1994" s="2" t="n"/>
      <c r="Q1994" s="2" t="n"/>
      <c r="R1994" s="2" t="n"/>
      <c r="S1994" s="2" t="inlineStr">
        <is>
          <t>Aprovado(a) em Comissão</t>
        </is>
      </c>
      <c r="T1994" s="2" t="inlineStr">
        <is>
          <t>Aprovada</t>
        </is>
      </c>
      <c r="U1994" s="2" t="inlineStr">
        <is>
          <t>Favor: CH, PS, IL, L, PCP, BE, PAN; Contra: PSD, CDS-PP</t>
        </is>
      </c>
      <c r="V1994" s="3" t="n">
        <v>45985</v>
      </c>
      <c r="W1994" s="2" t="inlineStr">
        <is>
          <t>AR: https://www.parlamento.pt/OrcamentoEstado/Paginas/DetalhePropostaAlteracao.aspx?BID=25140 PDF: https://app.parlamento.pt/webutils/docs/doc.pdf?path=6148523063484d364c793942556b356c6443397a6158526c63793959566b6c4a544556484c3039464c7a49774d6a59794d4449314d5441774f53395151533832596d55354d47566d5a43307a4d7a55774c5451334e446774596a63334f4330354d445a694f4451344e475931595749756347526d&amp;Fich=6be90efd-3350-4748-b778-906b8484f5ab.pdf&amp;Inline=true</t>
        </is>
      </c>
      <c r="X1994" s="2" t="inlineStr">
        <is>
          <t>Saúde</t>
        </is>
      </c>
      <c r="Y1994" s="2" t="inlineStr">
        <is>
          <t>Articulado</t>
        </is>
      </c>
      <c r="Z1994" s="2" t="inlineStr">
        <is>
          <t>Aditamento (Artigo PPL)</t>
        </is>
      </c>
      <c r="AA1994" s="2" t="inlineStr">
        <is>
          <t>Aprovado(a) em Comissão</t>
        </is>
      </c>
      <c r="AB1994" s="2" t="inlineStr"/>
      <c r="AC1994" s="2" t="inlineStr"/>
      <c r="AD1994" s="2" t="inlineStr">
        <is>
          <t>1</t>
        </is>
      </c>
      <c r="AE1994" s="2" t="inlineStr">
        <is>
          <t>25140</t>
        </is>
      </c>
      <c r="AF1994" s="2" t="inlineStr">
        <is>
          <t>https://www.parlamento.pt/OrcamentoEstado/Paginas/DetalhePropostaAlteracao.aspx?BID=25140</t>
        </is>
      </c>
      <c r="AG1994" s="2" t="inlineStr">
        <is>
          <t>https://app.parlamento.pt/webutils/docs/doc.pdf?path=6148523063484d364c793942556b356c6443397a6158526c63793959566b6c4a544556484c3039464c7a49774d6a59794d4449314d5441774f53395151533832596d55354d47566d5a43307a4d7a55774c5451334e446774596a63334f4330354d445a694f4451344e475931595749756347526d&amp;Fich=6be90efd-3350-4748-b778-906b8484f5ab.pdf&amp;Inline=true</t>
        </is>
      </c>
      <c r="AH1994" s="3" t="n">
        <v>46321.77847222222</v>
      </c>
      <c r="AI1994" s="3" t="n">
        <v>46321.78055555555</v>
      </c>
      <c r="AJ1994" s="2" t="inlineStr"/>
    </row>
    <row r="1995">
      <c r="A1995" s="2" t="n">
        <v>1994</v>
      </c>
      <c r="B1995" s="2" t="inlineStr">
        <is>
          <t>1888C</t>
        </is>
      </c>
      <c r="C1995" s="3" t="n">
        <v>45968.72986111111</v>
      </c>
      <c r="D1995" s="2" t="inlineStr">
        <is>
          <t>Original</t>
        </is>
      </c>
      <c r="E1995" s="2" t="inlineStr">
        <is>
          <t>L</t>
        </is>
      </c>
      <c r="F1995" s="2" t="inlineStr">
        <is>
          <t>Filipa Pinto; Isabel Mendes Lopes; Jorge Pinto; Patrícia Gonçalves; Paulo Muacho; Rui Tavares</t>
        </is>
      </c>
      <c r="G1995" s="2" t="inlineStr">
        <is>
          <t>Art. 60.º (substituição)</t>
        </is>
      </c>
      <c r="H1995" s="2" t="n"/>
      <c r="I1995" s="2" t="n"/>
      <c r="J1995" s="2" t="n"/>
      <c r="K1995" s="2" t="n"/>
      <c r="L1995" s="2" t="inlineStr">
        <is>
          <t>Alínea a), N.º 1, Artigo 25.º do Código do IRS</t>
        </is>
      </c>
      <c r="M1995" s="4" t="n"/>
      <c r="N1995" s="4" t="n"/>
      <c r="O1995" s="2" t="n"/>
      <c r="P1995" s="2" t="n"/>
      <c r="Q1995" s="2" t="n"/>
      <c r="R1995" s="2" t="n"/>
      <c r="S1995" s="2" t="inlineStr">
        <is>
          <t>Rejeitado(a) em Comissão</t>
        </is>
      </c>
      <c r="T1995" s="2" t="inlineStr">
        <is>
          <t>Rejeitada</t>
        </is>
      </c>
      <c r="U1995" s="2" t="inlineStr">
        <is>
          <t>Favor: IL, L, PCP, BE, PAN; Contra: PSD, CDS-PP; Abstenção: CH, PS</t>
        </is>
      </c>
      <c r="V1995" s="3" t="n">
        <v>45981</v>
      </c>
      <c r="W1995" s="2" t="inlineStr">
        <is>
          <t>AR: https://www.parlamento.pt/OrcamentoEstado/Paginas/DetalhePropostaAlteracao.aspx?BID=25141 PDF: https://app.parlamento.pt/webutils/docs/doc.pdf?path=6148523063484d364c793942556b356c6443397a6158526c63793959566b6c4a544556484c3039464c7a49774d6a59794d4449314d5441774f533951515338344f4759785a574e6d597930315a44557a4c5451314d446b7459575134595330314e7a6c694e7a566c4f545a6b4d474d756347526d&amp;Fich=88f1ecfc-5d53-4509-ad8a-579b75e96d0c.pdf&amp;Inline=true</t>
        </is>
      </c>
      <c r="X1995" s="2" t="inlineStr">
        <is>
          <t>Orçamento, Finanças e Administração Pública</t>
        </is>
      </c>
      <c r="Y1995" s="2" t="inlineStr">
        <is>
          <t>Articulado</t>
        </is>
      </c>
      <c r="Z1995" s="2" t="inlineStr">
        <is>
          <t>Substituição</t>
        </is>
      </c>
      <c r="AA1995" s="2" t="inlineStr">
        <is>
          <t>Rejeitado(a) em Comissão</t>
        </is>
      </c>
      <c r="AB1995" s="2" t="inlineStr"/>
      <c r="AC1995" s="2" t="inlineStr"/>
      <c r="AD1995" s="2" t="inlineStr">
        <is>
          <t>1</t>
        </is>
      </c>
      <c r="AE1995" s="2" t="inlineStr">
        <is>
          <t>25141</t>
        </is>
      </c>
      <c r="AF1995" s="2" t="inlineStr">
        <is>
          <t>https://www.parlamento.pt/OrcamentoEstado/Paginas/DetalhePropostaAlteracao.aspx?BID=25141</t>
        </is>
      </c>
      <c r="AG1995" s="2" t="inlineStr">
        <is>
          <t>https://app.parlamento.pt/webutils/docs/doc.pdf?path=6148523063484d364c793942556b356c6443397a6158526c63793959566b6c4a544556484c3039464c7a49774d6a59794d4449314d5441774f533951515338344f4759785a574e6d597930315a44557a4c5451314d446b7459575134595330314e7a6c694e7a566c4f545a6b4d474d756347526d&amp;Fich=88f1ecfc-5d53-4509-ad8a-579b75e96d0c.pdf&amp;Inline=true</t>
        </is>
      </c>
      <c r="AH1995" s="3" t="n">
        <v>46321.77847222222</v>
      </c>
      <c r="AI1995" s="3" t="n">
        <v>46321.78055555555</v>
      </c>
      <c r="AJ1995" s="2" t="inlineStr"/>
    </row>
    <row r="1996">
      <c r="A1996" s="2" t="n">
        <v>1995</v>
      </c>
      <c r="B1996" s="2" t="inlineStr">
        <is>
          <t>1889C</t>
        </is>
      </c>
      <c r="C1996" s="3" t="n">
        <v>45968.73125</v>
      </c>
      <c r="D1996" s="2" t="inlineStr">
        <is>
          <t>Original</t>
        </is>
      </c>
      <c r="E1996" s="2" t="inlineStr">
        <is>
          <t>L</t>
        </is>
      </c>
      <c r="F1996" s="2" t="inlineStr">
        <is>
          <t>Filipa Pinto; Isabel Mendes Lopes; Jorge Pinto; Patrícia Gonçalves; Paulo Muacho; Rui Tavares</t>
        </is>
      </c>
      <c r="G1996" s="2" t="inlineStr">
        <is>
          <t>Art. 112.º-A (aditamento)</t>
        </is>
      </c>
      <c r="H1996" s="2" t="n"/>
      <c r="I1996" s="2" t="n"/>
      <c r="J1996" s="2" t="n"/>
      <c r="K1996" s="2" t="n"/>
      <c r="L1996" s="2" t="inlineStr">
        <is>
          <t>Artigo 112.º-A (Programa Ajuda de Casa)</t>
        </is>
      </c>
      <c r="M1996" s="4" t="n"/>
      <c r="N1996" s="4" t="n"/>
      <c r="O1996" s="2" t="n"/>
      <c r="P1996" s="2" t="n"/>
      <c r="Q1996" s="2" t="n"/>
      <c r="R1996" s="2" t="n"/>
      <c r="S1996" s="2" t="inlineStr">
        <is>
          <t>Rejeitado(a) em Comissão</t>
        </is>
      </c>
      <c r="T1996" s="2" t="inlineStr">
        <is>
          <t>Rejeitada</t>
        </is>
      </c>
      <c r="U1996" s="2" t="inlineStr">
        <is>
          <t>Favor: L, BE, PAN; Contra: PSD, CH, IL, PCP, CDS-PP; Abstenção: PS</t>
        </is>
      </c>
      <c r="V1996" s="3" t="n">
        <v>45982</v>
      </c>
      <c r="W1996" s="2" t="inlineStr">
        <is>
          <t>AR: https://www.parlamento.pt/OrcamentoEstado/Paginas/DetalhePropostaAlteracao.aspx?BID=25142 PDF: https://app.parlamento.pt/webutils/docs/doc.pdf?path=6148523063484d364c793942556b356c6443397a6158526c63793959566b6c4a544556484c3039464c7a49774d6a59794d4449314d5441774f533951515338354e7a67784d444535597931695a6a51324c54517a4e3259744f5755354e69316c4e6a63344d3256684e5467335a5751756347526d&amp;Fich=9781019c-bf46-437f-9e96-e6783ea587ed.pdf&amp;Inline=true</t>
        </is>
      </c>
      <c r="X1996" s="2" t="inlineStr">
        <is>
          <t>Infraestruturas, Mobilidade e Habitação</t>
        </is>
      </c>
      <c r="Y1996" s="2" t="inlineStr">
        <is>
          <t>Articulado</t>
        </is>
      </c>
      <c r="Z1996" s="2" t="inlineStr">
        <is>
          <t>Aditamento (Artigo PPL)</t>
        </is>
      </c>
      <c r="AA1996" s="2" t="inlineStr">
        <is>
          <t>Rejeitado(a) em Comissão</t>
        </is>
      </c>
      <c r="AB1996" s="2" t="inlineStr"/>
      <c r="AC1996" s="2" t="inlineStr"/>
      <c r="AD1996" s="2" t="inlineStr">
        <is>
          <t>1</t>
        </is>
      </c>
      <c r="AE1996" s="2" t="inlineStr">
        <is>
          <t>25142</t>
        </is>
      </c>
      <c r="AF1996" s="2" t="inlineStr">
        <is>
          <t>https://www.parlamento.pt/OrcamentoEstado/Paginas/DetalhePropostaAlteracao.aspx?BID=25142</t>
        </is>
      </c>
      <c r="AG1996" s="2" t="inlineStr">
        <is>
          <t>https://app.parlamento.pt/webutils/docs/doc.pdf?path=6148523063484d364c793942556b356c6443397a6158526c63793959566b6c4a544556484c3039464c7a49774d6a59794d4449314d5441774f533951515338354e7a67784d444535597931695a6a51324c54517a4e3259744f5755354e69316c4e6a63344d3256684e5467335a5751756347526d&amp;Fich=9781019c-bf46-437f-9e96-e6783ea587ed.pdf&amp;Inline=true</t>
        </is>
      </c>
      <c r="AH1996" s="3" t="n">
        <v>46321.77847222222</v>
      </c>
      <c r="AI1996" s="3" t="n">
        <v>46321.78055555555</v>
      </c>
      <c r="AJ1996" s="2" t="inlineStr"/>
    </row>
    <row r="1997">
      <c r="A1997" s="2" t="n">
        <v>1996</v>
      </c>
      <c r="B1997" s="2" t="inlineStr">
        <is>
          <t>1890C</t>
        </is>
      </c>
      <c r="C1997" s="3" t="n">
        <v>45968.73125</v>
      </c>
      <c r="D1997" s="2" t="inlineStr">
        <is>
          <t>Original</t>
        </is>
      </c>
      <c r="E1997" s="2" t="inlineStr">
        <is>
          <t>PCP</t>
        </is>
      </c>
      <c r="F1997" s="2" t="inlineStr">
        <is>
          <t>Alfredo Maia; Paula Santos; Paulo Raimundo</t>
        </is>
      </c>
      <c r="G1997" s="2" t="inlineStr">
        <is>
          <t>Art. 118.º-A (aditamento)</t>
        </is>
      </c>
      <c r="H1997" s="2" t="n"/>
      <c r="I1997" s="2" t="n"/>
      <c r="J1997" s="2" t="n"/>
      <c r="K1997" s="2" t="n"/>
      <c r="L1997" s="2" t="inlineStr">
        <is>
          <t>Artigo 118.º-A (1% para a Cultura - Plano Nacional de Desenvolvimento para as Artes e a Cultura)</t>
        </is>
      </c>
      <c r="M1997" s="4" t="n"/>
      <c r="N1997" s="4" t="n"/>
      <c r="O1997" s="2" t="n"/>
      <c r="P1997" s="2" t="n"/>
      <c r="Q1997" s="2" t="n"/>
      <c r="R1997" s="2" t="n"/>
      <c r="S1997" s="2" t="inlineStr">
        <is>
          <t>Rejeitado(a) em Comissão</t>
        </is>
      </c>
      <c r="T1997" s="2" t="inlineStr">
        <is>
          <t>Rejeitada</t>
        </is>
      </c>
      <c r="U1997" s="2" t="inlineStr">
        <is>
          <t>Favor: L, PCP, BE, PAN; Contra: PSD, IL, CDS-PP; Abstenção: CH, PS</t>
        </is>
      </c>
      <c r="V1997" s="3" t="n">
        <v>45985</v>
      </c>
      <c r="W1997" s="2" t="inlineStr">
        <is>
          <t>AR: https://www.parlamento.pt/OrcamentoEstado/Paginas/DetalhePropostaAlteracao.aspx?BID=25143 PDF: https://app.parlamento.pt/webutils/docs/doc.pdf?path=6148523063484d364c793942556b356c6443397a6158526c63793959566b6c4a544556484c3039464c7a49774d6a59794d4449314d5441774f5339515153396c4f5459314e7a466d4d5330354e6d59334c545268596a63744f5449355969316a4e4463784f44426c5a57526c4f4441756347526d&amp;Fich=e96571f1-96f7-4ab7-929b-c47180eede80.pdf&amp;Inline=true</t>
        </is>
      </c>
      <c r="X1997" s="2" t="inlineStr">
        <is>
          <t>Cultura, Comunicação, Juventude e Desporto</t>
        </is>
      </c>
      <c r="Y1997" s="2" t="inlineStr">
        <is>
          <t>Articulado</t>
        </is>
      </c>
      <c r="Z1997" s="2" t="inlineStr">
        <is>
          <t>Aditamento (Artigo PPL)</t>
        </is>
      </c>
      <c r="AA1997" s="2" t="inlineStr">
        <is>
          <t>Rejeitado(a) em Comissão</t>
        </is>
      </c>
      <c r="AB1997" s="2" t="inlineStr"/>
      <c r="AC1997" s="2" t="inlineStr"/>
      <c r="AD1997" s="2" t="inlineStr">
        <is>
          <t>1</t>
        </is>
      </c>
      <c r="AE1997" s="2" t="inlineStr">
        <is>
          <t>25143</t>
        </is>
      </c>
      <c r="AF1997" s="2" t="inlineStr">
        <is>
          <t>https://www.parlamento.pt/OrcamentoEstado/Paginas/DetalhePropostaAlteracao.aspx?BID=25143</t>
        </is>
      </c>
      <c r="AG1997" s="2" t="inlineStr">
        <is>
          <t>https://app.parlamento.pt/webutils/docs/doc.pdf?path=6148523063484d364c793942556b356c6443397a6158526c63793959566b6c4a544556484c3039464c7a49774d6a59794d4449314d5441774f5339515153396c4f5459314e7a466d4d5330354e6d59334c545268596a63744f5449355969316a4e4463784f44426c5a57526c4f4441756347526d&amp;Fich=e96571f1-96f7-4ab7-929b-c47180eede80.pdf&amp;Inline=true</t>
        </is>
      </c>
      <c r="AH1997" s="3" t="n">
        <v>46321.77847222222</v>
      </c>
      <c r="AI1997" s="3" t="n">
        <v>46321.78055555555</v>
      </c>
      <c r="AJ1997" s="2" t="inlineStr"/>
    </row>
    <row r="1998">
      <c r="A1998" s="2" t="n">
        <v>1997</v>
      </c>
      <c r="B1998" s="2" t="inlineStr">
        <is>
          <t>1891C</t>
        </is>
      </c>
      <c r="C1998" s="3" t="n">
        <v>45968.73194444444</v>
      </c>
      <c r="D1998" s="2" t="inlineStr">
        <is>
          <t>Original</t>
        </is>
      </c>
      <c r="E1998" s="2" t="inlineStr">
        <is>
          <t>PAN</t>
        </is>
      </c>
      <c r="F1998" s="2" t="inlineStr">
        <is>
          <t>Inês de Sousa Real</t>
        </is>
      </c>
      <c r="G1998" s="2" t="inlineStr">
        <is>
          <t>Art. 39.º-C (aditamento)</t>
        </is>
      </c>
      <c r="H1998" s="2" t="n"/>
      <c r="I1998" s="2" t="n"/>
      <c r="J1998" s="2" t="n"/>
      <c r="K1998" s="2" t="n"/>
      <c r="L1998" s="2" t="inlineStr">
        <is>
          <t>Artigo 39.º-C (Execução dos canais de denúncia previstos na Lei n.º 147/99, de 1 de setembro)</t>
        </is>
      </c>
      <c r="M1998" s="4" t="n"/>
      <c r="N1998" s="4" t="n"/>
      <c r="O1998" s="2" t="n"/>
      <c r="P1998" s="2" t="n"/>
      <c r="Q1998" s="2" t="n"/>
      <c r="R1998" s="2" t="n"/>
      <c r="S1998" s="2" t="inlineStr">
        <is>
          <t>Rejeitado(a) em Comissão</t>
        </is>
      </c>
      <c r="T1998" s="2" t="inlineStr">
        <is>
          <t>Rejeitada</t>
        </is>
      </c>
      <c r="U1998" s="2" t="inlineStr">
        <is>
          <t>Favor: CH, IL, L, PCP, BE, PAN; Contra: PSD, CDS-PP; Abstenção: PS</t>
        </is>
      </c>
      <c r="V1998" s="3" t="n">
        <v>45981</v>
      </c>
      <c r="W1998" s="2" t="inlineStr">
        <is>
          <t>AR: https://www.parlamento.pt/OrcamentoEstado/Paginas/DetalhePropostaAlteracao.aspx?BID=25144 PDF: https://app.parlamento.pt/webutils/docs/doc.pdf?path=6148523063484d364c793942556b356c6443397a6158526c63793959566b6c4a544556484c3039464c7a49774d6a59794d4449314d5441774f533951515338315a6a677a4e7a526a4e5330325a6a4e6c4c5451324d5441745957566c4d5330324e32453559574e6a4d6d4e684e574d756347526d&amp;Fich=5f8374c5-6f3e-4610-aee1-67a9acc2ca5c.pdf&amp;Inline=true</t>
        </is>
      </c>
      <c r="X1998" s="2" t="inlineStr">
        <is>
          <t>Assuntos Constitucionais, Direitos, Liberdades e Garantias</t>
        </is>
      </c>
      <c r="Y1998" s="2" t="inlineStr">
        <is>
          <t>Articulado</t>
        </is>
      </c>
      <c r="Z1998" s="2" t="inlineStr">
        <is>
          <t>Aditamento (Artigo PPL)</t>
        </is>
      </c>
      <c r="AA1998" s="2" t="inlineStr">
        <is>
          <t>Rejeitado(a) em Comissão</t>
        </is>
      </c>
      <c r="AB1998" s="2" t="inlineStr"/>
      <c r="AC1998" s="2" t="inlineStr"/>
      <c r="AD1998" s="2" t="inlineStr">
        <is>
          <t>1</t>
        </is>
      </c>
      <c r="AE1998" s="2" t="inlineStr">
        <is>
          <t>25144</t>
        </is>
      </c>
      <c r="AF1998" s="2" t="inlineStr">
        <is>
          <t>https://www.parlamento.pt/OrcamentoEstado/Paginas/DetalhePropostaAlteracao.aspx?BID=25144</t>
        </is>
      </c>
      <c r="AG1998" s="2" t="inlineStr">
        <is>
          <t>https://app.parlamento.pt/webutils/docs/doc.pdf?path=6148523063484d364c793942556b356c6443397a6158526c63793959566b6c4a544556484c3039464c7a49774d6a59794d4449314d5441774f533951515338315a6a677a4e7a526a4e5330325a6a4e6c4c5451324d5441745957566c4d5330324e32453559574e6a4d6d4e684e574d756347526d&amp;Fich=5f8374c5-6f3e-4610-aee1-67a9acc2ca5c.pdf&amp;Inline=true</t>
        </is>
      </c>
      <c r="AH1998" s="3" t="n">
        <v>46321.77847222222</v>
      </c>
      <c r="AI1998" s="3" t="n">
        <v>46321.78055555555</v>
      </c>
      <c r="AJ1998" s="2" t="inlineStr"/>
    </row>
    <row r="1999">
      <c r="A1999" s="2" t="n">
        <v>1998</v>
      </c>
      <c r="B1999" s="2" t="inlineStr">
        <is>
          <t>1892C</t>
        </is>
      </c>
      <c r="C1999" s="3" t="n">
        <v>45968.73194444444</v>
      </c>
      <c r="D1999" s="2" t="inlineStr">
        <is>
          <t>Original</t>
        </is>
      </c>
      <c r="E1999" s="2" t="inlineStr">
        <is>
          <t>L</t>
        </is>
      </c>
      <c r="F1999" s="2" t="inlineStr">
        <is>
          <t>Filipa Pinto; Isabel Mendes Lopes; Jorge Pinto; Patrícia Gonçalves; Paulo Muacho; Rui Tavares</t>
        </is>
      </c>
      <c r="G1999" s="2" t="inlineStr">
        <is>
          <t>Art. 112.º-A (aditamento)</t>
        </is>
      </c>
      <c r="H1999" s="2" t="n"/>
      <c r="I1999" s="2" t="n"/>
      <c r="J1999" s="2" t="n"/>
      <c r="K1999" s="2" t="n"/>
      <c r="L1999" s="2" t="inlineStr">
        <is>
          <t>Artigo 112.º-A (Valor máximo de renda para os novos contratos de arrendamento)</t>
        </is>
      </c>
      <c r="M1999" s="4" t="n"/>
      <c r="N1999" s="4" t="n"/>
      <c r="O1999" s="2" t="n"/>
      <c r="P1999" s="2" t="n"/>
      <c r="Q1999" s="2" t="n"/>
      <c r="R1999" s="2" t="n"/>
      <c r="S1999" s="2" t="inlineStr">
        <is>
          <t>Rejeitado(a) em Comissão</t>
        </is>
      </c>
      <c r="T1999" s="2" t="inlineStr">
        <is>
          <t>Rejeitada</t>
        </is>
      </c>
      <c r="U1999" s="2" t="inlineStr">
        <is>
          <t>Favor: L, BE, PAN; Contra: PSD, CH, IL, CDS-PP; Abstenção: PS, PCP</t>
        </is>
      </c>
      <c r="V1999" s="3" t="n">
        <v>45982</v>
      </c>
      <c r="W1999" s="2" t="inlineStr">
        <is>
          <t>AR: https://www.parlamento.pt/OrcamentoEstado/Paginas/DetalhePropostaAlteracao.aspx?BID=25145 PDF: https://app.parlamento.pt/webutils/docs/doc.pdf?path=6148523063484d364c793942556b356c6443397a6158526c63793959566b6c4a544556484c3039464c7a49774d6a59794d4449314d5441774f533951515338305a54526b4e7a6b344d4330315a6a45354c5451774e324974595459355979316c4e5755324d444e6a4d574d79595441756347526d&amp;Fich=4e4d7980-5f19-407b-a69c-e5e603c1c2a0.pdf&amp;Inline=true</t>
        </is>
      </c>
      <c r="X1999" s="2" t="inlineStr">
        <is>
          <t>Infraestruturas, Mobilidade e Habitação</t>
        </is>
      </c>
      <c r="Y1999" s="2" t="inlineStr">
        <is>
          <t>Articulado</t>
        </is>
      </c>
      <c r="Z1999" s="2" t="inlineStr">
        <is>
          <t>Aditamento (Artigo PPL)</t>
        </is>
      </c>
      <c r="AA1999" s="2" t="inlineStr">
        <is>
          <t>Rejeitado(a) em Comissão</t>
        </is>
      </c>
      <c r="AB1999" s="2" t="inlineStr"/>
      <c r="AC1999" s="2" t="inlineStr"/>
      <c r="AD1999" s="2" t="inlineStr">
        <is>
          <t>1</t>
        </is>
      </c>
      <c r="AE1999" s="2" t="inlineStr">
        <is>
          <t>25145</t>
        </is>
      </c>
      <c r="AF1999" s="2" t="inlineStr">
        <is>
          <t>https://www.parlamento.pt/OrcamentoEstado/Paginas/DetalhePropostaAlteracao.aspx?BID=25145</t>
        </is>
      </c>
      <c r="AG1999" s="2" t="inlineStr">
        <is>
          <t>https://app.parlamento.pt/webutils/docs/doc.pdf?path=6148523063484d364c793942556b356c6443397a6158526c63793959566b6c4a544556484c3039464c7a49774d6a59794d4449314d5441774f533951515338305a54526b4e7a6b344d4330315a6a45354c5451774e324974595459355979316c4e5755324d444e6a4d574d79595441756347526d&amp;Fich=4e4d7980-5f19-407b-a69c-e5e603c1c2a0.pdf&amp;Inline=true</t>
        </is>
      </c>
      <c r="AH1999" s="3" t="n">
        <v>46321.77847222222</v>
      </c>
      <c r="AI1999" s="3" t="n">
        <v>46321.78055555555</v>
      </c>
      <c r="AJ1999" s="2" t="inlineStr"/>
    </row>
    <row r="2000">
      <c r="A2000" s="2" t="n">
        <v>1999</v>
      </c>
      <c r="B2000" s="2" t="inlineStr">
        <is>
          <t>1893C</t>
        </is>
      </c>
      <c r="C2000" s="3" t="n">
        <v>45968.73194444444</v>
      </c>
      <c r="D2000" s="2" t="inlineStr">
        <is>
          <t>Original</t>
        </is>
      </c>
      <c r="E2000" s="2" t="inlineStr">
        <is>
          <t>PCP</t>
        </is>
      </c>
      <c r="F2000" s="2" t="inlineStr">
        <is>
          <t>Alfredo Maia; Paula Santos; Paulo Raimundo</t>
        </is>
      </c>
      <c r="G2000" s="2" t="inlineStr">
        <is>
          <t>Art. 118.º-A (aditamento)</t>
        </is>
      </c>
      <c r="H2000" s="2" t="n"/>
      <c r="I2000" s="2" t="n"/>
      <c r="J2000" s="2" t="n"/>
      <c r="K2000" s="2" t="n"/>
      <c r="L2000" s="2" t="inlineStr">
        <is>
          <t>Artigo 118.º-A (Programa de acesso gratuito a equipamentos e atividades culturais)</t>
        </is>
      </c>
      <c r="M2000" s="4" t="n"/>
      <c r="N2000" s="4" t="n"/>
      <c r="O2000" s="2" t="n"/>
      <c r="P2000" s="2" t="n"/>
      <c r="Q2000" s="2" t="n"/>
      <c r="R2000" s="2" t="n"/>
      <c r="S2000" s="2" t="inlineStr">
        <is>
          <t>Rejeitado(a) em Comissão</t>
        </is>
      </c>
      <c r="T2000" s="2" t="inlineStr">
        <is>
          <t>Rejeitada</t>
        </is>
      </c>
      <c r="U2000" s="2" t="inlineStr">
        <is>
          <t>Favor: L, PCP, BE, PAN; Contra: PSD, CDS-PP; Abstenção: CH, PS, IL</t>
        </is>
      </c>
      <c r="V2000" s="3" t="n">
        <v>45985</v>
      </c>
      <c r="W2000" s="2" t="inlineStr">
        <is>
          <t>AR: https://www.parlamento.pt/OrcamentoEstado/Paginas/DetalhePropostaAlteracao.aspx?BID=25146 PDF: https://app.parlamento.pt/webutils/docs/doc.pdf?path=6148523063484d364c793942556b356c6443397a6158526c63793959566b6c4a544556484c3039464c7a49774d6a59794d4449314d5441774f5339515153396b4f54526b5a6a4931596930334e6a4d784c5451334e5445745954646d5969307a4e6a63335932466d59574d34596d59756347526d&amp;Fich=d94df25b-7631-4751-a7fb-3677cafac8bf.pdf&amp;Inline=true</t>
        </is>
      </c>
      <c r="X2000" s="2" t="inlineStr">
        <is>
          <t>Cultura, Comunicação, Juventude e Desporto</t>
        </is>
      </c>
      <c r="Y2000" s="2" t="inlineStr">
        <is>
          <t>Articulado</t>
        </is>
      </c>
      <c r="Z2000" s="2" t="inlineStr">
        <is>
          <t>Aditamento (Artigo PPL)</t>
        </is>
      </c>
      <c r="AA2000" s="2" t="inlineStr">
        <is>
          <t>Rejeitado(a) em Comissão</t>
        </is>
      </c>
      <c r="AB2000" s="2" t="inlineStr"/>
      <c r="AC2000" s="2" t="inlineStr"/>
      <c r="AD2000" s="2" t="inlineStr">
        <is>
          <t>1</t>
        </is>
      </c>
      <c r="AE2000" s="2" t="inlineStr">
        <is>
          <t>25146</t>
        </is>
      </c>
      <c r="AF2000" s="2" t="inlineStr">
        <is>
          <t>https://www.parlamento.pt/OrcamentoEstado/Paginas/DetalhePropostaAlteracao.aspx?BID=25146</t>
        </is>
      </c>
      <c r="AG2000" s="2" t="inlineStr">
        <is>
          <t>https://app.parlamento.pt/webutils/docs/doc.pdf?path=6148523063484d364c793942556b356c6443397a6158526c63793959566b6c4a544556484c3039464c7a49774d6a59794d4449314d5441774f5339515153396b4f54526b5a6a4931596930334e6a4d784c5451334e5445745954646d5969307a4e6a63335932466d59574d34596d59756347526d&amp;Fich=d94df25b-7631-4751-a7fb-3677cafac8bf.pdf&amp;Inline=true</t>
        </is>
      </c>
      <c r="AH2000" s="3" t="n">
        <v>46321.77847222222</v>
      </c>
      <c r="AI2000" s="3" t="n">
        <v>46321.78055555555</v>
      </c>
      <c r="AJ2000" s="2" t="inlineStr"/>
    </row>
    <row r="2001">
      <c r="A2001" s="2" t="n">
        <v>2000</v>
      </c>
      <c r="B2001" s="2" t="inlineStr">
        <is>
          <t>1894C</t>
        </is>
      </c>
      <c r="C2001" s="3" t="n">
        <v>45968.73263888889</v>
      </c>
      <c r="D2001" s="2" t="inlineStr">
        <is>
          <t>Original</t>
        </is>
      </c>
      <c r="E2001" s="2" t="inlineStr">
        <is>
          <t>PS</t>
        </is>
      </c>
      <c r="F2001" s="2" t="inlineStr">
        <is>
          <t>Emanuel Câmara</t>
        </is>
      </c>
      <c r="G2001" s="2" t="inlineStr">
        <is>
          <t>Art. 110.º-A (aditamento)</t>
        </is>
      </c>
      <c r="H2001" s="2" t="n"/>
      <c r="I2001" s="2" t="n"/>
      <c r="J2001" s="2" t="n"/>
      <c r="K2001" s="2" t="n"/>
      <c r="L2001" s="2" t="inlineStr">
        <is>
          <t>Artigo 110.º-A (Reabilitação e restauração do edifício do INATEL da Madeira)</t>
        </is>
      </c>
      <c r="M2001" s="4" t="n"/>
      <c r="N2001" s="4" t="n"/>
      <c r="O2001" s="2" t="n"/>
      <c r="P2001" s="2" t="n"/>
      <c r="Q2001" s="2" t="n"/>
      <c r="R2001" s="2" t="n"/>
      <c r="S2001" s="2" t="inlineStr">
        <is>
          <t>Rejeitado(a) em Comissão</t>
        </is>
      </c>
      <c r="T2001" s="2" t="inlineStr">
        <is>
          <t>Rejeitada</t>
        </is>
      </c>
      <c r="U2001" s="2" t="inlineStr">
        <is>
          <t>Favor: PS, L, PCP, BE, PAN; Contra: PSD, IL, CDS-PP; Abstenção: CH</t>
        </is>
      </c>
      <c r="V2001" s="3" t="n">
        <v>45982</v>
      </c>
      <c r="W2001" s="2" t="inlineStr">
        <is>
          <t>AR: https://www.parlamento.pt/OrcamentoEstado/Paginas/DetalhePropostaAlteracao.aspx?BID=25147 PDF: https://app.parlamento.pt/webutils/docs/doc.pdf?path=6148523063484d364c793942556b356c6443397a6158526c63793959566b6c4a544556484c3039464c7a49774d6a59794d4449314d5441774f5339515153396b5a5455334d4745305a5330794f44686d4c54526a4d4463744f575a6d4f4330324f4755354e47466d5a5468694e5455756347526d&amp;Fich=de570a4e-288f-4c07-9ff8-68e94afe8b55.pdf&amp;Inline=true</t>
        </is>
      </c>
      <c r="X2001" s="2" t="inlineStr">
        <is>
          <t>Orçamento, Finanças e Administração Pública</t>
        </is>
      </c>
      <c r="Y2001" s="2" t="inlineStr">
        <is>
          <t>Articulado</t>
        </is>
      </c>
      <c r="Z2001" s="2" t="inlineStr">
        <is>
          <t>Aditamento (Artigo PPL)</t>
        </is>
      </c>
      <c r="AA2001" s="2" t="inlineStr">
        <is>
          <t>Rejeitado(a) em Comissão</t>
        </is>
      </c>
      <c r="AB2001" s="2" t="inlineStr"/>
      <c r="AC2001" s="2" t="inlineStr"/>
      <c r="AD2001" s="2" t="inlineStr">
        <is>
          <t>1</t>
        </is>
      </c>
      <c r="AE2001" s="2" t="inlineStr">
        <is>
          <t>25147</t>
        </is>
      </c>
      <c r="AF2001" s="2" t="inlineStr">
        <is>
          <t>https://www.parlamento.pt/OrcamentoEstado/Paginas/DetalhePropostaAlteracao.aspx?BID=25147</t>
        </is>
      </c>
      <c r="AG2001" s="2" t="inlineStr">
        <is>
          <t>https://app.parlamento.pt/webutils/docs/doc.pdf?path=6148523063484d364c793942556b356c6443397a6158526c63793959566b6c4a544556484c3039464c7a49774d6a59794d4449314d5441774f5339515153396b5a5455334d4745305a5330794f44686d4c54526a4d4463744f575a6d4f4330324f4755354e47466d5a5468694e5455756347526d&amp;Fich=de570a4e-288f-4c07-9ff8-68e94afe8b55.pdf&amp;Inline=true</t>
        </is>
      </c>
      <c r="AH2001" s="3" t="n">
        <v>46321.77847222222</v>
      </c>
      <c r="AI2001" s="3" t="n">
        <v>46321.78055555555</v>
      </c>
      <c r="AJ2001" s="2" t="inlineStr"/>
    </row>
    <row r="2002">
      <c r="A2002" s="2" t="n">
        <v>2001</v>
      </c>
      <c r="B2002" s="2" t="inlineStr">
        <is>
          <t>1895C</t>
        </is>
      </c>
      <c r="C2002" s="3" t="n">
        <v>45968.73333333333</v>
      </c>
      <c r="D2002" s="2" t="inlineStr">
        <is>
          <t>Original</t>
        </is>
      </c>
      <c r="E2002" s="2" t="inlineStr">
        <is>
          <t>BE</t>
        </is>
      </c>
      <c r="F2002" s="2" t="inlineStr">
        <is>
          <t>Mariana Mortágua</t>
        </is>
      </c>
      <c r="G2002" s="2" t="inlineStr">
        <is>
          <t>Art. 112.º-A (aditamento)</t>
        </is>
      </c>
      <c r="H2002" s="2" t="n"/>
      <c r="I2002" s="2" t="n"/>
      <c r="J2002" s="2" t="n"/>
      <c r="K2002" s="2" t="n"/>
      <c r="L2002" s="2" t="inlineStr">
        <is>
          <t>Artigo 112.º-A (Ensino da Língua Gestual Portuguesa)</t>
        </is>
      </c>
      <c r="M2002" s="4" t="n"/>
      <c r="N2002" s="4" t="n"/>
      <c r="O2002" s="2" t="n"/>
      <c r="P2002" s="2" t="n"/>
      <c r="Q2002" s="2" t="n"/>
      <c r="R2002" s="2" t="n"/>
      <c r="S2002" s="2" t="inlineStr">
        <is>
          <t>Rejeitado(a) em Comissão</t>
        </is>
      </c>
      <c r="T2002" s="2" t="inlineStr">
        <is>
          <t>Rejeitada</t>
        </is>
      </c>
      <c r="U2002" s="2" t="inlineStr">
        <is>
          <t>Favor: CH, IL, L, PCP, BE, PAN; Contra: PSD, CDS-PP; Abstenção: PS</t>
        </is>
      </c>
      <c r="V2002" s="3" t="n">
        <v>45982</v>
      </c>
      <c r="W2002" s="2" t="inlineStr">
        <is>
          <t>AR: https://www.parlamento.pt/OrcamentoEstado/Paginas/DetalhePropostaAlteracao.aspx?BID=25148 PDF: https://app.parlamento.pt/webutils/docs/doc.pdf?path=6148523063484d364c793942556b356c6443397a6158526c63793959566b6c4a544556484c3039464c7a49774d6a59794d4449314d5441774f533951515339694d574a6c5957526b4e5330774e5449354c545130597a4174595755314f5330784f44566a4d325a6a4e7a59335a5445756347526d&amp;Fich=b1beadd5-0529-44c0-ae59-185c3fc767e1.pdf&amp;Inline=true</t>
        </is>
      </c>
      <c r="X2002" s="2" t="inlineStr">
        <is>
          <t>Educação e Ciência</t>
        </is>
      </c>
      <c r="Y2002" s="2" t="inlineStr">
        <is>
          <t>Articulado</t>
        </is>
      </c>
      <c r="Z2002" s="2" t="inlineStr">
        <is>
          <t>Aditamento (Artigo PPL)</t>
        </is>
      </c>
      <c r="AA2002" s="2" t="inlineStr">
        <is>
          <t>Rejeitado(a) em Comissão</t>
        </is>
      </c>
      <c r="AB2002" s="2" t="inlineStr"/>
      <c r="AC2002" s="2" t="inlineStr"/>
      <c r="AD2002" s="2" t="inlineStr">
        <is>
          <t>1</t>
        </is>
      </c>
      <c r="AE2002" s="2" t="inlineStr">
        <is>
          <t>25148</t>
        </is>
      </c>
      <c r="AF2002" s="2" t="inlineStr">
        <is>
          <t>https://www.parlamento.pt/OrcamentoEstado/Paginas/DetalhePropostaAlteracao.aspx?BID=25148</t>
        </is>
      </c>
      <c r="AG2002" s="2" t="inlineStr">
        <is>
          <t>https://app.parlamento.pt/webutils/docs/doc.pdf?path=6148523063484d364c793942556b356c6443397a6158526c63793959566b6c4a544556484c3039464c7a49774d6a59794d4449314d5441774f533951515339694d574a6c5957526b4e5330774e5449354c545130597a4174595755314f5330784f44566a4d325a6a4e7a59335a5445756347526d&amp;Fich=b1beadd5-0529-44c0-ae59-185c3fc767e1.pdf&amp;Inline=true</t>
        </is>
      </c>
      <c r="AH2002" s="3" t="n">
        <v>46321.77847222222</v>
      </c>
      <c r="AI2002" s="3" t="n">
        <v>46321.78055555555</v>
      </c>
      <c r="AJ2002" s="2" t="inlineStr"/>
    </row>
    <row r="2003">
      <c r="A2003" s="2" t="n">
        <v>2002</v>
      </c>
      <c r="B2003" s="2" t="inlineStr">
        <is>
          <t>1896C-1</t>
        </is>
      </c>
      <c r="C2003" s="3" t="n">
        <v>45968.73333333333</v>
      </c>
      <c r="D2003" s="2" t="inlineStr">
        <is>
          <t>Original</t>
        </is>
      </c>
      <c r="E2003" s="2" t="inlineStr">
        <is>
          <t>L</t>
        </is>
      </c>
      <c r="F2003" s="2" t="inlineStr">
        <is>
          <t>Filipa Pinto; Isabel Mendes Lopes; Jorge Pinto; Patrícia Gonçalves; Paulo Muacho; Rui Tavares</t>
        </is>
      </c>
      <c r="G2003" s="2" t="inlineStr">
        <is>
          <t>Art. 60.º (substituição)</t>
        </is>
      </c>
      <c r="H2003" s="2" t="n"/>
      <c r="I2003" s="2" t="n"/>
      <c r="J2003" s="2" t="n"/>
      <c r="K2003" s="2" t="n"/>
      <c r="L2003" s="2" t="inlineStr">
        <is>
          <t>Corpo, N.º 1, Artigo 78.º-D do Código do IRS</t>
        </is>
      </c>
      <c r="M2003" s="4" t="n"/>
      <c r="N2003" s="4" t="n"/>
      <c r="O2003" s="2" t="n"/>
      <c r="P2003" s="2" t="n"/>
      <c r="Q2003" s="2" t="n"/>
      <c r="R2003" s="2" t="n"/>
      <c r="S2003" s="2" t="inlineStr">
        <is>
          <t>Rejeitado(a) em Comissão</t>
        </is>
      </c>
      <c r="T2003" s="2" t="inlineStr">
        <is>
          <t>Rejeitada</t>
        </is>
      </c>
      <c r="U2003" s="2" t="inlineStr">
        <is>
          <t>Favor: IL, L, BE, PAN; Contra: PSD, PCP, CDS-PP; Abstenção: CH, PS</t>
        </is>
      </c>
      <c r="V2003" s="3" t="n">
        <v>45981</v>
      </c>
      <c r="W2003" s="2" t="inlineStr">
        <is>
          <t>AR: https://www.parlamento.pt/OrcamentoEstado/Paginas/DetalhePropostaAlteracao.aspx?BID=25149 PDF: https://app.parlamento.pt/webutils/docs/doc.pdf?path=6148523063484d364c793942556b356c6443397a6158526c63793959566b6c4a544556484c3039464c7a49774d6a59794d4449314d5441774f533951515338324d6a4d32597a686a4d4330334d6a67774c545179597a6374596d59314d4330305a574a695a54426b4d474e69596a49756347526d&amp;Fich=6236c8c0-7280-42c7-bf50-4ebbe0d0cbb2.pdf&amp;Inline=true</t>
        </is>
      </c>
      <c r="X2003" s="2" t="inlineStr">
        <is>
          <t>Orçamento, Finanças e Administração Pública</t>
        </is>
      </c>
      <c r="Y2003" s="2" t="inlineStr">
        <is>
          <t>Articulado</t>
        </is>
      </c>
      <c r="Z2003" s="2" t="inlineStr">
        <is>
          <t>Substituição</t>
        </is>
      </c>
      <c r="AA2003" s="2" t="inlineStr">
        <is>
          <t>Rejeitado(a) em Comissão</t>
        </is>
      </c>
      <c r="AB2003" s="2" t="inlineStr"/>
      <c r="AC2003" s="2" t="inlineStr">
        <is>
          <t>1</t>
        </is>
      </c>
      <c r="AD2003" s="2" t="inlineStr">
        <is>
          <t>1</t>
        </is>
      </c>
      <c r="AE2003" s="2" t="inlineStr">
        <is>
          <t>25149</t>
        </is>
      </c>
      <c r="AF2003" s="2" t="inlineStr">
        <is>
          <t>https://www.parlamento.pt/OrcamentoEstado/Paginas/DetalhePropostaAlteracao.aspx?BID=25149</t>
        </is>
      </c>
      <c r="AG2003" s="2" t="inlineStr">
        <is>
          <t>https://app.parlamento.pt/webutils/docs/doc.pdf?path=6148523063484d364c793942556b356c6443397a6158526c63793959566b6c4a544556484c3039464c7a49774d6a59794d4449314d5441774f533951515338324d6a4d32597a686a4d4330334d6a67774c545179597a6374596d59314d4330305a574a695a54426b4d474e69596a49756347526d&amp;Fich=6236c8c0-7280-42c7-bf50-4ebbe0d0cbb2.pdf&amp;Inline=true</t>
        </is>
      </c>
      <c r="AH2003" s="3" t="n">
        <v>46321.77847222222</v>
      </c>
      <c r="AI2003" s="3" t="n">
        <v>46321.78055555555</v>
      </c>
      <c r="AJ2003" s="2" t="inlineStr"/>
    </row>
    <row r="2004">
      <c r="A2004" s="2" t="n">
        <v>2003</v>
      </c>
      <c r="B2004" s="2" t="inlineStr">
        <is>
          <t>1896C-2</t>
        </is>
      </c>
      <c r="C2004" s="3" t="n">
        <v>45968.73333333333</v>
      </c>
      <c r="D2004" s="2" t="inlineStr">
        <is>
          <t>Original</t>
        </is>
      </c>
      <c r="E2004" s="2" t="inlineStr">
        <is>
          <t>L</t>
        </is>
      </c>
      <c r="F2004" s="2" t="inlineStr">
        <is>
          <t>Filipa Pinto; Isabel Mendes Lopes; Jorge Pinto; Patrícia Gonçalves; Paulo Muacho; Rui Tavares</t>
        </is>
      </c>
      <c r="G2004" s="2" t="inlineStr">
        <is>
          <t>Art. 60.º (aditamento)</t>
        </is>
      </c>
      <c r="H2004" s="2" t="n"/>
      <c r="I2004" s="2" t="n"/>
      <c r="J2004" s="2" t="n"/>
      <c r="K2004" s="2" t="n"/>
      <c r="L2004" s="2" t="inlineStr">
        <is>
          <t>Alínea e), N.º 1, Artigo 78.º-D do Código do IRS</t>
        </is>
      </c>
      <c r="M2004" s="4" t="n"/>
      <c r="N2004" s="4" t="n"/>
      <c r="O2004" s="2" t="n"/>
      <c r="P2004" s="2" t="n"/>
      <c r="Q2004" s="2" t="n"/>
      <c r="R2004" s="2" t="n"/>
      <c r="S2004" s="2" t="inlineStr">
        <is>
          <t>Rejeitado(a) em Comissão</t>
        </is>
      </c>
      <c r="T2004" s="2" t="inlineStr">
        <is>
          <t>Rejeitada</t>
        </is>
      </c>
      <c r="U2004" s="2" t="inlineStr">
        <is>
          <t>Favor: IL, L, BE, PAN; Contra: PSD, PCP, CDS-PP; Abstenção: CH, PS</t>
        </is>
      </c>
      <c r="V2004" s="3" t="n">
        <v>45981</v>
      </c>
      <c r="W2004" s="2" t="inlineStr">
        <is>
          <t>AR: https://www.parlamento.pt/OrcamentoEstado/Paginas/DetalhePropostaAlteracao.aspx?BID=25383 PDF: https://app.parlamento.pt/webutils/docs/doc.pdf?path=6148523063484d364c793942556b356c6443397a6158526c63793959566b6c4a544556484c3039464c7a49774d6a59794d4449314d5441774f533951515338334d57497a4e6d597a4e4330354f4445334c545269596a6b74596d51335a53307a5a544d334d7a49794d474e695a5451756347526d&amp;Fich=71b36f34-9817-4bb9-bd7e-3e373220cbe4.pdf&amp;Inline=true</t>
        </is>
      </c>
      <c r="X2004" s="2" t="inlineStr">
        <is>
          <t>Orçamento, Finanças e Administração Pública</t>
        </is>
      </c>
      <c r="Y2004" s="2" t="inlineStr">
        <is>
          <t>Articulado</t>
        </is>
      </c>
      <c r="Z2004" s="2" t="inlineStr">
        <is>
          <t>Aditamento (Números e Alíneas)</t>
        </is>
      </c>
      <c r="AA2004" s="2" t="inlineStr">
        <is>
          <t>Rejeitado(a) em Comissão</t>
        </is>
      </c>
      <c r="AB2004" s="2" t="inlineStr"/>
      <c r="AC2004" s="2" t="inlineStr">
        <is>
          <t>2</t>
        </is>
      </c>
      <c r="AD2004" s="2" t="inlineStr">
        <is>
          <t>1</t>
        </is>
      </c>
      <c r="AE2004" s="2" t="inlineStr">
        <is>
          <t>25383</t>
        </is>
      </c>
      <c r="AF2004" s="2" t="inlineStr">
        <is>
          <t>https://www.parlamento.pt/OrcamentoEstado/Paginas/DetalhePropostaAlteracao.aspx?BID=25383</t>
        </is>
      </c>
      <c r="AG2004" s="2" t="inlineStr">
        <is>
          <t>https://app.parlamento.pt/webutils/docs/doc.pdf?path=6148523063484d364c793942556b356c6443397a6158526c63793959566b6c4a544556484c3039464c7a49774d6a59794d4449314d5441774f533951515338334d57497a4e6d597a4e4330354f4445334c545269596a6b74596d51335a53307a5a544d334d7a49794d474e695a5451756347526d&amp;Fich=71b36f34-9817-4bb9-bd7e-3e373220cbe4.pdf&amp;Inline=true</t>
        </is>
      </c>
      <c r="AH2004" s="3" t="n">
        <v>46321.77847222222</v>
      </c>
      <c r="AI2004" s="3" t="n">
        <v>46321.78055555555</v>
      </c>
      <c r="AJ2004" s="2" t="inlineStr"/>
    </row>
    <row r="2005">
      <c r="A2005" s="2" t="n">
        <v>2004</v>
      </c>
      <c r="B2005" s="2" t="inlineStr">
        <is>
          <t>1897C</t>
        </is>
      </c>
      <c r="C2005" s="3" t="n">
        <v>45968.73333333333</v>
      </c>
      <c r="D2005" s="2" t="inlineStr">
        <is>
          <t>Original</t>
        </is>
      </c>
      <c r="E2005" s="2" t="inlineStr">
        <is>
          <t>PCP</t>
        </is>
      </c>
      <c r="F2005" s="2" t="inlineStr">
        <is>
          <t>Alfredo Maia; Paula Santos; Paulo Raimundo</t>
        </is>
      </c>
      <c r="G2005" s="2" t="inlineStr">
        <is>
          <t>Art. 118.º-A (aditamento)</t>
        </is>
      </c>
      <c r="H2005" s="2" t="n"/>
      <c r="I2005" s="2" t="n"/>
      <c r="J2005" s="2" t="n"/>
      <c r="K2005" s="2" t="n"/>
      <c r="L2005" s="2" t="inlineStr">
        <is>
          <t>Artigo 118.º-A (Acesso gratuito a espetáculos dos Teatros Nacionais e organismos do OPART)</t>
        </is>
      </c>
      <c r="M2005" s="4" t="n"/>
      <c r="N2005" s="4" t="n"/>
      <c r="O2005" s="2" t="n"/>
      <c r="P2005" s="2" t="n"/>
      <c r="Q2005" s="2" t="n"/>
      <c r="R2005" s="2" t="n"/>
      <c r="S2005" s="2" t="inlineStr">
        <is>
          <t>Rejeitado(a) em Comissão</t>
        </is>
      </c>
      <c r="T2005" s="2" t="inlineStr">
        <is>
          <t>Rejeitada</t>
        </is>
      </c>
      <c r="U2005" s="2" t="inlineStr">
        <is>
          <t>Favor: L, PCP, BE, PAN; Contra: PSD, IL, CDS-PP; Abstenção: CH, PS</t>
        </is>
      </c>
      <c r="V2005" s="3" t="n">
        <v>45985</v>
      </c>
      <c r="W2005" s="2" t="inlineStr">
        <is>
          <t>AR: https://www.parlamento.pt/OrcamentoEstado/Paginas/DetalhePropostaAlteracao.aspx?BID=25150 PDF: https://app.parlamento.pt/webutils/docs/doc.pdf?path=6148523063484d364c793942556b356c6443397a6158526c63793959566b6c4a544556484c3039464c7a49774d6a59794d4449314d5441774f533951515338794d546c6a4e5467784f4331684e7a55334c54526c597a5974596d55305a53307a4d5446685a6d5a685a6d51305a6d55756347526d&amp;Fich=219c5818-a757-4ec6-be4e-311affafd4fe.pdf&amp;Inline=true</t>
        </is>
      </c>
      <c r="X2005" s="2" t="inlineStr">
        <is>
          <t>Cultura, Comunicação, Juventude e Desporto</t>
        </is>
      </c>
      <c r="Y2005" s="2" t="inlineStr">
        <is>
          <t>Articulado</t>
        </is>
      </c>
      <c r="Z2005" s="2" t="inlineStr">
        <is>
          <t>Aditamento (Artigo PPL)</t>
        </is>
      </c>
      <c r="AA2005" s="2" t="inlineStr">
        <is>
          <t>Rejeitado(a) em Comissão</t>
        </is>
      </c>
      <c r="AB2005" s="2" t="inlineStr"/>
      <c r="AC2005" s="2" t="inlineStr"/>
      <c r="AD2005" s="2" t="inlineStr">
        <is>
          <t>1</t>
        </is>
      </c>
      <c r="AE2005" s="2" t="inlineStr">
        <is>
          <t>25150</t>
        </is>
      </c>
      <c r="AF2005" s="2" t="inlineStr">
        <is>
          <t>https://www.parlamento.pt/OrcamentoEstado/Paginas/DetalhePropostaAlteracao.aspx?BID=25150</t>
        </is>
      </c>
      <c r="AG2005" s="2" t="inlineStr">
        <is>
          <t>https://app.parlamento.pt/webutils/docs/doc.pdf?path=6148523063484d364c793942556b356c6443397a6158526c63793959566b6c4a544556484c3039464c7a49774d6a59794d4449314d5441774f533951515338794d546c6a4e5467784f4331684e7a55334c54526c597a5974596d55305a53307a4d5446685a6d5a685a6d51305a6d55756347526d&amp;Fich=219c5818-a757-4ec6-be4e-311affafd4fe.pdf&amp;Inline=true</t>
        </is>
      </c>
      <c r="AH2005" s="3" t="n">
        <v>46321.77847222222</v>
      </c>
      <c r="AI2005" s="3" t="n">
        <v>46321.78055555555</v>
      </c>
      <c r="AJ2005" s="2" t="inlineStr"/>
    </row>
    <row r="2006">
      <c r="A2006" s="2" t="n">
        <v>2005</v>
      </c>
      <c r="B2006" s="2" t="inlineStr">
        <is>
          <t>1898C</t>
        </is>
      </c>
      <c r="C2006" s="3" t="n">
        <v>45968.73333333333</v>
      </c>
      <c r="D2006" s="2" t="inlineStr">
        <is>
          <t>Original</t>
        </is>
      </c>
      <c r="E2006" s="2" t="inlineStr">
        <is>
          <t>L</t>
        </is>
      </c>
      <c r="F2006" s="2" t="inlineStr">
        <is>
          <t>Filipa Pinto; Isabel Mendes Lopes; Jorge Pinto; Patrícia Gonçalves; Paulo Muacho; Rui Tavares</t>
        </is>
      </c>
      <c r="G2006" s="2" t="inlineStr">
        <is>
          <t>Art. 112.º-A (aditamento)</t>
        </is>
      </c>
      <c r="H2006" s="2" t="n"/>
      <c r="I2006" s="2" t="n"/>
      <c r="J2006" s="2" t="n"/>
      <c r="K2006" s="2" t="n"/>
      <c r="L2006" s="2" t="inlineStr">
        <is>
          <t>Artigo 112.º-A (Alarga os critérios de atribuição do Apoio Extraordinário à Renda)</t>
        </is>
      </c>
      <c r="M2006" s="4" t="n"/>
      <c r="N2006" s="4" t="n"/>
      <c r="O2006" s="2" t="n"/>
      <c r="P2006" s="2" t="n"/>
      <c r="Q2006" s="2" t="n"/>
      <c r="R2006" s="2" t="n"/>
      <c r="S2006" s="2" t="inlineStr">
        <is>
          <t>Rejeitado(a) em Comissão</t>
        </is>
      </c>
      <c r="T2006" s="2" t="inlineStr">
        <is>
          <t>Rejeitada</t>
        </is>
      </c>
      <c r="U2006" s="2" t="inlineStr">
        <is>
          <t>Favor: L, PCP, BE, PAN; Contra: PSD, IL, CDS-PP; Abstenção: CH, PS</t>
        </is>
      </c>
      <c r="V2006" s="3" t="n">
        <v>45982</v>
      </c>
      <c r="W2006" s="2" t="inlineStr">
        <is>
          <t>AR: https://www.parlamento.pt/OrcamentoEstado/Paginas/DetalhePropostaAlteracao.aspx?BID=25151 PDF: https://app.parlamento.pt/webutils/docs/doc.pdf?path=6148523063484d364c793942556b356c6443397a6158526c63793959566b6c4a544556484c3039464c7a49774d6a59794d4449314d5441774f533951515338784e5445324d6a45314d43316c4e4452684c5451334e7a4d74596a466b4e53316b4e6d51344f446b7a595749344d474d756347526d&amp;Fich=15162150-e44a-4773-b1d5-d6d8893ab80c.pdf&amp;Inline=true</t>
        </is>
      </c>
      <c r="X2006" s="2" t="inlineStr">
        <is>
          <t>Infraestruturas, Mobilidade e Habitação</t>
        </is>
      </c>
      <c r="Y2006" s="2" t="inlineStr">
        <is>
          <t>Articulado</t>
        </is>
      </c>
      <c r="Z2006" s="2" t="inlineStr">
        <is>
          <t>Aditamento (Artigo PPL)</t>
        </is>
      </c>
      <c r="AA2006" s="2" t="inlineStr">
        <is>
          <t>Rejeitado(a) em Comissão</t>
        </is>
      </c>
      <c r="AB2006" s="2" t="inlineStr"/>
      <c r="AC2006" s="2" t="inlineStr"/>
      <c r="AD2006" s="2" t="inlineStr">
        <is>
          <t>1</t>
        </is>
      </c>
      <c r="AE2006" s="2" t="inlineStr">
        <is>
          <t>25151</t>
        </is>
      </c>
      <c r="AF2006" s="2" t="inlineStr">
        <is>
          <t>https://www.parlamento.pt/OrcamentoEstado/Paginas/DetalhePropostaAlteracao.aspx?BID=25151</t>
        </is>
      </c>
      <c r="AG2006" s="2" t="inlineStr">
        <is>
          <t>https://app.parlamento.pt/webutils/docs/doc.pdf?path=6148523063484d364c793942556b356c6443397a6158526c63793959566b6c4a544556484c3039464c7a49774d6a59794d4449314d5441774f533951515338784e5445324d6a45314d43316c4e4452684c5451334e7a4d74596a466b4e53316b4e6d51344f446b7a595749344d474d756347526d&amp;Fich=15162150-e44a-4773-b1d5-d6d8893ab80c.pdf&amp;Inline=true</t>
        </is>
      </c>
      <c r="AH2006" s="3" t="n">
        <v>46321.77847222222</v>
      </c>
      <c r="AI2006" s="3" t="n">
        <v>46321.78055555555</v>
      </c>
      <c r="AJ2006" s="2" t="inlineStr"/>
    </row>
    <row r="2007">
      <c r="A2007" s="2" t="n">
        <v>2006</v>
      </c>
      <c r="B2007" s="2" t="inlineStr">
        <is>
          <t>1899C</t>
        </is>
      </c>
      <c r="C2007" s="3" t="n">
        <v>45968.73402777778</v>
      </c>
      <c r="D2007" s="2" t="inlineStr">
        <is>
          <t>Original</t>
        </is>
      </c>
      <c r="E2007" s="2" t="inlineStr">
        <is>
          <t>PCP</t>
        </is>
      </c>
      <c r="F2007" s="2" t="inlineStr">
        <is>
          <t>Alfredo Maia; Paula Santos; Paulo Raimundo</t>
        </is>
      </c>
      <c r="G2007" s="2" t="inlineStr">
        <is>
          <t>Art. 118.º-A (aditamento)</t>
        </is>
      </c>
      <c r="H2007" s="2" t="n"/>
      <c r="I2007" s="2" t="n"/>
      <c r="J2007" s="2" t="n"/>
      <c r="K2007" s="2" t="n"/>
      <c r="L2007" s="2" t="inlineStr">
        <is>
          <t>Artigo 118.º-A (Alargamento da gratuitidade da entrada nos museus, palácios e monumentos nacionais)</t>
        </is>
      </c>
      <c r="M2007" s="4" t="n"/>
      <c r="N2007" s="4" t="n"/>
      <c r="O2007" s="2" t="n"/>
      <c r="P2007" s="2" t="n"/>
      <c r="Q2007" s="2" t="n"/>
      <c r="R2007" s="2" t="n"/>
      <c r="S2007" s="2" t="inlineStr">
        <is>
          <t>Rejeitado(a) em Comissão</t>
        </is>
      </c>
      <c r="T2007" s="2" t="inlineStr">
        <is>
          <t>Rejeitada</t>
        </is>
      </c>
      <c r="U2007" s="2" t="inlineStr">
        <is>
          <t>Favor: L, PCP, BE, PAN; Contra: PSD, IL, CDS-PP; Abstenção: CH, PS</t>
        </is>
      </c>
      <c r="V2007" s="3" t="n">
        <v>45985</v>
      </c>
      <c r="W2007" s="2" t="inlineStr">
        <is>
          <t>AR: https://www.parlamento.pt/OrcamentoEstado/Paginas/DetalhePropostaAlteracao.aspx?BID=25152 PDF: https://app.parlamento.pt/webutils/docs/doc.pdf?path=6148523063484d364c793942556b356c6443397a6158526c63793959566b6c4a544556484c3039464c7a49774d6a59794d4449314d5441774f533951515338325a5745324e7a45344f5330304d44497a4c54526b4d7a6b744f5749344e4330325a5446694e6a646d4f5749334e7a41756347526d&amp;Fich=6ea67189-4023-4d39-9b84-6e1b67f9b770.pdf&amp;Inline=true</t>
        </is>
      </c>
      <c r="X2007" s="2" t="inlineStr">
        <is>
          <t>Cultura, Comunicação, Juventude e Desporto</t>
        </is>
      </c>
      <c r="Y2007" s="2" t="inlineStr">
        <is>
          <t>Articulado</t>
        </is>
      </c>
      <c r="Z2007" s="2" t="inlineStr">
        <is>
          <t>Aditamento (Artigo PPL)</t>
        </is>
      </c>
      <c r="AA2007" s="2" t="inlineStr">
        <is>
          <t>Rejeitado(a) em Comissão</t>
        </is>
      </c>
      <c r="AB2007" s="2" t="inlineStr"/>
      <c r="AC2007" s="2" t="inlineStr"/>
      <c r="AD2007" s="2" t="inlineStr">
        <is>
          <t>1</t>
        </is>
      </c>
      <c r="AE2007" s="2" t="inlineStr">
        <is>
          <t>25152</t>
        </is>
      </c>
      <c r="AF2007" s="2" t="inlineStr">
        <is>
          <t>https://www.parlamento.pt/OrcamentoEstado/Paginas/DetalhePropostaAlteracao.aspx?BID=25152</t>
        </is>
      </c>
      <c r="AG2007" s="2" t="inlineStr">
        <is>
          <t>https://app.parlamento.pt/webutils/docs/doc.pdf?path=6148523063484d364c793942556b356c6443397a6158526c63793959566b6c4a544556484c3039464c7a49774d6a59794d4449314d5441774f533951515338325a5745324e7a45344f5330304d44497a4c54526b4d7a6b744f5749344e4330325a5446694e6a646d4f5749334e7a41756347526d&amp;Fich=6ea67189-4023-4d39-9b84-6e1b67f9b770.pdf&amp;Inline=true</t>
        </is>
      </c>
      <c r="AH2007" s="3" t="n">
        <v>46321.77847222222</v>
      </c>
      <c r="AI2007" s="3" t="n">
        <v>46321.78055555555</v>
      </c>
      <c r="AJ2007" s="2" t="inlineStr"/>
    </row>
    <row r="2008">
      <c r="A2008" s="2" t="n">
        <v>2007</v>
      </c>
      <c r="B2008" s="2" t="inlineStr">
        <is>
          <t>1900C</t>
        </is>
      </c>
      <c r="C2008" s="3" t="n">
        <v>45968.73472222222</v>
      </c>
      <c r="D2008" s="2" t="inlineStr">
        <is>
          <t>Original</t>
        </is>
      </c>
      <c r="E2008" s="2" t="inlineStr">
        <is>
          <t>PCP</t>
        </is>
      </c>
      <c r="F2008" s="2" t="inlineStr">
        <is>
          <t>Alfredo Maia; Paula Santos; Paulo Raimundo</t>
        </is>
      </c>
      <c r="G2008" s="2" t="inlineStr">
        <is>
          <t>Art. 118.º-A (aditamento)</t>
        </is>
      </c>
      <c r="H2008" s="2" t="n"/>
      <c r="I2008" s="2" t="n"/>
      <c r="J2008" s="2" t="n"/>
      <c r="K2008" s="2" t="n"/>
      <c r="L2008" s="2" t="inlineStr">
        <is>
          <t>Artigo 118.º-A (Programa de apoio aos cineclubes)</t>
        </is>
      </c>
      <c r="M2008" s="4" t="n"/>
      <c r="N2008" s="4" t="n"/>
      <c r="O2008" s="2" t="n"/>
      <c r="P2008" s="2" t="n"/>
      <c r="Q2008" s="2" t="n"/>
      <c r="R2008" s="2" t="n"/>
      <c r="S2008" s="2" t="inlineStr">
        <is>
          <t>Rejeitado(a) em Comissão</t>
        </is>
      </c>
      <c r="T2008" s="2" t="inlineStr">
        <is>
          <t>Rejeitada</t>
        </is>
      </c>
      <c r="U2008" s="2" t="inlineStr">
        <is>
          <t>Favor: L, PCP, BE, PAN; Contra: PSD, CH, IL, CDS-PP; Abstenção: PS</t>
        </is>
      </c>
      <c r="V2008" s="3" t="n">
        <v>45985</v>
      </c>
      <c r="W2008" s="2" t="inlineStr">
        <is>
          <t>AR: https://www.parlamento.pt/OrcamentoEstado/Paginas/DetalhePropostaAlteracao.aspx?BID=25153 PDF: https://app.parlamento.pt/webutils/docs/doc.pdf?path=6148523063484d364c793942556b356c6443397a6158526c63793959566b6c4a544556484c3039464c7a49774d6a59794d4449314d5441774f5339515153396d4d47517a5a6a4131595330334d6d4d304c5451784d545174595445324d5330354d445a6b5a6a67314e325268596a59756347526d&amp;Fich=f0d3f05a-72c4-4114-a161-906df857dab6.pdf&amp;Inline=true</t>
        </is>
      </c>
      <c r="X2008" s="2" t="inlineStr">
        <is>
          <t>Cultura, Comunicação, Juventude e Desporto</t>
        </is>
      </c>
      <c r="Y2008" s="2" t="inlineStr">
        <is>
          <t>Articulado</t>
        </is>
      </c>
      <c r="Z2008" s="2" t="inlineStr">
        <is>
          <t>Aditamento (Artigo PPL)</t>
        </is>
      </c>
      <c r="AA2008" s="2" t="inlineStr">
        <is>
          <t>Rejeitado(a) em Comissão</t>
        </is>
      </c>
      <c r="AB2008" s="2" t="inlineStr"/>
      <c r="AC2008" s="2" t="inlineStr"/>
      <c r="AD2008" s="2" t="inlineStr">
        <is>
          <t>1</t>
        </is>
      </c>
      <c r="AE2008" s="2" t="inlineStr">
        <is>
          <t>25153</t>
        </is>
      </c>
      <c r="AF2008" s="2" t="inlineStr">
        <is>
          <t>https://www.parlamento.pt/OrcamentoEstado/Paginas/DetalhePropostaAlteracao.aspx?BID=25153</t>
        </is>
      </c>
      <c r="AG2008" s="2" t="inlineStr">
        <is>
          <t>https://app.parlamento.pt/webutils/docs/doc.pdf?path=6148523063484d364c793942556b356c6443397a6158526c63793959566b6c4a544556484c3039464c7a49774d6a59794d4449314d5441774f5339515153396d4d47517a5a6a4131595330334d6d4d304c5451784d545174595445324d5330354d445a6b5a6a67314e325268596a59756347526d&amp;Fich=f0d3f05a-72c4-4114-a161-906df857dab6.pdf&amp;Inline=true</t>
        </is>
      </c>
      <c r="AH2008" s="3" t="n">
        <v>46321.77847222222</v>
      </c>
      <c r="AI2008" s="3" t="n">
        <v>46321.78055555555</v>
      </c>
      <c r="AJ2008" s="2" t="inlineStr"/>
    </row>
    <row r="2009">
      <c r="A2009" s="2" t="n">
        <v>2008</v>
      </c>
      <c r="B2009" s="2" t="inlineStr">
        <is>
          <t>1901C</t>
        </is>
      </c>
      <c r="C2009" s="3" t="n">
        <v>45968.73472222222</v>
      </c>
      <c r="D2009" s="2" t="inlineStr">
        <is>
          <t>Original</t>
        </is>
      </c>
      <c r="E2009" s="2" t="inlineStr">
        <is>
          <t>Vários</t>
        </is>
      </c>
      <c r="F2009" s="2" t="inlineStr">
        <is>
          <t>Alberto Fonseca; Amílcar Almeida; Fernando Queiroga; Francisco Pimentel; Gonçalo Valente; Hugo Carneiro; Hugo Soares; João Pinho de Almeida; Paulo Núncio</t>
        </is>
      </c>
      <c r="G2009" s="2" t="inlineStr">
        <is>
          <t>Art. 137.º (aditamento)</t>
        </is>
      </c>
      <c r="H2009" s="2" t="n"/>
      <c r="I2009" s="2" t="n"/>
      <c r="J2009" s="2" t="n"/>
      <c r="K2009" s="2" t="n"/>
      <c r="L2009" s="2" t="inlineStr">
        <is>
          <t>N.º 4, Artigo 137.º</t>
        </is>
      </c>
      <c r="M2009" s="4" t="n"/>
      <c r="N2009" s="4" t="n"/>
      <c r="O2009" s="2" t="n"/>
      <c r="P2009" s="2" t="n"/>
      <c r="Q2009" s="2" t="n"/>
      <c r="R2009" s="2" t="n"/>
      <c r="S2009" s="2" t="inlineStr">
        <is>
          <t>Aprovado(a) em Plenário</t>
        </is>
      </c>
      <c r="T2009" s="2" t="inlineStr">
        <is>
          <t>Aprovada</t>
        </is>
      </c>
      <c r="U2009" s="2" t="inlineStr">
        <is>
          <t>Favor: PSD, CH, PS, IL, PCP, CDS-PP, BE, JPP; Abstenção: L, PAN</t>
        </is>
      </c>
      <c r="V2009" s="3" t="n">
        <v>45988</v>
      </c>
      <c r="W2009" s="2" t="inlineStr">
        <is>
          <t>Avocada a Plenário. AR: https://www.parlamento.pt/OrcamentoEstado/Paginas/DetalhePropostaAlteracao.aspx?BID=25154 PDF: https://app.parlamento.pt/webutils/docs/doc.pdf?path=6148523063484d364c793942556b356c6443397a6158526c63793959566b6c4a544556484c3039464c7a49774d6a59794d4449314d5441774f533951515338794d4463774e6a5134595331694d4749304c5452685a6a63744f5451774f5330344d5459795a5456694e7a49355a4441756347526d&amp;Fich=2070648a-b0b4-4af7-9409-8162e5b729d0.pdf&amp;Inline=true</t>
        </is>
      </c>
      <c r="X2009" s="2" t="inlineStr">
        <is>
          <t>Agricultura e Pescas</t>
        </is>
      </c>
      <c r="Y2009" s="2" t="inlineStr">
        <is>
          <t>Articulado</t>
        </is>
      </c>
      <c r="Z2009" s="2" t="inlineStr">
        <is>
          <t>Aditamento (Números e Alíneas)</t>
        </is>
      </c>
      <c r="AA2009" s="2" t="inlineStr">
        <is>
          <t>Aprovado(a) em Plenário</t>
        </is>
      </c>
      <c r="AB2009" s="2" t="inlineStr">
        <is>
          <t>S</t>
        </is>
      </c>
      <c r="AC2009" s="2" t="inlineStr"/>
      <c r="AD2009" s="2" t="inlineStr">
        <is>
          <t>2</t>
        </is>
      </c>
      <c r="AE2009" s="2" t="inlineStr">
        <is>
          <t>25154</t>
        </is>
      </c>
      <c r="AF2009" s="2" t="inlineStr">
        <is>
          <t>https://www.parlamento.pt/OrcamentoEstado/Paginas/DetalhePropostaAlteracao.aspx?BID=25154</t>
        </is>
      </c>
      <c r="AG2009" s="2" t="inlineStr">
        <is>
          <t>https://app.parlamento.pt/webutils/docs/doc.pdf?path=6148523063484d364c793942556b356c6443397a6158526c63793959566b6c4a544556484c3039464c7a49774d6a59794d4449314d5441774f533951515338794d4463774e6a5134595331694d4749304c5452685a6a63744f5451774f5330344d5459795a5456694e7a49355a4441756347526d&amp;Fich=2070648a-b0b4-4af7-9409-8162e5b729d0.pdf&amp;Inline=true</t>
        </is>
      </c>
      <c r="AH2009" s="3" t="n">
        <v>46321.77847222222</v>
      </c>
      <c r="AI2009" s="3" t="n">
        <v>46321.78055555555</v>
      </c>
      <c r="AJ2009" s="2" t="inlineStr"/>
    </row>
    <row r="2010">
      <c r="A2010" s="2" t="n">
        <v>2009</v>
      </c>
      <c r="B2010" s="2" t="inlineStr">
        <is>
          <t>1902C</t>
        </is>
      </c>
      <c r="C2010" s="3" t="n">
        <v>45968.73472222222</v>
      </c>
      <c r="D2010" s="2" t="inlineStr">
        <is>
          <t>Original</t>
        </is>
      </c>
      <c r="E2010" s="2" t="inlineStr">
        <is>
          <t>Vários</t>
        </is>
      </c>
      <c r="F2010" s="2" t="inlineStr">
        <is>
          <t>Alberto Fonseca; Francisco Pimentel; Hugo Carneiro; Hugo Soares; João Pinho de Almeida; Paulo Núncio</t>
        </is>
      </c>
      <c r="G2010" s="2" t="inlineStr">
        <is>
          <t>Art. 70.º-A (aditamento)</t>
        </is>
      </c>
      <c r="H2010" s="2" t="n"/>
      <c r="I2010" s="2" t="n"/>
      <c r="J2010" s="2" t="n"/>
      <c r="K2010" s="2" t="n"/>
      <c r="L2010" s="2" t="inlineStr">
        <is>
          <t>Artigo 70.º-A (Estudo sobre a tributação de pensões obtidas por novos residentes)</t>
        </is>
      </c>
      <c r="M2010" s="4" t="n"/>
      <c r="N2010" s="4" t="n"/>
      <c r="O2010" s="2" t="n"/>
      <c r="P2010" s="2" t="n"/>
      <c r="Q2010" s="2" t="n"/>
      <c r="R2010" s="2" t="n"/>
      <c r="S2010" s="2" t="inlineStr">
        <is>
          <t>Aprovado(a) em Plenário</t>
        </is>
      </c>
      <c r="T2010" s="2" t="inlineStr">
        <is>
          <t>Aprovada</t>
        </is>
      </c>
      <c r="U2010" s="2" t="inlineStr">
        <is>
          <t>Favor: PSD, CH, L, CDS-PP, PAN, JPP; Contra: IL, PCP, BE; Abstenção: PS</t>
        </is>
      </c>
      <c r="V2010" s="3" t="n">
        <v>45985</v>
      </c>
      <c r="W2010" s="2" t="inlineStr">
        <is>
          <t>Avocada a Plenário. AR: https://www.parlamento.pt/OrcamentoEstado/Paginas/DetalhePropostaAlteracao.aspx?BID=25155 PDF: https://app.parlamento.pt/webutils/docs/doc.pdf?path=6148523063484d364c793942556b356c6443397a6158526c63793959566b6c4a544556484c3039464c7a49774d6a59794d4449314d5441774f533951515338314d32457a5a4463334d7930304d3245354c5451334e544d74596d593259533169597a6c6a5a6a4e684d3259334d7a45756347526d&amp;Fich=53a3d773-43a9-4753-bf6a-bc9cf3a3f731.pdf&amp;Inline=true</t>
        </is>
      </c>
      <c r="X2010" s="2" t="inlineStr">
        <is>
          <t>Orçamento, Finanças e Administração Pública</t>
        </is>
      </c>
      <c r="Y2010" s="2" t="inlineStr">
        <is>
          <t>Articulado</t>
        </is>
      </c>
      <c r="Z2010" s="2" t="inlineStr">
        <is>
          <t>Aditamento (Artigo PPL)</t>
        </is>
      </c>
      <c r="AA2010" s="2" t="inlineStr">
        <is>
          <t>Aprovado(a) em Plenário</t>
        </is>
      </c>
      <c r="AB2010" s="2" t="inlineStr">
        <is>
          <t>S</t>
        </is>
      </c>
      <c r="AC2010" s="2" t="inlineStr"/>
      <c r="AD2010" s="2" t="inlineStr">
        <is>
          <t>2</t>
        </is>
      </c>
      <c r="AE2010" s="2" t="inlineStr">
        <is>
          <t>25155</t>
        </is>
      </c>
      <c r="AF2010" s="2" t="inlineStr">
        <is>
          <t>https://www.parlamento.pt/OrcamentoEstado/Paginas/DetalhePropostaAlteracao.aspx?BID=25155</t>
        </is>
      </c>
      <c r="AG2010" s="2" t="inlineStr">
        <is>
          <t>https://app.parlamento.pt/webutils/docs/doc.pdf?path=6148523063484d364c793942556b356c6443397a6158526c63793959566b6c4a544556484c3039464c7a49774d6a59794d4449314d5441774f533951515338314d32457a5a4463334d7930304d3245354c5451334e544d74596d593259533169597a6c6a5a6a4e684d3259334d7a45756347526d&amp;Fich=53a3d773-43a9-4753-bf6a-bc9cf3a3f731.pdf&amp;Inline=true</t>
        </is>
      </c>
      <c r="AH2010" s="3" t="n">
        <v>46321.77847222222</v>
      </c>
      <c r="AI2010" s="3" t="n">
        <v>46321.78055555555</v>
      </c>
      <c r="AJ2010" s="2" t="inlineStr"/>
    </row>
    <row r="2011">
      <c r="A2011" s="2" t="n">
        <v>2010</v>
      </c>
      <c r="B2011" s="2" t="inlineStr">
        <is>
          <t>1903C</t>
        </is>
      </c>
      <c r="C2011" s="3" t="n">
        <v>45968.73472222222</v>
      </c>
      <c r="D2011" s="2" t="inlineStr">
        <is>
          <t>Original</t>
        </is>
      </c>
      <c r="E2011" s="2" t="inlineStr">
        <is>
          <t>L</t>
        </is>
      </c>
      <c r="F2011" s="2" t="inlineStr">
        <is>
          <t>Filipa Pinto; Isabel Mendes Lopes; Jorge Pinto; Patrícia Gonçalves; Paulo Muacho; Rui Tavares</t>
        </is>
      </c>
      <c r="G2011" s="2" t="inlineStr">
        <is>
          <t>Art. 118.º-A (aditamento)</t>
        </is>
      </c>
      <c r="H2011" s="2" t="n"/>
      <c r="I2011" s="2" t="n"/>
      <c r="J2011" s="2" t="n"/>
      <c r="K2011" s="2" t="n"/>
      <c r="L2011" s="2" t="inlineStr">
        <is>
          <t>Artigo 118.º-A (Atualização valores contratos cooperação para instituições de ensino especial)</t>
        </is>
      </c>
      <c r="M2011" s="4" t="n"/>
      <c r="N2011" s="4" t="n"/>
      <c r="O2011" s="2" t="n"/>
      <c r="P2011" s="2" t="n"/>
      <c r="Q2011" s="2" t="n"/>
      <c r="R2011" s="2" t="n"/>
      <c r="S2011" s="2" t="inlineStr">
        <is>
          <t>Rejeitado(a) em Comissão</t>
        </is>
      </c>
      <c r="T2011" s="2" t="inlineStr">
        <is>
          <t>Rejeitada</t>
        </is>
      </c>
      <c r="U2011" s="2" t="inlineStr">
        <is>
          <t>Favor: CH, IL, L, PCP, BE, PAN; Contra: PSD, CDS-PP; Abstenção: PS</t>
        </is>
      </c>
      <c r="V2011" s="3" t="n">
        <v>45985</v>
      </c>
      <c r="W2011" s="2" t="inlineStr">
        <is>
          <t>AR: https://www.parlamento.pt/OrcamentoEstado/Paginas/DetalhePropostaAlteracao.aspx?BID=25156 PDF: https://app.parlamento.pt/webutils/docs/doc.pdf?path=6148523063484d364c793942556b356c6443397a6158526c63793959566b6c4a544556484c3039464c7a49774d6a59794d4449314d5441774f533951515338315932526c5a44686a4e6930774d44686d4c5452694e5745744f5441794d6930344e444977597a63794e575177596a4d756347526d&amp;Fich=5cded8c6-008f-4b5a-9022-8420c725d0b3.pdf&amp;Inline=true</t>
        </is>
      </c>
      <c r="X2011" s="2" t="inlineStr">
        <is>
          <t>Educação e Ciência</t>
        </is>
      </c>
      <c r="Y2011" s="2" t="inlineStr">
        <is>
          <t>Articulado</t>
        </is>
      </c>
      <c r="Z2011" s="2" t="inlineStr">
        <is>
          <t>Aditamento (Artigo PPL)</t>
        </is>
      </c>
      <c r="AA2011" s="2" t="inlineStr">
        <is>
          <t>Rejeitado(a) em Comissão</t>
        </is>
      </c>
      <c r="AB2011" s="2" t="inlineStr"/>
      <c r="AC2011" s="2" t="inlineStr"/>
      <c r="AD2011" s="2" t="inlineStr">
        <is>
          <t>1</t>
        </is>
      </c>
      <c r="AE2011" s="2" t="inlineStr">
        <is>
          <t>25156</t>
        </is>
      </c>
      <c r="AF2011" s="2" t="inlineStr">
        <is>
          <t>https://www.parlamento.pt/OrcamentoEstado/Paginas/DetalhePropostaAlteracao.aspx?BID=25156</t>
        </is>
      </c>
      <c r="AG2011" s="2" t="inlineStr">
        <is>
          <t>https://app.parlamento.pt/webutils/docs/doc.pdf?path=6148523063484d364c793942556b356c6443397a6158526c63793959566b6c4a544556484c3039464c7a49774d6a59794d4449314d5441774f533951515338315932526c5a44686a4e6930774d44686d4c5452694e5745744f5441794d6930344e444977597a63794e575177596a4d756347526d&amp;Fich=5cded8c6-008f-4b5a-9022-8420c725d0b3.pdf&amp;Inline=true</t>
        </is>
      </c>
      <c r="AH2011" s="3" t="n">
        <v>46321.77847222222</v>
      </c>
      <c r="AI2011" s="3" t="n">
        <v>46321.78055555555</v>
      </c>
      <c r="AJ2011" s="2" t="inlineStr"/>
    </row>
    <row r="2012">
      <c r="A2012" s="2" t="n">
        <v>2011</v>
      </c>
      <c r="B2012" s="2" t="inlineStr">
        <is>
          <t>1904C</t>
        </is>
      </c>
      <c r="C2012" s="3" t="n">
        <v>45968.73472222222</v>
      </c>
      <c r="D2012" s="2" t="inlineStr">
        <is>
          <t>Original</t>
        </is>
      </c>
      <c r="E2012" s="2" t="inlineStr">
        <is>
          <t>PCP</t>
        </is>
      </c>
      <c r="F2012" s="2" t="inlineStr">
        <is>
          <t>Alfredo Maia; Paula Santos; Paulo Raimundo</t>
        </is>
      </c>
      <c r="G2012" s="2" t="inlineStr">
        <is>
          <t>Art. 118.º-A (aditamento)</t>
        </is>
      </c>
      <c r="H2012" s="2" t="n"/>
      <c r="I2012" s="2" t="n"/>
      <c r="J2012" s="2" t="n"/>
      <c r="K2012" s="2" t="n"/>
      <c r="L2012" s="2" t="inlineStr">
        <is>
          <t>Artigo 118.º-A (Atualização e modernização da base de dados digital do património cultural)</t>
        </is>
      </c>
      <c r="M2012" s="4" t="n"/>
      <c r="N2012" s="4" t="n"/>
      <c r="O2012" s="2" t="n"/>
      <c r="P2012" s="2" t="n"/>
      <c r="Q2012" s="2" t="n"/>
      <c r="R2012" s="2" t="n"/>
      <c r="S2012" s="2" t="inlineStr">
        <is>
          <t>Aprovado(a) em Comissão</t>
        </is>
      </c>
      <c r="T2012" s="2" t="inlineStr">
        <is>
          <t>Aprovada</t>
        </is>
      </c>
      <c r="U2012" s="2" t="inlineStr">
        <is>
          <t>Favor: CH, PS, IL, L, PCP, BE, PAN; Contra: PSD, CDS-PP</t>
        </is>
      </c>
      <c r="V2012" s="3" t="n">
        <v>45985</v>
      </c>
      <c r="W2012" s="2" t="inlineStr">
        <is>
          <t>AR: https://www.parlamento.pt/OrcamentoEstado/Paginas/DetalhePropostaAlteracao.aspx?BID=25157 PDF: https://app.parlamento.pt/webutils/docs/doc.pdf?path=6148523063484d364c793942556b356c6443397a6158526c63793959566b6c4a544556484c3039464c7a49774d6a59794d4449314d5441774f533951515338334d7a426a4e6d526d4d69316d59324d324c5451314d6d4d74596d466c5a693032597a46694e7a4e695a5442684d5449756347526d&amp;Fich=730c6df2-fcc6-452c-baef-6c1b73be0a12.pdf&amp;Inline=true</t>
        </is>
      </c>
      <c r="X2012" s="2" t="inlineStr">
        <is>
          <t>Cultura, Comunicação, Juventude e Desporto</t>
        </is>
      </c>
      <c r="Y2012" s="2" t="inlineStr">
        <is>
          <t>Articulado</t>
        </is>
      </c>
      <c r="Z2012" s="2" t="inlineStr">
        <is>
          <t>Aditamento (Artigo PPL)</t>
        </is>
      </c>
      <c r="AA2012" s="2" t="inlineStr">
        <is>
          <t>Aprovado(a) em Comissão</t>
        </is>
      </c>
      <c r="AB2012" s="2" t="inlineStr"/>
      <c r="AC2012" s="2" t="inlineStr"/>
      <c r="AD2012" s="2" t="inlineStr">
        <is>
          <t>1</t>
        </is>
      </c>
      <c r="AE2012" s="2" t="inlineStr">
        <is>
          <t>25157</t>
        </is>
      </c>
      <c r="AF2012" s="2" t="inlineStr">
        <is>
          <t>https://www.parlamento.pt/OrcamentoEstado/Paginas/DetalhePropostaAlteracao.aspx?BID=25157</t>
        </is>
      </c>
      <c r="AG2012" s="2" t="inlineStr">
        <is>
          <t>https://app.parlamento.pt/webutils/docs/doc.pdf?path=6148523063484d364c793942556b356c6443397a6158526c63793959566b6c4a544556484c3039464c7a49774d6a59794d4449314d5441774f533951515338334d7a426a4e6d526d4d69316d59324d324c5451314d6d4d74596d466c5a693032597a46694e7a4e695a5442684d5449756347526d&amp;Fich=730c6df2-fcc6-452c-baef-6c1b73be0a12.pdf&amp;Inline=true</t>
        </is>
      </c>
      <c r="AH2012" s="3" t="n">
        <v>46321.77847222222</v>
      </c>
      <c r="AI2012" s="3" t="n">
        <v>46321.78055555555</v>
      </c>
      <c r="AJ2012" s="2" t="inlineStr"/>
    </row>
    <row r="2013">
      <c r="A2013" s="2" t="n">
        <v>2012</v>
      </c>
      <c r="B2013" s="2" t="inlineStr">
        <is>
          <t>1905C</t>
        </is>
      </c>
      <c r="C2013" s="3" t="n">
        <v>45968.73472222222</v>
      </c>
      <c r="D2013" s="2" t="inlineStr">
        <is>
          <t>Original</t>
        </is>
      </c>
      <c r="E2013" s="2" t="inlineStr">
        <is>
          <t>L</t>
        </is>
      </c>
      <c r="F2013" s="2" t="inlineStr">
        <is>
          <t>Filipa Pinto; Isabel Mendes Lopes; Jorge Pinto; Patrícia Gonçalves; Paulo Muacho; Rui Tavares</t>
        </is>
      </c>
      <c r="G2013" s="2" t="inlineStr">
        <is>
          <t>Art. 126.º-A (aditamento)</t>
        </is>
      </c>
      <c r="H2013" s="2" t="n"/>
      <c r="I2013" s="2" t="n"/>
      <c r="J2013" s="2" t="n"/>
      <c r="K2013" s="2" t="n"/>
      <c r="L2013" s="2" t="inlineStr">
        <is>
          <t>Artigo 126.º-A (Outras condições do Programa 3C - Casa, Conforto e Clima)</t>
        </is>
      </c>
      <c r="M2013" s="4" t="n"/>
      <c r="N2013" s="4" t="n"/>
      <c r="O2013" s="2" t="n"/>
      <c r="P2013" s="2" t="n"/>
      <c r="Q2013" s="2" t="n"/>
      <c r="R2013" s="2" t="n"/>
      <c r="S2013" s="2" t="inlineStr">
        <is>
          <t>Rejeitado(a) em Comissão</t>
        </is>
      </c>
      <c r="T2013" s="2" t="inlineStr">
        <is>
          <t>Rejeitada</t>
        </is>
      </c>
      <c r="U2013" s="2" t="inlineStr">
        <is>
          <t>Favor: L, PCP, BE, PAN; Contra: PSD, CH, IL, CDS-PP; Abstenção: PS</t>
        </is>
      </c>
      <c r="V2013" s="3" t="n">
        <v>45985</v>
      </c>
      <c r="W2013" s="2" t="inlineStr">
        <is>
          <t>AR: https://www.parlamento.pt/OrcamentoEstado/Paginas/DetalhePropostaAlteracao.aspx?BID=25158 PDF: https://app.parlamento.pt/webutils/docs/doc.pdf?path=6148523063484d364c793942556b356c6443397a6158526c63793959566b6c4a544556484c3039464c7a49774d6a59794d4449314d5441774f533951515338334e5467334d47566d4e53316b4d54426c4c5451354e7a497459544a6a4d533033593251344d4445314e6a51344d5455756347526d&amp;Fich=75870ef5-d10e-4972-a2c1-7cd801564815.pdf&amp;Inline=true</t>
        </is>
      </c>
      <c r="X2013" s="2" t="inlineStr">
        <is>
          <t>Ambiente e Energia; Infraestruturas, Mobilidade e Habitação</t>
        </is>
      </c>
      <c r="Y2013" s="2" t="inlineStr">
        <is>
          <t>Articulado</t>
        </is>
      </c>
      <c r="Z2013" s="2" t="inlineStr">
        <is>
          <t>Aditamento (Artigo PPL)</t>
        </is>
      </c>
      <c r="AA2013" s="2" t="inlineStr">
        <is>
          <t>Rejeitado(a) em Comissão</t>
        </is>
      </c>
      <c r="AB2013" s="2" t="inlineStr"/>
      <c r="AC2013" s="2" t="inlineStr"/>
      <c r="AD2013" s="2" t="inlineStr">
        <is>
          <t>1</t>
        </is>
      </c>
      <c r="AE2013" s="2" t="inlineStr">
        <is>
          <t>25158</t>
        </is>
      </c>
      <c r="AF2013" s="2" t="inlineStr">
        <is>
          <t>https://www.parlamento.pt/OrcamentoEstado/Paginas/DetalhePropostaAlteracao.aspx?BID=25158</t>
        </is>
      </c>
      <c r="AG2013" s="2" t="inlineStr">
        <is>
          <t>https://app.parlamento.pt/webutils/docs/doc.pdf?path=6148523063484d364c793942556b356c6443397a6158526c63793959566b6c4a544556484c3039464c7a49774d6a59794d4449314d5441774f533951515338334e5467334d47566d4e53316b4d54426c4c5451354e7a497459544a6a4d533033593251344d4445314e6a51344d5455756347526d&amp;Fich=75870ef5-d10e-4972-a2c1-7cd801564815.pdf&amp;Inline=true</t>
        </is>
      </c>
      <c r="AH2013" s="3" t="n">
        <v>46321.77847222222</v>
      </c>
      <c r="AI2013" s="3" t="n">
        <v>46321.78055555555</v>
      </c>
      <c r="AJ2013" s="2" t="inlineStr"/>
    </row>
    <row r="2014">
      <c r="A2014" s="2" t="n">
        <v>2013</v>
      </c>
      <c r="B2014" s="2" t="inlineStr">
        <is>
          <t>1906C</t>
        </is>
      </c>
      <c r="C2014" s="3" t="n">
        <v>45968.73541666667</v>
      </c>
      <c r="D2014" s="2" t="inlineStr">
        <is>
          <t>Original</t>
        </is>
      </c>
      <c r="E2014" s="2" t="inlineStr">
        <is>
          <t>PCP</t>
        </is>
      </c>
      <c r="F2014" s="2" t="inlineStr">
        <is>
          <t>Alfredo Maia; Paula Santos; Paulo Raimundo</t>
        </is>
      </c>
      <c r="G2014" s="2" t="inlineStr">
        <is>
          <t>Art. 118.º-A (aditamento)</t>
        </is>
      </c>
      <c r="H2014" s="2" t="n"/>
      <c r="I2014" s="2" t="n"/>
      <c r="J2014" s="2" t="n"/>
      <c r="K2014" s="2" t="n"/>
      <c r="L2014" s="2" t="inlineStr">
        <is>
          <t>Artigo 118.º-A (Biblioteca Pública de Partituras)</t>
        </is>
      </c>
      <c r="M2014" s="4" t="n"/>
      <c r="N2014" s="4" t="n"/>
      <c r="O2014" s="2" t="n"/>
      <c r="P2014" s="2" t="n"/>
      <c r="Q2014" s="2" t="n"/>
      <c r="R2014" s="2" t="n"/>
      <c r="S2014" s="2" t="inlineStr">
        <is>
          <t>Rejeitado(a) em Comissão</t>
        </is>
      </c>
      <c r="T2014" s="2" t="inlineStr">
        <is>
          <t>Rejeitada</t>
        </is>
      </c>
      <c r="U2014" s="2" t="inlineStr">
        <is>
          <t>Favor: PS, L, PCP, BE, PAN; Contra: PSD, CDS-PP; Abstenção: CH, IL</t>
        </is>
      </c>
      <c r="V2014" s="3" t="n">
        <v>45985</v>
      </c>
      <c r="W2014" s="2" t="inlineStr">
        <is>
          <t>AR: https://www.parlamento.pt/OrcamentoEstado/Paginas/DetalhePropostaAlteracao.aspx?BID=25159 PDF: https://app.parlamento.pt/webutils/docs/doc.pdf?path=6148523063484d364c793942556b356c6443397a6158526c63793959566b6c4a544556484c3039464c7a49774d6a59794d4449314d5441774f533951515338324e32526a5a4449314e43316c4d3245344c5452684d4755744f5459784d79316d4d6a5a6c5a546c6a5a444934597a49756347526d&amp;Fich=67dcd254-e3a8-4a0e-9613-f26ee9cd28c2.pdf&amp;Inline=true</t>
        </is>
      </c>
      <c r="X2014" s="2" t="inlineStr">
        <is>
          <t>Cultura, Comunicação, Juventude e Desporto</t>
        </is>
      </c>
      <c r="Y2014" s="2" t="inlineStr">
        <is>
          <t>Articulado</t>
        </is>
      </c>
      <c r="Z2014" s="2" t="inlineStr">
        <is>
          <t>Aditamento (Artigo PPL)</t>
        </is>
      </c>
      <c r="AA2014" s="2" t="inlineStr">
        <is>
          <t>Rejeitado(a) em Comissão</t>
        </is>
      </c>
      <c r="AB2014" s="2" t="inlineStr"/>
      <c r="AC2014" s="2" t="inlineStr"/>
      <c r="AD2014" s="2" t="inlineStr">
        <is>
          <t>1</t>
        </is>
      </c>
      <c r="AE2014" s="2" t="inlineStr">
        <is>
          <t>25159</t>
        </is>
      </c>
      <c r="AF2014" s="2" t="inlineStr">
        <is>
          <t>https://www.parlamento.pt/OrcamentoEstado/Paginas/DetalhePropostaAlteracao.aspx?BID=25159</t>
        </is>
      </c>
      <c r="AG2014" s="2" t="inlineStr">
        <is>
          <t>https://app.parlamento.pt/webutils/docs/doc.pdf?path=6148523063484d364c793942556b356c6443397a6158526c63793959566b6c4a544556484c3039464c7a49774d6a59794d4449314d5441774f533951515338324e32526a5a4449314e43316c4d3245344c5452684d4755744f5459784d79316d4d6a5a6c5a546c6a5a444934597a49756347526d&amp;Fich=67dcd254-e3a8-4a0e-9613-f26ee9cd28c2.pdf&amp;Inline=true</t>
        </is>
      </c>
      <c r="AH2014" s="3" t="n">
        <v>46321.77847222222</v>
      </c>
      <c r="AI2014" s="3" t="n">
        <v>46321.78055555555</v>
      </c>
      <c r="AJ2014" s="2" t="inlineStr"/>
    </row>
    <row r="2015">
      <c r="A2015" s="2" t="n">
        <v>2014</v>
      </c>
      <c r="B2015" s="2" t="inlineStr">
        <is>
          <t>1907C</t>
        </is>
      </c>
      <c r="C2015" s="3" t="n">
        <v>45968.73541666667</v>
      </c>
      <c r="D2015" s="2" t="inlineStr">
        <is>
          <t>Original</t>
        </is>
      </c>
      <c r="E2015" s="2" t="inlineStr">
        <is>
          <t>PAN</t>
        </is>
      </c>
      <c r="F2015" s="2" t="inlineStr">
        <is>
          <t>Inês de Sousa Real</t>
        </is>
      </c>
      <c r="G2015" s="2" t="inlineStr">
        <is>
          <t>Art. 117.º-A (aditamento)</t>
        </is>
      </c>
      <c r="H2015" s="2" t="n"/>
      <c r="I2015" s="2" t="n"/>
      <c r="J2015" s="2" t="n"/>
      <c r="K2015" s="2" t="n"/>
      <c r="L2015" s="2" t="inlineStr">
        <is>
          <t>Artigo 117.º-A (Despacho Normativo n.º 6/2018, de 12 de abril)</t>
        </is>
      </c>
      <c r="M2015" s="4" t="n"/>
      <c r="N2015" s="4" t="n"/>
      <c r="O2015" s="2" t="n"/>
      <c r="P2015" s="2" t="n"/>
      <c r="Q2015" s="2" t="n"/>
      <c r="R2015" s="2" t="n"/>
      <c r="S2015" s="2" t="inlineStr">
        <is>
          <t>Rejeitado(a) em Comissão</t>
        </is>
      </c>
      <c r="T2015" s="2" t="inlineStr">
        <is>
          <t>Rejeitada</t>
        </is>
      </c>
      <c r="U2015" s="2" t="inlineStr">
        <is>
          <t>Favor: CH, L, BE, PAN; Contra: PSD, PCP, CDS-PP; Abstenção: PS, IL</t>
        </is>
      </c>
      <c r="V2015" s="3" t="n">
        <v>45985</v>
      </c>
      <c r="W2015" s="2" t="inlineStr">
        <is>
          <t>AR: https://www.parlamento.pt/OrcamentoEstado/Paginas/DetalhePropostaAlteracao.aspx?BID=25160 PDF: https://app.parlamento.pt/webutils/docs/doc.pdf?path=6148523063484d364c793942556b356c6443397a6158526c63793959566b6c4a544556484c3039464c7a49774d6a59794d4449314d5441774f533951515338325a6d49314e6a5a695953316c596a41304c54526a595451744f444d334e4330775a5441304f446b795a6d51334f5749756347526d&amp;Fich=6fb566ba-eb04-4ca4-8374-0e04892fd79b.pdf&amp;Inline=true</t>
        </is>
      </c>
      <c r="X2015" s="2" t="inlineStr">
        <is>
          <t>Educação e Ciência</t>
        </is>
      </c>
      <c r="Y2015" s="2" t="inlineStr">
        <is>
          <t>Articulado</t>
        </is>
      </c>
      <c r="Z2015" s="2" t="inlineStr">
        <is>
          <t>Aditamento (Artigo PPL)</t>
        </is>
      </c>
      <c r="AA2015" s="2" t="inlineStr">
        <is>
          <t>Rejeitado(a) em Comissão</t>
        </is>
      </c>
      <c r="AB2015" s="2" t="inlineStr"/>
      <c r="AC2015" s="2" t="inlineStr"/>
      <c r="AD2015" s="2" t="inlineStr">
        <is>
          <t>1</t>
        </is>
      </c>
      <c r="AE2015" s="2" t="inlineStr">
        <is>
          <t>25160</t>
        </is>
      </c>
      <c r="AF2015" s="2" t="inlineStr">
        <is>
          <t>https://www.parlamento.pt/OrcamentoEstado/Paginas/DetalhePropostaAlteracao.aspx?BID=25160</t>
        </is>
      </c>
      <c r="AG2015" s="2" t="inlineStr">
        <is>
          <t>https://app.parlamento.pt/webutils/docs/doc.pdf?path=6148523063484d364c793942556b356c6443397a6158526c63793959566b6c4a544556484c3039464c7a49774d6a59794d4449314d5441774f533951515338325a6d49314e6a5a695953316c596a41304c54526a595451744f444d334e4330775a5441304f446b795a6d51334f5749756347526d&amp;Fich=6fb566ba-eb04-4ca4-8374-0e04892fd79b.pdf&amp;Inline=true</t>
        </is>
      </c>
      <c r="AH2015" s="3" t="n">
        <v>46321.77847222222</v>
      </c>
      <c r="AI2015" s="3" t="n">
        <v>46321.78055555555</v>
      </c>
      <c r="AJ2015" s="2" t="inlineStr"/>
    </row>
    <row r="2016">
      <c r="A2016" s="2" t="n">
        <v>2015</v>
      </c>
      <c r="B2016" s="2" t="inlineStr">
        <is>
          <t>1908C</t>
        </is>
      </c>
      <c r="C2016" s="3" t="n">
        <v>45968.73611111111</v>
      </c>
      <c r="D2016" s="2" t="inlineStr">
        <is>
          <t>Original</t>
        </is>
      </c>
      <c r="E2016" s="2" t="inlineStr">
        <is>
          <t>PCP</t>
        </is>
      </c>
      <c r="F2016" s="2" t="inlineStr">
        <is>
          <t>Alfredo Maia; Paula Santos; Paulo Raimundo</t>
        </is>
      </c>
      <c r="G2016" s="2" t="inlineStr">
        <is>
          <t>Art. 118.º-A (aditamento)</t>
        </is>
      </c>
      <c r="H2016" s="2" t="n"/>
      <c r="I2016" s="2" t="n"/>
      <c r="J2016" s="2" t="n"/>
      <c r="K2016" s="2" t="n"/>
      <c r="L2016" s="2" t="inlineStr">
        <is>
          <t>Artigo 118.º-A (Estratégia nacional de gestão e acomodação descentralizada dos espólios arqueológicos)</t>
        </is>
      </c>
      <c r="M2016" s="4" t="n"/>
      <c r="N2016" s="4" t="n"/>
      <c r="O2016" s="2" t="n"/>
      <c r="P2016" s="2" t="n"/>
      <c r="Q2016" s="2" t="n"/>
      <c r="R2016" s="2" t="n"/>
      <c r="S2016" s="2" t="inlineStr">
        <is>
          <t>Rejeitado(a) em Comissão</t>
        </is>
      </c>
      <c r="T2016" s="2" t="inlineStr">
        <is>
          <t>Rejeitada</t>
        </is>
      </c>
      <c r="U2016" s="2" t="inlineStr">
        <is>
          <t>Favor: L, PCP, BE, PAN; Contra: PSD, CDS-PP; Abstenção: CH, PS, IL</t>
        </is>
      </c>
      <c r="V2016" s="3" t="n">
        <v>45985</v>
      </c>
      <c r="W2016" s="2" t="inlineStr">
        <is>
          <t>AR: https://www.parlamento.pt/OrcamentoEstado/Paginas/DetalhePropostaAlteracao.aspx?BID=25161 PDF: https://app.parlamento.pt/webutils/docs/doc.pdf?path=6148523063484d364c793942556b356c6443397a6158526c63793959566b6c4a544556484c3039464c7a49774d6a59794d4449314d5441774f5339515153396a5a5755784e57466c4d4330334d6a67774c54526d5a4463744f4467314f4330334d6a5a6a4d446c6c4e474a6d4d4755756347526d&amp;Fich=cee15ae0-7280-4fd7-8858-726c09e4bf0e.pdf&amp;Inline=true</t>
        </is>
      </c>
      <c r="X2016" s="2" t="inlineStr">
        <is>
          <t>Cultura, Comunicação, Juventude e Desporto</t>
        </is>
      </c>
      <c r="Y2016" s="2" t="inlineStr">
        <is>
          <t>Articulado</t>
        </is>
      </c>
      <c r="Z2016" s="2" t="inlineStr">
        <is>
          <t>Aditamento (Artigo PPL)</t>
        </is>
      </c>
      <c r="AA2016" s="2" t="inlineStr">
        <is>
          <t>Rejeitado(a) em Comissão</t>
        </is>
      </c>
      <c r="AB2016" s="2" t="inlineStr"/>
      <c r="AC2016" s="2" t="inlineStr"/>
      <c r="AD2016" s="2" t="inlineStr">
        <is>
          <t>1</t>
        </is>
      </c>
      <c r="AE2016" s="2" t="inlineStr">
        <is>
          <t>25161</t>
        </is>
      </c>
      <c r="AF2016" s="2" t="inlineStr">
        <is>
          <t>https://www.parlamento.pt/OrcamentoEstado/Paginas/DetalhePropostaAlteracao.aspx?BID=25161</t>
        </is>
      </c>
      <c r="AG2016" s="2" t="inlineStr">
        <is>
          <t>https://app.parlamento.pt/webutils/docs/doc.pdf?path=6148523063484d364c793942556b356c6443397a6158526c63793959566b6c4a544556484c3039464c7a49774d6a59794d4449314d5441774f5339515153396a5a5755784e57466c4d4330334d6a67774c54526d5a4463744f4467314f4330334d6a5a6a4d446c6c4e474a6d4d4755756347526d&amp;Fich=cee15ae0-7280-4fd7-8858-726c09e4bf0e.pdf&amp;Inline=true</t>
        </is>
      </c>
      <c r="AH2016" s="3" t="n">
        <v>46321.77847222222</v>
      </c>
      <c r="AI2016" s="3" t="n">
        <v>46321.78055555555</v>
      </c>
      <c r="AJ2016" s="2" t="inlineStr"/>
    </row>
    <row r="2017">
      <c r="A2017" s="2" t="n">
        <v>2016</v>
      </c>
      <c r="B2017" s="2" t="inlineStr">
        <is>
          <t>1909C-1</t>
        </is>
      </c>
      <c r="C2017" s="3" t="n">
        <v>45968.73680555556</v>
      </c>
      <c r="D2017" s="2" t="inlineStr">
        <is>
          <t>Original</t>
        </is>
      </c>
      <c r="E2017" s="2" t="inlineStr">
        <is>
          <t>L</t>
        </is>
      </c>
      <c r="F2017" s="2" t="inlineStr">
        <is>
          <t>Filipa Pinto; Isabel Mendes Lopes; Jorge Pinto; Patrícia Gonçalves; Paulo Muacho; Rui Tavares</t>
        </is>
      </c>
      <c r="G2017" s="2" t="inlineStr">
        <is>
          <t>Art. 68.º (aditamento)</t>
        </is>
      </c>
      <c r="H2017" s="2" t="n"/>
      <c r="I2017" s="2" t="n"/>
      <c r="J2017" s="2" t="n"/>
      <c r="K2017" s="2" t="n"/>
      <c r="L2017" s="2" t="inlineStr">
        <is>
          <t>Novo N.º 2, Artigo 17.º do Código do IMT, constante do Artigo 68.º da PPL</t>
        </is>
      </c>
      <c r="M2017" s="4" t="n"/>
      <c r="N2017" s="4" t="n"/>
      <c r="O2017" s="2" t="n"/>
      <c r="P2017" s="2" t="n"/>
      <c r="Q2017" s="2" t="n"/>
      <c r="R2017" s="2" t="n"/>
      <c r="S2017" s="2" t="inlineStr">
        <is>
          <t>Rejeitado(a) em Comissão</t>
        </is>
      </c>
      <c r="T2017" s="2" t="inlineStr">
        <is>
          <t>Rejeitada</t>
        </is>
      </c>
      <c r="U2017" s="2" t="inlineStr">
        <is>
          <t>Favor: L, PCP, BE, PAN; Contra: PSD, CH, IL, CDS-PP; Abstenção: PS</t>
        </is>
      </c>
      <c r="V2017" s="3" t="n">
        <v>45982</v>
      </c>
      <c r="W2017" s="2" t="inlineStr">
        <is>
          <t>AR: https://www.parlamento.pt/OrcamentoEstado/Paginas/DetalhePropostaAlteracao.aspx?BID=25162 PDF: https://app.parlamento.pt/webutils/docs/doc.pdf?path=6148523063484d364c793942556b356c6443397a6158526c63793959566b6c4a544556484c3039464c7a49774d6a59794d4449314d5441774f533951515338334e475977596a4d775a43316c4d47517a4c54526b595467744f5756684f43307a5a4759354e6d4535596d51794e4751756347526d&amp;Fich=74f0b30d-e0d3-4da8-9ea8-3df96a9bd24d.pdf&amp;Inline=true</t>
        </is>
      </c>
      <c r="X2017" s="2" t="inlineStr">
        <is>
          <t>Infraestruturas, Mobilidade e Habitação</t>
        </is>
      </c>
      <c r="Y2017" s="2" t="inlineStr">
        <is>
          <t>Articulado</t>
        </is>
      </c>
      <c r="Z2017" s="2" t="inlineStr">
        <is>
          <t>Aditamento (Números e Alíneas)</t>
        </is>
      </c>
      <c r="AA2017" s="2" t="inlineStr">
        <is>
          <t>Rejeitado(a) em Comissão</t>
        </is>
      </c>
      <c r="AB2017" s="2" t="inlineStr"/>
      <c r="AC2017" s="2" t="inlineStr">
        <is>
          <t>1</t>
        </is>
      </c>
      <c r="AD2017" s="2" t="inlineStr">
        <is>
          <t>1</t>
        </is>
      </c>
      <c r="AE2017" s="2" t="inlineStr">
        <is>
          <t>25162</t>
        </is>
      </c>
      <c r="AF2017" s="2" t="inlineStr">
        <is>
          <t>https://www.parlamento.pt/OrcamentoEstado/Paginas/DetalhePropostaAlteracao.aspx?BID=25162</t>
        </is>
      </c>
      <c r="AG2017" s="2" t="inlineStr">
        <is>
          <t>https://app.parlamento.pt/webutils/docs/doc.pdf?path=6148523063484d364c793942556b356c6443397a6158526c63793959566b6c4a544556484c3039464c7a49774d6a59794d4449314d5441774f533951515338334e475977596a4d775a43316c4d47517a4c54526b595467744f5756684f43307a5a4759354e6d4535596d51794e4751756347526d&amp;Fich=74f0b30d-e0d3-4da8-9ea8-3df96a9bd24d.pdf&amp;Inline=true</t>
        </is>
      </c>
      <c r="AH2017" s="3" t="n">
        <v>46321.77847222222</v>
      </c>
      <c r="AI2017" s="3" t="n">
        <v>46321.78055555555</v>
      </c>
      <c r="AJ2017" s="2" t="inlineStr"/>
    </row>
    <row r="2018">
      <c r="A2018" s="2" t="n">
        <v>2017</v>
      </c>
      <c r="B2018" s="2" t="inlineStr">
        <is>
          <t>1909C-2</t>
        </is>
      </c>
      <c r="C2018" s="3" t="n">
        <v>45968.73680555556</v>
      </c>
      <c r="D2018" s="2" t="inlineStr">
        <is>
          <t>Original</t>
        </is>
      </c>
      <c r="E2018" s="2" t="inlineStr">
        <is>
          <t>L</t>
        </is>
      </c>
      <c r="F2018" s="2" t="inlineStr">
        <is>
          <t>Filipa Pinto; Isabel Mendes Lopes; Jorge Pinto; Patrícia Gonçalves; Paulo Muacho; Rui Tavares</t>
        </is>
      </c>
      <c r="G2018" s="2" t="inlineStr">
        <is>
          <t>Art. 68.º (substituição)</t>
        </is>
      </c>
      <c r="H2018" s="2" t="n"/>
      <c r="I2018" s="2" t="n"/>
      <c r="J2018" s="2" t="n"/>
      <c r="K2018" s="2" t="n"/>
      <c r="L2018" s="2" t="inlineStr">
        <is>
          <t>N.º 2, N.º 4, Artigo 17.º do Código do IMT, constante do Artigo 68.º da PPL</t>
        </is>
      </c>
      <c r="M2018" s="4" t="n"/>
      <c r="N2018" s="4" t="n"/>
      <c r="O2018" s="2" t="n"/>
      <c r="P2018" s="2" t="n"/>
      <c r="Q2018" s="2" t="n"/>
      <c r="R2018" s="2" t="n"/>
      <c r="S2018" s="2" t="inlineStr">
        <is>
          <t>Rejeitado(a) em Comissão</t>
        </is>
      </c>
      <c r="T2018" s="2" t="inlineStr">
        <is>
          <t>Rejeitada</t>
        </is>
      </c>
      <c r="U2018" s="2" t="inlineStr">
        <is>
          <t>Favor: L, PCP, BE, PAN; Contra: PSD, CH, IL, CDS-PP; Abstenção: PS</t>
        </is>
      </c>
      <c r="V2018" s="3" t="n">
        <v>45982</v>
      </c>
      <c r="W2018" s="2" t="inlineStr">
        <is>
          <t>AR: https://www.parlamento.pt/OrcamentoEstado/Paginas/DetalhePropostaAlteracao.aspx?BID=25350 PDF: https://app.parlamento.pt/webutils/docs/doc.pdf?path=6148523063484d364c793942556b356c6443397a6158526c63793959566b6c4a544556484c3039464c7a49774d6a59794d4449314d5441774f533951515339694e6d4d314f44646d4e7930784f474d344c5451784f4463744f5745324e43316b5a5749344e47466b597a466c4e6a63756347526d&amp;Fich=b6c587f7-18c8-4187-9a64-deb84adc1e67.pdf&amp;Inline=true</t>
        </is>
      </c>
      <c r="X2018" s="2" t="inlineStr">
        <is>
          <t>Infraestruturas, Mobilidade e Habitação</t>
        </is>
      </c>
      <c r="Y2018" s="2" t="inlineStr">
        <is>
          <t>Articulado</t>
        </is>
      </c>
      <c r="Z2018" s="2" t="inlineStr">
        <is>
          <t>Substituição</t>
        </is>
      </c>
      <c r="AA2018" s="2" t="inlineStr">
        <is>
          <t>Rejeitado(a) em Comissão</t>
        </is>
      </c>
      <c r="AB2018" s="2" t="inlineStr"/>
      <c r="AC2018" s="2" t="inlineStr">
        <is>
          <t>2</t>
        </is>
      </c>
      <c r="AD2018" s="2" t="inlineStr">
        <is>
          <t>1</t>
        </is>
      </c>
      <c r="AE2018" s="2" t="inlineStr">
        <is>
          <t>25350</t>
        </is>
      </c>
      <c r="AF2018" s="2" t="inlineStr">
        <is>
          <t>https://www.parlamento.pt/OrcamentoEstado/Paginas/DetalhePropostaAlteracao.aspx?BID=25350</t>
        </is>
      </c>
      <c r="AG2018" s="2" t="inlineStr">
        <is>
          <t>https://app.parlamento.pt/webutils/docs/doc.pdf?path=6148523063484d364c793942556b356c6443397a6158526c63793959566b6c4a544556484c3039464c7a49774d6a59794d4449314d5441774f533951515339694e6d4d314f44646d4e7930784f474d344c5451784f4463744f5745324e43316b5a5749344e47466b597a466c4e6a63756347526d&amp;Fich=b6c587f7-18c8-4187-9a64-deb84adc1e67.pdf&amp;Inline=true</t>
        </is>
      </c>
      <c r="AH2018" s="3" t="n">
        <v>46321.77847222222</v>
      </c>
      <c r="AI2018" s="3" t="n">
        <v>46321.78055555555</v>
      </c>
      <c r="AJ2018" s="2" t="inlineStr"/>
    </row>
    <row r="2019">
      <c r="A2019" s="2" t="n">
        <v>2018</v>
      </c>
      <c r="B2019" s="2" t="inlineStr">
        <is>
          <t>1910C</t>
        </is>
      </c>
      <c r="C2019" s="3" t="n">
        <v>45968.73680555556</v>
      </c>
      <c r="D2019" s="2" t="inlineStr">
        <is>
          <t>Original</t>
        </is>
      </c>
      <c r="E2019" s="2" t="inlineStr">
        <is>
          <t>PSD</t>
        </is>
      </c>
      <c r="F2019" s="2" t="inlineStr">
        <is>
          <t>Paulo Neves; Pedro Coelho; Vânia Jesus</t>
        </is>
      </c>
      <c r="G2019" s="2" t="inlineStr">
        <is>
          <t>Art. 110.º-A (aditamento)</t>
        </is>
      </c>
      <c r="H2019" s="2" t="n"/>
      <c r="I2019" s="2" t="n"/>
      <c r="J2019" s="2" t="n"/>
      <c r="K2019" s="2" t="n"/>
      <c r="L2019" s="2" t="inlineStr">
        <is>
          <t>Artigo 110.º-A (Suspensão dos artigos 16.º e 40.º da Lei das Finanças das Regiões Autónomas)</t>
        </is>
      </c>
      <c r="M2019" s="4" t="n"/>
      <c r="N2019" s="4" t="n"/>
      <c r="O2019" s="2" t="n"/>
      <c r="P2019" s="2" t="n"/>
      <c r="Q2019" s="2" t="n"/>
      <c r="R2019" s="2" t="n"/>
      <c r="S2019" s="2" t="inlineStr">
        <is>
          <t>Rejeitado(a) em Comissão</t>
        </is>
      </c>
      <c r="T2019" s="2" t="inlineStr">
        <is>
          <t>Rejeitada</t>
        </is>
      </c>
      <c r="U2019" s="2" t="inlineStr">
        <is>
          <t>Favor: PCP, BE, PAN, Pedro Coelho(PSD); Contra: PSD, IL, CDS-PP; Abstenção: CH, PS, L</t>
        </is>
      </c>
      <c r="V2019" s="3" t="n">
        <v>45982</v>
      </c>
      <c r="W2019" s="2" t="inlineStr">
        <is>
          <t>AR: https://www.parlamento.pt/OrcamentoEstado/Paginas/DetalhePropostaAlteracao.aspx?BID=25163 PDF: https://app.parlamento.pt/webutils/docs/doc.pdf?path=6148523063484d364c793942556b356c6443397a6158526c63793959566b6c4a544556484c3039464c7a49774d6a59794d4449314d5441774f5339515153387a5a54686b4d6d4a6d5979316b4d546c6a4c5451775a544d74596d4d31595330305954677a5a544a694e474d774e5745756347526d&amp;Fich=3e8d2bfc-d19c-40e3-bc5a-4a83e2b4c05a.pdf&amp;Inline=true</t>
        </is>
      </c>
      <c r="X2019" s="2" t="inlineStr">
        <is>
          <t>Orçamento, Finanças e Administração Pública</t>
        </is>
      </c>
      <c r="Y2019" s="2" t="inlineStr">
        <is>
          <t>Articulado</t>
        </is>
      </c>
      <c r="Z2019" s="2" t="inlineStr">
        <is>
          <t>Aditamento (Artigo PPL)</t>
        </is>
      </c>
      <c r="AA2019" s="2" t="inlineStr">
        <is>
          <t>Rejeitado(a) em Comissão</t>
        </is>
      </c>
      <c r="AB2019" s="2" t="inlineStr"/>
      <c r="AC2019" s="2" t="inlineStr"/>
      <c r="AD2019" s="2" t="inlineStr">
        <is>
          <t>1</t>
        </is>
      </c>
      <c r="AE2019" s="2" t="inlineStr">
        <is>
          <t>25163</t>
        </is>
      </c>
      <c r="AF2019" s="2" t="inlineStr">
        <is>
          <t>https://www.parlamento.pt/OrcamentoEstado/Paginas/DetalhePropostaAlteracao.aspx?BID=25163</t>
        </is>
      </c>
      <c r="AG2019" s="2" t="inlineStr">
        <is>
          <t>https://app.parlamento.pt/webutils/docs/doc.pdf?path=6148523063484d364c793942556b356c6443397a6158526c63793959566b6c4a544556484c3039464c7a49774d6a59794d4449314d5441774f5339515153387a5a54686b4d6d4a6d5979316b4d546c6a4c5451775a544d74596d4d31595330305954677a5a544a694e474d774e5745756347526d&amp;Fich=3e8d2bfc-d19c-40e3-bc5a-4a83e2b4c05a.pdf&amp;Inline=true</t>
        </is>
      </c>
      <c r="AH2019" s="3" t="n">
        <v>46321.77847222222</v>
      </c>
      <c r="AI2019" s="3" t="n">
        <v>46321.78055555555</v>
      </c>
      <c r="AJ2019" s="2" t="inlineStr"/>
    </row>
    <row r="2020">
      <c r="A2020" s="2" t="n">
        <v>2019</v>
      </c>
      <c r="B2020" s="2" t="inlineStr">
        <is>
          <t>1911C</t>
        </is>
      </c>
      <c r="C2020" s="3" t="n">
        <v>45968.73680555556</v>
      </c>
      <c r="D2020" s="2" t="inlineStr">
        <is>
          <t>Original</t>
        </is>
      </c>
      <c r="E2020" s="2" t="inlineStr">
        <is>
          <t>PCP</t>
        </is>
      </c>
      <c r="F2020" s="2" t="inlineStr">
        <is>
          <t>Alfredo Maia; Paula Santos; Paulo Raimundo</t>
        </is>
      </c>
      <c r="G2020" s="2" t="inlineStr">
        <is>
          <t>Art. 118.º-A (aditamento)</t>
        </is>
      </c>
      <c r="H2020" s="2" t="n"/>
      <c r="I2020" s="2" t="n"/>
      <c r="J2020" s="2" t="n"/>
      <c r="K2020" s="2" t="n"/>
      <c r="L2020" s="2" t="inlineStr">
        <is>
          <t>Artigo 118.º-A (Reforço do investimento nos Planos Nacionais das Artes, Leitura e Cinema)</t>
        </is>
      </c>
      <c r="M2020" s="4" t="n"/>
      <c r="N2020" s="4" t="n"/>
      <c r="O2020" s="2" t="n"/>
      <c r="P2020" s="2" t="n"/>
      <c r="Q2020" s="2" t="n"/>
      <c r="R2020" s="2" t="n"/>
      <c r="S2020" s="2" t="inlineStr">
        <is>
          <t>Rejeitado(a) em Comissão</t>
        </is>
      </c>
      <c r="T2020" s="2" t="inlineStr">
        <is>
          <t>Rejeitada</t>
        </is>
      </c>
      <c r="U2020" s="2" t="inlineStr">
        <is>
          <t>Favor: L, PCP, BE, PAN; Contra: PSD, IL, CDS-PP; Abstenção: CH, PS</t>
        </is>
      </c>
      <c r="V2020" s="3" t="n">
        <v>45985</v>
      </c>
      <c r="W2020" s="2" t="inlineStr">
        <is>
          <t>AR: https://www.parlamento.pt/OrcamentoEstado/Paginas/DetalhePropostaAlteracao.aspx?BID=25164 PDF: https://app.parlamento.pt/webutils/docs/doc.pdf?path=6148523063484d364c793942556b356c6443397a6158526c63793959566b6c4a544556484c3039464c7a49774d6a59794d4449314d5441774f533951515338344d546c6c595449314f4330775a574a694c54526c4d6a5974596a426c5953316c59545a6d4e7a41344d32526a4f446b756347526d&amp;Fich=819ea258-0ebb-4e26-b0ea-ea6f7083dc89.pdf&amp;Inline=true</t>
        </is>
      </c>
      <c r="X2020" s="2" t="inlineStr">
        <is>
          <t>Cultura, Comunicação, Juventude e Desporto</t>
        </is>
      </c>
      <c r="Y2020" s="2" t="inlineStr">
        <is>
          <t>Articulado</t>
        </is>
      </c>
      <c r="Z2020" s="2" t="inlineStr">
        <is>
          <t>Aditamento (Artigo PPL)</t>
        </is>
      </c>
      <c r="AA2020" s="2" t="inlineStr">
        <is>
          <t>Rejeitado(a) em Comissão</t>
        </is>
      </c>
      <c r="AB2020" s="2" t="inlineStr"/>
      <c r="AC2020" s="2" t="inlineStr"/>
      <c r="AD2020" s="2" t="inlineStr">
        <is>
          <t>1</t>
        </is>
      </c>
      <c r="AE2020" s="2" t="inlineStr">
        <is>
          <t>25164</t>
        </is>
      </c>
      <c r="AF2020" s="2" t="inlineStr">
        <is>
          <t>https://www.parlamento.pt/OrcamentoEstado/Paginas/DetalhePropostaAlteracao.aspx?BID=25164</t>
        </is>
      </c>
      <c r="AG2020" s="2" t="inlineStr">
        <is>
          <t>https://app.parlamento.pt/webutils/docs/doc.pdf?path=6148523063484d364c793942556b356c6443397a6158526c63793959566b6c4a544556484c3039464c7a49774d6a59794d4449314d5441774f533951515338344d546c6c595449314f4330775a574a694c54526c4d6a5974596a426c5953316c59545a6d4e7a41344d32526a4f446b756347526d&amp;Fich=819ea258-0ebb-4e26-b0ea-ea6f7083dc89.pdf&amp;Inline=true</t>
        </is>
      </c>
      <c r="AH2020" s="3" t="n">
        <v>46321.77847222222</v>
      </c>
      <c r="AI2020" s="3" t="n">
        <v>46321.78055555555</v>
      </c>
      <c r="AJ2020" s="2" t="inlineStr"/>
    </row>
    <row r="2021">
      <c r="A2021" s="2" t="n">
        <v>2020</v>
      </c>
      <c r="B2021" s="2" t="inlineStr">
        <is>
          <t>1912C</t>
        </is>
      </c>
      <c r="C2021" s="3" t="n">
        <v>45968.7375</v>
      </c>
      <c r="D2021" s="2" t="inlineStr">
        <is>
          <t>Original</t>
        </is>
      </c>
      <c r="E2021" s="2" t="inlineStr">
        <is>
          <t>L</t>
        </is>
      </c>
      <c r="F2021" s="2" t="inlineStr">
        <is>
          <t>Filipa Pinto; Isabel Mendes Lopes; Jorge Pinto; Patrícia Gonçalves; Paulo Muacho; Rui Tavares</t>
        </is>
      </c>
      <c r="G2021" s="2" t="inlineStr">
        <is>
          <t>Art. 112.º-A (aditamento)</t>
        </is>
      </c>
      <c r="H2021" s="2" t="n"/>
      <c r="I2021" s="2" t="n"/>
      <c r="J2021" s="2" t="n"/>
      <c r="K2021" s="2" t="n"/>
      <c r="L2021" s="2" t="inlineStr">
        <is>
          <t>Artigo 112.º-A (Bonificação de tempo de serviço para efeitos de pensão e limite de idade para a permanência no quadro de comando dos bombeiros)</t>
        </is>
      </c>
      <c r="M2021" s="4" t="n"/>
      <c r="N2021" s="4" t="n"/>
      <c r="O2021" s="2" t="n"/>
      <c r="P2021" s="2" t="n"/>
      <c r="Q2021" s="2" t="n"/>
      <c r="R2021" s="2" t="n"/>
      <c r="S2021" s="2" t="inlineStr">
        <is>
          <t>Rejeitado(a) em Comissão</t>
        </is>
      </c>
      <c r="T2021" s="2" t="inlineStr">
        <is>
          <t>Rejeitada</t>
        </is>
      </c>
      <c r="U2021" s="2" t="inlineStr">
        <is>
          <t>Favor: L, PCP, BE, PAN; Contra: PSD, IL, CDS-PP; Abstenção: CH, PS</t>
        </is>
      </c>
      <c r="V2021" s="3" t="n">
        <v>45982</v>
      </c>
      <c r="W2021" s="2" t="inlineStr">
        <is>
          <t>AR: https://www.parlamento.pt/OrcamentoEstado/Paginas/DetalhePropostaAlteracao.aspx?BID=25165 PDF: https://app.parlamento.pt/webutils/docs/doc.pdf?path=6148523063484d364c793942556b356c6443397a6158526c63793959566b6c4a544556484c3039464c7a49774d6a59794d4449314d5441774f5339515153396b4e4441354d544d335969307a597a49314c54526c595449744f546b774f53316b4d7a4e6d4e4759334d3256694d544d756347526d&amp;Fich=d409137b-3c25-4ea2-9909-d33f4f73eb13.pdf&amp;Inline=true</t>
        </is>
      </c>
      <c r="X2021" s="2" t="inlineStr">
        <is>
          <t>Trabalho, Segurança Social e Inclusão</t>
        </is>
      </c>
      <c r="Y2021" s="2" t="inlineStr">
        <is>
          <t>Articulado</t>
        </is>
      </c>
      <c r="Z2021" s="2" t="inlineStr">
        <is>
          <t>Aditamento (Artigo PPL)</t>
        </is>
      </c>
      <c r="AA2021" s="2" t="inlineStr">
        <is>
          <t>Rejeitado(a) em Comissão</t>
        </is>
      </c>
      <c r="AB2021" s="2" t="inlineStr"/>
      <c r="AC2021" s="2" t="inlineStr"/>
      <c r="AD2021" s="2" t="inlineStr">
        <is>
          <t>1</t>
        </is>
      </c>
      <c r="AE2021" s="2" t="inlineStr">
        <is>
          <t>25165</t>
        </is>
      </c>
      <c r="AF2021" s="2" t="inlineStr">
        <is>
          <t>https://www.parlamento.pt/OrcamentoEstado/Paginas/DetalhePropostaAlteracao.aspx?BID=25165</t>
        </is>
      </c>
      <c r="AG2021" s="2" t="inlineStr">
        <is>
          <t>https://app.parlamento.pt/webutils/docs/doc.pdf?path=6148523063484d364c793942556b356c6443397a6158526c63793959566b6c4a544556484c3039464c7a49774d6a59794d4449314d5441774f5339515153396b4e4441354d544d335969307a597a49314c54526c595449744f546b774f53316b4d7a4e6d4e4759334d3256694d544d756347526d&amp;Fich=d409137b-3c25-4ea2-9909-d33f4f73eb13.pdf&amp;Inline=true</t>
        </is>
      </c>
      <c r="AH2021" s="3" t="n">
        <v>46321.77847222222</v>
      </c>
      <c r="AI2021" s="3" t="n">
        <v>46321.78055555555</v>
      </c>
      <c r="AJ2021" s="2" t="inlineStr"/>
    </row>
    <row r="2022">
      <c r="A2022" s="2" t="n">
        <v>2021</v>
      </c>
      <c r="B2022" s="2" t="inlineStr">
        <is>
          <t>1913C</t>
        </is>
      </c>
      <c r="C2022" s="3" t="n">
        <v>45968.7375</v>
      </c>
      <c r="D2022" s="2" t="inlineStr">
        <is>
          <t>Original</t>
        </is>
      </c>
      <c r="E2022" s="2" t="inlineStr">
        <is>
          <t>PSD</t>
        </is>
      </c>
      <c r="F2022" s="2" t="inlineStr">
        <is>
          <t>Paulo Neves; Pedro Coelho; Vânia Jesus</t>
        </is>
      </c>
      <c r="G2022" s="2" t="inlineStr">
        <is>
          <t>Art. 135.º-A (aditamento)</t>
        </is>
      </c>
      <c r="H2022" s="2" t="n"/>
      <c r="I2022" s="2" t="n"/>
      <c r="J2022" s="2" t="n"/>
      <c r="K2022" s="2" t="n"/>
      <c r="L2022" s="2" t="inlineStr">
        <is>
          <t>Artigo 135.º-A (Alteração à Lei n.º 114/94, de 3 de maio)</t>
        </is>
      </c>
      <c r="M2022" s="4" t="n"/>
      <c r="N2022" s="4" t="n"/>
      <c r="O2022" s="2" t="n"/>
      <c r="P2022" s="2" t="n"/>
      <c r="Q2022" s="2" t="n"/>
      <c r="R2022" s="2" t="n"/>
      <c r="S2022" s="2" t="inlineStr">
        <is>
          <t>Rejeitado(a) em Comissão</t>
        </is>
      </c>
      <c r="T2022" s="2" t="inlineStr">
        <is>
          <t>Rejeitada</t>
        </is>
      </c>
      <c r="U2022" s="2" t="inlineStr">
        <is>
          <t>Favor: CH, Pedro Coelho(PSD); Contra: PSD, IL, PCP, CDS-PP, BE; Abstenção: PS, L, PAN</t>
        </is>
      </c>
      <c r="V2022" s="3" t="n">
        <v>45987</v>
      </c>
      <c r="W2022" s="2" t="inlineStr">
        <is>
          <t>AR: https://www.parlamento.pt/OrcamentoEstado/Paginas/DetalhePropostaAlteracao.aspx?BID=25166 PDF: https://app.parlamento.pt/webutils/docs/doc.pdf?path=6148523063484d364c793942556b356c6443397a6158526c63793959566b6c4a544556484c3039464c7a49774d6a59794d4449314d5441774f533951515338334d6a45794f574e694d6930784e47526a4c54517a4e474d744f5463324e43316a4d444130595451314d5451795a446b756347526d&amp;Fich=72129cb2-14dc-434c-9764-c004a45142d9.pdf&amp;Inline=true</t>
        </is>
      </c>
      <c r="X2022" s="2" t="inlineStr">
        <is>
          <t>Orçamento, Finanças e Administração Pública</t>
        </is>
      </c>
      <c r="Y2022" s="2" t="inlineStr">
        <is>
          <t>Articulado</t>
        </is>
      </c>
      <c r="Z2022" s="2" t="inlineStr">
        <is>
          <t>Aditamento (Artigo PPL)</t>
        </is>
      </c>
      <c r="AA2022" s="2" t="inlineStr">
        <is>
          <t>Rejeitado(a) em Comissão</t>
        </is>
      </c>
      <c r="AB2022" s="2" t="inlineStr"/>
      <c r="AC2022" s="2" t="inlineStr"/>
      <c r="AD2022" s="2" t="inlineStr">
        <is>
          <t>1</t>
        </is>
      </c>
      <c r="AE2022" s="2" t="inlineStr">
        <is>
          <t>25166</t>
        </is>
      </c>
      <c r="AF2022" s="2" t="inlineStr">
        <is>
          <t>https://www.parlamento.pt/OrcamentoEstado/Paginas/DetalhePropostaAlteracao.aspx?BID=25166</t>
        </is>
      </c>
      <c r="AG2022" s="2" t="inlineStr">
        <is>
          <t>https://app.parlamento.pt/webutils/docs/doc.pdf?path=6148523063484d364c793942556b356c6443397a6158526c63793959566b6c4a544556484c3039464c7a49774d6a59794d4449314d5441774f533951515338334d6a45794f574e694d6930784e47526a4c54517a4e474d744f5463324e43316a4d444130595451314d5451795a446b756347526d&amp;Fich=72129cb2-14dc-434c-9764-c004a45142d9.pdf&amp;Inline=true</t>
        </is>
      </c>
      <c r="AH2022" s="3" t="n">
        <v>46321.77847222222</v>
      </c>
      <c r="AI2022" s="3" t="n">
        <v>46321.78055555555</v>
      </c>
      <c r="AJ2022" s="2" t="inlineStr"/>
    </row>
    <row r="2023">
      <c r="A2023" s="2" t="n">
        <v>2022</v>
      </c>
      <c r="B2023" s="2" t="inlineStr">
        <is>
          <t>1914C</t>
        </is>
      </c>
      <c r="C2023" s="3" t="n">
        <v>45968.7375</v>
      </c>
      <c r="D2023" s="2" t="inlineStr">
        <is>
          <t>Original</t>
        </is>
      </c>
      <c r="E2023" s="2" t="inlineStr">
        <is>
          <t>PCP</t>
        </is>
      </c>
      <c r="F2023" s="2" t="inlineStr">
        <is>
          <t>Alfredo Maia; Paula Santos; Paulo Raimundo</t>
        </is>
      </c>
      <c r="G2023" s="2" t="inlineStr">
        <is>
          <t>Art. 118.º-A (aditamento)</t>
        </is>
      </c>
      <c r="H2023" s="2" t="n"/>
      <c r="I2023" s="2" t="n"/>
      <c r="J2023" s="2" t="n"/>
      <c r="K2023" s="2" t="n"/>
      <c r="L2023" s="2" t="inlineStr">
        <is>
          <t>Artigo 118.º-A (Execução de Planos Regionais de Intervenções Prioritárias em todo o território nacional)</t>
        </is>
      </c>
      <c r="M2023" s="4" t="n"/>
      <c r="N2023" s="4" t="n"/>
      <c r="O2023" s="2" t="n"/>
      <c r="P2023" s="2" t="n"/>
      <c r="Q2023" s="2" t="n"/>
      <c r="R2023" s="2" t="n"/>
      <c r="S2023" s="2" t="inlineStr">
        <is>
          <t>Rejeitado(a) em Comissão</t>
        </is>
      </c>
      <c r="T2023" s="2" t="inlineStr">
        <is>
          <t>Rejeitada</t>
        </is>
      </c>
      <c r="U2023" s="2" t="inlineStr">
        <is>
          <t>Favor: L, PCP, BE, PAN; Contra: PSD, CDS-PP; Abstenção: CH, PS, IL</t>
        </is>
      </c>
      <c r="V2023" s="3" t="n">
        <v>45985</v>
      </c>
      <c r="W2023" s="2" t="inlineStr">
        <is>
          <t>AR: https://www.parlamento.pt/OrcamentoEstado/Paginas/DetalhePropostaAlteracao.aspx?BID=25167 PDF: https://app.parlamento.pt/webutils/docs/doc.pdf?path=6148523063484d364c793942556b356c6443397a6158526c63793959566b6c4a544556484c3039464c7a49774d6a59794d4449314d5441774f5339515153396b5a5755354e4759314d5330775954426a4c545133593251744f544668595330344e44686b5954686a5a6a51784d3259756347526d&amp;Fich=dee94f51-0a0c-47cd-91aa-848da8cf413f.pdf&amp;Inline=true</t>
        </is>
      </c>
      <c r="X2023" s="2" t="inlineStr">
        <is>
          <t>Cultura, Comunicação, Juventude e Desporto</t>
        </is>
      </c>
      <c r="Y2023" s="2" t="inlineStr">
        <is>
          <t>Articulado</t>
        </is>
      </c>
      <c r="Z2023" s="2" t="inlineStr">
        <is>
          <t>Aditamento (Artigo PPL)</t>
        </is>
      </c>
      <c r="AA2023" s="2" t="inlineStr">
        <is>
          <t>Rejeitado(a) em Comissão</t>
        </is>
      </c>
      <c r="AB2023" s="2" t="inlineStr"/>
      <c r="AC2023" s="2" t="inlineStr"/>
      <c r="AD2023" s="2" t="inlineStr">
        <is>
          <t>1</t>
        </is>
      </c>
      <c r="AE2023" s="2" t="inlineStr">
        <is>
          <t>25167</t>
        </is>
      </c>
      <c r="AF2023" s="2" t="inlineStr">
        <is>
          <t>https://www.parlamento.pt/OrcamentoEstado/Paginas/DetalhePropostaAlteracao.aspx?BID=25167</t>
        </is>
      </c>
      <c r="AG2023" s="2" t="inlineStr">
        <is>
          <t>https://app.parlamento.pt/webutils/docs/doc.pdf?path=6148523063484d364c793942556b356c6443397a6158526c63793959566b6c4a544556484c3039464c7a49774d6a59794d4449314d5441774f5339515153396b5a5755354e4759314d5330775954426a4c545133593251744f544668595330344e44686b5954686a5a6a51784d3259756347526d&amp;Fich=dee94f51-0a0c-47cd-91aa-848da8cf413f.pdf&amp;Inline=true</t>
        </is>
      </c>
      <c r="AH2023" s="3" t="n">
        <v>46321.77847222222</v>
      </c>
      <c r="AI2023" s="3" t="n">
        <v>46321.78055555555</v>
      </c>
      <c r="AJ2023" s="2" t="inlineStr"/>
    </row>
    <row r="2024">
      <c r="A2024" s="2" t="n">
        <v>2023</v>
      </c>
      <c r="B2024" s="2" t="inlineStr">
        <is>
          <t>1915C-1</t>
        </is>
      </c>
      <c r="C2024" s="3" t="n">
        <v>45968.7375</v>
      </c>
      <c r="D2024" s="2" t="inlineStr">
        <is>
          <t>Original</t>
        </is>
      </c>
      <c r="E2024" s="2" t="inlineStr">
        <is>
          <t>PSD</t>
        </is>
      </c>
      <c r="F2024" s="2" t="inlineStr">
        <is>
          <t>Paulo Neves; Pedro Coelho; Vânia Jesus</t>
        </is>
      </c>
      <c r="G2024" s="2" t="inlineStr">
        <is>
          <t>Art. 135.º-A (aditamento)</t>
        </is>
      </c>
      <c r="H2024" s="2" t="n"/>
      <c r="I2024" s="2" t="n"/>
      <c r="J2024" s="2" t="n"/>
      <c r="K2024" s="2" t="n"/>
      <c r="L2024" s="2" t="inlineStr">
        <is>
          <t>Artigo 135.º-A (Alteração ao Decreto-Lei n.º 433/99, de 26 de outubro)</t>
        </is>
      </c>
      <c r="M2024" s="4" t="n"/>
      <c r="N2024" s="4" t="n"/>
      <c r="O2024" s="2" t="n"/>
      <c r="P2024" s="2" t="n"/>
      <c r="Q2024" s="2" t="n"/>
      <c r="R2024" s="2" t="n"/>
      <c r="S2024" s="2" t="inlineStr">
        <is>
          <t>Rejeitado(a) em Comissão</t>
        </is>
      </c>
      <c r="T2024" s="2" t="inlineStr">
        <is>
          <t>Rejeitada</t>
        </is>
      </c>
      <c r="U2024" s="2" t="inlineStr">
        <is>
          <t>Favor: CH, Pedro Coelho(PSD); Contra: PSD, PCP, CDS-PP, BE; Abstenção: PS, IL, L, PAN</t>
        </is>
      </c>
      <c r="V2024" s="3" t="n">
        <v>45987</v>
      </c>
      <c r="W2024" s="2" t="inlineStr">
        <is>
          <t>AR: https://www.parlamento.pt/OrcamentoEstado/Paginas/DetalhePropostaAlteracao.aspx?BID=25168 PDF: https://app.parlamento.pt/webutils/docs/doc.pdf?path=6148523063484d364c793942556b356c6443397a6158526c63793959566b6c4a544556484c3039464c7a49774d6a59794d4449314d5441774f5339515153387a4e47566d4e324a6c4f533033596a41794c5451324e325174596a466c5953316b5a5441774e6a55334e47526b4f5745756347526d&amp;Fich=34ef7be9-7b02-467d-b1ea-de006574dd9a.pdf&amp;Inline=true</t>
        </is>
      </c>
      <c r="X2024" s="2" t="inlineStr">
        <is>
          <t>Orçamento, Finanças e Administração Pública</t>
        </is>
      </c>
      <c r="Y2024" s="2" t="inlineStr">
        <is>
          <t>Articulado</t>
        </is>
      </c>
      <c r="Z2024" s="2" t="inlineStr">
        <is>
          <t>Aditamento (Artigo PPL)</t>
        </is>
      </c>
      <c r="AA2024" s="2" t="inlineStr">
        <is>
          <t>Rejeitado(a) em Comissão</t>
        </is>
      </c>
      <c r="AB2024" s="2" t="inlineStr"/>
      <c r="AC2024" s="2" t="inlineStr">
        <is>
          <t>1</t>
        </is>
      </c>
      <c r="AD2024" s="2" t="inlineStr">
        <is>
          <t>1</t>
        </is>
      </c>
      <c r="AE2024" s="2" t="inlineStr">
        <is>
          <t>25168</t>
        </is>
      </c>
      <c r="AF2024" s="2" t="inlineStr">
        <is>
          <t>https://www.parlamento.pt/OrcamentoEstado/Paginas/DetalhePropostaAlteracao.aspx?BID=25168</t>
        </is>
      </c>
      <c r="AG2024" s="2" t="inlineStr">
        <is>
          <t>https://app.parlamento.pt/webutils/docs/doc.pdf?path=6148523063484d364c793942556b356c6443397a6158526c63793959566b6c4a544556484c3039464c7a49774d6a59794d4449314d5441774f5339515153387a4e47566d4e324a6c4f533033596a41794c5451324e325174596a466c5953316b5a5441774e6a55334e47526b4f5745756347526d&amp;Fich=34ef7be9-7b02-467d-b1ea-de006574dd9a.pdf&amp;Inline=true</t>
        </is>
      </c>
      <c r="AH2024" s="3" t="n">
        <v>46321.77847222222</v>
      </c>
      <c r="AI2024" s="3" t="n">
        <v>46321.78055555555</v>
      </c>
      <c r="AJ2024" s="2" t="inlineStr"/>
    </row>
    <row r="2025">
      <c r="A2025" s="2" t="n">
        <v>2024</v>
      </c>
      <c r="B2025" s="2" t="inlineStr">
        <is>
          <t>1915C-2</t>
        </is>
      </c>
      <c r="C2025" s="3" t="n">
        <v>45968.7375</v>
      </c>
      <c r="D2025" s="2" t="inlineStr">
        <is>
          <t>Original</t>
        </is>
      </c>
      <c r="E2025" s="2" t="inlineStr">
        <is>
          <t>PSD</t>
        </is>
      </c>
      <c r="F2025" s="2" t="inlineStr">
        <is>
          <t>Paulo Neves; Pedro Coelho; Vânia Jesus</t>
        </is>
      </c>
      <c r="G2025" s="2" t="inlineStr">
        <is>
          <t>Art. 135.º-B (aditamento)</t>
        </is>
      </c>
      <c r="H2025" s="2" t="n"/>
      <c r="I2025" s="2" t="n"/>
      <c r="J2025" s="2" t="n"/>
      <c r="K2025" s="2" t="n"/>
      <c r="L2025" s="2" t="inlineStr">
        <is>
          <t>Artigo 135.º-B Alteração ao Decreto-Lei n.º 34/2008, de 26 de fevereiro</t>
        </is>
      </c>
      <c r="M2025" s="4" t="n"/>
      <c r="N2025" s="4" t="n"/>
      <c r="O2025" s="2" t="n"/>
      <c r="P2025" s="2" t="n"/>
      <c r="Q2025" s="2" t="n"/>
      <c r="R2025" s="2" t="n"/>
      <c r="S2025" s="2" t="inlineStr">
        <is>
          <t>Rejeitado(a) em Comissão</t>
        </is>
      </c>
      <c r="T2025" s="2" t="inlineStr">
        <is>
          <t>Rejeitada</t>
        </is>
      </c>
      <c r="U2025" s="2" t="inlineStr">
        <is>
          <t>Favor: CH, Pedro Coelho(PSD); Contra: PSD, PCP, CDS-PP, BE; Abstenção: PS, IL, L, PAN</t>
        </is>
      </c>
      <c r="V2025" s="3" t="n">
        <v>45987</v>
      </c>
      <c r="W2025" s="2" t="inlineStr">
        <is>
          <t>AR: https://www.parlamento.pt/OrcamentoEstado/Paginas/DetalhePropostaAlteracao.aspx?BID=25347 PDF: https://app.parlamento.pt/webutils/docs/doc.pdf?path=6148523063484d364c793942556b356c6443397a6158526c63793959566b6c4a544556484c3039464c7a49774d6a59794d4449314d5441774f5339515153396a596d45785a6a526c5953316c59544d304c5452694e575574595449315a693077595755794e54637a4f47526b595451756347526d&amp;Fich=cba1f4ea-ea34-4b5e-a25f-0ae25738dda4.pdf&amp;Inline=true</t>
        </is>
      </c>
      <c r="X2025" s="2" t="inlineStr">
        <is>
          <t>Orçamento, Finanças e Administração Pública</t>
        </is>
      </c>
      <c r="Y2025" s="2" t="inlineStr">
        <is>
          <t>Articulado</t>
        </is>
      </c>
      <c r="Z2025" s="2" t="inlineStr">
        <is>
          <t>Aditamento (Artigo PPL)</t>
        </is>
      </c>
      <c r="AA2025" s="2" t="inlineStr">
        <is>
          <t>Rejeitado(a) em Comissão</t>
        </is>
      </c>
      <c r="AB2025" s="2" t="inlineStr"/>
      <c r="AC2025" s="2" t="inlineStr">
        <is>
          <t>2</t>
        </is>
      </c>
      <c r="AD2025" s="2" t="inlineStr">
        <is>
          <t>1</t>
        </is>
      </c>
      <c r="AE2025" s="2" t="inlineStr">
        <is>
          <t>25347</t>
        </is>
      </c>
      <c r="AF2025" s="2" t="inlineStr">
        <is>
          <t>https://www.parlamento.pt/OrcamentoEstado/Paginas/DetalhePropostaAlteracao.aspx?BID=25347</t>
        </is>
      </c>
      <c r="AG2025" s="2" t="inlineStr">
        <is>
          <t>https://app.parlamento.pt/webutils/docs/doc.pdf?path=6148523063484d364c793942556b356c6443397a6158526c63793959566b6c4a544556484c3039464c7a49774d6a59794d4449314d5441774f5339515153396a596d45785a6a526c5953316c59544d304c5452694e575574595449315a693077595755794e54637a4f47526b595451756347526d&amp;Fich=cba1f4ea-ea34-4b5e-a25f-0ae25738dda4.pdf&amp;Inline=true</t>
        </is>
      </c>
      <c r="AH2025" s="3" t="n">
        <v>46321.77847222222</v>
      </c>
      <c r="AI2025" s="3" t="n">
        <v>46321.78055555555</v>
      </c>
      <c r="AJ2025" s="2" t="inlineStr"/>
    </row>
    <row r="2026">
      <c r="A2026" s="2" t="n">
        <v>2025</v>
      </c>
      <c r="B2026" s="2" t="inlineStr">
        <is>
          <t>1916C</t>
        </is>
      </c>
      <c r="C2026" s="3" t="n">
        <v>45968.7375</v>
      </c>
      <c r="D2026" s="2" t="inlineStr">
        <is>
          <t>Original</t>
        </is>
      </c>
      <c r="E2026" s="2" t="inlineStr">
        <is>
          <t>PCP</t>
        </is>
      </c>
      <c r="F2026" s="2" t="inlineStr">
        <is>
          <t>Alfredo Maia; Paula Santos; Paulo Raimundo</t>
        </is>
      </c>
      <c r="G2026" s="2" t="inlineStr">
        <is>
          <t>Art. 118.º-A (aditamento)</t>
        </is>
      </c>
      <c r="H2026" s="2" t="n"/>
      <c r="I2026" s="2" t="n"/>
      <c r="J2026" s="2" t="n"/>
      <c r="K2026" s="2" t="n"/>
      <c r="L2026" s="2" t="inlineStr">
        <is>
          <t>Artigo 118.º-A (Plataforma nacional digital integrada para a gestão, atualização e salvaguarda dos inventários e da documentação arqueológica)</t>
        </is>
      </c>
      <c r="M2026" s="4" t="n"/>
      <c r="N2026" s="4" t="n"/>
      <c r="O2026" s="2" t="n"/>
      <c r="P2026" s="2" t="n"/>
      <c r="Q2026" s="2" t="n"/>
      <c r="R2026" s="2" t="n"/>
      <c r="S2026" s="2" t="inlineStr">
        <is>
          <t>Rejeitado(a) em Comissão</t>
        </is>
      </c>
      <c r="T2026" s="2" t="inlineStr">
        <is>
          <t>Rejeitada</t>
        </is>
      </c>
      <c r="U2026" s="2" t="inlineStr">
        <is>
          <t>Favor: PCP, BE, PAN; Contra: PSD, IL, CDS-PP; Abstenção: CH, PS</t>
        </is>
      </c>
      <c r="V2026" s="3" t="n">
        <v>45985</v>
      </c>
      <c r="W2026" s="2" t="inlineStr">
        <is>
          <t>AR: https://www.parlamento.pt/OrcamentoEstado/Paginas/DetalhePropostaAlteracao.aspx?BID=25169 PDF: https://app.parlamento.pt/webutils/docs/doc.pdf?path=6148523063484d364c793942556b356c6443397a6158526c63793959566b6c4a544556484c3039464c7a49774d6a59794d4449314d5441774f5339515153396b4d47466d4d6a526a5a5330335a546b344c5451324e5463744f544a685a433033595459784d325133597a5268596d59756347526d&amp;Fich=d0af24ce-7e98-4657-92ad-7a613d7c4abf.pdf&amp;Inline=true</t>
        </is>
      </c>
      <c r="X2026" s="2" t="inlineStr">
        <is>
          <t>Cultura, Comunicação, Juventude e Desporto</t>
        </is>
      </c>
      <c r="Y2026" s="2" t="inlineStr">
        <is>
          <t>Articulado</t>
        </is>
      </c>
      <c r="Z2026" s="2" t="inlineStr">
        <is>
          <t>Aditamento (Artigo PPL)</t>
        </is>
      </c>
      <c r="AA2026" s="2" t="inlineStr">
        <is>
          <t>Rejeitado(a) em Comissão</t>
        </is>
      </c>
      <c r="AB2026" s="2" t="inlineStr"/>
      <c r="AC2026" s="2" t="inlineStr"/>
      <c r="AD2026" s="2" t="inlineStr">
        <is>
          <t>1</t>
        </is>
      </c>
      <c r="AE2026" s="2" t="inlineStr">
        <is>
          <t>25169</t>
        </is>
      </c>
      <c r="AF2026" s="2" t="inlineStr">
        <is>
          <t>https://www.parlamento.pt/OrcamentoEstado/Paginas/DetalhePropostaAlteracao.aspx?BID=25169</t>
        </is>
      </c>
      <c r="AG2026" s="2" t="inlineStr">
        <is>
          <t>https://app.parlamento.pt/webutils/docs/doc.pdf?path=6148523063484d364c793942556b356c6443397a6158526c63793959566b6c4a544556484c3039464c7a49774d6a59794d4449314d5441774f5339515153396b4d47466d4d6a526a5a5330335a546b344c5451324e5463744f544a685a433033595459784d325133597a5268596d59756347526d&amp;Fich=d0af24ce-7e98-4657-92ad-7a613d7c4abf.pdf&amp;Inline=true</t>
        </is>
      </c>
      <c r="AH2026" s="3" t="n">
        <v>46321.77847222222</v>
      </c>
      <c r="AI2026" s="3" t="n">
        <v>46321.78055555555</v>
      </c>
      <c r="AJ2026" s="2" t="inlineStr"/>
    </row>
    <row r="2027">
      <c r="A2027" s="2" t="n">
        <v>2026</v>
      </c>
      <c r="B2027" s="2" t="inlineStr">
        <is>
          <t>1917C</t>
        </is>
      </c>
      <c r="C2027" s="3" t="n">
        <v>45968.73819444444</v>
      </c>
      <c r="D2027" s="2" t="inlineStr">
        <is>
          <t>Original</t>
        </is>
      </c>
      <c r="E2027" s="2" t="inlineStr">
        <is>
          <t>L</t>
        </is>
      </c>
      <c r="F2027" s="2" t="inlineStr">
        <is>
          <t>Filipa Pinto; Isabel Mendes Lopes; Jorge Pinto; Patrícia Gonçalves; Paulo Muacho; Rui Tavares</t>
        </is>
      </c>
      <c r="G2027" s="2" t="inlineStr">
        <is>
          <t>Art. 112.º-A (aditamento)</t>
        </is>
      </c>
      <c r="H2027" s="2" t="n"/>
      <c r="I2027" s="2" t="n"/>
      <c r="J2027" s="2" t="n"/>
      <c r="K2027" s="2" t="n"/>
      <c r="L2027" s="2" t="inlineStr">
        <is>
          <t>Artigo 112.º-A (A dação em cumprimento da dívida de crédito à habitação)</t>
        </is>
      </c>
      <c r="M2027" s="4" t="n"/>
      <c r="N2027" s="4" t="n"/>
      <c r="O2027" s="2" t="n"/>
      <c r="P2027" s="2" t="n"/>
      <c r="Q2027" s="2" t="n"/>
      <c r="R2027" s="2" t="n"/>
      <c r="S2027" s="2" t="inlineStr">
        <is>
          <t>Rejeitado(a) em Comissão</t>
        </is>
      </c>
      <c r="T2027" s="2" t="inlineStr">
        <is>
          <t>Rejeitada</t>
        </is>
      </c>
      <c r="U2027" s="2" t="inlineStr">
        <is>
          <t>Favor: L, PCP, BE, PAN; Contra: PSD, CH, IL, CDS-PP; Abstenção: PS</t>
        </is>
      </c>
      <c r="V2027" s="3" t="n">
        <v>45982</v>
      </c>
      <c r="W2027" s="2" t="inlineStr">
        <is>
          <t>AR: https://www.parlamento.pt/OrcamentoEstado/Paginas/DetalhePropostaAlteracao.aspx?BID=25170 PDF: https://app.parlamento.pt/webutils/docs/doc.pdf?path=6148523063484d364c793942556b356c6443397a6158526c63793959566b6c4a544556484c3039464c7a49774d6a59794d4449314d5441774f5339515153387a4e7a466a597a5a6b4f533168597a566b4c545131593245744f5455334d6930324e44566d4d3259305a4449304d6a45756347526d&amp;Fich=371cc6d9-ac5d-45ca-9572-645f3f4d2421.pdf&amp;Inline=true</t>
        </is>
      </c>
      <c r="X2027" s="2" t="inlineStr">
        <is>
          <t>Infraestruturas, Mobilidade e Habitação; Orçamento, Finanças e Administração Pública</t>
        </is>
      </c>
      <c r="Y2027" s="2" t="inlineStr">
        <is>
          <t>Articulado</t>
        </is>
      </c>
      <c r="Z2027" s="2" t="inlineStr">
        <is>
          <t>Aditamento (Artigo PPL)</t>
        </is>
      </c>
      <c r="AA2027" s="2" t="inlineStr">
        <is>
          <t>Rejeitado(a) em Comissão</t>
        </is>
      </c>
      <c r="AB2027" s="2" t="inlineStr"/>
      <c r="AC2027" s="2" t="inlineStr"/>
      <c r="AD2027" s="2" t="inlineStr">
        <is>
          <t>1</t>
        </is>
      </c>
      <c r="AE2027" s="2" t="inlineStr">
        <is>
          <t>25170</t>
        </is>
      </c>
      <c r="AF2027" s="2" t="inlineStr">
        <is>
          <t>https://www.parlamento.pt/OrcamentoEstado/Paginas/DetalhePropostaAlteracao.aspx?BID=25170</t>
        </is>
      </c>
      <c r="AG2027" s="2" t="inlineStr">
        <is>
          <t>https://app.parlamento.pt/webutils/docs/doc.pdf?path=6148523063484d364c793942556b356c6443397a6158526c63793959566b6c4a544556484c3039464c7a49774d6a59794d4449314d5441774f5339515153387a4e7a466a597a5a6b4f533168597a566b4c545131593245744f5455334d6930324e44566d4d3259305a4449304d6a45756347526d&amp;Fich=371cc6d9-ac5d-45ca-9572-645f3f4d2421.pdf&amp;Inline=true</t>
        </is>
      </c>
      <c r="AH2027" s="3" t="n">
        <v>46321.77847222222</v>
      </c>
      <c r="AI2027" s="3" t="n">
        <v>46321.78055555555</v>
      </c>
      <c r="AJ2027" s="2" t="inlineStr"/>
    </row>
    <row r="2028">
      <c r="A2028" s="2" t="n">
        <v>2027</v>
      </c>
      <c r="B2028" s="2" t="inlineStr">
        <is>
          <t>1918C</t>
        </is>
      </c>
      <c r="C2028" s="3" t="n">
        <v>45968.73819444444</v>
      </c>
      <c r="D2028" s="2" t="inlineStr">
        <is>
          <t>Original</t>
        </is>
      </c>
      <c r="E2028" s="2" t="inlineStr">
        <is>
          <t>PSD</t>
        </is>
      </c>
      <c r="F2028" s="2" t="inlineStr">
        <is>
          <t>Paulo Neves; Pedro Coelho; Vânia Jesus</t>
        </is>
      </c>
      <c r="G2028" s="2" t="inlineStr">
        <is>
          <t>Art. 126.º-A (aditamento)</t>
        </is>
      </c>
      <c r="H2028" s="2" t="n"/>
      <c r="I2028" s="2" t="n"/>
      <c r="J2028" s="2" t="n"/>
      <c r="K2028" s="2" t="n"/>
      <c r="L2028" s="2" t="inlineStr">
        <is>
          <t>Artigo 126.º-A (Alteração ao Decreto-Lei n.º 42-A/2016, de 12 de agosto)</t>
        </is>
      </c>
      <c r="M2028" s="4" t="n"/>
      <c r="N2028" s="4" t="n"/>
      <c r="O2028" s="2" t="n"/>
      <c r="P2028" s="2" t="n"/>
      <c r="Q2028" s="2" t="n"/>
      <c r="R2028" s="2" t="n"/>
      <c r="S2028" s="2" t="inlineStr">
        <is>
          <t>Rejeitado(a) em Comissão</t>
        </is>
      </c>
      <c r="T2028" s="2" t="inlineStr">
        <is>
          <t>Rejeitada</t>
        </is>
      </c>
      <c r="U2028" s="2" t="inlineStr">
        <is>
          <t>Favor: CH, L, PCP, BE, PAN, Pedro Coelho(PSD); Contra: PSD, IL, CDS-PP; Abstenção: PS</t>
        </is>
      </c>
      <c r="V2028" s="3" t="n">
        <v>45985</v>
      </c>
      <c r="W2028" s="2" t="inlineStr">
        <is>
          <t>AR: https://www.parlamento.pt/OrcamentoEstado/Paginas/DetalhePropostaAlteracao.aspx?BID=25171 PDF: https://app.parlamento.pt/webutils/docs/doc.pdf?path=6148523063484d364c793942556b356c6443397a6158526c63793959566b6c4a544556484c3039464c7a49774d6a59794d4449314d5441774f533951515338305a474a6b4d6d566a4d4330334e6a6b794c5451325a475574596a6331595330775a6d45344d7a63324e54417a4e5463756347526d&amp;Fich=4dbd2ec0-7692-46de-b75a-0fa837650357.pdf&amp;Inline=true</t>
        </is>
      </c>
      <c r="X2028" s="2" t="inlineStr">
        <is>
          <t>Orçamento, Finanças e Administração Pública</t>
        </is>
      </c>
      <c r="Y2028" s="2" t="inlineStr">
        <is>
          <t>Articulado</t>
        </is>
      </c>
      <c r="Z2028" s="2" t="inlineStr">
        <is>
          <t>Aditamento (Artigo PPL)</t>
        </is>
      </c>
      <c r="AA2028" s="2" t="inlineStr">
        <is>
          <t>Rejeitado(a) em Comissão</t>
        </is>
      </c>
      <c r="AB2028" s="2" t="inlineStr"/>
      <c r="AC2028" s="2" t="inlineStr"/>
      <c r="AD2028" s="2" t="inlineStr">
        <is>
          <t>1</t>
        </is>
      </c>
      <c r="AE2028" s="2" t="inlineStr">
        <is>
          <t>25171</t>
        </is>
      </c>
      <c r="AF2028" s="2" t="inlineStr">
        <is>
          <t>https://www.parlamento.pt/OrcamentoEstado/Paginas/DetalhePropostaAlteracao.aspx?BID=25171</t>
        </is>
      </c>
      <c r="AG2028" s="2" t="inlineStr">
        <is>
          <t>https://app.parlamento.pt/webutils/docs/doc.pdf?path=6148523063484d364c793942556b356c6443397a6158526c63793959566b6c4a544556484c3039464c7a49774d6a59794d4449314d5441774f533951515338305a474a6b4d6d566a4d4330334e6a6b794c5451325a475574596a6331595330775a6d45344d7a63324e54417a4e5463756347526d&amp;Fich=4dbd2ec0-7692-46de-b75a-0fa837650357.pdf&amp;Inline=true</t>
        </is>
      </c>
      <c r="AH2028" s="3" t="n">
        <v>46321.77847222222</v>
      </c>
      <c r="AI2028" s="3" t="n">
        <v>46321.78055555555</v>
      </c>
      <c r="AJ2028" s="2" t="inlineStr"/>
    </row>
    <row r="2029">
      <c r="A2029" s="2" t="n">
        <v>2028</v>
      </c>
      <c r="B2029" s="2" t="inlineStr">
        <is>
          <t>1919C</t>
        </is>
      </c>
      <c r="C2029" s="3" t="n">
        <v>45968.73819444444</v>
      </c>
      <c r="D2029" s="2" t="inlineStr">
        <is>
          <t>Original</t>
        </is>
      </c>
      <c r="E2029" s="2" t="inlineStr">
        <is>
          <t>PCP</t>
        </is>
      </c>
      <c r="F2029" s="2" t="inlineStr">
        <is>
          <t>Alfredo Maia; Paula Santos; Paulo Raimundo</t>
        </is>
      </c>
      <c r="G2029" s="2" t="inlineStr">
        <is>
          <t>Art. 118.º-A (aditamento)</t>
        </is>
      </c>
      <c r="H2029" s="2" t="n"/>
      <c r="I2029" s="2" t="n"/>
      <c r="J2029" s="2" t="n"/>
      <c r="K2029" s="2" t="n"/>
      <c r="L2029" s="2" t="inlineStr">
        <is>
          <t>Artigo 118.º-A (Combate à precariedade laboral no Património Cultural, I.P.)</t>
        </is>
      </c>
      <c r="M2029" s="4" t="n"/>
      <c r="N2029" s="4" t="n"/>
      <c r="O2029" s="2" t="n"/>
      <c r="P2029" s="2" t="n"/>
      <c r="Q2029" s="2" t="n"/>
      <c r="R2029" s="2" t="n"/>
      <c r="S2029" s="2" t="inlineStr">
        <is>
          <t>Rejeitado(a) em Comissão</t>
        </is>
      </c>
      <c r="T2029" s="2" t="inlineStr">
        <is>
          <t>Rejeitada</t>
        </is>
      </c>
      <c r="U2029" s="2" t="inlineStr">
        <is>
          <t>Favor: L, PCP, BE, PAN; Contra: PSD, IL, CDS-PP; Abstenção: CH, PS</t>
        </is>
      </c>
      <c r="V2029" s="3" t="n">
        <v>45985</v>
      </c>
      <c r="W2029" s="2" t="inlineStr">
        <is>
          <t>AR: https://www.parlamento.pt/OrcamentoEstado/Paginas/DetalhePropostaAlteracao.aspx?BID=25172 PDF: https://app.parlamento.pt/webutils/docs/doc.pdf?path=6148523063484d364c793942556b356c6443397a6158526c63793959566b6c4a544556484c3039464c7a49774d6a59794d4449314d5441774f533951515338774e54686c4d4445355a6930775a5441774c54526b596a41745957597a5a4330335a6a55315a4755334e7a4933596a49756347526d&amp;Fich=058e019f-0e00-4db0-af3d-7f55de7727b2.pdf&amp;Inline=true</t>
        </is>
      </c>
      <c r="X2029" s="2" t="inlineStr">
        <is>
          <t>Cultura, Comunicação, Juventude e Desporto</t>
        </is>
      </c>
      <c r="Y2029" s="2" t="inlineStr">
        <is>
          <t>Articulado</t>
        </is>
      </c>
      <c r="Z2029" s="2" t="inlineStr">
        <is>
          <t>Aditamento (Artigo PPL)</t>
        </is>
      </c>
      <c r="AA2029" s="2" t="inlineStr">
        <is>
          <t>Rejeitado(a) em Comissão</t>
        </is>
      </c>
      <c r="AB2029" s="2" t="inlineStr"/>
      <c r="AC2029" s="2" t="inlineStr"/>
      <c r="AD2029" s="2" t="inlineStr">
        <is>
          <t>1</t>
        </is>
      </c>
      <c r="AE2029" s="2" t="inlineStr">
        <is>
          <t>25172</t>
        </is>
      </c>
      <c r="AF2029" s="2" t="inlineStr">
        <is>
          <t>https://www.parlamento.pt/OrcamentoEstado/Paginas/DetalhePropostaAlteracao.aspx?BID=25172</t>
        </is>
      </c>
      <c r="AG2029" s="2" t="inlineStr">
        <is>
          <t>https://app.parlamento.pt/webutils/docs/doc.pdf?path=6148523063484d364c793942556b356c6443397a6158526c63793959566b6c4a544556484c3039464c7a49774d6a59794d4449314d5441774f533951515338774e54686c4d4445355a6930775a5441774c54526b596a41745957597a5a4330335a6a55315a4755334e7a4933596a49756347526d&amp;Fich=058e019f-0e00-4db0-af3d-7f55de7727b2.pdf&amp;Inline=true</t>
        </is>
      </c>
      <c r="AH2029" s="3" t="n">
        <v>46321.77847222222</v>
      </c>
      <c r="AI2029" s="3" t="n">
        <v>46321.78055555555</v>
      </c>
      <c r="AJ2029" s="2" t="inlineStr"/>
    </row>
    <row r="2030">
      <c r="A2030" s="2" t="n">
        <v>2029</v>
      </c>
      <c r="B2030" s="2" t="inlineStr">
        <is>
          <t>1920C-1</t>
        </is>
      </c>
      <c r="C2030" s="3" t="n">
        <v>45968.73888888889</v>
      </c>
      <c r="D2030" s="2" t="inlineStr">
        <is>
          <t>Original</t>
        </is>
      </c>
      <c r="E2030" s="2" t="inlineStr">
        <is>
          <t>L</t>
        </is>
      </c>
      <c r="F2030" s="2" t="inlineStr">
        <is>
          <t>Filipa Pinto; Isabel Mendes Lopes; Jorge Pinto; Patrícia Gonçalves; Paulo Muacho; Rui Tavares</t>
        </is>
      </c>
      <c r="G2030" s="2" t="inlineStr">
        <is>
          <t>Art. 18.º-A (aditamento)</t>
        </is>
      </c>
      <c r="H2030" s="2" t="n"/>
      <c r="I2030" s="2" t="n"/>
      <c r="J2030" s="2" t="n"/>
      <c r="K2030" s="2" t="n"/>
      <c r="L2030" s="2" t="inlineStr">
        <is>
          <t>Artigo 18.º-A (Aumento do subsídio de refeição)</t>
        </is>
      </c>
      <c r="M2030" s="4" t="n"/>
      <c r="N2030" s="4" t="n"/>
      <c r="O2030" s="2" t="n"/>
      <c r="P2030" s="2" t="n"/>
      <c r="Q2030" s="2" t="n"/>
      <c r="R2030" s="2" t="n"/>
      <c r="S2030" s="2" t="inlineStr">
        <is>
          <t>Rejeitado(a) em Comissão</t>
        </is>
      </c>
      <c r="T2030" s="2" t="inlineStr">
        <is>
          <t>Rejeitada</t>
        </is>
      </c>
      <c r="U2030" s="2" t="inlineStr">
        <is>
          <t>Favor: CH, L, BE, PAN; Contra: PSD, IL, CDS-PP; Abstenção: PS, PCP</t>
        </is>
      </c>
      <c r="V2030" s="3" t="n">
        <v>45981</v>
      </c>
      <c r="W2030" s="2" t="inlineStr">
        <is>
          <t>AR: https://www.parlamento.pt/OrcamentoEstado/Paginas/DetalhePropostaAlteracao.aspx?BID=25173 PDF: https://app.parlamento.pt/webutils/docs/doc.pdf?path=6148523063484d364c793942556b356c6443397a6158526c63793959566b6c4a544556484c3039464c7a49774d6a59794d4449314d5441774f533951515339684d54466a596a4d354d7931694d4451354c545177595445744f574e6d4e6930325a5749785932526a4d475a6a5a444d756347526d&amp;Fich=a11cb393-b049-40a1-9cf6-6eb1cdc0fcd3.pdf&amp;Inline=true</t>
        </is>
      </c>
      <c r="X2030" s="2" t="inlineStr">
        <is>
          <t>Orçamento, Finanças e Administração Pública</t>
        </is>
      </c>
      <c r="Y2030" s="2" t="inlineStr">
        <is>
          <t>Articulado</t>
        </is>
      </c>
      <c r="Z2030" s="2" t="inlineStr">
        <is>
          <t>Aditamento (Artigo PPL)</t>
        </is>
      </c>
      <c r="AA2030" s="2" t="inlineStr">
        <is>
          <t>Rejeitado(a) em Comissão</t>
        </is>
      </c>
      <c r="AB2030" s="2" t="inlineStr"/>
      <c r="AC2030" s="2" t="inlineStr">
        <is>
          <t>1</t>
        </is>
      </c>
      <c r="AD2030" s="2" t="inlineStr">
        <is>
          <t>1</t>
        </is>
      </c>
      <c r="AE2030" s="2" t="inlineStr">
        <is>
          <t>25173</t>
        </is>
      </c>
      <c r="AF2030" s="2" t="inlineStr">
        <is>
          <t>https://www.parlamento.pt/OrcamentoEstado/Paginas/DetalhePropostaAlteracao.aspx?BID=25173</t>
        </is>
      </c>
      <c r="AG2030" s="2" t="inlineStr">
        <is>
          <t>https://app.parlamento.pt/webutils/docs/doc.pdf?path=6148523063484d364c793942556b356c6443397a6158526c63793959566b6c4a544556484c3039464c7a49774d6a59794d4449314d5441774f533951515339684d54466a596a4d354d7931694d4451354c545177595445744f574e6d4e6930325a5749785932526a4d475a6a5a444d756347526d&amp;Fich=a11cb393-b049-40a1-9cf6-6eb1cdc0fcd3.pdf&amp;Inline=true</t>
        </is>
      </c>
      <c r="AH2030" s="3" t="n">
        <v>46321.77847222222</v>
      </c>
      <c r="AI2030" s="3" t="n">
        <v>46321.78055555555</v>
      </c>
      <c r="AJ2030" s="2" t="inlineStr"/>
    </row>
    <row r="2031">
      <c r="A2031" s="2" t="n">
        <v>2030</v>
      </c>
      <c r="B2031" s="2" t="inlineStr">
        <is>
          <t>1920C-2</t>
        </is>
      </c>
      <c r="C2031" s="3" t="n">
        <v>45968.73888888889</v>
      </c>
      <c r="D2031" s="2" t="inlineStr">
        <is>
          <t>Original</t>
        </is>
      </c>
      <c r="E2031" s="2" t="inlineStr">
        <is>
          <t>L</t>
        </is>
      </c>
      <c r="F2031" s="2" t="inlineStr">
        <is>
          <t>Filipa Pinto; Isabel Mendes Lopes; Jorge Pinto; Patrícia Gonçalves; Paulo Muacho; Rui Tavares</t>
        </is>
      </c>
      <c r="G2031" s="2" t="inlineStr">
        <is>
          <t>Art. 60.º (substituição)</t>
        </is>
      </c>
      <c r="H2031" s="2" t="n"/>
      <c r="I2031" s="2" t="n"/>
      <c r="J2031" s="2" t="n"/>
      <c r="K2031" s="2" t="n"/>
      <c r="L2031" s="2" t="inlineStr">
        <is>
          <t>Ponto 2, Alínea b), N.º 3, Artigo 2.º do Código do IRS</t>
        </is>
      </c>
      <c r="M2031" s="4" t="n"/>
      <c r="N2031" s="4" t="n"/>
      <c r="O2031" s="2" t="n"/>
      <c r="P2031" s="2" t="n"/>
      <c r="Q2031" s="2" t="n"/>
      <c r="R2031" s="2" t="n"/>
      <c r="S2031" s="2" t="inlineStr">
        <is>
          <t>Rejeitado(a) em Comissão</t>
        </is>
      </c>
      <c r="T2031" s="2" t="inlineStr">
        <is>
          <t>Rejeitada</t>
        </is>
      </c>
      <c r="U2031" s="2" t="inlineStr">
        <is>
          <t>Favor: CH, L, BE, PAN; Contra: PSD, IL, PCP, CDS-PP; Abstenção: PS</t>
        </is>
      </c>
      <c r="V2031" s="3" t="n">
        <v>45981</v>
      </c>
      <c r="W2031" s="2" t="inlineStr">
        <is>
          <t>AR: https://www.parlamento.pt/OrcamentoEstado/Paginas/DetalhePropostaAlteracao.aspx?BID=25388 PDF: https://app.parlamento.pt/webutils/docs/doc.pdf?path=6148523063484d364c793942556b356c6443397a6158526c63793959566b6c4a544556484c3039464c7a49774d6a59794d4449314d5441774f533951515338784f5755354e475a694e6930344d5745354c54526a5a574574595745344d693033596d46694e5455314f5456684d6d51756347526d&amp;Fich=19e94fb6-81a9-4cea-aa82-7bab55595a2d.pdf&amp;Inline=true</t>
        </is>
      </c>
      <c r="X2031" s="2" t="inlineStr">
        <is>
          <t>Orçamento, Finanças e Administração Pública</t>
        </is>
      </c>
      <c r="Y2031" s="2" t="inlineStr">
        <is>
          <t>Articulado</t>
        </is>
      </c>
      <c r="Z2031" s="2" t="inlineStr">
        <is>
          <t>Substituição</t>
        </is>
      </c>
      <c r="AA2031" s="2" t="inlineStr">
        <is>
          <t>Rejeitado(a) em Comissão</t>
        </is>
      </c>
      <c r="AB2031" s="2" t="inlineStr"/>
      <c r="AC2031" s="2" t="inlineStr">
        <is>
          <t>2</t>
        </is>
      </c>
      <c r="AD2031" s="2" t="inlineStr">
        <is>
          <t>1</t>
        </is>
      </c>
      <c r="AE2031" s="2" t="inlineStr">
        <is>
          <t>25388</t>
        </is>
      </c>
      <c r="AF2031" s="2" t="inlineStr">
        <is>
          <t>https://www.parlamento.pt/OrcamentoEstado/Paginas/DetalhePropostaAlteracao.aspx?BID=25388</t>
        </is>
      </c>
      <c r="AG2031" s="2" t="inlineStr">
        <is>
          <t>https://app.parlamento.pt/webutils/docs/doc.pdf?path=6148523063484d364c793942556b356c6443397a6158526c63793959566b6c4a544556484c3039464c7a49774d6a59794d4449314d5441774f533951515338784f5755354e475a694e6930344d5745354c54526a5a574574595745344d693033596d46694e5455314f5456684d6d51756347526d&amp;Fich=19e94fb6-81a9-4cea-aa82-7bab55595a2d.pdf&amp;Inline=true</t>
        </is>
      </c>
      <c r="AH2031" s="3" t="n">
        <v>46321.77847222222</v>
      </c>
      <c r="AI2031" s="3" t="n">
        <v>46321.78055555555</v>
      </c>
      <c r="AJ2031" s="2" t="inlineStr"/>
    </row>
    <row r="2032">
      <c r="A2032" s="2" t="n">
        <v>2031</v>
      </c>
      <c r="B2032" s="2" t="inlineStr">
        <is>
          <t>1921C-1</t>
        </is>
      </c>
      <c r="C2032" s="3" t="n">
        <v>45968.73888888889</v>
      </c>
      <c r="D2032" s="2" t="inlineStr">
        <is>
          <t>Original</t>
        </is>
      </c>
      <c r="E2032" s="2" t="inlineStr">
        <is>
          <t>PSD</t>
        </is>
      </c>
      <c r="F2032" s="2" t="inlineStr">
        <is>
          <t>Paulo Neves; Pedro Coelho; Vânia Jesus</t>
        </is>
      </c>
      <c r="G2032" s="2" t="inlineStr">
        <is>
          <t>Art. 60.º (substituição)</t>
        </is>
      </c>
      <c r="H2032" s="2" t="n"/>
      <c r="I2032" s="2" t="n"/>
      <c r="J2032" s="2" t="n"/>
      <c r="K2032" s="2" t="n"/>
      <c r="L2032" s="2" t="inlineStr">
        <is>
          <t>N.º 8, Artigo 98.º do Código do IRS</t>
        </is>
      </c>
      <c r="M2032" s="4" t="n"/>
      <c r="N2032" s="4" t="n"/>
      <c r="O2032" s="2" t="n"/>
      <c r="P2032" s="2" t="n"/>
      <c r="Q2032" s="2" t="n"/>
      <c r="R2032" s="2" t="n"/>
      <c r="S2032" s="2" t="inlineStr">
        <is>
          <t>Rejeitado(a) em Comissão</t>
        </is>
      </c>
      <c r="T2032" s="2" t="inlineStr">
        <is>
          <t>Rejeitada</t>
        </is>
      </c>
      <c r="U2032" s="2" t="inlineStr">
        <is>
          <t>Favor: CH, IL, L, PCP, BE, PAN, Pedro Coelho(PSD); Contra: PSD, CDS-PP; Abstenção: PS</t>
        </is>
      </c>
      <c r="V2032" s="3" t="n">
        <v>45981</v>
      </c>
      <c r="W2032" s="2" t="inlineStr">
        <is>
          <t>AR: https://www.parlamento.pt/OrcamentoEstado/Paginas/DetalhePropostaAlteracao.aspx?BID=25174 PDF: https://app.parlamento.pt/webutils/docs/doc.pdf?path=6148523063484d364c793942556b356c6443397a6158526c63793959566b6c4a544556484c3039464c7a49774d6a59794d4449314d5441774f533951515338345a446b79597a51334e433033595463794c54526b4e7a6b74596a686c4d7930354e7a6b794f5749354f5451334e546b756347526d&amp;Fich=8d92c474-7a72-4d79-b8e3-97929b994759.pdf&amp;Inline=true</t>
        </is>
      </c>
      <c r="X2032" s="2" t="inlineStr">
        <is>
          <t>Orçamento, Finanças e Administração Pública</t>
        </is>
      </c>
      <c r="Y2032" s="2" t="inlineStr">
        <is>
          <t>Articulado</t>
        </is>
      </c>
      <c r="Z2032" s="2" t="inlineStr">
        <is>
          <t>Substituição</t>
        </is>
      </c>
      <c r="AA2032" s="2" t="inlineStr">
        <is>
          <t>Rejeitado(a) em Comissão</t>
        </is>
      </c>
      <c r="AB2032" s="2" t="inlineStr"/>
      <c r="AC2032" s="2" t="inlineStr">
        <is>
          <t>1</t>
        </is>
      </c>
      <c r="AD2032" s="2" t="inlineStr">
        <is>
          <t>1</t>
        </is>
      </c>
      <c r="AE2032" s="2" t="inlineStr">
        <is>
          <t>25174</t>
        </is>
      </c>
      <c r="AF2032" s="2" t="inlineStr">
        <is>
          <t>https://www.parlamento.pt/OrcamentoEstado/Paginas/DetalhePropostaAlteracao.aspx?BID=25174</t>
        </is>
      </c>
      <c r="AG2032" s="2" t="inlineStr">
        <is>
          <t>https://app.parlamento.pt/webutils/docs/doc.pdf?path=6148523063484d364c793942556b356c6443397a6158526c63793959566b6c4a544556484c3039464c7a49774d6a59794d4449314d5441774f533951515338345a446b79597a51334e433033595463794c54526b4e7a6b74596a686c4d7930354e7a6b794f5749354f5451334e546b756347526d&amp;Fich=8d92c474-7a72-4d79-b8e3-97929b994759.pdf&amp;Inline=true</t>
        </is>
      </c>
      <c r="AH2032" s="3" t="n">
        <v>46321.77847222222</v>
      </c>
      <c r="AI2032" s="3" t="n">
        <v>46321.78055555555</v>
      </c>
      <c r="AJ2032" s="2" t="inlineStr"/>
    </row>
    <row r="2033">
      <c r="A2033" s="2" t="n">
        <v>2032</v>
      </c>
      <c r="B2033" s="2" t="inlineStr">
        <is>
          <t>1921C-2</t>
        </is>
      </c>
      <c r="C2033" s="3" t="n">
        <v>45968.73888888889</v>
      </c>
      <c r="D2033" s="2" t="inlineStr">
        <is>
          <t>Original</t>
        </is>
      </c>
      <c r="E2033" s="2" t="inlineStr">
        <is>
          <t>PSD</t>
        </is>
      </c>
      <c r="F2033" s="2" t="inlineStr">
        <is>
          <t>Paulo Neves; Pedro Coelho; Vânia Jesus</t>
        </is>
      </c>
      <c r="G2033" s="2" t="inlineStr">
        <is>
          <t>Art. 61.º (aditamento)</t>
        </is>
      </c>
      <c r="H2033" s="2" t="n"/>
      <c r="I2033" s="2" t="n"/>
      <c r="J2033" s="2" t="n"/>
      <c r="K2033" s="2" t="n"/>
      <c r="L2033" s="2" t="inlineStr">
        <is>
          <t>N.º 11, Artigo 94.º, N.º 12, Artigo 120.º do Código do IRC</t>
        </is>
      </c>
      <c r="M2033" s="4" t="n"/>
      <c r="N2033" s="4" t="n"/>
      <c r="O2033" s="2" t="n"/>
      <c r="P2033" s="2" t="n"/>
      <c r="Q2033" s="2" t="n"/>
      <c r="R2033" s="2" t="n"/>
      <c r="S2033" s="2" t="inlineStr">
        <is>
          <t>Rejeitado(a) em Comissão</t>
        </is>
      </c>
      <c r="T2033" s="2" t="inlineStr">
        <is>
          <t>Rejeitada</t>
        </is>
      </c>
      <c r="U2033" s="2" t="inlineStr">
        <is>
          <t>Favor: CH, IL, L, PCP, PAN; Contra: PSD, CDS-PP; Abstenção: PS, BE</t>
        </is>
      </c>
      <c r="V2033" s="3" t="n">
        <v>45981</v>
      </c>
      <c r="W2033" s="2" t="inlineStr">
        <is>
          <t>AR: https://www.parlamento.pt/OrcamentoEstado/Paginas/DetalhePropostaAlteracao.aspx?BID=25368 PDF: https://app.parlamento.pt/webutils/docs/doc.pdf?path=6148523063484d364c793942556b356c6443397a6158526c63793959566b6c4a544556484c3039464c7a49774d6a59794d4449314d5441774f533951515338325932466b4f5455795a53316c596a5a6c4c54526c596a4574596a526d4d69316d5a47593459574d784f5751325a5751756347526d&amp;Fich=6cad952e-eb6e-4eb1-b4f2-fdf8ac19d6ed.pdf&amp;Inline=true</t>
        </is>
      </c>
      <c r="X2033" s="2" t="inlineStr">
        <is>
          <t>Orçamento, Finanças e Administração Pública</t>
        </is>
      </c>
      <c r="Y2033" s="2" t="inlineStr">
        <is>
          <t>Articulado</t>
        </is>
      </c>
      <c r="Z2033" s="2" t="inlineStr">
        <is>
          <t>Aditamento (Números e Alíneas)</t>
        </is>
      </c>
      <c r="AA2033" s="2" t="inlineStr">
        <is>
          <t>Rejeitado(a) em Comissão</t>
        </is>
      </c>
      <c r="AB2033" s="2" t="inlineStr"/>
      <c r="AC2033" s="2" t="inlineStr">
        <is>
          <t>2</t>
        </is>
      </c>
      <c r="AD2033" s="2" t="inlineStr">
        <is>
          <t>1</t>
        </is>
      </c>
      <c r="AE2033" s="2" t="inlineStr">
        <is>
          <t>25368</t>
        </is>
      </c>
      <c r="AF2033" s="2" t="inlineStr">
        <is>
          <t>https://www.parlamento.pt/OrcamentoEstado/Paginas/DetalhePropostaAlteracao.aspx?BID=25368</t>
        </is>
      </c>
      <c r="AG2033" s="2" t="inlineStr">
        <is>
          <t>https://app.parlamento.pt/webutils/docs/doc.pdf?path=6148523063484d364c793942556b356c6443397a6158526c63793959566b6c4a544556484c3039464c7a49774d6a59794d4449314d5441774f533951515338325932466b4f5455795a53316c596a5a6c4c54526c596a4574596a526d4d69316d5a47593459574d784f5751325a5751756347526d&amp;Fich=6cad952e-eb6e-4eb1-b4f2-fdf8ac19d6ed.pdf&amp;Inline=true</t>
        </is>
      </c>
      <c r="AH2033" s="3" t="n">
        <v>46321.77847222222</v>
      </c>
      <c r="AI2033" s="3" t="n">
        <v>46321.78055555555</v>
      </c>
      <c r="AJ2033" s="2" t="inlineStr"/>
    </row>
    <row r="2034">
      <c r="A2034" s="2" t="n">
        <v>2033</v>
      </c>
      <c r="B2034" s="2" t="inlineStr">
        <is>
          <t>1922C</t>
        </is>
      </c>
      <c r="C2034" s="3" t="n">
        <v>45968.73888888889</v>
      </c>
      <c r="D2034" s="2" t="inlineStr">
        <is>
          <t>Original</t>
        </is>
      </c>
      <c r="E2034" s="2" t="inlineStr">
        <is>
          <t>PCP</t>
        </is>
      </c>
      <c r="F2034" s="2" t="inlineStr">
        <is>
          <t>Alfredo Maia; Paula Santos; Paulo Raimundo</t>
        </is>
      </c>
      <c r="G2034" s="2" t="inlineStr">
        <is>
          <t>Art. 118.º-A (aditamento)</t>
        </is>
      </c>
      <c r="H2034" s="2" t="n"/>
      <c r="I2034" s="2" t="n"/>
      <c r="J2034" s="2" t="n"/>
      <c r="K2034" s="2" t="n"/>
      <c r="L2034" s="2" t="inlineStr">
        <is>
          <t>Artigo 118.º-A (Reforço do programa de apoio à criação literária)</t>
        </is>
      </c>
      <c r="M2034" s="4" t="n"/>
      <c r="N2034" s="4" t="n"/>
      <c r="O2034" s="2" t="n"/>
      <c r="P2034" s="2" t="n"/>
      <c r="Q2034" s="2" t="n"/>
      <c r="R2034" s="2" t="n"/>
      <c r="S2034" s="2" t="inlineStr">
        <is>
          <t>Rejeitado(a) em Comissão</t>
        </is>
      </c>
      <c r="T2034" s="2" t="inlineStr">
        <is>
          <t>Rejeitada</t>
        </is>
      </c>
      <c r="U2034" s="2" t="inlineStr">
        <is>
          <t>Favor: L, PCP, BE, PAN; Contra: PSD, IL, CDS-PP; Abstenção: CH, PS</t>
        </is>
      </c>
      <c r="V2034" s="3" t="n">
        <v>45985</v>
      </c>
      <c r="W2034" s="2" t="inlineStr">
        <is>
          <t>AR: https://www.parlamento.pt/OrcamentoEstado/Paginas/DetalhePropostaAlteracao.aspx?BID=25175 PDF: https://app.parlamento.pt/webutils/docs/doc.pdf?path=6148523063484d364c793942556b356c6443397a6158526c63793959566b6c4a544556484c3039464c7a49774d6a59794d4449314d5441774f533951515338795a6a56694d324d7a4d79307a4e6a6c6c4c5452694d446b744f474579596930344e32566a5a5441314d7a63315a6d45756347526d&amp;Fich=2f5b3c33-369e-4b09-8a2b-87ece05375fa.pdf&amp;Inline=true</t>
        </is>
      </c>
      <c r="X2034" s="2" t="inlineStr">
        <is>
          <t>Cultura, Comunicação, Juventude e Desporto</t>
        </is>
      </c>
      <c r="Y2034" s="2" t="inlineStr">
        <is>
          <t>Articulado</t>
        </is>
      </c>
      <c r="Z2034" s="2" t="inlineStr">
        <is>
          <t>Aditamento (Artigo PPL)</t>
        </is>
      </c>
      <c r="AA2034" s="2" t="inlineStr">
        <is>
          <t>Rejeitado(a) em Comissão</t>
        </is>
      </c>
      <c r="AB2034" s="2" t="inlineStr"/>
      <c r="AC2034" s="2" t="inlineStr"/>
      <c r="AD2034" s="2" t="inlineStr">
        <is>
          <t>1</t>
        </is>
      </c>
      <c r="AE2034" s="2" t="inlineStr">
        <is>
          <t>25175</t>
        </is>
      </c>
      <c r="AF2034" s="2" t="inlineStr">
        <is>
          <t>https://www.parlamento.pt/OrcamentoEstado/Paginas/DetalhePropostaAlteracao.aspx?BID=25175</t>
        </is>
      </c>
      <c r="AG2034" s="2" t="inlineStr">
        <is>
          <t>https://app.parlamento.pt/webutils/docs/doc.pdf?path=6148523063484d364c793942556b356c6443397a6158526c63793959566b6c4a544556484c3039464c7a49774d6a59794d4449314d5441774f533951515338795a6a56694d324d7a4d79307a4e6a6c6c4c5452694d446b744f474579596930344e32566a5a5441314d7a63315a6d45756347526d&amp;Fich=2f5b3c33-369e-4b09-8a2b-87ece05375fa.pdf&amp;Inline=true</t>
        </is>
      </c>
      <c r="AH2034" s="3" t="n">
        <v>46321.77847222222</v>
      </c>
      <c r="AI2034" s="3" t="n">
        <v>46321.78055555555</v>
      </c>
      <c r="AJ2034" s="2" t="inlineStr"/>
    </row>
    <row r="2035">
      <c r="A2035" s="2" t="n">
        <v>2034</v>
      </c>
      <c r="B2035" s="2" t="inlineStr">
        <is>
          <t>1923C</t>
        </is>
      </c>
      <c r="C2035" s="3" t="n">
        <v>45968.73888888889</v>
      </c>
      <c r="D2035" s="2" t="inlineStr">
        <is>
          <t>Original</t>
        </is>
      </c>
      <c r="E2035" s="2" t="inlineStr">
        <is>
          <t>L</t>
        </is>
      </c>
      <c r="F2035" s="2" t="inlineStr">
        <is>
          <t>Filipa Pinto; Isabel Mendes Lopes; Jorge Pinto; Patrícia Gonçalves; Paulo Muacho; Rui Tavares</t>
        </is>
      </c>
      <c r="G2035" s="2" t="inlineStr">
        <is>
          <t>Art. 113.º-A (aditamento)</t>
        </is>
      </c>
      <c r="H2035" s="2" t="n"/>
      <c r="I2035" s="2" t="n"/>
      <c r="J2035" s="2" t="n"/>
      <c r="K2035" s="2" t="n"/>
      <c r="L2035" s="2" t="inlineStr">
        <is>
          <t>Artigo 113.º-A (Reforço da resiliência energética das infraestruturas críticas)</t>
        </is>
      </c>
      <c r="M2035" s="4" t="n"/>
      <c r="N2035" s="4" t="n"/>
      <c r="O2035" s="2" t="n"/>
      <c r="P2035" s="2" t="n"/>
      <c r="Q2035" s="2" t="n"/>
      <c r="R2035" s="2" t="n"/>
      <c r="S2035" s="2" t="inlineStr">
        <is>
          <t>Rejeitado(a) em Comissão</t>
        </is>
      </c>
      <c r="T2035" s="2" t="inlineStr">
        <is>
          <t>Rejeitada</t>
        </is>
      </c>
      <c r="U2035" s="2" t="inlineStr">
        <is>
          <t>Favor: IL, L, BE, PAN; Contra: PSD, CDS-PP; Abstenção: CH, PS, PCP</t>
        </is>
      </c>
      <c r="V2035" s="3" t="n">
        <v>45987</v>
      </c>
      <c r="W2035" s="2" t="inlineStr">
        <is>
          <t>AR: https://www.parlamento.pt/OrcamentoEstado/Paginas/DetalhePropostaAlteracao.aspx?BID=25176 PDF: https://app.parlamento.pt/webutils/docs/doc.pdf?path=6148523063484d364c793942556b356c6443397a6158526c63793959566b6c4a544556484c3039464c7a49774d6a59794d4449314d5441774f533951515339685a4759344e4751775a43316a4e44466c4c5452684f5445744f5749334e69316c5a6d4e6c4e6d4a685a4745354d6a51756347526d&amp;Fich=adf84d0d-c41e-4a91-9b76-efce6bada924.pdf&amp;Inline=true</t>
        </is>
      </c>
      <c r="X2035" s="2" t="inlineStr">
        <is>
          <t>Ambiente e Energia; Comissão de Economia e Coesão Territorial</t>
        </is>
      </c>
      <c r="Y2035" s="2" t="inlineStr">
        <is>
          <t>Articulado</t>
        </is>
      </c>
      <c r="Z2035" s="2" t="inlineStr">
        <is>
          <t>Aditamento (Artigo PPL)</t>
        </is>
      </c>
      <c r="AA2035" s="2" t="inlineStr">
        <is>
          <t>Rejeitado(a) em Comissão</t>
        </is>
      </c>
      <c r="AB2035" s="2" t="inlineStr"/>
      <c r="AC2035" s="2" t="inlineStr"/>
      <c r="AD2035" s="2" t="inlineStr">
        <is>
          <t>1</t>
        </is>
      </c>
      <c r="AE2035" s="2" t="inlineStr">
        <is>
          <t>25176</t>
        </is>
      </c>
      <c r="AF2035" s="2" t="inlineStr">
        <is>
          <t>https://www.parlamento.pt/OrcamentoEstado/Paginas/DetalhePropostaAlteracao.aspx?BID=25176</t>
        </is>
      </c>
      <c r="AG2035" s="2" t="inlineStr">
        <is>
          <t>https://app.parlamento.pt/webutils/docs/doc.pdf?path=6148523063484d364c793942556b356c6443397a6158526c63793959566b6c4a544556484c3039464c7a49774d6a59794d4449314d5441774f533951515339685a4759344e4751775a43316a4e44466c4c5452684f5445744f5749334e69316c5a6d4e6c4e6d4a685a4745354d6a51756347526d&amp;Fich=adf84d0d-c41e-4a91-9b76-efce6bada924.pdf&amp;Inline=true</t>
        </is>
      </c>
      <c r="AH2035" s="3" t="n">
        <v>46321.77847222222</v>
      </c>
      <c r="AI2035" s="3" t="n">
        <v>46321.78055555555</v>
      </c>
      <c r="AJ2035" s="2" t="inlineStr"/>
    </row>
    <row r="2036">
      <c r="A2036" s="2" t="n">
        <v>2035</v>
      </c>
      <c r="B2036" s="2" t="inlineStr">
        <is>
          <t>1924C</t>
        </is>
      </c>
      <c r="C2036" s="3" t="n">
        <v>45968.73958333334</v>
      </c>
      <c r="D2036" s="2" t="inlineStr">
        <is>
          <t>Original</t>
        </is>
      </c>
      <c r="E2036" s="2" t="inlineStr">
        <is>
          <t>PCP</t>
        </is>
      </c>
      <c r="F2036" s="2" t="inlineStr">
        <is>
          <t>Alfredo Maia; Paula Santos; Paulo Raimundo</t>
        </is>
      </c>
      <c r="G2036" s="2" t="inlineStr">
        <is>
          <t>Art. 118.º-A (aditamento)</t>
        </is>
      </c>
      <c r="H2036" s="2" t="n"/>
      <c r="I2036" s="2" t="n"/>
      <c r="J2036" s="2" t="n"/>
      <c r="K2036" s="2" t="n"/>
      <c r="L2036" s="2" t="inlineStr">
        <is>
          <t>Artigo 118.º-A (Programa Nacional de Emergência do Património Cultural)</t>
        </is>
      </c>
      <c r="M2036" s="4" t="n"/>
      <c r="N2036" s="4" t="n"/>
      <c r="O2036" s="2" t="n"/>
      <c r="P2036" s="2" t="n"/>
      <c r="Q2036" s="2" t="n"/>
      <c r="R2036" s="2" t="n"/>
      <c r="S2036" s="2" t="inlineStr">
        <is>
          <t>Rejeitado(a) em Comissão</t>
        </is>
      </c>
      <c r="T2036" s="2" t="inlineStr">
        <is>
          <t>Rejeitada</t>
        </is>
      </c>
      <c r="U2036" s="2" t="inlineStr">
        <is>
          <t>Favor: L, PCP, BE, PAN; Contra: PSD, IL, CDS-PP; Abstenção: CH, PS</t>
        </is>
      </c>
      <c r="V2036" s="3" t="n">
        <v>45985</v>
      </c>
      <c r="W2036" s="2" t="inlineStr">
        <is>
          <t>AR: https://www.parlamento.pt/OrcamentoEstado/Paginas/DetalhePropostaAlteracao.aspx?BID=25177 PDF: https://app.parlamento.pt/webutils/docs/doc.pdf?path=6148523063484d364c793942556b356c6443397a6158526c63793959566b6c4a544556484c3039464c7a49774d6a59794d4449314d5441774f5339515153396c4f474e6b5a5445334f53316c4d7a637a4c54517a4e446774596d51785969316a5a6d49305a444d794d3249785a574d756347526d&amp;Fich=e8cde179-e373-4348-bd1b-cfb4d323b1ec.pdf&amp;Inline=true</t>
        </is>
      </c>
      <c r="X2036" s="2" t="inlineStr">
        <is>
          <t>Cultura, Comunicação, Juventude e Desporto</t>
        </is>
      </c>
      <c r="Y2036" s="2" t="inlineStr">
        <is>
          <t>Articulado</t>
        </is>
      </c>
      <c r="Z2036" s="2" t="inlineStr">
        <is>
          <t>Aditamento (Artigo PPL)</t>
        </is>
      </c>
      <c r="AA2036" s="2" t="inlineStr">
        <is>
          <t>Rejeitado(a) em Comissão</t>
        </is>
      </c>
      <c r="AB2036" s="2" t="inlineStr"/>
      <c r="AC2036" s="2" t="inlineStr"/>
      <c r="AD2036" s="2" t="inlineStr">
        <is>
          <t>1</t>
        </is>
      </c>
      <c r="AE2036" s="2" t="inlineStr">
        <is>
          <t>25177</t>
        </is>
      </c>
      <c r="AF2036" s="2" t="inlineStr">
        <is>
          <t>https://www.parlamento.pt/OrcamentoEstado/Paginas/DetalhePropostaAlteracao.aspx?BID=25177</t>
        </is>
      </c>
      <c r="AG2036" s="2" t="inlineStr">
        <is>
          <t>https://app.parlamento.pt/webutils/docs/doc.pdf?path=6148523063484d364c793942556b356c6443397a6158526c63793959566b6c4a544556484c3039464c7a49774d6a59794d4449314d5441774f5339515153396c4f474e6b5a5445334f53316c4d7a637a4c54517a4e446774596d51785969316a5a6d49305a444d794d3249785a574d756347526d&amp;Fich=e8cde179-e373-4348-bd1b-cfb4d323b1ec.pdf&amp;Inline=true</t>
        </is>
      </c>
      <c r="AH2036" s="3" t="n">
        <v>46321.77847222222</v>
      </c>
      <c r="AI2036" s="3" t="n">
        <v>46321.78055555555</v>
      </c>
      <c r="AJ2036" s="2" t="inlineStr"/>
    </row>
    <row r="2037">
      <c r="A2037" s="2" t="n">
        <v>2036</v>
      </c>
      <c r="B2037" s="2" t="inlineStr">
        <is>
          <t>1925C</t>
        </is>
      </c>
      <c r="C2037" s="3" t="n">
        <v>45968.73958333334</v>
      </c>
      <c r="D2037" s="2" t="inlineStr">
        <is>
          <t>Retirada</t>
        </is>
      </c>
      <c r="E2037" s="2" t="inlineStr">
        <is>
          <t>L</t>
        </is>
      </c>
      <c r="F2037" s="2" t="inlineStr">
        <is>
          <t>Filipa Pinto; Isabel Mendes Lopes; Jorge Pinto; Patrícia Gonçalves; Paulo Muacho; Rui Tavares</t>
        </is>
      </c>
      <c r="G2037" s="2" t="inlineStr">
        <is>
          <t>Articulado</t>
        </is>
      </c>
      <c r="H2037" s="2" t="n"/>
      <c r="I2037" s="2" t="n"/>
      <c r="J2037" s="2" t="n"/>
      <c r="K2037" s="2" t="n"/>
      <c r="L2037" s="2" t="inlineStr">
        <is>
          <t>112-A(Regime extraordinário de proteção dos arrendatários habitacionais e de execução de hipoteca)</t>
        </is>
      </c>
      <c r="M2037" s="4" t="n"/>
      <c r="N2037" s="4" t="n"/>
      <c r="O2037" s="2" t="n"/>
      <c r="P2037" s="2" t="n"/>
      <c r="Q2037" s="2" t="n"/>
      <c r="R2037" s="2" t="n"/>
      <c r="S2037" s="2" t="inlineStr">
        <is>
          <t>Retirado(a)</t>
        </is>
      </c>
      <c r="T2037" s="2" t="inlineStr">
        <is>
          <t>Retirada</t>
        </is>
      </c>
      <c r="U2037" s="2" t="inlineStr"/>
      <c r="V2037" s="3" t="n"/>
      <c r="W2037" s="2" t="inlineStr">
        <is>
          <t>AR: https://www.parlamento.pt/OrcamentoEstado/Paginas/DetalhePropostaAlteracao.aspx?BID=25178 PDF: https://app.parlamento.pt/webutils/docs/doc.pdf?path=6148523063484d364c793942556b356c6443397a6158526c63793959566b6c4a544556484c3039464c7a49774d6a59794d4449314d5441774f533951515338774f5755324f5467774d6931684d3259304c5451304d6a5974595441355a433031597a646c4e5451304e5449794e4751756347526d&amp;Fich=09e69802-a3f4-4426-a09d-5c7e5445224d.pdf&amp;Inline=true</t>
        </is>
      </c>
      <c r="X2037" s="2" t="inlineStr">
        <is>
          <t>Infraestruturas, Mobilidade e Habitação</t>
        </is>
      </c>
      <c r="Y2037" s="2" t="inlineStr">
        <is>
          <t>Articulado</t>
        </is>
      </c>
      <c r="Z2037" s="2" t="inlineStr">
        <is>
          <t>Por Definir</t>
        </is>
      </c>
      <c r="AA2037" s="2" t="inlineStr">
        <is>
          <t>Retirado(a)</t>
        </is>
      </c>
      <c r="AB2037" s="2" t="inlineStr"/>
      <c r="AC2037" s="2" t="inlineStr"/>
      <c r="AD2037" s="2" t="inlineStr">
        <is>
          <t>0</t>
        </is>
      </c>
      <c r="AE2037" s="2" t="inlineStr">
        <is>
          <t>25178</t>
        </is>
      </c>
      <c r="AF2037" s="2" t="inlineStr">
        <is>
          <t>https://www.parlamento.pt/OrcamentoEstado/Paginas/DetalhePropostaAlteracao.aspx?BID=25178</t>
        </is>
      </c>
      <c r="AG2037" s="2" t="inlineStr">
        <is>
          <t>https://app.parlamento.pt/webutils/docs/doc.pdf?path=6148523063484d364c793942556b356c6443397a6158526c63793959566b6c4a544556484c3039464c7a49774d6a59794d4449314d5441774f533951515338774f5755324f5467774d6931684d3259304c5451304d6a5974595441355a433031597a646c4e5451304e5449794e4751756347526d&amp;Fich=09e69802-a3f4-4426-a09d-5c7e5445224d.pdf&amp;Inline=true</t>
        </is>
      </c>
      <c r="AH2037" s="3" t="n">
        <v>46321.77847222222</v>
      </c>
      <c r="AI2037" s="3" t="n">
        <v>46321.78055555555</v>
      </c>
      <c r="AJ2037" s="2" t="inlineStr"/>
    </row>
    <row r="2038">
      <c r="A2038" s="2" t="n">
        <v>2037</v>
      </c>
      <c r="B2038" s="2" t="inlineStr">
        <is>
          <t>1926C</t>
        </is>
      </c>
      <c r="C2038" s="3" t="n">
        <v>45968.74027777778</v>
      </c>
      <c r="D2038" s="2" t="inlineStr">
        <is>
          <t>Original</t>
        </is>
      </c>
      <c r="E2038" s="2" t="inlineStr">
        <is>
          <t>PCP</t>
        </is>
      </c>
      <c r="F2038" s="2" t="inlineStr">
        <is>
          <t>Alfredo Maia; Paula Santos; Paulo Raimundo</t>
        </is>
      </c>
      <c r="G2038" s="2" t="inlineStr">
        <is>
          <t>Art. 118.º-A (aditamento)</t>
        </is>
      </c>
      <c r="H2038" s="2" t="n"/>
      <c r="I2038" s="2" t="n"/>
      <c r="J2038" s="2" t="n"/>
      <c r="K2038" s="2" t="n"/>
      <c r="L2038" s="2" t="inlineStr">
        <is>
          <t>Artigo 118.º-A (Reforço dos recursos humanos dos Serviços do Património Cultural, I.P. - CNANS, LARC, arquivos e bibliotecas)</t>
        </is>
      </c>
      <c r="M2038" s="4" t="n"/>
      <c r="N2038" s="4" t="n"/>
      <c r="O2038" s="2" t="n"/>
      <c r="P2038" s="2" t="n"/>
      <c r="Q2038" s="2" t="n"/>
      <c r="R2038" s="2" t="n"/>
      <c r="S2038" s="2" t="inlineStr">
        <is>
          <t>Rejeitado(a) em Comissão</t>
        </is>
      </c>
      <c r="T2038" s="2" t="inlineStr">
        <is>
          <t>Rejeitada</t>
        </is>
      </c>
      <c r="U2038" s="2" t="inlineStr">
        <is>
          <t>Favor: L, PCP, BE, PAN; Contra: PSD, IL, CDS-PP; Abstenção: CH, PS</t>
        </is>
      </c>
      <c r="V2038" s="3" t="n">
        <v>45985</v>
      </c>
      <c r="W2038" s="2" t="inlineStr">
        <is>
          <t>AR: https://www.parlamento.pt/OrcamentoEstado/Paginas/DetalhePropostaAlteracao.aspx?BID=25179 PDF: https://app.parlamento.pt/webutils/docs/doc.pdf?path=6148523063484d364c793942556b356c6443397a6158526c63793959566b6c4a544556484c3039464c7a49774d6a59794d4449314d5441774f5339515153396d59544e684f4751775a693033597a45324c5451344e5449744f474e6c4f433079597a4930596a497a597a4e6d5a6d59756347526d&amp;Fich=fa3a8d0f-7c16-4852-8ce8-2c24b23c3fff.pdf&amp;Inline=true</t>
        </is>
      </c>
      <c r="X2038" s="2" t="inlineStr">
        <is>
          <t>Cultura, Comunicação, Juventude e Desporto</t>
        </is>
      </c>
      <c r="Y2038" s="2" t="inlineStr">
        <is>
          <t>Articulado</t>
        </is>
      </c>
      <c r="Z2038" s="2" t="inlineStr">
        <is>
          <t>Aditamento (Artigo PPL)</t>
        </is>
      </c>
      <c r="AA2038" s="2" t="inlineStr">
        <is>
          <t>Rejeitado(a) em Comissão</t>
        </is>
      </c>
      <c r="AB2038" s="2" t="inlineStr"/>
      <c r="AC2038" s="2" t="inlineStr"/>
      <c r="AD2038" s="2" t="inlineStr">
        <is>
          <t>1</t>
        </is>
      </c>
      <c r="AE2038" s="2" t="inlineStr">
        <is>
          <t>25179</t>
        </is>
      </c>
      <c r="AF2038" s="2" t="inlineStr">
        <is>
          <t>https://www.parlamento.pt/OrcamentoEstado/Paginas/DetalhePropostaAlteracao.aspx?BID=25179</t>
        </is>
      </c>
      <c r="AG2038" s="2" t="inlineStr">
        <is>
          <t>https://app.parlamento.pt/webutils/docs/doc.pdf?path=6148523063484d364c793942556b356c6443397a6158526c63793959566b6c4a544556484c3039464c7a49774d6a59794d4449314d5441774f5339515153396d59544e684f4751775a693033597a45324c5451344e5449744f474e6c4f433079597a4930596a497a597a4e6d5a6d59756347526d&amp;Fich=fa3a8d0f-7c16-4852-8ce8-2c24b23c3fff.pdf&amp;Inline=true</t>
        </is>
      </c>
      <c r="AH2038" s="3" t="n">
        <v>46321.77847222222</v>
      </c>
      <c r="AI2038" s="3" t="n">
        <v>46321.78055555555</v>
      </c>
      <c r="AJ2038" s="2" t="inlineStr"/>
    </row>
    <row r="2039">
      <c r="A2039" s="2" t="n">
        <v>2038</v>
      </c>
      <c r="B2039" s="2" t="inlineStr">
        <is>
          <t>1927C</t>
        </is>
      </c>
      <c r="C2039" s="3" t="n">
        <v>45968.74097222222</v>
      </c>
      <c r="D2039" s="2" t="inlineStr">
        <is>
          <t>Original</t>
        </is>
      </c>
      <c r="E2039" s="2" t="inlineStr">
        <is>
          <t>PCP</t>
        </is>
      </c>
      <c r="F2039" s="2" t="inlineStr">
        <is>
          <t>Alfredo Maia; Paula Santos; Paulo Raimundo</t>
        </is>
      </c>
      <c r="G2039" s="2" t="inlineStr">
        <is>
          <t>Art. 118.º-A (aditamento)</t>
        </is>
      </c>
      <c r="H2039" s="2" t="n"/>
      <c r="I2039" s="2" t="n"/>
      <c r="J2039" s="2" t="n"/>
      <c r="K2039" s="2" t="n"/>
      <c r="L2039" s="2" t="inlineStr">
        <is>
          <t>Artigo 118.º-A (Salvaguarda do Núcleo Documental de Partituras no Museu da Música)</t>
        </is>
      </c>
      <c r="M2039" s="4" t="n"/>
      <c r="N2039" s="4" t="n"/>
      <c r="O2039" s="2" t="n"/>
      <c r="P2039" s="2" t="n"/>
      <c r="Q2039" s="2" t="n"/>
      <c r="R2039" s="2" t="n"/>
      <c r="S2039" s="2" t="inlineStr">
        <is>
          <t>Rejeitado(a) em Comissão</t>
        </is>
      </c>
      <c r="T2039" s="2" t="inlineStr">
        <is>
          <t>Rejeitada</t>
        </is>
      </c>
      <c r="U2039" s="2" t="inlineStr">
        <is>
          <t>Favor: CH, L, PCP, BE, PAN; Contra: PSD, IL, CDS-PP; Abstenção: PS</t>
        </is>
      </c>
      <c r="V2039" s="3" t="n">
        <v>45985</v>
      </c>
      <c r="W2039" s="2" t="inlineStr">
        <is>
          <t>AR: https://www.parlamento.pt/OrcamentoEstado/Paginas/DetalhePropostaAlteracao.aspx?BID=25180 PDF: https://app.parlamento.pt/webutils/docs/doc.pdf?path=6148523063484d364c793942556b356c6443397a6158526c63793959566b6c4a544556484c3039464c7a49774d6a59794d4449314d5441774f5339515153396a4e6d52694f4755304d43316a59325a6d4c5451335a6d51744f544e6c4e5330335a444a6b5a574d324d7a417a597a51756347526d&amp;Fich=c6db8e40-ccff-47fd-93e5-7d2dec6303c4.pdf&amp;Inline=true</t>
        </is>
      </c>
      <c r="X2039" s="2" t="inlineStr">
        <is>
          <t>Cultura, Comunicação, Juventude e Desporto</t>
        </is>
      </c>
      <c r="Y2039" s="2" t="inlineStr">
        <is>
          <t>Articulado</t>
        </is>
      </c>
      <c r="Z2039" s="2" t="inlineStr">
        <is>
          <t>Aditamento (Artigo PPL)</t>
        </is>
      </c>
      <c r="AA2039" s="2" t="inlineStr">
        <is>
          <t>Rejeitado(a) em Comissão</t>
        </is>
      </c>
      <c r="AB2039" s="2" t="inlineStr"/>
      <c r="AC2039" s="2" t="inlineStr"/>
      <c r="AD2039" s="2" t="inlineStr">
        <is>
          <t>1</t>
        </is>
      </c>
      <c r="AE2039" s="2" t="inlineStr">
        <is>
          <t>25180</t>
        </is>
      </c>
      <c r="AF2039" s="2" t="inlineStr">
        <is>
          <t>https://www.parlamento.pt/OrcamentoEstado/Paginas/DetalhePropostaAlteracao.aspx?BID=25180</t>
        </is>
      </c>
      <c r="AG2039" s="2" t="inlineStr">
        <is>
          <t>https://app.parlamento.pt/webutils/docs/doc.pdf?path=6148523063484d364c793942556b356c6443397a6158526c63793959566b6c4a544556484c3039464c7a49774d6a59794d4449314d5441774f5339515153396a4e6d52694f4755304d43316a59325a6d4c5451335a6d51744f544e6c4e5330335a444a6b5a574d324d7a417a597a51756347526d&amp;Fich=c6db8e40-ccff-47fd-93e5-7d2dec6303c4.pdf&amp;Inline=true</t>
        </is>
      </c>
      <c r="AH2039" s="3" t="n">
        <v>46321.77847222222</v>
      </c>
      <c r="AI2039" s="3" t="n">
        <v>46321.78055555555</v>
      </c>
      <c r="AJ2039" s="2" t="inlineStr"/>
    </row>
    <row r="2040">
      <c r="A2040" s="2" t="n">
        <v>2039</v>
      </c>
      <c r="B2040" s="2" t="inlineStr">
        <is>
          <t>1928C</t>
        </is>
      </c>
      <c r="C2040" s="3" t="n">
        <v>45968.74097222222</v>
      </c>
      <c r="D2040" s="2" t="inlineStr">
        <is>
          <t>Original</t>
        </is>
      </c>
      <c r="E2040" s="2" t="inlineStr">
        <is>
          <t>PAN</t>
        </is>
      </c>
      <c r="F2040" s="2" t="inlineStr">
        <is>
          <t>Inês de Sousa Real</t>
        </is>
      </c>
      <c r="G2040" s="2" t="inlineStr">
        <is>
          <t>Art. 121.º-A (aditamento)</t>
        </is>
      </c>
      <c r="H2040" s="2" t="n"/>
      <c r="I2040" s="2" t="n"/>
      <c r="J2040" s="2" t="n"/>
      <c r="K2040" s="2" t="n"/>
      <c r="L2040" s="2" t="inlineStr">
        <is>
          <t>Artigo 121.º-A (Rastreio da imunodeficiência combinada grave)</t>
        </is>
      </c>
      <c r="M2040" s="4" t="n"/>
      <c r="N2040" s="4" t="n"/>
      <c r="O2040" s="2" t="n"/>
      <c r="P2040" s="2" t="n"/>
      <c r="Q2040" s="2" t="n"/>
      <c r="R2040" s="2" t="n"/>
      <c r="S2040" s="2" t="inlineStr">
        <is>
          <t>Rejeitado(a) em Comissão</t>
        </is>
      </c>
      <c r="T2040" s="2" t="inlineStr">
        <is>
          <t>Rejeitada</t>
        </is>
      </c>
      <c r="U2040" s="2" t="inlineStr">
        <is>
          <t>Favor: CH, L, PCP, BE, PAN; Contra: PSD, CDS-PP; Abstenção: PS, IL</t>
        </is>
      </c>
      <c r="V2040" s="3" t="n">
        <v>45985</v>
      </c>
      <c r="W2040" s="2" t="inlineStr">
        <is>
          <t>AR: https://www.parlamento.pt/OrcamentoEstado/Paginas/DetalhePropostaAlteracao.aspx?BID=25181 PDF: https://app.parlamento.pt/webutils/docs/doc.pdf?path=6148523063484d364c793942556b356c6443397a6158526c63793959566b6c4a544556484c3039464c7a49774d6a59794d4449314d5441774f5339515153383559546333595455314e6931694f54686c4c545132595463745957497a5a5330794f4755314e6a41334f5451354f5755756347526d&amp;Fich=9a77a556-b98e-46a7-ab3e-28e56079499e.pdf&amp;Inline=true</t>
        </is>
      </c>
      <c r="X2040" s="2" t="inlineStr">
        <is>
          <t>Saúde</t>
        </is>
      </c>
      <c r="Y2040" s="2" t="inlineStr">
        <is>
          <t>Articulado</t>
        </is>
      </c>
      <c r="Z2040" s="2" t="inlineStr">
        <is>
          <t>Aditamento (Artigo PPL)</t>
        </is>
      </c>
      <c r="AA2040" s="2" t="inlineStr">
        <is>
          <t>Rejeitado(a) em Comissão</t>
        </is>
      </c>
      <c r="AB2040" s="2" t="inlineStr"/>
      <c r="AC2040" s="2" t="inlineStr"/>
      <c r="AD2040" s="2" t="inlineStr">
        <is>
          <t>1</t>
        </is>
      </c>
      <c r="AE2040" s="2" t="inlineStr">
        <is>
          <t>25181</t>
        </is>
      </c>
      <c r="AF2040" s="2" t="inlineStr">
        <is>
          <t>https://www.parlamento.pt/OrcamentoEstado/Paginas/DetalhePropostaAlteracao.aspx?BID=25181</t>
        </is>
      </c>
      <c r="AG2040" s="2" t="inlineStr">
        <is>
          <t>https://app.parlamento.pt/webutils/docs/doc.pdf?path=6148523063484d364c793942556b356c6443397a6158526c63793959566b6c4a544556484c3039464c7a49774d6a59794d4449314d5441774f5339515153383559546333595455314e6931694f54686c4c545132595463745957497a5a5330794f4755314e6a41334f5451354f5755756347526d&amp;Fich=9a77a556-b98e-46a7-ab3e-28e56079499e.pdf&amp;Inline=true</t>
        </is>
      </c>
      <c r="AH2040" s="3" t="n">
        <v>46321.77847222222</v>
      </c>
      <c r="AI2040" s="3" t="n">
        <v>46321.78055555555</v>
      </c>
      <c r="AJ2040" s="2" t="inlineStr"/>
    </row>
    <row r="2041">
      <c r="A2041" s="2" t="n">
        <v>2040</v>
      </c>
      <c r="B2041" s="2" t="inlineStr">
        <is>
          <t>1929C</t>
        </is>
      </c>
      <c r="C2041" s="3" t="n">
        <v>45968.74097222222</v>
      </c>
      <c r="D2041" s="2" t="inlineStr">
        <is>
          <t>Original</t>
        </is>
      </c>
      <c r="E2041" s="2" t="inlineStr">
        <is>
          <t>L</t>
        </is>
      </c>
      <c r="F2041" s="2" t="inlineStr">
        <is>
          <t>Filipa Pinto; Isabel Mendes Lopes; Jorge Pinto; Patrícia Gonçalves; Paulo Muacho; Rui Tavares</t>
        </is>
      </c>
      <c r="G2041" s="2" t="inlineStr">
        <is>
          <t>Art. 126.º-A (aditamento)</t>
        </is>
      </c>
      <c r="H2041" s="2" t="n"/>
      <c r="I2041" s="2" t="n"/>
      <c r="J2041" s="2" t="n"/>
      <c r="K2041" s="2" t="n"/>
      <c r="L2041" s="2" t="inlineStr">
        <is>
          <t>Artigo 126.º-A (Estrutura de Missão para Promoção da Resiliência Sísmica do Parque Edificado)</t>
        </is>
      </c>
      <c r="M2041" s="4" t="n"/>
      <c r="N2041" s="4" t="n"/>
      <c r="O2041" s="2" t="n"/>
      <c r="P2041" s="2" t="n"/>
      <c r="Q2041" s="2" t="n"/>
      <c r="R2041" s="2" t="n"/>
      <c r="S2041" s="2" t="inlineStr">
        <is>
          <t>Rejeitado(a) em Comissão</t>
        </is>
      </c>
      <c r="T2041" s="2" t="inlineStr">
        <is>
          <t>Rejeitada</t>
        </is>
      </c>
      <c r="U2041" s="2" t="inlineStr">
        <is>
          <t>Favor: L, PCP, BE, PAN; Contra: PSD, CDS-PP; Abstenção: CH, PS, IL</t>
        </is>
      </c>
      <c r="V2041" s="3" t="n">
        <v>45985</v>
      </c>
      <c r="W2041" s="2" t="inlineStr">
        <is>
          <t>AR: https://www.parlamento.pt/OrcamentoEstado/Paginas/DetalhePropostaAlteracao.aspx?BID=25182 PDF: https://app.parlamento.pt/webutils/docs/doc.pdf?path=6148523063484d364c793942556b356c6443397a6158526c63793959566b6c4a544556484c3039464c7a49774d6a59794d4449314d5441774f533951515338795a6a49325a546b774f43316c5a6a55774c5451785a6a45744f574a6d4f53316b4e7a4977597a45334d6d55344e4749756347526d&amp;Fich=2f26e908-ef50-41f1-9bf9-d720c172e84b.pdf&amp;Inline=true</t>
        </is>
      </c>
      <c r="X2041" s="2" t="inlineStr">
        <is>
          <t>Infraestruturas, Mobilidade e Habitação</t>
        </is>
      </c>
      <c r="Y2041" s="2" t="inlineStr">
        <is>
          <t>Articulado</t>
        </is>
      </c>
      <c r="Z2041" s="2" t="inlineStr">
        <is>
          <t>Aditamento (Artigo PPL)</t>
        </is>
      </c>
      <c r="AA2041" s="2" t="inlineStr">
        <is>
          <t>Rejeitado(a) em Comissão</t>
        </is>
      </c>
      <c r="AB2041" s="2" t="inlineStr"/>
      <c r="AC2041" s="2" t="inlineStr"/>
      <c r="AD2041" s="2" t="inlineStr">
        <is>
          <t>1</t>
        </is>
      </c>
      <c r="AE2041" s="2" t="inlineStr">
        <is>
          <t>25182</t>
        </is>
      </c>
      <c r="AF2041" s="2" t="inlineStr">
        <is>
          <t>https://www.parlamento.pt/OrcamentoEstado/Paginas/DetalhePropostaAlteracao.aspx?BID=25182</t>
        </is>
      </c>
      <c r="AG2041" s="2" t="inlineStr">
        <is>
          <t>https://app.parlamento.pt/webutils/docs/doc.pdf?path=6148523063484d364c793942556b356c6443397a6158526c63793959566b6c4a544556484c3039464c7a49774d6a59794d4449314d5441774f533951515338795a6a49325a546b774f43316c5a6a55774c5451785a6a45744f574a6d4f53316b4e7a4977597a45334d6d55344e4749756347526d&amp;Fich=2f26e908-ef50-41f1-9bf9-d720c172e84b.pdf&amp;Inline=true</t>
        </is>
      </c>
      <c r="AH2041" s="3" t="n">
        <v>46321.77847222222</v>
      </c>
      <c r="AI2041" s="3" t="n">
        <v>46321.78055555555</v>
      </c>
      <c r="AJ2041" s="2" t="inlineStr"/>
    </row>
    <row r="2042">
      <c r="A2042" s="2" t="n">
        <v>2041</v>
      </c>
      <c r="B2042" s="2" t="inlineStr">
        <is>
          <t>1930C</t>
        </is>
      </c>
      <c r="C2042" s="3" t="n">
        <v>45968.74166666667</v>
      </c>
      <c r="D2042" s="2" t="inlineStr">
        <is>
          <t>Original</t>
        </is>
      </c>
      <c r="E2042" s="2" t="inlineStr">
        <is>
          <t>PCP</t>
        </is>
      </c>
      <c r="F2042" s="2" t="inlineStr">
        <is>
          <t>Alfredo Maia; Paula Santos; Paulo Raimundo</t>
        </is>
      </c>
      <c r="G2042" s="2" t="inlineStr">
        <is>
          <t>Art. 118.º-A (aditamento)</t>
        </is>
      </c>
      <c r="H2042" s="2" t="n"/>
      <c r="I2042" s="2" t="n"/>
      <c r="J2042" s="2" t="n"/>
      <c r="K2042" s="2" t="n"/>
      <c r="L2042" s="2" t="inlineStr">
        <is>
          <t>Artigo 118.º-A (Sistema nacional de troca e partilha de informação entre as entidades públicas com competências na gestão do património cultural)</t>
        </is>
      </c>
      <c r="M2042" s="4" t="n"/>
      <c r="N2042" s="4" t="n"/>
      <c r="O2042" s="2" t="n"/>
      <c r="P2042" s="2" t="n"/>
      <c r="Q2042" s="2" t="n"/>
      <c r="R2042" s="2" t="n"/>
      <c r="S2042" s="2" t="inlineStr">
        <is>
          <t>Rejeitado(a) em Comissão</t>
        </is>
      </c>
      <c r="T2042" s="2" t="inlineStr">
        <is>
          <t>Rejeitada</t>
        </is>
      </c>
      <c r="U2042" s="2" t="inlineStr">
        <is>
          <t>Favor: CH, L, PCP, BE, PAN; Contra: PSD, CDS-PP; Abstenção: PS, IL</t>
        </is>
      </c>
      <c r="V2042" s="3" t="n">
        <v>45985</v>
      </c>
      <c r="W2042" s="2" t="inlineStr">
        <is>
          <t>AR: https://www.parlamento.pt/OrcamentoEstado/Paginas/DetalhePropostaAlteracao.aspx?BID=25183 PDF: https://app.parlamento.pt/webutils/docs/doc.pdf?path=6148523063484d364c793942556b356c6443397a6158526c63793959566b6c4a544556484c3039464c7a49774d6a59794d4449314d5441774f533951515338795a6d5a6b595745344d53316c4f474e684c5452694e6a63744f5451324e5330795a4449344d6d51774f4755324f5451756347526d&amp;Fich=2ffdaa81-e8ca-4b67-9465-2d282d08e694.pdf&amp;Inline=true</t>
        </is>
      </c>
      <c r="X2042" s="2" t="inlineStr">
        <is>
          <t>Cultura, Comunicação, Juventude e Desporto</t>
        </is>
      </c>
      <c r="Y2042" s="2" t="inlineStr">
        <is>
          <t>Articulado</t>
        </is>
      </c>
      <c r="Z2042" s="2" t="inlineStr">
        <is>
          <t>Aditamento (Artigo PPL)</t>
        </is>
      </c>
      <c r="AA2042" s="2" t="inlineStr">
        <is>
          <t>Rejeitado(a) em Comissão</t>
        </is>
      </c>
      <c r="AB2042" s="2" t="inlineStr"/>
      <c r="AC2042" s="2" t="inlineStr"/>
      <c r="AD2042" s="2" t="inlineStr">
        <is>
          <t>1</t>
        </is>
      </c>
      <c r="AE2042" s="2" t="inlineStr">
        <is>
          <t>25183</t>
        </is>
      </c>
      <c r="AF2042" s="2" t="inlineStr">
        <is>
          <t>https://www.parlamento.pt/OrcamentoEstado/Paginas/DetalhePropostaAlteracao.aspx?BID=25183</t>
        </is>
      </c>
      <c r="AG2042" s="2" t="inlineStr">
        <is>
          <t>https://app.parlamento.pt/webutils/docs/doc.pdf?path=6148523063484d364c793942556b356c6443397a6158526c63793959566b6c4a544556484c3039464c7a49774d6a59794d4449314d5441774f533951515338795a6d5a6b595745344d53316c4f474e684c5452694e6a63744f5451324e5330795a4449344d6d51774f4755324f5451756347526d&amp;Fich=2ffdaa81-e8ca-4b67-9465-2d282d08e694.pdf&amp;Inline=true</t>
        </is>
      </c>
      <c r="AH2042" s="3" t="n">
        <v>46321.77847222222</v>
      </c>
      <c r="AI2042" s="3" t="n">
        <v>46321.78055555555</v>
      </c>
      <c r="AJ2042" s="2" t="inlineStr"/>
    </row>
    <row r="2043">
      <c r="A2043" s="2" t="n">
        <v>2042</v>
      </c>
      <c r="B2043" s="2" t="inlineStr">
        <is>
          <t>1931C</t>
        </is>
      </c>
      <c r="C2043" s="3" t="n">
        <v>45968.74166666667</v>
      </c>
      <c r="D2043" s="2" t="inlineStr">
        <is>
          <t>Original</t>
        </is>
      </c>
      <c r="E2043" s="2" t="inlineStr">
        <is>
          <t>PAN</t>
        </is>
      </c>
      <c r="F2043" s="2" t="inlineStr">
        <is>
          <t>Inês de Sousa Real</t>
        </is>
      </c>
      <c r="G2043" s="2" t="inlineStr">
        <is>
          <t>Art. 116.º-A (aditamento)</t>
        </is>
      </c>
      <c r="H2043" s="2" t="n"/>
      <c r="I2043" s="2" t="n"/>
      <c r="J2043" s="2" t="n"/>
      <c r="K2043" s="2" t="n"/>
      <c r="L2043" s="2" t="inlineStr">
        <is>
          <t>Artigo 116.º-A (Execução da Resolução da Assembleia da República n.º 92/2025)</t>
        </is>
      </c>
      <c r="M2043" s="4" t="n"/>
      <c r="N2043" s="4" t="n"/>
      <c r="O2043" s="2" t="n"/>
      <c r="P2043" s="2" t="n"/>
      <c r="Q2043" s="2" t="n"/>
      <c r="R2043" s="2" t="n"/>
      <c r="S2043" s="2" t="inlineStr">
        <is>
          <t>Rejeitado(a) em Comissão</t>
        </is>
      </c>
      <c r="T2043" s="2" t="inlineStr">
        <is>
          <t>Rejeitada</t>
        </is>
      </c>
      <c r="U2043" s="2" t="inlineStr">
        <is>
          <t>Favor: CH, BE, PAN; Contra: PSD, CDS-PP; Abstenção: PS, IL, PCP</t>
        </is>
      </c>
      <c r="V2043" s="3" t="n">
        <v>45985</v>
      </c>
      <c r="W2043" s="2" t="inlineStr">
        <is>
          <t>AR: https://www.parlamento.pt/OrcamentoEstado/Paginas/DetalhePropostaAlteracao.aspx?BID=25184 PDF: https://app.parlamento.pt/webutils/docs/doc.pdf?path=6148523063484d364c793942556b356c6443397a6158526c63793959566b6c4a544556484c3039464c7a49774d6a59794d4449314d5441774f533951515338774d6a4a6d4d4755304e6930324d5463304c54526a4f44637459546b795a5330334d7a497a5a57566c4d7a51794d474d756347526d&amp;Fich=022f0e46-6174-4c87-a92e-7323eee3420c.pdf&amp;Inline=true</t>
        </is>
      </c>
      <c r="X2043" s="2" t="inlineStr">
        <is>
          <t>Saúde; Trabalho, Segurança Social e Inclusão</t>
        </is>
      </c>
      <c r="Y2043" s="2" t="inlineStr">
        <is>
          <t>Articulado</t>
        </is>
      </c>
      <c r="Z2043" s="2" t="inlineStr">
        <is>
          <t>Aditamento (Artigo PPL)</t>
        </is>
      </c>
      <c r="AA2043" s="2" t="inlineStr">
        <is>
          <t>Rejeitado(a) em Comissão</t>
        </is>
      </c>
      <c r="AB2043" s="2" t="inlineStr"/>
      <c r="AC2043" s="2" t="inlineStr"/>
      <c r="AD2043" s="2" t="inlineStr">
        <is>
          <t>1</t>
        </is>
      </c>
      <c r="AE2043" s="2" t="inlineStr">
        <is>
          <t>25184</t>
        </is>
      </c>
      <c r="AF2043" s="2" t="inlineStr">
        <is>
          <t>https://www.parlamento.pt/OrcamentoEstado/Paginas/DetalhePropostaAlteracao.aspx?BID=25184</t>
        </is>
      </c>
      <c r="AG2043" s="2" t="inlineStr">
        <is>
          <t>https://app.parlamento.pt/webutils/docs/doc.pdf?path=6148523063484d364c793942556b356c6443397a6158526c63793959566b6c4a544556484c3039464c7a49774d6a59794d4449314d5441774f533951515338774d6a4a6d4d4755304e6930324d5463304c54526a4f44637459546b795a5330334d7a497a5a57566c4d7a51794d474d756347526d&amp;Fich=022f0e46-6174-4c87-a92e-7323eee3420c.pdf&amp;Inline=true</t>
        </is>
      </c>
      <c r="AH2043" s="3" t="n">
        <v>46321.77847222222</v>
      </c>
      <c r="AI2043" s="3" t="n">
        <v>46321.78055555555</v>
      </c>
      <c r="AJ2043" s="2" t="inlineStr"/>
    </row>
    <row r="2044">
      <c r="A2044" s="2" t="n">
        <v>2043</v>
      </c>
      <c r="B2044" s="2" t="inlineStr">
        <is>
          <t>1932C</t>
        </is>
      </c>
      <c r="C2044" s="3" t="n">
        <v>45968.74236111111</v>
      </c>
      <c r="D2044" s="2" t="inlineStr">
        <is>
          <t>Original</t>
        </is>
      </c>
      <c r="E2044" s="2" t="inlineStr">
        <is>
          <t>PCP</t>
        </is>
      </c>
      <c r="F2044" s="2" t="inlineStr">
        <is>
          <t>Alfredo Maia; Paula Santos; Paulo Raimundo</t>
        </is>
      </c>
      <c r="G2044" s="2" t="inlineStr">
        <is>
          <t>Art. 118.º-A (aditamento)</t>
        </is>
      </c>
      <c r="H2044" s="2" t="n"/>
      <c r="I2044" s="2" t="n"/>
      <c r="J2044" s="2" t="n"/>
      <c r="K2044" s="2" t="n"/>
      <c r="L2044" s="2" t="inlineStr">
        <is>
          <t>Artigo 118.º-A (Reforço dos meios de intervenção das Comissões de Coordenação e Desenvolvimento Regional)</t>
        </is>
      </c>
      <c r="M2044" s="4" t="n"/>
      <c r="N2044" s="4" t="n"/>
      <c r="O2044" s="2" t="n"/>
      <c r="P2044" s="2" t="n"/>
      <c r="Q2044" s="2" t="n"/>
      <c r="R2044" s="2" t="n"/>
      <c r="S2044" s="2" t="inlineStr">
        <is>
          <t>Rejeitado(a) em Comissão</t>
        </is>
      </c>
      <c r="T2044" s="2" t="inlineStr">
        <is>
          <t>Rejeitada</t>
        </is>
      </c>
      <c r="U2044" s="2" t="inlineStr">
        <is>
          <t>Favor: CH, L, BE, PAN; Contra: PSD, IL, CDS-PP; Abstenção: PS</t>
        </is>
      </c>
      <c r="V2044" s="3" t="n">
        <v>45985</v>
      </c>
      <c r="W2044" s="2" t="inlineStr">
        <is>
          <t>AR: https://www.parlamento.pt/OrcamentoEstado/Paginas/DetalhePropostaAlteracao.aspx?BID=25185 PDF: https://app.parlamento.pt/webutils/docs/doc.pdf?path=6148523063484d364c793942556b356c6443397a6158526c63793959566b6c4a544556484c3039464c7a49774d6a59794d4449314d5441774f533951515338324f4445334e47566c4e533030595467774c54526c5a6a6b74595749794d5331685a4755344e7a55794e7a4d354f4441756347526d&amp;Fich=68174ee5-4a80-4ef9-ab21-ade875273980.pdf&amp;Inline=true</t>
        </is>
      </c>
      <c r="X2044" s="2" t="inlineStr">
        <is>
          <t>Cultura, Comunicação, Juventude e Desporto</t>
        </is>
      </c>
      <c r="Y2044" s="2" t="inlineStr">
        <is>
          <t>Articulado</t>
        </is>
      </c>
      <c r="Z2044" s="2" t="inlineStr">
        <is>
          <t>Aditamento (Artigo PPL)</t>
        </is>
      </c>
      <c r="AA2044" s="2" t="inlineStr">
        <is>
          <t>Rejeitado(a) em Comissão</t>
        </is>
      </c>
      <c r="AB2044" s="2" t="inlineStr"/>
      <c r="AC2044" s="2" t="inlineStr"/>
      <c r="AD2044" s="2" t="inlineStr">
        <is>
          <t>1</t>
        </is>
      </c>
      <c r="AE2044" s="2" t="inlineStr">
        <is>
          <t>25185</t>
        </is>
      </c>
      <c r="AF2044" s="2" t="inlineStr">
        <is>
          <t>https://www.parlamento.pt/OrcamentoEstado/Paginas/DetalhePropostaAlteracao.aspx?BID=25185</t>
        </is>
      </c>
      <c r="AG2044" s="2" t="inlineStr">
        <is>
          <t>https://app.parlamento.pt/webutils/docs/doc.pdf?path=6148523063484d364c793942556b356c6443397a6158526c63793959566b6c4a544556484c3039464c7a49774d6a59794d4449314d5441774f533951515338324f4445334e47566c4e533030595467774c54526c5a6a6b74595749794d5331685a4755344e7a55794e7a4d354f4441756347526d&amp;Fich=68174ee5-4a80-4ef9-ab21-ade875273980.pdf&amp;Inline=true</t>
        </is>
      </c>
      <c r="AH2044" s="3" t="n">
        <v>46321.77847222222</v>
      </c>
      <c r="AI2044" s="3" t="n">
        <v>46321.78055555555</v>
      </c>
      <c r="AJ2044" s="2" t="inlineStr"/>
    </row>
    <row r="2045">
      <c r="A2045" s="2" t="n">
        <v>2044</v>
      </c>
      <c r="B2045" s="2" t="inlineStr">
        <is>
          <t>1933C</t>
        </is>
      </c>
      <c r="C2045" s="3" t="n">
        <v>45968.74236111111</v>
      </c>
      <c r="D2045" s="2" t="inlineStr">
        <is>
          <t>Original</t>
        </is>
      </c>
      <c r="E2045" s="2" t="inlineStr">
        <is>
          <t>PCP</t>
        </is>
      </c>
      <c r="F2045" s="2" t="inlineStr">
        <is>
          <t>Alfredo Maia; Paula Santos; Paulo Raimundo</t>
        </is>
      </c>
      <c r="G2045" s="2" t="inlineStr">
        <is>
          <t>Art. 1.º (substituição)</t>
        </is>
      </c>
      <c r="H2045" s="2" t="n"/>
      <c r="I2045" s="2" t="n"/>
      <c r="J2045" s="2" t="n"/>
      <c r="K2045" s="2" t="n"/>
      <c r="L2045" s="2" t="inlineStr">
        <is>
          <t>Mapa 4, Reforço da verba, € 32.650.000</t>
        </is>
      </c>
      <c r="M2045" s="4" t="n"/>
      <c r="N2045" s="4" t="n"/>
      <c r="O2045" s="2" t="n"/>
      <c r="P2045" s="2" t="n"/>
      <c r="Q2045" s="2" t="n"/>
      <c r="R2045" s="2" t="n"/>
      <c r="S2045" s="2" t="inlineStr">
        <is>
          <t>Rejeitado(a) em Comissão</t>
        </is>
      </c>
      <c r="T2045" s="2" t="inlineStr">
        <is>
          <t>Rejeitada</t>
        </is>
      </c>
      <c r="U2045" s="2" t="inlineStr">
        <is>
          <t>Favor: L, PCP, BE, PAN; Contra: PSD, CH, IL, CDS-PP; Abstenção: PS</t>
        </is>
      </c>
      <c r="V2045" s="3" t="n">
        <v>45987</v>
      </c>
      <c r="W2045" s="2" t="inlineStr">
        <is>
          <t>AR: https://www.parlamento.pt/OrcamentoEstado/Paginas/DetalhePropostaAlteracao.aspx?BID=25186 PDF: https://app.parlamento.pt/webutils/docs/doc.pdf?path=6148523063484d364c793942556b356c6443397a6158526c63793959566b6c4a544556484c3039464c7a49774d6a59794d4449314d5441774f533951515338324e475a6c4d57566c4d53316a4e6d45334c5451794d7a51744f574e6b597931694d6a5a684d6a4e684e6a6b785a6a67756347526d&amp;Fich=64fe1ee1-c6a7-4234-9cdc-b26a23a691f8.pdf&amp;Inline=true</t>
        </is>
      </c>
      <c r="X2045" s="2" t="inlineStr">
        <is>
          <t>Cultura, Comunicação, Juventude e Desporto</t>
        </is>
      </c>
      <c r="Y2045" s="2" t="inlineStr">
        <is>
          <t>Mapas</t>
        </is>
      </c>
      <c r="Z2045" s="2" t="inlineStr">
        <is>
          <t>Substituição</t>
        </is>
      </c>
      <c r="AA2045" s="2" t="inlineStr">
        <is>
          <t>Rejeitado(a) em Comissão</t>
        </is>
      </c>
      <c r="AB2045" s="2" t="inlineStr"/>
      <c r="AC2045" s="2" t="inlineStr"/>
      <c r="AD2045" s="2" t="inlineStr">
        <is>
          <t>1</t>
        </is>
      </c>
      <c r="AE2045" s="2" t="inlineStr">
        <is>
          <t>25186</t>
        </is>
      </c>
      <c r="AF2045" s="2" t="inlineStr">
        <is>
          <t>https://www.parlamento.pt/OrcamentoEstado/Paginas/DetalhePropostaAlteracao.aspx?BID=25186</t>
        </is>
      </c>
      <c r="AG2045" s="2" t="inlineStr">
        <is>
          <t>https://app.parlamento.pt/webutils/docs/doc.pdf?path=6148523063484d364c793942556b356c6443397a6158526c63793959566b6c4a544556484c3039464c7a49774d6a59794d4449314d5441774f533951515338324e475a6c4d57566c4d53316a4e6d45334c5451794d7a51744f574e6b597931694d6a5a684d6a4e684e6a6b785a6a67756347526d&amp;Fich=64fe1ee1-c6a7-4234-9cdc-b26a23a691f8.pdf&amp;Inline=true</t>
        </is>
      </c>
      <c r="AH2045" s="3" t="n">
        <v>46321.77847222222</v>
      </c>
      <c r="AI2045" s="3" t="n">
        <v>46321.78055555555</v>
      </c>
      <c r="AJ2045" s="2" t="inlineStr"/>
    </row>
    <row r="2046">
      <c r="A2046" s="2" t="n">
        <v>2045</v>
      </c>
      <c r="B2046" s="2" t="inlineStr">
        <is>
          <t>1934C</t>
        </is>
      </c>
      <c r="C2046" s="3" t="n">
        <v>45968.74305555555</v>
      </c>
      <c r="D2046" s="2" t="inlineStr">
        <is>
          <t>Original</t>
        </is>
      </c>
      <c r="E2046" s="2" t="inlineStr">
        <is>
          <t>L</t>
        </is>
      </c>
      <c r="F2046" s="2" t="inlineStr">
        <is>
          <t>Filipa Pinto; Isabel Mendes Lopes; Jorge Pinto; Patrícia Gonçalves; Paulo Muacho; Rui Tavares</t>
        </is>
      </c>
      <c r="G2046" s="2" t="inlineStr">
        <is>
          <t>Art. 120.º-A (aditamento)</t>
        </is>
      </c>
      <c r="H2046" s="2" t="n"/>
      <c r="I2046" s="2" t="n"/>
      <c r="J2046" s="2" t="n"/>
      <c r="K2046" s="2" t="n"/>
      <c r="L2046" s="2" t="inlineStr">
        <is>
          <t>Artigo 120.º-A (Atestado médico de incapacidade multiuso para doentes crónicos)</t>
        </is>
      </c>
      <c r="M2046" s="4" t="n"/>
      <c r="N2046" s="4" t="n"/>
      <c r="O2046" s="2" t="n"/>
      <c r="P2046" s="2" t="n"/>
      <c r="Q2046" s="2" t="n"/>
      <c r="R2046" s="2" t="n"/>
      <c r="S2046" s="2" t="inlineStr">
        <is>
          <t>Rejeitado(a) em Comissão</t>
        </is>
      </c>
      <c r="T2046" s="2" t="inlineStr">
        <is>
          <t>Rejeitada</t>
        </is>
      </c>
      <c r="U2046" s="2" t="inlineStr">
        <is>
          <t>Favor: L, PCP, BE, PAN; Contra: PSD, IL, CDS-PP; Abstenção: CH, PS</t>
        </is>
      </c>
      <c r="V2046" s="3" t="n">
        <v>45985</v>
      </c>
      <c r="W2046" s="2" t="inlineStr">
        <is>
          <t>AR: https://www.parlamento.pt/OrcamentoEstado/Paginas/DetalhePropostaAlteracao.aspx?BID=25187 PDF: https://app.parlamento.pt/webutils/docs/doc.pdf?path=6148523063484d364c793942556b356c6443397a6158526c63793959566b6c4a544556484c3039464c7a49774d6a59794d4449314d5441774f533951515339694f44526b4f4442684e433030597a4a6a4c5451774d4751744f54426d4e43316b4f444a6d5a4755324d7a55334d5455756347526d&amp;Fich=b84d80a4-4c2c-400d-90f4-d82fde635715.pdf&amp;Inline=true</t>
        </is>
      </c>
      <c r="X2046" s="2" t="inlineStr">
        <is>
          <t>Saúde; Trabalho, Segurança Social e Inclusão</t>
        </is>
      </c>
      <c r="Y2046" s="2" t="inlineStr">
        <is>
          <t>Articulado</t>
        </is>
      </c>
      <c r="Z2046" s="2" t="inlineStr">
        <is>
          <t>Aditamento (Artigo PPL)</t>
        </is>
      </c>
      <c r="AA2046" s="2" t="inlineStr">
        <is>
          <t>Rejeitado(a) em Comissão</t>
        </is>
      </c>
      <c r="AB2046" s="2" t="inlineStr"/>
      <c r="AC2046" s="2" t="inlineStr"/>
      <c r="AD2046" s="2" t="inlineStr">
        <is>
          <t>1</t>
        </is>
      </c>
      <c r="AE2046" s="2" t="inlineStr">
        <is>
          <t>25187</t>
        </is>
      </c>
      <c r="AF2046" s="2" t="inlineStr">
        <is>
          <t>https://www.parlamento.pt/OrcamentoEstado/Paginas/DetalhePropostaAlteracao.aspx?BID=25187</t>
        </is>
      </c>
      <c r="AG2046" s="2" t="inlineStr">
        <is>
          <t>https://app.parlamento.pt/webutils/docs/doc.pdf?path=6148523063484d364c793942556b356c6443397a6158526c63793959566b6c4a544556484c3039464c7a49774d6a59794d4449314d5441774f533951515339694f44526b4f4442684e433030597a4a6a4c5451774d4751744f54426d4e43316b4f444a6d5a4755324d7a55334d5455756347526d&amp;Fich=b84d80a4-4c2c-400d-90f4-d82fde635715.pdf&amp;Inline=true</t>
        </is>
      </c>
      <c r="AH2046" s="3" t="n">
        <v>46321.77847222222</v>
      </c>
      <c r="AI2046" s="3" t="n">
        <v>46321.78055555555</v>
      </c>
      <c r="AJ2046" s="2" t="inlineStr"/>
    </row>
    <row r="2047">
      <c r="A2047" s="2" t="n">
        <v>2046</v>
      </c>
      <c r="B2047" s="2" t="inlineStr">
        <is>
          <t>1935C</t>
        </is>
      </c>
      <c r="C2047" s="3" t="n">
        <v>45968.74375</v>
      </c>
      <c r="D2047" s="2" t="inlineStr">
        <is>
          <t>Original</t>
        </is>
      </c>
      <c r="E2047" s="2" t="inlineStr">
        <is>
          <t>PCP</t>
        </is>
      </c>
      <c r="F2047" s="2" t="inlineStr">
        <is>
          <t>Alfredo Maia; Paula Santos; Paulo Raimundo</t>
        </is>
      </c>
      <c r="G2047" s="2" t="inlineStr">
        <is>
          <t>Art. 18.º-A (aditamento)</t>
        </is>
      </c>
      <c r="H2047" s="2" t="n"/>
      <c r="I2047" s="2" t="n"/>
      <c r="J2047" s="2" t="n"/>
      <c r="K2047" s="2" t="n"/>
      <c r="L2047" s="2" t="inlineStr">
        <is>
          <t>Artigo 18.º-A (Direção Geral de Alimentação Veterinária)</t>
        </is>
      </c>
      <c r="M2047" s="4" t="n"/>
      <c r="N2047" s="4" t="n"/>
      <c r="O2047" s="2" t="n"/>
      <c r="P2047" s="2" t="n"/>
      <c r="Q2047" s="2" t="n"/>
      <c r="R2047" s="2" t="n"/>
      <c r="S2047" s="2" t="inlineStr">
        <is>
          <t>Rejeitado(a) em Comissão</t>
        </is>
      </c>
      <c r="T2047" s="2" t="inlineStr">
        <is>
          <t>Rejeitada</t>
        </is>
      </c>
      <c r="U2047" s="2" t="inlineStr">
        <is>
          <t>Favor: CH, L, PCP, BE, PAN; Contra: PSD, IL, CDS-PP; Abstenção: PS</t>
        </is>
      </c>
      <c r="V2047" s="3" t="n">
        <v>45981</v>
      </c>
      <c r="W2047" s="2" t="inlineStr">
        <is>
          <t>AR: https://www.parlamento.pt/OrcamentoEstado/Paginas/DetalhePropostaAlteracao.aspx?BID=25188 PDF: https://app.parlamento.pt/webutils/docs/doc.pdf?path=6148523063484d364c793942556b356c6443397a6158526c63793959566b6c4a544556484c3039464c7a49774d6a59794d4449314d5441774f5339515153396a596a4a685a57566a4d5331684f5441784c5451334f474d745957517a4d5330324e6d51795a6a6734595455334d4745756347526d&amp;Fich=cb2aeec1-a901-478c-ad31-66d2f88a570a.pdf&amp;Inline=true</t>
        </is>
      </c>
      <c r="X2047" s="2" t="inlineStr">
        <is>
          <t>Agricultura e Pescas</t>
        </is>
      </c>
      <c r="Y2047" s="2" t="inlineStr">
        <is>
          <t>Articulado</t>
        </is>
      </c>
      <c r="Z2047" s="2" t="inlineStr">
        <is>
          <t>Aditamento (Artigo PPL)</t>
        </is>
      </c>
      <c r="AA2047" s="2" t="inlineStr">
        <is>
          <t>Rejeitado(a) em Comissão</t>
        </is>
      </c>
      <c r="AB2047" s="2" t="inlineStr"/>
      <c r="AC2047" s="2" t="inlineStr"/>
      <c r="AD2047" s="2" t="inlineStr">
        <is>
          <t>1</t>
        </is>
      </c>
      <c r="AE2047" s="2" t="inlineStr">
        <is>
          <t>25188</t>
        </is>
      </c>
      <c r="AF2047" s="2" t="inlineStr">
        <is>
          <t>https://www.parlamento.pt/OrcamentoEstado/Paginas/DetalhePropostaAlteracao.aspx?BID=25188</t>
        </is>
      </c>
      <c r="AG2047" s="2" t="inlineStr">
        <is>
          <t>https://app.parlamento.pt/webutils/docs/doc.pdf?path=6148523063484d364c793942556b356c6443397a6158526c63793959566b6c4a544556484c3039464c7a49774d6a59794d4449314d5441774f5339515153396a596a4a685a57566a4d5331684f5441784c5451334f474d745957517a4d5330324e6d51795a6a6734595455334d4745756347526d&amp;Fich=cb2aeec1-a901-478c-ad31-66d2f88a570a.pdf&amp;Inline=true</t>
        </is>
      </c>
      <c r="AH2047" s="3" t="n">
        <v>46321.77847222222</v>
      </c>
      <c r="AI2047" s="3" t="n">
        <v>46321.78055555555</v>
      </c>
      <c r="AJ2047" s="2" t="inlineStr"/>
    </row>
    <row r="2048">
      <c r="A2048" s="2" t="n">
        <v>2047</v>
      </c>
      <c r="B2048" s="2" t="inlineStr">
        <is>
          <t>1936C</t>
        </is>
      </c>
      <c r="C2048" s="3" t="n">
        <v>45968.74444444444</v>
      </c>
      <c r="D2048" s="2" t="inlineStr">
        <is>
          <t>Retirada</t>
        </is>
      </c>
      <c r="E2048" s="2" t="inlineStr">
        <is>
          <t>L</t>
        </is>
      </c>
      <c r="F2048" s="2" t="inlineStr">
        <is>
          <t>Filipa Pinto; Isabel Mendes Lopes; Jorge Pinto; Patrícia Gonçalves; Paulo Muacho; Rui Tavares</t>
        </is>
      </c>
      <c r="G2048" s="2" t="inlineStr">
        <is>
          <t>Art. 112.º-A (aditamento)</t>
        </is>
      </c>
      <c r="H2048" s="2" t="n"/>
      <c r="I2048" s="2" t="n"/>
      <c r="J2048" s="2" t="n"/>
      <c r="K2048" s="2" t="n"/>
      <c r="L2048" s="2" t="inlineStr">
        <is>
          <t>Artigo 112.º-A (Regime extraordinário de proteção dos arrendatários habitacionais e de execução de hipoteca)</t>
        </is>
      </c>
      <c r="M2048" s="4" t="n"/>
      <c r="N2048" s="4" t="n"/>
      <c r="O2048" s="2" t="n"/>
      <c r="P2048" s="2" t="n"/>
      <c r="Q2048" s="2" t="n"/>
      <c r="R2048" s="2" t="n"/>
      <c r="S2048" s="2" t="inlineStr">
        <is>
          <t>Retirado(a)</t>
        </is>
      </c>
      <c r="T2048" s="2" t="inlineStr">
        <is>
          <t>Retirada</t>
        </is>
      </c>
      <c r="U2048" s="2" t="inlineStr"/>
      <c r="V2048" s="3" t="n"/>
      <c r="W2048" s="2" t="inlineStr">
        <is>
          <t>AR: https://www.parlamento.pt/OrcamentoEstado/Paginas/DetalhePropostaAlteracao.aspx?BID=25189 PDF: https://app.parlamento.pt/webutils/docs/doc.pdf?path=6148523063484d364c793942556b356c6443397a6158526c63793959566b6c4a544556484c3039464c7a49774d6a59794d4449314d5441774f5339515153396c4d444a685a4459775a43316a4d6a4d774c5451354f575974595746684e5330324e6d55344e474d314d7a497a5a5745756347526d&amp;Fich=e02ad60d-c230-499f-aaa5-66e84c5323ea.pdf&amp;Inline=true</t>
        </is>
      </c>
      <c r="X2048" s="2" t="inlineStr">
        <is>
          <t>Infraestruturas, Mobilidade e Habitação</t>
        </is>
      </c>
      <c r="Y2048" s="2" t="inlineStr">
        <is>
          <t>Articulado</t>
        </is>
      </c>
      <c r="Z2048" s="2" t="inlineStr">
        <is>
          <t>Aditamento (Artigo PPL)</t>
        </is>
      </c>
      <c r="AA2048" s="2" t="inlineStr">
        <is>
          <t>Retirado(a)</t>
        </is>
      </c>
      <c r="AB2048" s="2" t="inlineStr"/>
      <c r="AC2048" s="2" t="inlineStr"/>
      <c r="AD2048" s="2" t="inlineStr">
        <is>
          <t>0</t>
        </is>
      </c>
      <c r="AE2048" s="2" t="inlineStr">
        <is>
          <t>25189</t>
        </is>
      </c>
      <c r="AF2048" s="2" t="inlineStr">
        <is>
          <t>https://www.parlamento.pt/OrcamentoEstado/Paginas/DetalhePropostaAlteracao.aspx?BID=25189</t>
        </is>
      </c>
      <c r="AG2048" s="2" t="inlineStr">
        <is>
          <t>https://app.parlamento.pt/webutils/docs/doc.pdf?path=6148523063484d364c793942556b356c6443397a6158526c63793959566b6c4a544556484c3039464c7a49774d6a59794d4449314d5441774f5339515153396c4d444a685a4459775a43316a4d6a4d774c5451354f575974595746684e5330324e6d55344e474d314d7a497a5a5745756347526d&amp;Fich=e02ad60d-c230-499f-aaa5-66e84c5323ea.pdf&amp;Inline=true</t>
        </is>
      </c>
      <c r="AH2048" s="3" t="n">
        <v>46321.77847222222</v>
      </c>
      <c r="AI2048" s="3" t="n">
        <v>46321.78055555555</v>
      </c>
      <c r="AJ2048" s="2" t="inlineStr"/>
    </row>
    <row r="2049">
      <c r="A2049" s="2" t="n">
        <v>2048</v>
      </c>
      <c r="B2049" s="2" t="inlineStr">
        <is>
          <t>1937C</t>
        </is>
      </c>
      <c r="C2049" s="3" t="n">
        <v>45968.74513888889</v>
      </c>
      <c r="D2049" s="2" t="inlineStr">
        <is>
          <t>Original</t>
        </is>
      </c>
      <c r="E2049" s="2" t="inlineStr">
        <is>
          <t>L</t>
        </is>
      </c>
      <c r="F2049" s="2" t="inlineStr">
        <is>
          <t>Filipa Pinto; Isabel Mendes Lopes; Jorge Pinto; Patrícia Gonçalves; Paulo Muacho; Rui Tavares</t>
        </is>
      </c>
      <c r="G2049" s="2" t="inlineStr">
        <is>
          <t>Art. 120.º-A (aditamento)</t>
        </is>
      </c>
      <c r="H2049" s="2" t="n"/>
      <c r="I2049" s="2" t="n"/>
      <c r="J2049" s="2" t="n"/>
      <c r="K2049" s="2" t="n"/>
      <c r="L2049" s="2" t="inlineStr">
        <is>
          <t>Artigo 120.º-A (Modernização e ampliação da rede pública de comunidades terapêuticas)</t>
        </is>
      </c>
      <c r="M2049" s="4" t="n"/>
      <c r="N2049" s="4" t="n"/>
      <c r="O2049" s="2" t="n"/>
      <c r="P2049" s="2" t="n"/>
      <c r="Q2049" s="2" t="n"/>
      <c r="R2049" s="2" t="n"/>
      <c r="S2049" s="2" t="inlineStr">
        <is>
          <t>Rejeitado(a) em Comissão</t>
        </is>
      </c>
      <c r="T2049" s="2" t="inlineStr">
        <is>
          <t>Rejeitada</t>
        </is>
      </c>
      <c r="U2049" s="2" t="inlineStr">
        <is>
          <t>Favor: L, PCP, BE, PAN; Contra: PSD, CDS-PP; Abstenção: CH, PS, IL</t>
        </is>
      </c>
      <c r="V2049" s="3" t="n">
        <v>45985</v>
      </c>
      <c r="W2049" s="2" t="inlineStr">
        <is>
          <t>AR: https://www.parlamento.pt/OrcamentoEstado/Paginas/DetalhePropostaAlteracao.aspx?BID=25190 PDF: https://app.parlamento.pt/webutils/docs/doc.pdf?path=6148523063484d364c793942556b356c6443397a6158526c63793959566b6c4a544556484c3039464c7a49774d6a59794d4449314d5441774f5339515153396b4f474930595455315a43316c4e44497a4c5451325a6a4574595751305a5330785a6a4a6d4d474d30593252684d7a41756347526d&amp;Fich=d8b4a55d-e423-46f1-ad4e-1f2f0c4cda30.pdf&amp;Inline=true</t>
        </is>
      </c>
      <c r="X2049" s="2" t="inlineStr">
        <is>
          <t>Saúde</t>
        </is>
      </c>
      <c r="Y2049" s="2" t="inlineStr">
        <is>
          <t>Articulado</t>
        </is>
      </c>
      <c r="Z2049" s="2" t="inlineStr">
        <is>
          <t>Aditamento (Artigo PPL)</t>
        </is>
      </c>
      <c r="AA2049" s="2" t="inlineStr">
        <is>
          <t>Rejeitado(a) em Comissão</t>
        </is>
      </c>
      <c r="AB2049" s="2" t="inlineStr"/>
      <c r="AC2049" s="2" t="inlineStr"/>
      <c r="AD2049" s="2" t="inlineStr">
        <is>
          <t>1</t>
        </is>
      </c>
      <c r="AE2049" s="2" t="inlineStr">
        <is>
          <t>25190</t>
        </is>
      </c>
      <c r="AF2049" s="2" t="inlineStr">
        <is>
          <t>https://www.parlamento.pt/OrcamentoEstado/Paginas/DetalhePropostaAlteracao.aspx?BID=25190</t>
        </is>
      </c>
      <c r="AG2049" s="2" t="inlineStr">
        <is>
          <t>https://app.parlamento.pt/webutils/docs/doc.pdf?path=6148523063484d364c793942556b356c6443397a6158526c63793959566b6c4a544556484c3039464c7a49774d6a59794d4449314d5441774f5339515153396b4f474930595455315a43316c4e44497a4c5451325a6a4574595751305a5330785a6a4a6d4d474d30593252684d7a41756347526d&amp;Fich=d8b4a55d-e423-46f1-ad4e-1f2f0c4cda30.pdf&amp;Inline=true</t>
        </is>
      </c>
      <c r="AH2049" s="3" t="n">
        <v>46321.77847222222</v>
      </c>
      <c r="AI2049" s="3" t="n">
        <v>46321.78055555555</v>
      </c>
      <c r="AJ2049" s="2" t="inlineStr"/>
    </row>
    <row r="2050">
      <c r="A2050" s="2" t="n">
        <v>2049</v>
      </c>
      <c r="B2050" s="2" t="inlineStr">
        <is>
          <t>1938C</t>
        </is>
      </c>
      <c r="C2050" s="3" t="n">
        <v>45968.74652777778</v>
      </c>
      <c r="D2050" s="2" t="inlineStr">
        <is>
          <t>Original</t>
        </is>
      </c>
      <c r="E2050" s="2" t="inlineStr">
        <is>
          <t>L</t>
        </is>
      </c>
      <c r="F2050" s="2" t="inlineStr">
        <is>
          <t>Filipa Pinto; Isabel Mendes Lopes; Jorge Pinto; Patrícia Gonçalves; Paulo Muacho; Rui Tavares</t>
        </is>
      </c>
      <c r="G2050" s="2" t="inlineStr">
        <is>
          <t>Art. 136.º-A (aditamento)</t>
        </is>
      </c>
      <c r="H2050" s="2" t="n"/>
      <c r="I2050" s="2" t="n"/>
      <c r="J2050" s="2" t="n"/>
      <c r="K2050" s="2" t="n"/>
      <c r="L2050" s="2" t="inlineStr">
        <is>
          <t>Artigo 136.º-A (Hidrogénio de Portugal)</t>
        </is>
      </c>
      <c r="M2050" s="4" t="n"/>
      <c r="N2050" s="4" t="n"/>
      <c r="O2050" s="2" t="n"/>
      <c r="P2050" s="2" t="n"/>
      <c r="Q2050" s="2" t="n"/>
      <c r="R2050" s="2" t="n"/>
      <c r="S2050" s="2" t="inlineStr">
        <is>
          <t>Rejeitado(a) em Comissão</t>
        </is>
      </c>
      <c r="T2050" s="2" t="inlineStr">
        <is>
          <t>Rejeitada</t>
        </is>
      </c>
      <c r="U2050" s="2" t="inlineStr">
        <is>
          <t>Favor: L, PCP, BE; Contra: PSD, CH, IL, CDS-PP; Abstenção: PS, PAN</t>
        </is>
      </c>
      <c r="V2050" s="3" t="n">
        <v>45987</v>
      </c>
      <c r="W2050" s="2" t="inlineStr">
        <is>
          <t>AR: https://www.parlamento.pt/OrcamentoEstado/Paginas/DetalhePropostaAlteracao.aspx?BID=25191 PDF: https://app.parlamento.pt/webutils/docs/doc.pdf?path=6148523063484d364c793942556b356c6443397a6158526c63793959566b6c4a544556484c3039464c7a49774d6a59794d4449314d5441774f533951515338774d4455334f546b774e4330335a6a59314c545131596a6374596a45774d69316c4e546b324e4459315a474a685a6a4d756347526d&amp;Fich=00579904-7f65-45b7-b102-e596465dbaf3.pdf&amp;Inline=true</t>
        </is>
      </c>
      <c r="X2050" s="2" t="inlineStr">
        <is>
          <t>Ambiente e Energia</t>
        </is>
      </c>
      <c r="Y2050" s="2" t="inlineStr">
        <is>
          <t>Articulado</t>
        </is>
      </c>
      <c r="Z2050" s="2" t="inlineStr">
        <is>
          <t>Aditamento (Artigo PPL)</t>
        </is>
      </c>
      <c r="AA2050" s="2" t="inlineStr">
        <is>
          <t>Rejeitado(a) em Comissão</t>
        </is>
      </c>
      <c r="AB2050" s="2" t="inlineStr"/>
      <c r="AC2050" s="2" t="inlineStr"/>
      <c r="AD2050" s="2" t="inlineStr">
        <is>
          <t>1</t>
        </is>
      </c>
      <c r="AE2050" s="2" t="inlineStr">
        <is>
          <t>25191</t>
        </is>
      </c>
      <c r="AF2050" s="2" t="inlineStr">
        <is>
          <t>https://www.parlamento.pt/OrcamentoEstado/Paginas/DetalhePropostaAlteracao.aspx?BID=25191</t>
        </is>
      </c>
      <c r="AG2050" s="2" t="inlineStr">
        <is>
          <t>https://app.parlamento.pt/webutils/docs/doc.pdf?path=6148523063484d364c793942556b356c6443397a6158526c63793959566b6c4a544556484c3039464c7a49774d6a59794d4449314d5441774f533951515338774d4455334f546b774e4330335a6a59314c545131596a6374596a45774d69316c4e546b324e4459315a474a685a6a4d756347526d&amp;Fich=00579904-7f65-45b7-b102-e596465dbaf3.pdf&amp;Inline=true</t>
        </is>
      </c>
      <c r="AH2050" s="3" t="n">
        <v>46321.77847222222</v>
      </c>
      <c r="AI2050" s="3" t="n">
        <v>46321.78055555555</v>
      </c>
      <c r="AJ2050" s="2" t="inlineStr"/>
    </row>
    <row r="2051">
      <c r="A2051" s="2" t="n">
        <v>2050</v>
      </c>
      <c r="B2051" s="2" t="inlineStr">
        <is>
          <t>1939C</t>
        </is>
      </c>
      <c r="C2051" s="3" t="n">
        <v>45968.74652777778</v>
      </c>
      <c r="D2051" s="2" t="inlineStr">
        <is>
          <t>Original</t>
        </is>
      </c>
      <c r="E2051" s="2" t="inlineStr">
        <is>
          <t>L</t>
        </is>
      </c>
      <c r="F2051" s="2" t="inlineStr">
        <is>
          <t>Filipa Pinto; Isabel Mendes Lopes; Jorge Pinto; Patrícia Gonçalves; Paulo Muacho; Rui Tavares</t>
        </is>
      </c>
      <c r="G2051" s="2" t="inlineStr">
        <is>
          <t>Art. 22.º-A (aditamento)</t>
        </is>
      </c>
      <c r="H2051" s="2" t="n"/>
      <c r="I2051" s="2" t="n"/>
      <c r="J2051" s="2" t="n"/>
      <c r="K2051" s="2" t="n"/>
      <c r="L2051" s="2" t="inlineStr">
        <is>
          <t>Artigo 22.º-A (Criação da carreira de médico dentista no Serviço Nacional de Saúde)</t>
        </is>
      </c>
      <c r="M2051" s="4" t="n"/>
      <c r="N2051" s="4" t="n"/>
      <c r="O2051" s="2" t="n"/>
      <c r="P2051" s="2" t="n"/>
      <c r="Q2051" s="2" t="n"/>
      <c r="R2051" s="2" t="n"/>
      <c r="S2051" s="2" t="inlineStr">
        <is>
          <t>Rejeitado(a) em Comissão</t>
        </is>
      </c>
      <c r="T2051" s="2" t="inlineStr">
        <is>
          <t>Rejeitada</t>
        </is>
      </c>
      <c r="U2051" s="2" t="inlineStr">
        <is>
          <t>Favor: CH, IL, L, PCP, BE, PAN; Contra: PSD, CDS-PP; Abstenção: PS</t>
        </is>
      </c>
      <c r="V2051" s="3" t="n">
        <v>45981</v>
      </c>
      <c r="W2051" s="2" t="inlineStr">
        <is>
          <t>AR: https://www.parlamento.pt/OrcamentoEstado/Paginas/DetalhePropostaAlteracao.aspx?BID=25192 PDF: https://app.parlamento.pt/webutils/docs/doc.pdf?path=6148523063484d364c793942556b356c6443397a6158526c63793959566b6c4a544556484c3039464c7a49774d6a59794d4449314d5441774f5339515153387a4e4463304d7a6379595330794f4441304c5451354e474574596d466a4d4331684f4467355a474e69596d497a5a6a41756347526d&amp;Fich=3474372a-2804-494a-bac0-a889dcbbb3f0.pdf&amp;Inline=true</t>
        </is>
      </c>
      <c r="X2051" s="2" t="inlineStr">
        <is>
          <t>Educação e Ciência; Orçamento, Finanças e Administração Pública; Saúde</t>
        </is>
      </c>
      <c r="Y2051" s="2" t="inlineStr">
        <is>
          <t>Articulado</t>
        </is>
      </c>
      <c r="Z2051" s="2" t="inlineStr">
        <is>
          <t>Aditamento (Artigo PPL)</t>
        </is>
      </c>
      <c r="AA2051" s="2" t="inlineStr">
        <is>
          <t>Rejeitado(a) em Comissão</t>
        </is>
      </c>
      <c r="AB2051" s="2" t="inlineStr"/>
      <c r="AC2051" s="2" t="inlineStr"/>
      <c r="AD2051" s="2" t="inlineStr">
        <is>
          <t>1</t>
        </is>
      </c>
      <c r="AE2051" s="2" t="inlineStr">
        <is>
          <t>25192</t>
        </is>
      </c>
      <c r="AF2051" s="2" t="inlineStr">
        <is>
          <t>https://www.parlamento.pt/OrcamentoEstado/Paginas/DetalhePropostaAlteracao.aspx?BID=25192</t>
        </is>
      </c>
      <c r="AG2051" s="2" t="inlineStr">
        <is>
          <t>https://app.parlamento.pt/webutils/docs/doc.pdf?path=6148523063484d364c793942556b356c6443397a6158526c63793959566b6c4a544556484c3039464c7a49774d6a59794d4449314d5441774f5339515153387a4e4463304d7a6379595330794f4441304c5451354e474574596d466a4d4331684f4467355a474e69596d497a5a6a41756347526d&amp;Fich=3474372a-2804-494a-bac0-a889dcbbb3f0.pdf&amp;Inline=true</t>
        </is>
      </c>
      <c r="AH2051" s="3" t="n">
        <v>46321.77847222222</v>
      </c>
      <c r="AI2051" s="3" t="n">
        <v>46321.78055555555</v>
      </c>
      <c r="AJ2051" s="2" t="inlineStr"/>
    </row>
    <row r="2052">
      <c r="A2052" s="2" t="n">
        <v>2051</v>
      </c>
      <c r="B2052" s="2" t="inlineStr">
        <is>
          <t>1940C</t>
        </is>
      </c>
      <c r="C2052" s="3" t="n">
        <v>45968.74652777778</v>
      </c>
      <c r="D2052" s="2" t="inlineStr">
        <is>
          <t>Original</t>
        </is>
      </c>
      <c r="E2052" s="2" t="inlineStr">
        <is>
          <t>PCP</t>
        </is>
      </c>
      <c r="F2052" s="2" t="inlineStr">
        <is>
          <t>Alfredo Maia; Paula Santos; Paulo Raimundo</t>
        </is>
      </c>
      <c r="G2052" s="2" t="inlineStr">
        <is>
          <t>Art. 113.º-A (aditamento)</t>
        </is>
      </c>
      <c r="H2052" s="2" t="n"/>
      <c r="I2052" s="2" t="n"/>
      <c r="J2052" s="2" t="n"/>
      <c r="K2052" s="2" t="n"/>
      <c r="L2052" s="2" t="inlineStr">
        <is>
          <t>Artigo 113.º-A (Reabilitação e construção de cantinas no Instituto Politécnico de Setúbal)</t>
        </is>
      </c>
      <c r="M2052" s="4" t="n"/>
      <c r="N2052" s="4" t="n"/>
      <c r="O2052" s="2" t="n"/>
      <c r="P2052" s="2" t="n"/>
      <c r="Q2052" s="2" t="n"/>
      <c r="R2052" s="2" t="n"/>
      <c r="S2052" s="2" t="inlineStr">
        <is>
          <t>Rejeitado(a) em Comissão</t>
        </is>
      </c>
      <c r="T2052" s="2" t="inlineStr">
        <is>
          <t>Rejeitada</t>
        </is>
      </c>
      <c r="U2052" s="2" t="inlineStr">
        <is>
          <t>Favor: CH, L, PCP, BE, PAN; Contra: PSD, CDS-PP; Abstenção: PS, IL</t>
        </is>
      </c>
      <c r="V2052" s="3" t="n">
        <v>45985</v>
      </c>
      <c r="W2052" s="2" t="inlineStr">
        <is>
          <t>AR: https://www.parlamento.pt/OrcamentoEstado/Paginas/DetalhePropostaAlteracao.aspx?BID=25193 PDF: https://app.parlamento.pt/webutils/docs/doc.pdf?path=6148523063484d364c793942556b356c6443397a6158526c63793959566b6c4a544556484c3039464c7a49774d6a59794d4449314d5441774f5339515153396b5a54566a5a6d466b597930314d475a694c5451354e5745745954686c4e4331684e57526c596a51354d4449785a6a6b756347526d&amp;Fich=de5cfadc-50fb-495a-a8e4-a5deb49021f9.pdf&amp;Inline=true</t>
        </is>
      </c>
      <c r="X2052" s="2" t="inlineStr">
        <is>
          <t>Educação e Ciência</t>
        </is>
      </c>
      <c r="Y2052" s="2" t="inlineStr">
        <is>
          <t>Articulado</t>
        </is>
      </c>
      <c r="Z2052" s="2" t="inlineStr">
        <is>
          <t>Aditamento (Artigo PPL)</t>
        </is>
      </c>
      <c r="AA2052" s="2" t="inlineStr">
        <is>
          <t>Rejeitado(a) em Comissão</t>
        </is>
      </c>
      <c r="AB2052" s="2" t="inlineStr"/>
      <c r="AC2052" s="2" t="inlineStr"/>
      <c r="AD2052" s="2" t="inlineStr">
        <is>
          <t>1</t>
        </is>
      </c>
      <c r="AE2052" s="2" t="inlineStr">
        <is>
          <t>25193</t>
        </is>
      </c>
      <c r="AF2052" s="2" t="inlineStr">
        <is>
          <t>https://www.parlamento.pt/OrcamentoEstado/Paginas/DetalhePropostaAlteracao.aspx?BID=25193</t>
        </is>
      </c>
      <c r="AG2052" s="2" t="inlineStr">
        <is>
          <t>https://app.parlamento.pt/webutils/docs/doc.pdf?path=6148523063484d364c793942556b356c6443397a6158526c63793959566b6c4a544556484c3039464c7a49774d6a59794d4449314d5441774f5339515153396b5a54566a5a6d466b597930314d475a694c5451354e5745745954686c4e4331684e57526c596a51354d4449785a6a6b756347526d&amp;Fich=de5cfadc-50fb-495a-a8e4-a5deb49021f9.pdf&amp;Inline=true</t>
        </is>
      </c>
      <c r="AH2052" s="3" t="n">
        <v>46321.77847222222</v>
      </c>
      <c r="AI2052" s="3" t="n">
        <v>46321.78055555555</v>
      </c>
      <c r="AJ2052" s="2" t="inlineStr"/>
    </row>
    <row r="2053">
      <c r="A2053" s="2" t="n">
        <v>2052</v>
      </c>
      <c r="B2053" s="2" t="inlineStr">
        <is>
          <t>1941C</t>
        </is>
      </c>
      <c r="C2053" s="3" t="n">
        <v>45968.74722222222</v>
      </c>
      <c r="D2053" s="2" t="inlineStr">
        <is>
          <t>Original</t>
        </is>
      </c>
      <c r="E2053" s="2" t="inlineStr">
        <is>
          <t>PCP</t>
        </is>
      </c>
      <c r="F2053" s="2" t="inlineStr">
        <is>
          <t>Alfredo Maia; Paula Santos; Paulo Raimundo</t>
        </is>
      </c>
      <c r="G2053" s="2" t="inlineStr">
        <is>
          <t>Art. 113.º-A (aditamento)</t>
        </is>
      </c>
      <c r="H2053" s="2" t="n"/>
      <c r="I2053" s="2" t="n"/>
      <c r="J2053" s="2" t="n"/>
      <c r="K2053" s="2" t="n"/>
      <c r="L2053" s="2" t="inlineStr">
        <is>
          <t>Artigo 113.º-A (Centro de Apoio à Capacitação e inclusão e Lar Residencial da Cercizimbra – Polo da Quinta do Conde)</t>
        </is>
      </c>
      <c r="M2053" s="4" t="n"/>
      <c r="N2053" s="4" t="n"/>
      <c r="O2053" s="2" t="n"/>
      <c r="P2053" s="2" t="n"/>
      <c r="Q2053" s="2" t="n"/>
      <c r="R2053" s="2" t="n"/>
      <c r="S2053" s="2" t="inlineStr">
        <is>
          <t>Rejeitado(a) em Comissão</t>
        </is>
      </c>
      <c r="T2053" s="2" t="inlineStr">
        <is>
          <t>Rejeitada</t>
        </is>
      </c>
      <c r="U2053" s="2" t="inlineStr">
        <is>
          <t>Favor: CH, L, PCP, BE, PAN; Contra: PSD, CDS-PP; Abstenção: PS, IL</t>
        </is>
      </c>
      <c r="V2053" s="3" t="n">
        <v>45987</v>
      </c>
      <c r="W2053" s="2" t="inlineStr">
        <is>
          <t>AR: https://www.parlamento.pt/OrcamentoEstado/Paginas/DetalhePropostaAlteracao.aspx?BID=25194 PDF: https://app.parlamento.pt/webutils/docs/doc.pdf?path=6148523063484d364c793942556b356c6443397a6158526c63793959566b6c4a544556484c3039464c7a49774d6a59794d4449314d5441774f533951515338354d6a4933596a686b4d433035596d59774c5451774f4755744f47566c596930314f44526d4f4749324d57497a4e6a45756347526d&amp;Fich=9227b8d0-9bf0-408e-8eeb-584f8b61b361.pdf&amp;Inline=true</t>
        </is>
      </c>
      <c r="X2053" s="2" t="inlineStr">
        <is>
          <t>Trabalho, Segurança Social e Inclusão</t>
        </is>
      </c>
      <c r="Y2053" s="2" t="inlineStr">
        <is>
          <t>Articulado</t>
        </is>
      </c>
      <c r="Z2053" s="2" t="inlineStr">
        <is>
          <t>Aditamento (Artigo PPL)</t>
        </is>
      </c>
      <c r="AA2053" s="2" t="inlineStr">
        <is>
          <t>Rejeitado(a) em Comissão</t>
        </is>
      </c>
      <c r="AB2053" s="2" t="inlineStr"/>
      <c r="AC2053" s="2" t="inlineStr"/>
      <c r="AD2053" s="2" t="inlineStr">
        <is>
          <t>1</t>
        </is>
      </c>
      <c r="AE2053" s="2" t="inlineStr">
        <is>
          <t>25194</t>
        </is>
      </c>
      <c r="AF2053" s="2" t="inlineStr">
        <is>
          <t>https://www.parlamento.pt/OrcamentoEstado/Paginas/DetalhePropostaAlteracao.aspx?BID=25194</t>
        </is>
      </c>
      <c r="AG2053" s="2" t="inlineStr">
        <is>
          <t>https://app.parlamento.pt/webutils/docs/doc.pdf?path=6148523063484d364c793942556b356c6443397a6158526c63793959566b6c4a544556484c3039464c7a49774d6a59794d4449314d5441774f533951515338354d6a4933596a686b4d433035596d59774c5451774f4755744f47566c596930314f44526d4f4749324d57497a4e6a45756347526d&amp;Fich=9227b8d0-9bf0-408e-8eeb-584f8b61b361.pdf&amp;Inline=true</t>
        </is>
      </c>
      <c r="AH2053" s="3" t="n">
        <v>46321.77847222222</v>
      </c>
      <c r="AI2053" s="3" t="n">
        <v>46321.78055555555</v>
      </c>
      <c r="AJ2053" s="2" t="inlineStr"/>
    </row>
    <row r="2054">
      <c r="A2054" s="2" t="n">
        <v>2053</v>
      </c>
      <c r="B2054" s="2" t="inlineStr">
        <is>
          <t>1942C</t>
        </is>
      </c>
      <c r="C2054" s="3" t="n">
        <v>45968.74791666667</v>
      </c>
      <c r="D2054" s="2" t="inlineStr">
        <is>
          <t>Original</t>
        </is>
      </c>
      <c r="E2054" s="2" t="inlineStr">
        <is>
          <t>PCP</t>
        </is>
      </c>
      <c r="F2054" s="2" t="inlineStr">
        <is>
          <t>Alfredo Maia; Paula Santos; Paulo Raimundo</t>
        </is>
      </c>
      <c r="G2054" s="2" t="inlineStr">
        <is>
          <t>Art. 113.º-A (aditamento)</t>
        </is>
      </c>
      <c r="H2054" s="2" t="n"/>
      <c r="I2054" s="2" t="n"/>
      <c r="J2054" s="2" t="n"/>
      <c r="K2054" s="2" t="n"/>
      <c r="L2054" s="2" t="inlineStr">
        <is>
          <t>Artigo 113.º-A (Construção da Ponte Barreiro - Seixal)</t>
        </is>
      </c>
      <c r="M2054" s="4" t="n"/>
      <c r="N2054" s="4" t="n"/>
      <c r="O2054" s="2" t="n"/>
      <c r="P2054" s="2" t="n"/>
      <c r="Q2054" s="2" t="n"/>
      <c r="R2054" s="2" t="n"/>
      <c r="S2054" s="2" t="inlineStr">
        <is>
          <t>Rejeitado(a) em Comissão</t>
        </is>
      </c>
      <c r="T2054" s="2" t="inlineStr">
        <is>
          <t>Rejeitada</t>
        </is>
      </c>
      <c r="U2054" s="2" t="inlineStr">
        <is>
          <t>Favor: IL, L, PCP, BE; Contra: PSD, CDS-PP; Abstenção: CH, PS, PAN</t>
        </is>
      </c>
      <c r="V2054" s="3" t="n">
        <v>45985</v>
      </c>
      <c r="W2054" s="2" t="inlineStr">
        <is>
          <t>AR: https://www.parlamento.pt/OrcamentoEstado/Paginas/DetalhePropostaAlteracao.aspx?BID=25195 PDF: https://app.parlamento.pt/webutils/docs/doc.pdf?path=6148523063484d364c793942556b356c6443397a6158526c63793959566b6c4a544556484c3039464c7a49774d6a59794d4449314d5441774f5339515153387a4d6a637a4d4463304e79316a4f4751344c5451794d474d744f5463794e69316c4e6a6c6d4d7a67325a6d4d354d7a67756347526d&amp;Fich=32730747-c8d8-420c-9726-e69f386fc938.pdf&amp;Inline=true</t>
        </is>
      </c>
      <c r="X2054" s="2" t="inlineStr">
        <is>
          <t>Infraestruturas, Mobilidade e Habitação</t>
        </is>
      </c>
      <c r="Y2054" s="2" t="inlineStr">
        <is>
          <t>Articulado</t>
        </is>
      </c>
      <c r="Z2054" s="2" t="inlineStr">
        <is>
          <t>Aditamento (Artigo PPL)</t>
        </is>
      </c>
      <c r="AA2054" s="2" t="inlineStr">
        <is>
          <t>Rejeitado(a) em Comissão</t>
        </is>
      </c>
      <c r="AB2054" s="2" t="inlineStr"/>
      <c r="AC2054" s="2" t="inlineStr"/>
      <c r="AD2054" s="2" t="inlineStr">
        <is>
          <t>1</t>
        </is>
      </c>
      <c r="AE2054" s="2" t="inlineStr">
        <is>
          <t>25195</t>
        </is>
      </c>
      <c r="AF2054" s="2" t="inlineStr">
        <is>
          <t>https://www.parlamento.pt/OrcamentoEstado/Paginas/DetalhePropostaAlteracao.aspx?BID=25195</t>
        </is>
      </c>
      <c r="AG2054" s="2" t="inlineStr">
        <is>
          <t>https://app.parlamento.pt/webutils/docs/doc.pdf?path=6148523063484d364c793942556b356c6443397a6158526c63793959566b6c4a544556484c3039464c7a49774d6a59794d4449314d5441774f5339515153387a4d6a637a4d4463304e79316a4f4751344c5451794d474d744f5463794e69316c4e6a6c6d4d7a67325a6d4d354d7a67756347526d&amp;Fich=32730747-c8d8-420c-9726-e69f386fc938.pdf&amp;Inline=true</t>
        </is>
      </c>
      <c r="AH2054" s="3" t="n">
        <v>46321.77847222222</v>
      </c>
      <c r="AI2054" s="3" t="n">
        <v>46321.78055555555</v>
      </c>
      <c r="AJ2054" s="2" t="inlineStr"/>
    </row>
    <row r="2055">
      <c r="A2055" s="2" t="n">
        <v>2054</v>
      </c>
      <c r="B2055" s="2" t="inlineStr">
        <is>
          <t>1943C</t>
        </is>
      </c>
      <c r="C2055" s="3" t="n">
        <v>45968.74791666667</v>
      </c>
      <c r="D2055" s="2" t="inlineStr">
        <is>
          <t>Original</t>
        </is>
      </c>
      <c r="E2055" s="2" t="inlineStr">
        <is>
          <t>L</t>
        </is>
      </c>
      <c r="F2055" s="2" t="inlineStr">
        <is>
          <t>Filipa Pinto; Isabel Mendes Lopes; Jorge Pinto; Patrícia Gonçalves; Paulo Muacho; Rui Tavares</t>
        </is>
      </c>
      <c r="G2055" s="2" t="inlineStr">
        <is>
          <t>Art. 128.º-A (aditamento)</t>
        </is>
      </c>
      <c r="H2055" s="2" t="n"/>
      <c r="I2055" s="2" t="n"/>
      <c r="J2055" s="2" t="n"/>
      <c r="K2055" s="2" t="n"/>
      <c r="L2055" s="2" t="inlineStr">
        <is>
          <t>Artigo 128.º-A (Programa Nacional de Investigação Científica Aplicada em Bem-Estar Animal e Gestão de Animais à Guarda do Estado)</t>
        </is>
      </c>
      <c r="M2055" s="4" t="n"/>
      <c r="N2055" s="4" t="n"/>
      <c r="O2055" s="2" t="n"/>
      <c r="P2055" s="2" t="n"/>
      <c r="Q2055" s="2" t="n"/>
      <c r="R2055" s="2" t="n"/>
      <c r="S2055" s="2" t="inlineStr">
        <is>
          <t>Rejeitado(a) em Comissão</t>
        </is>
      </c>
      <c r="T2055" s="2" t="inlineStr">
        <is>
          <t>Rejeitada</t>
        </is>
      </c>
      <c r="U2055" s="2" t="inlineStr">
        <is>
          <t>Favor: L, PCP, BE, PAN; Contra: PSD, IL, CDS-PP; Abstenção: CH, PS</t>
        </is>
      </c>
      <c r="V2055" s="3" t="n">
        <v>45985</v>
      </c>
      <c r="W2055" s="2" t="inlineStr">
        <is>
          <t>AR: https://www.parlamento.pt/OrcamentoEstado/Paginas/DetalhePropostaAlteracao.aspx?BID=25196 PDF: https://app.parlamento.pt/webutils/docs/doc.pdf?path=6148523063484d364c793942556b356c6443397a6158526c63793959566b6c4a544556484c3039464c7a49774d6a59794d4449314d5441774f53395151533879595445324d324d344d7931695a6a49314c5451314d3259744f4459784d6931694f575177597a4979593245344e3251756347526d&amp;Fich=2a163c83-bf25-453f-8612-b9d0c22ca87d.pdf&amp;Inline=true</t>
        </is>
      </c>
      <c r="X2055" s="2" t="inlineStr">
        <is>
          <t>Ambiente e Energia; Orçamento, Finanças e Administração Pública</t>
        </is>
      </c>
      <c r="Y2055" s="2" t="inlineStr">
        <is>
          <t>Articulado</t>
        </is>
      </c>
      <c r="Z2055" s="2" t="inlineStr">
        <is>
          <t>Aditamento (Artigo PPL)</t>
        </is>
      </c>
      <c r="AA2055" s="2" t="inlineStr">
        <is>
          <t>Rejeitado(a) em Comissão</t>
        </is>
      </c>
      <c r="AB2055" s="2" t="inlineStr"/>
      <c r="AC2055" s="2" t="inlineStr"/>
      <c r="AD2055" s="2" t="inlineStr">
        <is>
          <t>1</t>
        </is>
      </c>
      <c r="AE2055" s="2" t="inlineStr">
        <is>
          <t>25196</t>
        </is>
      </c>
      <c r="AF2055" s="2" t="inlineStr">
        <is>
          <t>https://www.parlamento.pt/OrcamentoEstado/Paginas/DetalhePropostaAlteracao.aspx?BID=25196</t>
        </is>
      </c>
      <c r="AG2055" s="2" t="inlineStr">
        <is>
          <t>https://app.parlamento.pt/webutils/docs/doc.pdf?path=6148523063484d364c793942556b356c6443397a6158526c63793959566b6c4a544556484c3039464c7a49774d6a59794d4449314d5441774f53395151533879595445324d324d344d7931695a6a49314c5451314d3259744f4459784d6931694f575177597a4979593245344e3251756347526d&amp;Fich=2a163c83-bf25-453f-8612-b9d0c22ca87d.pdf&amp;Inline=true</t>
        </is>
      </c>
      <c r="AH2055" s="3" t="n">
        <v>46321.77847222222</v>
      </c>
      <c r="AI2055" s="3" t="n">
        <v>46321.78055555555</v>
      </c>
      <c r="AJ2055" s="2" t="inlineStr"/>
    </row>
    <row r="2056">
      <c r="A2056" s="2" t="n">
        <v>2055</v>
      </c>
      <c r="B2056" s="2" t="inlineStr">
        <is>
          <t>1944C</t>
        </is>
      </c>
      <c r="C2056" s="3" t="n">
        <v>45968.74791666667</v>
      </c>
      <c r="D2056" s="2" t="inlineStr">
        <is>
          <t>Original</t>
        </is>
      </c>
      <c r="E2056" s="2" t="inlineStr">
        <is>
          <t>PAN</t>
        </is>
      </c>
      <c r="F2056" s="2" t="inlineStr">
        <is>
          <t>Inês de Sousa Real</t>
        </is>
      </c>
      <c r="G2056" s="2" t="inlineStr">
        <is>
          <t>Art. 117.º-A (aditamento)</t>
        </is>
      </c>
      <c r="H2056" s="2" t="n"/>
      <c r="I2056" s="2" t="n"/>
      <c r="J2056" s="2" t="n"/>
      <c r="K2056" s="2" t="n"/>
      <c r="L2056" s="2" t="inlineStr">
        <is>
          <t>Artigo 117.º-A (Limite máximo do valor da propina)</t>
        </is>
      </c>
      <c r="M2056" s="4" t="n"/>
      <c r="N2056" s="4" t="n"/>
      <c r="O2056" s="2" t="n"/>
      <c r="P2056" s="2" t="n"/>
      <c r="Q2056" s="2" t="n"/>
      <c r="R2056" s="2" t="n"/>
      <c r="S2056" s="2" t="inlineStr">
        <is>
          <t>Rejeitado(a) em Comissão</t>
        </is>
      </c>
      <c r="T2056" s="2" t="inlineStr">
        <is>
          <t>Rejeitada</t>
        </is>
      </c>
      <c r="U2056" s="2" t="inlineStr">
        <is>
          <t>Favor: L, PCP, BE, PAN; Contra: PSD, CH, IL, CDS-PP; Abstenção: PS</t>
        </is>
      </c>
      <c r="V2056" s="3" t="n">
        <v>45985</v>
      </c>
      <c r="W2056" s="2" t="inlineStr">
        <is>
          <t>AR: https://www.parlamento.pt/OrcamentoEstado/Paginas/DetalhePropostaAlteracao.aspx?BID=25197 PDF: https://app.parlamento.pt/webutils/docs/doc.pdf?path=6148523063484d364c793942556b356c6443397a6158526c63793959566b6c4a544556484c3039464c7a49774d6a59794d4449314d5441774f5339515153396c4d44646c596a4d334d4331694d7a6b314c5451315a5755744f444d314e693032595463784d6d4a6a595445795a6a6b756347526d&amp;Fich=e07eb370-b395-45ee-8356-6a712bca12f9.pdf&amp;Inline=true</t>
        </is>
      </c>
      <c r="X2056" s="2" t="inlineStr">
        <is>
          <t>Educação e Ciência</t>
        </is>
      </c>
      <c r="Y2056" s="2" t="inlineStr">
        <is>
          <t>Articulado</t>
        </is>
      </c>
      <c r="Z2056" s="2" t="inlineStr">
        <is>
          <t>Aditamento (Artigo PPL)</t>
        </is>
      </c>
      <c r="AA2056" s="2" t="inlineStr">
        <is>
          <t>Rejeitado(a) em Comissão</t>
        </is>
      </c>
      <c r="AB2056" s="2" t="inlineStr"/>
      <c r="AC2056" s="2" t="inlineStr"/>
      <c r="AD2056" s="2" t="inlineStr">
        <is>
          <t>1</t>
        </is>
      </c>
      <c r="AE2056" s="2" t="inlineStr">
        <is>
          <t>25197</t>
        </is>
      </c>
      <c r="AF2056" s="2" t="inlineStr">
        <is>
          <t>https://www.parlamento.pt/OrcamentoEstado/Paginas/DetalhePropostaAlteracao.aspx?BID=25197</t>
        </is>
      </c>
      <c r="AG2056" s="2" t="inlineStr">
        <is>
          <t>https://app.parlamento.pt/webutils/docs/doc.pdf?path=6148523063484d364c793942556b356c6443397a6158526c63793959566b6c4a544556484c3039464c7a49774d6a59794d4449314d5441774f5339515153396c4d44646c596a4d334d4331694d7a6b314c5451315a5755744f444d314e693032595463784d6d4a6a595445795a6a6b756347526d&amp;Fich=e07eb370-b395-45ee-8356-6a712bca12f9.pdf&amp;Inline=true</t>
        </is>
      </c>
      <c r="AH2056" s="3" t="n">
        <v>46321.77847222222</v>
      </c>
      <c r="AI2056" s="3" t="n">
        <v>46321.78055555555</v>
      </c>
      <c r="AJ2056" s="2" t="inlineStr"/>
    </row>
    <row r="2057">
      <c r="A2057" s="2" t="n">
        <v>2056</v>
      </c>
      <c r="B2057" s="2" t="inlineStr">
        <is>
          <t>1945C</t>
        </is>
      </c>
      <c r="C2057" s="3" t="n">
        <v>45968.74791666667</v>
      </c>
      <c r="D2057" s="2" t="inlineStr">
        <is>
          <t>Original</t>
        </is>
      </c>
      <c r="E2057" s="2" t="inlineStr">
        <is>
          <t>L</t>
        </is>
      </c>
      <c r="F2057" s="2" t="inlineStr">
        <is>
          <t>Filipa Pinto; Isabel Mendes Lopes; Jorge Pinto; Patrícia Gonçalves; Paulo Muacho; Rui Tavares</t>
        </is>
      </c>
      <c r="G2057" s="2" t="inlineStr">
        <is>
          <t>Art. 22.º-A (aditamento)</t>
        </is>
      </c>
      <c r="H2057" s="2" t="n"/>
      <c r="I2057" s="2" t="n"/>
      <c r="J2057" s="2" t="n"/>
      <c r="K2057" s="2" t="n"/>
      <c r="L2057" s="2" t="inlineStr">
        <is>
          <t>Artigo 22.º-A (Revisão da carreira especial dos Técnicos Superiores de Saúde)</t>
        </is>
      </c>
      <c r="M2057" s="4" t="n"/>
      <c r="N2057" s="4" t="n"/>
      <c r="O2057" s="2" t="n"/>
      <c r="P2057" s="2" t="n"/>
      <c r="Q2057" s="2" t="n"/>
      <c r="R2057" s="2" t="n"/>
      <c r="S2057" s="2" t="inlineStr">
        <is>
          <t>Rejeitado(a) em Comissão</t>
        </is>
      </c>
      <c r="T2057" s="2" t="inlineStr">
        <is>
          <t>Rejeitada</t>
        </is>
      </c>
      <c r="U2057" s="2" t="inlineStr">
        <is>
          <t>Favor: CH, L, PCP, BE, PAN; Contra: PSD, CDS-PP; Abstenção: PS, IL</t>
        </is>
      </c>
      <c r="V2057" s="3" t="n">
        <v>45981</v>
      </c>
      <c r="W2057" s="2" t="inlineStr">
        <is>
          <t>AR: https://www.parlamento.pt/OrcamentoEstado/Paginas/DetalhePropostaAlteracao.aspx?BID=25198 PDF: https://app.parlamento.pt/webutils/docs/doc.pdf?path=6148523063484d364c793942556b356c6443397a6158526c63793959566b6c4a544556484c3039464c7a49774d6a59794d4449314d5441774f533951515338774e4759774d5467335a43307a4e546c6d4c5451354f546b744f444e684e7930314e6a686c5a574e6d596a5135595749756347526d&amp;Fich=04f0187d-359f-4999-83a7-568eecfb49ab.pdf&amp;Inline=true</t>
        </is>
      </c>
      <c r="X2057" s="2" t="inlineStr">
        <is>
          <t>Saúde</t>
        </is>
      </c>
      <c r="Y2057" s="2" t="inlineStr">
        <is>
          <t>Articulado</t>
        </is>
      </c>
      <c r="Z2057" s="2" t="inlineStr">
        <is>
          <t>Aditamento (Artigo PPL)</t>
        </is>
      </c>
      <c r="AA2057" s="2" t="inlineStr">
        <is>
          <t>Rejeitado(a) em Comissão</t>
        </is>
      </c>
      <c r="AB2057" s="2" t="inlineStr"/>
      <c r="AC2057" s="2" t="inlineStr"/>
      <c r="AD2057" s="2" t="inlineStr">
        <is>
          <t>1</t>
        </is>
      </c>
      <c r="AE2057" s="2" t="inlineStr">
        <is>
          <t>25198</t>
        </is>
      </c>
      <c r="AF2057" s="2" t="inlineStr">
        <is>
          <t>https://www.parlamento.pt/OrcamentoEstado/Paginas/DetalhePropostaAlteracao.aspx?BID=25198</t>
        </is>
      </c>
      <c r="AG2057" s="2" t="inlineStr">
        <is>
          <t>https://app.parlamento.pt/webutils/docs/doc.pdf?path=6148523063484d364c793942556b356c6443397a6158526c63793959566b6c4a544556484c3039464c7a49774d6a59794d4449314d5441774f533951515338774e4759774d5467335a43307a4e546c6d4c5451354f546b744f444e684e7930314e6a686c5a574e6d596a5135595749756347526d&amp;Fich=04f0187d-359f-4999-83a7-568eecfb49ab.pdf&amp;Inline=true</t>
        </is>
      </c>
      <c r="AH2057" s="3" t="n">
        <v>46321.77847222222</v>
      </c>
      <c r="AI2057" s="3" t="n">
        <v>46321.78055555555</v>
      </c>
      <c r="AJ2057" s="2" t="inlineStr"/>
    </row>
    <row r="2058">
      <c r="A2058" s="2" t="n">
        <v>2057</v>
      </c>
      <c r="B2058" s="2" t="inlineStr">
        <is>
          <t>1946C</t>
        </is>
      </c>
      <c r="C2058" s="3" t="n">
        <v>45968.74861111111</v>
      </c>
      <c r="D2058" s="2" t="inlineStr">
        <is>
          <t>Original</t>
        </is>
      </c>
      <c r="E2058" s="2" t="inlineStr">
        <is>
          <t>JPP</t>
        </is>
      </c>
      <c r="F2058" s="2" t="inlineStr">
        <is>
          <t>Filipe Sousa</t>
        </is>
      </c>
      <c r="G2058" s="2" t="inlineStr">
        <is>
          <t>Art. 133.º-B (aditamento)</t>
        </is>
      </c>
      <c r="H2058" s="2" t="n"/>
      <c r="I2058" s="2" t="n"/>
      <c r="J2058" s="2" t="n"/>
      <c r="K2058" s="2" t="n"/>
      <c r="L2058" s="2" t="inlineStr">
        <is>
          <t>Artigo 133.º-B (Alteração ao Decreto-Lei n.º 86/2019, de 2 de julho)</t>
        </is>
      </c>
      <c r="M2058" s="4" t="n"/>
      <c r="N2058" s="4" t="n"/>
      <c r="O2058" s="2" t="n"/>
      <c r="P2058" s="2" t="n"/>
      <c r="Q2058" s="2" t="n"/>
      <c r="R2058" s="2" t="n"/>
      <c r="S2058" s="2" t="inlineStr">
        <is>
          <t>Rejeitado(a) em Comissão</t>
        </is>
      </c>
      <c r="T2058" s="2" t="inlineStr">
        <is>
          <t>Rejeitada</t>
        </is>
      </c>
      <c r="U2058" s="2" t="inlineStr">
        <is>
          <t>Favor: L, PCP, BE, PAN; Contra: PSD, IL, CDS-PP; Abstenção: CH, PS</t>
        </is>
      </c>
      <c r="V2058" s="3" t="n">
        <v>45985</v>
      </c>
      <c r="W2058" s="2" t="inlineStr">
        <is>
          <t>AR: https://www.parlamento.pt/OrcamentoEstado/Paginas/DetalhePropostaAlteracao.aspx?BID=25199 PDF: https://app.parlamento.pt/webutils/docs/doc.pdf?path=6148523063484d364c793942556b356c6443397a6158526c63793959566b6c4a544556484c3039464c7a49774d6a59794d4449314d5441774f533951515338795a6a4d795a5467775a4331694e7a6c684c545178596d51745954637a4e693032597a526c4e5456685a6a42694e3249756347526d&amp;Fich=2f32e80d-b79a-41bd-a736-6c4e55af0b7b.pdf&amp;Inline=true</t>
        </is>
      </c>
      <c r="X2058" s="2" t="inlineStr">
        <is>
          <t>Assuntos Constitucionais, Direitos, Liberdades e Garantias; Reforma do Estado e Poder Local</t>
        </is>
      </c>
      <c r="Y2058" s="2" t="inlineStr">
        <is>
          <t>Articulado</t>
        </is>
      </c>
      <c r="Z2058" s="2" t="inlineStr">
        <is>
          <t>Aditamento (Artigo PPL)</t>
        </is>
      </c>
      <c r="AA2058" s="2" t="inlineStr">
        <is>
          <t>Rejeitado(a) em Comissão</t>
        </is>
      </c>
      <c r="AB2058" s="2" t="inlineStr"/>
      <c r="AC2058" s="2" t="inlineStr"/>
      <c r="AD2058" s="2" t="inlineStr">
        <is>
          <t>1</t>
        </is>
      </c>
      <c r="AE2058" s="2" t="inlineStr">
        <is>
          <t>25199</t>
        </is>
      </c>
      <c r="AF2058" s="2" t="inlineStr">
        <is>
          <t>https://www.parlamento.pt/OrcamentoEstado/Paginas/DetalhePropostaAlteracao.aspx?BID=25199</t>
        </is>
      </c>
      <c r="AG2058" s="2" t="inlineStr">
        <is>
          <t>https://app.parlamento.pt/webutils/docs/doc.pdf?path=6148523063484d364c793942556b356c6443397a6158526c63793959566b6c4a544556484c3039464c7a49774d6a59794d4449314d5441774f533951515338795a6a4d795a5467775a4331694e7a6c684c545178596d51745954637a4e693032597a526c4e5456685a6a42694e3249756347526d&amp;Fich=2f32e80d-b79a-41bd-a736-6c4e55af0b7b.pdf&amp;Inline=true</t>
        </is>
      </c>
      <c r="AH2058" s="3" t="n">
        <v>46321.77847222222</v>
      </c>
      <c r="AI2058" s="3" t="n">
        <v>46321.78055555555</v>
      </c>
      <c r="AJ2058" s="2" t="inlineStr"/>
    </row>
    <row r="2059">
      <c r="A2059" s="2" t="n">
        <v>2058</v>
      </c>
      <c r="B2059" s="2" t="inlineStr">
        <is>
          <t>1947C</t>
        </is>
      </c>
      <c r="C2059" s="3" t="n">
        <v>45968.74861111111</v>
      </c>
      <c r="D2059" s="2" t="inlineStr">
        <is>
          <t>Original</t>
        </is>
      </c>
      <c r="E2059" s="2" t="inlineStr">
        <is>
          <t>PCP</t>
        </is>
      </c>
      <c r="F2059" s="2" t="inlineStr">
        <is>
          <t>Alfredo Maia; Paula Santos; Paulo Raimundo</t>
        </is>
      </c>
      <c r="G2059" s="2" t="inlineStr">
        <is>
          <t>Art. 128.º-A (aditamento)</t>
        </is>
      </c>
      <c r="H2059" s="2" t="n"/>
      <c r="I2059" s="2" t="n"/>
      <c r="J2059" s="2" t="n"/>
      <c r="K2059" s="2" t="n"/>
      <c r="L2059" s="2" t="inlineStr">
        <is>
          <t>Artigo 128.º-A (Terceira Travessia do Tejo)</t>
        </is>
      </c>
      <c r="M2059" s="4" t="n"/>
      <c r="N2059" s="4" t="n"/>
      <c r="O2059" s="2" t="n"/>
      <c r="P2059" s="2" t="n"/>
      <c r="Q2059" s="2" t="n"/>
      <c r="R2059" s="2" t="n"/>
      <c r="S2059" s="2" t="inlineStr">
        <is>
          <t>Aprovado(a) em Comissão</t>
        </is>
      </c>
      <c r="T2059" s="2" t="inlineStr">
        <is>
          <t>Aprovada</t>
        </is>
      </c>
      <c r="U2059" s="2" t="inlineStr">
        <is>
          <t>Favor: CH, PS, L, PCP, BE; Contra: PSD, CDS-PP; Abstenção: IL, PAN</t>
        </is>
      </c>
      <c r="V2059" s="3" t="n">
        <v>45985</v>
      </c>
      <c r="W2059" s="2" t="inlineStr">
        <is>
          <t>AR: https://www.parlamento.pt/OrcamentoEstado/Paginas/DetalhePropostaAlteracao.aspx?BID=25200 PDF: https://app.parlamento.pt/webutils/docs/doc.pdf?path=6148523063484d364c793942556b356c6443397a6158526c63793959566b6c4a544556484c3039464c7a49774d6a59794d4449314d5441774f533951515338315a44686d595463334d79316c4f54466b4c54517a5a6d497459544a6b4d4331694e6d557a4e544d334d4445324e3255756347526d&amp;Fich=5d8fa773-e91d-43fb-a2d0-b6e35370167e.pdf&amp;Inline=true</t>
        </is>
      </c>
      <c r="X2059" s="2" t="inlineStr">
        <is>
          <t>Infraestruturas, Mobilidade e Habitação</t>
        </is>
      </c>
      <c r="Y2059" s="2" t="inlineStr">
        <is>
          <t>Articulado</t>
        </is>
      </c>
      <c r="Z2059" s="2" t="inlineStr">
        <is>
          <t>Aditamento (Artigo PPL)</t>
        </is>
      </c>
      <c r="AA2059" s="2" t="inlineStr">
        <is>
          <t>Aprovado(a) em Comissão</t>
        </is>
      </c>
      <c r="AB2059" s="2" t="inlineStr"/>
      <c r="AC2059" s="2" t="inlineStr"/>
      <c r="AD2059" s="2" t="inlineStr">
        <is>
          <t>1</t>
        </is>
      </c>
      <c r="AE2059" s="2" t="inlineStr">
        <is>
          <t>25200</t>
        </is>
      </c>
      <c r="AF2059" s="2" t="inlineStr">
        <is>
          <t>https://www.parlamento.pt/OrcamentoEstado/Paginas/DetalhePropostaAlteracao.aspx?BID=25200</t>
        </is>
      </c>
      <c r="AG2059" s="2" t="inlineStr">
        <is>
          <t>https://app.parlamento.pt/webutils/docs/doc.pdf?path=6148523063484d364c793942556b356c6443397a6158526c63793959566b6c4a544556484c3039464c7a49774d6a59794d4449314d5441774f533951515338315a44686d595463334d79316c4f54466b4c54517a5a6d497459544a6b4d4331694e6d557a4e544d334d4445324e3255756347526d&amp;Fich=5d8fa773-e91d-43fb-a2d0-b6e35370167e.pdf&amp;Inline=true</t>
        </is>
      </c>
      <c r="AH2059" s="3" t="n">
        <v>46321.77847222222</v>
      </c>
      <c r="AI2059" s="3" t="n">
        <v>46321.78055555555</v>
      </c>
      <c r="AJ2059" s="2" t="inlineStr"/>
    </row>
    <row r="2060">
      <c r="A2060" s="2" t="n">
        <v>2059</v>
      </c>
      <c r="B2060" s="2" t="inlineStr">
        <is>
          <t>1948C</t>
        </is>
      </c>
      <c r="C2060" s="3" t="n">
        <v>45968.74861111111</v>
      </c>
      <c r="D2060" s="2" t="inlineStr">
        <is>
          <t>Original</t>
        </is>
      </c>
      <c r="E2060" s="2" t="inlineStr">
        <is>
          <t>PAN</t>
        </is>
      </c>
      <c r="F2060" s="2" t="inlineStr">
        <is>
          <t>Inês de Sousa Real</t>
        </is>
      </c>
      <c r="G2060" s="2" t="inlineStr">
        <is>
          <t>Art. 118.º-A (aditamento)</t>
        </is>
      </c>
      <c r="H2060" s="2" t="n"/>
      <c r="I2060" s="2" t="n"/>
      <c r="J2060" s="2" t="n"/>
      <c r="K2060" s="2" t="n"/>
      <c r="L2060" s="2" t="inlineStr">
        <is>
          <t>Artigo 118.º-A (Complemento ao alojamento para estudantes deslocados)</t>
        </is>
      </c>
      <c r="M2060" s="4" t="n"/>
      <c r="N2060" s="4" t="n"/>
      <c r="O2060" s="2" t="n"/>
      <c r="P2060" s="2" t="n"/>
      <c r="Q2060" s="2" t="n"/>
      <c r="R2060" s="2" t="n"/>
      <c r="S2060" s="2" t="inlineStr">
        <is>
          <t>Rejeitado(a) em Comissão</t>
        </is>
      </c>
      <c r="T2060" s="2" t="inlineStr">
        <is>
          <t>Rejeitada</t>
        </is>
      </c>
      <c r="U2060" s="2" t="inlineStr">
        <is>
          <t>Favor: L, BE, PAN; Contra: PSD, PS, CDS-PP; Abstenção: CH, IL, PCP</t>
        </is>
      </c>
      <c r="V2060" s="3" t="n">
        <v>45985</v>
      </c>
      <c r="W2060" s="2" t="inlineStr">
        <is>
          <t>AR: https://www.parlamento.pt/OrcamentoEstado/Paginas/DetalhePropostaAlteracao.aspx?BID=25201 PDF: https://app.parlamento.pt/webutils/docs/doc.pdf?path=6148523063484d364c793942556b356c6443397a6158526c63793959566b6c4a544556484c3039464c7a49774d6a59794d4449314d5441774f5339515153396b596a457a4f474a6a4f43316c4e324d334c54513259544d744f4745355a5330785a4759334e6a67355a6a646b5a5459756347526d&amp;Fich=db138bc8-e7c7-46a3-8a9e-1df7689f7de6.pdf&amp;Inline=true</t>
        </is>
      </c>
      <c r="X2060" s="2" t="inlineStr">
        <is>
          <t>Educação e Ciência; Trabalho, Segurança Social e Inclusão</t>
        </is>
      </c>
      <c r="Y2060" s="2" t="inlineStr">
        <is>
          <t>Articulado</t>
        </is>
      </c>
      <c r="Z2060" s="2" t="inlineStr">
        <is>
          <t>Aditamento (Artigo PPL)</t>
        </is>
      </c>
      <c r="AA2060" s="2" t="inlineStr">
        <is>
          <t>Rejeitado(a) em Comissão</t>
        </is>
      </c>
      <c r="AB2060" s="2" t="inlineStr"/>
      <c r="AC2060" s="2" t="inlineStr"/>
      <c r="AD2060" s="2" t="inlineStr">
        <is>
          <t>1</t>
        </is>
      </c>
      <c r="AE2060" s="2" t="inlineStr">
        <is>
          <t>25201</t>
        </is>
      </c>
      <c r="AF2060" s="2" t="inlineStr">
        <is>
          <t>https://www.parlamento.pt/OrcamentoEstado/Paginas/DetalhePropostaAlteracao.aspx?BID=25201</t>
        </is>
      </c>
      <c r="AG2060" s="2" t="inlineStr">
        <is>
          <t>https://app.parlamento.pt/webutils/docs/doc.pdf?path=6148523063484d364c793942556b356c6443397a6158526c63793959566b6c4a544556484c3039464c7a49774d6a59794d4449314d5441774f5339515153396b596a457a4f474a6a4f43316c4e324d334c54513259544d744f4745355a5330785a4759334e6a67355a6a646b5a5459756347526d&amp;Fich=db138bc8-e7c7-46a3-8a9e-1df7689f7de6.pdf&amp;Inline=true</t>
        </is>
      </c>
      <c r="AH2060" s="3" t="n">
        <v>46321.77847222222</v>
      </c>
      <c r="AI2060" s="3" t="n">
        <v>46321.78055555555</v>
      </c>
      <c r="AJ2060" s="2" t="inlineStr"/>
    </row>
    <row r="2061">
      <c r="A2061" s="2" t="n">
        <v>2060</v>
      </c>
      <c r="B2061" s="2" t="inlineStr">
        <is>
          <t>1949C</t>
        </is>
      </c>
      <c r="C2061" s="3" t="n">
        <v>45968.74930555555</v>
      </c>
      <c r="D2061" s="2" t="inlineStr">
        <is>
          <t>Original</t>
        </is>
      </c>
      <c r="E2061" s="2" t="inlineStr">
        <is>
          <t>PCP</t>
        </is>
      </c>
      <c r="F2061" s="2" t="inlineStr">
        <is>
          <t>Alfredo Maia; Paula Santos; Paulo Raimundo</t>
        </is>
      </c>
      <c r="G2061" s="2" t="inlineStr">
        <is>
          <t>Art. 113.º-A (aditamento)</t>
        </is>
      </c>
      <c r="H2061" s="2" t="n"/>
      <c r="I2061" s="2" t="n"/>
      <c r="J2061" s="2" t="n"/>
      <c r="K2061" s="2" t="n"/>
      <c r="L2061" s="2" t="inlineStr">
        <is>
          <t>Artigo 113.º-A (Construção das variantes à EN 252 e à EN 379)</t>
        </is>
      </c>
      <c r="M2061" s="4" t="n"/>
      <c r="N2061" s="4" t="n"/>
      <c r="O2061" s="2" t="n"/>
      <c r="P2061" s="2" t="n"/>
      <c r="Q2061" s="2" t="n"/>
      <c r="R2061" s="2" t="n"/>
      <c r="S2061" s="2" t="inlineStr">
        <is>
          <t>Rejeitado(a) em Comissão</t>
        </is>
      </c>
      <c r="T2061" s="2" t="inlineStr">
        <is>
          <t>Rejeitada</t>
        </is>
      </c>
      <c r="U2061" s="2" t="inlineStr">
        <is>
          <t>Favor: CH, L, PCP, BE; Contra: PSD, CDS-PP; Abstenção: PS, IL, PAN</t>
        </is>
      </c>
      <c r="V2061" s="3" t="n">
        <v>45987</v>
      </c>
      <c r="W2061" s="2" t="inlineStr">
        <is>
          <t>AR: https://www.parlamento.pt/OrcamentoEstado/Paginas/DetalhePropostaAlteracao.aspx?BID=25202 PDF: https://app.parlamento.pt/webutils/docs/doc.pdf?path=6148523063484d364c793942556b356c6443397a6158526c63793959566b6c4a544556484c3039464c7a49774d6a59794d4449314d5441774f5339515153396c4d6d46694e544a6b4d69316c4d4751304c5451355a5449744f574d7a5969316c5a5467774e5459785a6a67784d324d756347526d&amp;Fich=e2ab52d2-e0d4-49e2-9c3b-ee80561f813c.pdf&amp;Inline=true</t>
        </is>
      </c>
      <c r="X2061" s="2" t="inlineStr">
        <is>
          <t>Infraestruturas, Mobilidade e Habitação</t>
        </is>
      </c>
      <c r="Y2061" s="2" t="inlineStr">
        <is>
          <t>Articulado</t>
        </is>
      </c>
      <c r="Z2061" s="2" t="inlineStr">
        <is>
          <t>Aditamento (Artigo PPL)</t>
        </is>
      </c>
      <c r="AA2061" s="2" t="inlineStr">
        <is>
          <t>Rejeitado(a) em Comissão</t>
        </is>
      </c>
      <c r="AB2061" s="2" t="inlineStr"/>
      <c r="AC2061" s="2" t="inlineStr"/>
      <c r="AD2061" s="2" t="inlineStr">
        <is>
          <t>1</t>
        </is>
      </c>
      <c r="AE2061" s="2" t="inlineStr">
        <is>
          <t>25202</t>
        </is>
      </c>
      <c r="AF2061" s="2" t="inlineStr">
        <is>
          <t>https://www.parlamento.pt/OrcamentoEstado/Paginas/DetalhePropostaAlteracao.aspx?BID=25202</t>
        </is>
      </c>
      <c r="AG2061" s="2" t="inlineStr">
        <is>
          <t>https://app.parlamento.pt/webutils/docs/doc.pdf?path=6148523063484d364c793942556b356c6443397a6158526c63793959566b6c4a544556484c3039464c7a49774d6a59794d4449314d5441774f5339515153396c4d6d46694e544a6b4d69316c4d4751304c5451355a5449744f574d7a5969316c5a5467774e5459785a6a67784d324d756347526d&amp;Fich=e2ab52d2-e0d4-49e2-9c3b-ee80561f813c.pdf&amp;Inline=true</t>
        </is>
      </c>
      <c r="AH2061" s="3" t="n">
        <v>46321.77847222222</v>
      </c>
      <c r="AI2061" s="3" t="n">
        <v>46321.78055555555</v>
      </c>
      <c r="AJ2061" s="2" t="inlineStr"/>
    </row>
    <row r="2062">
      <c r="A2062" s="2" t="n">
        <v>2061</v>
      </c>
      <c r="B2062" s="2" t="inlineStr">
        <is>
          <t>1950C</t>
        </is>
      </c>
      <c r="C2062" s="3" t="n">
        <v>45968.74930555555</v>
      </c>
      <c r="D2062" s="2" t="inlineStr">
        <is>
          <t>Original</t>
        </is>
      </c>
      <c r="E2062" s="2" t="inlineStr">
        <is>
          <t>PCP</t>
        </is>
      </c>
      <c r="F2062" s="2" t="inlineStr">
        <is>
          <t>Alfredo Maia; Paula Santos; Paulo Raimundo</t>
        </is>
      </c>
      <c r="G2062" s="2" t="inlineStr">
        <is>
          <t>Art. 113.º-A (aditamento)</t>
        </is>
      </c>
      <c r="H2062" s="2" t="n"/>
      <c r="I2062" s="2" t="n"/>
      <c r="J2062" s="2" t="n"/>
      <c r="K2062" s="2" t="n"/>
      <c r="L2062" s="2" t="inlineStr">
        <is>
          <t>Artigo 113.º-A (Construção de nó de acesso do Montijo, Samouco e Alcochete à Ponte Vasco da Gama e à autoestrada A12)</t>
        </is>
      </c>
      <c r="M2062" s="4" t="n"/>
      <c r="N2062" s="4" t="n"/>
      <c r="O2062" s="2" t="n"/>
      <c r="P2062" s="2" t="n"/>
      <c r="Q2062" s="2" t="n"/>
      <c r="R2062" s="2" t="n"/>
      <c r="S2062" s="2" t="inlineStr">
        <is>
          <t>Rejeitado(a) em Comissão</t>
        </is>
      </c>
      <c r="T2062" s="2" t="inlineStr">
        <is>
          <t>Rejeitada</t>
        </is>
      </c>
      <c r="U2062" s="2" t="inlineStr">
        <is>
          <t>Favor: CH, IL, L, PCP, BE; Contra: PSD, CDS-PP; Abstenção: PS, PAN</t>
        </is>
      </c>
      <c r="V2062" s="3" t="n">
        <v>45985</v>
      </c>
      <c r="W2062" s="2" t="inlineStr">
        <is>
          <t>AR: https://www.parlamento.pt/OrcamentoEstado/Paginas/DetalhePropostaAlteracao.aspx?BID=25203 PDF: https://app.parlamento.pt/webutils/docs/doc.pdf?path=6148523063484d364c793942556b356c6443397a6158526c63793959566b6c4a544556484c3039464c7a49774d6a59794d4449314d5441774f533951515338304e7a646b59324d344d693078596d4e6a4c5451775a6d49744f4751324f4330324d4455354e544e6a4d3251794e7a49756347526d&amp;Fich=477dcc82-1bcc-40fb-8d68-605953c3d272.pdf&amp;Inline=true</t>
        </is>
      </c>
      <c r="X2062" s="2" t="inlineStr">
        <is>
          <t>Infraestruturas, Mobilidade e Habitação</t>
        </is>
      </c>
      <c r="Y2062" s="2" t="inlineStr">
        <is>
          <t>Articulado</t>
        </is>
      </c>
      <c r="Z2062" s="2" t="inlineStr">
        <is>
          <t>Aditamento (Artigo PPL)</t>
        </is>
      </c>
      <c r="AA2062" s="2" t="inlineStr">
        <is>
          <t>Rejeitado(a) em Comissão</t>
        </is>
      </c>
      <c r="AB2062" s="2" t="inlineStr"/>
      <c r="AC2062" s="2" t="inlineStr"/>
      <c r="AD2062" s="2" t="inlineStr">
        <is>
          <t>1</t>
        </is>
      </c>
      <c r="AE2062" s="2" t="inlineStr">
        <is>
          <t>25203</t>
        </is>
      </c>
      <c r="AF2062" s="2" t="inlineStr">
        <is>
          <t>https://www.parlamento.pt/OrcamentoEstado/Paginas/DetalhePropostaAlteracao.aspx?BID=25203</t>
        </is>
      </c>
      <c r="AG2062" s="2" t="inlineStr">
        <is>
          <t>https://app.parlamento.pt/webutils/docs/doc.pdf?path=6148523063484d364c793942556b356c6443397a6158526c63793959566b6c4a544556484c3039464c7a49774d6a59794d4449314d5441774f533951515338304e7a646b59324d344d693078596d4e6a4c5451775a6d49744f4751324f4330324d4455354e544e6a4d3251794e7a49756347526d&amp;Fich=477dcc82-1bcc-40fb-8d68-605953c3d272.pdf&amp;Inline=true</t>
        </is>
      </c>
      <c r="AH2062" s="3" t="n">
        <v>46321.77847222222</v>
      </c>
      <c r="AI2062" s="3" t="n">
        <v>46321.78055555555</v>
      </c>
      <c r="AJ2062" s="2" t="inlineStr"/>
    </row>
    <row r="2063">
      <c r="A2063" s="2" t="n">
        <v>2062</v>
      </c>
      <c r="B2063" s="2" t="inlineStr">
        <is>
          <t>1951C</t>
        </is>
      </c>
      <c r="C2063" s="3" t="n">
        <v>45968.75</v>
      </c>
      <c r="D2063" s="2" t="inlineStr">
        <is>
          <t>Original</t>
        </is>
      </c>
      <c r="E2063" s="2" t="inlineStr">
        <is>
          <t>L</t>
        </is>
      </c>
      <c r="F2063" s="2" t="inlineStr">
        <is>
          <t>Filipa Pinto; Isabel Mendes Lopes; Jorge Pinto; Patrícia Gonçalves; Paulo Muacho; Rui Tavares</t>
        </is>
      </c>
      <c r="G2063" s="2" t="inlineStr">
        <is>
          <t>Art. 128.º-A (aditamento)</t>
        </is>
      </c>
      <c r="H2063" s="2" t="n"/>
      <c r="I2063" s="2" t="n"/>
      <c r="J2063" s="2" t="n"/>
      <c r="K2063" s="2" t="n"/>
      <c r="L2063" s="2" t="inlineStr">
        <is>
          <t>Artigo 128.º-A (Gestão Integrada de Dados no Sistema de Informação de Animais de Companhia)</t>
        </is>
      </c>
      <c r="M2063" s="4" t="n"/>
      <c r="N2063" s="4" t="n"/>
      <c r="O2063" s="2" t="n"/>
      <c r="P2063" s="2" t="n"/>
      <c r="Q2063" s="2" t="n"/>
      <c r="R2063" s="2" t="n"/>
      <c r="S2063" s="2" t="inlineStr">
        <is>
          <t>Rejeitado(a) em Comissão</t>
        </is>
      </c>
      <c r="T2063" s="2" t="inlineStr">
        <is>
          <t>Rejeitada</t>
        </is>
      </c>
      <c r="U2063" s="2" t="inlineStr">
        <is>
          <t>Favor: L, PCP, BE, PAN; Contra: PSD, CDS-PP; Abstenção: CH, PS, IL</t>
        </is>
      </c>
      <c r="V2063" s="3" t="n">
        <v>45985</v>
      </c>
      <c r="W2063" s="2" t="inlineStr">
        <is>
          <t>AR: https://www.parlamento.pt/OrcamentoEstado/Paginas/DetalhePropostaAlteracao.aspx?BID=25204 PDF: https://app.parlamento.pt/webutils/docs/doc.pdf?path=6148523063484d364c793942556b356c6443397a6158526c63793959566b6c4a544556484c3039464c7a49774d6a59794d4449314d5441774f533951515338794d574a6c4e7a6730597930784f5449344c5451304d6d5574596a5a684e4330784e444e6a4f4749335a446b344f4463756347526d&amp;Fich=21be784c-1928-442e-b6a4-143c8b7d9887.pdf&amp;Inline=true</t>
        </is>
      </c>
      <c r="X2063" s="2" t="inlineStr">
        <is>
          <t>Ambiente e Energia</t>
        </is>
      </c>
      <c r="Y2063" s="2" t="inlineStr">
        <is>
          <t>Articulado</t>
        </is>
      </c>
      <c r="Z2063" s="2" t="inlineStr">
        <is>
          <t>Aditamento (Artigo PPL)</t>
        </is>
      </c>
      <c r="AA2063" s="2" t="inlineStr">
        <is>
          <t>Rejeitado(a) em Comissão</t>
        </is>
      </c>
      <c r="AB2063" s="2" t="inlineStr"/>
      <c r="AC2063" s="2" t="inlineStr"/>
      <c r="AD2063" s="2" t="inlineStr">
        <is>
          <t>1</t>
        </is>
      </c>
      <c r="AE2063" s="2" t="inlineStr">
        <is>
          <t>25204</t>
        </is>
      </c>
      <c r="AF2063" s="2" t="inlineStr">
        <is>
          <t>https://www.parlamento.pt/OrcamentoEstado/Paginas/DetalhePropostaAlteracao.aspx?BID=25204</t>
        </is>
      </c>
      <c r="AG2063" s="2" t="inlineStr">
        <is>
          <t>https://app.parlamento.pt/webutils/docs/doc.pdf?path=6148523063484d364c793942556b356c6443397a6158526c63793959566b6c4a544556484c3039464c7a49774d6a59794d4449314d5441774f533951515338794d574a6c4e7a6730597930784f5449344c5451304d6d5574596a5a684e4330784e444e6a4f4749335a446b344f4463756347526d&amp;Fich=21be784c-1928-442e-b6a4-143c8b7d9887.pdf&amp;Inline=true</t>
        </is>
      </c>
      <c r="AH2063" s="3" t="n">
        <v>46321.77847222222</v>
      </c>
      <c r="AI2063" s="3" t="n">
        <v>46321.78055555555</v>
      </c>
      <c r="AJ2063" s="2" t="inlineStr"/>
    </row>
    <row r="2064">
      <c r="A2064" s="2" t="n">
        <v>2063</v>
      </c>
      <c r="B2064" s="2" t="inlineStr">
        <is>
          <t>1952C</t>
        </is>
      </c>
      <c r="C2064" s="3" t="n">
        <v>45968.75</v>
      </c>
      <c r="D2064" s="2" t="inlineStr">
        <is>
          <t>Original</t>
        </is>
      </c>
      <c r="E2064" s="2" t="inlineStr">
        <is>
          <t>PCP</t>
        </is>
      </c>
      <c r="F2064" s="2" t="inlineStr">
        <is>
          <t>Alfredo Maia; Paula Santos; Paulo Raimundo</t>
        </is>
      </c>
      <c r="G2064" s="2" t="inlineStr">
        <is>
          <t>Art. 113.º-A (aditamento)</t>
        </is>
      </c>
      <c r="H2064" s="2" t="n"/>
      <c r="I2064" s="2" t="n"/>
      <c r="J2064" s="2" t="n"/>
      <c r="K2064" s="2" t="n"/>
      <c r="L2064" s="2" t="inlineStr">
        <is>
          <t>Artigo 113.º-A (Construção de variante à ex-EN11 e de novo nó de ligação à A33)</t>
        </is>
      </c>
      <c r="M2064" s="4" t="n"/>
      <c r="N2064" s="4" t="n"/>
      <c r="O2064" s="2" t="n"/>
      <c r="P2064" s="2" t="n"/>
      <c r="Q2064" s="2" t="n"/>
      <c r="R2064" s="2" t="n"/>
      <c r="S2064" s="2" t="inlineStr">
        <is>
          <t>Rejeitado(a) em Comissão</t>
        </is>
      </c>
      <c r="T2064" s="2" t="inlineStr">
        <is>
          <t>Rejeitada</t>
        </is>
      </c>
      <c r="U2064" s="2" t="inlineStr">
        <is>
          <t>Favor: CH, L, PCP, BE, PAN; Contra: PSD, CDS-PP; Abstenção: PS, IL</t>
        </is>
      </c>
      <c r="V2064" s="3" t="n">
        <v>45985</v>
      </c>
      <c r="W2064" s="2" t="inlineStr">
        <is>
          <t>AR: https://www.parlamento.pt/OrcamentoEstado/Paginas/DetalhePropostaAlteracao.aspx?BID=25205 PDF: https://app.parlamento.pt/webutils/docs/doc.pdf?path=6148523063484d364c793942556b356c6443397a6158526c63793959566b6c4a544556484c3039464c7a49774d6a59794d4449314d5441774f5339515153387a4e6a597a5a4467785953316c5a6a63784c5452695a4463744f4449305a69316b596a51775a47453159545531595441756347526d&amp;Fich=3663d81a-ef71-4bd7-824f-db40da5a55a0.pdf&amp;Inline=true</t>
        </is>
      </c>
      <c r="X2064" s="2" t="inlineStr">
        <is>
          <t>Infraestruturas, Mobilidade e Habitação</t>
        </is>
      </c>
      <c r="Y2064" s="2" t="inlineStr">
        <is>
          <t>Articulado</t>
        </is>
      </c>
      <c r="Z2064" s="2" t="inlineStr">
        <is>
          <t>Aditamento (Artigo PPL)</t>
        </is>
      </c>
      <c r="AA2064" s="2" t="inlineStr">
        <is>
          <t>Rejeitado(a) em Comissão</t>
        </is>
      </c>
      <c r="AB2064" s="2" t="inlineStr"/>
      <c r="AC2064" s="2" t="inlineStr"/>
      <c r="AD2064" s="2" t="inlineStr">
        <is>
          <t>1</t>
        </is>
      </c>
      <c r="AE2064" s="2" t="inlineStr">
        <is>
          <t>25205</t>
        </is>
      </c>
      <c r="AF2064" s="2" t="inlineStr">
        <is>
          <t>https://www.parlamento.pt/OrcamentoEstado/Paginas/DetalhePropostaAlteracao.aspx?BID=25205</t>
        </is>
      </c>
      <c r="AG2064" s="2" t="inlineStr">
        <is>
          <t>https://app.parlamento.pt/webutils/docs/doc.pdf?path=6148523063484d364c793942556b356c6443397a6158526c63793959566b6c4a544556484c3039464c7a49774d6a59794d4449314d5441774f5339515153387a4e6a597a5a4467785953316c5a6a63784c5452695a4463744f4449305a69316b596a51775a47453159545531595441756347526d&amp;Fich=3663d81a-ef71-4bd7-824f-db40da5a55a0.pdf&amp;Inline=true</t>
        </is>
      </c>
      <c r="AH2064" s="3" t="n">
        <v>46321.77847222222</v>
      </c>
      <c r="AI2064" s="3" t="n">
        <v>46321.78055555555</v>
      </c>
      <c r="AJ2064" s="2" t="inlineStr"/>
    </row>
    <row r="2065">
      <c r="A2065" s="2" t="n">
        <v>2064</v>
      </c>
      <c r="B2065" s="2" t="inlineStr">
        <is>
          <t>1953C</t>
        </is>
      </c>
      <c r="C2065" s="3" t="n">
        <v>45968.75</v>
      </c>
      <c r="D2065" s="2" t="inlineStr">
        <is>
          <t>Original</t>
        </is>
      </c>
      <c r="E2065" s="2" t="inlineStr">
        <is>
          <t>L</t>
        </is>
      </c>
      <c r="F2065" s="2" t="inlineStr">
        <is>
          <t>Filipa Pinto; Isabel Mendes Lopes; Jorge Pinto; Patrícia Gonçalves; Paulo Muacho; Rui Tavares</t>
        </is>
      </c>
      <c r="G2065" s="2" t="inlineStr">
        <is>
          <t>Art. 22.º-A (aditamento)</t>
        </is>
      </c>
      <c r="H2065" s="2" t="n"/>
      <c r="I2065" s="2" t="n"/>
      <c r="J2065" s="2" t="n"/>
      <c r="K2065" s="2" t="n"/>
      <c r="L2065" s="2" t="inlineStr">
        <is>
          <t>Artigo 22.º-A (Reposicionamento remuneratório e pagamento de retroativos aos enfermeiros prejudicados)</t>
        </is>
      </c>
      <c r="M2065" s="4" t="n"/>
      <c r="N2065" s="4" t="n"/>
      <c r="O2065" s="2" t="n"/>
      <c r="P2065" s="2" t="n"/>
      <c r="Q2065" s="2" t="n"/>
      <c r="R2065" s="2" t="n"/>
      <c r="S2065" s="2" t="inlineStr">
        <is>
          <t>Rejeitado(a) em Comissão</t>
        </is>
      </c>
      <c r="T2065" s="2" t="inlineStr">
        <is>
          <t>Rejeitada</t>
        </is>
      </c>
      <c r="U2065" s="2" t="inlineStr">
        <is>
          <t>Favor: L, PCP, BE, PAN; Contra: PSD, PS, IL, CDS-PP; Abstenção: CH</t>
        </is>
      </c>
      <c r="V2065" s="3" t="n">
        <v>45981</v>
      </c>
      <c r="W2065" s="2" t="inlineStr">
        <is>
          <t>AR: https://www.parlamento.pt/OrcamentoEstado/Paginas/DetalhePropostaAlteracao.aspx?BID=25206 PDF: https://app.parlamento.pt/webutils/docs/doc.pdf?path=6148523063484d364c793942556b356c6443397a6158526c63793959566b6c4a544556484c3039464c7a49774d6a59794d4449314d5441774f5339515153387a59574535595459314d6930324e6d5a6d4c54517a4d32597459575a6a5a5331684d4759794e5746694d5451324f574d756347526d&amp;Fich=3aa9a652-66ff-433f-afce-a0f25ab1469c.pdf&amp;Inline=true</t>
        </is>
      </c>
      <c r="X2065" s="2" t="inlineStr">
        <is>
          <t>Orçamento, Finanças e Administração Pública; Saúde</t>
        </is>
      </c>
      <c r="Y2065" s="2" t="inlineStr">
        <is>
          <t>Articulado</t>
        </is>
      </c>
      <c r="Z2065" s="2" t="inlineStr">
        <is>
          <t>Aditamento (Artigo PPL)</t>
        </is>
      </c>
      <c r="AA2065" s="2" t="inlineStr">
        <is>
          <t>Rejeitado(a) em Comissão</t>
        </is>
      </c>
      <c r="AB2065" s="2" t="inlineStr"/>
      <c r="AC2065" s="2" t="inlineStr"/>
      <c r="AD2065" s="2" t="inlineStr">
        <is>
          <t>1</t>
        </is>
      </c>
      <c r="AE2065" s="2" t="inlineStr">
        <is>
          <t>25206</t>
        </is>
      </c>
      <c r="AF2065" s="2" t="inlineStr">
        <is>
          <t>https://www.parlamento.pt/OrcamentoEstado/Paginas/DetalhePropostaAlteracao.aspx?BID=25206</t>
        </is>
      </c>
      <c r="AG2065" s="2" t="inlineStr">
        <is>
          <t>https://app.parlamento.pt/webutils/docs/doc.pdf?path=6148523063484d364c793942556b356c6443397a6158526c63793959566b6c4a544556484c3039464c7a49774d6a59794d4449314d5441774f5339515153387a59574535595459314d6930324e6d5a6d4c54517a4d32597459575a6a5a5331684d4759794e5746694d5451324f574d756347526d&amp;Fich=3aa9a652-66ff-433f-afce-a0f25ab1469c.pdf&amp;Inline=true</t>
        </is>
      </c>
      <c r="AH2065" s="3" t="n">
        <v>46321.77847222222</v>
      </c>
      <c r="AI2065" s="3" t="n">
        <v>46321.78055555555</v>
      </c>
      <c r="AJ2065" s="2" t="inlineStr"/>
    </row>
    <row r="2066">
      <c r="A2066" s="2" t="n">
        <v>2065</v>
      </c>
      <c r="B2066" s="2" t="inlineStr">
        <is>
          <t>1954C</t>
        </is>
      </c>
      <c r="C2066" s="3" t="n">
        <v>45968.75069444445</v>
      </c>
      <c r="D2066" s="2" t="inlineStr">
        <is>
          <t>Original</t>
        </is>
      </c>
      <c r="E2066" s="2" t="inlineStr">
        <is>
          <t>PAN</t>
        </is>
      </c>
      <c r="F2066" s="2" t="inlineStr">
        <is>
          <t>Inês de Sousa Real</t>
        </is>
      </c>
      <c r="G2066" s="2" t="inlineStr">
        <is>
          <t>Art. 53.º-B (aditamento)</t>
        </is>
      </c>
      <c r="H2066" s="2" t="n"/>
      <c r="I2066" s="2" t="n"/>
      <c r="J2066" s="2" t="n"/>
      <c r="K2066" s="2" t="n"/>
      <c r="L2066" s="2" t="inlineStr">
        <is>
          <t>Artigo 53.º-B (Implementação das green bonds e blue bonds)</t>
        </is>
      </c>
      <c r="M2066" s="4" t="n"/>
      <c r="N2066" s="4" t="n"/>
      <c r="O2066" s="2" t="n"/>
      <c r="P2066" s="2" t="n"/>
      <c r="Q2066" s="2" t="n"/>
      <c r="R2066" s="2" t="n"/>
      <c r="S2066" s="2" t="inlineStr">
        <is>
          <t>Rejeitado(a) em Comissão</t>
        </is>
      </c>
      <c r="T2066" s="2" t="inlineStr">
        <is>
          <t>Rejeitada</t>
        </is>
      </c>
      <c r="U2066" s="2" t="inlineStr">
        <is>
          <t>Favor: PS, IL, PAN; Contra: PSD, CH, L, PCP, CDS-PP, BE</t>
        </is>
      </c>
      <c r="V2066" s="3" t="n">
        <v>45987</v>
      </c>
      <c r="W2066" s="2" t="inlineStr">
        <is>
          <t>AR: https://www.parlamento.pt/OrcamentoEstado/Paginas/DetalhePropostaAlteracao.aspx?BID=25207 PDF: https://app.parlamento.pt/webutils/docs/doc.pdf?path=6148523063484d364c793942556b356c6443397a6158526c63793959566b6c4a544556484c3039464c7a49774d6a59794d4449314d5441774f533951515339684e546c6c595464695a43307a4e324a694c54517a5a6a457459544669595330324d325a695a4464694e6d5133596a59756347526d&amp;Fich=a59ea7bd-37bb-43f1-a1ba-63fbd7b6d7b6.pdf&amp;Inline=true</t>
        </is>
      </c>
      <c r="X2066" s="2" t="inlineStr">
        <is>
          <t>Ambiente e Energia</t>
        </is>
      </c>
      <c r="Y2066" s="2" t="inlineStr">
        <is>
          <t>Articulado</t>
        </is>
      </c>
      <c r="Z2066" s="2" t="inlineStr">
        <is>
          <t>Aditamento (Artigo PPL)</t>
        </is>
      </c>
      <c r="AA2066" s="2" t="inlineStr">
        <is>
          <t>Rejeitado(a) em Comissão</t>
        </is>
      </c>
      <c r="AB2066" s="2" t="inlineStr"/>
      <c r="AC2066" s="2" t="inlineStr"/>
      <c r="AD2066" s="2" t="inlineStr">
        <is>
          <t>1</t>
        </is>
      </c>
      <c r="AE2066" s="2" t="inlineStr">
        <is>
          <t>25207</t>
        </is>
      </c>
      <c r="AF2066" s="2" t="inlineStr">
        <is>
          <t>https://www.parlamento.pt/OrcamentoEstado/Paginas/DetalhePropostaAlteracao.aspx?BID=25207</t>
        </is>
      </c>
      <c r="AG2066" s="2" t="inlineStr">
        <is>
          <t>https://app.parlamento.pt/webutils/docs/doc.pdf?path=6148523063484d364c793942556b356c6443397a6158526c63793959566b6c4a544556484c3039464c7a49774d6a59794d4449314d5441774f533951515339684e546c6c595464695a43307a4e324a694c54517a5a6a457459544669595330324d325a695a4464694e6d5133596a59756347526d&amp;Fich=a59ea7bd-37bb-43f1-a1ba-63fbd7b6d7b6.pdf&amp;Inline=true</t>
        </is>
      </c>
      <c r="AH2066" s="3" t="n">
        <v>46321.77847222222</v>
      </c>
      <c r="AI2066" s="3" t="n">
        <v>46321.78055555555</v>
      </c>
      <c r="AJ2066" s="2" t="inlineStr"/>
    </row>
    <row r="2067">
      <c r="A2067" s="2" t="n">
        <v>2066</v>
      </c>
      <c r="B2067" s="2" t="inlineStr">
        <is>
          <t>1955C</t>
        </is>
      </c>
      <c r="C2067" s="3" t="n">
        <v>45968.75069444445</v>
      </c>
      <c r="D2067" s="2" t="inlineStr">
        <is>
          <t>Original</t>
        </is>
      </c>
      <c r="E2067" s="2" t="inlineStr">
        <is>
          <t>L</t>
        </is>
      </c>
      <c r="F2067" s="2" t="inlineStr">
        <is>
          <t>Filipa Pinto; Isabel Mendes Lopes; Jorge Pinto; Patrícia Gonçalves; Paulo Muacho; Rui Tavares</t>
        </is>
      </c>
      <c r="G2067" s="2" t="inlineStr">
        <is>
          <t>Art. 119.º-A (aditamento)</t>
        </is>
      </c>
      <c r="H2067" s="2" t="n"/>
      <c r="I2067" s="2" t="n"/>
      <c r="J2067" s="2" t="n"/>
      <c r="K2067" s="2" t="n"/>
      <c r="L2067" s="2" t="inlineStr">
        <is>
          <t>Artigo 119.º-A (Apoio compensatório à atividade de farmácias em localização desfavorável)</t>
        </is>
      </c>
      <c r="M2067" s="4" t="n"/>
      <c r="N2067" s="4" t="n"/>
      <c r="O2067" s="2" t="n"/>
      <c r="P2067" s="2" t="n"/>
      <c r="Q2067" s="2" t="n"/>
      <c r="R2067" s="2" t="n"/>
      <c r="S2067" s="2" t="inlineStr">
        <is>
          <t>Rejeitado(a) em Comissão</t>
        </is>
      </c>
      <c r="T2067" s="2" t="inlineStr">
        <is>
          <t>Rejeitada</t>
        </is>
      </c>
      <c r="U2067" s="2" t="inlineStr">
        <is>
          <t>Favor: L, PCP, PAN; Contra: PSD, IL, CDS-PP; Abstenção: CH, PS, BE</t>
        </is>
      </c>
      <c r="V2067" s="3" t="n">
        <v>45985</v>
      </c>
      <c r="W2067" s="2" t="inlineStr">
        <is>
          <t>AR: https://www.parlamento.pt/OrcamentoEstado/Paginas/DetalhePropostaAlteracao.aspx?BID=25208 PDF: https://app.parlamento.pt/webutils/docs/doc.pdf?path=6148523063484d364c793942556b356c6443397a6158526c63793959566b6c4a544556484c3039464c7a49774d6a59794d4449314d5441774f53395151533968596a686a4d6d4e6d4d533078597a566d4c5451304e475174595467355969316c4e44593259324d334d6d4d334d4445756347526d&amp;Fich=ab8c2cf1-1c5f-444d-a89b-e466cc72c701.pdf&amp;Inline=true</t>
        </is>
      </c>
      <c r="X2067" s="2" t="inlineStr">
        <is>
          <t>Orçamento, Finanças e Administração Pública; Saúde</t>
        </is>
      </c>
      <c r="Y2067" s="2" t="inlineStr">
        <is>
          <t>Articulado</t>
        </is>
      </c>
      <c r="Z2067" s="2" t="inlineStr">
        <is>
          <t>Aditamento (Artigo PPL)</t>
        </is>
      </c>
      <c r="AA2067" s="2" t="inlineStr">
        <is>
          <t>Rejeitado(a) em Comissão</t>
        </is>
      </c>
      <c r="AB2067" s="2" t="inlineStr"/>
      <c r="AC2067" s="2" t="inlineStr"/>
      <c r="AD2067" s="2" t="inlineStr">
        <is>
          <t>1</t>
        </is>
      </c>
      <c r="AE2067" s="2" t="inlineStr">
        <is>
          <t>25208</t>
        </is>
      </c>
      <c r="AF2067" s="2" t="inlineStr">
        <is>
          <t>https://www.parlamento.pt/OrcamentoEstado/Paginas/DetalhePropostaAlteracao.aspx?BID=25208</t>
        </is>
      </c>
      <c r="AG2067" s="2" t="inlineStr">
        <is>
          <t>https://app.parlamento.pt/webutils/docs/doc.pdf?path=6148523063484d364c793942556b356c6443397a6158526c63793959566b6c4a544556484c3039464c7a49774d6a59794d4449314d5441774f53395151533968596a686a4d6d4e6d4d533078597a566d4c5451304e475174595467355969316c4e44593259324d334d6d4d334d4445756347526d&amp;Fich=ab8c2cf1-1c5f-444d-a89b-e466cc72c701.pdf&amp;Inline=true</t>
        </is>
      </c>
      <c r="AH2067" s="3" t="n">
        <v>46321.77847222222</v>
      </c>
      <c r="AI2067" s="3" t="n">
        <v>46321.78055555555</v>
      </c>
      <c r="AJ2067" s="2" t="inlineStr"/>
    </row>
    <row r="2068">
      <c r="A2068" s="2" t="n">
        <v>2067</v>
      </c>
      <c r="B2068" s="2" t="inlineStr">
        <is>
          <t>1956C</t>
        </is>
      </c>
      <c r="C2068" s="3" t="n">
        <v>45968.75069444445</v>
      </c>
      <c r="D2068" s="2" t="inlineStr">
        <is>
          <t>Original</t>
        </is>
      </c>
      <c r="E2068" s="2" t="inlineStr">
        <is>
          <t>PCP</t>
        </is>
      </c>
      <c r="F2068" s="2" t="inlineStr">
        <is>
          <t>Alfredo Maia; Paula Santos; Paulo Raimundo</t>
        </is>
      </c>
      <c r="G2068" s="2" t="inlineStr">
        <is>
          <t>Art. 113.º-A (aditamento)</t>
        </is>
      </c>
      <c r="H2068" s="2" t="n"/>
      <c r="I2068" s="2" t="n"/>
      <c r="J2068" s="2" t="n"/>
      <c r="K2068" s="2" t="n"/>
      <c r="L2068" s="2" t="inlineStr">
        <is>
          <t>Artigo 113.º-A (Requalificação e construção de postos da GNR e esquadras da PSP)</t>
        </is>
      </c>
      <c r="M2068" s="4" t="n"/>
      <c r="N2068" s="4" t="n"/>
      <c r="O2068" s="2" t="n"/>
      <c r="P2068" s="2" t="n"/>
      <c r="Q2068" s="2" t="n"/>
      <c r="R2068" s="2" t="n"/>
      <c r="S2068" s="2" t="inlineStr">
        <is>
          <t>Rejeitado(a) em Comissão</t>
        </is>
      </c>
      <c r="T2068" s="2" t="inlineStr">
        <is>
          <t>Rejeitada</t>
        </is>
      </c>
      <c r="U2068" s="2" t="inlineStr">
        <is>
          <t>Favor: CH, L, PCP, BE, PAN; Contra: PSD, CDS-PP; Abstenção: PS, IL</t>
        </is>
      </c>
      <c r="V2068" s="3" t="n">
        <v>45985</v>
      </c>
      <c r="W2068" s="2" t="inlineStr">
        <is>
          <t>AR: https://www.parlamento.pt/OrcamentoEstado/Paginas/DetalhePropostaAlteracao.aspx?BID=25209 PDF: https://app.parlamento.pt/webutils/docs/doc.pdf?path=6148523063484d364c793942556b356c6443397a6158526c63793959566b6c4a544556484c3039464c7a49774d6a59794d4449314d5441774f533951515338304d54466b4d5449774d43303159546c6d4c5451794f4451744f57526a4e533078596a63785a54517a4f5445304d7a41756347526d&amp;Fich=411d1200-5a9f-4284-9dc5-1b71e4391430.pdf&amp;Inline=true</t>
        </is>
      </c>
      <c r="X2068" s="2" t="inlineStr">
        <is>
          <t>Assuntos Constitucionais, Direitos, Liberdades e Garantias</t>
        </is>
      </c>
      <c r="Y2068" s="2" t="inlineStr">
        <is>
          <t>Articulado</t>
        </is>
      </c>
      <c r="Z2068" s="2" t="inlineStr">
        <is>
          <t>Aditamento (Artigo PPL)</t>
        </is>
      </c>
      <c r="AA2068" s="2" t="inlineStr">
        <is>
          <t>Rejeitado(a) em Comissão</t>
        </is>
      </c>
      <c r="AB2068" s="2" t="inlineStr"/>
      <c r="AC2068" s="2" t="inlineStr"/>
      <c r="AD2068" s="2" t="inlineStr">
        <is>
          <t>1</t>
        </is>
      </c>
      <c r="AE2068" s="2" t="inlineStr">
        <is>
          <t>25209</t>
        </is>
      </c>
      <c r="AF2068" s="2" t="inlineStr">
        <is>
          <t>https://www.parlamento.pt/OrcamentoEstado/Paginas/DetalhePropostaAlteracao.aspx?BID=25209</t>
        </is>
      </c>
      <c r="AG2068" s="2" t="inlineStr">
        <is>
          <t>https://app.parlamento.pt/webutils/docs/doc.pdf?path=6148523063484d364c793942556b356c6443397a6158526c63793959566b6c4a544556484c3039464c7a49774d6a59794d4449314d5441774f533951515338304d54466b4d5449774d43303159546c6d4c5451794f4451744f57526a4e533078596a63785a54517a4f5445304d7a41756347526d&amp;Fich=411d1200-5a9f-4284-9dc5-1b71e4391430.pdf&amp;Inline=true</t>
        </is>
      </c>
      <c r="AH2068" s="3" t="n">
        <v>46321.77847222222</v>
      </c>
      <c r="AI2068" s="3" t="n">
        <v>46321.78055555555</v>
      </c>
      <c r="AJ2068" s="2" t="inlineStr"/>
    </row>
    <row r="2069">
      <c r="A2069" s="2" t="n">
        <v>2068</v>
      </c>
      <c r="B2069" s="2" t="inlineStr">
        <is>
          <t>1957C</t>
        </is>
      </c>
      <c r="C2069" s="3" t="n">
        <v>45968.75138888889</v>
      </c>
      <c r="D2069" s="2" t="inlineStr">
        <is>
          <t>Original</t>
        </is>
      </c>
      <c r="E2069" s="2" t="inlineStr">
        <is>
          <t>L</t>
        </is>
      </c>
      <c r="F2069" s="2" t="inlineStr">
        <is>
          <t>Filipa Pinto; Isabel Mendes Lopes; Jorge Pinto; Patrícia Gonçalves; Paulo Muacho; Rui Tavares</t>
        </is>
      </c>
      <c r="G2069" s="2" t="inlineStr">
        <is>
          <t>Art. 28.º-A (aditamento)</t>
        </is>
      </c>
      <c r="H2069" s="2" t="n"/>
      <c r="I2069" s="2" t="n"/>
      <c r="J2069" s="2" t="n"/>
      <c r="K2069" s="2" t="n"/>
      <c r="L2069" s="2" t="inlineStr">
        <is>
          <t>Artigo 28.º-A (Recrutamento e formação de médicos veterinários pela Direção-Geral de Alimentação e Veterinária)</t>
        </is>
      </c>
      <c r="M2069" s="4" t="n"/>
      <c r="N2069" s="4" t="n"/>
      <c r="O2069" s="2" t="n"/>
      <c r="P2069" s="2" t="n"/>
      <c r="Q2069" s="2" t="n"/>
      <c r="R2069" s="2" t="n"/>
      <c r="S2069" s="2" t="inlineStr">
        <is>
          <t>Rejeitado(a) em Comissão</t>
        </is>
      </c>
      <c r="T2069" s="2" t="inlineStr">
        <is>
          <t>Rejeitada</t>
        </is>
      </c>
      <c r="U2069" s="2" t="inlineStr">
        <is>
          <t>Favor: CH, L, PCP, BE, PAN; Contra: PSD, CDS-PP; Abstenção: PS, IL</t>
        </is>
      </c>
      <c r="V2069" s="3" t="n">
        <v>45981</v>
      </c>
      <c r="W2069" s="2" t="inlineStr">
        <is>
          <t>AR: https://www.parlamento.pt/OrcamentoEstado/Paginas/DetalhePropostaAlteracao.aspx?BID=25210 PDF: https://app.parlamento.pt/webutils/docs/doc.pdf?path=6148523063484d364c793942556b356c6443397a6158526c63793959566b6c4a544556484c3039464c7a49774d6a59794d4449314d5441774f533951515338794d5755334d6a59774e43307a59324a6c4c54526d4f5441744f54426c597930304d544d795a6a4e6a5a54526d4e3249756347526d&amp;Fich=21e72604-3cbe-4f90-90ec-4132f3ce4f7b.pdf&amp;Inline=true</t>
        </is>
      </c>
      <c r="X2069" s="2" t="inlineStr">
        <is>
          <t>Agricultura e Pescas; Saúde</t>
        </is>
      </c>
      <c r="Y2069" s="2" t="inlineStr">
        <is>
          <t>Articulado</t>
        </is>
      </c>
      <c r="Z2069" s="2" t="inlineStr">
        <is>
          <t>Aditamento (Artigo PPL)</t>
        </is>
      </c>
      <c r="AA2069" s="2" t="inlineStr">
        <is>
          <t>Rejeitado(a) em Comissão</t>
        </is>
      </c>
      <c r="AB2069" s="2" t="inlineStr"/>
      <c r="AC2069" s="2" t="inlineStr"/>
      <c r="AD2069" s="2" t="inlineStr">
        <is>
          <t>1</t>
        </is>
      </c>
      <c r="AE2069" s="2" t="inlineStr">
        <is>
          <t>25210</t>
        </is>
      </c>
      <c r="AF2069" s="2" t="inlineStr">
        <is>
          <t>https://www.parlamento.pt/OrcamentoEstado/Paginas/DetalhePropostaAlteracao.aspx?BID=25210</t>
        </is>
      </c>
      <c r="AG2069" s="2" t="inlineStr">
        <is>
          <t>https://app.parlamento.pt/webutils/docs/doc.pdf?path=6148523063484d364c793942556b356c6443397a6158526c63793959566b6c4a544556484c3039464c7a49774d6a59794d4449314d5441774f533951515338794d5755334d6a59774e43307a59324a6c4c54526d4f5441744f54426c597930304d544d795a6a4e6a5a54526d4e3249756347526d&amp;Fich=21e72604-3cbe-4f90-90ec-4132f3ce4f7b.pdf&amp;Inline=true</t>
        </is>
      </c>
      <c r="AH2069" s="3" t="n">
        <v>46321.77847222222</v>
      </c>
      <c r="AI2069" s="3" t="n">
        <v>46321.78055555555</v>
      </c>
      <c r="AJ2069" s="2" t="inlineStr"/>
    </row>
    <row r="2070">
      <c r="A2070" s="2" t="n">
        <v>2069</v>
      </c>
      <c r="B2070" s="2" t="inlineStr">
        <is>
          <t>1958C</t>
        </is>
      </c>
      <c r="C2070" s="3" t="n">
        <v>45968.75138888889</v>
      </c>
      <c r="D2070" s="2" t="inlineStr">
        <is>
          <t>Original</t>
        </is>
      </c>
      <c r="E2070" s="2" t="inlineStr">
        <is>
          <t>PCP</t>
        </is>
      </c>
      <c r="F2070" s="2" t="inlineStr">
        <is>
          <t>Alfredo Maia; Paula Santos; Paulo Raimundo</t>
        </is>
      </c>
      <c r="G2070" s="2" t="inlineStr">
        <is>
          <t>Art. 113.º-A (aditamento)</t>
        </is>
      </c>
      <c r="H2070" s="2" t="n"/>
      <c r="I2070" s="2" t="n"/>
      <c r="J2070" s="2" t="n"/>
      <c r="K2070" s="2" t="n"/>
      <c r="L2070" s="2" t="inlineStr">
        <is>
          <t>Artigo 113.º-A (Alargamento da Rede do Metro Sul do Tejo)</t>
        </is>
      </c>
      <c r="M2070" s="4" t="n"/>
      <c r="N2070" s="4" t="n"/>
      <c r="O2070" s="2" t="n"/>
      <c r="P2070" s="2" t="n"/>
      <c r="Q2070" s="2" t="n"/>
      <c r="R2070" s="2" t="n"/>
      <c r="S2070" s="2" t="inlineStr">
        <is>
          <t>Rejeitado(a) em Comissão</t>
        </is>
      </c>
      <c r="T2070" s="2" t="inlineStr">
        <is>
          <t>Rejeitada</t>
        </is>
      </c>
      <c r="U2070" s="2" t="inlineStr">
        <is>
          <t>Favor: PS, IL, L, PCP, BE, PAN; Contra: PSD, CDS-PP; Abstenção: CH</t>
        </is>
      </c>
      <c r="V2070" s="3" t="n">
        <v>45987</v>
      </c>
      <c r="W2070" s="2" t="inlineStr">
        <is>
          <t>AR: https://www.parlamento.pt/OrcamentoEstado/Paginas/DetalhePropostaAlteracao.aspx?BID=25211 PDF: https://app.parlamento.pt/webutils/docs/doc.pdf?path=6148523063484d364c793942556b356c6443397a6158526c63793959566b6c4a544556484c3039464c7a49774d6a59794d4449314d5441774f533951515338794e544d34595463334f5330334e7a45784c54526d4d5745744f54566d596930774f575a684e4449304d6a41354e544d756347526d&amp;Fich=2538a779-7711-4f1a-95fb-09fa42420953.pdf&amp;Inline=true</t>
        </is>
      </c>
      <c r="X2070" s="2" t="inlineStr">
        <is>
          <t>Infraestruturas, Mobilidade e Habitação</t>
        </is>
      </c>
      <c r="Y2070" s="2" t="inlineStr">
        <is>
          <t>Articulado</t>
        </is>
      </c>
      <c r="Z2070" s="2" t="inlineStr">
        <is>
          <t>Aditamento (Artigo PPL)</t>
        </is>
      </c>
      <c r="AA2070" s="2" t="inlineStr">
        <is>
          <t>Rejeitado(a) em Comissão</t>
        </is>
      </c>
      <c r="AB2070" s="2" t="inlineStr"/>
      <c r="AC2070" s="2" t="inlineStr"/>
      <c r="AD2070" s="2" t="inlineStr">
        <is>
          <t>1</t>
        </is>
      </c>
      <c r="AE2070" s="2" t="inlineStr">
        <is>
          <t>25211</t>
        </is>
      </c>
      <c r="AF2070" s="2" t="inlineStr">
        <is>
          <t>https://www.parlamento.pt/OrcamentoEstado/Paginas/DetalhePropostaAlteracao.aspx?BID=25211</t>
        </is>
      </c>
      <c r="AG2070" s="2" t="inlineStr">
        <is>
          <t>https://app.parlamento.pt/webutils/docs/doc.pdf?path=6148523063484d364c793942556b356c6443397a6158526c63793959566b6c4a544556484c3039464c7a49774d6a59794d4449314d5441774f533951515338794e544d34595463334f5330334e7a45784c54526d4d5745744f54566d596930774f575a684e4449304d6a41354e544d756347526d&amp;Fich=2538a779-7711-4f1a-95fb-09fa42420953.pdf&amp;Inline=true</t>
        </is>
      </c>
      <c r="AH2070" s="3" t="n">
        <v>46321.77847222222</v>
      </c>
      <c r="AI2070" s="3" t="n">
        <v>46321.78055555555</v>
      </c>
      <c r="AJ2070" s="2" t="inlineStr"/>
    </row>
    <row r="2071">
      <c r="A2071" s="2" t="n">
        <v>2070</v>
      </c>
      <c r="B2071" s="2" t="inlineStr">
        <is>
          <t>1959C</t>
        </is>
      </c>
      <c r="C2071" s="3" t="n">
        <v>45968.75208333333</v>
      </c>
      <c r="D2071" s="2" t="inlineStr">
        <is>
          <t>Original</t>
        </is>
      </c>
      <c r="E2071" s="2" t="inlineStr">
        <is>
          <t>PAN</t>
        </is>
      </c>
      <c r="F2071" s="2" t="inlineStr">
        <is>
          <t>Inês de Sousa Real</t>
        </is>
      </c>
      <c r="G2071" s="2" t="inlineStr">
        <is>
          <t>Art. 53.º-A (aditamento)</t>
        </is>
      </c>
      <c r="H2071" s="2" t="n"/>
      <c r="I2071" s="2" t="n"/>
      <c r="J2071" s="2" t="n"/>
      <c r="K2071" s="2" t="n"/>
      <c r="L2071" s="2" t="inlineStr">
        <is>
          <t>Artigo 53.º-A (Emissão de dívida pública verde e azul)</t>
        </is>
      </c>
      <c r="M2071" s="4" t="n"/>
      <c r="N2071" s="4" t="n"/>
      <c r="O2071" s="2" t="n"/>
      <c r="P2071" s="2" t="n"/>
      <c r="Q2071" s="2" t="n"/>
      <c r="R2071" s="2" t="n"/>
      <c r="S2071" s="2" t="inlineStr">
        <is>
          <t>Rejeitado(a) em Comissão</t>
        </is>
      </c>
      <c r="T2071" s="2" t="inlineStr">
        <is>
          <t>Rejeitada</t>
        </is>
      </c>
      <c r="U2071" s="2" t="inlineStr">
        <is>
          <t>Favor: PS, IL, PAN; Contra: PSD, CH, PCP, CDS-PP, BE; Abstenção: L</t>
        </is>
      </c>
      <c r="V2071" s="3" t="n">
        <v>45987</v>
      </c>
      <c r="W2071" s="2" t="inlineStr">
        <is>
          <t>AR: https://www.parlamento.pt/OrcamentoEstado/Paginas/DetalhePropostaAlteracao.aspx?BID=25212 PDF: https://app.parlamento.pt/webutils/docs/doc.pdf?path=6148523063484d364c793942556b356c6443397a6158526c63793959566b6c4a544556484c3039464c7a49774d6a59794d4449314d5441774f5339515153396a5a574d334e5755304e69303559545a694c545134597a557459546468596931684d4751325a6d45334d6d59344f4455756347526d&amp;Fich=cec75e46-9a6b-48c5-a7ab-a0d6fa72f885.pdf&amp;Inline=true</t>
        </is>
      </c>
      <c r="X2071" s="2" t="inlineStr">
        <is>
          <t>Ambiente e Energia</t>
        </is>
      </c>
      <c r="Y2071" s="2" t="inlineStr">
        <is>
          <t>Articulado</t>
        </is>
      </c>
      <c r="Z2071" s="2" t="inlineStr">
        <is>
          <t>Aditamento (Artigo PPL)</t>
        </is>
      </c>
      <c r="AA2071" s="2" t="inlineStr">
        <is>
          <t>Rejeitado(a) em Comissão</t>
        </is>
      </c>
      <c r="AB2071" s="2" t="inlineStr"/>
      <c r="AC2071" s="2" t="inlineStr"/>
      <c r="AD2071" s="2" t="inlineStr">
        <is>
          <t>1</t>
        </is>
      </c>
      <c r="AE2071" s="2" t="inlineStr">
        <is>
          <t>25212</t>
        </is>
      </c>
      <c r="AF2071" s="2" t="inlineStr">
        <is>
          <t>https://www.parlamento.pt/OrcamentoEstado/Paginas/DetalhePropostaAlteracao.aspx?BID=25212</t>
        </is>
      </c>
      <c r="AG2071" s="2" t="inlineStr">
        <is>
          <t>https://app.parlamento.pt/webutils/docs/doc.pdf?path=6148523063484d364c793942556b356c6443397a6158526c63793959566b6c4a544556484c3039464c7a49774d6a59794d4449314d5441774f5339515153396a5a574d334e5755304e69303559545a694c545134597a557459546468596931684d4751325a6d45334d6d59344f4455756347526d&amp;Fich=cec75e46-9a6b-48c5-a7ab-a0d6fa72f885.pdf&amp;Inline=true</t>
        </is>
      </c>
      <c r="AH2071" s="3" t="n">
        <v>46321.77847222222</v>
      </c>
      <c r="AI2071" s="3" t="n">
        <v>46321.78055555555</v>
      </c>
      <c r="AJ2071" s="2" t="inlineStr"/>
    </row>
    <row r="2072">
      <c r="A2072" s="2" t="n">
        <v>2071</v>
      </c>
      <c r="B2072" s="2" t="inlineStr">
        <is>
          <t>1960C</t>
        </is>
      </c>
      <c r="C2072" s="3" t="n">
        <v>45968.75208333333</v>
      </c>
      <c r="D2072" s="2" t="inlineStr">
        <is>
          <t>Original</t>
        </is>
      </c>
      <c r="E2072" s="2" t="inlineStr">
        <is>
          <t>L</t>
        </is>
      </c>
      <c r="F2072" s="2" t="inlineStr">
        <is>
          <t>Filipa Pinto; Isabel Mendes Lopes; Jorge Pinto; Patrícia Gonçalves; Paulo Muacho; Rui Tavares</t>
        </is>
      </c>
      <c r="G2072" s="2" t="inlineStr">
        <is>
          <t>Art. 126.º-A (aditamento)</t>
        </is>
      </c>
      <c r="H2072" s="2" t="n"/>
      <c r="I2072" s="2" t="n"/>
      <c r="J2072" s="2" t="n"/>
      <c r="K2072" s="2" t="n"/>
      <c r="L2072" s="2" t="inlineStr">
        <is>
          <t>Artigo 126.º-A (Programa Alcateia 2025-2035)</t>
        </is>
      </c>
      <c r="M2072" s="4" t="n"/>
      <c r="N2072" s="4" t="n"/>
      <c r="O2072" s="2" t="n"/>
      <c r="P2072" s="2" t="n"/>
      <c r="Q2072" s="2" t="n"/>
      <c r="R2072" s="2" t="n"/>
      <c r="S2072" s="2" t="inlineStr">
        <is>
          <t>Rejeitado(a) em Comissão</t>
        </is>
      </c>
      <c r="T2072" s="2" t="inlineStr">
        <is>
          <t>Rejeitada</t>
        </is>
      </c>
      <c r="U2072" s="2" t="inlineStr">
        <is>
          <t>Favor: IL, L, PCP, BE, PAN; Contra: PSD, CH, CDS-PP; Abstenção: PS</t>
        </is>
      </c>
      <c r="V2072" s="3" t="n">
        <v>45985</v>
      </c>
      <c r="W2072" s="2" t="inlineStr">
        <is>
          <t>AR: https://www.parlamento.pt/OrcamentoEstado/Paginas/DetalhePropostaAlteracao.aspx?BID=25213 PDF: https://app.parlamento.pt/webutils/docs/doc.pdf?path=6148523063484d364c793942556b356c6443397a6158526c63793959566b6c4a544556484c3039464c7a49774d6a59794d4449314d5441774f533951515338324d32566a4d5463324e7930795a446c6c4c5451304e7a4d74595759785a6930784d6a56695a5463334e5751354d544d756347526d&amp;Fich=63ec1767-2d9e-4473-af1f-125be775d913.pdf&amp;Inline=true</t>
        </is>
      </c>
      <c r="X2072" s="2" t="inlineStr">
        <is>
          <t>Ambiente e Energia</t>
        </is>
      </c>
      <c r="Y2072" s="2" t="inlineStr">
        <is>
          <t>Articulado</t>
        </is>
      </c>
      <c r="Z2072" s="2" t="inlineStr">
        <is>
          <t>Aditamento (Artigo PPL)</t>
        </is>
      </c>
      <c r="AA2072" s="2" t="inlineStr">
        <is>
          <t>Rejeitado(a) em Comissão</t>
        </is>
      </c>
      <c r="AB2072" s="2" t="inlineStr"/>
      <c r="AC2072" s="2" t="inlineStr"/>
      <c r="AD2072" s="2" t="inlineStr">
        <is>
          <t>1</t>
        </is>
      </c>
      <c r="AE2072" s="2" t="inlineStr">
        <is>
          <t>25213</t>
        </is>
      </c>
      <c r="AF2072" s="2" t="inlineStr">
        <is>
          <t>https://www.parlamento.pt/OrcamentoEstado/Paginas/DetalhePropostaAlteracao.aspx?BID=25213</t>
        </is>
      </c>
      <c r="AG2072" s="2" t="inlineStr">
        <is>
          <t>https://app.parlamento.pt/webutils/docs/doc.pdf?path=6148523063484d364c793942556b356c6443397a6158526c63793959566b6c4a544556484c3039464c7a49774d6a59794d4449314d5441774f533951515338324d32566a4d5463324e7930795a446c6c4c5451304e7a4d74595759785a6930784d6a56695a5463334e5751354d544d756347526d&amp;Fich=63ec1767-2d9e-4473-af1f-125be775d913.pdf&amp;Inline=true</t>
        </is>
      </c>
      <c r="AH2072" s="3" t="n">
        <v>46321.77847222222</v>
      </c>
      <c r="AI2072" s="3" t="n">
        <v>46321.78055555555</v>
      </c>
      <c r="AJ2072" s="2" t="inlineStr"/>
    </row>
    <row r="2073">
      <c r="A2073" s="2" t="n">
        <v>2072</v>
      </c>
      <c r="B2073" s="2" t="inlineStr">
        <is>
          <t>1961C</t>
        </is>
      </c>
      <c r="C2073" s="3" t="n">
        <v>45968.75208333333</v>
      </c>
      <c r="D2073" s="2" t="inlineStr">
        <is>
          <t>Original</t>
        </is>
      </c>
      <c r="E2073" s="2" t="inlineStr">
        <is>
          <t>PCP</t>
        </is>
      </c>
      <c r="F2073" s="2" t="inlineStr">
        <is>
          <t>Alfredo Maia; Paula Santos; Paulo Raimundo</t>
        </is>
      </c>
      <c r="G2073" s="2" t="inlineStr">
        <is>
          <t>Art. 113.º-A (aditamento)</t>
        </is>
      </c>
      <c r="H2073" s="2" t="n"/>
      <c r="I2073" s="2" t="n"/>
      <c r="J2073" s="2" t="n"/>
      <c r="K2073" s="2" t="n"/>
      <c r="L2073" s="2" t="inlineStr">
        <is>
          <t>Artigo 113.º-A (Reposição do serviço ferroviário regional e inter-regional retirado nas linhas do Alentejo e do Sul)</t>
        </is>
      </c>
      <c r="M2073" s="4" t="n"/>
      <c r="N2073" s="4" t="n"/>
      <c r="O2073" s="2" t="n"/>
      <c r="P2073" s="2" t="n"/>
      <c r="Q2073" s="2" t="n"/>
      <c r="R2073" s="2" t="n"/>
      <c r="S2073" s="2" t="inlineStr">
        <is>
          <t>Rejeitado(a) em Comissão</t>
        </is>
      </c>
      <c r="T2073" s="2" t="inlineStr">
        <is>
          <t>Rejeitada</t>
        </is>
      </c>
      <c r="U2073" s="2" t="inlineStr">
        <is>
          <t>Favor: CH, IL, L, PCP, BE, PAN; Contra: PSD, CDS-PP; Abstenção: PS</t>
        </is>
      </c>
      <c r="V2073" s="3" t="n">
        <v>45985</v>
      </c>
      <c r="W2073" s="2" t="inlineStr">
        <is>
          <t>AR: https://www.parlamento.pt/OrcamentoEstado/Paginas/DetalhePropostaAlteracao.aspx?BID=25214 PDF: https://app.parlamento.pt/webutils/docs/doc.pdf?path=6148523063484d364c793942556b356c6443397a6158526c63793959566b6c4a544556484c3039464c7a49774d6a59794d4449314d5441774f533951515338315a6a63344e544e6b4d4331695a4452684c5452684f5755744f57526a5a43316b4d5749785954466d5a544d334d7a67756347526d&amp;Fich=5f7853d0-bd4a-4a9e-9dcd-d1b1a1fe3738.pdf&amp;Inline=true</t>
        </is>
      </c>
      <c r="X2073" s="2" t="inlineStr">
        <is>
          <t>Infraestruturas, Mobilidade e Habitação</t>
        </is>
      </c>
      <c r="Y2073" s="2" t="inlineStr">
        <is>
          <t>Articulado</t>
        </is>
      </c>
      <c r="Z2073" s="2" t="inlineStr">
        <is>
          <t>Aditamento (Artigo PPL)</t>
        </is>
      </c>
      <c r="AA2073" s="2" t="inlineStr">
        <is>
          <t>Rejeitado(a) em Comissão</t>
        </is>
      </c>
      <c r="AB2073" s="2" t="inlineStr"/>
      <c r="AC2073" s="2" t="inlineStr"/>
      <c r="AD2073" s="2" t="inlineStr">
        <is>
          <t>1</t>
        </is>
      </c>
      <c r="AE2073" s="2" t="inlineStr">
        <is>
          <t>25214</t>
        </is>
      </c>
      <c r="AF2073" s="2" t="inlineStr">
        <is>
          <t>https://www.parlamento.pt/OrcamentoEstado/Paginas/DetalhePropostaAlteracao.aspx?BID=25214</t>
        </is>
      </c>
      <c r="AG2073" s="2" t="inlineStr">
        <is>
          <t>https://app.parlamento.pt/webutils/docs/doc.pdf?path=6148523063484d364c793942556b356c6443397a6158526c63793959566b6c4a544556484c3039464c7a49774d6a59794d4449314d5441774f533951515338315a6a63344e544e6b4d4331695a4452684c5452684f5755744f57526a5a43316b4d5749785954466d5a544d334d7a67756347526d&amp;Fich=5f7853d0-bd4a-4a9e-9dcd-d1b1a1fe3738.pdf&amp;Inline=true</t>
        </is>
      </c>
      <c r="AH2073" s="3" t="n">
        <v>46321.77847222222</v>
      </c>
      <c r="AI2073" s="3" t="n">
        <v>46321.78055555555</v>
      </c>
      <c r="AJ2073" s="2" t="inlineStr"/>
    </row>
    <row r="2074">
      <c r="A2074" s="2" t="n">
        <v>2073</v>
      </c>
      <c r="B2074" s="2" t="inlineStr">
        <is>
          <t>1962C</t>
        </is>
      </c>
      <c r="C2074" s="3" t="n">
        <v>45968.75277777778</v>
      </c>
      <c r="D2074" s="2" t="inlineStr">
        <is>
          <t>Original</t>
        </is>
      </c>
      <c r="E2074" s="2" t="inlineStr">
        <is>
          <t>PCP</t>
        </is>
      </c>
      <c r="F2074" s="2" t="inlineStr">
        <is>
          <t>Alfredo Maia; Paula Santos; Paulo Raimundo</t>
        </is>
      </c>
      <c r="G2074" s="2" t="inlineStr">
        <is>
          <t>Art. 113.º-A (aditamento)</t>
        </is>
      </c>
      <c r="H2074" s="2" t="n"/>
      <c r="I2074" s="2" t="n"/>
      <c r="J2074" s="2" t="n"/>
      <c r="K2074" s="2" t="n"/>
      <c r="L2074" s="2" t="inlineStr">
        <is>
          <t>Artigo 113.º-A (Hospital do Montijo)</t>
        </is>
      </c>
      <c r="M2074" s="4" t="n"/>
      <c r="N2074" s="4" t="n"/>
      <c r="O2074" s="2" t="n"/>
      <c r="P2074" s="2" t="n"/>
      <c r="Q2074" s="2" t="n"/>
      <c r="R2074" s="2" t="n"/>
      <c r="S2074" s="2" t="inlineStr">
        <is>
          <t>Rejeitado(a) em Comissão</t>
        </is>
      </c>
      <c r="T2074" s="2" t="inlineStr">
        <is>
          <t>Rejeitada</t>
        </is>
      </c>
      <c r="U2074" s="2" t="inlineStr">
        <is>
          <t>Favor: L, PCP, BE, PAN; Contra: PSD, CDS-PP; Abstenção: CH, PS, IL</t>
        </is>
      </c>
      <c r="V2074" s="3" t="n">
        <v>45987</v>
      </c>
      <c r="W2074" s="2" t="inlineStr">
        <is>
          <t>AR: https://www.parlamento.pt/OrcamentoEstado/Paginas/DetalhePropostaAlteracao.aspx?BID=25215 PDF: https://app.parlamento.pt/webutils/docs/doc.pdf?path=6148523063484d364c793942556b356c6443397a6158526c63793959566b6c4a544556484c3039464c7a49774d6a59794d4449314d5441774f533951515338354e7a6b324d6a637a597931695a4467314c54526c5a444d744f474a694e79307a4d4752684d6d466c4f4441784f5441756347526d&amp;Fich=9796273c-bd85-4ed3-8bb7-30da2ae80190.pdf&amp;Inline=true</t>
        </is>
      </c>
      <c r="X2074" s="2" t="inlineStr">
        <is>
          <t>Saúde</t>
        </is>
      </c>
      <c r="Y2074" s="2" t="inlineStr">
        <is>
          <t>Articulado</t>
        </is>
      </c>
      <c r="Z2074" s="2" t="inlineStr">
        <is>
          <t>Aditamento (Artigo PPL)</t>
        </is>
      </c>
      <c r="AA2074" s="2" t="inlineStr">
        <is>
          <t>Rejeitado(a) em Comissão</t>
        </is>
      </c>
      <c r="AB2074" s="2" t="inlineStr"/>
      <c r="AC2074" s="2" t="inlineStr"/>
      <c r="AD2074" s="2" t="inlineStr">
        <is>
          <t>1</t>
        </is>
      </c>
      <c r="AE2074" s="2" t="inlineStr">
        <is>
          <t>25215</t>
        </is>
      </c>
      <c r="AF2074" s="2" t="inlineStr">
        <is>
          <t>https://www.parlamento.pt/OrcamentoEstado/Paginas/DetalhePropostaAlteracao.aspx?BID=25215</t>
        </is>
      </c>
      <c r="AG2074" s="2" t="inlineStr">
        <is>
          <t>https://app.parlamento.pt/webutils/docs/doc.pdf?path=6148523063484d364c793942556b356c6443397a6158526c63793959566b6c4a544556484c3039464c7a49774d6a59794d4449314d5441774f533951515338354e7a6b324d6a637a597931695a4467314c54526c5a444d744f474a694e79307a4d4752684d6d466c4f4441784f5441756347526d&amp;Fich=9796273c-bd85-4ed3-8bb7-30da2ae80190.pdf&amp;Inline=true</t>
        </is>
      </c>
      <c r="AH2074" s="3" t="n">
        <v>46321.77847222222</v>
      </c>
      <c r="AI2074" s="3" t="n">
        <v>46321.78055555555</v>
      </c>
      <c r="AJ2074" s="2" t="inlineStr"/>
    </row>
    <row r="2075">
      <c r="A2075" s="2" t="n">
        <v>2074</v>
      </c>
      <c r="B2075" s="2" t="inlineStr">
        <is>
          <t>1963C</t>
        </is>
      </c>
      <c r="C2075" s="3" t="n">
        <v>45968.75277777778</v>
      </c>
      <c r="D2075" s="2" t="inlineStr">
        <is>
          <t>Original</t>
        </is>
      </c>
      <c r="E2075" s="2" t="inlineStr">
        <is>
          <t>L</t>
        </is>
      </c>
      <c r="F2075" s="2" t="inlineStr">
        <is>
          <t>Filipa Pinto; Isabel Mendes Lopes; Jorge Pinto; Patrícia Gonçalves; Paulo Muacho; Rui Tavares</t>
        </is>
      </c>
      <c r="G2075" s="2" t="inlineStr">
        <is>
          <t>Art. 128.º-A (aditamento)</t>
        </is>
      </c>
      <c r="H2075" s="2" t="n"/>
      <c r="I2075" s="2" t="n"/>
      <c r="J2075" s="2" t="n"/>
      <c r="K2075" s="2" t="n"/>
      <c r="L2075" s="2" t="inlineStr">
        <is>
          <t>Artigo 128.º-A (Rede pública de serviços veterinários)</t>
        </is>
      </c>
      <c r="M2075" s="4" t="n"/>
      <c r="N2075" s="4" t="n"/>
      <c r="O2075" s="2" t="n"/>
      <c r="P2075" s="2" t="n"/>
      <c r="Q2075" s="2" t="n"/>
      <c r="R2075" s="2" t="n"/>
      <c r="S2075" s="2" t="inlineStr">
        <is>
          <t>Rejeitado(a) em Comissão</t>
        </is>
      </c>
      <c r="T2075" s="2" t="inlineStr">
        <is>
          <t>Rejeitada</t>
        </is>
      </c>
      <c r="U2075" s="2" t="inlineStr">
        <is>
          <t>Favor: L, BE, PAN; Contra: PSD, IL, CDS-PP; Abstenção: CH, PS, PCP</t>
        </is>
      </c>
      <c r="V2075" s="3" t="n">
        <v>45985</v>
      </c>
      <c r="W2075" s="2" t="inlineStr">
        <is>
          <t>AR: https://www.parlamento.pt/OrcamentoEstado/Paginas/DetalhePropostaAlteracao.aspx?BID=25216 PDF: https://app.parlamento.pt/webutils/docs/doc.pdf?path=6148523063484d364c793942556b356c6443397a6158526c63793959566b6c4a544556484c3039464c7a49774d6a59794d4449314d5441774f533951515338795a544a6b4d6a45314e5330784d7a67354c54526c59324d744f5464694f4331684d6d59774d6d4531596d45344d7a41756347526d&amp;Fich=2e2d2155-1389-4ecc-97b8-a2f02a5ba830.pdf&amp;Inline=true</t>
        </is>
      </c>
      <c r="X2075" s="2" t="inlineStr">
        <is>
          <t>Ambiente e Energia</t>
        </is>
      </c>
      <c r="Y2075" s="2" t="inlineStr">
        <is>
          <t>Articulado</t>
        </is>
      </c>
      <c r="Z2075" s="2" t="inlineStr">
        <is>
          <t>Aditamento (Artigo PPL)</t>
        </is>
      </c>
      <c r="AA2075" s="2" t="inlineStr">
        <is>
          <t>Rejeitado(a) em Comissão</t>
        </is>
      </c>
      <c r="AB2075" s="2" t="inlineStr"/>
      <c r="AC2075" s="2" t="inlineStr"/>
      <c r="AD2075" s="2" t="inlineStr">
        <is>
          <t>1</t>
        </is>
      </c>
      <c r="AE2075" s="2" t="inlineStr">
        <is>
          <t>25216</t>
        </is>
      </c>
      <c r="AF2075" s="2" t="inlineStr">
        <is>
          <t>https://www.parlamento.pt/OrcamentoEstado/Paginas/DetalhePropostaAlteracao.aspx?BID=25216</t>
        </is>
      </c>
      <c r="AG2075" s="2" t="inlineStr">
        <is>
          <t>https://app.parlamento.pt/webutils/docs/doc.pdf?path=6148523063484d364c793942556b356c6443397a6158526c63793959566b6c4a544556484c3039464c7a49774d6a59794d4449314d5441774f533951515338795a544a6b4d6a45314e5330784d7a67354c54526c59324d744f5464694f4331684d6d59774d6d4531596d45344d7a41756347526d&amp;Fich=2e2d2155-1389-4ecc-97b8-a2f02a5ba830.pdf&amp;Inline=true</t>
        </is>
      </c>
      <c r="AH2075" s="3" t="n">
        <v>46321.77847222222</v>
      </c>
      <c r="AI2075" s="3" t="n">
        <v>46321.78055555555</v>
      </c>
      <c r="AJ2075" s="2" t="inlineStr"/>
    </row>
    <row r="2076">
      <c r="A2076" s="2" t="n">
        <v>2075</v>
      </c>
      <c r="B2076" s="2" t="inlineStr">
        <is>
          <t>1964C</t>
        </is>
      </c>
      <c r="C2076" s="3" t="n">
        <v>45968.75277777778</v>
      </c>
      <c r="D2076" s="2" t="inlineStr">
        <is>
          <t>Original</t>
        </is>
      </c>
      <c r="E2076" s="2" t="inlineStr">
        <is>
          <t>PCP</t>
        </is>
      </c>
      <c r="F2076" s="2" t="inlineStr">
        <is>
          <t>Alfredo Maia; Paula Santos; Paulo Raimundo</t>
        </is>
      </c>
      <c r="G2076" s="2" t="inlineStr">
        <is>
          <t>Art. 113.º-A (aditamento)</t>
        </is>
      </c>
      <c r="H2076" s="2" t="n"/>
      <c r="I2076" s="2" t="n"/>
      <c r="J2076" s="2" t="n"/>
      <c r="K2076" s="2" t="n"/>
      <c r="L2076" s="2" t="inlineStr">
        <is>
          <t>Artigo 113.º-A (Integração do transporte fluvial de passageiros Setúbal/Troia no passe social)</t>
        </is>
      </c>
      <c r="M2076" s="4" t="n"/>
      <c r="N2076" s="4" t="n"/>
      <c r="O2076" s="2" t="n"/>
      <c r="P2076" s="2" t="n"/>
      <c r="Q2076" s="2" t="n"/>
      <c r="R2076" s="2" t="n"/>
      <c r="S2076" s="2" t="inlineStr">
        <is>
          <t>Rejeitado(a) em Comissão</t>
        </is>
      </c>
      <c r="T2076" s="2" t="inlineStr">
        <is>
          <t>Rejeitada</t>
        </is>
      </c>
      <c r="U2076" s="2" t="inlineStr">
        <is>
          <t>Favor: CH, L, PCP, BE, PAN; Contra: PSD, IL, CDS-PP; Abstenção: PS</t>
        </is>
      </c>
      <c r="V2076" s="3" t="n">
        <v>45987</v>
      </c>
      <c r="W2076" s="2" t="inlineStr">
        <is>
          <t>AR: https://www.parlamento.pt/OrcamentoEstado/Paginas/DetalhePropostaAlteracao.aspx?BID=25217 PDF: https://app.parlamento.pt/webutils/docs/doc.pdf?path=6148523063484d364c793942556b356c6443397a6158526c63793959566b6c4a544556484c3039464c7a49774d6a59794d4449314d5441774f5339515153396d5a5751305a6d566d4d5330344f546b304c54526a5a5441744f4755305979316c4e475578596d4e6c593249335a6d59756347526d&amp;Fich=fed4fef1-8994-4ce0-8e4c-e4e1bcecb7ff.pdf&amp;Inline=true</t>
        </is>
      </c>
      <c r="X2076" s="2" t="inlineStr">
        <is>
          <t>Infraestruturas, Mobilidade e Habitação</t>
        </is>
      </c>
      <c r="Y2076" s="2" t="inlineStr">
        <is>
          <t>Articulado</t>
        </is>
      </c>
      <c r="Z2076" s="2" t="inlineStr">
        <is>
          <t>Aditamento (Artigo PPL)</t>
        </is>
      </c>
      <c r="AA2076" s="2" t="inlineStr">
        <is>
          <t>Rejeitado(a) em Comissão</t>
        </is>
      </c>
      <c r="AB2076" s="2" t="inlineStr"/>
      <c r="AC2076" s="2" t="inlineStr"/>
      <c r="AD2076" s="2" t="inlineStr">
        <is>
          <t>1</t>
        </is>
      </c>
      <c r="AE2076" s="2" t="inlineStr">
        <is>
          <t>25217</t>
        </is>
      </c>
      <c r="AF2076" s="2" t="inlineStr">
        <is>
          <t>https://www.parlamento.pt/OrcamentoEstado/Paginas/DetalhePropostaAlteracao.aspx?BID=25217</t>
        </is>
      </c>
      <c r="AG2076" s="2" t="inlineStr">
        <is>
          <t>https://app.parlamento.pt/webutils/docs/doc.pdf?path=6148523063484d364c793942556b356c6443397a6158526c63793959566b6c4a544556484c3039464c7a49774d6a59794d4449314d5441774f5339515153396d5a5751305a6d566d4d5330344f546b304c54526a5a5441744f4755305979316c4e475578596d4e6c593249335a6d59756347526d&amp;Fich=fed4fef1-8994-4ce0-8e4c-e4e1bcecb7ff.pdf&amp;Inline=true</t>
        </is>
      </c>
      <c r="AH2076" s="3" t="n">
        <v>46321.77847222222</v>
      </c>
      <c r="AI2076" s="3" t="n">
        <v>46321.78055555555</v>
      </c>
      <c r="AJ2076" s="2" t="inlineStr"/>
    </row>
    <row r="2077">
      <c r="A2077" s="2" t="n">
        <v>2076</v>
      </c>
      <c r="B2077" s="2" t="inlineStr">
        <is>
          <t>1965C</t>
        </is>
      </c>
      <c r="C2077" s="3" t="n">
        <v>45968.75347222222</v>
      </c>
      <c r="D2077" s="2" t="inlineStr">
        <is>
          <t>Original</t>
        </is>
      </c>
      <c r="E2077" s="2" t="inlineStr">
        <is>
          <t>PCP</t>
        </is>
      </c>
      <c r="F2077" s="2" t="inlineStr">
        <is>
          <t>Alfredo Maia; Paula Santos; Paulo Raimundo</t>
        </is>
      </c>
      <c r="G2077" s="2" t="inlineStr">
        <is>
          <t>Art. 113.º-A (aditamento)</t>
        </is>
      </c>
      <c r="H2077" s="2" t="n"/>
      <c r="I2077" s="2" t="n"/>
      <c r="J2077" s="2" t="n"/>
      <c r="K2077" s="2" t="n"/>
      <c r="L2077" s="2" t="inlineStr">
        <is>
          <t>Artigo 113.º-A (Reforço do Transporte Ferroviário na Linha do Sado e na mobilidade na Península de Setúbal)</t>
        </is>
      </c>
      <c r="M2077" s="4" t="n"/>
      <c r="N2077" s="4" t="n"/>
      <c r="O2077" s="2" t="n"/>
      <c r="P2077" s="2" t="n"/>
      <c r="Q2077" s="2" t="n"/>
      <c r="R2077" s="2" t="n"/>
      <c r="S2077" s="2" t="inlineStr">
        <is>
          <t>Rejeitado(a) em Comissão</t>
        </is>
      </c>
      <c r="T2077" s="2" t="inlineStr">
        <is>
          <t>Rejeitada</t>
        </is>
      </c>
      <c r="U2077" s="2" t="inlineStr">
        <is>
          <t>Favor: CH, L, PCP, BE, PAN; Contra: PSD, CDS-PP; Abstenção: PS, IL</t>
        </is>
      </c>
      <c r="V2077" s="3" t="n">
        <v>45985</v>
      </c>
      <c r="W2077" s="2" t="inlineStr">
        <is>
          <t>AR: https://www.parlamento.pt/OrcamentoEstado/Paginas/DetalhePropostaAlteracao.aspx?BID=25218 PDF: https://app.parlamento.pt/webutils/docs/doc.pdf?path=6148523063484d364c793942556b356c6443397a6158526c63793959566b6c4a544556484c3039464c7a49774d6a59794d4449314d5441774f5339515153396d4e444d314e3259794e793031595749324c5451354d574d74596d566a4e533079597a466a4e6d5a684f47566b4f5455756347526d&amp;Fich=f4357f27-5ab6-491c-bec5-2c1c6fa8ed95.pdf&amp;Inline=true</t>
        </is>
      </c>
      <c r="X2077" s="2" t="inlineStr">
        <is>
          <t>Infraestruturas, Mobilidade e Habitação</t>
        </is>
      </c>
      <c r="Y2077" s="2" t="inlineStr">
        <is>
          <t>Articulado</t>
        </is>
      </c>
      <c r="Z2077" s="2" t="inlineStr">
        <is>
          <t>Aditamento (Artigo PPL)</t>
        </is>
      </c>
      <c r="AA2077" s="2" t="inlineStr">
        <is>
          <t>Rejeitado(a) em Comissão</t>
        </is>
      </c>
      <c r="AB2077" s="2" t="inlineStr"/>
      <c r="AC2077" s="2" t="inlineStr"/>
      <c r="AD2077" s="2" t="inlineStr">
        <is>
          <t>1</t>
        </is>
      </c>
      <c r="AE2077" s="2" t="inlineStr">
        <is>
          <t>25218</t>
        </is>
      </c>
      <c r="AF2077" s="2" t="inlineStr">
        <is>
          <t>https://www.parlamento.pt/OrcamentoEstado/Paginas/DetalhePropostaAlteracao.aspx?BID=25218</t>
        </is>
      </c>
      <c r="AG2077" s="2" t="inlineStr">
        <is>
          <t>https://app.parlamento.pt/webutils/docs/doc.pdf?path=6148523063484d364c793942556b356c6443397a6158526c63793959566b6c4a544556484c3039464c7a49774d6a59794d4449314d5441774f5339515153396d4e444d314e3259794e793031595749324c5451354d574d74596d566a4e533079597a466a4e6d5a684f47566b4f5455756347526d&amp;Fich=f4357f27-5ab6-491c-bec5-2c1c6fa8ed95.pdf&amp;Inline=true</t>
        </is>
      </c>
      <c r="AH2077" s="3" t="n">
        <v>46321.77847222222</v>
      </c>
      <c r="AI2077" s="3" t="n">
        <v>46321.78055555555</v>
      </c>
      <c r="AJ2077" s="2" t="inlineStr"/>
    </row>
    <row r="2078">
      <c r="A2078" s="2" t="n">
        <v>2077</v>
      </c>
      <c r="B2078" s="2" t="inlineStr">
        <is>
          <t>1966C</t>
        </is>
      </c>
      <c r="C2078" s="3" t="n">
        <v>45968.75416666667</v>
      </c>
      <c r="D2078" s="2" t="inlineStr">
        <is>
          <t>Original</t>
        </is>
      </c>
      <c r="E2078" s="2" t="inlineStr">
        <is>
          <t>PCP</t>
        </is>
      </c>
      <c r="F2078" s="2" t="inlineStr">
        <is>
          <t>Alfredo Maia; Paula Santos; Paulo Raimundo</t>
        </is>
      </c>
      <c r="G2078" s="2" t="inlineStr">
        <is>
          <t>Art. 113.º-A (aditamento)</t>
        </is>
      </c>
      <c r="H2078" s="2" t="n"/>
      <c r="I2078" s="2" t="n"/>
      <c r="J2078" s="2" t="n"/>
      <c r="K2078" s="2" t="n"/>
      <c r="L2078" s="2" t="inlineStr">
        <is>
          <t>Artigo 113.º-A (Construção do Porto de Pesca na Trafaria)</t>
        </is>
      </c>
      <c r="M2078" s="4" t="n"/>
      <c r="N2078" s="4" t="n"/>
      <c r="O2078" s="2" t="n"/>
      <c r="P2078" s="2" t="n"/>
      <c r="Q2078" s="2" t="n"/>
      <c r="R2078" s="2" t="n"/>
      <c r="S2078" s="2" t="inlineStr">
        <is>
          <t>Rejeitado(a) em Comissão</t>
        </is>
      </c>
      <c r="T2078" s="2" t="inlineStr">
        <is>
          <t>Rejeitada</t>
        </is>
      </c>
      <c r="U2078" s="2" t="inlineStr">
        <is>
          <t>Favor: CH, L, PCP, BE; Contra: PSD, CDS-PP, PAN; Abstenção: PS, IL</t>
        </is>
      </c>
      <c r="V2078" s="3" t="n">
        <v>45985</v>
      </c>
      <c r="W2078" s="2" t="inlineStr">
        <is>
          <t>AR: https://www.parlamento.pt/OrcamentoEstado/Paginas/DetalhePropostaAlteracao.aspx?BID=25219 PDF: https://app.parlamento.pt/webutils/docs/doc.pdf?path=6148523063484d364c793942556b356c6443397a6158526c63793959566b6c4a544556484c3039464c7a49774d6a59794d4449314d5441774f5339515153396a595755324f5755315a5330304d5745344c545135596d5574596d51784e5331684d5749774d6a6b325a446b355a574d756347526d&amp;Fich=cae69e5e-41a8-49be-bd15-a1b0296d99ec.pdf&amp;Inline=true</t>
        </is>
      </c>
      <c r="X2078" s="2" t="inlineStr">
        <is>
          <t>Agricultura e Pescas; Infraestruturas, Mobilidade e Habitação</t>
        </is>
      </c>
      <c r="Y2078" s="2" t="inlineStr">
        <is>
          <t>Articulado</t>
        </is>
      </c>
      <c r="Z2078" s="2" t="inlineStr">
        <is>
          <t>Aditamento (Artigo PPL)</t>
        </is>
      </c>
      <c r="AA2078" s="2" t="inlineStr">
        <is>
          <t>Rejeitado(a) em Comissão</t>
        </is>
      </c>
      <c r="AB2078" s="2" t="inlineStr"/>
      <c r="AC2078" s="2" t="inlineStr"/>
      <c r="AD2078" s="2" t="inlineStr">
        <is>
          <t>1</t>
        </is>
      </c>
      <c r="AE2078" s="2" t="inlineStr">
        <is>
          <t>25219</t>
        </is>
      </c>
      <c r="AF2078" s="2" t="inlineStr">
        <is>
          <t>https://www.parlamento.pt/OrcamentoEstado/Paginas/DetalhePropostaAlteracao.aspx?BID=25219</t>
        </is>
      </c>
      <c r="AG2078" s="2" t="inlineStr">
        <is>
          <t>https://app.parlamento.pt/webutils/docs/doc.pdf?path=6148523063484d364c793942556b356c6443397a6158526c63793959566b6c4a544556484c3039464c7a49774d6a59794d4449314d5441774f5339515153396a595755324f5755315a5330304d5745344c545135596d5574596d51784e5331684d5749774d6a6b325a446b355a574d756347526d&amp;Fich=cae69e5e-41a8-49be-bd15-a1b0296d99ec.pdf&amp;Inline=true</t>
        </is>
      </c>
      <c r="AH2078" s="3" t="n">
        <v>46321.77847222222</v>
      </c>
      <c r="AI2078" s="3" t="n">
        <v>46321.78055555555</v>
      </c>
      <c r="AJ2078" s="2" t="inlineStr"/>
    </row>
    <row r="2079">
      <c r="A2079" s="2" t="n">
        <v>2078</v>
      </c>
      <c r="B2079" s="2" t="inlineStr">
        <is>
          <t>1967C</t>
        </is>
      </c>
      <c r="C2079" s="3" t="n">
        <v>45968.75555555556</v>
      </c>
      <c r="D2079" s="2" t="inlineStr">
        <is>
          <t>Original</t>
        </is>
      </c>
      <c r="E2079" s="2" t="inlineStr">
        <is>
          <t>L</t>
        </is>
      </c>
      <c r="F2079" s="2" t="inlineStr">
        <is>
          <t>Filipa Pinto; Isabel Mendes Lopes; Jorge Pinto; Patrícia Gonçalves; Paulo Muacho; Rui Tavares</t>
        </is>
      </c>
      <c r="G2079" s="2" t="inlineStr">
        <is>
          <t>Art. 112.º-A (aditamento)</t>
        </is>
      </c>
      <c r="H2079" s="2" t="n"/>
      <c r="I2079" s="2" t="n"/>
      <c r="J2079" s="2" t="n"/>
      <c r="K2079" s="2" t="n"/>
      <c r="L2079" s="2" t="inlineStr">
        <is>
          <t>Artigo 112.º-A (Programa de Cooperação Internacional para Património Cultural)</t>
        </is>
      </c>
      <c r="M2079" s="4" t="n"/>
      <c r="N2079" s="4" t="n"/>
      <c r="O2079" s="2" t="n"/>
      <c r="P2079" s="2" t="n"/>
      <c r="Q2079" s="2" t="n"/>
      <c r="R2079" s="2" t="n"/>
      <c r="S2079" s="2" t="inlineStr">
        <is>
          <t>Rejeitado(a) em Comissão</t>
        </is>
      </c>
      <c r="T2079" s="2" t="inlineStr">
        <is>
          <t>Rejeitada</t>
        </is>
      </c>
      <c r="U2079" s="2" t="inlineStr">
        <is>
          <t>Favor: L, PCP, BE, PAN; Contra: PSD, CDS-PP; Abstenção: CH, PS, IL</t>
        </is>
      </c>
      <c r="V2079" s="3" t="n">
        <v>45982</v>
      </c>
      <c r="W2079" s="2" t="inlineStr">
        <is>
          <t>AR: https://www.parlamento.pt/OrcamentoEstado/Paginas/DetalhePropostaAlteracao.aspx?BID=25220 PDF: https://app.parlamento.pt/webutils/docs/doc.pdf?path=6148523063484d364c793942556b356c6443397a6158526c63793959566b6c4a544556484c3039464c7a49774d6a59794d4449314d5441774f533951515338324f475a695a5755334e69307a595759774c54526b5a6a5174595459324f4330784f5445334e32526c5a4755314e6d4d756347526d&amp;Fich=68fbee76-3af0-4df4-a668-19177dede56c.pdf&amp;Inline=true</t>
        </is>
      </c>
      <c r="X2079" s="2" t="inlineStr">
        <is>
          <t>Cultura, Comunicação, Juventude e Desporto</t>
        </is>
      </c>
      <c r="Y2079" s="2" t="inlineStr">
        <is>
          <t>Articulado</t>
        </is>
      </c>
      <c r="Z2079" s="2" t="inlineStr">
        <is>
          <t>Aditamento (Artigo PPL)</t>
        </is>
      </c>
      <c r="AA2079" s="2" t="inlineStr">
        <is>
          <t>Rejeitado(a) em Comissão</t>
        </is>
      </c>
      <c r="AB2079" s="2" t="inlineStr"/>
      <c r="AC2079" s="2" t="inlineStr"/>
      <c r="AD2079" s="2" t="inlineStr">
        <is>
          <t>1</t>
        </is>
      </c>
      <c r="AE2079" s="2" t="inlineStr">
        <is>
          <t>25220</t>
        </is>
      </c>
      <c r="AF2079" s="2" t="inlineStr">
        <is>
          <t>https://www.parlamento.pt/OrcamentoEstado/Paginas/DetalhePropostaAlteracao.aspx?BID=25220</t>
        </is>
      </c>
      <c r="AG2079" s="2" t="inlineStr">
        <is>
          <t>https://app.parlamento.pt/webutils/docs/doc.pdf?path=6148523063484d364c793942556b356c6443397a6158526c63793959566b6c4a544556484c3039464c7a49774d6a59794d4449314d5441774f533951515338324f475a695a5755334e69307a595759774c54526b5a6a5174595459324f4330784f5445334e32526c5a4755314e6d4d756347526d&amp;Fich=68fbee76-3af0-4df4-a668-19177dede56c.pdf&amp;Inline=true</t>
        </is>
      </c>
      <c r="AH2079" s="3" t="n">
        <v>46321.77847222222</v>
      </c>
      <c r="AI2079" s="3" t="n">
        <v>46321.78055555555</v>
      </c>
      <c r="AJ2079" s="2" t="inlineStr"/>
    </row>
    <row r="2080">
      <c r="A2080" s="2" t="n">
        <v>2079</v>
      </c>
      <c r="B2080" s="2" t="inlineStr">
        <is>
          <t>1968C</t>
        </is>
      </c>
      <c r="C2080" s="3" t="n">
        <v>45968.75625</v>
      </c>
      <c r="D2080" s="2" t="inlineStr">
        <is>
          <t>Original</t>
        </is>
      </c>
      <c r="E2080" s="2" t="inlineStr">
        <is>
          <t>PCP</t>
        </is>
      </c>
      <c r="F2080" s="2" t="inlineStr">
        <is>
          <t>Alfredo Maia; Paula Santos; Paulo Raimundo</t>
        </is>
      </c>
      <c r="G2080" s="2" t="inlineStr">
        <is>
          <t>Art. 118.º-A (aditamento)</t>
        </is>
      </c>
      <c r="H2080" s="2" t="n"/>
      <c r="I2080" s="2" t="n"/>
      <c r="J2080" s="2" t="n"/>
      <c r="K2080" s="2" t="n"/>
      <c r="L2080" s="2" t="inlineStr">
        <is>
          <t>Artigo 118.º-A (Construção de residências públicas no distrito do Porto)</t>
        </is>
      </c>
      <c r="M2080" s="4" t="n"/>
      <c r="N2080" s="4" t="n"/>
      <c r="O2080" s="2" t="n"/>
      <c r="P2080" s="2" t="n"/>
      <c r="Q2080" s="2" t="n"/>
      <c r="R2080" s="2" t="n"/>
      <c r="S2080" s="2" t="inlineStr">
        <is>
          <t>Aprovado(a) em Comissão</t>
        </is>
      </c>
      <c r="T2080" s="2" t="inlineStr">
        <is>
          <t>Aprovada</t>
        </is>
      </c>
      <c r="U2080" s="2" t="inlineStr">
        <is>
          <t>Favor: CH, PS, L, PCP, BE, PAN; Contra: PSD, CDS-PP; Abstenção: IL</t>
        </is>
      </c>
      <c r="V2080" s="3" t="n">
        <v>45985</v>
      </c>
      <c r="W2080" s="2" t="inlineStr">
        <is>
          <t>AR: https://www.parlamento.pt/OrcamentoEstado/Paginas/DetalhePropostaAlteracao.aspx?BID=25221 PDF: https://app.parlamento.pt/webutils/docs/doc.pdf?path=6148523063484d364c793942556b356c6443397a6158526c63793959566b6c4a544556484c3039464c7a49774d6a59794d4449314d5441774f533951515338775a4451314f5463334f5330354f5759324c5451304d6a59744f4749775a4331685a446c6b4d445a694e6a45304e6d4d756347526d&amp;Fich=0d459779-99f6-4426-8b0d-ad9d06b6146c.pdf&amp;Inline=true</t>
        </is>
      </c>
      <c r="X2080" s="2" t="inlineStr">
        <is>
          <t>Educação e Ciência</t>
        </is>
      </c>
      <c r="Y2080" s="2" t="inlineStr">
        <is>
          <t>Articulado</t>
        </is>
      </c>
      <c r="Z2080" s="2" t="inlineStr">
        <is>
          <t>Aditamento (Artigo PPL)</t>
        </is>
      </c>
      <c r="AA2080" s="2" t="inlineStr">
        <is>
          <t>Aprovado(a) em Comissão</t>
        </is>
      </c>
      <c r="AB2080" s="2" t="inlineStr"/>
      <c r="AC2080" s="2" t="inlineStr"/>
      <c r="AD2080" s="2" t="inlineStr">
        <is>
          <t>1</t>
        </is>
      </c>
      <c r="AE2080" s="2" t="inlineStr">
        <is>
          <t>25221</t>
        </is>
      </c>
      <c r="AF2080" s="2" t="inlineStr">
        <is>
          <t>https://www.parlamento.pt/OrcamentoEstado/Paginas/DetalhePropostaAlteracao.aspx?BID=25221</t>
        </is>
      </c>
      <c r="AG2080" s="2" t="inlineStr">
        <is>
          <t>https://app.parlamento.pt/webutils/docs/doc.pdf?path=6148523063484d364c793942556b356c6443397a6158526c63793959566b6c4a544556484c3039464c7a49774d6a59794d4449314d5441774f533951515338775a4451314f5463334f5330354f5759324c5451304d6a59744f4749775a4331685a446c6b4d445a694e6a45304e6d4d756347526d&amp;Fich=0d459779-99f6-4426-8b0d-ad9d06b6146c.pdf&amp;Inline=true</t>
        </is>
      </c>
      <c r="AH2080" s="3" t="n">
        <v>46321.77847222222</v>
      </c>
      <c r="AI2080" s="3" t="n">
        <v>46321.78055555555</v>
      </c>
      <c r="AJ2080" s="2" t="inlineStr"/>
    </row>
    <row r="2081">
      <c r="A2081" s="2" t="n">
        <v>2080</v>
      </c>
      <c r="B2081" s="2" t="inlineStr">
        <is>
          <t>1969C</t>
        </is>
      </c>
      <c r="C2081" s="3" t="n">
        <v>45968.75625</v>
      </c>
      <c r="D2081" s="2" t="inlineStr">
        <is>
          <t>Retirada</t>
        </is>
      </c>
      <c r="E2081" s="2" t="inlineStr">
        <is>
          <t>Vários</t>
        </is>
      </c>
      <c r="F2081" s="2" t="inlineStr">
        <is>
          <t>Alberto Fonseca; Francisco Pimentel; Hugo Carneiro; Hugo Soares; Nuna Menezes; Paulo Moniz; João Pinho de Almeida; Paulo Núncio</t>
        </is>
      </c>
      <c r="G2081" s="2" t="inlineStr">
        <is>
          <t>Mapas</t>
        </is>
      </c>
      <c r="H2081" s="2" t="n"/>
      <c r="I2081" s="2" t="n"/>
      <c r="J2081" s="2" t="n"/>
      <c r="K2081" s="2" t="n"/>
      <c r="L2081" s="2" t="inlineStr">
        <is>
          <t>Anexo I - Mapa de alterações e transferências orçamentais - linha 107 (Nova)</t>
        </is>
      </c>
      <c r="M2081" s="4" t="n"/>
      <c r="N2081" s="4" t="n"/>
      <c r="O2081" s="2" t="n"/>
      <c r="P2081" s="2" t="n"/>
      <c r="Q2081" s="2" t="n"/>
      <c r="R2081" s="2" t="n"/>
      <c r="S2081" s="2" t="inlineStr">
        <is>
          <t>Retirado(a)</t>
        </is>
      </c>
      <c r="T2081" s="2" t="inlineStr">
        <is>
          <t>Retirada</t>
        </is>
      </c>
      <c r="U2081" s="2" t="inlineStr"/>
      <c r="V2081" s="3" t="n"/>
      <c r="W2081" s="2" t="inlineStr">
        <is>
          <t>AR: https://www.parlamento.pt/OrcamentoEstado/Paginas/DetalhePropostaAlteracao.aspx?BID=25222 PDF: https://app.parlamento.pt/webutils/docs/doc.pdf?path=6148523063484d364c793942556b356c6443397a6158526c63793959566b6c4a544556484c3039464c7a49774d6a59794d4449314d5441774f533951515338774e4445314e325577597930344e5751314c5451794d7a59744f5759354e4330344f5449334d7a51314e7a5669596a4d756347526d&amp;Fich=04157e0c-85d5-4236-9f94-892734575bb3.pdf&amp;Inline=true</t>
        </is>
      </c>
      <c r="X2081" s="2" t="inlineStr">
        <is>
          <t>Orçamento, Finanças e Administração Pública</t>
        </is>
      </c>
      <c r="Y2081" s="2" t="inlineStr">
        <is>
          <t>Mapas</t>
        </is>
      </c>
      <c r="Z2081" s="2" t="inlineStr">
        <is>
          <t>Por Definir</t>
        </is>
      </c>
      <c r="AA2081" s="2" t="inlineStr">
        <is>
          <t>Retirado(a)</t>
        </is>
      </c>
      <c r="AB2081" s="2" t="inlineStr"/>
      <c r="AC2081" s="2" t="inlineStr"/>
      <c r="AD2081" s="2" t="inlineStr">
        <is>
          <t>0</t>
        </is>
      </c>
      <c r="AE2081" s="2" t="inlineStr">
        <is>
          <t>25222</t>
        </is>
      </c>
      <c r="AF2081" s="2" t="inlineStr">
        <is>
          <t>https://www.parlamento.pt/OrcamentoEstado/Paginas/DetalhePropostaAlteracao.aspx?BID=25222</t>
        </is>
      </c>
      <c r="AG2081" s="2" t="inlineStr">
        <is>
          <t>https://app.parlamento.pt/webutils/docs/doc.pdf?path=6148523063484d364c793942556b356c6443397a6158526c63793959566b6c4a544556484c3039464c7a49774d6a59794d4449314d5441774f533951515338774e4445314e325577597930344e5751314c5451794d7a59744f5759354e4330344f5449334d7a51314e7a5669596a4d756347526d&amp;Fich=04157e0c-85d5-4236-9f94-892734575bb3.pdf&amp;Inline=true</t>
        </is>
      </c>
      <c r="AH2081" s="3" t="n">
        <v>46321.77847222222</v>
      </c>
      <c r="AI2081" s="3" t="n">
        <v>46321.78055555555</v>
      </c>
      <c r="AJ2081" s="2" t="inlineStr"/>
    </row>
    <row r="2082">
      <c r="A2082" s="2" t="n">
        <v>2081</v>
      </c>
      <c r="B2082" s="2" t="inlineStr">
        <is>
          <t>1970C</t>
        </is>
      </c>
      <c r="C2082" s="3" t="n">
        <v>45968.75625</v>
      </c>
      <c r="D2082" s="2" t="inlineStr">
        <is>
          <t>Original</t>
        </is>
      </c>
      <c r="E2082" s="2" t="inlineStr">
        <is>
          <t>PCP</t>
        </is>
      </c>
      <c r="F2082" s="2" t="inlineStr">
        <is>
          <t>Alfredo Maia; Paula Santos; Paulo Raimundo</t>
        </is>
      </c>
      <c r="G2082" s="2" t="inlineStr">
        <is>
          <t>Art. 18.º-A (aditamento)</t>
        </is>
      </c>
      <c r="H2082" s="2" t="n"/>
      <c r="I2082" s="2" t="n"/>
      <c r="J2082" s="2" t="n"/>
      <c r="K2082" s="2" t="n"/>
      <c r="L2082" s="2" t="inlineStr">
        <is>
          <t>Artigo 18.º-A (Revogação do SIADAP)</t>
        </is>
      </c>
      <c r="M2082" s="4" t="n"/>
      <c r="N2082" s="4" t="n"/>
      <c r="O2082" s="2" t="n"/>
      <c r="P2082" s="2" t="n"/>
      <c r="Q2082" s="2" t="n"/>
      <c r="R2082" s="2" t="n"/>
      <c r="S2082" s="2" t="inlineStr">
        <is>
          <t>Rejeitado(a) em Comissão</t>
        </is>
      </c>
      <c r="T2082" s="2" t="inlineStr">
        <is>
          <t>Rejeitada</t>
        </is>
      </c>
      <c r="U2082" s="2" t="inlineStr">
        <is>
          <t>Favor: PCP, BE; Contra: PSD, PS, IL, CDS-PP; Abstenção: CH, L, PAN</t>
        </is>
      </c>
      <c r="V2082" s="3" t="n">
        <v>45981</v>
      </c>
      <c r="W2082" s="2" t="inlineStr">
        <is>
          <t>AR: https://www.parlamento.pt/OrcamentoEstado/Paginas/DetalhePropostaAlteracao.aspx?BID=25223 PDF: https://app.parlamento.pt/webutils/docs/doc.pdf?path=6148523063484d364c793942556b356c6443397a6158526c63793959566b6c4a544556484c3039464c7a49774d6a59794d4449314d5441774f5339515153396c4f4755304d544e6a5969316a5a6a6b7a4c545179596d59744f4467344d5330354e6a597a5a6d4930596a63784e6a51756347526d&amp;Fich=e8e413cb-cf93-42bf-8881-9663fb4b7164.pdf&amp;Inline=true</t>
        </is>
      </c>
      <c r="X2082" s="2" t="inlineStr">
        <is>
          <t>Orçamento, Finanças e Administração Pública</t>
        </is>
      </c>
      <c r="Y2082" s="2" t="inlineStr">
        <is>
          <t>Articulado</t>
        </is>
      </c>
      <c r="Z2082" s="2" t="inlineStr">
        <is>
          <t>Aditamento (Artigo PPL)</t>
        </is>
      </c>
      <c r="AA2082" s="2" t="inlineStr">
        <is>
          <t>Rejeitado(a) em Comissão</t>
        </is>
      </c>
      <c r="AB2082" s="2" t="inlineStr"/>
      <c r="AC2082" s="2" t="inlineStr"/>
      <c r="AD2082" s="2" t="inlineStr">
        <is>
          <t>1</t>
        </is>
      </c>
      <c r="AE2082" s="2" t="inlineStr">
        <is>
          <t>25223</t>
        </is>
      </c>
      <c r="AF2082" s="2" t="inlineStr">
        <is>
          <t>https://www.parlamento.pt/OrcamentoEstado/Paginas/DetalhePropostaAlteracao.aspx?BID=25223</t>
        </is>
      </c>
      <c r="AG2082" s="2" t="inlineStr">
        <is>
          <t>https://app.parlamento.pt/webutils/docs/doc.pdf?path=6148523063484d364c793942556b356c6443397a6158526c63793959566b6c4a544556484c3039464c7a49774d6a59794d4449314d5441774f5339515153396c4f4755304d544e6a5969316a5a6a6b7a4c545179596d59744f4467344d5330354e6a597a5a6d4930596a63784e6a51756347526d&amp;Fich=e8e413cb-cf93-42bf-8881-9663fb4b7164.pdf&amp;Inline=true</t>
        </is>
      </c>
      <c r="AH2082" s="3" t="n">
        <v>46321.77847222222</v>
      </c>
      <c r="AI2082" s="3" t="n">
        <v>46321.78055555555</v>
      </c>
      <c r="AJ2082" s="2" t="inlineStr"/>
    </row>
    <row r="2083">
      <c r="A2083" s="2" t="n">
        <v>2082</v>
      </c>
      <c r="B2083" s="2" t="inlineStr">
        <is>
          <t>1971C</t>
        </is>
      </c>
      <c r="C2083" s="3" t="n">
        <v>45968.75694444445</v>
      </c>
      <c r="D2083" s="2" t="inlineStr">
        <is>
          <t>Original</t>
        </is>
      </c>
      <c r="E2083" s="2" t="inlineStr">
        <is>
          <t>Vários</t>
        </is>
      </c>
      <c r="F2083" s="2" t="inlineStr">
        <is>
          <t>Alberto Fonseca; Carla Barros; Francisco Pimentel; Helga Correia; Hugo Carneiro; Hugo Soares; Isaura Morais; João Pinho de Almeida; Paulo Núncio</t>
        </is>
      </c>
      <c r="G2083" s="2" t="inlineStr">
        <is>
          <t>Art. 69.º (substituição)</t>
        </is>
      </c>
      <c r="H2083" s="2" t="n"/>
      <c r="I2083" s="2" t="n"/>
      <c r="J2083" s="2" t="n"/>
      <c r="K2083" s="2" t="n"/>
      <c r="L2083" s="2" t="inlineStr">
        <is>
          <t>N.º 1, Artigo 69.º</t>
        </is>
      </c>
      <c r="M2083" s="4" t="n"/>
      <c r="N2083" s="4" t="n"/>
      <c r="O2083" s="2" t="n"/>
      <c r="P2083" s="2" t="n"/>
      <c r="Q2083" s="2" t="n"/>
      <c r="R2083" s="2" t="n"/>
      <c r="S2083" s="2" t="inlineStr">
        <is>
          <t>Aprovado(a) em Comissão</t>
        </is>
      </c>
      <c r="T2083" s="2" t="inlineStr">
        <is>
          <t>Aprovada</t>
        </is>
      </c>
      <c r="U2083" s="2" t="inlineStr">
        <is>
          <t>Favor: PSD, PS, CDS-PP, BE, PAN; Contra: IL; Abstenção: CH, L, PCP</t>
        </is>
      </c>
      <c r="V2083" s="3" t="n">
        <v>45982</v>
      </c>
      <c r="W2083" s="2" t="inlineStr">
        <is>
          <t>AR: https://www.parlamento.pt/OrcamentoEstado/Paginas/DetalhePropostaAlteracao.aspx?BID=25224 PDF: https://app.parlamento.pt/webutils/docs/doc.pdf?path=6148523063484d364c793942556b356c6443397a6158526c63793959566b6c4a544556484c3039464c7a49774d6a59794d4449314d5441774f533951515338334f54566d4e6a4530595330794e6a526a4c5451314e6d4974596d45315a533079596d49304d7a417a4d54466b4d4449756347526d&amp;Fich=795f614a-264c-456b-ba5e-2bb430311d02.pdf&amp;Inline=true</t>
        </is>
      </c>
      <c r="X2083" s="2" t="inlineStr">
        <is>
          <t>Orçamento, Finanças e Administração Pública; Trabalho, Segurança Social e Inclusão</t>
        </is>
      </c>
      <c r="Y2083" s="2" t="inlineStr">
        <is>
          <t>Articulado</t>
        </is>
      </c>
      <c r="Z2083" s="2" t="inlineStr">
        <is>
          <t>Substituição</t>
        </is>
      </c>
      <c r="AA2083" s="2" t="inlineStr">
        <is>
          <t>Aprovado(a) em Comissão</t>
        </is>
      </c>
      <c r="AB2083" s="2" t="inlineStr"/>
      <c r="AC2083" s="2" t="inlineStr"/>
      <c r="AD2083" s="2" t="inlineStr">
        <is>
          <t>1</t>
        </is>
      </c>
      <c r="AE2083" s="2" t="inlineStr">
        <is>
          <t>25224</t>
        </is>
      </c>
      <c r="AF2083" s="2" t="inlineStr">
        <is>
          <t>https://www.parlamento.pt/OrcamentoEstado/Paginas/DetalhePropostaAlteracao.aspx?BID=25224</t>
        </is>
      </c>
      <c r="AG2083" s="2" t="inlineStr">
        <is>
          <t>https://app.parlamento.pt/webutils/docs/doc.pdf?path=6148523063484d364c793942556b356c6443397a6158526c63793959566b6c4a544556484c3039464c7a49774d6a59794d4449314d5441774f533951515338334f54566d4e6a4530595330794e6a526a4c5451314e6d4974596d45315a533079596d49304d7a417a4d54466b4d4449756347526d&amp;Fich=795f614a-264c-456b-ba5e-2bb430311d02.pdf&amp;Inline=true</t>
        </is>
      </c>
      <c r="AH2083" s="3" t="n">
        <v>46321.77847222222</v>
      </c>
      <c r="AI2083" s="3" t="n">
        <v>46321.78055555555</v>
      </c>
      <c r="AJ2083" s="2" t="inlineStr"/>
    </row>
    <row r="2084">
      <c r="A2084" s="2" t="n">
        <v>2083</v>
      </c>
      <c r="B2084" s="2" t="inlineStr">
        <is>
          <t>1972C</t>
        </is>
      </c>
      <c r="C2084" s="3" t="n">
        <v>45968.75694444445</v>
      </c>
      <c r="D2084" s="2" t="inlineStr">
        <is>
          <t>Original</t>
        </is>
      </c>
      <c r="E2084" s="2" t="inlineStr">
        <is>
          <t>PCP</t>
        </is>
      </c>
      <c r="F2084" s="2" t="inlineStr">
        <is>
          <t>Alfredo Maia; Paula Santos; Paulo Raimundo</t>
        </is>
      </c>
      <c r="G2084" s="2" t="inlineStr">
        <is>
          <t>Art. 28.º-A (aditamento)</t>
        </is>
      </c>
      <c r="H2084" s="2" t="n"/>
      <c r="I2084" s="2" t="n"/>
      <c r="J2084" s="2" t="n"/>
      <c r="K2084" s="2" t="n"/>
      <c r="L2084" s="2" t="inlineStr">
        <is>
          <t>Artigo 28.º-A (Alteração ao Decreto-Lei n.º 138/2019, de 13 de setembro)</t>
        </is>
      </c>
      <c r="M2084" s="4" t="n"/>
      <c r="N2084" s="4" t="n"/>
      <c r="O2084" s="2" t="n"/>
      <c r="P2084" s="2" t="n"/>
      <c r="Q2084" s="2" t="n"/>
      <c r="R2084" s="2" t="n"/>
      <c r="S2084" s="2" t="inlineStr">
        <is>
          <t>Rejeitado(a) em Comissão</t>
        </is>
      </c>
      <c r="T2084" s="2" t="inlineStr">
        <is>
          <t>Rejeitada</t>
        </is>
      </c>
      <c r="U2084" s="2" t="inlineStr">
        <is>
          <t>Favor: CH, L, PCP, BE, PAN; Contra: PSD, CDS-PP; Abstenção: PS, IL</t>
        </is>
      </c>
      <c r="V2084" s="3" t="n">
        <v>45981</v>
      </c>
      <c r="W2084" s="2" t="inlineStr">
        <is>
          <t>AR: https://www.parlamento.pt/OrcamentoEstado/Paginas/DetalhePropostaAlteracao.aspx?BID=25225 PDF: https://app.parlamento.pt/webutils/docs/doc.pdf?path=6148523063484d364c793942556b356c6443397a6158526c63793959566b6c4a544556484c3039464c7a49774d6a59794d4449314d5441774f5339515153396c4d3245344f544e685a69316b596d4d794c5451354e475974595441795a6930314e5449344d445a6c5a6a59304e7a41756347526d&amp;Fich=e3a893af-dbc2-494f-a02f-552806ef6470.pdf&amp;Inline=true</t>
        </is>
      </c>
      <c r="X2084" s="2" t="inlineStr">
        <is>
          <t>Assuntos Constitucionais, Direitos, Liberdades e Garantias</t>
        </is>
      </c>
      <c r="Y2084" s="2" t="inlineStr">
        <is>
          <t>Articulado</t>
        </is>
      </c>
      <c r="Z2084" s="2" t="inlineStr">
        <is>
          <t>Aditamento (Artigo PPL)</t>
        </is>
      </c>
      <c r="AA2084" s="2" t="inlineStr">
        <is>
          <t>Rejeitado(a) em Comissão</t>
        </is>
      </c>
      <c r="AB2084" s="2" t="inlineStr"/>
      <c r="AC2084" s="2" t="inlineStr"/>
      <c r="AD2084" s="2" t="inlineStr">
        <is>
          <t>1</t>
        </is>
      </c>
      <c r="AE2084" s="2" t="inlineStr">
        <is>
          <t>25225</t>
        </is>
      </c>
      <c r="AF2084" s="2" t="inlineStr">
        <is>
          <t>https://www.parlamento.pt/OrcamentoEstado/Paginas/DetalhePropostaAlteracao.aspx?BID=25225</t>
        </is>
      </c>
      <c r="AG2084" s="2" t="inlineStr">
        <is>
          <t>https://app.parlamento.pt/webutils/docs/doc.pdf?path=6148523063484d364c793942556b356c6443397a6158526c63793959566b6c4a544556484c3039464c7a49774d6a59794d4449314d5441774f5339515153396c4d3245344f544e685a69316b596d4d794c5451354e475974595441795a6930314e5449344d445a6c5a6a59304e7a41756347526d&amp;Fich=e3a893af-dbc2-494f-a02f-552806ef6470.pdf&amp;Inline=true</t>
        </is>
      </c>
      <c r="AH2084" s="3" t="n">
        <v>46321.77847222222</v>
      </c>
      <c r="AI2084" s="3" t="n">
        <v>46321.78055555555</v>
      </c>
      <c r="AJ2084" s="2" t="inlineStr"/>
    </row>
    <row r="2085">
      <c r="A2085" s="2" t="n">
        <v>2084</v>
      </c>
      <c r="B2085" s="2" t="inlineStr">
        <is>
          <t>1973C</t>
        </is>
      </c>
      <c r="C2085" s="3" t="n">
        <v>45968.75763888889</v>
      </c>
      <c r="D2085" s="2" t="inlineStr">
        <is>
          <t>Original</t>
        </is>
      </c>
      <c r="E2085" s="2" t="inlineStr">
        <is>
          <t>PCP</t>
        </is>
      </c>
      <c r="F2085" s="2" t="inlineStr">
        <is>
          <t>Alfredo Maia; Paula Santos; Paulo Raimundo</t>
        </is>
      </c>
      <c r="G2085" s="2" t="inlineStr">
        <is>
          <t>Art. 136.º-A (aditamento)</t>
        </is>
      </c>
      <c r="H2085" s="2" t="n"/>
      <c r="I2085" s="2" t="n"/>
      <c r="J2085" s="2" t="n"/>
      <c r="K2085" s="2" t="n"/>
      <c r="L2085" s="2" t="inlineStr">
        <is>
          <t>Artigo 136.º-A (Alteração ao Decreto-Lei n.º 89/2009, de 09 de abril)</t>
        </is>
      </c>
      <c r="M2085" s="4" t="n"/>
      <c r="N2085" s="4" t="n"/>
      <c r="O2085" s="2" t="n"/>
      <c r="P2085" s="2" t="n"/>
      <c r="Q2085" s="2" t="n"/>
      <c r="R2085" s="2" t="n"/>
      <c r="S2085" s="2" t="inlineStr">
        <is>
          <t>Rejeitado(a) em Comissão</t>
        </is>
      </c>
      <c r="T2085" s="2" t="inlineStr">
        <is>
          <t>Rejeitada</t>
        </is>
      </c>
      <c r="U2085" s="2" t="inlineStr">
        <is>
          <t>Favor: L, PCP, BE, PAN; Contra: PSD, IL, CDS-PP; Abstenção: CH, PS</t>
        </is>
      </c>
      <c r="V2085" s="3" t="n">
        <v>45987</v>
      </c>
      <c r="W2085" s="2" t="inlineStr">
        <is>
          <t>AR: https://www.parlamento.pt/OrcamentoEstado/Paginas/DetalhePropostaAlteracao.aspx?BID=25226 PDF: https://app.parlamento.pt/webutils/docs/doc.pdf?path=6148523063484d364c793942556b356c6443397a6158526c63793959566b6c4a544556484c3039464c7a49774d6a59794d4449314d5441774f533951515338794f54566d597a4d314d69316a4d5749314c54526b596a41745954497a4e4330315a6a63774d4449304e54566c5a4759756347526d&amp;Fich=295fc352-c1b5-4db0-a234-5f7002455edf.pdf&amp;Inline=true</t>
        </is>
      </c>
      <c r="X2085" s="2" t="inlineStr">
        <is>
          <t>Trabalho, Segurança Social e Inclusão</t>
        </is>
      </c>
      <c r="Y2085" s="2" t="inlineStr">
        <is>
          <t>Articulado</t>
        </is>
      </c>
      <c r="Z2085" s="2" t="inlineStr">
        <is>
          <t>Aditamento (Artigo PPL)</t>
        </is>
      </c>
      <c r="AA2085" s="2" t="inlineStr">
        <is>
          <t>Rejeitado(a) em Comissão</t>
        </is>
      </c>
      <c r="AB2085" s="2" t="inlineStr"/>
      <c r="AC2085" s="2" t="inlineStr"/>
      <c r="AD2085" s="2" t="inlineStr">
        <is>
          <t>1</t>
        </is>
      </c>
      <c r="AE2085" s="2" t="inlineStr">
        <is>
          <t>25226</t>
        </is>
      </c>
      <c r="AF2085" s="2" t="inlineStr">
        <is>
          <t>https://www.parlamento.pt/OrcamentoEstado/Paginas/DetalhePropostaAlteracao.aspx?BID=25226</t>
        </is>
      </c>
      <c r="AG2085" s="2" t="inlineStr">
        <is>
          <t>https://app.parlamento.pt/webutils/docs/doc.pdf?path=6148523063484d364c793942556b356c6443397a6158526c63793959566b6c4a544556484c3039464c7a49774d6a59794d4449314d5441774f533951515338794f54566d597a4d314d69316a4d5749314c54526b596a41745954497a4e4330315a6a63774d4449304e54566c5a4759756347526d&amp;Fich=295fc352-c1b5-4db0-a234-5f7002455edf.pdf&amp;Inline=true</t>
        </is>
      </c>
      <c r="AH2085" s="3" t="n">
        <v>46321.77847222222</v>
      </c>
      <c r="AI2085" s="3" t="n">
        <v>46321.78055555555</v>
      </c>
      <c r="AJ2085" s="2" t="inlineStr"/>
    </row>
    <row r="2086">
      <c r="A2086" s="2" t="n">
        <v>2085</v>
      </c>
      <c r="B2086" s="2" t="inlineStr">
        <is>
          <t>1974C</t>
        </is>
      </c>
      <c r="C2086" s="3" t="n">
        <v>45968.75833333333</v>
      </c>
      <c r="D2086" s="2" t="inlineStr">
        <is>
          <t>Original</t>
        </is>
      </c>
      <c r="E2086" s="2" t="inlineStr">
        <is>
          <t>L</t>
        </is>
      </c>
      <c r="F2086" s="2" t="inlineStr">
        <is>
          <t>Filipa Pinto; Isabel Mendes Lopes; Jorge Pinto; Patrícia Gonçalves; Paulo Muacho; Rui Tavares</t>
        </is>
      </c>
      <c r="G2086" s="2" t="inlineStr">
        <is>
          <t>Art. 121.º-A (aditamento)</t>
        </is>
      </c>
      <c r="H2086" s="2" t="n"/>
      <c r="I2086" s="2" t="n"/>
      <c r="J2086" s="2" t="n"/>
      <c r="K2086" s="2" t="n"/>
      <c r="L2086" s="2" t="inlineStr">
        <is>
          <t>Artigo 121.º-A (Fundo Nacional para Apoio ao Pagamento de Partituras)</t>
        </is>
      </c>
      <c r="M2086" s="4" t="n"/>
      <c r="N2086" s="4" t="n"/>
      <c r="O2086" s="2" t="n"/>
      <c r="P2086" s="2" t="n"/>
      <c r="Q2086" s="2" t="n"/>
      <c r="R2086" s="2" t="n"/>
      <c r="S2086" s="2" t="inlineStr">
        <is>
          <t>Rejeitado(a) em Comissão</t>
        </is>
      </c>
      <c r="T2086" s="2" t="inlineStr">
        <is>
          <t>Rejeitada</t>
        </is>
      </c>
      <c r="U2086" s="2" t="inlineStr">
        <is>
          <t>Favor: L, PCP, BE, PAN; Contra: PSD, CH, PS, CDS-PP; Abstenção: IL</t>
        </is>
      </c>
      <c r="V2086" s="3" t="n">
        <v>45985</v>
      </c>
      <c r="W2086" s="2" t="inlineStr">
        <is>
          <t>AR: https://www.parlamento.pt/OrcamentoEstado/Paginas/DetalhePropostaAlteracao.aspx?BID=25227 PDF: https://app.parlamento.pt/webutils/docs/doc.pdf?path=6148523063484d364c793942556b356c6443397a6158526c63793959566b6c4a544556484c3039464c7a49774d6a59794d4449314d5441774f533951515339684f47466c4e546b774f5330345a6a41354c5451314d57497459544e6b4d6931685a5455334d445578597a6c6d4d5445756347526d&amp;Fich=a8ae5909-8f09-451b-a3d2-ae57051c9f11.pdf&amp;Inline=true</t>
        </is>
      </c>
      <c r="X2086" s="2" t="inlineStr">
        <is>
          <t>Cultura, Comunicação, Juventude e Desporto</t>
        </is>
      </c>
      <c r="Y2086" s="2" t="inlineStr">
        <is>
          <t>Articulado</t>
        </is>
      </c>
      <c r="Z2086" s="2" t="inlineStr">
        <is>
          <t>Aditamento (Artigo PPL)</t>
        </is>
      </c>
      <c r="AA2086" s="2" t="inlineStr">
        <is>
          <t>Rejeitado(a) em Comissão</t>
        </is>
      </c>
      <c r="AB2086" s="2" t="inlineStr"/>
      <c r="AC2086" s="2" t="inlineStr"/>
      <c r="AD2086" s="2" t="inlineStr">
        <is>
          <t>1</t>
        </is>
      </c>
      <c r="AE2086" s="2" t="inlineStr">
        <is>
          <t>25227</t>
        </is>
      </c>
      <c r="AF2086" s="2" t="inlineStr">
        <is>
          <t>https://www.parlamento.pt/OrcamentoEstado/Paginas/DetalhePropostaAlteracao.aspx?BID=25227</t>
        </is>
      </c>
      <c r="AG2086" s="2" t="inlineStr">
        <is>
          <t>https://app.parlamento.pt/webutils/docs/doc.pdf?path=6148523063484d364c793942556b356c6443397a6158526c63793959566b6c4a544556484c3039464c7a49774d6a59794d4449314d5441774f533951515339684f47466c4e546b774f5330345a6a41354c5451314d57497459544e6b4d6931685a5455334d445578597a6c6d4d5445756347526d&amp;Fich=a8ae5909-8f09-451b-a3d2-ae57051c9f11.pdf&amp;Inline=true</t>
        </is>
      </c>
      <c r="AH2086" s="3" t="n">
        <v>46321.77847222222</v>
      </c>
      <c r="AI2086" s="3" t="n">
        <v>46321.78055555555</v>
      </c>
      <c r="AJ2086" s="2" t="inlineStr"/>
    </row>
    <row r="2087">
      <c r="A2087" s="2" t="n">
        <v>2086</v>
      </c>
      <c r="B2087" s="2" t="inlineStr">
        <is>
          <t>1975C</t>
        </is>
      </c>
      <c r="C2087" s="3" t="n">
        <v>45968.75833333333</v>
      </c>
      <c r="D2087" s="2" t="inlineStr">
        <is>
          <t>Original</t>
        </is>
      </c>
      <c r="E2087" s="2" t="inlineStr">
        <is>
          <t>PCP</t>
        </is>
      </c>
      <c r="F2087" s="2" t="inlineStr">
        <is>
          <t>Alfredo Maia; Paula Santos; Paulo Raimundo</t>
        </is>
      </c>
      <c r="G2087" s="2" t="inlineStr">
        <is>
          <t>Art. 136.º-A (aditamento)</t>
        </is>
      </c>
      <c r="H2087" s="2" t="n"/>
      <c r="I2087" s="2" t="n"/>
      <c r="J2087" s="2" t="n"/>
      <c r="K2087" s="2" t="n"/>
      <c r="L2087" s="2" t="inlineStr">
        <is>
          <t>Artigo 136.º-A (Alteração ao Decreto-Lei n.º 91/2009, de 9 de abril)</t>
        </is>
      </c>
      <c r="M2087" s="4" t="n"/>
      <c r="N2087" s="4" t="n"/>
      <c r="O2087" s="2" t="n"/>
      <c r="P2087" s="2" t="n"/>
      <c r="Q2087" s="2" t="n"/>
      <c r="R2087" s="2" t="n"/>
      <c r="S2087" s="2" t="inlineStr">
        <is>
          <t>Rejeitado(a) em Comissão</t>
        </is>
      </c>
      <c r="T2087" s="2" t="inlineStr">
        <is>
          <t>Rejeitada</t>
        </is>
      </c>
      <c r="U2087" s="2" t="inlineStr">
        <is>
          <t>Favor: L, PCP, BE, PAN; Contra: PSD, IL, CDS-PP; Abstenção: CH, PS</t>
        </is>
      </c>
      <c r="V2087" s="3" t="n">
        <v>45987</v>
      </c>
      <c r="W2087" s="2" t="inlineStr">
        <is>
          <t>AR: https://www.parlamento.pt/OrcamentoEstado/Paginas/DetalhePropostaAlteracao.aspx?BID=25228 PDF: https://app.parlamento.pt/webutils/docs/doc.pdf?path=6148523063484d364c793942556b356c6443397a6158526c63793959566b6c4a544556484c3039464c7a49774d6a59794d4449314d5441774f5339515153396859546c694e574e684e433034596d4a694c54513159325174596a646a5a43316d4d6a4e6a596a4d325a54466c4e6a51756347526d&amp;Fich=aa9b5ca4-8bbb-45cd-b7cd-f23cb36e1e64.pdf&amp;Inline=true</t>
        </is>
      </c>
      <c r="X2087" s="2" t="inlineStr">
        <is>
          <t>Trabalho, Segurança Social e Inclusão</t>
        </is>
      </c>
      <c r="Y2087" s="2" t="inlineStr">
        <is>
          <t>Articulado</t>
        </is>
      </c>
      <c r="Z2087" s="2" t="inlineStr">
        <is>
          <t>Aditamento (Artigo PPL)</t>
        </is>
      </c>
      <c r="AA2087" s="2" t="inlineStr">
        <is>
          <t>Rejeitado(a) em Comissão</t>
        </is>
      </c>
      <c r="AB2087" s="2" t="inlineStr"/>
      <c r="AC2087" s="2" t="inlineStr"/>
      <c r="AD2087" s="2" t="inlineStr">
        <is>
          <t>1</t>
        </is>
      </c>
      <c r="AE2087" s="2" t="inlineStr">
        <is>
          <t>25228</t>
        </is>
      </c>
      <c r="AF2087" s="2" t="inlineStr">
        <is>
          <t>https://www.parlamento.pt/OrcamentoEstado/Paginas/DetalhePropostaAlteracao.aspx?BID=25228</t>
        </is>
      </c>
      <c r="AG2087" s="2" t="inlineStr">
        <is>
          <t>https://app.parlamento.pt/webutils/docs/doc.pdf?path=6148523063484d364c793942556b356c6443397a6158526c63793959566b6c4a544556484c3039464c7a49774d6a59794d4449314d5441774f5339515153396859546c694e574e684e433034596d4a694c54513159325174596a646a5a43316d4d6a4e6a596a4d325a54466c4e6a51756347526d&amp;Fich=aa9b5ca4-8bbb-45cd-b7cd-f23cb36e1e64.pdf&amp;Inline=true</t>
        </is>
      </c>
      <c r="AH2087" s="3" t="n">
        <v>46321.77847222222</v>
      </c>
      <c r="AI2087" s="3" t="n">
        <v>46321.78055555555</v>
      </c>
      <c r="AJ2087" s="2" t="inlineStr"/>
    </row>
    <row r="2088">
      <c r="A2088" s="2" t="n">
        <v>2087</v>
      </c>
      <c r="B2088" s="2" t="inlineStr">
        <is>
          <t>1976C</t>
        </is>
      </c>
      <c r="C2088" s="3" t="n">
        <v>45968.75902777778</v>
      </c>
      <c r="D2088" s="2" t="inlineStr">
        <is>
          <t>Original</t>
        </is>
      </c>
      <c r="E2088" s="2" t="inlineStr">
        <is>
          <t>PCP</t>
        </is>
      </c>
      <c r="F2088" s="2" t="inlineStr">
        <is>
          <t>Alfredo Maia; Paula Santos; Paulo Raimundo</t>
        </is>
      </c>
      <c r="G2088" s="2" t="inlineStr">
        <is>
          <t>Art. 136.º-A (aditamento)</t>
        </is>
      </c>
      <c r="H2088" s="2" t="n"/>
      <c r="I2088" s="2" t="n"/>
      <c r="J2088" s="2" t="n"/>
      <c r="K2088" s="2" t="n"/>
      <c r="L2088" s="2" t="inlineStr">
        <is>
          <t>Artigo 136.º-A (Reforço de direitos e condições de acompanhamento a filho com doença crónica, oncológica ou resultante de acidente)</t>
        </is>
      </c>
      <c r="M2088" s="4" t="n"/>
      <c r="N2088" s="4" t="n"/>
      <c r="O2088" s="2" t="n"/>
      <c r="P2088" s="2" t="n"/>
      <c r="Q2088" s="2" t="n"/>
      <c r="R2088" s="2" t="n"/>
      <c r="S2088" s="2" t="inlineStr">
        <is>
          <t>Rejeitado(a) em Comissão</t>
        </is>
      </c>
      <c r="T2088" s="2" t="inlineStr">
        <is>
          <t>Rejeitada</t>
        </is>
      </c>
      <c r="U2088" s="2" t="inlineStr">
        <is>
          <t>Favor: IL, L, PCP, BE, PAN; Contra: PSD, CDS-PP; Abstenção: CH, PS</t>
        </is>
      </c>
      <c r="V2088" s="3" t="n">
        <v>45987</v>
      </c>
      <c r="W2088" s="2" t="inlineStr">
        <is>
          <t>AR: https://www.parlamento.pt/OrcamentoEstado/Paginas/DetalhePropostaAlteracao.aspx?BID=25229 PDF: https://app.parlamento.pt/webutils/docs/doc.pdf?path=6148523063484d364c793942556b356c6443397a6158526c63793959566b6c4a544556484c3039464c7a49774d6a59794d4449314d5441774f5339515153396d596a5268597a4d315a4330344d6a45324c5451334e574574595755324e79316c5a4455324e3251324f44686c4d474d756347526d&amp;Fich=fb4ac35d-8216-475a-ae67-ed567d688e0c.pdf&amp;Inline=true</t>
        </is>
      </c>
      <c r="X2088" s="2" t="inlineStr">
        <is>
          <t>Trabalho, Segurança Social e Inclusão</t>
        </is>
      </c>
      <c r="Y2088" s="2" t="inlineStr">
        <is>
          <t>Articulado</t>
        </is>
      </c>
      <c r="Z2088" s="2" t="inlineStr">
        <is>
          <t>Aditamento (Artigo PPL)</t>
        </is>
      </c>
      <c r="AA2088" s="2" t="inlineStr">
        <is>
          <t>Rejeitado(a) em Comissão</t>
        </is>
      </c>
      <c r="AB2088" s="2" t="inlineStr"/>
      <c r="AC2088" s="2" t="inlineStr"/>
      <c r="AD2088" s="2" t="inlineStr">
        <is>
          <t>1</t>
        </is>
      </c>
      <c r="AE2088" s="2" t="inlineStr">
        <is>
          <t>25229</t>
        </is>
      </c>
      <c r="AF2088" s="2" t="inlineStr">
        <is>
          <t>https://www.parlamento.pt/OrcamentoEstado/Paginas/DetalhePropostaAlteracao.aspx?BID=25229</t>
        </is>
      </c>
      <c r="AG2088" s="2" t="inlineStr">
        <is>
          <t>https://app.parlamento.pt/webutils/docs/doc.pdf?path=6148523063484d364c793942556b356c6443397a6158526c63793959566b6c4a544556484c3039464c7a49774d6a59794d4449314d5441774f5339515153396d596a5268597a4d315a4330344d6a45324c5451334e574574595755324e79316c5a4455324e3251324f44686c4d474d756347526d&amp;Fich=fb4ac35d-8216-475a-ae67-ed567d688e0c.pdf&amp;Inline=true</t>
        </is>
      </c>
      <c r="AH2088" s="3" t="n">
        <v>46321.77847222222</v>
      </c>
      <c r="AI2088" s="3" t="n">
        <v>46321.78055555555</v>
      </c>
      <c r="AJ2088" s="2" t="inlineStr"/>
    </row>
    <row r="2089">
      <c r="A2089" s="2" t="n">
        <v>2088</v>
      </c>
      <c r="B2089" s="2" t="inlineStr">
        <is>
          <t>1977C</t>
        </is>
      </c>
      <c r="C2089" s="3" t="n">
        <v>45968.75972222222</v>
      </c>
      <c r="D2089" s="2" t="inlineStr">
        <is>
          <t>Original</t>
        </is>
      </c>
      <c r="E2089" s="2" t="inlineStr">
        <is>
          <t>PCP</t>
        </is>
      </c>
      <c r="F2089" s="2" t="inlineStr">
        <is>
          <t>Alfredo Maia; Paula Santos; Paulo Raimundo</t>
        </is>
      </c>
      <c r="G2089" s="2" t="inlineStr">
        <is>
          <t>Art. 113.º-A (aditamento)</t>
        </is>
      </c>
      <c r="H2089" s="2" t="n"/>
      <c r="I2089" s="2" t="n"/>
      <c r="J2089" s="2" t="n"/>
      <c r="K2089" s="2" t="n"/>
      <c r="L2089" s="2" t="inlineStr">
        <is>
          <t>Artigo 113.º-A (Construção da Escola Básica e Secundária em Fernão Ferro e da Escola Secundária na Quinta do Conde)</t>
        </is>
      </c>
      <c r="M2089" s="4" t="n"/>
      <c r="N2089" s="4" t="n"/>
      <c r="O2089" s="2" t="n"/>
      <c r="P2089" s="2" t="n"/>
      <c r="Q2089" s="2" t="n"/>
      <c r="R2089" s="2" t="n"/>
      <c r="S2089" s="2" t="inlineStr">
        <is>
          <t>Rejeitado(a) em Comissão</t>
        </is>
      </c>
      <c r="T2089" s="2" t="inlineStr">
        <is>
          <t>Rejeitada</t>
        </is>
      </c>
      <c r="U2089" s="2" t="inlineStr">
        <is>
          <t>Favor: CH, IL, L, PCP, BE, PAN; Contra: PSD, CDS-PP; Abstenção: PS</t>
        </is>
      </c>
      <c r="V2089" s="3" t="n">
        <v>45985</v>
      </c>
      <c r="W2089" s="2" t="inlineStr">
        <is>
          <t>AR: https://www.parlamento.pt/OrcamentoEstado/Paginas/DetalhePropostaAlteracao.aspx?BID=25230 PDF: https://app.parlamento.pt/webutils/docs/doc.pdf?path=6148523063484d364c793942556b356c6443397a6158526c63793959566b6c4a544556484c3039464c7a49774d6a59794d4449314d5441774f533951515338784d4745774d7a4e6c4e5331694e4755334c54526b597a55744f54526c4f4330355a57466c5a5449334e54517a5a5755756347526d&amp;Fich=10a033e5-b4e7-4dc5-94e8-9eaee27543ee.pdf&amp;Inline=true</t>
        </is>
      </c>
      <c r="X2089" s="2" t="inlineStr">
        <is>
          <t>Educação e Ciência</t>
        </is>
      </c>
      <c r="Y2089" s="2" t="inlineStr">
        <is>
          <t>Articulado</t>
        </is>
      </c>
      <c r="Z2089" s="2" t="inlineStr">
        <is>
          <t>Aditamento (Artigo PPL)</t>
        </is>
      </c>
      <c r="AA2089" s="2" t="inlineStr">
        <is>
          <t>Rejeitado(a) em Comissão</t>
        </is>
      </c>
      <c r="AB2089" s="2" t="inlineStr"/>
      <c r="AC2089" s="2" t="inlineStr"/>
      <c r="AD2089" s="2" t="inlineStr">
        <is>
          <t>1</t>
        </is>
      </c>
      <c r="AE2089" s="2" t="inlineStr">
        <is>
          <t>25230</t>
        </is>
      </c>
      <c r="AF2089" s="2" t="inlineStr">
        <is>
          <t>https://www.parlamento.pt/OrcamentoEstado/Paginas/DetalhePropostaAlteracao.aspx?BID=25230</t>
        </is>
      </c>
      <c r="AG2089" s="2" t="inlineStr">
        <is>
          <t>https://app.parlamento.pt/webutils/docs/doc.pdf?path=6148523063484d364c793942556b356c6443397a6158526c63793959566b6c4a544556484c3039464c7a49774d6a59794d4449314d5441774f533951515338784d4745774d7a4e6c4e5331694e4755334c54526b597a55744f54526c4f4330355a57466c5a5449334e54517a5a5755756347526d&amp;Fich=10a033e5-b4e7-4dc5-94e8-9eaee27543ee.pdf&amp;Inline=true</t>
        </is>
      </c>
      <c r="AH2089" s="3" t="n">
        <v>46321.77847222222</v>
      </c>
      <c r="AI2089" s="3" t="n">
        <v>46321.78055555555</v>
      </c>
      <c r="AJ2089" s="2" t="inlineStr"/>
    </row>
    <row r="2090">
      <c r="A2090" s="2" t="n">
        <v>2089</v>
      </c>
      <c r="B2090" s="2" t="inlineStr">
        <is>
          <t>1978C</t>
        </is>
      </c>
      <c r="C2090" s="3" t="n">
        <v>45968.75972222222</v>
      </c>
      <c r="D2090" s="2" t="inlineStr">
        <is>
          <t>Retirada</t>
        </is>
      </c>
      <c r="E2090" s="2" t="inlineStr">
        <is>
          <t>L</t>
        </is>
      </c>
      <c r="F2090" s="2" t="inlineStr">
        <is>
          <t>Filipa Pinto; Isabel Mendes Lopes; Jorge Pinto; Patrícia Gonçalves; Paulo Muacho; Rui Tavares</t>
        </is>
      </c>
      <c r="G2090" s="2" t="inlineStr">
        <is>
          <t>Articulado</t>
        </is>
      </c>
      <c r="H2090" s="2" t="n"/>
      <c r="I2090" s="2" t="n"/>
      <c r="J2090" s="2" t="n"/>
      <c r="K2090" s="2" t="n"/>
      <c r="L2090" s="2" t="inlineStr"/>
      <c r="M2090" s="4" t="n"/>
      <c r="N2090" s="4" t="n"/>
      <c r="O2090" s="2" t="n"/>
      <c r="P2090" s="2" t="n"/>
      <c r="Q2090" s="2" t="n"/>
      <c r="R2090" s="2" t="n"/>
      <c r="S2090" s="2" t="inlineStr">
        <is>
          <t>Retirado(a)</t>
        </is>
      </c>
      <c r="T2090" s="2" t="inlineStr">
        <is>
          <t>Retirada</t>
        </is>
      </c>
      <c r="U2090" s="2" t="inlineStr"/>
      <c r="V2090" s="3" t="n"/>
      <c r="W2090" s="2" t="inlineStr">
        <is>
          <t>AR: https://www.parlamento.pt/OrcamentoEstado/Paginas/DetalhePropostaAlteracao.aspx?BID=25231 PDF: https://app.parlamento.pt/webutils/docs/doc.pdf?path=6148523063484d364c793942556b356c6443397a6158526c63793959566b6c4a544556484c3039464c7a49774d6a59794d4449314d5441774f533951515338304e6a6b314f47566a5a6930344e47526c4c54517a4e6d59744f5745355a4330334d47453359324d334d6a4e6a4e4755756347526d&amp;Fich=46958ecf-84de-436f-9a9d-70a7cc723c4e.pdf&amp;Inline=true</t>
        </is>
      </c>
      <c r="X2090" s="2" t="inlineStr">
        <is>
          <t>Orçamento, Finanças e Administração Pública</t>
        </is>
      </c>
      <c r="Y2090" s="2" t="inlineStr">
        <is>
          <t>Articulado</t>
        </is>
      </c>
      <c r="Z2090" s="2" t="inlineStr">
        <is>
          <t>Por Definir</t>
        </is>
      </c>
      <c r="AA2090" s="2" t="inlineStr">
        <is>
          <t>Retirado(a)</t>
        </is>
      </c>
      <c r="AB2090" s="2" t="inlineStr"/>
      <c r="AC2090" s="2" t="inlineStr"/>
      <c r="AD2090" s="2" t="inlineStr">
        <is>
          <t>0</t>
        </is>
      </c>
      <c r="AE2090" s="2" t="inlineStr">
        <is>
          <t>25231</t>
        </is>
      </c>
      <c r="AF2090" s="2" t="inlineStr">
        <is>
          <t>https://www.parlamento.pt/OrcamentoEstado/Paginas/DetalhePropostaAlteracao.aspx?BID=25231</t>
        </is>
      </c>
      <c r="AG2090" s="2" t="inlineStr">
        <is>
          <t>https://app.parlamento.pt/webutils/docs/doc.pdf?path=6148523063484d364c793942556b356c6443397a6158526c63793959566b6c4a544556484c3039464c7a49774d6a59794d4449314d5441774f533951515338304e6a6b314f47566a5a6930344e47526c4c54517a4e6d59744f5745355a4330334d47453359324d334d6a4e6a4e4755756347526d&amp;Fich=46958ecf-84de-436f-9a9d-70a7cc723c4e.pdf&amp;Inline=true</t>
        </is>
      </c>
      <c r="AH2090" s="3" t="n">
        <v>46321.77847222222</v>
      </c>
      <c r="AI2090" s="3" t="n">
        <v>46321.78055555555</v>
      </c>
      <c r="AJ2090" s="2" t="inlineStr"/>
    </row>
    <row r="2091">
      <c r="A2091" s="2" t="n">
        <v>2090</v>
      </c>
      <c r="B2091" s="2" t="inlineStr">
        <is>
          <t>1979C</t>
        </is>
      </c>
      <c r="C2091" s="3" t="n">
        <v>45968.75972222222</v>
      </c>
      <c r="D2091" s="2" t="inlineStr">
        <is>
          <t>Original</t>
        </is>
      </c>
      <c r="E2091" s="2" t="inlineStr">
        <is>
          <t>PCP</t>
        </is>
      </c>
      <c r="F2091" s="2" t="inlineStr">
        <is>
          <t>Alfredo Maia; Paula Santos; Paulo Raimundo</t>
        </is>
      </c>
      <c r="G2091" s="2" t="inlineStr">
        <is>
          <t>Art. 113.º-A (aditamento)</t>
        </is>
      </c>
      <c r="H2091" s="2" t="n"/>
      <c r="I2091" s="2" t="n"/>
      <c r="J2091" s="2" t="n"/>
      <c r="K2091" s="2" t="n"/>
      <c r="L2091" s="2" t="inlineStr">
        <is>
          <t>Artigo 113.º-A (Construção do Hospital do Seixal e de centros de saúde na Península de Setúbal)</t>
        </is>
      </c>
      <c r="M2091" s="4" t="n"/>
      <c r="N2091" s="4" t="n"/>
      <c r="O2091" s="2" t="n"/>
      <c r="P2091" s="2" t="n"/>
      <c r="Q2091" s="2" t="n"/>
      <c r="R2091" s="2" t="n"/>
      <c r="S2091" s="2" t="inlineStr">
        <is>
          <t>Rejeitado(a) em Comissão</t>
        </is>
      </c>
      <c r="T2091" s="2" t="inlineStr">
        <is>
          <t>Rejeitada</t>
        </is>
      </c>
      <c r="U2091" s="2" t="inlineStr">
        <is>
          <t>Favor: CH, L, PCP, BE, PAN; Contra: PSD, CDS-PP; Abstenção: PS, IL</t>
        </is>
      </c>
      <c r="V2091" s="3" t="n">
        <v>45985</v>
      </c>
      <c r="W2091" s="2" t="inlineStr">
        <is>
          <t>AR: https://www.parlamento.pt/OrcamentoEstado/Paginas/DetalhePropostaAlteracao.aspx?BID=25232 PDF: https://app.parlamento.pt/webutils/docs/doc.pdf?path=6148523063484d364c793942556b356c6443397a6158526c63793959566b6c4a544556484c3039464c7a49774d6a59794d4449314d5441774f533951515339694d546c684e54686a4d7930334e6a41314c5452684f446b7459574d344d53316a597a45305a544a6a4d544a69593249756347526d&amp;Fich=b19a58c3-7605-4a89-ac81-cc14e2c12bcb.pdf&amp;Inline=true</t>
        </is>
      </c>
      <c r="X2091" s="2" t="inlineStr">
        <is>
          <t>Saúde</t>
        </is>
      </c>
      <c r="Y2091" s="2" t="inlineStr">
        <is>
          <t>Articulado</t>
        </is>
      </c>
      <c r="Z2091" s="2" t="inlineStr">
        <is>
          <t>Aditamento (Artigo PPL)</t>
        </is>
      </c>
      <c r="AA2091" s="2" t="inlineStr">
        <is>
          <t>Rejeitado(a) em Comissão</t>
        </is>
      </c>
      <c r="AB2091" s="2" t="inlineStr"/>
      <c r="AC2091" s="2" t="inlineStr"/>
      <c r="AD2091" s="2" t="inlineStr">
        <is>
          <t>1</t>
        </is>
      </c>
      <c r="AE2091" s="2" t="inlineStr">
        <is>
          <t>25232</t>
        </is>
      </c>
      <c r="AF2091" s="2" t="inlineStr">
        <is>
          <t>https://www.parlamento.pt/OrcamentoEstado/Paginas/DetalhePropostaAlteracao.aspx?BID=25232</t>
        </is>
      </c>
      <c r="AG2091" s="2" t="inlineStr">
        <is>
          <t>https://app.parlamento.pt/webutils/docs/doc.pdf?path=6148523063484d364c793942556b356c6443397a6158526c63793959566b6c4a544556484c3039464c7a49774d6a59794d4449314d5441774f533951515339694d546c684e54686a4d7930334e6a41314c5452684f446b7459574d344d53316a597a45305a544a6a4d544a69593249756347526d&amp;Fich=b19a58c3-7605-4a89-ac81-cc14e2c12bcb.pdf&amp;Inline=true</t>
        </is>
      </c>
      <c r="AH2091" s="3" t="n">
        <v>46321.77847222222</v>
      </c>
      <c r="AI2091" s="3" t="n">
        <v>46321.78055555555</v>
      </c>
      <c r="AJ2091" s="2" t="inlineStr"/>
    </row>
    <row r="2092">
      <c r="A2092" s="2" t="n">
        <v>2091</v>
      </c>
      <c r="B2092" s="2" t="inlineStr">
        <is>
          <t>1980C</t>
        </is>
      </c>
      <c r="C2092" s="3" t="n">
        <v>45968.76041666666</v>
      </c>
      <c r="D2092" s="2" t="inlineStr">
        <is>
          <t>Original</t>
        </is>
      </c>
      <c r="E2092" s="2" t="inlineStr">
        <is>
          <t>L</t>
        </is>
      </c>
      <c r="F2092" s="2" t="inlineStr">
        <is>
          <t>Filipa Pinto; Isabel Mendes Lopes; Jorge Pinto; Patrícia Gonçalves; Paulo Muacho; Rui Tavares</t>
        </is>
      </c>
      <c r="G2092" s="2" t="inlineStr">
        <is>
          <t>Art. 64.º (substituição)</t>
        </is>
      </c>
      <c r="H2092" s="2" t="n"/>
      <c r="I2092" s="2" t="n"/>
      <c r="J2092" s="2" t="n"/>
      <c r="K2092" s="2" t="n"/>
      <c r="L2092" s="2" t="inlineStr">
        <is>
          <t>Alínea b), N.º 1, N.º 3, Artigo 89.º do Código do IEC</t>
        </is>
      </c>
      <c r="M2092" s="4" t="n"/>
      <c r="N2092" s="4" t="n"/>
      <c r="O2092" s="2" t="n"/>
      <c r="P2092" s="2" t="n"/>
      <c r="Q2092" s="2" t="n"/>
      <c r="R2092" s="2" t="n"/>
      <c r="S2092" s="2" t="inlineStr">
        <is>
          <t>Rejeitado(a) em Comissão</t>
        </is>
      </c>
      <c r="T2092" s="2" t="inlineStr">
        <is>
          <t>Rejeitada</t>
        </is>
      </c>
      <c r="U2092" s="2" t="inlineStr">
        <is>
          <t>Favor: L, PCP, BE, PAN; Contra: PSD, CH, CDS-PP; Abstenção: PS, IL</t>
        </is>
      </c>
      <c r="V2092" s="3" t="n">
        <v>45982</v>
      </c>
      <c r="W2092" s="2" t="inlineStr">
        <is>
          <t>AR: https://www.parlamento.pt/OrcamentoEstado/Paginas/DetalhePropostaAlteracao.aspx?BID=25233 PDF: https://app.parlamento.pt/webutils/docs/doc.pdf?path=6148523063484d364c793942556b356c6443397a6158526c63793959566b6c4a544556484c3039464c7a49774d6a59794d4449314d5441774f533951515338794e6a637a595468694f5330335a5445314c5451344e6a4574596a566c5a53316b4d6a45795a44426a4e6d4d784f4459756347526d&amp;Fich=2673a8b9-7e15-4861-b5ee-d212d0c6c186.pdf&amp;Inline=true</t>
        </is>
      </c>
      <c r="X2092" s="2" t="inlineStr">
        <is>
          <t>Ambiente e Energia; Orçamento, Finanças e Administração Pública</t>
        </is>
      </c>
      <c r="Y2092" s="2" t="inlineStr">
        <is>
          <t>Articulado</t>
        </is>
      </c>
      <c r="Z2092" s="2" t="inlineStr">
        <is>
          <t>Substituição</t>
        </is>
      </c>
      <c r="AA2092" s="2" t="inlineStr">
        <is>
          <t>Rejeitado(a) em Comissão</t>
        </is>
      </c>
      <c r="AB2092" s="2" t="inlineStr"/>
      <c r="AC2092" s="2" t="inlineStr"/>
      <c r="AD2092" s="2" t="inlineStr">
        <is>
          <t>1</t>
        </is>
      </c>
      <c r="AE2092" s="2" t="inlineStr">
        <is>
          <t>25233</t>
        </is>
      </c>
      <c r="AF2092" s="2" t="inlineStr">
        <is>
          <t>https://www.parlamento.pt/OrcamentoEstado/Paginas/DetalhePropostaAlteracao.aspx?BID=25233</t>
        </is>
      </c>
      <c r="AG2092" s="2" t="inlineStr">
        <is>
          <t>https://app.parlamento.pt/webutils/docs/doc.pdf?path=6148523063484d364c793942556b356c6443397a6158526c63793959566b6c4a544556484c3039464c7a49774d6a59794d4449314d5441774f533951515338794e6a637a595468694f5330335a5445314c5451344e6a4574596a566c5a53316b4d6a45795a44426a4e6d4d784f4459756347526d&amp;Fich=2673a8b9-7e15-4861-b5ee-d212d0c6c186.pdf&amp;Inline=true</t>
        </is>
      </c>
      <c r="AH2092" s="3" t="n">
        <v>46321.77847222222</v>
      </c>
      <c r="AI2092" s="3" t="n">
        <v>46321.78055555555</v>
      </c>
      <c r="AJ2092" s="2" t="inlineStr"/>
    </row>
    <row r="2093">
      <c r="A2093" s="2" t="n">
        <v>2092</v>
      </c>
      <c r="B2093" s="2" t="inlineStr">
        <is>
          <t>1981C</t>
        </is>
      </c>
      <c r="C2093" s="3" t="n">
        <v>45968.76041666666</v>
      </c>
      <c r="D2093" s="2" t="inlineStr">
        <is>
          <t>Original</t>
        </is>
      </c>
      <c r="E2093" s="2" t="inlineStr">
        <is>
          <t>PCP</t>
        </is>
      </c>
      <c r="F2093" s="2" t="inlineStr">
        <is>
          <t>Alfredo Maia; Paula Santos; Paulo Raimundo</t>
        </is>
      </c>
      <c r="G2093" s="2" t="inlineStr">
        <is>
          <t>Art. 22.º-A (aditamento)</t>
        </is>
      </c>
      <c r="H2093" s="2" t="n"/>
      <c r="I2093" s="2" t="n"/>
      <c r="J2093" s="2" t="n"/>
      <c r="K2093" s="2" t="n"/>
      <c r="L2093" s="2" t="inlineStr">
        <is>
          <t>Artigo 22.º-A (Valorização dos Técnicos Superiores de Diagnóstico e Terapêutica)</t>
        </is>
      </c>
      <c r="M2093" s="4" t="n"/>
      <c r="N2093" s="4" t="n"/>
      <c r="O2093" s="2" t="n"/>
      <c r="P2093" s="2" t="n"/>
      <c r="Q2093" s="2" t="n"/>
      <c r="R2093" s="2" t="n"/>
      <c r="S2093" s="2" t="inlineStr">
        <is>
          <t>Rejeitado(a) em Comissão</t>
        </is>
      </c>
      <c r="T2093" s="2" t="inlineStr">
        <is>
          <t>Rejeitada</t>
        </is>
      </c>
      <c r="U2093" s="2" t="inlineStr">
        <is>
          <t>Favor: CH, L, PCP, BE, PAN; Contra: PSD, CDS-PP; Abstenção: PS, IL</t>
        </is>
      </c>
      <c r="V2093" s="3" t="n">
        <v>45981</v>
      </c>
      <c r="W2093" s="2" t="inlineStr">
        <is>
          <t>AR: https://www.parlamento.pt/OrcamentoEstado/Paginas/DetalhePropostaAlteracao.aspx?BID=25234 PDF: https://app.parlamento.pt/webutils/docs/doc.pdf?path=6148523063484d364c793942556b356c6443397a6158526c63793959566b6c4a544556484c3039464c7a49774d6a59794d4449314d5441774f5339515153387a5a6a6779597a6b305a69316b597a5a6b4c5451354d7a55744f5755774e53307a4d5451794d6a59315a6a517a4e5445756347526d&amp;Fich=3f82c94f-dc6d-4935-9e05-3142265f4351.pdf&amp;Inline=true</t>
        </is>
      </c>
      <c r="X2093" s="2" t="inlineStr">
        <is>
          <t>Saúde</t>
        </is>
      </c>
      <c r="Y2093" s="2" t="inlineStr">
        <is>
          <t>Articulado</t>
        </is>
      </c>
      <c r="Z2093" s="2" t="inlineStr">
        <is>
          <t>Aditamento (Artigo PPL)</t>
        </is>
      </c>
      <c r="AA2093" s="2" t="inlineStr">
        <is>
          <t>Rejeitado(a) em Comissão</t>
        </is>
      </c>
      <c r="AB2093" s="2" t="inlineStr"/>
      <c r="AC2093" s="2" t="inlineStr"/>
      <c r="AD2093" s="2" t="inlineStr">
        <is>
          <t>1</t>
        </is>
      </c>
      <c r="AE2093" s="2" t="inlineStr">
        <is>
          <t>25234</t>
        </is>
      </c>
      <c r="AF2093" s="2" t="inlineStr">
        <is>
          <t>https://www.parlamento.pt/OrcamentoEstado/Paginas/DetalhePropostaAlteracao.aspx?BID=25234</t>
        </is>
      </c>
      <c r="AG2093" s="2" t="inlineStr">
        <is>
          <t>https://app.parlamento.pt/webutils/docs/doc.pdf?path=6148523063484d364c793942556b356c6443397a6158526c63793959566b6c4a544556484c3039464c7a49774d6a59794d4449314d5441774f5339515153387a5a6a6779597a6b305a69316b597a5a6b4c5451354d7a55744f5755774e53307a4d5451794d6a59315a6a517a4e5445756347526d&amp;Fich=3f82c94f-dc6d-4935-9e05-3142265f4351.pdf&amp;Inline=true</t>
        </is>
      </c>
      <c r="AH2093" s="3" t="n">
        <v>46321.77847222222</v>
      </c>
      <c r="AI2093" s="3" t="n">
        <v>46321.78055555555</v>
      </c>
      <c r="AJ2093" s="2" t="inlineStr"/>
    </row>
    <row r="2094">
      <c r="A2094" s="2" t="n">
        <v>2093</v>
      </c>
      <c r="B2094" s="2" t="inlineStr">
        <is>
          <t>1982C</t>
        </is>
      </c>
      <c r="C2094" s="3" t="n">
        <v>45968.76180555556</v>
      </c>
      <c r="D2094" s="2" t="inlineStr">
        <is>
          <t>Original</t>
        </is>
      </c>
      <c r="E2094" s="2" t="inlineStr">
        <is>
          <t>L</t>
        </is>
      </c>
      <c r="F2094" s="2" t="inlineStr">
        <is>
          <t>Filipa Pinto; Isabel Mendes Lopes; Jorge Pinto; Patrícia Gonçalves; Paulo Muacho; Rui Tavares</t>
        </is>
      </c>
      <c r="G2094" s="2" t="inlineStr">
        <is>
          <t>Art. 126.º (substituição)</t>
        </is>
      </c>
      <c r="H2094" s="2" t="n"/>
      <c r="I2094" s="2" t="n"/>
      <c r="J2094" s="2" t="n"/>
      <c r="K2094" s="2" t="n"/>
      <c r="L2094" s="2" t="inlineStr">
        <is>
          <t>N.º 1, Artigo 126.º</t>
        </is>
      </c>
      <c r="M2094" s="4" t="n"/>
      <c r="N2094" s="4" t="n"/>
      <c r="O2094" s="2" t="n"/>
      <c r="P2094" s="2" t="n"/>
      <c r="Q2094" s="2" t="n"/>
      <c r="R2094" s="2" t="n"/>
      <c r="S2094" s="2" t="inlineStr">
        <is>
          <t>Rejeitado(a) em Comissão</t>
        </is>
      </c>
      <c r="T2094" s="2" t="inlineStr">
        <is>
          <t>Rejeitada</t>
        </is>
      </c>
      <c r="U2094" s="2" t="inlineStr">
        <is>
          <t>Favor: PS, L, BE, PAN; Contra: PSD, CH, CDS-PP; Abstenção: IL, PCP</t>
        </is>
      </c>
      <c r="V2094" s="3" t="n">
        <v>45985</v>
      </c>
      <c r="W2094" s="2" t="inlineStr">
        <is>
          <t>AR: https://www.parlamento.pt/OrcamentoEstado/Paginas/DetalhePropostaAlteracao.aspx?BID=25235 PDF: https://app.parlamento.pt/webutils/docs/doc.pdf?path=6148523063484d364c793942556b356c6443397a6158526c63793959566b6c4a544556484c3039464c7a49774d6a59794d4449314d5441774f5339515153396c4d325533597a4e695a6930324e3255304c5452684d575974595467785a53316c4e6d5269596a457a59324e6b4d4459756347526d&amp;Fich=e3e7c3bf-67e4-4a1f-a81e-e6dbb13ccd06.pdf&amp;Inline=true</t>
        </is>
      </c>
      <c r="X2094" s="2" t="inlineStr">
        <is>
          <t>Ambiente e Energia; Orçamento, Finanças e Administração Pública</t>
        </is>
      </c>
      <c r="Y2094" s="2" t="inlineStr">
        <is>
          <t>Articulado</t>
        </is>
      </c>
      <c r="Z2094" s="2" t="inlineStr">
        <is>
          <t>Substituição</t>
        </is>
      </c>
      <c r="AA2094" s="2" t="inlineStr">
        <is>
          <t>Rejeitado(a) em Comissão</t>
        </is>
      </c>
      <c r="AB2094" s="2" t="inlineStr"/>
      <c r="AC2094" s="2" t="inlineStr"/>
      <c r="AD2094" s="2" t="inlineStr">
        <is>
          <t>1</t>
        </is>
      </c>
      <c r="AE2094" s="2" t="inlineStr">
        <is>
          <t>25235</t>
        </is>
      </c>
      <c r="AF2094" s="2" t="inlineStr">
        <is>
          <t>https://www.parlamento.pt/OrcamentoEstado/Paginas/DetalhePropostaAlteracao.aspx?BID=25235</t>
        </is>
      </c>
      <c r="AG2094" s="2" t="inlineStr">
        <is>
          <t>https://app.parlamento.pt/webutils/docs/doc.pdf?path=6148523063484d364c793942556b356c6443397a6158526c63793959566b6c4a544556484c3039464c7a49774d6a59794d4449314d5441774f5339515153396c4d325533597a4e695a6930324e3255304c5452684d575974595467785a53316c4e6d5269596a457a59324e6b4d4459756347526d&amp;Fich=e3e7c3bf-67e4-4a1f-a81e-e6dbb13ccd06.pdf&amp;Inline=true</t>
        </is>
      </c>
      <c r="AH2094" s="3" t="n">
        <v>46321.77847222222</v>
      </c>
      <c r="AI2094" s="3" t="n">
        <v>46321.78055555555</v>
      </c>
      <c r="AJ2094" s="2" t="inlineStr"/>
    </row>
    <row r="2095">
      <c r="A2095" s="2" t="n">
        <v>2094</v>
      </c>
      <c r="B2095" s="2" t="inlineStr">
        <is>
          <t>1983C</t>
        </is>
      </c>
      <c r="C2095" s="3" t="n">
        <v>45968.76180555556</v>
      </c>
      <c r="D2095" s="2" t="inlineStr">
        <is>
          <t>Original</t>
        </is>
      </c>
      <c r="E2095" s="2" t="inlineStr">
        <is>
          <t>PCP</t>
        </is>
      </c>
      <c r="F2095" s="2" t="inlineStr">
        <is>
          <t>Alfredo Maia; Paula Santos; Paulo Raimundo</t>
        </is>
      </c>
      <c r="G2095" s="2" t="inlineStr">
        <is>
          <t>Art. 118.º-A (aditamento)</t>
        </is>
      </c>
      <c r="H2095" s="2" t="n"/>
      <c r="I2095" s="2" t="n"/>
      <c r="J2095" s="2" t="n"/>
      <c r="K2095" s="2" t="n"/>
      <c r="L2095" s="2" t="inlineStr">
        <is>
          <t>Artigo 118.º-A (Linha de financiamento para a aquisição de veículos adaptados)</t>
        </is>
      </c>
      <c r="M2095" s="4" t="n"/>
      <c r="N2095" s="4" t="n"/>
      <c r="O2095" s="2" t="n"/>
      <c r="P2095" s="2" t="n"/>
      <c r="Q2095" s="2" t="n"/>
      <c r="R2095" s="2" t="n"/>
      <c r="S2095" s="2" t="inlineStr">
        <is>
          <t>Rejeitado(a) em Comissão</t>
        </is>
      </c>
      <c r="T2095" s="2" t="inlineStr">
        <is>
          <t>Rejeitada</t>
        </is>
      </c>
      <c r="U2095" s="2" t="inlineStr">
        <is>
          <t>Favor: L, PCP, BE, PAN; Contra: PSD, CDS-PP; Abstenção: CH, PS, IL</t>
        </is>
      </c>
      <c r="V2095" s="3" t="n">
        <v>45985</v>
      </c>
      <c r="W2095" s="2" t="inlineStr">
        <is>
          <t>AR: https://www.parlamento.pt/OrcamentoEstado/Paginas/DetalhePropostaAlteracao.aspx?BID=25236 PDF: https://app.parlamento.pt/webutils/docs/doc.pdf?path=6148523063484d364c793942556b356c6443397a6158526c63793959566b6c4a544556484c3039464c7a49774d6a59794d4449314d5441774f5339515153396d5a4759775a6a5a684e7930314e6d49794c54517a4f5459744f444d774d5330314e6a6b304f575932595451775a6a55756347526d&amp;Fich=fdf0f6a7-56b2-4396-8301-56949f6a40f5.pdf&amp;Inline=true</t>
        </is>
      </c>
      <c r="X2095" s="2" t="inlineStr">
        <is>
          <t>Cultura, Comunicação, Juventude e Desporto</t>
        </is>
      </c>
      <c r="Y2095" s="2" t="inlineStr">
        <is>
          <t>Articulado</t>
        </is>
      </c>
      <c r="Z2095" s="2" t="inlineStr">
        <is>
          <t>Aditamento (Artigo PPL)</t>
        </is>
      </c>
      <c r="AA2095" s="2" t="inlineStr">
        <is>
          <t>Rejeitado(a) em Comissão</t>
        </is>
      </c>
      <c r="AB2095" s="2" t="inlineStr"/>
      <c r="AC2095" s="2" t="inlineStr"/>
      <c r="AD2095" s="2" t="inlineStr">
        <is>
          <t>1</t>
        </is>
      </c>
      <c r="AE2095" s="2" t="inlineStr">
        <is>
          <t>25236</t>
        </is>
      </c>
      <c r="AF2095" s="2" t="inlineStr">
        <is>
          <t>https://www.parlamento.pt/OrcamentoEstado/Paginas/DetalhePropostaAlteracao.aspx?BID=25236</t>
        </is>
      </c>
      <c r="AG2095" s="2" t="inlineStr">
        <is>
          <t>https://app.parlamento.pt/webutils/docs/doc.pdf?path=6148523063484d364c793942556b356c6443397a6158526c63793959566b6c4a544556484c3039464c7a49774d6a59794d4449314d5441774f5339515153396d5a4759775a6a5a684e7930314e6d49794c54517a4f5459744f444d774d5330314e6a6b304f575932595451775a6a55756347526d&amp;Fich=fdf0f6a7-56b2-4396-8301-56949f6a40f5.pdf&amp;Inline=true</t>
        </is>
      </c>
      <c r="AH2095" s="3" t="n">
        <v>46321.77847222222</v>
      </c>
      <c r="AI2095" s="3" t="n">
        <v>46321.78055555555</v>
      </c>
      <c r="AJ2095" s="2" t="inlineStr"/>
    </row>
    <row r="2096">
      <c r="A2096" s="2" t="n">
        <v>2095</v>
      </c>
      <c r="B2096" s="2" t="inlineStr">
        <is>
          <t>1984C</t>
        </is>
      </c>
      <c r="C2096" s="3" t="n">
        <v>45968.7625</v>
      </c>
      <c r="D2096" s="2" t="inlineStr">
        <is>
          <t>Original</t>
        </is>
      </c>
      <c r="E2096" s="2" t="inlineStr">
        <is>
          <t>PCP</t>
        </is>
      </c>
      <c r="F2096" s="2" t="inlineStr">
        <is>
          <t>Alfredo Maia; Paula Santos; Paulo Raimundo</t>
        </is>
      </c>
      <c r="G2096" s="2" t="inlineStr">
        <is>
          <t>Art. 7.º (aditamento)</t>
        </is>
      </c>
      <c r="H2096" s="2" t="n"/>
      <c r="I2096" s="2" t="n"/>
      <c r="J2096" s="2" t="n"/>
      <c r="K2096" s="2" t="n"/>
      <c r="L2096" s="2" t="inlineStr">
        <is>
          <t>Nova Verba 14, Mapa de alterações e transferências orçamentais, Artigo 7.º</t>
        </is>
      </c>
      <c r="M2096" s="4" t="n"/>
      <c r="N2096" s="4" t="n"/>
      <c r="O2096" s="2" t="n"/>
      <c r="P2096" s="2" t="n"/>
      <c r="Q2096" s="2" t="n"/>
      <c r="R2096" s="2" t="n"/>
      <c r="S2096" s="2" t="inlineStr">
        <is>
          <t>Rejeitado(a) em Comissão</t>
        </is>
      </c>
      <c r="T2096" s="2" t="inlineStr">
        <is>
          <t>Rejeitada</t>
        </is>
      </c>
      <c r="U2096" s="2" t="inlineStr">
        <is>
          <t>Favor: IL, L, PCP, BE, PAN; Contra: PSD, CDS-PP; Abstenção: CH, PS</t>
        </is>
      </c>
      <c r="V2096" s="3" t="n">
        <v>45987</v>
      </c>
      <c r="W2096" s="2" t="inlineStr">
        <is>
          <t>AR: https://www.parlamento.pt/OrcamentoEstado/Paginas/DetalhePropostaAlteracao.aspx?BID=25237 PDF: https://app.parlamento.pt/webutils/docs/doc.pdf?path=6148523063484d364c793942556b356c6443397a6158526c63793959566b6c4a544556484c3039464c7a49774d6a59794d4449314d5441774f53395151533831595749344e54517a4f4330314e7a49314c5452694d5451744f5745354d5330304e6d49345a4455304d5467774e6a55756347526d&amp;Fich=5ab85438-5725-4b14-9a91-46b8d5418065.pdf&amp;Inline=true</t>
        </is>
      </c>
      <c r="X2096" s="2" t="inlineStr">
        <is>
          <t>Cultura, Comunicação, Juventude e Desporto</t>
        </is>
      </c>
      <c r="Y2096" s="2" t="inlineStr">
        <is>
          <t>Articulado</t>
        </is>
      </c>
      <c r="Z2096" s="2" t="inlineStr">
        <is>
          <t>Aditamento (Números e Alíneas)</t>
        </is>
      </c>
      <c r="AA2096" s="2" t="inlineStr">
        <is>
          <t>Rejeitado(a) em Comissão</t>
        </is>
      </c>
      <c r="AB2096" s="2" t="inlineStr"/>
      <c r="AC2096" s="2" t="inlineStr"/>
      <c r="AD2096" s="2" t="inlineStr">
        <is>
          <t>1</t>
        </is>
      </c>
      <c r="AE2096" s="2" t="inlineStr">
        <is>
          <t>25237</t>
        </is>
      </c>
      <c r="AF2096" s="2" t="inlineStr">
        <is>
          <t>https://www.parlamento.pt/OrcamentoEstado/Paginas/DetalhePropostaAlteracao.aspx?BID=25237</t>
        </is>
      </c>
      <c r="AG2096" s="2" t="inlineStr">
        <is>
          <t>https://app.parlamento.pt/webutils/docs/doc.pdf?path=6148523063484d364c793942556b356c6443397a6158526c63793959566b6c4a544556484c3039464c7a49774d6a59794d4449314d5441774f53395151533831595749344e54517a4f4330314e7a49314c5452694d5451744f5745354d5330304e6d49345a4455304d5467774e6a55756347526d&amp;Fich=5ab85438-5725-4b14-9a91-46b8d5418065.pdf&amp;Inline=true</t>
        </is>
      </c>
      <c r="AH2096" s="3" t="n">
        <v>46321.77847222222</v>
      </c>
      <c r="AI2096" s="3" t="n">
        <v>46321.78055555555</v>
      </c>
      <c r="AJ2096" s="2" t="inlineStr"/>
    </row>
    <row r="2097">
      <c r="A2097" s="2" t="n">
        <v>2096</v>
      </c>
      <c r="B2097" s="2" t="inlineStr">
        <is>
          <t>1985C</t>
        </is>
      </c>
      <c r="C2097" s="3" t="n">
        <v>45968.76319444444</v>
      </c>
      <c r="D2097" s="2" t="inlineStr">
        <is>
          <t>Original</t>
        </is>
      </c>
      <c r="E2097" s="2" t="inlineStr">
        <is>
          <t>PCP</t>
        </is>
      </c>
      <c r="F2097" s="2" t="inlineStr">
        <is>
          <t>Alfredo Maia; Paula Santos; Paulo Raimundo</t>
        </is>
      </c>
      <c r="G2097" s="2" t="inlineStr">
        <is>
          <t>Art. 7.º (aditamento)</t>
        </is>
      </c>
      <c r="H2097" s="2" t="n"/>
      <c r="I2097" s="2" t="n"/>
      <c r="J2097" s="2" t="n"/>
      <c r="K2097" s="2" t="n"/>
      <c r="L2097" s="2" t="inlineStr">
        <is>
          <t>Nova Verba 14, Mapa de alterações e transferências orçamentais, Artigo 7.º</t>
        </is>
      </c>
      <c r="M2097" s="4" t="n"/>
      <c r="N2097" s="4" t="n"/>
      <c r="O2097" s="2" t="n"/>
      <c r="P2097" s="2" t="n"/>
      <c r="Q2097" s="2" t="n"/>
      <c r="R2097" s="2" t="n"/>
      <c r="S2097" s="2" t="inlineStr">
        <is>
          <t>Rejeitado(a) em Comissão</t>
        </is>
      </c>
      <c r="T2097" s="2" t="inlineStr">
        <is>
          <t>Rejeitada</t>
        </is>
      </c>
      <c r="U2097" s="2" t="inlineStr">
        <is>
          <t>Favor: CH, L, PCP, BE, PAN; Contra: PSD, CDS-PP; Abstenção: PS, IL</t>
        </is>
      </c>
      <c r="V2097" s="3" t="n">
        <v>45987</v>
      </c>
      <c r="W2097" s="2" t="inlineStr">
        <is>
          <t>AR: https://www.parlamento.pt/OrcamentoEstado/Paginas/DetalhePropostaAlteracao.aspx?BID=25238 PDF: https://app.parlamento.pt/webutils/docs/doc.pdf?path=6148523063484d364c793942556b356c6443397a6158526c63793959566b6c4a544556484c3039464c7a49774d6a59794d4449314d5441774f533951515339684e6a55345a475a6c4d43316a4e7a45324c54526c4d4451744f5755784f53316b4d6a67314e444d334e4759324d6a67756347526d&amp;Fich=a658dfe0-c716-4e04-9e19-d2854374f628.pdf&amp;Inline=true</t>
        </is>
      </c>
      <c r="X2097" s="2" t="inlineStr">
        <is>
          <t>Cultura, Comunicação, Juventude e Desporto</t>
        </is>
      </c>
      <c r="Y2097" s="2" t="inlineStr">
        <is>
          <t>Articulado</t>
        </is>
      </c>
      <c r="Z2097" s="2" t="inlineStr">
        <is>
          <t>Aditamento (Números e Alíneas)</t>
        </is>
      </c>
      <c r="AA2097" s="2" t="inlineStr">
        <is>
          <t>Rejeitado(a) em Comissão</t>
        </is>
      </c>
      <c r="AB2097" s="2" t="inlineStr"/>
      <c r="AC2097" s="2" t="inlineStr"/>
      <c r="AD2097" s="2" t="inlineStr">
        <is>
          <t>1</t>
        </is>
      </c>
      <c r="AE2097" s="2" t="inlineStr">
        <is>
          <t>25238</t>
        </is>
      </c>
      <c r="AF2097" s="2" t="inlineStr">
        <is>
          <t>https://www.parlamento.pt/OrcamentoEstado/Paginas/DetalhePropostaAlteracao.aspx?BID=25238</t>
        </is>
      </c>
      <c r="AG2097" s="2" t="inlineStr">
        <is>
          <t>https://app.parlamento.pt/webutils/docs/doc.pdf?path=6148523063484d364c793942556b356c6443397a6158526c63793959566b6c4a544556484c3039464c7a49774d6a59794d4449314d5441774f533951515339684e6a55345a475a6c4d43316a4e7a45324c54526c4d4451744f5755784f53316b4d6a67314e444d334e4759324d6a67756347526d&amp;Fich=a658dfe0-c716-4e04-9e19-d2854374f628.pdf&amp;Inline=true</t>
        </is>
      </c>
      <c r="AH2097" s="3" t="n">
        <v>46321.77847222222</v>
      </c>
      <c r="AI2097" s="3" t="n">
        <v>46321.78055555555</v>
      </c>
      <c r="AJ2097" s="2" t="inlineStr"/>
    </row>
    <row r="2098">
      <c r="A2098" s="2" t="n">
        <v>2097</v>
      </c>
      <c r="B2098" s="2" t="inlineStr">
        <is>
          <t>1986C</t>
        </is>
      </c>
      <c r="C2098" s="3" t="n">
        <v>45968.76388888889</v>
      </c>
      <c r="D2098" s="2" t="inlineStr">
        <is>
          <t>Original</t>
        </is>
      </c>
      <c r="E2098" s="2" t="inlineStr">
        <is>
          <t>PCP</t>
        </is>
      </c>
      <c r="F2098" s="2" t="inlineStr">
        <is>
          <t>Alfredo Maia; Paula Santos; Paulo Raimundo</t>
        </is>
      </c>
      <c r="G2098" s="2" t="inlineStr">
        <is>
          <t>Art. 67.º (aditamento)</t>
        </is>
      </c>
      <c r="H2098" s="2" t="n"/>
      <c r="I2098" s="2" t="n"/>
      <c r="J2098" s="2" t="n"/>
      <c r="K2098" s="2" t="n"/>
      <c r="L2098" s="2" t="inlineStr">
        <is>
          <t>Novo N.º 2, Artigo 54.º do Código do ISV</t>
        </is>
      </c>
      <c r="M2098" s="4" t="n"/>
      <c r="N2098" s="4" t="n"/>
      <c r="O2098" s="2" t="n"/>
      <c r="P2098" s="2" t="n"/>
      <c r="Q2098" s="2" t="n"/>
      <c r="R2098" s="2" t="n"/>
      <c r="S2098" s="2" t="inlineStr">
        <is>
          <t>Rejeitado(a) em Comissão</t>
        </is>
      </c>
      <c r="T2098" s="2" t="inlineStr">
        <is>
          <t>Rejeitada</t>
        </is>
      </c>
      <c r="U2098" s="2" t="inlineStr">
        <is>
          <t>Favor: CH, IL, L, PCP, BE, PAN; Contra: PSD, CDS-PP; Abstenção: PS</t>
        </is>
      </c>
      <c r="V2098" s="3" t="n">
        <v>45982</v>
      </c>
      <c r="W2098" s="2" t="inlineStr">
        <is>
          <t>AR: https://www.parlamento.pt/OrcamentoEstado/Paginas/DetalhePropostaAlteracao.aspx?BID=25239 PDF: https://app.parlamento.pt/webutils/docs/doc.pdf?path=6148523063484d364c793942556b356c6443397a6158526c63793959566b6c4a544556484c3039464c7a49774d6a59794d4449314d5441774f533951515339695a4468694d474d314e693077596a64694c545179597a4d74595749304e4331684d574d35595441344e6d5930595455756347526d&amp;Fich=bd8b0c56-0b7b-42c3-ab44-a1c9a086f4a5.pdf&amp;Inline=true</t>
        </is>
      </c>
      <c r="X2098" s="2" t="inlineStr">
        <is>
          <t>Cultura, Comunicação, Juventude e Desporto</t>
        </is>
      </c>
      <c r="Y2098" s="2" t="inlineStr">
        <is>
          <t>Articulado</t>
        </is>
      </c>
      <c r="Z2098" s="2" t="inlineStr">
        <is>
          <t>Aditamento (Números e Alíneas)</t>
        </is>
      </c>
      <c r="AA2098" s="2" t="inlineStr">
        <is>
          <t>Rejeitado(a) em Comissão</t>
        </is>
      </c>
      <c r="AB2098" s="2" t="inlineStr"/>
      <c r="AC2098" s="2" t="inlineStr"/>
      <c r="AD2098" s="2" t="inlineStr">
        <is>
          <t>1</t>
        </is>
      </c>
      <c r="AE2098" s="2" t="inlineStr">
        <is>
          <t>25239</t>
        </is>
      </c>
      <c r="AF2098" s="2" t="inlineStr">
        <is>
          <t>https://www.parlamento.pt/OrcamentoEstado/Paginas/DetalhePropostaAlteracao.aspx?BID=25239</t>
        </is>
      </c>
      <c r="AG2098" s="2" t="inlineStr">
        <is>
          <t>https://app.parlamento.pt/webutils/docs/doc.pdf?path=6148523063484d364c793942556b356c6443397a6158526c63793959566b6c4a544556484c3039464c7a49774d6a59794d4449314d5441774f533951515339695a4468694d474d314e693077596a64694c545179597a4d74595749304e4331684d574d35595441344e6d5930595455756347526d&amp;Fich=bd8b0c56-0b7b-42c3-ab44-a1c9a086f4a5.pdf&amp;Inline=true</t>
        </is>
      </c>
      <c r="AH2098" s="3" t="n">
        <v>46321.77847222222</v>
      </c>
      <c r="AI2098" s="3" t="n">
        <v>46321.78055555555</v>
      </c>
      <c r="AJ2098" s="2" t="inlineStr"/>
    </row>
    <row r="2099">
      <c r="A2099" s="2" t="n">
        <v>2098</v>
      </c>
      <c r="B2099" s="2" t="inlineStr">
        <is>
          <t>1987C</t>
        </is>
      </c>
      <c r="C2099" s="3" t="n">
        <v>45968.76458333333</v>
      </c>
      <c r="D2099" s="2" t="inlineStr">
        <is>
          <t>Original</t>
        </is>
      </c>
      <c r="E2099" s="2" t="inlineStr">
        <is>
          <t>PCP</t>
        </is>
      </c>
      <c r="F2099" s="2" t="inlineStr">
        <is>
          <t>Alfredo Maia; Paula Santos; Paulo Raimundo</t>
        </is>
      </c>
      <c r="G2099" s="2" t="inlineStr">
        <is>
          <t>Art. 63.º-A (aditamento)</t>
        </is>
      </c>
      <c r="H2099" s="2" t="n"/>
      <c r="I2099" s="2" t="n"/>
      <c r="J2099" s="2" t="n"/>
      <c r="K2099" s="2" t="n"/>
      <c r="L2099" s="2" t="inlineStr">
        <is>
          <t>Artigo 63.º-A (Alteração ao Código do Imposto sobre o Valor Acrescentado)</t>
        </is>
      </c>
      <c r="M2099" s="4" t="n"/>
      <c r="N2099" s="4" t="n"/>
      <c r="O2099" s="2" t="n"/>
      <c r="P2099" s="2" t="n"/>
      <c r="Q2099" s="2" t="n"/>
      <c r="R2099" s="2" t="n"/>
      <c r="S2099" s="2" t="inlineStr">
        <is>
          <t>Rejeitado(a) em Comissão</t>
        </is>
      </c>
      <c r="T2099" s="2" t="inlineStr">
        <is>
          <t>Rejeitada</t>
        </is>
      </c>
      <c r="U2099" s="2" t="inlineStr">
        <is>
          <t>Favor: CH, IL, L, PCP, BE, PAN; Contra: PSD, CDS-PP; Abstenção: PS</t>
        </is>
      </c>
      <c r="V2099" s="3" t="n">
        <v>45982</v>
      </c>
      <c r="W2099" s="2" t="inlineStr">
        <is>
          <t>AR: https://www.parlamento.pt/OrcamentoEstado/Paginas/DetalhePropostaAlteracao.aspx?BID=25240 PDF: https://app.parlamento.pt/webutils/docs/doc.pdf?path=6148523063484d364c793942556b356c6443397a6158526c63793959566b6c4a544556484c3039464c7a49774d6a59794d4449314d5441774f533951515339684e574e6b597a6c6a5a6931694d47457a4c54526a4f5755744f546b774e6930354d446c6b4e7a46694f4442694d4441756347526d&amp;Fich=a5cdc9cf-b0a3-4c9e-9906-909d71b80b00.pdf&amp;Inline=true</t>
        </is>
      </c>
      <c r="X2099" s="2" t="inlineStr">
        <is>
          <t>Cultura, Comunicação, Juventude e Desporto</t>
        </is>
      </c>
      <c r="Y2099" s="2" t="inlineStr">
        <is>
          <t>Articulado</t>
        </is>
      </c>
      <c r="Z2099" s="2" t="inlineStr">
        <is>
          <t>Aditamento (Artigo PPL)</t>
        </is>
      </c>
      <c r="AA2099" s="2" t="inlineStr">
        <is>
          <t>Rejeitado(a) em Comissão</t>
        </is>
      </c>
      <c r="AB2099" s="2" t="inlineStr"/>
      <c r="AC2099" s="2" t="inlineStr"/>
      <c r="AD2099" s="2" t="inlineStr">
        <is>
          <t>1</t>
        </is>
      </c>
      <c r="AE2099" s="2" t="inlineStr">
        <is>
          <t>25240</t>
        </is>
      </c>
      <c r="AF2099" s="2" t="inlineStr">
        <is>
          <t>https://www.parlamento.pt/OrcamentoEstado/Paginas/DetalhePropostaAlteracao.aspx?BID=25240</t>
        </is>
      </c>
      <c r="AG2099" s="2" t="inlineStr">
        <is>
          <t>https://app.parlamento.pt/webutils/docs/doc.pdf?path=6148523063484d364c793942556b356c6443397a6158526c63793959566b6c4a544556484c3039464c7a49774d6a59794d4449314d5441774f533951515339684e574e6b597a6c6a5a6931694d47457a4c54526a4f5755744f546b774e6930354d446c6b4e7a46694f4442694d4441756347526d&amp;Fich=a5cdc9cf-b0a3-4c9e-9906-909d71b80b00.pdf&amp;Inline=true</t>
        </is>
      </c>
      <c r="AH2099" s="3" t="n">
        <v>46321.77847222222</v>
      </c>
      <c r="AI2099" s="3" t="n">
        <v>46321.78055555555</v>
      </c>
      <c r="AJ2099" s="2" t="inlineStr"/>
    </row>
    <row r="2100">
      <c r="A2100" s="2" t="n">
        <v>2099</v>
      </c>
      <c r="B2100" s="2" t="inlineStr">
        <is>
          <t>1988C</t>
        </is>
      </c>
      <c r="C2100" s="3" t="n">
        <v>45968.76527777778</v>
      </c>
      <c r="D2100" s="2" t="inlineStr">
        <is>
          <t>Original</t>
        </is>
      </c>
      <c r="E2100" s="2" t="inlineStr">
        <is>
          <t>PCP</t>
        </is>
      </c>
      <c r="F2100" s="2" t="inlineStr">
        <is>
          <t>Alfredo Maia; Paula Santos; Paulo Raimundo</t>
        </is>
      </c>
      <c r="G2100" s="2" t="inlineStr">
        <is>
          <t>Art. 7.º (aditamento)</t>
        </is>
      </c>
      <c r="H2100" s="2" t="n"/>
      <c r="I2100" s="2" t="n"/>
      <c r="J2100" s="2" t="n"/>
      <c r="K2100" s="2" t="n"/>
      <c r="L2100" s="2" t="inlineStr">
        <is>
          <t>Nova Verba 14, Mapa de alterações e transferências orçamentais, Artigo 7.º</t>
        </is>
      </c>
      <c r="M2100" s="4" t="n"/>
      <c r="N2100" s="4" t="n"/>
      <c r="O2100" s="2" t="n"/>
      <c r="P2100" s="2" t="n"/>
      <c r="Q2100" s="2" t="n"/>
      <c r="R2100" s="2" t="n"/>
      <c r="S2100" s="2" t="inlineStr">
        <is>
          <t>Rejeitado(a) em Comissão</t>
        </is>
      </c>
      <c r="T2100" s="2" t="inlineStr">
        <is>
          <t>Rejeitada</t>
        </is>
      </c>
      <c r="U2100" s="2" t="inlineStr">
        <is>
          <t>Favor: L, PCP, BE, PAN; Contra: PSD, CDS-PP; Abstenção: CH, PS, IL</t>
        </is>
      </c>
      <c r="V2100" s="3" t="n">
        <v>45987</v>
      </c>
      <c r="W2100" s="2" t="inlineStr">
        <is>
          <t>AR: https://www.parlamento.pt/OrcamentoEstado/Paginas/DetalhePropostaAlteracao.aspx?BID=25241 PDF: https://app.parlamento.pt/webutils/docs/doc.pdf?path=6148523063484d364c793942556b356c6443397a6158526c63793959566b6c4a544556484c3039464c7a49774d6a59794d4449314d5441774f533951515338795a544d78597a637a59533030597a6b354c5452694f5759744f4467355a6930324f5452684e57526a4f475a6b4f4759756347526d&amp;Fich=2e31c73a-4c99-4b9f-889f-694a5dc8fd8f.pdf&amp;Inline=true</t>
        </is>
      </c>
      <c r="X2100" s="2" t="inlineStr">
        <is>
          <t>Cultura, Comunicação, Juventude e Desporto</t>
        </is>
      </c>
      <c r="Y2100" s="2" t="inlineStr">
        <is>
          <t>Articulado</t>
        </is>
      </c>
      <c r="Z2100" s="2" t="inlineStr">
        <is>
          <t>Aditamento (Números e Alíneas)</t>
        </is>
      </c>
      <c r="AA2100" s="2" t="inlineStr">
        <is>
          <t>Rejeitado(a) em Comissão</t>
        </is>
      </c>
      <c r="AB2100" s="2" t="inlineStr"/>
      <c r="AC2100" s="2" t="inlineStr"/>
      <c r="AD2100" s="2" t="inlineStr">
        <is>
          <t>1</t>
        </is>
      </c>
      <c r="AE2100" s="2" t="inlineStr">
        <is>
          <t>25241</t>
        </is>
      </c>
      <c r="AF2100" s="2" t="inlineStr">
        <is>
          <t>https://www.parlamento.pt/OrcamentoEstado/Paginas/DetalhePropostaAlteracao.aspx?BID=25241</t>
        </is>
      </c>
      <c r="AG2100" s="2" t="inlineStr">
        <is>
          <t>https://app.parlamento.pt/webutils/docs/doc.pdf?path=6148523063484d364c793942556b356c6443397a6158526c63793959566b6c4a544556484c3039464c7a49774d6a59794d4449314d5441774f533951515338795a544d78597a637a59533030597a6b354c5452694f5759744f4467355a6930324f5452684e57526a4f475a6b4f4759756347526d&amp;Fich=2e31c73a-4c99-4b9f-889f-694a5dc8fd8f.pdf&amp;Inline=true</t>
        </is>
      </c>
      <c r="AH2100" s="3" t="n">
        <v>46321.77847222222</v>
      </c>
      <c r="AI2100" s="3" t="n">
        <v>46321.78055555555</v>
      </c>
      <c r="AJ2100" s="2" t="inlineStr"/>
    </row>
    <row r="2101">
      <c r="A2101" s="2" t="n">
        <v>2100</v>
      </c>
      <c r="B2101" s="2" t="inlineStr">
        <is>
          <t>1989C</t>
        </is>
      </c>
      <c r="C2101" s="3" t="n">
        <v>45968.76597222222</v>
      </c>
      <c r="D2101" s="2" t="inlineStr">
        <is>
          <t>Original</t>
        </is>
      </c>
      <c r="E2101" s="2" t="inlineStr">
        <is>
          <t>L</t>
        </is>
      </c>
      <c r="F2101" s="2" t="inlineStr">
        <is>
          <t>Filipa Pinto; Isabel Mendes Lopes; Jorge Pinto; Patrícia Gonçalves; Paulo Muacho; Rui Tavares</t>
        </is>
      </c>
      <c r="G2101" s="2" t="inlineStr">
        <is>
          <t>Art. 21.º (substituição)</t>
        </is>
      </c>
      <c r="H2101" s="2" t="n"/>
      <c r="I2101" s="2" t="n"/>
      <c r="J2101" s="2" t="n"/>
      <c r="K2101" s="2" t="n"/>
      <c r="L2101" s="2" t="inlineStr">
        <is>
          <t>N.º 1, Artigo 21.º</t>
        </is>
      </c>
      <c r="M2101" s="4" t="n"/>
      <c r="N2101" s="4" t="n"/>
      <c r="O2101" s="2" t="n"/>
      <c r="P2101" s="2" t="n"/>
      <c r="Q2101" s="2" t="n"/>
      <c r="R2101" s="2" t="n"/>
      <c r="S2101" s="2" t="inlineStr">
        <is>
          <t>Rejeitado(a) em Comissão</t>
        </is>
      </c>
      <c r="T2101" s="2" t="inlineStr">
        <is>
          <t>Rejeitada</t>
        </is>
      </c>
      <c r="U2101" s="2" t="inlineStr">
        <is>
          <t>Favor: L, BE, PAN; Contra: PSD, IL, CDS-PP; Abstenção: CH, PS</t>
        </is>
      </c>
      <c r="V2101" s="3" t="n">
        <v>45981</v>
      </c>
      <c r="W2101" s="2" t="inlineStr">
        <is>
          <t>AR: https://www.parlamento.pt/OrcamentoEstado/Paginas/DetalhePropostaAlteracao.aspx?BID=25242 PDF: https://app.parlamento.pt/webutils/docs/doc.pdf?path=6148523063484d364c793942556b356c6443397a6158526c63793959566b6c4a544556484c3039464c7a49774d6a59794d4449314d5441774f533951515338774d32566b4e57597a59693077596a59314c545269596d51744f44566d4e53316b595459304d474e6a5a4449794d5441756347526d&amp;Fich=03ed5f3b-0b65-4bbd-85f5-da640ccd2210.pdf&amp;Inline=true</t>
        </is>
      </c>
      <c r="X2101" s="2" t="inlineStr">
        <is>
          <t>Orçamento, Finanças e Administração Pública</t>
        </is>
      </c>
      <c r="Y2101" s="2" t="inlineStr">
        <is>
          <t>Articulado</t>
        </is>
      </c>
      <c r="Z2101" s="2" t="inlineStr">
        <is>
          <t>Substituição</t>
        </is>
      </c>
      <c r="AA2101" s="2" t="inlineStr">
        <is>
          <t>Rejeitado(a) em Comissão</t>
        </is>
      </c>
      <c r="AB2101" s="2" t="inlineStr"/>
      <c r="AC2101" s="2" t="inlineStr"/>
      <c r="AD2101" s="2" t="inlineStr">
        <is>
          <t>1</t>
        </is>
      </c>
      <c r="AE2101" s="2" t="inlineStr">
        <is>
          <t>25242</t>
        </is>
      </c>
      <c r="AF2101" s="2" t="inlineStr">
        <is>
          <t>https://www.parlamento.pt/OrcamentoEstado/Paginas/DetalhePropostaAlteracao.aspx?BID=25242</t>
        </is>
      </c>
      <c r="AG2101" s="2" t="inlineStr">
        <is>
          <t>https://app.parlamento.pt/webutils/docs/doc.pdf?path=6148523063484d364c793942556b356c6443397a6158526c63793959566b6c4a544556484c3039464c7a49774d6a59794d4449314d5441774f533951515338774d32566b4e57597a59693077596a59314c545269596d51744f44566d4e53316b595459304d474e6a5a4449794d5441756347526d&amp;Fich=03ed5f3b-0b65-4bbd-85f5-da640ccd2210.pdf&amp;Inline=true</t>
        </is>
      </c>
      <c r="AH2101" s="3" t="n">
        <v>46321.77847222222</v>
      </c>
      <c r="AI2101" s="3" t="n">
        <v>46321.78055555555</v>
      </c>
      <c r="AJ2101" s="2" t="inlineStr"/>
    </row>
    <row r="2102">
      <c r="A2102" s="2" t="n">
        <v>2101</v>
      </c>
      <c r="B2102" s="2" t="inlineStr">
        <is>
          <t>1990C</t>
        </is>
      </c>
      <c r="C2102" s="3" t="n">
        <v>45968.76597222222</v>
      </c>
      <c r="D2102" s="2" t="inlineStr">
        <is>
          <t>Original</t>
        </is>
      </c>
      <c r="E2102" s="2" t="inlineStr">
        <is>
          <t>PCP</t>
        </is>
      </c>
      <c r="F2102" s="2" t="inlineStr">
        <is>
          <t>Alfredo Maia; Paula Santos; Paulo Raimundo</t>
        </is>
      </c>
      <c r="G2102" s="2" t="inlineStr">
        <is>
          <t>Art. 118.º-A (aditamento)</t>
        </is>
      </c>
      <c r="H2102" s="2" t="n"/>
      <c r="I2102" s="2" t="n"/>
      <c r="J2102" s="2" t="n"/>
      <c r="K2102" s="2" t="n"/>
      <c r="L2102" s="2" t="inlineStr">
        <is>
          <t>Artigo 118.º-A (Plano nacional para a formação de treinadores)</t>
        </is>
      </c>
      <c r="M2102" s="4" t="n"/>
      <c r="N2102" s="4" t="n"/>
      <c r="O2102" s="2" t="n"/>
      <c r="P2102" s="2" t="n"/>
      <c r="Q2102" s="2" t="n"/>
      <c r="R2102" s="2" t="n"/>
      <c r="S2102" s="2" t="inlineStr">
        <is>
          <t>Rejeitado(a) em Comissão</t>
        </is>
      </c>
      <c r="T2102" s="2" t="inlineStr">
        <is>
          <t>Rejeitada</t>
        </is>
      </c>
      <c r="U2102" s="2" t="inlineStr">
        <is>
          <t>Favor: L, PCP, BE; Contra: PSD, IL, CDS-PP; Abstenção: CH, PS, PAN</t>
        </is>
      </c>
      <c r="V2102" s="3" t="n">
        <v>45985</v>
      </c>
      <c r="W2102" s="2" t="inlineStr">
        <is>
          <t>AR: https://www.parlamento.pt/OrcamentoEstado/Paginas/DetalhePropostaAlteracao.aspx?BID=25243 PDF: https://app.parlamento.pt/webutils/docs/doc.pdf?path=6148523063484d364c793942556b356c6443397a6158526c63793959566b6c4a544556484c3039464c7a49774d6a59794d4449314d5441774f533951515338784d57526a4e5441795a69316a597a63304c5451794f444174596a41335a4330325a6d5a6c5a5759345a6a4e6b4e4745756347526d&amp;Fich=11dc502f-cc74-4280-b07d-6ffeef8f3d4a.pdf&amp;Inline=true</t>
        </is>
      </c>
      <c r="X2102" s="2" t="inlineStr">
        <is>
          <t>Cultura, Comunicação, Juventude e Desporto</t>
        </is>
      </c>
      <c r="Y2102" s="2" t="inlineStr">
        <is>
          <t>Articulado</t>
        </is>
      </c>
      <c r="Z2102" s="2" t="inlineStr">
        <is>
          <t>Aditamento (Artigo PPL)</t>
        </is>
      </c>
      <c r="AA2102" s="2" t="inlineStr">
        <is>
          <t>Rejeitado(a) em Comissão</t>
        </is>
      </c>
      <c r="AB2102" s="2" t="inlineStr"/>
      <c r="AC2102" s="2" t="inlineStr"/>
      <c r="AD2102" s="2" t="inlineStr">
        <is>
          <t>1</t>
        </is>
      </c>
      <c r="AE2102" s="2" t="inlineStr">
        <is>
          <t>25243</t>
        </is>
      </c>
      <c r="AF2102" s="2" t="inlineStr">
        <is>
          <t>https://www.parlamento.pt/OrcamentoEstado/Paginas/DetalhePropostaAlteracao.aspx?BID=25243</t>
        </is>
      </c>
      <c r="AG2102" s="2" t="inlineStr">
        <is>
          <t>https://app.parlamento.pt/webutils/docs/doc.pdf?path=6148523063484d364c793942556b356c6443397a6158526c63793959566b6c4a544556484c3039464c7a49774d6a59794d4449314d5441774f533951515338784d57526a4e5441795a69316a597a63304c5451794f444174596a41335a4330325a6d5a6c5a5759345a6a4e6b4e4745756347526d&amp;Fich=11dc502f-cc74-4280-b07d-6ffeef8f3d4a.pdf&amp;Inline=true</t>
        </is>
      </c>
      <c r="AH2102" s="3" t="n">
        <v>46321.77847222222</v>
      </c>
      <c r="AI2102" s="3" t="n">
        <v>46321.78055555555</v>
      </c>
      <c r="AJ2102" s="2" t="inlineStr"/>
    </row>
    <row r="2103">
      <c r="A2103" s="2" t="n">
        <v>2102</v>
      </c>
      <c r="B2103" s="2" t="inlineStr">
        <is>
          <t>1991C</t>
        </is>
      </c>
      <c r="C2103" s="3" t="n">
        <v>45968.76666666667</v>
      </c>
      <c r="D2103" s="2" t="inlineStr">
        <is>
          <t>Original</t>
        </is>
      </c>
      <c r="E2103" s="2" t="inlineStr">
        <is>
          <t>PCP</t>
        </is>
      </c>
      <c r="F2103" s="2" t="inlineStr">
        <is>
          <t>Alfredo Maia; Paula Santos; Paulo Raimundo</t>
        </is>
      </c>
      <c r="G2103" s="2" t="inlineStr">
        <is>
          <t>Art. 7.º (aditamento)</t>
        </is>
      </c>
      <c r="H2103" s="2" t="n"/>
      <c r="I2103" s="2" t="n"/>
      <c r="J2103" s="2" t="n"/>
      <c r="K2103" s="2" t="n"/>
      <c r="L2103" s="2" t="inlineStr">
        <is>
          <t>Nova Verba 14, Mapa de alterações e transferências orçamentais, Artigo 7.º</t>
        </is>
      </c>
      <c r="M2103" s="4" t="n"/>
      <c r="N2103" s="4" t="n"/>
      <c r="O2103" s="2" t="n"/>
      <c r="P2103" s="2" t="n"/>
      <c r="Q2103" s="2" t="n"/>
      <c r="R2103" s="2" t="n"/>
      <c r="S2103" s="2" t="inlineStr">
        <is>
          <t>Rejeitado(a) em Comissão</t>
        </is>
      </c>
      <c r="T2103" s="2" t="inlineStr">
        <is>
          <t>Rejeitada</t>
        </is>
      </c>
      <c r="U2103" s="2" t="inlineStr">
        <is>
          <t>Favor: L, PCP, BE, PAN; Contra: PSD, CDS-PP; Abstenção: CH, PS, IL</t>
        </is>
      </c>
      <c r="V2103" s="3" t="n">
        <v>45987</v>
      </c>
      <c r="W2103" s="2" t="inlineStr">
        <is>
          <t>AR: https://www.parlamento.pt/OrcamentoEstado/Paginas/DetalhePropostaAlteracao.aspx?BID=25244 PDF: https://app.parlamento.pt/webutils/docs/doc.pdf?path=6148523063484d364c793942556b356c6443397a6158526c63793959566b6c4a544556484c3039464c7a49774d6a59794d4449314d5441774f5339515153396d4d5451774e445a684d7930304e5751344c54526a596d49744f446b314d5330334d4459314f5451334d6a526b5a4463756347526d&amp;Fich=f14046a3-45d8-4cbb-8951-706594724dd7.pdf&amp;Inline=true</t>
        </is>
      </c>
      <c r="X2103" s="2" t="inlineStr">
        <is>
          <t>Cultura, Comunicação, Juventude e Desporto</t>
        </is>
      </c>
      <c r="Y2103" s="2" t="inlineStr">
        <is>
          <t>Articulado</t>
        </is>
      </c>
      <c r="Z2103" s="2" t="inlineStr">
        <is>
          <t>Aditamento (Números e Alíneas)</t>
        </is>
      </c>
      <c r="AA2103" s="2" t="inlineStr">
        <is>
          <t>Rejeitado(a) em Comissão</t>
        </is>
      </c>
      <c r="AB2103" s="2" t="inlineStr"/>
      <c r="AC2103" s="2" t="inlineStr"/>
      <c r="AD2103" s="2" t="inlineStr">
        <is>
          <t>1</t>
        </is>
      </c>
      <c r="AE2103" s="2" t="inlineStr">
        <is>
          <t>25244</t>
        </is>
      </c>
      <c r="AF2103" s="2" t="inlineStr">
        <is>
          <t>https://www.parlamento.pt/OrcamentoEstado/Paginas/DetalhePropostaAlteracao.aspx?BID=25244</t>
        </is>
      </c>
      <c r="AG2103" s="2" t="inlineStr">
        <is>
          <t>https://app.parlamento.pt/webutils/docs/doc.pdf?path=6148523063484d364c793942556b356c6443397a6158526c63793959566b6c4a544556484c3039464c7a49774d6a59794d4449314d5441774f5339515153396d4d5451774e445a684d7930304e5751344c54526a596d49744f446b314d5330334d4459314f5451334d6a526b5a4463756347526d&amp;Fich=f14046a3-45d8-4cbb-8951-706594724dd7.pdf&amp;Inline=true</t>
        </is>
      </c>
      <c r="AH2103" s="3" t="n">
        <v>46321.77847222222</v>
      </c>
      <c r="AI2103" s="3" t="n">
        <v>46321.78055555555</v>
      </c>
      <c r="AJ2103" s="2" t="inlineStr"/>
    </row>
    <row r="2104">
      <c r="A2104" s="2" t="n">
        <v>2103</v>
      </c>
      <c r="B2104" s="2" t="inlineStr">
        <is>
          <t>1992C-1</t>
        </is>
      </c>
      <c r="C2104" s="3" t="n">
        <v>45968.76666666667</v>
      </c>
      <c r="D2104" s="2" t="inlineStr">
        <is>
          <t>Original</t>
        </is>
      </c>
      <c r="E2104" s="2" t="inlineStr">
        <is>
          <t>L</t>
        </is>
      </c>
      <c r="F2104" s="2" t="inlineStr">
        <is>
          <t>Filipa Pinto; Isabel Mendes Lopes; Jorge Pinto; Patrícia Gonçalves; Paulo Muacho; Rui Tavares</t>
        </is>
      </c>
      <c r="G2104" s="2" t="inlineStr">
        <is>
          <t>Art. 108.º (substituição)</t>
        </is>
      </c>
      <c r="H2104" s="2" t="n"/>
      <c r="I2104" s="2" t="n"/>
      <c r="J2104" s="2" t="n"/>
      <c r="K2104" s="2" t="n"/>
      <c r="L2104" s="2" t="inlineStr">
        <is>
          <t>Alínea a), Subalínea i), Corpo, Alínea c), Corpo, Alínea e), Corpo, N.º 1, Artigo 108.º</t>
        </is>
      </c>
      <c r="M2104" s="4" t="n"/>
      <c r="N2104" s="4" t="n"/>
      <c r="O2104" s="2" t="n"/>
      <c r="P2104" s="2" t="n"/>
      <c r="Q2104" s="2" t="n"/>
      <c r="R2104" s="2" t="n"/>
      <c r="S2104" s="2" t="inlineStr">
        <is>
          <t>Rejeitado(a) em Comissão</t>
        </is>
      </c>
      <c r="T2104" s="2" t="inlineStr">
        <is>
          <t>Rejeitada</t>
        </is>
      </c>
      <c r="U2104" s="2" t="inlineStr">
        <is>
          <t>Favor: CH, L, BE, PAN; Contra: PSD, CDS-PP; Abstenção: PS, IL, PCP</t>
        </is>
      </c>
      <c r="V2104" s="3" t="n">
        <v>45982</v>
      </c>
      <c r="W2104" s="2" t="inlineStr">
        <is>
          <t>AR: https://www.parlamento.pt/OrcamentoEstado/Paginas/DetalhePropostaAlteracao.aspx?BID=25245 PDF: https://app.parlamento.pt/webutils/docs/doc.pdf?path=6148523063484d364c793942556b356c6443397a6158526c63793959566b6c4a544556484c3039464c7a49774d6a59794d4449314d5441774f53395151533834596d597959546b354d43316a4d6a41334c5451774d5449744f544e684e69316a4d544933596d51324d6a5a6b596a4d756347526d&amp;Fich=8bf2a990-c207-4012-93a6-c127bd626db3.pdf&amp;Inline=true</t>
        </is>
      </c>
      <c r="X2104" s="2" t="inlineStr">
        <is>
          <t>Agricultura e Pescas</t>
        </is>
      </c>
      <c r="Y2104" s="2" t="inlineStr">
        <is>
          <t>Articulado</t>
        </is>
      </c>
      <c r="Z2104" s="2" t="inlineStr">
        <is>
          <t>Substituição</t>
        </is>
      </c>
      <c r="AA2104" s="2" t="inlineStr">
        <is>
          <t>Rejeitado(a) em Comissão</t>
        </is>
      </c>
      <c r="AB2104" s="2" t="inlineStr"/>
      <c r="AC2104" s="2" t="inlineStr">
        <is>
          <t>1</t>
        </is>
      </c>
      <c r="AD2104" s="2" t="inlineStr">
        <is>
          <t>3</t>
        </is>
      </c>
      <c r="AE2104" s="2" t="inlineStr">
        <is>
          <t>25245</t>
        </is>
      </c>
      <c r="AF2104" s="2" t="inlineStr">
        <is>
          <t>https://www.parlamento.pt/OrcamentoEstado/Paginas/DetalhePropostaAlteracao.aspx?BID=25245</t>
        </is>
      </c>
      <c r="AG2104" s="2" t="inlineStr">
        <is>
          <t>https://app.parlamento.pt/webutils/docs/doc.pdf?path=6148523063484d364c793942556b356c6443397a6158526c63793959566b6c4a544556484c3039464c7a49774d6a59794d4449314d5441774f53395151533834596d597959546b354d43316a4d6a41334c5451774d5449744f544e684e69316a4d544933596d51324d6a5a6b596a4d756347526d&amp;Fich=8bf2a990-c207-4012-93a6-c127bd626db3.pdf&amp;Inline=true</t>
        </is>
      </c>
      <c r="AH2104" s="3" t="n">
        <v>46321.77847222222</v>
      </c>
      <c r="AI2104" s="3" t="n">
        <v>46321.78055555555</v>
      </c>
      <c r="AJ2104" s="2" t="inlineStr"/>
    </row>
    <row r="2105">
      <c r="A2105" s="2" t="n">
        <v>2104</v>
      </c>
      <c r="B2105" s="2" t="inlineStr">
        <is>
          <t>1992C-2</t>
        </is>
      </c>
      <c r="C2105" s="3" t="n">
        <v>45968.76666666667</v>
      </c>
      <c r="D2105" s="2" t="inlineStr">
        <is>
          <t>Original</t>
        </is>
      </c>
      <c r="E2105" s="2" t="inlineStr">
        <is>
          <t>L</t>
        </is>
      </c>
      <c r="F2105" s="2" t="inlineStr">
        <is>
          <t>Filipa Pinto; Isabel Mendes Lopes; Jorge Pinto; Patrícia Gonçalves; Paulo Muacho; Rui Tavares</t>
        </is>
      </c>
      <c r="G2105" s="2" t="inlineStr">
        <is>
          <t>Art. 108.º (eliminação)</t>
        </is>
      </c>
      <c r="H2105" s="2" t="n"/>
      <c r="I2105" s="2" t="n"/>
      <c r="J2105" s="2" t="n"/>
      <c r="K2105" s="2" t="n"/>
      <c r="L2105" s="2" t="inlineStr">
        <is>
          <t>Subalínea iii), Alínea e), N.º 1, Artigo 108.º</t>
        </is>
      </c>
      <c r="M2105" s="4" t="n"/>
      <c r="N2105" s="4" t="n"/>
      <c r="O2105" s="2" t="n"/>
      <c r="P2105" s="2" t="n"/>
      <c r="Q2105" s="2" t="n"/>
      <c r="R2105" s="2" t="n"/>
      <c r="S2105" s="2" t="inlineStr">
        <is>
          <t>Rejeitado(a) em Comissão</t>
        </is>
      </c>
      <c r="T2105" s="2" t="inlineStr">
        <is>
          <t>Rejeitada</t>
        </is>
      </c>
      <c r="U2105" s="2" t="inlineStr">
        <is>
          <t>Favor: L, BE, PAN; Contra: PSD, CH, CDS-PP; Abstenção: PS, IL, PCP</t>
        </is>
      </c>
      <c r="V2105" s="3" t="n">
        <v>45982</v>
      </c>
      <c r="W2105" s="2" t="inlineStr">
        <is>
          <t>AR: https://www.parlamento.pt/OrcamentoEstado/Paginas/DetalhePropostaAlteracao.aspx?BID=25357 PDF: https://app.parlamento.pt/webutils/docs/doc.pdf?path=6148523063484d364c793942556b356c6443397a6158526c63793959566b6c4a544556484c3039464c7a49774d6a59794d4449314d5441774f533951515339684e4467304f545535597930794e5459784c5451794d4463744f4755785a4330784e6a67324e7a5268595749334d4441756347526d&amp;Fich=a484959c-2561-4207-8e1d-168674aab700.pdf&amp;Inline=true</t>
        </is>
      </c>
      <c r="X2105" s="2" t="inlineStr">
        <is>
          <t>Agricultura e Pescas</t>
        </is>
      </c>
      <c r="Y2105" s="2" t="inlineStr">
        <is>
          <t>Articulado</t>
        </is>
      </c>
      <c r="Z2105" s="2" t="inlineStr">
        <is>
          <t>Eliminação</t>
        </is>
      </c>
      <c r="AA2105" s="2" t="inlineStr">
        <is>
          <t>Rejeitado(a) em Comissão</t>
        </is>
      </c>
      <c r="AB2105" s="2" t="inlineStr"/>
      <c r="AC2105" s="2" t="inlineStr">
        <is>
          <t>2</t>
        </is>
      </c>
      <c r="AD2105" s="2" t="inlineStr">
        <is>
          <t>1</t>
        </is>
      </c>
      <c r="AE2105" s="2" t="inlineStr">
        <is>
          <t>25357</t>
        </is>
      </c>
      <c r="AF2105" s="2" t="inlineStr">
        <is>
          <t>https://www.parlamento.pt/OrcamentoEstado/Paginas/DetalhePropostaAlteracao.aspx?BID=25357</t>
        </is>
      </c>
      <c r="AG2105" s="2" t="inlineStr">
        <is>
          <t>https://app.parlamento.pt/webutils/docs/doc.pdf?path=6148523063484d364c793942556b356c6443397a6158526c63793959566b6c4a544556484c3039464c7a49774d6a59794d4449314d5441774f533951515339684e4467304f545535597930794e5459784c5451794d4463744f4755785a4330784e6a67324e7a5268595749334d4441756347526d&amp;Fich=a484959c-2561-4207-8e1d-168674aab700.pdf&amp;Inline=true</t>
        </is>
      </c>
      <c r="AH2105" s="3" t="n">
        <v>46321.77847222222</v>
      </c>
      <c r="AI2105" s="3" t="n">
        <v>46321.78055555555</v>
      </c>
      <c r="AJ2105" s="2" t="inlineStr"/>
    </row>
    <row r="2106">
      <c r="A2106" s="2" t="n">
        <v>2105</v>
      </c>
      <c r="B2106" s="2" t="inlineStr">
        <is>
          <t>1992C-3</t>
        </is>
      </c>
      <c r="C2106" s="3" t="n">
        <v>45968.76666666667</v>
      </c>
      <c r="D2106" s="2" t="inlineStr">
        <is>
          <t>Original</t>
        </is>
      </c>
      <c r="E2106" s="2" t="inlineStr">
        <is>
          <t>L</t>
        </is>
      </c>
      <c r="F2106" s="2" t="inlineStr">
        <is>
          <t>Filipa Pinto; Isabel Mendes Lopes; Jorge Pinto; Patrícia Gonçalves; Paulo Muacho; Rui Tavares</t>
        </is>
      </c>
      <c r="G2106" s="2" t="inlineStr">
        <is>
          <t>Art. 108.º (aditamento)</t>
        </is>
      </c>
      <c r="H2106" s="2" t="n"/>
      <c r="I2106" s="2" t="n"/>
      <c r="J2106" s="2" t="n"/>
      <c r="K2106" s="2" t="n"/>
      <c r="L2106" s="2" t="inlineStr">
        <is>
          <t>Nova Alínea e), N.º 1, N.º 5, Artigo 108.º</t>
        </is>
      </c>
      <c r="M2106" s="4" t="n"/>
      <c r="N2106" s="4" t="n"/>
      <c r="O2106" s="2" t="n"/>
      <c r="P2106" s="2" t="n"/>
      <c r="Q2106" s="2" t="n"/>
      <c r="R2106" s="2" t="n"/>
      <c r="S2106" s="2" t="inlineStr">
        <is>
          <t>Rejeitado(a) em Comissão</t>
        </is>
      </c>
      <c r="T2106" s="2" t="inlineStr">
        <is>
          <t>Rejeitada</t>
        </is>
      </c>
      <c r="U2106" s="2" t="inlineStr">
        <is>
          <t>Favor: L, BE, PAN; Contra: PSD, IL, CDS-PP; Abstenção: CH, PS, PCP</t>
        </is>
      </c>
      <c r="V2106" s="3" t="n">
        <v>45982</v>
      </c>
      <c r="W2106" s="2" t="inlineStr">
        <is>
          <t>AR: https://www.parlamento.pt/OrcamentoEstado/Paginas/DetalhePropostaAlteracao.aspx?BID=25358 PDF: https://app.parlamento.pt/webutils/docs/doc.pdf?path=6148523063484d364c793942556b356c6443397a6158526c63793959566b6c4a544556484c3039464c7a49774d6a59794d4449314d5441774f533951515338334e7a67324d7a51784e43316a4e6a4d774c5451324e6a41744f47466b4f5330315932497a4e5755774f474a6b4d6a41756347526d&amp;Fich=77863414-c630-4660-8ad9-5cb35e08bd20.pdf&amp;Inline=true</t>
        </is>
      </c>
      <c r="X2106" s="2" t="inlineStr">
        <is>
          <t>Agricultura e Pescas</t>
        </is>
      </c>
      <c r="Y2106" s="2" t="inlineStr">
        <is>
          <t>Articulado</t>
        </is>
      </c>
      <c r="Z2106" s="2" t="inlineStr">
        <is>
          <t>Aditamento (Números e Alíneas)</t>
        </is>
      </c>
      <c r="AA2106" s="2" t="inlineStr">
        <is>
          <t>Rejeitado(a) em Comissão</t>
        </is>
      </c>
      <c r="AB2106" s="2" t="inlineStr"/>
      <c r="AC2106" s="2" t="inlineStr">
        <is>
          <t>3</t>
        </is>
      </c>
      <c r="AD2106" s="2" t="inlineStr">
        <is>
          <t>2</t>
        </is>
      </c>
      <c r="AE2106" s="2" t="inlineStr">
        <is>
          <t>25358</t>
        </is>
      </c>
      <c r="AF2106" s="2" t="inlineStr">
        <is>
          <t>https://www.parlamento.pt/OrcamentoEstado/Paginas/DetalhePropostaAlteracao.aspx?BID=25358</t>
        </is>
      </c>
      <c r="AG2106" s="2" t="inlineStr">
        <is>
          <t>https://app.parlamento.pt/webutils/docs/doc.pdf?path=6148523063484d364c793942556b356c6443397a6158526c63793959566b6c4a544556484c3039464c7a49774d6a59794d4449314d5441774f533951515338334e7a67324d7a51784e43316a4e6a4d774c5451324e6a41744f47466b4f5330315932497a4e5755774f474a6b4d6a41756347526d&amp;Fich=77863414-c630-4660-8ad9-5cb35e08bd20.pdf&amp;Inline=true</t>
        </is>
      </c>
      <c r="AH2106" s="3" t="n">
        <v>46321.77847222222</v>
      </c>
      <c r="AI2106" s="3" t="n">
        <v>46321.78055555555</v>
      </c>
      <c r="AJ2106" s="2" t="inlineStr"/>
    </row>
    <row r="2107">
      <c r="A2107" s="2" t="n">
        <v>2106</v>
      </c>
      <c r="B2107" s="2" t="inlineStr">
        <is>
          <t>1993C</t>
        </is>
      </c>
      <c r="C2107" s="3" t="n">
        <v>45968.76666666667</v>
      </c>
      <c r="D2107" s="2" t="inlineStr">
        <is>
          <t>Original</t>
        </is>
      </c>
      <c r="E2107" s="2" t="inlineStr">
        <is>
          <t>PCP</t>
        </is>
      </c>
      <c r="F2107" s="2" t="inlineStr">
        <is>
          <t>Alfredo Maia; Paula Santos; Paulo Raimundo</t>
        </is>
      </c>
      <c r="G2107" s="2" t="inlineStr">
        <is>
          <t>Art. 118.º-A (aditamento)</t>
        </is>
      </c>
      <c r="H2107" s="2" t="n"/>
      <c r="I2107" s="2" t="n"/>
      <c r="J2107" s="2" t="n"/>
      <c r="K2107" s="2" t="n"/>
      <c r="L2107" s="2" t="inlineStr">
        <is>
          <t>Artigo 118.º-A (Renovação e adaptação dos centros de alto rendimento)</t>
        </is>
      </c>
      <c r="M2107" s="4" t="n"/>
      <c r="N2107" s="4" t="n"/>
      <c r="O2107" s="2" t="n"/>
      <c r="P2107" s="2" t="n"/>
      <c r="Q2107" s="2" t="n"/>
      <c r="R2107" s="2" t="n"/>
      <c r="S2107" s="2" t="inlineStr">
        <is>
          <t>Rejeitado(a) em Comissão</t>
        </is>
      </c>
      <c r="T2107" s="2" t="inlineStr">
        <is>
          <t>Rejeitada</t>
        </is>
      </c>
      <c r="U2107" s="2" t="inlineStr">
        <is>
          <t>Favor: CH, IL, L, PCP, BE, PAN; Contra: PSD, CDS-PP; Abstenção: PS</t>
        </is>
      </c>
      <c r="V2107" s="3" t="n">
        <v>45985</v>
      </c>
      <c r="W2107" s="2" t="inlineStr">
        <is>
          <t>AR: https://www.parlamento.pt/OrcamentoEstado/Paginas/DetalhePropostaAlteracao.aspx?BID=25246 PDF: https://app.parlamento.pt/webutils/docs/doc.pdf?path=6148523063484d364c793942556b356c6443397a6158526c63793959566b6c4a544556484c3039464c7a49774d6a59794d4449314d5441774f5339515153396c5a545935596d5a6a4e69316a5a6a4e6d4c54526a4f5745744f5751314d6930334d5467784f474a6d5a44566d4e446b756347526d&amp;Fich=ee69bfc6-cf3f-4c9a-9d52-71818bfd5f49.pdf&amp;Inline=true</t>
        </is>
      </c>
      <c r="X2107" s="2" t="inlineStr">
        <is>
          <t>Cultura, Comunicação, Juventude e Desporto</t>
        </is>
      </c>
      <c r="Y2107" s="2" t="inlineStr">
        <is>
          <t>Articulado</t>
        </is>
      </c>
      <c r="Z2107" s="2" t="inlineStr">
        <is>
          <t>Aditamento (Artigo PPL)</t>
        </is>
      </c>
      <c r="AA2107" s="2" t="inlineStr">
        <is>
          <t>Rejeitado(a) em Comissão</t>
        </is>
      </c>
      <c r="AB2107" s="2" t="inlineStr"/>
      <c r="AC2107" s="2" t="inlineStr"/>
      <c r="AD2107" s="2" t="inlineStr">
        <is>
          <t>1</t>
        </is>
      </c>
      <c r="AE2107" s="2" t="inlineStr">
        <is>
          <t>25246</t>
        </is>
      </c>
      <c r="AF2107" s="2" t="inlineStr">
        <is>
          <t>https://www.parlamento.pt/OrcamentoEstado/Paginas/DetalhePropostaAlteracao.aspx?BID=25246</t>
        </is>
      </c>
      <c r="AG2107" s="2" t="inlineStr">
        <is>
          <t>https://app.parlamento.pt/webutils/docs/doc.pdf?path=6148523063484d364c793942556b356c6443397a6158526c63793959566b6c4a544556484c3039464c7a49774d6a59794d4449314d5441774f5339515153396c5a545935596d5a6a4e69316a5a6a4e6d4c54526a4f5745744f5751314d6930334d5467784f474a6d5a44566d4e446b756347526d&amp;Fich=ee69bfc6-cf3f-4c9a-9d52-71818bfd5f49.pdf&amp;Inline=true</t>
        </is>
      </c>
      <c r="AH2107" s="3" t="n">
        <v>46321.77847222222</v>
      </c>
      <c r="AI2107" s="3" t="n">
        <v>46321.78055555555</v>
      </c>
      <c r="AJ2107" s="2" t="inlineStr"/>
    </row>
    <row r="2108">
      <c r="A2108" s="2" t="n">
        <v>2107</v>
      </c>
      <c r="B2108" s="2" t="inlineStr">
        <is>
          <t>1994C</t>
        </is>
      </c>
      <c r="C2108" s="3" t="n">
        <v>45968.76736111111</v>
      </c>
      <c r="D2108" s="2" t="inlineStr">
        <is>
          <t>Original</t>
        </is>
      </c>
      <c r="E2108" s="2" t="inlineStr">
        <is>
          <t>PCP</t>
        </is>
      </c>
      <c r="F2108" s="2" t="inlineStr">
        <is>
          <t>Alfredo Maia; Paula Santos; Paulo Raimundo</t>
        </is>
      </c>
      <c r="G2108" s="2" t="inlineStr">
        <is>
          <t>Art. 136.º-A (aditamento)</t>
        </is>
      </c>
      <c r="H2108" s="2" t="n"/>
      <c r="I2108" s="2" t="n"/>
      <c r="J2108" s="2" t="n"/>
      <c r="K2108" s="2" t="n"/>
      <c r="L2108" s="2" t="inlineStr">
        <is>
          <t>Artigo 136.º-A (Alteração ao Decreto-Lei n.º 84/2017, de 21 de julho)</t>
        </is>
      </c>
      <c r="M2108" s="4" t="n"/>
      <c r="N2108" s="4" t="n"/>
      <c r="O2108" s="2" t="n"/>
      <c r="P2108" s="2" t="n"/>
      <c r="Q2108" s="2" t="n"/>
      <c r="R2108" s="2" t="n"/>
      <c r="S2108" s="2" t="inlineStr">
        <is>
          <t>Rejeitado(a) em Comissão</t>
        </is>
      </c>
      <c r="T2108" s="2" t="inlineStr">
        <is>
          <t>Rejeitada</t>
        </is>
      </c>
      <c r="U2108" s="2" t="inlineStr">
        <is>
          <t>Favor: CH, IL, L, PCP, BE, PAN; Contra: PSD, CDS-PP; Abstenção: PS</t>
        </is>
      </c>
      <c r="V2108" s="3" t="n">
        <v>45987</v>
      </c>
      <c r="W2108" s="2" t="inlineStr">
        <is>
          <t>AR: https://www.parlamento.pt/OrcamentoEstado/Paginas/DetalhePropostaAlteracao.aspx?BID=25247 PDF: https://app.parlamento.pt/webutils/docs/doc.pdf?path=6148523063484d364c793942556b356c6443397a6158526c63793959566b6c4a544556484c3039464c7a49774d6a59794d4449314d5441774f533951515338354e545a6d5a446c6d4d7931684f4451314c5452684d7a4d744f5755324d43307a4f4459314e544d354e3259314d7a55756347526d&amp;Fich=956fd9f3-a845-4a33-9e60-38655397f535.pdf&amp;Inline=true</t>
        </is>
      </c>
      <c r="X2108" s="2" t="inlineStr">
        <is>
          <t>Cultura, Comunicação, Juventude e Desporto</t>
        </is>
      </c>
      <c r="Y2108" s="2" t="inlineStr">
        <is>
          <t>Articulado</t>
        </is>
      </c>
      <c r="Z2108" s="2" t="inlineStr">
        <is>
          <t>Aditamento (Artigo PPL)</t>
        </is>
      </c>
      <c r="AA2108" s="2" t="inlineStr">
        <is>
          <t>Rejeitado(a) em Comissão</t>
        </is>
      </c>
      <c r="AB2108" s="2" t="inlineStr"/>
      <c r="AC2108" s="2" t="inlineStr"/>
      <c r="AD2108" s="2" t="inlineStr">
        <is>
          <t>1</t>
        </is>
      </c>
      <c r="AE2108" s="2" t="inlineStr">
        <is>
          <t>25247</t>
        </is>
      </c>
      <c r="AF2108" s="2" t="inlineStr">
        <is>
          <t>https://www.parlamento.pt/OrcamentoEstado/Paginas/DetalhePropostaAlteracao.aspx?BID=25247</t>
        </is>
      </c>
      <c r="AG2108" s="2" t="inlineStr">
        <is>
          <t>https://app.parlamento.pt/webutils/docs/doc.pdf?path=6148523063484d364c793942556b356c6443397a6158526c63793959566b6c4a544556484c3039464c7a49774d6a59794d4449314d5441774f533951515338354e545a6d5a446c6d4d7931684f4451314c5452684d7a4d744f5755324d43307a4f4459314e544d354e3259314d7a55756347526d&amp;Fich=956fd9f3-a845-4a33-9e60-38655397f535.pdf&amp;Inline=true</t>
        </is>
      </c>
      <c r="AH2108" s="3" t="n">
        <v>46321.77847222222</v>
      </c>
      <c r="AI2108" s="3" t="n">
        <v>46321.78055555555</v>
      </c>
      <c r="AJ2108" s="2" t="inlineStr"/>
    </row>
    <row r="2109">
      <c r="A2109" s="2" t="n">
        <v>2108</v>
      </c>
      <c r="B2109" s="2" t="inlineStr">
        <is>
          <t>1995C</t>
        </is>
      </c>
      <c r="C2109" s="3" t="n">
        <v>45968.76805555556</v>
      </c>
      <c r="D2109" s="2" t="inlineStr">
        <is>
          <t>Original</t>
        </is>
      </c>
      <c r="E2109" s="2" t="inlineStr">
        <is>
          <t>Vários</t>
        </is>
      </c>
      <c r="F2109" s="2" t="inlineStr">
        <is>
          <t>Alberto Fonseca; Francisco Pimentel; Hugo Carneiro; Hugo Soares; Nuna Menezes; Paulo Moniz; Paulo Neves; Pedro Coelho; Vânia Jesus; João Pinho de Almeida; Paulo Núncio</t>
        </is>
      </c>
      <c r="G2109" s="2" t="inlineStr">
        <is>
          <t>Art. 110.º-A (aditamento)</t>
        </is>
      </c>
      <c r="H2109" s="2" t="n"/>
      <c r="I2109" s="2" t="n"/>
      <c r="J2109" s="2" t="n"/>
      <c r="K2109" s="2" t="n"/>
      <c r="L2109" s="2" t="inlineStr">
        <is>
          <t>Artigo 110.º-A (Aplicação do mecanismo de recuperação do valor equivalente ao IVA no âmbito dos Investimentos PRR das Regiões Autónomas)</t>
        </is>
      </c>
      <c r="M2109" s="4" t="n"/>
      <c r="N2109" s="4" t="n"/>
      <c r="O2109" s="2" t="n"/>
      <c r="P2109" s="2" t="n"/>
      <c r="Q2109" s="2" t="n"/>
      <c r="R2109" s="2" t="n"/>
      <c r="S2109" s="2" t="inlineStr">
        <is>
          <t>Aprovado(a) por Unanimidade em Comissão</t>
        </is>
      </c>
      <c r="T2109" s="2" t="inlineStr">
        <is>
          <t>Aprovada</t>
        </is>
      </c>
      <c r="U2109" s="2" t="inlineStr">
        <is>
          <t>Favor: PSD, CH, PS, IL, L, PCP, CDS-PP, BE, PAN</t>
        </is>
      </c>
      <c r="V2109" s="3" t="n">
        <v>45982</v>
      </c>
      <c r="W2109" s="2" t="inlineStr">
        <is>
          <t>AR: https://www.parlamento.pt/OrcamentoEstado/Paginas/DetalhePropostaAlteracao.aspx?BID=25248 PDF: https://app.parlamento.pt/webutils/docs/doc.pdf?path=6148523063484d364c793942556b356c6443397a6158526c63793959566b6c4a544556484c3039464c7a49774d6a59794d4449314d5441774f533951515338325a54566a4e4749784e5331694e575a6d4c5452684d6a4d744f444d314f53316c4d6a426d596a4a6a4e7a55774d3245756347526d&amp;Fich=6e5c4b15-b5ff-4a23-8359-e20fb2c7503a.pdf&amp;Inline=true</t>
        </is>
      </c>
      <c r="X2109" s="2" t="inlineStr">
        <is>
          <t>Orçamento, Finanças e Administração Pública</t>
        </is>
      </c>
      <c r="Y2109" s="2" t="inlineStr">
        <is>
          <t>Articulado</t>
        </is>
      </c>
      <c r="Z2109" s="2" t="inlineStr">
        <is>
          <t>Aditamento (Artigo PPL)</t>
        </is>
      </c>
      <c r="AA2109" s="2" t="inlineStr">
        <is>
          <t>Aprovado(a) por Unanimidade em Comissão</t>
        </is>
      </c>
      <c r="AB2109" s="2" t="inlineStr"/>
      <c r="AC2109" s="2" t="inlineStr"/>
      <c r="AD2109" s="2" t="inlineStr">
        <is>
          <t>1</t>
        </is>
      </c>
      <c r="AE2109" s="2" t="inlineStr">
        <is>
          <t>25248</t>
        </is>
      </c>
      <c r="AF2109" s="2" t="inlineStr">
        <is>
          <t>https://www.parlamento.pt/OrcamentoEstado/Paginas/DetalhePropostaAlteracao.aspx?BID=25248</t>
        </is>
      </c>
      <c r="AG2109" s="2" t="inlineStr">
        <is>
          <t>https://app.parlamento.pt/webutils/docs/doc.pdf?path=6148523063484d364c793942556b356c6443397a6158526c63793959566b6c4a544556484c3039464c7a49774d6a59794d4449314d5441774f533951515338325a54566a4e4749784e5331694e575a6d4c5452684d6a4d744f444d314f53316c4d6a426d596a4a6a4e7a55774d3245756347526d&amp;Fich=6e5c4b15-b5ff-4a23-8359-e20fb2c7503a.pdf&amp;Inline=true</t>
        </is>
      </c>
      <c r="AH2109" s="3" t="n">
        <v>46321.77847222222</v>
      </c>
      <c r="AI2109" s="3" t="n">
        <v>46321.78055555555</v>
      </c>
      <c r="AJ2109" s="2" t="inlineStr"/>
    </row>
    <row r="2110">
      <c r="A2110" s="2" t="n">
        <v>2109</v>
      </c>
      <c r="B2110" s="2" t="inlineStr">
        <is>
          <t>1996C</t>
        </is>
      </c>
      <c r="C2110" s="3" t="n">
        <v>45968.76805555556</v>
      </c>
      <c r="D2110" s="2" t="inlineStr">
        <is>
          <t>Original</t>
        </is>
      </c>
      <c r="E2110" s="2" t="inlineStr">
        <is>
          <t>L</t>
        </is>
      </c>
      <c r="F2110" s="2" t="inlineStr">
        <is>
          <t>Filipa Pinto; Isabel Mendes Lopes; Jorge Pinto; Patrícia Gonçalves; Paulo Muacho; Rui Tavares</t>
        </is>
      </c>
      <c r="G2110" s="2" t="inlineStr">
        <is>
          <t>Art. 132.º-A (aditamento)</t>
        </is>
      </c>
      <c r="H2110" s="2" t="n"/>
      <c r="I2110" s="2" t="n"/>
      <c r="J2110" s="2" t="n"/>
      <c r="K2110" s="2" t="n"/>
      <c r="L2110" s="2" t="inlineStr">
        <is>
          <t>Artigo 132.º-A (Criação do Instituto Europeu)</t>
        </is>
      </c>
      <c r="M2110" s="4" t="n"/>
      <c r="N2110" s="4" t="n"/>
      <c r="O2110" s="2" t="n"/>
      <c r="P2110" s="2" t="n"/>
      <c r="Q2110" s="2" t="n"/>
      <c r="R2110" s="2" t="n"/>
      <c r="S2110" s="2" t="inlineStr">
        <is>
          <t>Rejeitado(a) em Comissão</t>
        </is>
      </c>
      <c r="T2110" s="2" t="inlineStr">
        <is>
          <t>Rejeitada</t>
        </is>
      </c>
      <c r="U2110" s="2" t="inlineStr">
        <is>
          <t>Favor: L; Contra: PSD, CH, IL, PCP, CDS-PP; Abstenção: PS, BE, PAN</t>
        </is>
      </c>
      <c r="V2110" s="3" t="n">
        <v>45985</v>
      </c>
      <c r="W2110" s="2" t="inlineStr">
        <is>
          <t>AR: https://www.parlamento.pt/OrcamentoEstado/Paginas/DetalhePropostaAlteracao.aspx?BID=25249 PDF: https://app.parlamento.pt/webutils/docs/doc.pdf?path=6148523063484d364c793942556b356c6443397a6158526c63793959566b6c4a544556484c3039464c7a49774d6a59794d4449314d5441774f5339515153396b4e3259335a475a694e79316a4e4449784c5451305a4751744f475130597930304d5446694e7a466d5a574d344d446b756347526d&amp;Fich=d7f7dfb7-c421-44dd-8d4c-411b71fec809.pdf&amp;Inline=true</t>
        </is>
      </c>
      <c r="X2110" s="2" t="inlineStr">
        <is>
          <t>Educação e Ciência</t>
        </is>
      </c>
      <c r="Y2110" s="2" t="inlineStr">
        <is>
          <t>Articulado</t>
        </is>
      </c>
      <c r="Z2110" s="2" t="inlineStr">
        <is>
          <t>Aditamento (Artigo PPL)</t>
        </is>
      </c>
      <c r="AA2110" s="2" t="inlineStr">
        <is>
          <t>Rejeitado(a) em Comissão</t>
        </is>
      </c>
      <c r="AB2110" s="2" t="inlineStr"/>
      <c r="AC2110" s="2" t="inlineStr"/>
      <c r="AD2110" s="2" t="inlineStr">
        <is>
          <t>1</t>
        </is>
      </c>
      <c r="AE2110" s="2" t="inlineStr">
        <is>
          <t>25249</t>
        </is>
      </c>
      <c r="AF2110" s="2" t="inlineStr">
        <is>
          <t>https://www.parlamento.pt/OrcamentoEstado/Paginas/DetalhePropostaAlteracao.aspx?BID=25249</t>
        </is>
      </c>
      <c r="AG2110" s="2" t="inlineStr">
        <is>
          <t>https://app.parlamento.pt/webutils/docs/doc.pdf?path=6148523063484d364c793942556b356c6443397a6158526c63793959566b6c4a544556484c3039464c7a49774d6a59794d4449314d5441774f5339515153396b4e3259335a475a694e79316a4e4449784c5451305a4751744f475130597930304d5446694e7a466d5a574d344d446b756347526d&amp;Fich=d7f7dfb7-c421-44dd-8d4c-411b71fec809.pdf&amp;Inline=true</t>
        </is>
      </c>
      <c r="AH2110" s="3" t="n">
        <v>46321.77847222222</v>
      </c>
      <c r="AI2110" s="3" t="n">
        <v>46321.78055555555</v>
      </c>
      <c r="AJ2110" s="2" t="inlineStr"/>
    </row>
    <row r="2111">
      <c r="A2111" s="2" t="n">
        <v>2110</v>
      </c>
      <c r="B2111" s="2" t="inlineStr">
        <is>
          <t>1997C</t>
        </is>
      </c>
      <c r="C2111" s="3" t="n">
        <v>45968.76875</v>
      </c>
      <c r="D2111" s="2" t="inlineStr">
        <is>
          <t>Original</t>
        </is>
      </c>
      <c r="E2111" s="2" t="inlineStr">
        <is>
          <t>L</t>
        </is>
      </c>
      <c r="F2111" s="2" t="inlineStr">
        <is>
          <t>Filipa Pinto; Isabel Mendes Lopes; Jorge Pinto; Patrícia Gonçalves; Paulo Muacho; Rui Tavares</t>
        </is>
      </c>
      <c r="G2111" s="2" t="inlineStr">
        <is>
          <t>Art. 112.º-A (aditamento)</t>
        </is>
      </c>
      <c r="H2111" s="2" t="n"/>
      <c r="I2111" s="2" t="n"/>
      <c r="J2111" s="2" t="n"/>
      <c r="K2111" s="2" t="n"/>
      <c r="L2111" s="2" t="inlineStr">
        <is>
          <t>Artigo 112.º-A (Criação de programa digital para a educação inclusiva de alunos migrantes)</t>
        </is>
      </c>
      <c r="M2111" s="4" t="n"/>
      <c r="N2111" s="4" t="n"/>
      <c r="O2111" s="2" t="n"/>
      <c r="P2111" s="2" t="n"/>
      <c r="Q2111" s="2" t="n"/>
      <c r="R2111" s="2" t="n"/>
      <c r="S2111" s="2" t="inlineStr">
        <is>
          <t>Rejeitado(a) em Comissão</t>
        </is>
      </c>
      <c r="T2111" s="2" t="inlineStr">
        <is>
          <t>Rejeitada</t>
        </is>
      </c>
      <c r="U2111" s="2" t="inlineStr">
        <is>
          <t>Favor: L, PCP, PAN; Contra: PSD, CH, IL, CDS-PP; Abstenção: PS, BE</t>
        </is>
      </c>
      <c r="V2111" s="3" t="n">
        <v>45982</v>
      </c>
      <c r="W2111" s="2" t="inlineStr">
        <is>
          <t>AR: https://www.parlamento.pt/OrcamentoEstado/Paginas/DetalhePropostaAlteracao.aspx?BID=25250 PDF: https://app.parlamento.pt/webutils/docs/doc.pdf?path=6148523063484d364c793942556b356c6443397a6158526c63793959566b6c4a544556484c3039464c7a49774d6a59794d4449314d5441774f533951515338345a544d3559324d784f43316c597a49324c5451335a446774596d55794e6930304e544130596d55344e574e6d597a55756347526d&amp;Fich=8e39cc18-ec26-47d8-be26-4504be85cfc5.pdf&amp;Inline=true</t>
        </is>
      </c>
      <c r="X2111" s="2" t="inlineStr">
        <is>
          <t>Assuntos Constitucionais, Direitos, Liberdades e Garantias; Educação e Ciência; Reforma do Estado e Poder Local</t>
        </is>
      </c>
      <c r="Y2111" s="2" t="inlineStr">
        <is>
          <t>Articulado</t>
        </is>
      </c>
      <c r="Z2111" s="2" t="inlineStr">
        <is>
          <t>Aditamento (Artigo PPL)</t>
        </is>
      </c>
      <c r="AA2111" s="2" t="inlineStr">
        <is>
          <t>Rejeitado(a) em Comissão</t>
        </is>
      </c>
      <c r="AB2111" s="2" t="inlineStr"/>
      <c r="AC2111" s="2" t="inlineStr"/>
      <c r="AD2111" s="2" t="inlineStr">
        <is>
          <t>1</t>
        </is>
      </c>
      <c r="AE2111" s="2" t="inlineStr">
        <is>
          <t>25250</t>
        </is>
      </c>
      <c r="AF2111" s="2" t="inlineStr">
        <is>
          <t>https://www.parlamento.pt/OrcamentoEstado/Paginas/DetalhePropostaAlteracao.aspx?BID=25250</t>
        </is>
      </c>
      <c r="AG2111" s="2" t="inlineStr">
        <is>
          <t>https://app.parlamento.pt/webutils/docs/doc.pdf?path=6148523063484d364c793942556b356c6443397a6158526c63793959566b6c4a544556484c3039464c7a49774d6a59794d4449314d5441774f533951515338345a544d3559324d784f43316c597a49324c5451335a446774596d55794e6930304e544130596d55344e574e6d597a55756347526d&amp;Fich=8e39cc18-ec26-47d8-be26-4504be85cfc5.pdf&amp;Inline=true</t>
        </is>
      </c>
      <c r="AH2111" s="3" t="n">
        <v>46321.77847222222</v>
      </c>
      <c r="AI2111" s="3" t="n">
        <v>46321.78055555555</v>
      </c>
      <c r="AJ2111" s="2" t="inlineStr"/>
    </row>
    <row r="2112">
      <c r="A2112" s="2" t="n">
        <v>2111</v>
      </c>
      <c r="B2112" s="2" t="inlineStr">
        <is>
          <t>1998C-1</t>
        </is>
      </c>
      <c r="C2112" s="3" t="n">
        <v>45968.76944444444</v>
      </c>
      <c r="D2112" s="2" t="inlineStr">
        <is>
          <t>Original</t>
        </is>
      </c>
      <c r="E2112" s="2" t="inlineStr">
        <is>
          <t>L</t>
        </is>
      </c>
      <c r="F2112" s="2" t="inlineStr">
        <is>
          <t>Filipa Pinto; Isabel Mendes Lopes; Jorge Pinto; Patrícia Gonçalves; Paulo Muacho; Rui Tavares</t>
        </is>
      </c>
      <c r="G2112" s="2" t="inlineStr">
        <is>
          <t>Art. 81.º (substituição)</t>
        </is>
      </c>
      <c r="H2112" s="2" t="n"/>
      <c r="I2112" s="2" t="n"/>
      <c r="J2112" s="2" t="n"/>
      <c r="K2112" s="2" t="n"/>
      <c r="L2112" s="2" t="inlineStr">
        <is>
          <t>N.º 1, Artigo 81.º</t>
        </is>
      </c>
      <c r="M2112" s="4" t="n"/>
      <c r="N2112" s="4" t="n"/>
      <c r="O2112" s="2" t="n"/>
      <c r="P2112" s="2" t="n"/>
      <c r="Q2112" s="2" t="n"/>
      <c r="R2112" s="2" t="n"/>
      <c r="S2112" s="2" t="inlineStr">
        <is>
          <t>Rejeitado(a) em Comissão</t>
        </is>
      </c>
      <c r="T2112" s="2" t="inlineStr">
        <is>
          <t>Rejeitada</t>
        </is>
      </c>
      <c r="U2112" s="2" t="inlineStr">
        <is>
          <t>Favor: L, PAN; Contra: PSD, CH, PS, IL, PCP, CDS-PP, BE</t>
        </is>
      </c>
      <c r="V2112" s="3" t="n">
        <v>45982</v>
      </c>
      <c r="W2112" s="2" t="inlineStr">
        <is>
          <t>AR: https://www.parlamento.pt/OrcamentoEstado/Paginas/DetalhePropostaAlteracao.aspx?BID=25251 PDF: https://app.parlamento.pt/webutils/docs/doc.pdf?path=6148523063484d364c793942556b356c6443397a6158526c63793959566b6c4a544556484c3039464c7a49774d6a59794d4449314d5441774f533951515338314e7a56695a6d55774d4330315a6a597a4c5451354d6a41744f474e6d4e5331684d4751344d7a426a4d6a49325a574d756347526d&amp;Fich=575bfe00-5f63-4920-8cf5-a0d830c226ec.pdf&amp;Inline=true</t>
        </is>
      </c>
      <c r="X2112" s="2" t="inlineStr">
        <is>
          <t>Orçamento, Finanças e Administração Pública</t>
        </is>
      </c>
      <c r="Y2112" s="2" t="inlineStr">
        <is>
          <t>Articulado</t>
        </is>
      </c>
      <c r="Z2112" s="2" t="inlineStr">
        <is>
          <t>Substituição</t>
        </is>
      </c>
      <c r="AA2112" s="2" t="inlineStr">
        <is>
          <t>Rejeitado(a) em Comissão</t>
        </is>
      </c>
      <c r="AB2112" s="2" t="inlineStr"/>
      <c r="AC2112" s="2" t="inlineStr">
        <is>
          <t>1</t>
        </is>
      </c>
      <c r="AD2112" s="2" t="inlineStr">
        <is>
          <t>1</t>
        </is>
      </c>
      <c r="AE2112" s="2" t="inlineStr">
        <is>
          <t>25251</t>
        </is>
      </c>
      <c r="AF2112" s="2" t="inlineStr">
        <is>
          <t>https://www.parlamento.pt/OrcamentoEstado/Paginas/DetalhePropostaAlteracao.aspx?BID=25251</t>
        </is>
      </c>
      <c r="AG2112" s="2" t="inlineStr">
        <is>
          <t>https://app.parlamento.pt/webutils/docs/doc.pdf?path=6148523063484d364c793942556b356c6443397a6158526c63793959566b6c4a544556484c3039464c7a49774d6a59794d4449314d5441774f533951515338314e7a56695a6d55774d4330315a6a597a4c5451354d6a41744f474e6d4e5331684d4751344d7a426a4d6a49325a574d756347526d&amp;Fich=575bfe00-5f63-4920-8cf5-a0d830c226ec.pdf&amp;Inline=true</t>
        </is>
      </c>
      <c r="AH2112" s="3" t="n">
        <v>46321.77847222222</v>
      </c>
      <c r="AI2112" s="3" t="n">
        <v>46321.78055555555</v>
      </c>
      <c r="AJ2112" s="2" t="inlineStr"/>
    </row>
    <row r="2113">
      <c r="A2113" s="2" t="n">
        <v>2112</v>
      </c>
      <c r="B2113" s="2" t="inlineStr">
        <is>
          <t>1998C-2</t>
        </is>
      </c>
      <c r="C2113" s="3" t="n">
        <v>45968.76944444444</v>
      </c>
      <c r="D2113" s="2" t="inlineStr">
        <is>
          <t>Original</t>
        </is>
      </c>
      <c r="E2113" s="2" t="inlineStr">
        <is>
          <t>L</t>
        </is>
      </c>
      <c r="F2113" s="2" t="inlineStr">
        <is>
          <t>Filipa Pinto; Isabel Mendes Lopes; Jorge Pinto; Patrícia Gonçalves; Paulo Muacho; Rui Tavares</t>
        </is>
      </c>
      <c r="G2113" s="2" t="inlineStr">
        <is>
          <t>Art. 81.º (aditamento)</t>
        </is>
      </c>
      <c r="H2113" s="2" t="n"/>
      <c r="I2113" s="2" t="n"/>
      <c r="J2113" s="2" t="n"/>
      <c r="K2113" s="2" t="n"/>
      <c r="L2113" s="2" t="inlineStr">
        <is>
          <t>N.º 6, Artigo 81.º</t>
        </is>
      </c>
      <c r="M2113" s="4" t="n"/>
      <c r="N2113" s="4" t="n"/>
      <c r="O2113" s="2" t="n"/>
      <c r="P2113" s="2" t="n"/>
      <c r="Q2113" s="2" t="n"/>
      <c r="R2113" s="2" t="n"/>
      <c r="S2113" s="2" t="inlineStr">
        <is>
          <t>Rejeitado(a) em Comissão</t>
        </is>
      </c>
      <c r="T2113" s="2" t="inlineStr">
        <is>
          <t>Rejeitada</t>
        </is>
      </c>
      <c r="U2113" s="2" t="inlineStr">
        <is>
          <t>Favor: L, BE, PAN; Contra: PSD, CH, IL, PCP, CDS-PP; Abstenção: PS</t>
        </is>
      </c>
      <c r="V2113" s="3" t="n">
        <v>45982</v>
      </c>
      <c r="W2113" s="2" t="inlineStr">
        <is>
          <t>AR: https://www.parlamento.pt/OrcamentoEstado/Paginas/DetalhePropostaAlteracao.aspx?BID=25385 PDF: https://app.parlamento.pt/webutils/docs/doc.pdf?path=6148523063484d364c793942556b356c6443397a6158526c63793959566b6c4a544556484c3039464c7a49774d6a59794d4449314d5441774f533951515338345a6d497a4d6a457a4d5330774d54566d4c5451794f546b74596d597a4e53316b597a6b32593245784d6a4d325a6d59756347526d&amp;Fich=8fb32131-015f-4299-bf35-dc96ca1236ff.pdf&amp;Inline=true</t>
        </is>
      </c>
      <c r="X2113" s="2" t="inlineStr">
        <is>
          <t>Orçamento, Finanças e Administração Pública</t>
        </is>
      </c>
      <c r="Y2113" s="2" t="inlineStr">
        <is>
          <t>Articulado</t>
        </is>
      </c>
      <c r="Z2113" s="2" t="inlineStr">
        <is>
          <t>Aditamento (Números e Alíneas)</t>
        </is>
      </c>
      <c r="AA2113" s="2" t="inlineStr">
        <is>
          <t>Rejeitado(a) em Comissão</t>
        </is>
      </c>
      <c r="AB2113" s="2" t="inlineStr"/>
      <c r="AC2113" s="2" t="inlineStr">
        <is>
          <t>2</t>
        </is>
      </c>
      <c r="AD2113" s="2" t="inlineStr">
        <is>
          <t>1</t>
        </is>
      </c>
      <c r="AE2113" s="2" t="inlineStr">
        <is>
          <t>25385</t>
        </is>
      </c>
      <c r="AF2113" s="2" t="inlineStr">
        <is>
          <t>https://www.parlamento.pt/OrcamentoEstado/Paginas/DetalhePropostaAlteracao.aspx?BID=25385</t>
        </is>
      </c>
      <c r="AG2113" s="2" t="inlineStr">
        <is>
          <t>https://app.parlamento.pt/webutils/docs/doc.pdf?path=6148523063484d364c793942556b356c6443397a6158526c63793959566b6c4a544556484c3039464c7a49774d6a59794d4449314d5441774f533951515338345a6d497a4d6a457a4d5330774d54566d4c5451794f546b74596d597a4e53316b597a6b32593245784d6a4d325a6d59756347526d&amp;Fich=8fb32131-015f-4299-bf35-dc96ca1236ff.pdf&amp;Inline=true</t>
        </is>
      </c>
      <c r="AH2113" s="3" t="n">
        <v>46321.77847222222</v>
      </c>
      <c r="AI2113" s="3" t="n">
        <v>46321.78055555555</v>
      </c>
      <c r="AJ2113" s="2" t="inlineStr"/>
    </row>
    <row r="2114">
      <c r="A2114" s="2" t="n">
        <v>2113</v>
      </c>
      <c r="B2114" s="2" t="inlineStr">
        <is>
          <t>1999C</t>
        </is>
      </c>
      <c r="C2114" s="3" t="n">
        <v>45968.77013888889</v>
      </c>
      <c r="D2114" s="2" t="inlineStr">
        <is>
          <t>Original</t>
        </is>
      </c>
      <c r="E2114" s="2" t="inlineStr">
        <is>
          <t>L</t>
        </is>
      </c>
      <c r="F2114" s="2" t="inlineStr">
        <is>
          <t>Filipa Pinto; Isabel Mendes Lopes; Jorge Pinto; Patrícia Gonçalves; Paulo Muacho; Rui Tavares</t>
        </is>
      </c>
      <c r="G2114" s="2" t="inlineStr">
        <is>
          <t>Art. 127.º-A (aditamento)</t>
        </is>
      </c>
      <c r="H2114" s="2" t="n"/>
      <c r="I2114" s="2" t="n"/>
      <c r="J2114" s="2" t="n"/>
      <c r="K2114" s="2" t="n"/>
      <c r="L2114" s="2" t="inlineStr">
        <is>
          <t>Artigo 127.º-A (Imposto sobre os Produtos Petrolíferos e Energéticos para aviação privada)</t>
        </is>
      </c>
      <c r="M2114" s="4" t="n"/>
      <c r="N2114" s="4" t="n"/>
      <c r="O2114" s="2" t="n"/>
      <c r="P2114" s="2" t="n"/>
      <c r="Q2114" s="2" t="n"/>
      <c r="R2114" s="2" t="n"/>
      <c r="S2114" s="2" t="inlineStr">
        <is>
          <t>Rejeitado(a) em Comissão</t>
        </is>
      </c>
      <c r="T2114" s="2" t="inlineStr">
        <is>
          <t>Rejeitada</t>
        </is>
      </c>
      <c r="U2114" s="2" t="inlineStr">
        <is>
          <t>Favor: L, PCP, BE, PAN; Contra: PSD, CH, IL, CDS-PP; Abstenção: PS</t>
        </is>
      </c>
      <c r="V2114" s="3" t="n">
        <v>45985</v>
      </c>
      <c r="W2114" s="2" t="inlineStr">
        <is>
          <t>AR: https://www.parlamento.pt/OrcamentoEstado/Paginas/DetalhePropostaAlteracao.aspx?BID=25252 PDF: https://app.parlamento.pt/webutils/docs/doc.pdf?path=6148523063484d364c793942556b356c6443397a6158526c63793959566b6c4a544556484c3039464c7a49774d6a59794d4449314d5441774f53395151533830593255334d444d314e4330795a4467354c5451344d6a4974596a42685a5330344f546c68595759344d4759794f4759756347526d&amp;Fich=4ce70354-2d89-4822-b0ae-899aaf80f28f.pdf&amp;Inline=true</t>
        </is>
      </c>
      <c r="X2114" s="2" t="inlineStr">
        <is>
          <t>Ambiente e Energia; Orçamento, Finanças e Administração Pública</t>
        </is>
      </c>
      <c r="Y2114" s="2" t="inlineStr">
        <is>
          <t>Articulado</t>
        </is>
      </c>
      <c r="Z2114" s="2" t="inlineStr">
        <is>
          <t>Aditamento (Artigo PPL)</t>
        </is>
      </c>
      <c r="AA2114" s="2" t="inlineStr">
        <is>
          <t>Rejeitado(a) em Comissão</t>
        </is>
      </c>
      <c r="AB2114" s="2" t="inlineStr"/>
      <c r="AC2114" s="2" t="inlineStr"/>
      <c r="AD2114" s="2" t="inlineStr">
        <is>
          <t>1</t>
        </is>
      </c>
      <c r="AE2114" s="2" t="inlineStr">
        <is>
          <t>25252</t>
        </is>
      </c>
      <c r="AF2114" s="2" t="inlineStr">
        <is>
          <t>https://www.parlamento.pt/OrcamentoEstado/Paginas/DetalhePropostaAlteracao.aspx?BID=25252</t>
        </is>
      </c>
      <c r="AG2114" s="2" t="inlineStr">
        <is>
          <t>https://app.parlamento.pt/webutils/docs/doc.pdf?path=6148523063484d364c793942556b356c6443397a6158526c63793959566b6c4a544556484c3039464c7a49774d6a59794d4449314d5441774f53395151533830593255334d444d314e4330795a4467354c5451344d6a4974596a42685a5330344f546c68595759344d4759794f4759756347526d&amp;Fich=4ce70354-2d89-4822-b0ae-899aaf80f28f.pdf&amp;Inline=true</t>
        </is>
      </c>
      <c r="AH2114" s="3" t="n">
        <v>46321.77847222222</v>
      </c>
      <c r="AI2114" s="3" t="n">
        <v>46321.78055555555</v>
      </c>
      <c r="AJ2114" s="2" t="inlineStr"/>
    </row>
    <row r="2115">
      <c r="A2115" s="2" t="n">
        <v>2114</v>
      </c>
      <c r="B2115" s="2" t="inlineStr">
        <is>
          <t>2000C</t>
        </is>
      </c>
      <c r="C2115" s="3" t="n">
        <v>45968.77013888889</v>
      </c>
      <c r="D2115" s="2" t="inlineStr">
        <is>
          <t>Original</t>
        </is>
      </c>
      <c r="E2115" s="2" t="inlineStr">
        <is>
          <t>Vários</t>
        </is>
      </c>
      <c r="F2115" s="2" t="inlineStr">
        <is>
          <t>Alberto Fonseca; Francisco Pimentel; Hugo Carneiro; Hugo Soares; Paulo Neves; Pedro Coelho; Vânia Jesus; João Pinho de Almeida; Paulo Núncio</t>
        </is>
      </c>
      <c r="G2115" s="2" t="inlineStr">
        <is>
          <t>Art. 110.º-A (aditamento)</t>
        </is>
      </c>
      <c r="H2115" s="2" t="n"/>
      <c r="I2115" s="2" t="n"/>
      <c r="J2115" s="2" t="n"/>
      <c r="K2115" s="2" t="n"/>
      <c r="L2115" s="2" t="inlineStr">
        <is>
          <t>Artigo 110.º-A (Meios de combate a incêndios e de apoio às populações na Região Autónoma da Madeira)</t>
        </is>
      </c>
      <c r="M2115" s="4" t="n"/>
      <c r="N2115" s="4" t="n"/>
      <c r="O2115" s="2" t="n"/>
      <c r="P2115" s="2" t="n"/>
      <c r="Q2115" s="2" t="n"/>
      <c r="R2115" s="2" t="n"/>
      <c r="S2115" s="2" t="inlineStr">
        <is>
          <t>Aprovado(a) em Comissão</t>
        </is>
      </c>
      <c r="T2115" s="2" t="inlineStr">
        <is>
          <t>Aprovada</t>
        </is>
      </c>
      <c r="U2115" s="2" t="inlineStr">
        <is>
          <t>Favor: PSD, PS, L, PCP, CDS-PP, BE, PAN; Abstenção: IL</t>
        </is>
      </c>
      <c r="V2115" s="3" t="n">
        <v>45982</v>
      </c>
      <c r="W2115" s="2" t="inlineStr">
        <is>
          <t>AR: https://www.parlamento.pt/OrcamentoEstado/Paginas/DetalhePropostaAlteracao.aspx?BID=25253 PDF: https://app.parlamento.pt/webutils/docs/doc.pdf?path=6148523063484d364c793942556b356c6443397a6158526c63793959566b6c4a544556484c3039464c7a49774d6a59794d4449314d5441774f533951515338305a44566a5a474d304d4330774d44426a4c54526a4f5745744f5745324e4330324f54566859546b334f544d344d444d756347526d&amp;Fich=4d5cdc40-000c-4c9a-9a64-695aa9793803.pdf&amp;Inline=true</t>
        </is>
      </c>
      <c r="X2115" s="2" t="inlineStr">
        <is>
          <t>Assuntos Constitucionais, Direitos, Liberdades e Garantias</t>
        </is>
      </c>
      <c r="Y2115" s="2" t="inlineStr">
        <is>
          <t>Articulado</t>
        </is>
      </c>
      <c r="Z2115" s="2" t="inlineStr">
        <is>
          <t>Aditamento (Artigo PPL)</t>
        </is>
      </c>
      <c r="AA2115" s="2" t="inlineStr">
        <is>
          <t>Aprovado(a) em Comissão</t>
        </is>
      </c>
      <c r="AB2115" s="2" t="inlineStr"/>
      <c r="AC2115" s="2" t="inlineStr"/>
      <c r="AD2115" s="2" t="inlineStr">
        <is>
          <t>1</t>
        </is>
      </c>
      <c r="AE2115" s="2" t="inlineStr">
        <is>
          <t>25253</t>
        </is>
      </c>
      <c r="AF2115" s="2" t="inlineStr">
        <is>
          <t>https://www.parlamento.pt/OrcamentoEstado/Paginas/DetalhePropostaAlteracao.aspx?BID=25253</t>
        </is>
      </c>
      <c r="AG2115" s="2" t="inlineStr">
        <is>
          <t>https://app.parlamento.pt/webutils/docs/doc.pdf?path=6148523063484d364c793942556b356c6443397a6158526c63793959566b6c4a544556484c3039464c7a49774d6a59794d4449314d5441774f533951515338305a44566a5a474d304d4330774d44426a4c54526a4f5745744f5745324e4330324f54566859546b334f544d344d444d756347526d&amp;Fich=4d5cdc40-000c-4c9a-9a64-695aa9793803.pdf&amp;Inline=true</t>
        </is>
      </c>
      <c r="AH2115" s="3" t="n">
        <v>46321.77847222222</v>
      </c>
      <c r="AI2115" s="3" t="n">
        <v>46321.78055555555</v>
      </c>
      <c r="AJ2115" s="2" t="inlineStr"/>
    </row>
    <row r="2116">
      <c r="A2116" s="2" t="n">
        <v>2115</v>
      </c>
      <c r="B2116" s="2" t="inlineStr">
        <is>
          <t>2001C</t>
        </is>
      </c>
      <c r="C2116" s="3" t="n">
        <v>45968.77013888889</v>
      </c>
      <c r="D2116" s="2" t="inlineStr">
        <is>
          <t>Original</t>
        </is>
      </c>
      <c r="E2116" s="2" t="inlineStr">
        <is>
          <t>L</t>
        </is>
      </c>
      <c r="F2116" s="2" t="inlineStr">
        <is>
          <t>Filipa Pinto; Isabel Mendes Lopes; Jorge Pinto; Patrícia Gonçalves; Paulo Muacho; Rui Tavares</t>
        </is>
      </c>
      <c r="G2116" s="2" t="inlineStr">
        <is>
          <t>Art. 117.º-A (aditamento)</t>
        </is>
      </c>
      <c r="H2116" s="2" t="n"/>
      <c r="I2116" s="2" t="n"/>
      <c r="J2116" s="2" t="n"/>
      <c r="K2116" s="2" t="n"/>
      <c r="L2116" s="2" t="inlineStr">
        <is>
          <t>Artigo 117.º-A (Abolição das taxas e emolumentos relativos aos atos académicos comuns no Ensino Superior Público)</t>
        </is>
      </c>
      <c r="M2116" s="4" t="n"/>
      <c r="N2116" s="4" t="n"/>
      <c r="O2116" s="2" t="n"/>
      <c r="P2116" s="2" t="n"/>
      <c r="Q2116" s="2" t="n"/>
      <c r="R2116" s="2" t="n"/>
      <c r="S2116" s="2" t="inlineStr">
        <is>
          <t>Rejeitado(a) em Comissão</t>
        </is>
      </c>
      <c r="T2116" s="2" t="inlineStr">
        <is>
          <t>Rejeitada</t>
        </is>
      </c>
      <c r="U2116" s="2" t="inlineStr">
        <is>
          <t>Favor: CH, L, PCP, BE, PAN; Contra: PSD, IL, CDS-PP; Abstenção: PS</t>
        </is>
      </c>
      <c r="V2116" s="3" t="n">
        <v>45985</v>
      </c>
      <c r="W2116" s="2" t="inlineStr">
        <is>
          <t>AR: https://www.parlamento.pt/OrcamentoEstado/Paginas/DetalhePropostaAlteracao.aspx?BID=25254 PDF: https://app.parlamento.pt/webutils/docs/doc.pdf?path=6148523063484d364c793942556b356c6443397a6158526c63793959566b6c4a544556484c3039464c7a49774d6a59794d4449314d5441774f533951515338335a4451794e6d45314d7930314d7a55334c5451344f4455744f444532595331694d4441304e4455305a6a6b344f4455756347526d&amp;Fich=7d426a53-5357-4885-816a-b004454f9885.pdf&amp;Inline=true</t>
        </is>
      </c>
      <c r="X2116" s="2" t="inlineStr">
        <is>
          <t>Educação e Ciência</t>
        </is>
      </c>
      <c r="Y2116" s="2" t="inlineStr">
        <is>
          <t>Articulado</t>
        </is>
      </c>
      <c r="Z2116" s="2" t="inlineStr">
        <is>
          <t>Aditamento (Artigo PPL)</t>
        </is>
      </c>
      <c r="AA2116" s="2" t="inlineStr">
        <is>
          <t>Rejeitado(a) em Comissão</t>
        </is>
      </c>
      <c r="AB2116" s="2" t="inlineStr"/>
      <c r="AC2116" s="2" t="inlineStr"/>
      <c r="AD2116" s="2" t="inlineStr">
        <is>
          <t>1</t>
        </is>
      </c>
      <c r="AE2116" s="2" t="inlineStr">
        <is>
          <t>25254</t>
        </is>
      </c>
      <c r="AF2116" s="2" t="inlineStr">
        <is>
          <t>https://www.parlamento.pt/OrcamentoEstado/Paginas/DetalhePropostaAlteracao.aspx?BID=25254</t>
        </is>
      </c>
      <c r="AG2116" s="2" t="inlineStr">
        <is>
          <t>https://app.parlamento.pt/webutils/docs/doc.pdf?path=6148523063484d364c793942556b356c6443397a6158526c63793959566b6c4a544556484c3039464c7a49774d6a59794d4449314d5441774f533951515338335a4451794e6d45314d7930314d7a55334c5451344f4455744f444532595331694d4441304e4455305a6a6b344f4455756347526d&amp;Fich=7d426a53-5357-4885-816a-b004454f9885.pdf&amp;Inline=true</t>
        </is>
      </c>
      <c r="AH2116" s="3" t="n">
        <v>46321.77847222222</v>
      </c>
      <c r="AI2116" s="3" t="n">
        <v>46321.78055555555</v>
      </c>
      <c r="AJ2116" s="2" t="inlineStr"/>
    </row>
    <row r="2117">
      <c r="A2117" s="2" t="n">
        <v>2116</v>
      </c>
      <c r="B2117" s="2" t="inlineStr">
        <is>
          <t>2002C</t>
        </is>
      </c>
      <c r="C2117" s="3" t="n">
        <v>45968.77083333334</v>
      </c>
      <c r="D2117" s="2" t="inlineStr">
        <is>
          <t>Original</t>
        </is>
      </c>
      <c r="E2117" s="2" t="inlineStr">
        <is>
          <t>Vários</t>
        </is>
      </c>
      <c r="F2117" s="2" t="inlineStr">
        <is>
          <t>Alberto Fonseca; Francisco Pimentel; Hugo Carneiro; Hugo Soares; Paulo Neves; Pedro Coelho; Vânia Jesus; João Pinho de Almeida; Paulo Núncio</t>
        </is>
      </c>
      <c r="G2117" s="2" t="inlineStr">
        <is>
          <t>Art. 135.º-A (aditamento)</t>
        </is>
      </c>
      <c r="H2117" s="2" t="n"/>
      <c r="I2117" s="2" t="n"/>
      <c r="J2117" s="2" t="n"/>
      <c r="K2117" s="2" t="n"/>
      <c r="L2117" s="2" t="inlineStr">
        <is>
          <t>Artigo 135.º-A (Alteração à Lei n.º 31/2009, de 03 de julho)</t>
        </is>
      </c>
      <c r="M2117" s="4" t="n"/>
      <c r="N2117" s="4" t="n"/>
      <c r="O2117" s="2" t="n"/>
      <c r="P2117" s="2" t="n"/>
      <c r="Q2117" s="2" t="n"/>
      <c r="R2117" s="2" t="n"/>
      <c r="S2117" s="2" t="inlineStr">
        <is>
          <t>Aprovado(a) em Comissão</t>
        </is>
      </c>
      <c r="T2117" s="2" t="inlineStr">
        <is>
          <t>Aprovada</t>
        </is>
      </c>
      <c r="U2117" s="2" t="inlineStr">
        <is>
          <t>Favor: PSD, CDS-PP; Abstenção: CH, PS, IL, L, PCP, BE, PAN</t>
        </is>
      </c>
      <c r="V2117" s="3" t="n">
        <v>45987</v>
      </c>
      <c r="W2117" s="2" t="inlineStr">
        <is>
          <t>AR: https://www.parlamento.pt/OrcamentoEstado/Paginas/DetalhePropostaAlteracao.aspx?BID=25255 PDF: https://app.parlamento.pt/webutils/docs/doc.pdf?path=6148523063484d364c793942556b356c6443397a6158526c63793959566b6c4a544556484c3039464c7a49774d6a59794d4449314d5441774f533951515338325a6d45785a546b314e7930314e7a68694c5452684d574d744f474a684d533033593252684e475268597a6c695a5463756347526d&amp;Fich=6fa1e957-578b-4a1c-8ba1-7cda4dac9be7.pdf&amp;Inline=true</t>
        </is>
      </c>
      <c r="X2117" s="2" t="inlineStr">
        <is>
          <t>Orçamento, Finanças e Administração Pública</t>
        </is>
      </c>
      <c r="Y2117" s="2" t="inlineStr">
        <is>
          <t>Articulado</t>
        </is>
      </c>
      <c r="Z2117" s="2" t="inlineStr">
        <is>
          <t>Aditamento (Artigo PPL)</t>
        </is>
      </c>
      <c r="AA2117" s="2" t="inlineStr">
        <is>
          <t>Aprovado(a) em Comissão</t>
        </is>
      </c>
      <c r="AB2117" s="2" t="inlineStr"/>
      <c r="AC2117" s="2" t="inlineStr"/>
      <c r="AD2117" s="2" t="inlineStr">
        <is>
          <t>1</t>
        </is>
      </c>
      <c r="AE2117" s="2" t="inlineStr">
        <is>
          <t>25255</t>
        </is>
      </c>
      <c r="AF2117" s="2" t="inlineStr">
        <is>
          <t>https://www.parlamento.pt/OrcamentoEstado/Paginas/DetalhePropostaAlteracao.aspx?BID=25255</t>
        </is>
      </c>
      <c r="AG2117" s="2" t="inlineStr">
        <is>
          <t>https://app.parlamento.pt/webutils/docs/doc.pdf?path=6148523063484d364c793942556b356c6443397a6158526c63793959566b6c4a544556484c3039464c7a49774d6a59794d4449314d5441774f533951515338325a6d45785a546b314e7930314e7a68694c5452684d574d744f474a684d533033593252684e475268597a6c695a5463756347526d&amp;Fich=6fa1e957-578b-4a1c-8ba1-7cda4dac9be7.pdf&amp;Inline=true</t>
        </is>
      </c>
      <c r="AH2117" s="3" t="n">
        <v>46321.77847222222</v>
      </c>
      <c r="AI2117" s="3" t="n">
        <v>46321.78055555555</v>
      </c>
      <c r="AJ2117" s="2" t="inlineStr"/>
    </row>
    <row r="2118">
      <c r="A2118" s="2" t="n">
        <v>2117</v>
      </c>
      <c r="B2118" s="2" t="inlineStr">
        <is>
          <t>2003C</t>
        </is>
      </c>
      <c r="C2118" s="3" t="n">
        <v>45968.77222222222</v>
      </c>
      <c r="D2118" s="2" t="inlineStr">
        <is>
          <t>Original</t>
        </is>
      </c>
      <c r="E2118" s="2" t="inlineStr">
        <is>
          <t>L</t>
        </is>
      </c>
      <c r="F2118" s="2" t="inlineStr">
        <is>
          <t>Filipa Pinto; Isabel Mendes Lopes; Jorge Pinto; Patrícia Gonçalves; Paulo Muacho; Rui Tavares</t>
        </is>
      </c>
      <c r="G2118" s="2" t="inlineStr">
        <is>
          <t>Art. 62.º (substituição)</t>
        </is>
      </c>
      <c r="H2118" s="2" t="n"/>
      <c r="I2118" s="2" t="n"/>
      <c r="J2118" s="2" t="n"/>
      <c r="K2118" s="2" t="n"/>
      <c r="L2118" s="2" t="inlineStr">
        <is>
          <t>N.º 2, Artigo 19.º-B do EBF</t>
        </is>
      </c>
      <c r="M2118" s="4" t="n"/>
      <c r="N2118" s="4" t="n"/>
      <c r="O2118" s="2" t="n"/>
      <c r="P2118" s="2" t="n"/>
      <c r="Q2118" s="2" t="n"/>
      <c r="R2118" s="2" t="n"/>
      <c r="S2118" s="2" t="inlineStr">
        <is>
          <t>Rejeitado(a) em Comissão</t>
        </is>
      </c>
      <c r="T2118" s="2" t="inlineStr">
        <is>
          <t>Rejeitada</t>
        </is>
      </c>
      <c r="U2118" s="2" t="inlineStr">
        <is>
          <t>Favor: L, BE, PAN; Contra: PSD, CH, IL, PCP, CDS-PP; Abstenção: PS</t>
        </is>
      </c>
      <c r="V2118" s="3" t="n">
        <v>45981</v>
      </c>
      <c r="W2118" s="2" t="inlineStr">
        <is>
          <t>AR: https://www.parlamento.pt/OrcamentoEstado/Paginas/DetalhePropostaAlteracao.aspx?BID=25256 PDF: https://app.parlamento.pt/webutils/docs/doc.pdf?path=6148523063484d364c793942556b356c6443397a6158526c63793959566b6c4a544556484c3039464c7a49774d6a59794d4449314d5441774f533951515338344e4464694e546732597930304e4759314c54526a597a41744f444e6d4d6930305a4751774d6d4d774d6a686c4f544d756347526d&amp;Fich=847b586c-44f5-4cc0-83f2-4dd02c028e93.pdf&amp;Inline=true</t>
        </is>
      </c>
      <c r="X2118" s="2" t="inlineStr">
        <is>
          <t>Orçamento, Finanças e Administração Pública</t>
        </is>
      </c>
      <c r="Y2118" s="2" t="inlineStr">
        <is>
          <t>Articulado</t>
        </is>
      </c>
      <c r="Z2118" s="2" t="inlineStr">
        <is>
          <t>Substituição</t>
        </is>
      </c>
      <c r="AA2118" s="2" t="inlineStr">
        <is>
          <t>Rejeitado(a) em Comissão</t>
        </is>
      </c>
      <c r="AB2118" s="2" t="inlineStr"/>
      <c r="AC2118" s="2" t="inlineStr"/>
      <c r="AD2118" s="2" t="inlineStr">
        <is>
          <t>1</t>
        </is>
      </c>
      <c r="AE2118" s="2" t="inlineStr">
        <is>
          <t>25256</t>
        </is>
      </c>
      <c r="AF2118" s="2" t="inlineStr">
        <is>
          <t>https://www.parlamento.pt/OrcamentoEstado/Paginas/DetalhePropostaAlteracao.aspx?BID=25256</t>
        </is>
      </c>
      <c r="AG2118" s="2" t="inlineStr">
        <is>
          <t>https://app.parlamento.pt/webutils/docs/doc.pdf?path=6148523063484d364c793942556b356c6443397a6158526c63793959566b6c4a544556484c3039464c7a49774d6a59794d4449314d5441774f533951515338344e4464694e546732597930304e4759314c54526a597a41744f444e6d4d6930305a4751774d6d4d774d6a686c4f544d756347526d&amp;Fich=847b586c-44f5-4cc0-83f2-4dd02c028e93.pdf&amp;Inline=true</t>
        </is>
      </c>
      <c r="AH2118" s="3" t="n">
        <v>46321.77847222222</v>
      </c>
      <c r="AI2118" s="3" t="n">
        <v>46321.78055555555</v>
      </c>
      <c r="AJ2118" s="2" t="inlineStr"/>
    </row>
    <row r="2119">
      <c r="A2119" s="2" t="n">
        <v>2118</v>
      </c>
      <c r="B2119" s="2" t="inlineStr">
        <is>
          <t>2004C</t>
        </is>
      </c>
      <c r="C2119" s="3" t="n">
        <v>45968.77222222222</v>
      </c>
      <c r="D2119" s="2" t="inlineStr">
        <is>
          <t>Original</t>
        </is>
      </c>
      <c r="E2119" s="2" t="inlineStr">
        <is>
          <t>L</t>
        </is>
      </c>
      <c r="F2119" s="2" t="inlineStr">
        <is>
          <t>Filipa Pinto; Isabel Mendes Lopes; Jorge Pinto; Patrícia Gonçalves; Paulo Muacho; Rui Tavares</t>
        </is>
      </c>
      <c r="G2119" s="2" t="inlineStr">
        <is>
          <t>Art. 118.º-A (aditamento)</t>
        </is>
      </c>
      <c r="H2119" s="2" t="n"/>
      <c r="I2119" s="2" t="n"/>
      <c r="J2119" s="2" t="n"/>
      <c r="K2119" s="2" t="n"/>
      <c r="L2119" s="2" t="inlineStr">
        <is>
          <t>Artigo 118.º-A (Ensino de Português no Estrangeiro)</t>
        </is>
      </c>
      <c r="M2119" s="4" t="n"/>
      <c r="N2119" s="4" t="n"/>
      <c r="O2119" s="2" t="n"/>
      <c r="P2119" s="2" t="n"/>
      <c r="Q2119" s="2" t="n"/>
      <c r="R2119" s="2" t="n"/>
      <c r="S2119" s="2" t="inlineStr">
        <is>
          <t>Rejeitado(a) em Comissão</t>
        </is>
      </c>
      <c r="T2119" s="2" t="inlineStr">
        <is>
          <t>Rejeitada</t>
        </is>
      </c>
      <c r="U2119" s="2" t="inlineStr">
        <is>
          <t>Favor: IL, L, PCP, BE, PAN; Contra: PSD, CDS-PP; Abstenção: CH, PS</t>
        </is>
      </c>
      <c r="V2119" s="3" t="n">
        <v>45985</v>
      </c>
      <c r="W2119" s="2" t="inlineStr">
        <is>
          <t>AR: https://www.parlamento.pt/OrcamentoEstado/Paginas/DetalhePropostaAlteracao.aspx?BID=25257 PDF: https://app.parlamento.pt/webutils/docs/doc.pdf?path=6148523063484d364c793942556b356c6443397a6158526c63793959566b6c4a544556484c3039464c7a49774d6a59794d4449314d5441774f533951515338774f544d305a575a6b4f433034595459304c545178596a497459574e6c5a5330315a47593259575a68597a566c595751756347526d&amp;Fich=0934efd8-8a64-41b2-acee-5df6afac5ead.pdf&amp;Inline=true</t>
        </is>
      </c>
      <c r="X2119" s="2" t="inlineStr">
        <is>
          <t>Educação e Ciência; Negócios Estrangeiros e Comunidades Portuguesas</t>
        </is>
      </c>
      <c r="Y2119" s="2" t="inlineStr">
        <is>
          <t>Articulado</t>
        </is>
      </c>
      <c r="Z2119" s="2" t="inlineStr">
        <is>
          <t>Aditamento (Artigo PPL)</t>
        </is>
      </c>
      <c r="AA2119" s="2" t="inlineStr">
        <is>
          <t>Rejeitado(a) em Comissão</t>
        </is>
      </c>
      <c r="AB2119" s="2" t="inlineStr"/>
      <c r="AC2119" s="2" t="inlineStr"/>
      <c r="AD2119" s="2" t="inlineStr">
        <is>
          <t>1</t>
        </is>
      </c>
      <c r="AE2119" s="2" t="inlineStr">
        <is>
          <t>25257</t>
        </is>
      </c>
      <c r="AF2119" s="2" t="inlineStr">
        <is>
          <t>https://www.parlamento.pt/OrcamentoEstado/Paginas/DetalhePropostaAlteracao.aspx?BID=25257</t>
        </is>
      </c>
      <c r="AG2119" s="2" t="inlineStr">
        <is>
          <t>https://app.parlamento.pt/webutils/docs/doc.pdf?path=6148523063484d364c793942556b356c6443397a6158526c63793959566b6c4a544556484c3039464c7a49774d6a59794d4449314d5441774f533951515338774f544d305a575a6b4f433034595459304c545178596a497459574e6c5a5330315a47593259575a68597a566c595751756347526d&amp;Fich=0934efd8-8a64-41b2-acee-5df6afac5ead.pdf&amp;Inline=true</t>
        </is>
      </c>
      <c r="AH2119" s="3" t="n">
        <v>46321.77847222222</v>
      </c>
      <c r="AI2119" s="3" t="n">
        <v>46321.78055555555</v>
      </c>
      <c r="AJ2119" s="2" t="inlineStr"/>
    </row>
    <row r="2120">
      <c r="A2120" s="2" t="n">
        <v>2119</v>
      </c>
      <c r="B2120" s="2" t="inlineStr">
        <is>
          <t>2005C</t>
        </is>
      </c>
      <c r="C2120" s="3" t="n">
        <v>45968.77222222222</v>
      </c>
      <c r="D2120" s="2" t="inlineStr">
        <is>
          <t>Original</t>
        </is>
      </c>
      <c r="E2120" s="2" t="inlineStr">
        <is>
          <t>L</t>
        </is>
      </c>
      <c r="F2120" s="2" t="inlineStr">
        <is>
          <t>Filipa Pinto; Isabel Mendes Lopes; Jorge Pinto; Patrícia Gonçalves; Paulo Muacho; Rui Tavares</t>
        </is>
      </c>
      <c r="G2120" s="2" t="inlineStr">
        <is>
          <t>Art. 63.º (substituição)</t>
        </is>
      </c>
      <c r="H2120" s="2" t="n"/>
      <c r="I2120" s="2" t="n"/>
      <c r="J2120" s="2" t="n"/>
      <c r="K2120" s="2" t="n"/>
      <c r="L2120" s="2" t="inlineStr">
        <is>
          <t>Verba 2.31, Lista I anexa ao código do IVA</t>
        </is>
      </c>
      <c r="M2120" s="4" t="n"/>
      <c r="N2120" s="4" t="n"/>
      <c r="O2120" s="2" t="n"/>
      <c r="P2120" s="2" t="n"/>
      <c r="Q2120" s="2" t="n"/>
      <c r="R2120" s="2" t="n"/>
      <c r="S2120" s="2" t="inlineStr">
        <is>
          <t>Rejeitado(a) em Comissão</t>
        </is>
      </c>
      <c r="T2120" s="2" t="inlineStr">
        <is>
          <t>Rejeitada</t>
        </is>
      </c>
      <c r="U2120" s="2" t="inlineStr">
        <is>
          <t>Favor: CH, L, BE, PAN; Contra: PSD, CDS-PP; Abstenção: PS, IL, PCP</t>
        </is>
      </c>
      <c r="V2120" s="3" t="n">
        <v>45982</v>
      </c>
      <c r="W2120" s="2" t="inlineStr">
        <is>
          <t>AR: https://www.parlamento.pt/OrcamentoEstado/Paginas/DetalhePropostaAlteracao.aspx?BID=25258 PDF: https://app.parlamento.pt/webutils/docs/doc.pdf?path=6148523063484d364c793942556b356c6443397a6158526c63793959566b6c4a544556484c3039464c7a49774d6a59794d4449314d5441774f533951515338794e57566b4d4751324d53316c4d57566d4c545130596a4174595745345979316c5954426a5a545931596a45304e4467756347526d&amp;Fich=25ed0d61-e1ef-44b0-aa8c-ea0ce65b1448.pdf&amp;Inline=true</t>
        </is>
      </c>
      <c r="X2120" s="2" t="inlineStr">
        <is>
          <t>Infraestruturas, Mobilidade e Habitação; Orçamento, Finanças e Administração Pública</t>
        </is>
      </c>
      <c r="Y2120" s="2" t="inlineStr">
        <is>
          <t>Articulado</t>
        </is>
      </c>
      <c r="Z2120" s="2" t="inlineStr">
        <is>
          <t>Substituição</t>
        </is>
      </c>
      <c r="AA2120" s="2" t="inlineStr">
        <is>
          <t>Rejeitado(a) em Comissão</t>
        </is>
      </c>
      <c r="AB2120" s="2" t="inlineStr"/>
      <c r="AC2120" s="2" t="inlineStr"/>
      <c r="AD2120" s="2" t="inlineStr">
        <is>
          <t>1</t>
        </is>
      </c>
      <c r="AE2120" s="2" t="inlineStr">
        <is>
          <t>25258</t>
        </is>
      </c>
      <c r="AF2120" s="2" t="inlineStr">
        <is>
          <t>https://www.parlamento.pt/OrcamentoEstado/Paginas/DetalhePropostaAlteracao.aspx?BID=25258</t>
        </is>
      </c>
      <c r="AG2120" s="2" t="inlineStr">
        <is>
          <t>https://app.parlamento.pt/webutils/docs/doc.pdf?path=6148523063484d364c793942556b356c6443397a6158526c63793959566b6c4a544556484c3039464c7a49774d6a59794d4449314d5441774f533951515338794e57566b4d4751324d53316c4d57566d4c545130596a4174595745345979316c5954426a5a545931596a45304e4467756347526d&amp;Fich=25ed0d61-e1ef-44b0-aa8c-ea0ce65b1448.pdf&amp;Inline=true</t>
        </is>
      </c>
      <c r="AH2120" s="3" t="n">
        <v>46321.77847222222</v>
      </c>
      <c r="AI2120" s="3" t="n">
        <v>46321.78055555555</v>
      </c>
      <c r="AJ2120" s="2" t="inlineStr"/>
    </row>
    <row r="2121">
      <c r="A2121" s="2" t="n">
        <v>2120</v>
      </c>
      <c r="B2121" s="2" t="inlineStr">
        <is>
          <t>2006C</t>
        </is>
      </c>
      <c r="C2121" s="3" t="n">
        <v>45968.77430555555</v>
      </c>
      <c r="D2121" s="2" t="inlineStr">
        <is>
          <t>Original</t>
        </is>
      </c>
      <c r="E2121" s="2" t="inlineStr">
        <is>
          <t>L</t>
        </is>
      </c>
      <c r="F2121" s="2" t="inlineStr">
        <is>
          <t>Filipa Pinto; Isabel Mendes Lopes; Jorge Pinto; Patrícia Gonçalves; Paulo Muacho; Rui Tavares</t>
        </is>
      </c>
      <c r="G2121" s="2" t="inlineStr">
        <is>
          <t>Art. 63.º-A (aditamento)</t>
        </is>
      </c>
      <c r="H2121" s="2" t="n"/>
      <c r="I2121" s="2" t="n"/>
      <c r="J2121" s="2" t="n"/>
      <c r="K2121" s="2" t="n"/>
      <c r="L2121" s="2" t="inlineStr">
        <is>
          <t>Artigo 63.º-A (Mecanismo Extraordinário de Devolução Direta do IVA em Bens Essenciais para Famílias de Baixos Rendimentos)</t>
        </is>
      </c>
      <c r="M2121" s="4" t="n"/>
      <c r="N2121" s="4" t="n"/>
      <c r="O2121" s="2" t="n"/>
      <c r="P2121" s="2" t="n"/>
      <c r="Q2121" s="2" t="n"/>
      <c r="R2121" s="2" t="n"/>
      <c r="S2121" s="2" t="inlineStr">
        <is>
          <t>Rejeitado(a) em Comissão</t>
        </is>
      </c>
      <c r="T2121" s="2" t="inlineStr">
        <is>
          <t>Rejeitada</t>
        </is>
      </c>
      <c r="U2121" s="2" t="inlineStr">
        <is>
          <t>Favor: L, PAN; Contra: PSD, CH, CDS-PP; Abstenção: PS, IL, PCP, BE</t>
        </is>
      </c>
      <c r="V2121" s="3" t="n">
        <v>45982</v>
      </c>
      <c r="W2121" s="2" t="inlineStr">
        <is>
          <t>AR: https://www.parlamento.pt/OrcamentoEstado/Paginas/DetalhePropostaAlteracao.aspx?BID=25259 PDF: https://app.parlamento.pt/webutils/docs/doc.pdf?path=6148523063484d364c793942556b356c6443397a6158526c63793959566b6c4a544556484c3039464c7a49774d6a59794d4449314d5441774f533951515338344e444e6d596a686a4e6930794d57526a4c5451794e6a67744f546c6b4d7930784f474d33596d526a4e4755354d5459756347526d&amp;Fich=843fb8c6-21dc-4268-99d3-18c7bdc4e916.pdf&amp;Inline=true</t>
        </is>
      </c>
      <c r="X2121" s="2" t="inlineStr">
        <is>
          <t>Orçamento, Finanças e Administração Pública</t>
        </is>
      </c>
      <c r="Y2121" s="2" t="inlineStr">
        <is>
          <t>Articulado</t>
        </is>
      </c>
      <c r="Z2121" s="2" t="inlineStr">
        <is>
          <t>Aditamento (Artigo PPL)</t>
        </is>
      </c>
      <c r="AA2121" s="2" t="inlineStr">
        <is>
          <t>Rejeitado(a) em Comissão</t>
        </is>
      </c>
      <c r="AB2121" s="2" t="inlineStr"/>
      <c r="AC2121" s="2" t="inlineStr"/>
      <c r="AD2121" s="2" t="inlineStr">
        <is>
          <t>1</t>
        </is>
      </c>
      <c r="AE2121" s="2" t="inlineStr">
        <is>
          <t>25259</t>
        </is>
      </c>
      <c r="AF2121" s="2" t="inlineStr">
        <is>
          <t>https://www.parlamento.pt/OrcamentoEstado/Paginas/DetalhePropostaAlteracao.aspx?BID=25259</t>
        </is>
      </c>
      <c r="AG2121" s="2" t="inlineStr">
        <is>
          <t>https://app.parlamento.pt/webutils/docs/doc.pdf?path=6148523063484d364c793942556b356c6443397a6158526c63793959566b6c4a544556484c3039464c7a49774d6a59794d4449314d5441774f533951515338344e444e6d596a686a4e6930794d57526a4c5451794e6a67744f546c6b4d7930784f474d33596d526a4e4755354d5459756347526d&amp;Fich=843fb8c6-21dc-4268-99d3-18c7bdc4e916.pdf&amp;Inline=true</t>
        </is>
      </c>
      <c r="AH2121" s="3" t="n">
        <v>46321.77847222222</v>
      </c>
      <c r="AI2121" s="3" t="n">
        <v>46321.78055555555</v>
      </c>
      <c r="AJ2121" s="2" t="inlineStr"/>
    </row>
    <row r="2122">
      <c r="A2122" s="2" t="n">
        <v>2121</v>
      </c>
      <c r="B2122" s="2" t="inlineStr">
        <is>
          <t>2007C</t>
        </is>
      </c>
      <c r="C2122" s="3" t="n">
        <v>45968.77430555555</v>
      </c>
      <c r="D2122" s="2" t="inlineStr">
        <is>
          <t>Original</t>
        </is>
      </c>
      <c r="E2122" s="2" t="inlineStr">
        <is>
          <t>L</t>
        </is>
      </c>
      <c r="F2122" s="2" t="inlineStr">
        <is>
          <t>Filipa Pinto; Isabel Mendes Lopes; Jorge Pinto; Patrícia Gonçalves; Paulo Muacho; Rui Tavares</t>
        </is>
      </c>
      <c r="G2122" s="2" t="inlineStr">
        <is>
          <t>Art. 118.º-A (aditamento)</t>
        </is>
      </c>
      <c r="H2122" s="2" t="n"/>
      <c r="I2122" s="2" t="n"/>
      <c r="J2122" s="2" t="n"/>
      <c r="K2122" s="2" t="n"/>
      <c r="L2122" s="2" t="inlineStr">
        <is>
          <t>Artigo 118.º-A (Bolsas de estudo para Escola Portuguesa de São Tomé e Príncipe)</t>
        </is>
      </c>
      <c r="M2122" s="4" t="n"/>
      <c r="N2122" s="4" t="n"/>
      <c r="O2122" s="2" t="n"/>
      <c r="P2122" s="2" t="n"/>
      <c r="Q2122" s="2" t="n"/>
      <c r="R2122" s="2" t="n"/>
      <c r="S2122" s="2" t="inlineStr">
        <is>
          <t>Rejeitado(a) em Comissão</t>
        </is>
      </c>
      <c r="T2122" s="2" t="inlineStr">
        <is>
          <t>Rejeitada</t>
        </is>
      </c>
      <c r="U2122" s="2" t="inlineStr">
        <is>
          <t>Favor: CH, IL, L, PCP, BE, PAN; Contra: PSD, CDS-PP; Abstenção: PS</t>
        </is>
      </c>
      <c r="V2122" s="3" t="n">
        <v>45985</v>
      </c>
      <c r="W2122" s="2" t="inlineStr">
        <is>
          <t>AR: https://www.parlamento.pt/OrcamentoEstado/Paginas/DetalhePropostaAlteracao.aspx?BID=25260 PDF: https://app.parlamento.pt/webutils/docs/doc.pdf?path=6148523063484d364c793942556b356c6443397a6158526c63793959566b6c4a544556484c3039464c7a49774d6a59794d4449314d5441774f533951515338344e4463334e4467325a53316d4e7a526b4c5451344d324d744f54497a5979316c4e4755775a4749774d47497a4d3249756347526d&amp;Fich=8477486e-f74d-483c-923c-e4e0db00b33b.pdf&amp;Inline=true</t>
        </is>
      </c>
      <c r="X2122" s="2" t="inlineStr">
        <is>
          <t>Educação e Ciência; Negócios Estrangeiros e Comunidades Portuguesas</t>
        </is>
      </c>
      <c r="Y2122" s="2" t="inlineStr">
        <is>
          <t>Articulado</t>
        </is>
      </c>
      <c r="Z2122" s="2" t="inlineStr">
        <is>
          <t>Aditamento (Artigo PPL)</t>
        </is>
      </c>
      <c r="AA2122" s="2" t="inlineStr">
        <is>
          <t>Rejeitado(a) em Comissão</t>
        </is>
      </c>
      <c r="AB2122" s="2" t="inlineStr"/>
      <c r="AC2122" s="2" t="inlineStr"/>
      <c r="AD2122" s="2" t="inlineStr">
        <is>
          <t>1</t>
        </is>
      </c>
      <c r="AE2122" s="2" t="inlineStr">
        <is>
          <t>25260</t>
        </is>
      </c>
      <c r="AF2122" s="2" t="inlineStr">
        <is>
          <t>https://www.parlamento.pt/OrcamentoEstado/Paginas/DetalhePropostaAlteracao.aspx?BID=25260</t>
        </is>
      </c>
      <c r="AG2122" s="2" t="inlineStr">
        <is>
          <t>https://app.parlamento.pt/webutils/docs/doc.pdf?path=6148523063484d364c793942556b356c6443397a6158526c63793959566b6c4a544556484c3039464c7a49774d6a59794d4449314d5441774f533951515338344e4463334e4467325a53316d4e7a526b4c5451344d324d744f54497a5979316c4e4755775a4749774d47497a4d3249756347526d&amp;Fich=8477486e-f74d-483c-923c-e4e0db00b33b.pdf&amp;Inline=true</t>
        </is>
      </c>
      <c r="AH2122" s="3" t="n">
        <v>46321.77847222222</v>
      </c>
      <c r="AI2122" s="3" t="n">
        <v>46321.78055555555</v>
      </c>
      <c r="AJ2122" s="2" t="inlineStr"/>
    </row>
    <row r="2123">
      <c r="A2123" s="2" t="n">
        <v>2122</v>
      </c>
      <c r="B2123" s="2" t="inlineStr">
        <is>
          <t>2008C</t>
        </is>
      </c>
      <c r="C2123" s="3" t="n">
        <v>45968.77430555555</v>
      </c>
      <c r="D2123" s="2" t="inlineStr">
        <is>
          <t>Original</t>
        </is>
      </c>
      <c r="E2123" s="2" t="inlineStr">
        <is>
          <t>L</t>
        </is>
      </c>
      <c r="F2123" s="2" t="inlineStr">
        <is>
          <t>Filipa Pinto; Isabel Mendes Lopes; Jorge Pinto; Patrícia Gonçalves; Paulo Muacho; Rui Tavares</t>
        </is>
      </c>
      <c r="G2123" s="2" t="inlineStr">
        <is>
          <t>Art. 126.º-A (aditamento)</t>
        </is>
      </c>
      <c r="H2123" s="2" t="n"/>
      <c r="I2123" s="2" t="n"/>
      <c r="J2123" s="2" t="n"/>
      <c r="K2123" s="2" t="n"/>
      <c r="L2123" s="2" t="inlineStr">
        <is>
          <t>Artigo 126.º-A (Planos Municipais de Adaptação e Mitigação à Desertificação)</t>
        </is>
      </c>
      <c r="M2123" s="4" t="n"/>
      <c r="N2123" s="4" t="n"/>
      <c r="O2123" s="2" t="n"/>
      <c r="P2123" s="2" t="n"/>
      <c r="Q2123" s="2" t="n"/>
      <c r="R2123" s="2" t="n"/>
      <c r="S2123" s="2" t="inlineStr">
        <is>
          <t>Rejeitado(a) em Comissão</t>
        </is>
      </c>
      <c r="T2123" s="2" t="inlineStr">
        <is>
          <t>Rejeitada</t>
        </is>
      </c>
      <c r="U2123" s="2" t="inlineStr">
        <is>
          <t>Favor: L, BE, PAN; Contra: PSD, CH, IL, CDS-PP; Abstenção: PS, PCP</t>
        </is>
      </c>
      <c r="V2123" s="3" t="n">
        <v>45985</v>
      </c>
      <c r="W2123" s="2" t="inlineStr">
        <is>
          <t>AR: https://www.parlamento.pt/OrcamentoEstado/Paginas/DetalhePropostaAlteracao.aspx?BID=25261 PDF: https://app.parlamento.pt/webutils/docs/doc.pdf?path=6148523063484d364c793942556b356c6443397a6158526c63793959566b6c4a544556484c3039464c7a49774d6a59794d4449314d5441774f533951515338334e4449344e57597a4f5330304d5755304c54513259544574595445784e793033596a45324f4445325a6a6330595441756347526d&amp;Fich=74285f39-41e4-46a1-a117-7b16816f74a0.pdf&amp;Inline=true</t>
        </is>
      </c>
      <c r="X2123" s="2" t="inlineStr">
        <is>
          <t>Ambiente e Energia; Reforma do Estado e Poder Local</t>
        </is>
      </c>
      <c r="Y2123" s="2" t="inlineStr">
        <is>
          <t>Articulado</t>
        </is>
      </c>
      <c r="Z2123" s="2" t="inlineStr">
        <is>
          <t>Aditamento (Artigo PPL)</t>
        </is>
      </c>
      <c r="AA2123" s="2" t="inlineStr">
        <is>
          <t>Rejeitado(a) em Comissão</t>
        </is>
      </c>
      <c r="AB2123" s="2" t="inlineStr"/>
      <c r="AC2123" s="2" t="inlineStr"/>
      <c r="AD2123" s="2" t="inlineStr">
        <is>
          <t>1</t>
        </is>
      </c>
      <c r="AE2123" s="2" t="inlineStr">
        <is>
          <t>25261</t>
        </is>
      </c>
      <c r="AF2123" s="2" t="inlineStr">
        <is>
          <t>https://www.parlamento.pt/OrcamentoEstado/Paginas/DetalhePropostaAlteracao.aspx?BID=25261</t>
        </is>
      </c>
      <c r="AG2123" s="2" t="inlineStr">
        <is>
          <t>https://app.parlamento.pt/webutils/docs/doc.pdf?path=6148523063484d364c793942556b356c6443397a6158526c63793959566b6c4a544556484c3039464c7a49774d6a59794d4449314d5441774f533951515338334e4449344e57597a4f5330304d5755304c54513259544574595445784e793033596a45324f4445325a6a6330595441756347526d&amp;Fich=74285f39-41e4-46a1-a117-7b16816f74a0.pdf&amp;Inline=true</t>
        </is>
      </c>
      <c r="AH2123" s="3" t="n">
        <v>46321.77847222222</v>
      </c>
      <c r="AI2123" s="3" t="n">
        <v>46321.78055555555</v>
      </c>
      <c r="AJ2123" s="2" t="inlineStr"/>
    </row>
    <row r="2124">
      <c r="A2124" s="2" t="n">
        <v>2123</v>
      </c>
      <c r="B2124" s="2" t="inlineStr">
        <is>
          <t>2009C</t>
        </is>
      </c>
      <c r="C2124" s="3" t="n">
        <v>45968.77569444444</v>
      </c>
      <c r="D2124" s="2" t="inlineStr">
        <is>
          <t>Original</t>
        </is>
      </c>
      <c r="E2124" s="2" t="inlineStr">
        <is>
          <t>L</t>
        </is>
      </c>
      <c r="F2124" s="2" t="inlineStr">
        <is>
          <t>Filipa Pinto; Isabel Mendes Lopes; Jorge Pinto; Patrícia Gonçalves; Paulo Muacho; Rui Tavares</t>
        </is>
      </c>
      <c r="G2124" s="2" t="inlineStr">
        <is>
          <t>Art. 119.º-A (aditamento)</t>
        </is>
      </c>
      <c r="H2124" s="2" t="n"/>
      <c r="I2124" s="2" t="n"/>
      <c r="J2124" s="2" t="n"/>
      <c r="K2124" s="2" t="n"/>
      <c r="L2124" s="2" t="inlineStr">
        <is>
          <t>Artigo 119.º-A (Reforço dos rastreios de infecções sexualmente transmissíveis)</t>
        </is>
      </c>
      <c r="M2124" s="4" t="n"/>
      <c r="N2124" s="4" t="n"/>
      <c r="O2124" s="2" t="n"/>
      <c r="P2124" s="2" t="n"/>
      <c r="Q2124" s="2" t="n"/>
      <c r="R2124" s="2" t="n"/>
      <c r="S2124" s="2" t="inlineStr">
        <is>
          <t>Rejeitado(a) em Comissão</t>
        </is>
      </c>
      <c r="T2124" s="2" t="inlineStr">
        <is>
          <t>Rejeitada</t>
        </is>
      </c>
      <c r="U2124" s="2" t="inlineStr">
        <is>
          <t>Favor: L, PCP, BE, PAN; Contra: PSD, CDS-PP; Abstenção: CH, PS, IL</t>
        </is>
      </c>
      <c r="V2124" s="3" t="n">
        <v>45985</v>
      </c>
      <c r="W2124" s="2" t="inlineStr">
        <is>
          <t>AR: https://www.parlamento.pt/OrcamentoEstado/Paginas/DetalhePropostaAlteracao.aspx?BID=25262 PDF: https://app.parlamento.pt/webutils/docs/doc.pdf?path=6148523063484d364c793942556b356c6443397a6158526c63793959566b6c4a544556484c3039464c7a49774d6a59794d4449314d5441774f533951515338774d4449785a4456684e4330304f4451344c5452694e5751744f5745325a433168596a67774f444a6c4d6a59344d4455756347526d&amp;Fich=0021d5a4-4848-4b5d-9a6d-ab8082e26805.pdf&amp;Inline=true</t>
        </is>
      </c>
      <c r="X2124" s="2" t="inlineStr">
        <is>
          <t>Saúde</t>
        </is>
      </c>
      <c r="Y2124" s="2" t="inlineStr">
        <is>
          <t>Articulado</t>
        </is>
      </c>
      <c r="Z2124" s="2" t="inlineStr">
        <is>
          <t>Aditamento (Artigo PPL)</t>
        </is>
      </c>
      <c r="AA2124" s="2" t="inlineStr">
        <is>
          <t>Rejeitado(a) em Comissão</t>
        </is>
      </c>
      <c r="AB2124" s="2" t="inlineStr"/>
      <c r="AC2124" s="2" t="inlineStr"/>
      <c r="AD2124" s="2" t="inlineStr">
        <is>
          <t>1</t>
        </is>
      </c>
      <c r="AE2124" s="2" t="inlineStr">
        <is>
          <t>25262</t>
        </is>
      </c>
      <c r="AF2124" s="2" t="inlineStr">
        <is>
          <t>https://www.parlamento.pt/OrcamentoEstado/Paginas/DetalhePropostaAlteracao.aspx?BID=25262</t>
        </is>
      </c>
      <c r="AG2124" s="2" t="inlineStr">
        <is>
          <t>https://app.parlamento.pt/webutils/docs/doc.pdf?path=6148523063484d364c793942556b356c6443397a6158526c63793959566b6c4a544556484c3039464c7a49774d6a59794d4449314d5441774f533951515338774d4449785a4456684e4330304f4451344c5452694e5751744f5745325a433168596a67774f444a6c4d6a59344d4455756347526d&amp;Fich=0021d5a4-4848-4b5d-9a6d-ab8082e26805.pdf&amp;Inline=true</t>
        </is>
      </c>
      <c r="AH2124" s="3" t="n">
        <v>46321.77847222222</v>
      </c>
      <c r="AI2124" s="3" t="n">
        <v>46321.78055555555</v>
      </c>
      <c r="AJ2124" s="2" t="inlineStr"/>
    </row>
    <row r="2125">
      <c r="A2125" s="2" t="n">
        <v>2124</v>
      </c>
      <c r="B2125" s="2" t="inlineStr">
        <is>
          <t>2010C</t>
        </is>
      </c>
      <c r="C2125" s="3" t="n">
        <v>45968.77569444444</v>
      </c>
      <c r="D2125" s="2" t="inlineStr">
        <is>
          <t>Original</t>
        </is>
      </c>
      <c r="E2125" s="2" t="inlineStr">
        <is>
          <t>L</t>
        </is>
      </c>
      <c r="F2125" s="2" t="inlineStr">
        <is>
          <t>Filipa Pinto; Isabel Mendes Lopes; Jorge Pinto; Patrícia Gonçalves; Paulo Muacho; Rui Tavares</t>
        </is>
      </c>
      <c r="G2125" s="2" t="inlineStr">
        <is>
          <t>Art. 37.º-A (aditamento)</t>
        </is>
      </c>
      <c r="H2125" s="2" t="n"/>
      <c r="I2125" s="2" t="n"/>
      <c r="J2125" s="2" t="n"/>
      <c r="K2125" s="2" t="n"/>
      <c r="L2125" s="2" t="inlineStr">
        <is>
          <t>Artigo 37.º-A (Alteração ao Decreto-Lei n.º 126-A/2017, de 6 de outubro)</t>
        </is>
      </c>
      <c r="M2125" s="4" t="n"/>
      <c r="N2125" s="4" t="n"/>
      <c r="O2125" s="2" t="n"/>
      <c r="P2125" s="2" t="n"/>
      <c r="Q2125" s="2" t="n"/>
      <c r="R2125" s="2" t="n"/>
      <c r="S2125" s="2" t="inlineStr">
        <is>
          <t>Rejeitado(a) em Comissão</t>
        </is>
      </c>
      <c r="T2125" s="2" t="inlineStr">
        <is>
          <t>Rejeitada</t>
        </is>
      </c>
      <c r="U2125" s="2" t="inlineStr">
        <is>
          <t>Favor: L, PCP, BE, PAN; Contra: PSD, CDS-PP; Abstenção: CH, PS, IL</t>
        </is>
      </c>
      <c r="V2125" s="3" t="n">
        <v>45981</v>
      </c>
      <c r="W2125" s="2" t="inlineStr">
        <is>
          <t>AR: https://www.parlamento.pt/OrcamentoEstado/Paginas/DetalhePropostaAlteracao.aspx?BID=25263 PDF: https://app.parlamento.pt/webutils/docs/doc.pdf?path=6148523063484d364c793942556b356c6443397a6158526c63793959566b6c4a544556484c3039464c7a49774d6a59794d4449314d5441774f533951515338324e54526d595451325953316c597a6b7a4c5451794d7a5574596a4d774e6930315932466a59546869597a6c6c4e6a6b756347526d&amp;Fich=654fa46a-ec93-4235-b306-5caca8bc9e69.pdf&amp;Inline=true</t>
        </is>
      </c>
      <c r="X2125" s="2" t="inlineStr">
        <is>
          <t>Trabalho, Segurança Social e Inclusão</t>
        </is>
      </c>
      <c r="Y2125" s="2" t="inlineStr">
        <is>
          <t>Articulado</t>
        </is>
      </c>
      <c r="Z2125" s="2" t="inlineStr">
        <is>
          <t>Aditamento (Artigo PPL)</t>
        </is>
      </c>
      <c r="AA2125" s="2" t="inlineStr">
        <is>
          <t>Rejeitado(a) em Comissão</t>
        </is>
      </c>
      <c r="AB2125" s="2" t="inlineStr"/>
      <c r="AC2125" s="2" t="inlineStr"/>
      <c r="AD2125" s="2" t="inlineStr">
        <is>
          <t>1</t>
        </is>
      </c>
      <c r="AE2125" s="2" t="inlineStr">
        <is>
          <t>25263</t>
        </is>
      </c>
      <c r="AF2125" s="2" t="inlineStr">
        <is>
          <t>https://www.parlamento.pt/OrcamentoEstado/Paginas/DetalhePropostaAlteracao.aspx?BID=25263</t>
        </is>
      </c>
      <c r="AG2125" s="2" t="inlineStr">
        <is>
          <t>https://app.parlamento.pt/webutils/docs/doc.pdf?path=6148523063484d364c793942556b356c6443397a6158526c63793959566b6c4a544556484c3039464c7a49774d6a59794d4449314d5441774f533951515338324e54526d595451325953316c597a6b7a4c5451794d7a5574596a4d774e6930315932466a59546869597a6c6c4e6a6b756347526d&amp;Fich=654fa46a-ec93-4235-b306-5caca8bc9e69.pdf&amp;Inline=true</t>
        </is>
      </c>
      <c r="AH2125" s="3" t="n">
        <v>46321.77847222222</v>
      </c>
      <c r="AI2125" s="3" t="n">
        <v>46321.78055555555</v>
      </c>
      <c r="AJ2125" s="2" t="inlineStr"/>
    </row>
    <row r="2126">
      <c r="A2126" s="2" t="n">
        <v>2125</v>
      </c>
      <c r="B2126" s="2" t="inlineStr">
        <is>
          <t>2011C</t>
        </is>
      </c>
      <c r="C2126" s="3" t="n">
        <v>45968.77569444444</v>
      </c>
      <c r="D2126" s="2" t="inlineStr">
        <is>
          <t>Original</t>
        </is>
      </c>
      <c r="E2126" s="2" t="inlineStr">
        <is>
          <t>L</t>
        </is>
      </c>
      <c r="F2126" s="2" t="inlineStr">
        <is>
          <t>Filipa Pinto; Isabel Mendes Lopes; Jorge Pinto; Patrícia Gonçalves; Paulo Muacho; Rui Tavares</t>
        </is>
      </c>
      <c r="G2126" s="2" t="inlineStr">
        <is>
          <t>Art. 112.º-A (aditamento)</t>
        </is>
      </c>
      <c r="H2126" s="2" t="n"/>
      <c r="I2126" s="2" t="n"/>
      <c r="J2126" s="2" t="n"/>
      <c r="K2126" s="2" t="n"/>
      <c r="L2126" s="2" t="inlineStr">
        <is>
          <t>Artigo 112.º-A (Alteração do artigo 234.º do Código do Trabalho, visando a possibilidade de gozo do feriado ao fim de semana na segunda-feira seguinte)</t>
        </is>
      </c>
      <c r="M2126" s="4" t="n"/>
      <c r="N2126" s="4" t="n"/>
      <c r="O2126" s="2" t="n"/>
      <c r="P2126" s="2" t="n"/>
      <c r="Q2126" s="2" t="n"/>
      <c r="R2126" s="2" t="n"/>
      <c r="S2126" s="2" t="inlineStr">
        <is>
          <t>Rejeitado(a) em Comissão</t>
        </is>
      </c>
      <c r="T2126" s="2" t="inlineStr">
        <is>
          <t>Rejeitada</t>
        </is>
      </c>
      <c r="U2126" s="2" t="inlineStr">
        <is>
          <t>Favor: L, BE, PAN; Contra: PSD, CH, IL, PCP, CDS-PP; Abstenção: PS</t>
        </is>
      </c>
      <c r="V2126" s="3" t="n">
        <v>45982</v>
      </c>
      <c r="W2126" s="2" t="inlineStr">
        <is>
          <t>AR: https://www.parlamento.pt/OrcamentoEstado/Paginas/DetalhePropostaAlteracao.aspx?BID=25264 PDF: https://app.parlamento.pt/webutils/docs/doc.pdf?path=6148523063484d364c793942556b356c6443397a6158526c63793959566b6c4a544556484c3039464c7a49774d6a59794d4449314d5441774f533951515338784e6d4e6c5a6a4a6a595330345a4459334c5452684f474974596a41344f5331685a6a526a5a5441345a5451354d5463756347526d&amp;Fich=16cef2ca-8d67-4a8b-b089-af4ce08e4917.pdf&amp;Inline=true</t>
        </is>
      </c>
      <c r="X2126" s="2" t="inlineStr">
        <is>
          <t>Trabalho, Segurança Social e Inclusão</t>
        </is>
      </c>
      <c r="Y2126" s="2" t="inlineStr">
        <is>
          <t>Articulado</t>
        </is>
      </c>
      <c r="Z2126" s="2" t="inlineStr">
        <is>
          <t>Aditamento (Artigo PPL)</t>
        </is>
      </c>
      <c r="AA2126" s="2" t="inlineStr">
        <is>
          <t>Rejeitado(a) em Comissão</t>
        </is>
      </c>
      <c r="AB2126" s="2" t="inlineStr"/>
      <c r="AC2126" s="2" t="inlineStr"/>
      <c r="AD2126" s="2" t="inlineStr">
        <is>
          <t>1</t>
        </is>
      </c>
      <c r="AE2126" s="2" t="inlineStr">
        <is>
          <t>25264</t>
        </is>
      </c>
      <c r="AF2126" s="2" t="inlineStr">
        <is>
          <t>https://www.parlamento.pt/OrcamentoEstado/Paginas/DetalhePropostaAlteracao.aspx?BID=25264</t>
        </is>
      </c>
      <c r="AG2126" s="2" t="inlineStr">
        <is>
          <t>https://app.parlamento.pt/webutils/docs/doc.pdf?path=6148523063484d364c793942556b356c6443397a6158526c63793959566b6c4a544556484c3039464c7a49774d6a59794d4449314d5441774f533951515338784e6d4e6c5a6a4a6a595330345a4459334c5452684f474974596a41344f5331685a6a526a5a5441345a5451354d5463756347526d&amp;Fich=16cef2ca-8d67-4a8b-b089-af4ce08e4917.pdf&amp;Inline=true</t>
        </is>
      </c>
      <c r="AH2126" s="3" t="n">
        <v>46321.77847222222</v>
      </c>
      <c r="AI2126" s="3" t="n">
        <v>46321.78055555555</v>
      </c>
      <c r="AJ2126" s="2" t="inlineStr"/>
    </row>
    <row r="2127">
      <c r="A2127" s="2" t="n">
        <v>2126</v>
      </c>
      <c r="B2127" s="2" t="inlineStr">
        <is>
          <t>2012C</t>
        </is>
      </c>
      <c r="C2127" s="3" t="n">
        <v>45968.77708333333</v>
      </c>
      <c r="D2127" s="2" t="inlineStr">
        <is>
          <t>Original</t>
        </is>
      </c>
      <c r="E2127" s="2" t="inlineStr">
        <is>
          <t>L</t>
        </is>
      </c>
      <c r="F2127" s="2" t="inlineStr">
        <is>
          <t>Filipa Pinto; Isabel Mendes Lopes; Jorge Pinto; Patrícia Gonçalves; Paulo Muacho; Rui Tavares</t>
        </is>
      </c>
      <c r="G2127" s="2" t="inlineStr">
        <is>
          <t>Art. 61.º (substituição)</t>
        </is>
      </c>
      <c r="H2127" s="2" t="n"/>
      <c r="I2127" s="2" t="n"/>
      <c r="J2127" s="2" t="n"/>
      <c r="K2127" s="2" t="n"/>
      <c r="L2127" s="2" t="inlineStr">
        <is>
          <t>N.º 7, N.º 9, Artigo 88.º do Código do IRC</t>
        </is>
      </c>
      <c r="M2127" s="4" t="n"/>
      <c r="N2127" s="4" t="n"/>
      <c r="O2127" s="2" t="n"/>
      <c r="P2127" s="2" t="n"/>
      <c r="Q2127" s="2" t="n"/>
      <c r="R2127" s="2" t="n"/>
      <c r="S2127" s="2" t="inlineStr">
        <is>
          <t>Rejeitado(a) em Comissão</t>
        </is>
      </c>
      <c r="T2127" s="2" t="inlineStr">
        <is>
          <t>Rejeitada</t>
        </is>
      </c>
      <c r="U2127" s="2" t="inlineStr">
        <is>
          <t>Favor: L, PCP, PAN; Contra: PSD, CH, IL, CDS-PP; Abstenção: PS, BE</t>
        </is>
      </c>
      <c r="V2127" s="3" t="n">
        <v>45981</v>
      </c>
      <c r="W2127" s="2" t="inlineStr">
        <is>
          <t>AR: https://www.parlamento.pt/OrcamentoEstado/Paginas/DetalhePropostaAlteracao.aspx?BID=25265 PDF: https://app.parlamento.pt/webutils/docs/doc.pdf?path=6148523063484d364c793942556b356c6443397a6158526c63793959566b6c4a544556484c3039464c7a49774d6a59794d4449314d5441774f533951515338794d3251784f474e6d4f53307a4d7a566b4c54526c4d546374596a4d315a5330774d4749305a6a68684e4751314d7a45756347526d&amp;Fich=23d18cf9-335d-4e17-b35e-00b4f8a4d531.pdf&amp;Inline=true</t>
        </is>
      </c>
      <c r="X2127" s="2" t="inlineStr">
        <is>
          <t>Orçamento, Finanças e Administração Pública</t>
        </is>
      </c>
      <c r="Y2127" s="2" t="inlineStr">
        <is>
          <t>Articulado</t>
        </is>
      </c>
      <c r="Z2127" s="2" t="inlineStr">
        <is>
          <t>Substituição</t>
        </is>
      </c>
      <c r="AA2127" s="2" t="inlineStr">
        <is>
          <t>Rejeitado(a) em Comissão</t>
        </is>
      </c>
      <c r="AB2127" s="2" t="inlineStr"/>
      <c r="AC2127" s="2" t="inlineStr"/>
      <c r="AD2127" s="2" t="inlineStr">
        <is>
          <t>1</t>
        </is>
      </c>
      <c r="AE2127" s="2" t="inlineStr">
        <is>
          <t>25265</t>
        </is>
      </c>
      <c r="AF2127" s="2" t="inlineStr">
        <is>
          <t>https://www.parlamento.pt/OrcamentoEstado/Paginas/DetalhePropostaAlteracao.aspx?BID=25265</t>
        </is>
      </c>
      <c r="AG2127" s="2" t="inlineStr">
        <is>
          <t>https://app.parlamento.pt/webutils/docs/doc.pdf?path=6148523063484d364c793942556b356c6443397a6158526c63793959566b6c4a544556484c3039464c7a49774d6a59794d4449314d5441774f533951515338794d3251784f474e6d4f53307a4d7a566b4c54526c4d546374596a4d315a5330774d4749305a6a68684e4751314d7a45756347526d&amp;Fich=23d18cf9-335d-4e17-b35e-00b4f8a4d531.pdf&amp;Inline=true</t>
        </is>
      </c>
      <c r="AH2127" s="3" t="n">
        <v>46321.77847222222</v>
      </c>
      <c r="AI2127" s="3" t="n">
        <v>46321.78055555555</v>
      </c>
      <c r="AJ2127" s="2" t="inlineStr"/>
    </row>
    <row r="2128">
      <c r="A2128" s="2" t="n">
        <v>2127</v>
      </c>
      <c r="B2128" s="2" t="inlineStr">
        <is>
          <t>2013C</t>
        </is>
      </c>
      <c r="C2128" s="3" t="n">
        <v>45968.77777777778</v>
      </c>
      <c r="D2128" s="2" t="inlineStr">
        <is>
          <t>Original</t>
        </is>
      </c>
      <c r="E2128" s="2" t="inlineStr">
        <is>
          <t>L</t>
        </is>
      </c>
      <c r="F2128" s="2" t="inlineStr">
        <is>
          <t>Filipa Pinto; Isabel Mendes Lopes; Jorge Pinto; Patrícia Gonçalves; Paulo Muacho; Rui Tavares</t>
        </is>
      </c>
      <c r="G2128" s="2" t="inlineStr">
        <is>
          <t>Art. 123.º-A (aditamento)</t>
        </is>
      </c>
      <c r="H2128" s="2" t="n"/>
      <c r="I2128" s="2" t="n"/>
      <c r="J2128" s="2" t="n"/>
      <c r="K2128" s="2" t="n"/>
      <c r="L2128" s="2" t="inlineStr">
        <is>
          <t>Artigo 123.º-A (Incentivo pela Introdução no Consumo de Veículos de Emissões Nulas)</t>
        </is>
      </c>
      <c r="M2128" s="4" t="n"/>
      <c r="N2128" s="4" t="n"/>
      <c r="O2128" s="2" t="n"/>
      <c r="P2128" s="2" t="n"/>
      <c r="Q2128" s="2" t="n"/>
      <c r="R2128" s="2" t="n"/>
      <c r="S2128" s="2" t="inlineStr">
        <is>
          <t>Rejeitado(a) em Comissão</t>
        </is>
      </c>
      <c r="T2128" s="2" t="inlineStr">
        <is>
          <t>Rejeitada</t>
        </is>
      </c>
      <c r="U2128" s="2" t="inlineStr">
        <is>
          <t>Favor: L, PAN; Contra: PSD, CH, IL, CDS-PP; Abstenção: PS, PCP, BE</t>
        </is>
      </c>
      <c r="V2128" s="3" t="n">
        <v>45985</v>
      </c>
      <c r="W2128" s="2" t="inlineStr">
        <is>
          <t>AR: https://www.parlamento.pt/OrcamentoEstado/Paginas/DetalhePropostaAlteracao.aspx?BID=25266 PDF: https://app.parlamento.pt/webutils/docs/doc.pdf?path=6148523063484d364c793942556b356c6443397a6158526c63793959566b6c4a544556484c3039464c7a49774d6a59794d4449314d5441774f533951515339694e6d59335a44466a5a4330354f474d794c545134596a51744f57457a4f4331684f4455305a5459794d6a63304f4751756347526d&amp;Fich=b6f7d1cd-98c2-48b4-9a38-a854e622748d.pdf&amp;Inline=true</t>
        </is>
      </c>
      <c r="X2128" s="2" t="inlineStr">
        <is>
          <t>Ambiente e Energia; Infraestruturas, Mobilidade e Habitação</t>
        </is>
      </c>
      <c r="Y2128" s="2" t="inlineStr">
        <is>
          <t>Articulado</t>
        </is>
      </c>
      <c r="Z2128" s="2" t="inlineStr">
        <is>
          <t>Aditamento (Artigo PPL)</t>
        </is>
      </c>
      <c r="AA2128" s="2" t="inlineStr">
        <is>
          <t>Rejeitado(a) em Comissão</t>
        </is>
      </c>
      <c r="AB2128" s="2" t="inlineStr"/>
      <c r="AC2128" s="2" t="inlineStr"/>
      <c r="AD2128" s="2" t="inlineStr">
        <is>
          <t>1</t>
        </is>
      </c>
      <c r="AE2128" s="2" t="inlineStr">
        <is>
          <t>25266</t>
        </is>
      </c>
      <c r="AF2128" s="2" t="inlineStr">
        <is>
          <t>https://www.parlamento.pt/OrcamentoEstado/Paginas/DetalhePropostaAlteracao.aspx?BID=25266</t>
        </is>
      </c>
      <c r="AG2128" s="2" t="inlineStr">
        <is>
          <t>https://app.parlamento.pt/webutils/docs/doc.pdf?path=6148523063484d364c793942556b356c6443397a6158526c63793959566b6c4a544556484c3039464c7a49774d6a59794d4449314d5441774f533951515339694e6d59335a44466a5a4330354f474d794c545134596a51744f57457a4f4331684f4455305a5459794d6a63304f4751756347526d&amp;Fich=b6f7d1cd-98c2-48b4-9a38-a854e622748d.pdf&amp;Inline=true</t>
        </is>
      </c>
      <c r="AH2128" s="3" t="n">
        <v>46321.77847222222</v>
      </c>
      <c r="AI2128" s="3" t="n">
        <v>46321.78055555555</v>
      </c>
      <c r="AJ2128" s="2" t="inlineStr"/>
    </row>
    <row r="2129">
      <c r="A2129" s="2" t="n">
        <v>2128</v>
      </c>
      <c r="B2129" s="2" t="inlineStr">
        <is>
          <t>2014C</t>
        </is>
      </c>
      <c r="C2129" s="3" t="n">
        <v>45968.77847222222</v>
      </c>
      <c r="D2129" s="2" t="inlineStr">
        <is>
          <t>Original</t>
        </is>
      </c>
      <c r="E2129" s="2" t="inlineStr">
        <is>
          <t>L</t>
        </is>
      </c>
      <c r="F2129" s="2" t="inlineStr">
        <is>
          <t>Filipa Pinto; Isabel Mendes Lopes; Jorge Pinto; Patrícia Gonçalves; Paulo Muacho; Rui Tavares</t>
        </is>
      </c>
      <c r="G2129" s="2" t="inlineStr">
        <is>
          <t>Art. 38.º-A (aditamento)</t>
        </is>
      </c>
      <c r="H2129" s="2" t="n"/>
      <c r="I2129" s="2" t="n"/>
      <c r="J2129" s="2" t="n"/>
      <c r="K2129" s="2" t="n"/>
      <c r="L2129" s="2" t="inlineStr">
        <is>
          <t>Artigo 38.º-A (Aumento suplementar das pensões e complementar à atualização anual das pensões)</t>
        </is>
      </c>
      <c r="M2129" s="4" t="n"/>
      <c r="N2129" s="4" t="n"/>
      <c r="O2129" s="2" t="n"/>
      <c r="P2129" s="2" t="n"/>
      <c r="Q2129" s="2" t="n"/>
      <c r="R2129" s="2" t="n"/>
      <c r="S2129" s="2" t="inlineStr">
        <is>
          <t>Rejeitado(a) em Comissão</t>
        </is>
      </c>
      <c r="T2129" s="2" t="inlineStr">
        <is>
          <t>Rejeitada</t>
        </is>
      </c>
      <c r="U2129" s="2" t="inlineStr">
        <is>
          <t>Favor: L, PCP, BE, PAN; Contra: PSD, IL, CDS-PP; Abstenção: CH, PS</t>
        </is>
      </c>
      <c r="V2129" s="3" t="n">
        <v>45981</v>
      </c>
      <c r="W2129" s="2" t="inlineStr">
        <is>
          <t>AR: https://www.parlamento.pt/OrcamentoEstado/Paginas/DetalhePropostaAlteracao.aspx?BID=25267 PDF: https://app.parlamento.pt/webutils/docs/doc.pdf?path=6148523063484d364c793942556b356c6443397a6158526c63793959566b6c4a544556484c3039464c7a49774d6a59794d4449314d5441774f5339515153387a596a686a4d6a63354e79316a4e544a684c5451354e4441744f4467314d6930794d544668595441314f445931596d49756347526d&amp;Fich=3b8c2797-c52a-4940-8852-211aa05865bb.pdf&amp;Inline=true</t>
        </is>
      </c>
      <c r="X2129" s="2" t="inlineStr">
        <is>
          <t>Trabalho, Segurança Social e Inclusão</t>
        </is>
      </c>
      <c r="Y2129" s="2" t="inlineStr">
        <is>
          <t>Articulado</t>
        </is>
      </c>
      <c r="Z2129" s="2" t="inlineStr">
        <is>
          <t>Aditamento (Artigo PPL)</t>
        </is>
      </c>
      <c r="AA2129" s="2" t="inlineStr">
        <is>
          <t>Rejeitado(a) em Comissão</t>
        </is>
      </c>
      <c r="AB2129" s="2" t="inlineStr"/>
      <c r="AC2129" s="2" t="inlineStr"/>
      <c r="AD2129" s="2" t="inlineStr">
        <is>
          <t>1</t>
        </is>
      </c>
      <c r="AE2129" s="2" t="inlineStr">
        <is>
          <t>25267</t>
        </is>
      </c>
      <c r="AF2129" s="2" t="inlineStr">
        <is>
          <t>https://www.parlamento.pt/OrcamentoEstado/Paginas/DetalhePropostaAlteracao.aspx?BID=25267</t>
        </is>
      </c>
      <c r="AG2129" s="2" t="inlineStr">
        <is>
          <t>https://app.parlamento.pt/webutils/docs/doc.pdf?path=6148523063484d364c793942556b356c6443397a6158526c63793959566b6c4a544556484c3039464c7a49774d6a59794d4449314d5441774f5339515153387a596a686a4d6a63354e79316a4e544a684c5451354e4441744f4467314d6930794d544668595441314f445931596d49756347526d&amp;Fich=3b8c2797-c52a-4940-8852-211aa05865bb.pdf&amp;Inline=true</t>
        </is>
      </c>
      <c r="AH2129" s="3" t="n">
        <v>46321.77847222222</v>
      </c>
      <c r="AI2129" s="3" t="n">
        <v>46321.78055555555</v>
      </c>
      <c r="AJ2129" s="2" t="inlineStr"/>
    </row>
    <row r="2130">
      <c r="A2130" s="2" t="n">
        <v>2129</v>
      </c>
      <c r="B2130" s="2" t="inlineStr">
        <is>
          <t>2015C-1</t>
        </is>
      </c>
      <c r="C2130" s="3" t="n">
        <v>45968.77916666667</v>
      </c>
      <c r="D2130" s="2" t="inlineStr">
        <is>
          <t>Original</t>
        </is>
      </c>
      <c r="E2130" s="2" t="inlineStr">
        <is>
          <t>L</t>
        </is>
      </c>
      <c r="F2130" s="2" t="inlineStr">
        <is>
          <t>Filipa Pinto; Isabel Mendes Lopes; Jorge Pinto; Patrícia Gonçalves; Paulo Muacho; Rui Tavares</t>
        </is>
      </c>
      <c r="G2130" s="2" t="inlineStr">
        <is>
          <t>Art. 113.º (aditamento)</t>
        </is>
      </c>
      <c r="H2130" s="2" t="n"/>
      <c r="I2130" s="2" t="n"/>
      <c r="J2130" s="2" t="n"/>
      <c r="K2130" s="2" t="n"/>
      <c r="L2130" s="2" t="inlineStr">
        <is>
          <t>Novo N.º 3, Artigo 113.º</t>
        </is>
      </c>
      <c r="M2130" s="4" t="n"/>
      <c r="N2130" s="4" t="n"/>
      <c r="O2130" s="2" t="n"/>
      <c r="P2130" s="2" t="n"/>
      <c r="Q2130" s="2" t="n"/>
      <c r="R2130" s="2" t="n"/>
      <c r="S2130" s="2" t="inlineStr">
        <is>
          <t>Rejeitado(a) em Comissão</t>
        </is>
      </c>
      <c r="T2130" s="2" t="inlineStr">
        <is>
          <t>Rejeitada</t>
        </is>
      </c>
      <c r="U2130" s="2" t="inlineStr">
        <is>
          <t>Favor: L, PCP, BE, PAN; Contra: PSD, IL, CDS-PP; Abstenção: CH, PS</t>
        </is>
      </c>
      <c r="V2130" s="3" t="n">
        <v>45985</v>
      </c>
      <c r="W2130" s="2" t="inlineStr">
        <is>
          <t>AR: https://www.parlamento.pt/OrcamentoEstado/Paginas/DetalhePropostaAlteracao.aspx?BID=25268 PDF: https://app.parlamento.pt/webutils/docs/doc.pdf?path=6148523063484d364c793942556b356c6443397a6158526c63793959566b6c4a544556484c3039464c7a49774d6a59794d4449314d5441774f5339515153396b5a6a497a4d7a41344e53316d596a51354c54526d4d7a49744f4446694d7930785a6d4d794e6a426c5a5459304e6a45756347526d&amp;Fich=df233085-fb49-4f32-81b3-1fc260ee6461.pdf&amp;Inline=true</t>
        </is>
      </c>
      <c r="X2130" s="2" t="inlineStr">
        <is>
          <t>Orçamento, Finanças e Administração Pública; Trabalho, Segurança Social e Inclusão</t>
        </is>
      </c>
      <c r="Y2130" s="2" t="inlineStr">
        <is>
          <t>Articulado</t>
        </is>
      </c>
      <c r="Z2130" s="2" t="inlineStr">
        <is>
          <t>Aditamento (Números e Alíneas)</t>
        </is>
      </c>
      <c r="AA2130" s="2" t="inlineStr">
        <is>
          <t>Rejeitado(a) em Comissão</t>
        </is>
      </c>
      <c r="AB2130" s="2" t="inlineStr"/>
      <c r="AC2130" s="2" t="inlineStr">
        <is>
          <t>1</t>
        </is>
      </c>
      <c r="AD2130" s="2" t="inlineStr">
        <is>
          <t>1</t>
        </is>
      </c>
      <c r="AE2130" s="2" t="inlineStr">
        <is>
          <t>25268</t>
        </is>
      </c>
      <c r="AF2130" s="2" t="inlineStr">
        <is>
          <t>https://www.parlamento.pt/OrcamentoEstado/Paginas/DetalhePropostaAlteracao.aspx?BID=25268</t>
        </is>
      </c>
      <c r="AG2130" s="2" t="inlineStr">
        <is>
          <t>https://app.parlamento.pt/webutils/docs/doc.pdf?path=6148523063484d364c793942556b356c6443397a6158526c63793959566b6c4a544556484c3039464c7a49774d6a59794d4449314d5441774f5339515153396b5a6a497a4d7a41344e53316d596a51354c54526d4d7a49744f4446694d7930785a6d4d794e6a426c5a5459304e6a45756347526d&amp;Fich=df233085-fb49-4f32-81b3-1fc260ee6461.pdf&amp;Inline=true</t>
        </is>
      </c>
      <c r="AH2130" s="3" t="n">
        <v>46321.77847222222</v>
      </c>
      <c r="AI2130" s="3" t="n">
        <v>46321.78055555555</v>
      </c>
      <c r="AJ2130" s="2" t="inlineStr"/>
    </row>
    <row r="2131">
      <c r="A2131" s="2" t="n">
        <v>2130</v>
      </c>
      <c r="B2131" s="2" t="inlineStr">
        <is>
          <t>2015C-2</t>
        </is>
      </c>
      <c r="C2131" s="3" t="n">
        <v>45968.77916666667</v>
      </c>
      <c r="D2131" s="2" t="inlineStr">
        <is>
          <t>Original</t>
        </is>
      </c>
      <c r="E2131" s="2" t="inlineStr">
        <is>
          <t>L</t>
        </is>
      </c>
      <c r="F2131" s="2" t="inlineStr">
        <is>
          <t>Filipa Pinto; Isabel Mendes Lopes; Jorge Pinto; Patrícia Gonçalves; Paulo Muacho; Rui Tavares</t>
        </is>
      </c>
      <c r="G2131" s="2" t="inlineStr">
        <is>
          <t>Art. 113.º (substituição)</t>
        </is>
      </c>
      <c r="H2131" s="2" t="n"/>
      <c r="I2131" s="2" t="n"/>
      <c r="J2131" s="2" t="n"/>
      <c r="K2131" s="2" t="n"/>
      <c r="L2131" s="2" t="inlineStr">
        <is>
          <t>N.º 2, Artigo 113.º</t>
        </is>
      </c>
      <c r="M2131" s="4" t="n"/>
      <c r="N2131" s="4" t="n"/>
      <c r="O2131" s="2" t="n"/>
      <c r="P2131" s="2" t="n"/>
      <c r="Q2131" s="2" t="n"/>
      <c r="R2131" s="2" t="n"/>
      <c r="S2131" s="2" t="inlineStr">
        <is>
          <t>Rejeitado(a) em Comissão</t>
        </is>
      </c>
      <c r="T2131" s="2" t="inlineStr">
        <is>
          <t>Rejeitada</t>
        </is>
      </c>
      <c r="U2131" s="2" t="inlineStr">
        <is>
          <t>Favor: L, PCP, CDS-PP, PAN; Contra: PSD, IL; Abstenção: CH, PS, BE</t>
        </is>
      </c>
      <c r="V2131" s="3" t="n">
        <v>45985</v>
      </c>
      <c r="W2131" s="2" t="inlineStr">
        <is>
          <t>AR: https://www.parlamento.pt/OrcamentoEstado/Paginas/DetalhePropostaAlteracao.aspx?BID=25390 PDF: https://app.parlamento.pt/webutils/docs/doc.pdf?path=6148523063484d364c793942556b356c6443397a6158526c63793959566b6c4a544556484c3039464c7a49774d6a59794d4449314d5441774f53395151533879597a55304d7a67314d53307a5a5759314c5451784d3245744f54526c597930344e4759304d7a4935593249334d5441756347526d&amp;Fich=2c543851-3ef5-413a-94ec-84f4329cb710.pdf&amp;Inline=true</t>
        </is>
      </c>
      <c r="X2131" s="2" t="inlineStr">
        <is>
          <t>Orçamento, Finanças e Administração Pública; Trabalho, Segurança Social e Inclusão</t>
        </is>
      </c>
      <c r="Y2131" s="2" t="inlineStr">
        <is>
          <t>Articulado</t>
        </is>
      </c>
      <c r="Z2131" s="2" t="inlineStr">
        <is>
          <t>Substituição</t>
        </is>
      </c>
      <c r="AA2131" s="2" t="inlineStr">
        <is>
          <t>Rejeitado(a) em Comissão</t>
        </is>
      </c>
      <c r="AB2131" s="2" t="inlineStr"/>
      <c r="AC2131" s="2" t="inlineStr">
        <is>
          <t>2</t>
        </is>
      </c>
      <c r="AD2131" s="2" t="inlineStr">
        <is>
          <t>1</t>
        </is>
      </c>
      <c r="AE2131" s="2" t="inlineStr">
        <is>
          <t>25390</t>
        </is>
      </c>
      <c r="AF2131" s="2" t="inlineStr">
        <is>
          <t>https://www.parlamento.pt/OrcamentoEstado/Paginas/DetalhePropostaAlteracao.aspx?BID=25390</t>
        </is>
      </c>
      <c r="AG2131" s="2" t="inlineStr">
        <is>
          <t>https://app.parlamento.pt/webutils/docs/doc.pdf?path=6148523063484d364c793942556b356c6443397a6158526c63793959566b6c4a544556484c3039464c7a49774d6a59794d4449314d5441774f53395151533879597a55304d7a67314d53307a5a5759314c5451784d3245744f54526c597930344e4759304d7a4935593249334d5441756347526d&amp;Fich=2c543851-3ef5-413a-94ec-84f4329cb710.pdf&amp;Inline=true</t>
        </is>
      </c>
      <c r="AH2131" s="3" t="n">
        <v>46321.77847222222</v>
      </c>
      <c r="AI2131" s="3" t="n">
        <v>46321.78055555555</v>
      </c>
      <c r="AJ2131" s="2" t="inlineStr"/>
    </row>
    <row r="2132">
      <c r="A2132" s="2" t="n">
        <v>2131</v>
      </c>
      <c r="B2132" s="2" t="inlineStr">
        <is>
          <t>2016C</t>
        </is>
      </c>
      <c r="C2132" s="3" t="n">
        <v>45968.77916666667</v>
      </c>
      <c r="D2132" s="2" t="inlineStr">
        <is>
          <t>Original</t>
        </is>
      </c>
      <c r="E2132" s="2" t="inlineStr">
        <is>
          <t>L</t>
        </is>
      </c>
      <c r="F2132" s="2" t="inlineStr">
        <is>
          <t>Filipa Pinto; Isabel Mendes Lopes; Jorge Pinto; Patrícia Gonçalves; Paulo Muacho; Rui Tavares</t>
        </is>
      </c>
      <c r="G2132" s="2" t="inlineStr">
        <is>
          <t>Art. 123.º-A (aditamento)</t>
        </is>
      </c>
      <c r="H2132" s="2" t="n"/>
      <c r="I2132" s="2" t="n"/>
      <c r="J2132" s="2" t="n"/>
      <c r="K2132" s="2" t="n"/>
      <c r="L2132" s="2" t="inlineStr">
        <is>
          <t>Artigo 123.º-A (Guarnição de estações ferroviárias)</t>
        </is>
      </c>
      <c r="M2132" s="4" t="n"/>
      <c r="N2132" s="4" t="n"/>
      <c r="O2132" s="2" t="n"/>
      <c r="P2132" s="2" t="n"/>
      <c r="Q2132" s="2" t="n"/>
      <c r="R2132" s="2" t="n"/>
      <c r="S2132" s="2" t="inlineStr">
        <is>
          <t>Rejeitado(a) em Comissão</t>
        </is>
      </c>
      <c r="T2132" s="2" t="inlineStr">
        <is>
          <t>Rejeitada</t>
        </is>
      </c>
      <c r="U2132" s="2" t="inlineStr">
        <is>
          <t>Favor: L, PCP, BE, PAN; Contra: PSD, CDS-PP; Abstenção: CH, PS, IL</t>
        </is>
      </c>
      <c r="V2132" s="3" t="n">
        <v>45985</v>
      </c>
      <c r="W2132" s="2" t="inlineStr">
        <is>
          <t>AR: https://www.parlamento.pt/OrcamentoEstado/Paginas/DetalhePropostaAlteracao.aspx?BID=25269 PDF: https://app.parlamento.pt/webutils/docs/doc.pdf?path=6148523063484d364c793942556b356c6443397a6158526c63793959566b6c4a544556484c3039464c7a49774d6a59794d4449314d5441774f533951515338324e544d354d7a45334d5330794d324a6d4c54517a59545174596a4d334f5330774e324931595755304d446b304d324d756347526d&amp;Fich=65393171-23bf-43a4-b379-07b5ae40943c.pdf&amp;Inline=true</t>
        </is>
      </c>
      <c r="X2132" s="2" t="inlineStr">
        <is>
          <t>Infraestruturas, Mobilidade e Habitação</t>
        </is>
      </c>
      <c r="Y2132" s="2" t="inlineStr">
        <is>
          <t>Articulado</t>
        </is>
      </c>
      <c r="Z2132" s="2" t="inlineStr">
        <is>
          <t>Aditamento (Artigo PPL)</t>
        </is>
      </c>
      <c r="AA2132" s="2" t="inlineStr">
        <is>
          <t>Rejeitado(a) em Comissão</t>
        </is>
      </c>
      <c r="AB2132" s="2" t="inlineStr"/>
      <c r="AC2132" s="2" t="inlineStr"/>
      <c r="AD2132" s="2" t="inlineStr">
        <is>
          <t>1</t>
        </is>
      </c>
      <c r="AE2132" s="2" t="inlineStr">
        <is>
          <t>25269</t>
        </is>
      </c>
      <c r="AF2132" s="2" t="inlineStr">
        <is>
          <t>https://www.parlamento.pt/OrcamentoEstado/Paginas/DetalhePropostaAlteracao.aspx?BID=25269</t>
        </is>
      </c>
      <c r="AG2132" s="2" t="inlineStr">
        <is>
          <t>https://app.parlamento.pt/webutils/docs/doc.pdf?path=6148523063484d364c793942556b356c6443397a6158526c63793959566b6c4a544556484c3039464c7a49774d6a59794d4449314d5441774f533951515338324e544d354d7a45334d5330794d324a6d4c54517a59545174596a4d334f5330774e324931595755304d446b304d324d756347526d&amp;Fich=65393171-23bf-43a4-b379-07b5ae40943c.pdf&amp;Inline=true</t>
        </is>
      </c>
      <c r="AH2132" s="3" t="n">
        <v>46321.77847222222</v>
      </c>
      <c r="AI2132" s="3" t="n">
        <v>46321.78055555555</v>
      </c>
      <c r="AJ2132" s="2" t="inlineStr"/>
    </row>
    <row r="2133">
      <c r="A2133" s="2" t="n">
        <v>2132</v>
      </c>
      <c r="B2133" s="2" t="inlineStr">
        <is>
          <t>2017C</t>
        </is>
      </c>
      <c r="C2133" s="3" t="n">
        <v>45968.77986111111</v>
      </c>
      <c r="D2133" s="2" t="inlineStr">
        <is>
          <t>Original</t>
        </is>
      </c>
      <c r="E2133" s="2" t="inlineStr">
        <is>
          <t>PCP</t>
        </is>
      </c>
      <c r="F2133" s="2" t="inlineStr">
        <is>
          <t>Alfredo Maia; Paula Santos; Paulo Raimundo</t>
        </is>
      </c>
      <c r="G2133" s="2" t="inlineStr">
        <is>
          <t>Art. 7.º (aditamento)</t>
        </is>
      </c>
      <c r="H2133" s="2" t="n"/>
      <c r="I2133" s="2" t="n"/>
      <c r="J2133" s="2" t="n"/>
      <c r="K2133" s="2" t="n"/>
      <c r="L2133" s="2" t="inlineStr">
        <is>
          <t>Nova Verba 106, Mapa de alterações e transferências orçamentais, Artigo 7.º</t>
        </is>
      </c>
      <c r="M2133" s="4" t="n"/>
      <c r="N2133" s="4" t="n"/>
      <c r="O2133" s="2" t="n"/>
      <c r="P2133" s="2" t="n"/>
      <c r="Q2133" s="2" t="n"/>
      <c r="R2133" s="2" t="n"/>
      <c r="S2133" s="2" t="inlineStr">
        <is>
          <t>Rejeitado(a) em Comissão</t>
        </is>
      </c>
      <c r="T2133" s="2" t="inlineStr">
        <is>
          <t>Rejeitada</t>
        </is>
      </c>
      <c r="U2133" s="2" t="inlineStr">
        <is>
          <t>Favor: CH, PCP, BE, PAN; Contra: PSD, IL, L, CDS-PP; Abstenção: PS</t>
        </is>
      </c>
      <c r="V2133" s="3" t="n">
        <v>45987</v>
      </c>
      <c r="W2133" s="2" t="inlineStr">
        <is>
          <t>AR: https://www.parlamento.pt/OrcamentoEstado/Paginas/DetalhePropostaAlteracao.aspx?BID=25270 PDF: https://app.parlamento.pt/webutils/docs/doc.pdf?path=6148523063484d364c793942556b356c6443397a6158526c63793959566b6c4a544556484c3039464c7a49774d6a59794d4449314d5441774f533951515338794d5455784e6d59305a53316d5a446c6b4c54526c4e4467745954526c4f5331685a4756685a5468684e7a6335597a4d756347526d&amp;Fich=21516f4e-fd9d-4e48-a4e9-adeae8a779c3.pdf&amp;Inline=true</t>
        </is>
      </c>
      <c r="X2133" s="2" t="inlineStr">
        <is>
          <t>Ambiente e Energia</t>
        </is>
      </c>
      <c r="Y2133" s="2" t="inlineStr">
        <is>
          <t>Articulado</t>
        </is>
      </c>
      <c r="Z2133" s="2" t="inlineStr">
        <is>
          <t>Aditamento (Números e Alíneas)</t>
        </is>
      </c>
      <c r="AA2133" s="2" t="inlineStr">
        <is>
          <t>Rejeitado(a) em Comissão</t>
        </is>
      </c>
      <c r="AB2133" s="2" t="inlineStr"/>
      <c r="AC2133" s="2" t="inlineStr"/>
      <c r="AD2133" s="2" t="inlineStr">
        <is>
          <t>1</t>
        </is>
      </c>
      <c r="AE2133" s="2" t="inlineStr">
        <is>
          <t>25270</t>
        </is>
      </c>
      <c r="AF2133" s="2" t="inlineStr">
        <is>
          <t>https://www.parlamento.pt/OrcamentoEstado/Paginas/DetalhePropostaAlteracao.aspx?BID=25270</t>
        </is>
      </c>
      <c r="AG2133" s="2" t="inlineStr">
        <is>
          <t>https://app.parlamento.pt/webutils/docs/doc.pdf?path=6148523063484d364c793942556b356c6443397a6158526c63793959566b6c4a544556484c3039464c7a49774d6a59794d4449314d5441774f533951515338794d5455784e6d59305a53316d5a446c6b4c54526c4e4467745954526c4f5331685a4756685a5468684e7a6335597a4d756347526d&amp;Fich=21516f4e-fd9d-4e48-a4e9-adeae8a779c3.pdf&amp;Inline=true</t>
        </is>
      </c>
      <c r="AH2133" s="3" t="n">
        <v>46321.77847222222</v>
      </c>
      <c r="AI2133" s="3" t="n">
        <v>46321.78055555555</v>
      </c>
      <c r="AJ2133" s="2" t="inlineStr"/>
    </row>
    <row r="2134">
      <c r="A2134" s="2" t="n">
        <v>2133</v>
      </c>
      <c r="B2134" s="2" t="inlineStr">
        <is>
          <t>2018C</t>
        </is>
      </c>
      <c r="C2134" s="3" t="n">
        <v>45968.78055555555</v>
      </c>
      <c r="D2134" s="2" t="inlineStr">
        <is>
          <t>Original</t>
        </is>
      </c>
      <c r="E2134" s="2" t="inlineStr">
        <is>
          <t>L</t>
        </is>
      </c>
      <c r="F2134" s="2" t="inlineStr">
        <is>
          <t>Filipa Pinto; Isabel Mendes Lopes; Jorge Pinto; Patrícia Gonçalves; Paulo Muacho; Rui Tavares</t>
        </is>
      </c>
      <c r="G2134" s="2" t="inlineStr">
        <is>
          <t>Art. 60.º (substituição)</t>
        </is>
      </c>
      <c r="H2134" s="2" t="n"/>
      <c r="I2134" s="2" t="n"/>
      <c r="J2134" s="2" t="n"/>
      <c r="K2134" s="2" t="n"/>
      <c r="L2134" s="2" t="inlineStr">
        <is>
          <t>N.º 7, Artigo 12.º do Código do IRS</t>
        </is>
      </c>
      <c r="M2134" s="4" t="n"/>
      <c r="N2134" s="4" t="n"/>
      <c r="O2134" s="2" t="n"/>
      <c r="P2134" s="2" t="n"/>
      <c r="Q2134" s="2" t="n"/>
      <c r="R2134" s="2" t="n"/>
      <c r="S2134" s="2" t="inlineStr">
        <is>
          <t>Prejudicado(a)</t>
        </is>
      </c>
      <c r="T2134" s="2" t="inlineStr">
        <is>
          <t>Prejudicada</t>
        </is>
      </c>
      <c r="U2134" s="2" t="inlineStr"/>
      <c r="V2134" s="3" t="n"/>
      <c r="W2134" s="2" t="inlineStr">
        <is>
          <t>AR: https://www.parlamento.pt/OrcamentoEstado/Paginas/DetalhePropostaAlteracao.aspx?BID=25272 PDF: https://app.parlamento.pt/webutils/docs/doc.pdf?path=6148523063484d364c793942556b356c6443397a6158526c63793959566b6c4a544556484c3039464c7a49774d6a59794d4449314d5441774f5339515153396c4f54686a4f574e6c5a69316d4d6a59354c54526b597a63744f5464685953316d5a574a6d4e446b78597a59345a6a4d756347526d&amp;Fich=e98c9cef-f269-4dc7-97aa-febf491c68f3.pdf&amp;Inline=true</t>
        </is>
      </c>
      <c r="X2134" s="2" t="inlineStr">
        <is>
          <t>Orçamento, Finanças e Administração Pública</t>
        </is>
      </c>
      <c r="Y2134" s="2" t="inlineStr">
        <is>
          <t>Articulado</t>
        </is>
      </c>
      <c r="Z2134" s="2" t="inlineStr">
        <is>
          <t>Substituição</t>
        </is>
      </c>
      <c r="AA2134" s="2" t="inlineStr">
        <is>
          <t>Prejudicado(a)</t>
        </is>
      </c>
      <c r="AB2134" s="2" t="inlineStr"/>
      <c r="AC2134" s="2" t="inlineStr"/>
      <c r="AD2134" s="2" t="inlineStr">
        <is>
          <t>0</t>
        </is>
      </c>
      <c r="AE2134" s="2" t="inlineStr">
        <is>
          <t>25272</t>
        </is>
      </c>
      <c r="AF2134" s="2" t="inlineStr">
        <is>
          <t>https://www.parlamento.pt/OrcamentoEstado/Paginas/DetalhePropostaAlteracao.aspx?BID=25272</t>
        </is>
      </c>
      <c r="AG2134" s="2" t="inlineStr">
        <is>
          <t>https://app.parlamento.pt/webutils/docs/doc.pdf?path=6148523063484d364c793942556b356c6443397a6158526c63793959566b6c4a544556484c3039464c7a49774d6a59794d4449314d5441774f5339515153396c4f54686a4f574e6c5a69316d4d6a59354c54526b597a63744f5464685953316d5a574a6d4e446b78597a59345a6a4d756347526d&amp;Fich=e98c9cef-f269-4dc7-97aa-febf491c68f3.pdf&amp;Inline=true</t>
        </is>
      </c>
      <c r="AH2134" s="3" t="n">
        <v>46321.77847222222</v>
      </c>
      <c r="AI2134" s="3" t="n">
        <v>46321.78055555555</v>
      </c>
      <c r="AJ2134" s="2" t="inlineStr"/>
    </row>
    <row r="2135">
      <c r="A2135" s="2" t="n">
        <v>2134</v>
      </c>
      <c r="B2135" s="2" t="inlineStr">
        <is>
          <t>2019C</t>
        </is>
      </c>
      <c r="C2135" s="3" t="n">
        <v>45968.78125</v>
      </c>
      <c r="D2135" s="2" t="inlineStr">
        <is>
          <t>Original</t>
        </is>
      </c>
      <c r="E2135" s="2" t="inlineStr">
        <is>
          <t>Vários</t>
        </is>
      </c>
      <c r="F2135" s="2" t="inlineStr">
        <is>
          <t>Alberto Fonseca; Francisco Pimentel; Hugo Carneiro; Hugo Soares; Nuna Menezes; Paulo Moniz; João Pinho de Almeida; Paulo Núncio</t>
        </is>
      </c>
      <c r="G2135" s="2" t="inlineStr">
        <is>
          <t>Art. 7.º (aditamento)</t>
        </is>
      </c>
      <c r="H2135" s="2" t="n"/>
      <c r="I2135" s="2" t="n"/>
      <c r="J2135" s="2" t="n"/>
      <c r="K2135" s="2" t="n"/>
      <c r="L2135" s="2" t="inlineStr">
        <is>
          <t>Verba 107, Mapa de alterações e transferências orçamentais, Artigo 7.º</t>
        </is>
      </c>
      <c r="M2135" s="4" t="n"/>
      <c r="N2135" s="4" t="n"/>
      <c r="O2135" s="2" t="n"/>
      <c r="P2135" s="2" t="n"/>
      <c r="Q2135" s="2" t="n"/>
      <c r="R2135" s="2" t="n"/>
      <c r="S2135" s="2" t="inlineStr">
        <is>
          <t>Aprovado(a) em Comissão</t>
        </is>
      </c>
      <c r="T2135" s="2" t="inlineStr">
        <is>
          <t>Aprovada</t>
        </is>
      </c>
      <c r="U2135" s="2" t="inlineStr">
        <is>
          <t>Favor: PSD, CH, PS, L, PCP, CDS-PP, BE; Abstenção: IL, PAN</t>
        </is>
      </c>
      <c r="V2135" s="3" t="n">
        <v>45987</v>
      </c>
      <c r="W2135" s="2" t="inlineStr">
        <is>
          <t>AR: https://www.parlamento.pt/OrcamentoEstado/Paginas/DetalhePropostaAlteracao.aspx?BID=25273 PDF: https://app.parlamento.pt/webutils/docs/doc.pdf?path=6148523063484d364c793942556b356c6443397a6158526c63793959566b6c4a544556484c3039464c7a49774d6a59794d4449314d5441774f533951515338324d6a59784e3259784e69316c5a6d566b4c545135595749744f5467344f43307a5a544d314d3259314f544d314d7a45756347526d&amp;Fich=62617f16-efed-49ab-9888-3e353f593531.pdf&amp;Inline=true</t>
        </is>
      </c>
      <c r="X2135" s="2" t="inlineStr">
        <is>
          <t>Orçamento, Finanças e Administração Pública</t>
        </is>
      </c>
      <c r="Y2135" s="2" t="inlineStr">
        <is>
          <t>Articulado</t>
        </is>
      </c>
      <c r="Z2135" s="2" t="inlineStr">
        <is>
          <t>Aditamento (Números e Alíneas)</t>
        </is>
      </c>
      <c r="AA2135" s="2" t="inlineStr">
        <is>
          <t>Aprovado(a) em Comissão</t>
        </is>
      </c>
      <c r="AB2135" s="2" t="inlineStr"/>
      <c r="AC2135" s="2" t="inlineStr"/>
      <c r="AD2135" s="2" t="inlineStr">
        <is>
          <t>1</t>
        </is>
      </c>
      <c r="AE2135" s="2" t="inlineStr">
        <is>
          <t>25273</t>
        </is>
      </c>
      <c r="AF2135" s="2" t="inlineStr">
        <is>
          <t>https://www.parlamento.pt/OrcamentoEstado/Paginas/DetalhePropostaAlteracao.aspx?BID=25273</t>
        </is>
      </c>
      <c r="AG2135" s="2" t="inlineStr">
        <is>
          <t>https://app.parlamento.pt/webutils/docs/doc.pdf?path=6148523063484d364c793942556b356c6443397a6158526c63793959566b6c4a544556484c3039464c7a49774d6a59794d4449314d5441774f533951515338324d6a59784e3259784e69316c5a6d566b4c545135595749744f5467344f43307a5a544d314d3259314f544d314d7a45756347526d&amp;Fich=62617f16-efed-49ab-9888-3e353f593531.pdf&amp;Inline=true</t>
        </is>
      </c>
      <c r="AH2135" s="3" t="n">
        <v>46321.77847222222</v>
      </c>
      <c r="AI2135" s="3" t="n">
        <v>46321.78055555555</v>
      </c>
      <c r="AJ2135" s="2" t="inlineStr"/>
    </row>
    <row r="2136">
      <c r="A2136" s="2" t="n">
        <v>2135</v>
      </c>
      <c r="B2136" s="2" t="inlineStr">
        <is>
          <t>2020C</t>
        </is>
      </c>
      <c r="C2136" s="3" t="n">
        <v>45968.78194444445</v>
      </c>
      <c r="D2136" s="2" t="inlineStr">
        <is>
          <t>Original</t>
        </is>
      </c>
      <c r="E2136" s="2" t="inlineStr">
        <is>
          <t>L</t>
        </is>
      </c>
      <c r="F2136" s="2" t="inlineStr">
        <is>
          <t>Filipa Pinto; Isabel Mendes Lopes; Jorge Pinto; Patrícia Gonçalves; Paulo Muacho; Rui Tavares</t>
        </is>
      </c>
      <c r="G2136" s="2" t="inlineStr">
        <is>
          <t>Art. 38.º-A (aditamento)</t>
        </is>
      </c>
      <c r="H2136" s="2" t="n"/>
      <c r="I2136" s="2" t="n"/>
      <c r="J2136" s="2" t="n"/>
      <c r="K2136" s="2" t="n"/>
      <c r="L2136" s="2" t="inlineStr">
        <is>
          <t>Artigo 38.º-A (Valores mínimos de pensão de invalidez e de velhice)</t>
        </is>
      </c>
      <c r="M2136" s="4" t="n"/>
      <c r="N2136" s="4" t="n"/>
      <c r="O2136" s="2" t="n"/>
      <c r="P2136" s="2" t="n"/>
      <c r="Q2136" s="2" t="n"/>
      <c r="R2136" s="2" t="n"/>
      <c r="S2136" s="2" t="inlineStr">
        <is>
          <t>Rejeitado(a) em Comissão</t>
        </is>
      </c>
      <c r="T2136" s="2" t="inlineStr">
        <is>
          <t>Rejeitada</t>
        </is>
      </c>
      <c r="U2136" s="2" t="inlineStr">
        <is>
          <t>Favor: L, PCP, BE, PAN; Contra: PSD, PS, IL, CDS-PP; Abstenção: CH</t>
        </is>
      </c>
      <c r="V2136" s="3" t="n">
        <v>45981</v>
      </c>
      <c r="W2136" s="2" t="inlineStr">
        <is>
          <t>AR: https://www.parlamento.pt/OrcamentoEstado/Paginas/DetalhePropostaAlteracao.aspx?BID=25274 PDF: https://app.parlamento.pt/webutils/docs/doc.pdf?path=6148523063484d364c793942556b356c6443397a6158526c63793959566b6c4a544556484c3039464c7a49774d6a59794d4449314d5441774f533951515338795a54566a596a49355a69316b4d47526b4c545135596d55744f44597a4d6930314e5459334f544133596d5269596a67756347526d&amp;Fich=2e5cb29f-d0dd-49be-8632-5567907bdbb8.pdf&amp;Inline=true</t>
        </is>
      </c>
      <c r="X2136" s="2" t="inlineStr">
        <is>
          <t>Saúde; Trabalho, Segurança Social e Inclusão</t>
        </is>
      </c>
      <c r="Y2136" s="2" t="inlineStr">
        <is>
          <t>Articulado</t>
        </is>
      </c>
      <c r="Z2136" s="2" t="inlineStr">
        <is>
          <t>Aditamento (Artigo PPL)</t>
        </is>
      </c>
      <c r="AA2136" s="2" t="inlineStr">
        <is>
          <t>Rejeitado(a) em Comissão</t>
        </is>
      </c>
      <c r="AB2136" s="2" t="inlineStr"/>
      <c r="AC2136" s="2" t="inlineStr"/>
      <c r="AD2136" s="2" t="inlineStr">
        <is>
          <t>1</t>
        </is>
      </c>
      <c r="AE2136" s="2" t="inlineStr">
        <is>
          <t>25274</t>
        </is>
      </c>
      <c r="AF2136" s="2" t="inlineStr">
        <is>
          <t>https://www.parlamento.pt/OrcamentoEstado/Paginas/DetalhePropostaAlteracao.aspx?BID=25274</t>
        </is>
      </c>
      <c r="AG2136" s="2" t="inlineStr">
        <is>
          <t>https://app.parlamento.pt/webutils/docs/doc.pdf?path=6148523063484d364c793942556b356c6443397a6158526c63793959566b6c4a544556484c3039464c7a49774d6a59794d4449314d5441774f533951515338795a54566a596a49355a69316b4d47526b4c545135596d55744f44597a4d6930314e5459334f544133596d5269596a67756347526d&amp;Fich=2e5cb29f-d0dd-49be-8632-5567907bdbb8.pdf&amp;Inline=true</t>
        </is>
      </c>
      <c r="AH2136" s="3" t="n">
        <v>46321.77847222222</v>
      </c>
      <c r="AI2136" s="3" t="n">
        <v>46321.78055555555</v>
      </c>
      <c r="AJ2136" s="2" t="inlineStr"/>
    </row>
    <row r="2137">
      <c r="A2137" s="2" t="n">
        <v>2136</v>
      </c>
      <c r="B2137" s="2" t="inlineStr">
        <is>
          <t>2021C</t>
        </is>
      </c>
      <c r="C2137" s="3" t="n">
        <v>45968.78194444445</v>
      </c>
      <c r="D2137" s="2" t="inlineStr">
        <is>
          <t>Original</t>
        </is>
      </c>
      <c r="E2137" s="2" t="inlineStr">
        <is>
          <t>L</t>
        </is>
      </c>
      <c r="F2137" s="2" t="inlineStr">
        <is>
          <t>Filipa Pinto; Isabel Mendes Lopes; Jorge Pinto; Patrícia Gonçalves; Paulo Muacho; Rui Tavares</t>
        </is>
      </c>
      <c r="G2137" s="2" t="inlineStr">
        <is>
          <t>Art. 123.º-A (aditamento)</t>
        </is>
      </c>
      <c r="H2137" s="2" t="n"/>
      <c r="I2137" s="2" t="n"/>
      <c r="J2137" s="2" t="n"/>
      <c r="K2137" s="2" t="n"/>
      <c r="L2137" s="2" t="inlineStr">
        <is>
          <t>Artigo 123.º-A (Alargamento do cartão Navegante à travessia fluvial do Sado entre Setúbal e a península de Tróia)</t>
        </is>
      </c>
      <c r="M2137" s="4" t="n"/>
      <c r="N2137" s="4" t="n"/>
      <c r="O2137" s="2" t="n"/>
      <c r="P2137" s="2" t="n"/>
      <c r="Q2137" s="2" t="n"/>
      <c r="R2137" s="2" t="n"/>
      <c r="S2137" s="2" t="inlineStr">
        <is>
          <t>Rejeitado(a) em Comissão</t>
        </is>
      </c>
      <c r="T2137" s="2" t="inlineStr">
        <is>
          <t>Rejeitada</t>
        </is>
      </c>
      <c r="U2137" s="2" t="inlineStr">
        <is>
          <t>Favor: CH, L, PCP, BE, PAN; Contra: PSD, IL, CDS-PP; Abstenção: PS</t>
        </is>
      </c>
      <c r="V2137" s="3" t="n">
        <v>45985</v>
      </c>
      <c r="W2137" s="2" t="inlineStr">
        <is>
          <t>AR: https://www.parlamento.pt/OrcamentoEstado/Paginas/DetalhePropostaAlteracao.aspx?BID=25275 PDF: https://app.parlamento.pt/webutils/docs/doc.pdf?path=6148523063484d364c793942556b356c6443397a6158526c63793959566b6c4a544556484c3039464c7a49774d6a59794d4449314d5441774f5339515153387a4f54426d597a55345969307a59325a6b4c5451315a444974596a55324d69307a4d7a41774f47457a597a6b77596d55756347526d&amp;Fich=390fc58b-3cfd-45d2-b562-33008a3c90be.pdf&amp;Inline=true</t>
        </is>
      </c>
      <c r="X2137" s="2" t="inlineStr">
        <is>
          <t>Ambiente e Energia; Infraestruturas, Mobilidade e Habitação; Orçamento, Finanças e Administração Pública</t>
        </is>
      </c>
      <c r="Y2137" s="2" t="inlineStr">
        <is>
          <t>Articulado</t>
        </is>
      </c>
      <c r="Z2137" s="2" t="inlineStr">
        <is>
          <t>Aditamento (Artigo PPL)</t>
        </is>
      </c>
      <c r="AA2137" s="2" t="inlineStr">
        <is>
          <t>Rejeitado(a) em Comissão</t>
        </is>
      </c>
      <c r="AB2137" s="2" t="inlineStr"/>
      <c r="AC2137" s="2" t="inlineStr"/>
      <c r="AD2137" s="2" t="inlineStr">
        <is>
          <t>1</t>
        </is>
      </c>
      <c r="AE2137" s="2" t="inlineStr">
        <is>
          <t>25275</t>
        </is>
      </c>
      <c r="AF2137" s="2" t="inlineStr">
        <is>
          <t>https://www.parlamento.pt/OrcamentoEstado/Paginas/DetalhePropostaAlteracao.aspx?BID=25275</t>
        </is>
      </c>
      <c r="AG2137" s="2" t="inlineStr">
        <is>
          <t>https://app.parlamento.pt/webutils/docs/doc.pdf?path=6148523063484d364c793942556b356c6443397a6158526c63793959566b6c4a544556484c3039464c7a49774d6a59794d4449314d5441774f5339515153387a4f54426d597a55345969307a59325a6b4c5451315a444974596a55324d69307a4d7a41774f47457a597a6b77596d55756347526d&amp;Fich=390fc58b-3cfd-45d2-b562-33008a3c90be.pdf&amp;Inline=true</t>
        </is>
      </c>
      <c r="AH2137" s="3" t="n">
        <v>46321.77847222222</v>
      </c>
      <c r="AI2137" s="3" t="n">
        <v>46321.78055555555</v>
      </c>
      <c r="AJ2137" s="2" t="inlineStr"/>
    </row>
    <row r="2138">
      <c r="A2138" s="2" t="n">
        <v>2137</v>
      </c>
      <c r="B2138" s="2" t="inlineStr">
        <is>
          <t>2022C</t>
        </is>
      </c>
      <c r="C2138" s="3" t="n">
        <v>45968.78194444445</v>
      </c>
      <c r="D2138" s="2" t="inlineStr">
        <is>
          <t>Original</t>
        </is>
      </c>
      <c r="E2138" s="2" t="inlineStr">
        <is>
          <t>L</t>
        </is>
      </c>
      <c r="F2138" s="2" t="inlineStr">
        <is>
          <t>Filipa Pinto; Isabel Mendes Lopes; Jorge Pinto; Patrícia Gonçalves; Paulo Muacho; Rui Tavares</t>
        </is>
      </c>
      <c r="G2138" s="2" t="inlineStr">
        <is>
          <t>Art. 60.º-A (aditamento)</t>
        </is>
      </c>
      <c r="H2138" s="2" t="n"/>
      <c r="I2138" s="2" t="n"/>
      <c r="J2138" s="2" t="n"/>
      <c r="K2138" s="2" t="n"/>
      <c r="L2138" s="2" t="inlineStr">
        <is>
          <t>Artigo 60.º-A (Alteração da aplicação da taxa especial de IRS às compensações e subsídios auferidos por bombeiros voluntários)</t>
        </is>
      </c>
      <c r="M2138" s="4" t="n"/>
      <c r="N2138" s="4" t="n"/>
      <c r="O2138" s="2" t="n"/>
      <c r="P2138" s="2" t="n"/>
      <c r="Q2138" s="2" t="n"/>
      <c r="R2138" s="2" t="n"/>
      <c r="S2138" s="2" t="inlineStr">
        <is>
          <t>Rejeitado(a) em Comissão</t>
        </is>
      </c>
      <c r="T2138" s="2" t="inlineStr">
        <is>
          <t>Rejeitada</t>
        </is>
      </c>
      <c r="U2138" s="2" t="inlineStr">
        <is>
          <t>Favor: L, PCP, BE, PAN; Contra: PSD, CDS-PP; Abstenção: CH, PS, IL</t>
        </is>
      </c>
      <c r="V2138" s="3" t="n">
        <v>45981</v>
      </c>
      <c r="W2138" s="2" t="inlineStr">
        <is>
          <t>AR: https://www.parlamento.pt/OrcamentoEstado/Paginas/DetalhePropostaAlteracao.aspx?BID=25276 PDF: https://app.parlamento.pt/webutils/docs/doc.pdf?path=6148523063484d364c793942556b356c6443397a6158526c63793959566b6c4a544556484c3039464c7a49774d6a59794d4449314d5441774f533951515338785a445a684d4445314f5330324d5449784c5452695a6a41744f546c6b5979316b597a6b334e7a6c684e7a4d784d6d55756347526d&amp;Fich=1d6a0159-6121-4bf0-99dc-dc9779a7312e.pdf&amp;Inline=true</t>
        </is>
      </c>
      <c r="X2138" s="2" t="inlineStr">
        <is>
          <t>Orçamento, Finanças e Administração Pública</t>
        </is>
      </c>
      <c r="Y2138" s="2" t="inlineStr">
        <is>
          <t>Articulado</t>
        </is>
      </c>
      <c r="Z2138" s="2" t="inlineStr">
        <is>
          <t>Aditamento (Artigo PPL)</t>
        </is>
      </c>
      <c r="AA2138" s="2" t="inlineStr">
        <is>
          <t>Rejeitado(a) em Comissão</t>
        </is>
      </c>
      <c r="AB2138" s="2" t="inlineStr"/>
      <c r="AC2138" s="2" t="inlineStr"/>
      <c r="AD2138" s="2" t="inlineStr">
        <is>
          <t>1</t>
        </is>
      </c>
      <c r="AE2138" s="2" t="inlineStr">
        <is>
          <t>25276</t>
        </is>
      </c>
      <c r="AF2138" s="2" t="inlineStr">
        <is>
          <t>https://www.parlamento.pt/OrcamentoEstado/Paginas/DetalhePropostaAlteracao.aspx?BID=25276</t>
        </is>
      </c>
      <c r="AG2138" s="2" t="inlineStr">
        <is>
          <t>https://app.parlamento.pt/webutils/docs/doc.pdf?path=6148523063484d364c793942556b356c6443397a6158526c63793959566b6c4a544556484c3039464c7a49774d6a59794d4449314d5441774f533951515338785a445a684d4445314f5330324d5449784c5452695a6a41744f546c6b5979316b597a6b334e7a6c684e7a4d784d6d55756347526d&amp;Fich=1d6a0159-6121-4bf0-99dc-dc9779a7312e.pdf&amp;Inline=true</t>
        </is>
      </c>
      <c r="AH2138" s="3" t="n">
        <v>46321.77847222222</v>
      </c>
      <c r="AI2138" s="3" t="n">
        <v>46321.78055555555</v>
      </c>
      <c r="AJ2138" s="2" t="inlineStr"/>
    </row>
    <row r="2139">
      <c r="A2139" s="2" t="n">
        <v>2138</v>
      </c>
      <c r="B2139" s="2" t="inlineStr">
        <is>
          <t>2023C</t>
        </is>
      </c>
      <c r="C2139" s="3" t="n">
        <v>45968.78402777778</v>
      </c>
      <c r="D2139" s="2" t="inlineStr">
        <is>
          <t>Original</t>
        </is>
      </c>
      <c r="E2139" s="2" t="inlineStr">
        <is>
          <t>L</t>
        </is>
      </c>
      <c r="F2139" s="2" t="inlineStr">
        <is>
          <t>Filipa Pinto; Isabel Mendes Lopes; Jorge Pinto; Patrícia Gonçalves; Paulo Muacho; Rui Tavares</t>
        </is>
      </c>
      <c r="G2139" s="2" t="inlineStr">
        <is>
          <t>Art. 22.º-A (aditamento)</t>
        </is>
      </c>
      <c r="H2139" s="2" t="n"/>
      <c r="I2139" s="2" t="n"/>
      <c r="J2139" s="2" t="n"/>
      <c r="K2139" s="2" t="n"/>
      <c r="L2139" s="2" t="inlineStr">
        <is>
          <t>Artigo 22.º-A (Psicólogos e nutricionistas nos cuidados de saúde primários)</t>
        </is>
      </c>
      <c r="M2139" s="4" t="n"/>
      <c r="N2139" s="4" t="n"/>
      <c r="O2139" s="2" t="n"/>
      <c r="P2139" s="2" t="n"/>
      <c r="Q2139" s="2" t="n"/>
      <c r="R2139" s="2" t="n"/>
      <c r="S2139" s="2" t="inlineStr">
        <is>
          <t>Rejeitado(a) em Comissão</t>
        </is>
      </c>
      <c r="T2139" s="2" t="inlineStr">
        <is>
          <t>Rejeitada</t>
        </is>
      </c>
      <c r="U2139" s="2" t="inlineStr">
        <is>
          <t>Favor: CH, L, PCP, BE, PAN; Contra: PSD, CDS-PP; Abstenção: PS, IL</t>
        </is>
      </c>
      <c r="V2139" s="3" t="n">
        <v>45981</v>
      </c>
      <c r="W2139" s="2" t="inlineStr">
        <is>
          <t>AR: https://www.parlamento.pt/OrcamentoEstado/Paginas/DetalhePropostaAlteracao.aspx?BID=25279 PDF: https://app.parlamento.pt/webutils/docs/doc.pdf?path=6148523063484d364c793942556b356c6443397a6158526c63793959566b6c4a544556484c3039464c7a49774d6a59794d4449314d5441774f5339515153396b4f4455315a5463324d4330345a6a67784c54526b59546374595445344d693169597a59354e444e6b4e6a52694e5749756347526d&amp;Fich=d855e760-8f81-4da7-a182-bc6943d64b5b.pdf&amp;Inline=true</t>
        </is>
      </c>
      <c r="X2139" s="2" t="inlineStr">
        <is>
          <t>Saúde</t>
        </is>
      </c>
      <c r="Y2139" s="2" t="inlineStr">
        <is>
          <t>Articulado</t>
        </is>
      </c>
      <c r="Z2139" s="2" t="inlineStr">
        <is>
          <t>Aditamento (Artigo PPL)</t>
        </is>
      </c>
      <c r="AA2139" s="2" t="inlineStr">
        <is>
          <t>Rejeitado(a) em Comissão</t>
        </is>
      </c>
      <c r="AB2139" s="2" t="inlineStr"/>
      <c r="AC2139" s="2" t="inlineStr"/>
      <c r="AD2139" s="2" t="inlineStr">
        <is>
          <t>1</t>
        </is>
      </c>
      <c r="AE2139" s="2" t="inlineStr">
        <is>
          <t>25279</t>
        </is>
      </c>
      <c r="AF2139" s="2" t="inlineStr">
        <is>
          <t>https://www.parlamento.pt/OrcamentoEstado/Paginas/DetalhePropostaAlteracao.aspx?BID=25279</t>
        </is>
      </c>
      <c r="AG2139" s="2" t="inlineStr">
        <is>
          <t>https://app.parlamento.pt/webutils/docs/doc.pdf?path=6148523063484d364c793942556b356c6443397a6158526c63793959566b6c4a544556484c3039464c7a49774d6a59794d4449314d5441774f5339515153396b4f4455315a5463324d4330345a6a67784c54526b59546374595445344d693169597a59354e444e6b4e6a52694e5749756347526d&amp;Fich=d855e760-8f81-4da7-a182-bc6943d64b5b.pdf&amp;Inline=true</t>
        </is>
      </c>
      <c r="AH2139" s="3" t="n">
        <v>46321.77847222222</v>
      </c>
      <c r="AI2139" s="3" t="n">
        <v>46321.78055555555</v>
      </c>
      <c r="AJ2139" s="2" t="inlineStr"/>
    </row>
    <row r="2140">
      <c r="A2140" s="2" t="n">
        <v>2139</v>
      </c>
      <c r="B2140" s="2" t="inlineStr">
        <is>
          <t>2024C</t>
        </is>
      </c>
      <c r="C2140" s="3" t="n">
        <v>45968.78541666667</v>
      </c>
      <c r="D2140" s="2" t="inlineStr">
        <is>
          <t>Original</t>
        </is>
      </c>
      <c r="E2140" s="2" t="inlineStr">
        <is>
          <t>L</t>
        </is>
      </c>
      <c r="F2140" s="2" t="inlineStr">
        <is>
          <t>Filipa Pinto; Isabel Mendes Lopes; Jorge Pinto; Patrícia Gonçalves; Paulo Muacho; Rui Tavares</t>
        </is>
      </c>
      <c r="G2140" s="2" t="inlineStr">
        <is>
          <t>Art. 119.º-A (aditamento)</t>
        </is>
      </c>
      <c r="H2140" s="2" t="n"/>
      <c r="I2140" s="2" t="n"/>
      <c r="J2140" s="2" t="n"/>
      <c r="K2140" s="2" t="n"/>
      <c r="L2140" s="2" t="inlineStr">
        <is>
          <t>Artigo 119.º-A (Construção do Hospital do Seixal)</t>
        </is>
      </c>
      <c r="M2140" s="4" t="n"/>
      <c r="N2140" s="4" t="n"/>
      <c r="O2140" s="2" t="n"/>
      <c r="P2140" s="2" t="n"/>
      <c r="Q2140" s="2" t="n"/>
      <c r="R2140" s="2" t="n"/>
      <c r="S2140" s="2" t="inlineStr">
        <is>
          <t>Rejeitado(a) em Comissão</t>
        </is>
      </c>
      <c r="T2140" s="2" t="inlineStr">
        <is>
          <t>Rejeitada</t>
        </is>
      </c>
      <c r="U2140" s="2" t="inlineStr">
        <is>
          <t>Favor: CH, L, PCP, BE, PAN; Contra: PSD, CDS-PP; Abstenção: PS, IL</t>
        </is>
      </c>
      <c r="V2140" s="3" t="n">
        <v>45985</v>
      </c>
      <c r="W2140" s="2" t="inlineStr">
        <is>
          <t>AR: https://www.parlamento.pt/OrcamentoEstado/Paginas/DetalhePropostaAlteracao.aspx?BID=25280 PDF: https://app.parlamento.pt/webutils/docs/doc.pdf?path=6148523063484d364c793942556b356c6443397a6158526c63793959566b6c4a544556484c3039464c7a49774d6a59794d4449314d5441774f533951515339684d6a45784f5449304d6930774f5755784c5451324d4755744f4451785a693077596a417a4e4451354e446b79595745756347526d&amp;Fich=a2119242-09e1-460e-841f-0b03449492aa.pdf&amp;Inline=true</t>
        </is>
      </c>
      <c r="X2140" s="2" t="inlineStr">
        <is>
          <t>Infraestruturas, Mobilidade e Habitação; Saúde</t>
        </is>
      </c>
      <c r="Y2140" s="2" t="inlineStr">
        <is>
          <t>Articulado</t>
        </is>
      </c>
      <c r="Z2140" s="2" t="inlineStr">
        <is>
          <t>Aditamento (Artigo PPL)</t>
        </is>
      </c>
      <c r="AA2140" s="2" t="inlineStr">
        <is>
          <t>Rejeitado(a) em Comissão</t>
        </is>
      </c>
      <c r="AB2140" s="2" t="inlineStr"/>
      <c r="AC2140" s="2" t="inlineStr"/>
      <c r="AD2140" s="2" t="inlineStr">
        <is>
          <t>1</t>
        </is>
      </c>
      <c r="AE2140" s="2" t="inlineStr">
        <is>
          <t>25280</t>
        </is>
      </c>
      <c r="AF2140" s="2" t="inlineStr">
        <is>
          <t>https://www.parlamento.pt/OrcamentoEstado/Paginas/DetalhePropostaAlteracao.aspx?BID=25280</t>
        </is>
      </c>
      <c r="AG2140" s="2" t="inlineStr">
        <is>
          <t>https://app.parlamento.pt/webutils/docs/doc.pdf?path=6148523063484d364c793942556b356c6443397a6158526c63793959566b6c4a544556484c3039464c7a49774d6a59794d4449314d5441774f533951515339684d6a45784f5449304d6930774f5755784c5451324d4755744f4451785a693077596a417a4e4451354e446b79595745756347526d&amp;Fich=a2119242-09e1-460e-841f-0b03449492aa.pdf&amp;Inline=true</t>
        </is>
      </c>
      <c r="AH2140" s="3" t="n">
        <v>46321.77847222222</v>
      </c>
      <c r="AI2140" s="3" t="n">
        <v>46321.78055555555</v>
      </c>
      <c r="AJ2140" s="2" t="inlineStr"/>
    </row>
    <row r="2141">
      <c r="A2141" s="2" t="n">
        <v>2140</v>
      </c>
      <c r="B2141" s="2" t="inlineStr">
        <is>
          <t>2025C</t>
        </is>
      </c>
      <c r="C2141" s="3" t="n">
        <v>45968.78680555556</v>
      </c>
      <c r="D2141" s="2" t="inlineStr">
        <is>
          <t>Original</t>
        </is>
      </c>
      <c r="E2141" s="2" t="inlineStr">
        <is>
          <t>L</t>
        </is>
      </c>
      <c r="F2141" s="2" t="inlineStr">
        <is>
          <t>Filipa Pinto; Isabel Mendes Lopes; Jorge Pinto; Patrícia Gonçalves; Paulo Muacho; Rui Tavares</t>
        </is>
      </c>
      <c r="G2141" s="2" t="inlineStr">
        <is>
          <t>Art. 123.º-A (aditamento)</t>
        </is>
      </c>
      <c r="H2141" s="2" t="n"/>
      <c r="I2141" s="2" t="n"/>
      <c r="J2141" s="2" t="n"/>
      <c r="K2141" s="2" t="n"/>
      <c r="L2141" s="2" t="inlineStr">
        <is>
          <t>Artigo 123.º-A (Programas Municipais de Intervenção no Espaço Público)</t>
        </is>
      </c>
      <c r="M2141" s="4" t="n"/>
      <c r="N2141" s="4" t="n"/>
      <c r="O2141" s="2" t="n"/>
      <c r="P2141" s="2" t="n"/>
      <c r="Q2141" s="2" t="n"/>
      <c r="R2141" s="2" t="n"/>
      <c r="S2141" s="2" t="inlineStr">
        <is>
          <t>Rejeitado(a) em Comissão</t>
        </is>
      </c>
      <c r="T2141" s="2" t="inlineStr">
        <is>
          <t>Rejeitada</t>
        </is>
      </c>
      <c r="U2141" s="2" t="inlineStr">
        <is>
          <t>Favor: IL, L, BE, PAN; Contra: PSD, CH, CDS-PP; Abstenção: PS, PCP</t>
        </is>
      </c>
      <c r="V2141" s="3" t="n">
        <v>45985</v>
      </c>
      <c r="W2141" s="2" t="inlineStr">
        <is>
          <t>AR: https://www.parlamento.pt/OrcamentoEstado/Paginas/DetalhePropostaAlteracao.aspx?BID=25281 PDF: https://app.parlamento.pt/webutils/docs/doc.pdf?path=6148523063484d364c793942556b356c6443397a6158526c63793959566b6c4a544556484c3039464c7a49774d6a59794d4449314d5441774f5339515153396b5a6a55345a6d4531596930344d4451344c54526d4d3259744f4468694e4331694e4451775a574d7a596a4d354e6d59756347526d&amp;Fich=df58fa5b-8048-4f3f-88b4-b440ec3b396f.pdf&amp;Inline=true</t>
        </is>
      </c>
      <c r="X2141" s="2" t="inlineStr">
        <is>
          <t>Ambiente e Energia; Infraestruturas, Mobilidade e Habitação</t>
        </is>
      </c>
      <c r="Y2141" s="2" t="inlineStr">
        <is>
          <t>Articulado</t>
        </is>
      </c>
      <c r="Z2141" s="2" t="inlineStr">
        <is>
          <t>Aditamento (Artigo PPL)</t>
        </is>
      </c>
      <c r="AA2141" s="2" t="inlineStr">
        <is>
          <t>Rejeitado(a) em Comissão</t>
        </is>
      </c>
      <c r="AB2141" s="2" t="inlineStr"/>
      <c r="AC2141" s="2" t="inlineStr"/>
      <c r="AD2141" s="2" t="inlineStr">
        <is>
          <t>1</t>
        </is>
      </c>
      <c r="AE2141" s="2" t="inlineStr">
        <is>
          <t>25281</t>
        </is>
      </c>
      <c r="AF2141" s="2" t="inlineStr">
        <is>
          <t>https://www.parlamento.pt/OrcamentoEstado/Paginas/DetalhePropostaAlteracao.aspx?BID=25281</t>
        </is>
      </c>
      <c r="AG2141" s="2" t="inlineStr">
        <is>
          <t>https://app.parlamento.pt/webutils/docs/doc.pdf?path=6148523063484d364c793942556b356c6443397a6158526c63793959566b6c4a544556484c3039464c7a49774d6a59794d4449314d5441774f5339515153396b5a6a55345a6d4531596930344d4451344c54526d4d3259744f4468694e4331694e4451775a574d7a596a4d354e6d59756347526d&amp;Fich=df58fa5b-8048-4f3f-88b4-b440ec3b396f.pdf&amp;Inline=true</t>
        </is>
      </c>
      <c r="AH2141" s="3" t="n">
        <v>46321.77847222222</v>
      </c>
      <c r="AI2141" s="3" t="n">
        <v>46321.78055555555</v>
      </c>
      <c r="AJ2141" s="2" t="inlineStr"/>
    </row>
    <row r="2142">
      <c r="A2142" s="2" t="n">
        <v>2141</v>
      </c>
      <c r="B2142" s="2" t="inlineStr">
        <is>
          <t>2026C</t>
        </is>
      </c>
      <c r="C2142" s="3" t="n">
        <v>45968.7875</v>
      </c>
      <c r="D2142" s="2" t="inlineStr">
        <is>
          <t>Original</t>
        </is>
      </c>
      <c r="E2142" s="2" t="inlineStr">
        <is>
          <t>L</t>
        </is>
      </c>
      <c r="F2142" s="2" t="inlineStr">
        <is>
          <t>Filipa Pinto; Isabel Mendes Lopes; Jorge Pinto; Patrícia Gonçalves; Paulo Muacho; Rui Tavares</t>
        </is>
      </c>
      <c r="G2142" s="2" t="inlineStr">
        <is>
          <t>Art. 7.º (aditamento)</t>
        </is>
      </c>
      <c r="H2142" s="2" t="n"/>
      <c r="I2142" s="2" t="n"/>
      <c r="J2142" s="2" t="n"/>
      <c r="K2142" s="2" t="n"/>
      <c r="L2142" s="2" t="inlineStr">
        <is>
          <t>Nova Verba 29, Mapa de alterações e transferências orçamentais, Artigo 7.º</t>
        </is>
      </c>
      <c r="M2142" s="4" t="n"/>
      <c r="N2142" s="4" t="n"/>
      <c r="O2142" s="2" t="n"/>
      <c r="P2142" s="2" t="n"/>
      <c r="Q2142" s="2" t="n"/>
      <c r="R2142" s="2" t="n"/>
      <c r="S2142" s="2" t="inlineStr">
        <is>
          <t>Rejeitado(a) em Comissão</t>
        </is>
      </c>
      <c r="T2142" s="2" t="inlineStr">
        <is>
          <t>Rejeitada</t>
        </is>
      </c>
      <c r="U2142" s="2" t="inlineStr">
        <is>
          <t>Favor: IL, L, PCP, BE, PAN; Contra: PSD, CH, CDS-PP; Abstenção: PS</t>
        </is>
      </c>
      <c r="V2142" s="3" t="n">
        <v>45987</v>
      </c>
      <c r="W2142" s="2" t="inlineStr">
        <is>
          <t>AR: https://www.parlamento.pt/OrcamentoEstado/Paginas/DetalhePropostaAlteracao.aspx?BID=25282 PDF: https://app.parlamento.pt/webutils/docs/doc.pdf?path=6148523063484d364c793942556b356c6443397a6158526c63793959566b6c4a544556484c3039464c7a49774d6a59794d4449314d5441774f533951515338344f544d354e7a55305a433035596d4a6b4c5451324e4759745957566d4e79307a4e5759305a6a45324e5463784e5459756347526d&amp;Fich=8939754d-9bbd-464f-aef7-35f4f1657156.pdf&amp;Inline=true</t>
        </is>
      </c>
      <c r="X2142" s="2" t="inlineStr">
        <is>
          <t>Agricultura e Pescas; Ambiente e Energia; Orçamento, Finanças e Administração Pública</t>
        </is>
      </c>
      <c r="Y2142" s="2" t="inlineStr">
        <is>
          <t>Mapas</t>
        </is>
      </c>
      <c r="Z2142" s="2" t="inlineStr">
        <is>
          <t>Aditamento (Números e Alíneas)</t>
        </is>
      </c>
      <c r="AA2142" s="2" t="inlineStr">
        <is>
          <t>Rejeitado(a) em Comissão</t>
        </is>
      </c>
      <c r="AB2142" s="2" t="inlineStr"/>
      <c r="AC2142" s="2" t="inlineStr"/>
      <c r="AD2142" s="2" t="inlineStr">
        <is>
          <t>1</t>
        </is>
      </c>
      <c r="AE2142" s="2" t="inlineStr">
        <is>
          <t>25282</t>
        </is>
      </c>
      <c r="AF2142" s="2" t="inlineStr">
        <is>
          <t>https://www.parlamento.pt/OrcamentoEstado/Paginas/DetalhePropostaAlteracao.aspx?BID=25282</t>
        </is>
      </c>
      <c r="AG2142" s="2" t="inlineStr">
        <is>
          <t>https://app.parlamento.pt/webutils/docs/doc.pdf?path=6148523063484d364c793942556b356c6443397a6158526c63793959566b6c4a544556484c3039464c7a49774d6a59794d4449314d5441774f533951515338344f544d354e7a55305a433035596d4a6b4c5451324e4759745957566d4e79307a4e5759305a6a45324e5463784e5459756347526d&amp;Fich=8939754d-9bbd-464f-aef7-35f4f1657156.pdf&amp;Inline=true</t>
        </is>
      </c>
      <c r="AH2142" s="3" t="n">
        <v>46321.77847222222</v>
      </c>
      <c r="AI2142" s="3" t="n">
        <v>46321.78055555555</v>
      </c>
      <c r="AJ2142" s="2" t="inlineStr"/>
    </row>
    <row r="2143">
      <c r="A2143" s="2" t="n">
        <v>2142</v>
      </c>
      <c r="B2143" s="2" t="inlineStr">
        <is>
          <t>2027C</t>
        </is>
      </c>
      <c r="C2143" s="3" t="n">
        <v>45968.78819444445</v>
      </c>
      <c r="D2143" s="2" t="inlineStr">
        <is>
          <t>Original</t>
        </is>
      </c>
      <c r="E2143" s="2" t="inlineStr">
        <is>
          <t>L</t>
        </is>
      </c>
      <c r="F2143" s="2" t="inlineStr">
        <is>
          <t>Filipa Pinto; Isabel Mendes Lopes; Jorge Pinto; Patrícia Gonçalves; Paulo Muacho; Rui Tavares</t>
        </is>
      </c>
      <c r="G2143" s="2" t="inlineStr">
        <is>
          <t>Art. 112.º-A (aditamento)</t>
        </is>
      </c>
      <c r="H2143" s="2" t="n"/>
      <c r="I2143" s="2" t="n"/>
      <c r="J2143" s="2" t="n"/>
      <c r="K2143" s="2" t="n"/>
      <c r="L2143" s="2" t="inlineStr">
        <is>
          <t>Artigo 112.º-A (Mecanismo Extraordinário de Garantia de Proteção Social)</t>
        </is>
      </c>
      <c r="M2143" s="4" t="n"/>
      <c r="N2143" s="4" t="n"/>
      <c r="O2143" s="2" t="n"/>
      <c r="P2143" s="2" t="n"/>
      <c r="Q2143" s="2" t="n"/>
      <c r="R2143" s="2" t="n"/>
      <c r="S2143" s="2" t="inlineStr">
        <is>
          <t>Rejeitado(a) em Comissão</t>
        </is>
      </c>
      <c r="T2143" s="2" t="inlineStr">
        <is>
          <t>Rejeitada</t>
        </is>
      </c>
      <c r="U2143" s="2" t="inlineStr">
        <is>
          <t>Favor: CH, IL, L, PCP, BE, PAN; Contra: PSD, CDS-PP; Abstenção: PS</t>
        </is>
      </c>
      <c r="V2143" s="3" t="n">
        <v>45982</v>
      </c>
      <c r="W2143" s="2" t="inlineStr">
        <is>
          <t>AR: https://www.parlamento.pt/OrcamentoEstado/Paginas/DetalhePropostaAlteracao.aspx?BID=25283 PDF: https://app.parlamento.pt/webutils/docs/doc.pdf?path=6148523063484d364c793942556b356c6443397a6158526c63793959566b6c4a544556484c3039464c7a49774d6a59794d4449314d5441774f533951515338774d4756684f5467335a6930304d6a4d334c5451304f4467744f47457a4d6930795a4755334e5759775a545a694d5751756347526d&amp;Fich=00ea987f-4237-4488-8a32-2de75f0e6b1d.pdf&amp;Inline=true</t>
        </is>
      </c>
      <c r="X2143" s="2" t="inlineStr">
        <is>
          <t>Negócios Estrangeiros e Comunidades Portuguesas; Trabalho, Segurança Social e Inclusão</t>
        </is>
      </c>
      <c r="Y2143" s="2" t="inlineStr">
        <is>
          <t>Articulado</t>
        </is>
      </c>
      <c r="Z2143" s="2" t="inlineStr">
        <is>
          <t>Aditamento (Artigo PPL)</t>
        </is>
      </c>
      <c r="AA2143" s="2" t="inlineStr">
        <is>
          <t>Rejeitado(a) em Comissão</t>
        </is>
      </c>
      <c r="AB2143" s="2" t="inlineStr"/>
      <c r="AC2143" s="2" t="inlineStr"/>
      <c r="AD2143" s="2" t="inlineStr">
        <is>
          <t>1</t>
        </is>
      </c>
      <c r="AE2143" s="2" t="inlineStr">
        <is>
          <t>25283</t>
        </is>
      </c>
      <c r="AF2143" s="2" t="inlineStr">
        <is>
          <t>https://www.parlamento.pt/OrcamentoEstado/Paginas/DetalhePropostaAlteracao.aspx?BID=25283</t>
        </is>
      </c>
      <c r="AG2143" s="2" t="inlineStr">
        <is>
          <t>https://app.parlamento.pt/webutils/docs/doc.pdf?path=6148523063484d364c793942556b356c6443397a6158526c63793959566b6c4a544556484c3039464c7a49774d6a59794d4449314d5441774f533951515338774d4756684f5467335a6930304d6a4d334c5451304f4467744f47457a4d6930795a4755334e5759775a545a694d5751756347526d&amp;Fich=00ea987f-4237-4488-8a32-2de75f0e6b1d.pdf&amp;Inline=true</t>
        </is>
      </c>
      <c r="AH2143" s="3" t="n">
        <v>46321.77847222222</v>
      </c>
      <c r="AI2143" s="3" t="n">
        <v>46321.78055555555</v>
      </c>
      <c r="AJ2143" s="2" t="inlineStr"/>
    </row>
    <row r="2144">
      <c r="A2144" s="2" t="n">
        <v>2143</v>
      </c>
      <c r="B2144" s="2" t="inlineStr">
        <is>
          <t>2028C</t>
        </is>
      </c>
      <c r="C2144" s="3" t="n">
        <v>45968.78958333333</v>
      </c>
      <c r="D2144" s="2" t="inlineStr">
        <is>
          <t>Original</t>
        </is>
      </c>
      <c r="E2144" s="2" t="inlineStr">
        <is>
          <t>L</t>
        </is>
      </c>
      <c r="F2144" s="2" t="inlineStr">
        <is>
          <t>Filipa Pinto; Isabel Mendes Lopes; Jorge Pinto; Patrícia Gonçalves; Paulo Muacho; Rui Tavares</t>
        </is>
      </c>
      <c r="G2144" s="2" t="inlineStr">
        <is>
          <t>Art. 133.º-A (aditamento)</t>
        </is>
      </c>
      <c r="H2144" s="2" t="n"/>
      <c r="I2144" s="2" t="n"/>
      <c r="J2144" s="2" t="n"/>
      <c r="K2144" s="2" t="n"/>
      <c r="L2144" s="2" t="inlineStr">
        <is>
          <t>Artigo 133.º-A (Apoio às redes profissionais da diáspora)</t>
        </is>
      </c>
      <c r="M2144" s="4" t="n"/>
      <c r="N2144" s="4" t="n"/>
      <c r="O2144" s="2" t="n"/>
      <c r="P2144" s="2" t="n"/>
      <c r="Q2144" s="2" t="n"/>
      <c r="R2144" s="2" t="n"/>
      <c r="S2144" s="2" t="inlineStr">
        <is>
          <t>Rejeitado(a) em Comissão</t>
        </is>
      </c>
      <c r="T2144" s="2" t="inlineStr">
        <is>
          <t>Rejeitada</t>
        </is>
      </c>
      <c r="U2144" s="2" t="inlineStr">
        <is>
          <t>Favor: PS, L, PCP, BE, PAN; Contra: PSD, CDS-PP; Abstenção: CH, IL</t>
        </is>
      </c>
      <c r="V2144" s="3" t="n">
        <v>45985</v>
      </c>
      <c r="W2144" s="2" t="inlineStr">
        <is>
          <t>AR: https://www.parlamento.pt/OrcamentoEstado/Paginas/DetalhePropostaAlteracao.aspx?BID=25284 PDF: https://app.parlamento.pt/webutils/docs/doc.pdf?path=6148523063484d364c793942556b356c6443397a6158526c63793959566b6c4a544556484c3039464c7a49774d6a59794d4449314d5441774f5339515153387a596d55774d54457a4f43307a4d7a59794c5451334d545574595749315a5330334f4449775954646d4e7a42694d3251756347526d&amp;Fich=3be01138-3362-4715-ab5e-7820a7f70b3d.pdf&amp;Inline=true</t>
        </is>
      </c>
      <c r="X2144" s="2" t="inlineStr">
        <is>
          <t>Educação e Ciência; Negócios Estrangeiros e Comunidades Portuguesas</t>
        </is>
      </c>
      <c r="Y2144" s="2" t="inlineStr">
        <is>
          <t>Articulado</t>
        </is>
      </c>
      <c r="Z2144" s="2" t="inlineStr">
        <is>
          <t>Aditamento (Artigo PPL)</t>
        </is>
      </c>
      <c r="AA2144" s="2" t="inlineStr">
        <is>
          <t>Rejeitado(a) em Comissão</t>
        </is>
      </c>
      <c r="AB2144" s="2" t="inlineStr"/>
      <c r="AC2144" s="2" t="inlineStr"/>
      <c r="AD2144" s="2" t="inlineStr">
        <is>
          <t>1</t>
        </is>
      </c>
      <c r="AE2144" s="2" t="inlineStr">
        <is>
          <t>25284</t>
        </is>
      </c>
      <c r="AF2144" s="2" t="inlineStr">
        <is>
          <t>https://www.parlamento.pt/OrcamentoEstado/Paginas/DetalhePropostaAlteracao.aspx?BID=25284</t>
        </is>
      </c>
      <c r="AG2144" s="2" t="inlineStr">
        <is>
          <t>https://app.parlamento.pt/webutils/docs/doc.pdf?path=6148523063484d364c793942556b356c6443397a6158526c63793959566b6c4a544556484c3039464c7a49774d6a59794d4449314d5441774f5339515153387a596d55774d54457a4f43307a4d7a59794c5451334d545574595749315a5330334f4449775954646d4e7a42694d3251756347526d&amp;Fich=3be01138-3362-4715-ab5e-7820a7f70b3d.pdf&amp;Inline=true</t>
        </is>
      </c>
      <c r="AH2144" s="3" t="n">
        <v>46321.77847222222</v>
      </c>
      <c r="AI2144" s="3" t="n">
        <v>46321.78055555555</v>
      </c>
      <c r="AJ2144" s="2" t="inlineStr"/>
    </row>
    <row r="2145">
      <c r="A2145" s="2" t="n">
        <v>2144</v>
      </c>
      <c r="B2145" s="2" t="inlineStr">
        <is>
          <t>2029C</t>
        </is>
      </c>
      <c r="C2145" s="3" t="n">
        <v>45968.79166666666</v>
      </c>
      <c r="D2145" s="2" t="inlineStr">
        <is>
          <t>Original</t>
        </is>
      </c>
      <c r="E2145" s="2" t="inlineStr">
        <is>
          <t>L</t>
        </is>
      </c>
      <c r="F2145" s="2" t="inlineStr">
        <is>
          <t>Filipa Pinto; Isabel Mendes Lopes; Jorge Pinto; Patrícia Gonçalves; Paulo Muacho; Rui Tavares</t>
        </is>
      </c>
      <c r="G2145" s="2" t="inlineStr">
        <is>
          <t>Art. 22.º-A (aditamento)</t>
        </is>
      </c>
      <c r="H2145" s="2" t="n"/>
      <c r="I2145" s="2" t="n"/>
      <c r="J2145" s="2" t="n"/>
      <c r="K2145" s="2" t="n"/>
      <c r="L2145" s="2" t="inlineStr">
        <is>
          <t>Artigo 22.º-A (Definição das competências e áreas de atuação da profissão de Técnico Superior de Diagnóstico e Terapêutica de Cardiopneumologia)</t>
        </is>
      </c>
      <c r="M2145" s="4" t="n"/>
      <c r="N2145" s="4" t="n"/>
      <c r="O2145" s="2" t="n"/>
      <c r="P2145" s="2" t="n"/>
      <c r="Q2145" s="2" t="n"/>
      <c r="R2145" s="2" t="n"/>
      <c r="S2145" s="2" t="inlineStr">
        <is>
          <t>Rejeitado(a) em Comissão</t>
        </is>
      </c>
      <c r="T2145" s="2" t="inlineStr">
        <is>
          <t>Rejeitada</t>
        </is>
      </c>
      <c r="U2145" s="2" t="inlineStr">
        <is>
          <t>Favor: IL, L, PCP, BE, PAN; Contra: PSD, CDS-PP; Abstenção: CH, PS</t>
        </is>
      </c>
      <c r="V2145" s="3" t="n">
        <v>45981</v>
      </c>
      <c r="W2145" s="2" t="inlineStr">
        <is>
          <t>AR: https://www.parlamento.pt/OrcamentoEstado/Paginas/DetalhePropostaAlteracao.aspx?BID=25285 PDF: https://app.parlamento.pt/webutils/docs/doc.pdf?path=6148523063484d364c793942556b356c6443397a6158526c63793959566b6c4a544556484c3039464c7a49774d6a59794d4449314d5441774f5339515153396b4d5745324e7a4e6c4e433168597a4a6d4c54526a5a4441744f44466c4d53316a5a6d55314e6d526a4d4449355a574d756347526d&amp;Fich=d1a673e4-ac2f-4cd0-81e1-cfe56dc029ec.pdf&amp;Inline=true</t>
        </is>
      </c>
      <c r="X2145" s="2" t="inlineStr">
        <is>
          <t>Saúde; Trabalho, Segurança Social e Inclusão</t>
        </is>
      </c>
      <c r="Y2145" s="2" t="inlineStr">
        <is>
          <t>Articulado</t>
        </is>
      </c>
      <c r="Z2145" s="2" t="inlineStr">
        <is>
          <t>Aditamento (Artigo PPL)</t>
        </is>
      </c>
      <c r="AA2145" s="2" t="inlineStr">
        <is>
          <t>Rejeitado(a) em Comissão</t>
        </is>
      </c>
      <c r="AB2145" s="2" t="inlineStr"/>
      <c r="AC2145" s="2" t="inlineStr"/>
      <c r="AD2145" s="2" t="inlineStr">
        <is>
          <t>1</t>
        </is>
      </c>
      <c r="AE2145" s="2" t="inlineStr">
        <is>
          <t>25285</t>
        </is>
      </c>
      <c r="AF2145" s="2" t="inlineStr">
        <is>
          <t>https://www.parlamento.pt/OrcamentoEstado/Paginas/DetalhePropostaAlteracao.aspx?BID=25285</t>
        </is>
      </c>
      <c r="AG2145" s="2" t="inlineStr">
        <is>
          <t>https://app.parlamento.pt/webutils/docs/doc.pdf?path=6148523063484d364c793942556b356c6443397a6158526c63793959566b6c4a544556484c3039464c7a49774d6a59794d4449314d5441774f5339515153396b4d5745324e7a4e6c4e433168597a4a6d4c54526a5a4441744f44466c4d53316a5a6d55314e6d526a4d4449355a574d756347526d&amp;Fich=d1a673e4-ac2f-4cd0-81e1-cfe56dc029ec.pdf&amp;Inline=true</t>
        </is>
      </c>
      <c r="AH2145" s="3" t="n">
        <v>46321.77847222222</v>
      </c>
      <c r="AI2145" s="3" t="n">
        <v>46321.78055555555</v>
      </c>
      <c r="AJ2145" s="2" t="inlineStr"/>
    </row>
    <row r="2146">
      <c r="A2146" s="2" t="n">
        <v>2145</v>
      </c>
      <c r="B2146" s="2" t="inlineStr">
        <is>
          <t>2030C</t>
        </is>
      </c>
      <c r="C2146" s="3" t="n">
        <v>45968.79236111111</v>
      </c>
      <c r="D2146" s="2" t="inlineStr">
        <is>
          <t>Original</t>
        </is>
      </c>
      <c r="E2146" s="2" t="inlineStr">
        <is>
          <t>PCP</t>
        </is>
      </c>
      <c r="F2146" s="2" t="inlineStr">
        <is>
          <t>Alfredo Maia; Paula Santos; Paulo Raimundo</t>
        </is>
      </c>
      <c r="G2146" s="2" t="inlineStr">
        <is>
          <t>Art. 121.º-A (aditamento)</t>
        </is>
      </c>
      <c r="H2146" s="2" t="n"/>
      <c r="I2146" s="2" t="n"/>
      <c r="J2146" s="2" t="n"/>
      <c r="K2146" s="2" t="n"/>
      <c r="L2146" s="2" t="inlineStr">
        <is>
          <t>Artigo 121.º-A (Regime de dispensa de medicamentos hospitalares em proximidade)</t>
        </is>
      </c>
      <c r="M2146" s="4" t="n"/>
      <c r="N2146" s="4" t="n"/>
      <c r="O2146" s="2" t="n"/>
      <c r="P2146" s="2" t="n"/>
      <c r="Q2146" s="2" t="n"/>
      <c r="R2146" s="2" t="n"/>
      <c r="S2146" s="2" t="inlineStr">
        <is>
          <t>Rejeitado(a) em Comissão</t>
        </is>
      </c>
      <c r="T2146" s="2" t="inlineStr">
        <is>
          <t>Rejeitada</t>
        </is>
      </c>
      <c r="U2146" s="2" t="inlineStr">
        <is>
          <t>Favor: PS, L, PCP, BE, PAN; Contra: PSD, IL, CDS-PP; Abstenção: CH</t>
        </is>
      </c>
      <c r="V2146" s="3" t="n">
        <v>45985</v>
      </c>
      <c r="W2146" s="2" t="inlineStr">
        <is>
          <t>AR: https://www.parlamento.pt/OrcamentoEstado/Paginas/DetalhePropostaAlteracao.aspx?BID=25286 PDF: https://app.parlamento.pt/webutils/docs/doc.pdf?path=6148523063484d364c793942556b356c6443397a6158526c63793959566b6c4a544556484c3039464c7a49774d6a59794d4449314d5441774f533951515339694f546c684d444d33597930354d6d4d334c5451785a6a5974596d4d315979307a4e54517a5a54566d5a6a51334f5759756347526d&amp;Fich=b99a037c-92c7-41f6-bc5c-3543e5ff479f.pdf&amp;Inline=true</t>
        </is>
      </c>
      <c r="X2146" s="2" t="inlineStr">
        <is>
          <t>Saúde</t>
        </is>
      </c>
      <c r="Y2146" s="2" t="inlineStr">
        <is>
          <t>Articulado</t>
        </is>
      </c>
      <c r="Z2146" s="2" t="inlineStr">
        <is>
          <t>Aditamento (Artigo PPL)</t>
        </is>
      </c>
      <c r="AA2146" s="2" t="inlineStr">
        <is>
          <t>Rejeitado(a) em Comissão</t>
        </is>
      </c>
      <c r="AB2146" s="2" t="inlineStr"/>
      <c r="AC2146" s="2" t="inlineStr"/>
      <c r="AD2146" s="2" t="inlineStr">
        <is>
          <t>1</t>
        </is>
      </c>
      <c r="AE2146" s="2" t="inlineStr">
        <is>
          <t>25286</t>
        </is>
      </c>
      <c r="AF2146" s="2" t="inlineStr">
        <is>
          <t>https://www.parlamento.pt/OrcamentoEstado/Paginas/DetalhePropostaAlteracao.aspx?BID=25286</t>
        </is>
      </c>
      <c r="AG2146" s="2" t="inlineStr">
        <is>
          <t>https://app.parlamento.pt/webutils/docs/doc.pdf?path=6148523063484d364c793942556b356c6443397a6158526c63793959566b6c4a544556484c3039464c7a49774d6a59794d4449314d5441774f533951515339694f546c684d444d33597930354d6d4d334c5451785a6a5974596d4d315979307a4e54517a5a54566d5a6a51334f5759756347526d&amp;Fich=b99a037c-92c7-41f6-bc5c-3543e5ff479f.pdf&amp;Inline=true</t>
        </is>
      </c>
      <c r="AH2146" s="3" t="n">
        <v>46321.77847222222</v>
      </c>
      <c r="AI2146" s="3" t="n">
        <v>46321.78055555555</v>
      </c>
      <c r="AJ2146" s="2" t="inlineStr"/>
    </row>
    <row r="2147">
      <c r="A2147" s="2" t="n">
        <v>2146</v>
      </c>
      <c r="B2147" s="2" t="inlineStr">
        <is>
          <t>2031C-1</t>
        </is>
      </c>
      <c r="C2147" s="3" t="n">
        <v>45968.79305555556</v>
      </c>
      <c r="D2147" s="2" t="inlineStr">
        <is>
          <t>Original</t>
        </is>
      </c>
      <c r="E2147" s="2" t="inlineStr">
        <is>
          <t>L</t>
        </is>
      </c>
      <c r="F2147" s="2" t="inlineStr">
        <is>
          <t>Filipa Pinto; Isabel Mendes Lopes; Jorge Pinto; Patrícia Gonçalves; Paulo Muacho; Rui Tavares</t>
        </is>
      </c>
      <c r="G2147" s="2" t="inlineStr">
        <is>
          <t>Art. 123.º-A (aditamento)</t>
        </is>
      </c>
      <c r="H2147" s="2" t="n"/>
      <c r="I2147" s="2" t="n"/>
      <c r="J2147" s="2" t="n"/>
      <c r="K2147" s="2" t="n"/>
      <c r="L2147" s="2" t="inlineStr">
        <is>
          <t>Artigo 123.º-A (Planos de Mobilidade Urbana Sustentável)</t>
        </is>
      </c>
      <c r="M2147" s="4" t="n"/>
      <c r="N2147" s="4" t="n"/>
      <c r="O2147" s="2" t="n"/>
      <c r="P2147" s="2" t="n"/>
      <c r="Q2147" s="2" t="n"/>
      <c r="R2147" s="2" t="n"/>
      <c r="S2147" s="2" t="inlineStr">
        <is>
          <t>Rejeitado(a) em Comissão</t>
        </is>
      </c>
      <c r="T2147" s="2" t="inlineStr">
        <is>
          <t>Rejeitada</t>
        </is>
      </c>
      <c r="U2147" s="2" t="inlineStr">
        <is>
          <t>Favor: L, BE, PAN; Contra: PSD, CH, IL, CDS-PP; Abstenção: PS, PCP</t>
        </is>
      </c>
      <c r="V2147" s="3" t="n">
        <v>45985</v>
      </c>
      <c r="W2147" s="2" t="inlineStr">
        <is>
          <t>AR: https://www.parlamento.pt/OrcamentoEstado/Paginas/DetalhePropostaAlteracao.aspx?BID=25287 PDF: https://app.parlamento.pt/webutils/docs/doc.pdf?path=6148523063484d364c793942556b356c6443397a6158526c63793959566b6c4a544556484c3039464c7a49774d6a59794d4449314d5441774f533951515339685a44646c5a6a55334e69316c5a4749784c5451354d6a49744f4451775a5330355a6a49344f4463794e6d49344f574d756347526d&amp;Fich=ad7ef576-edb1-4922-840e-9f288726b89c.pdf&amp;Inline=true</t>
        </is>
      </c>
      <c r="X2147" s="2" t="inlineStr">
        <is>
          <t>Ambiente e Energia; Infraestruturas, Mobilidade e Habitação</t>
        </is>
      </c>
      <c r="Y2147" s="2" t="inlineStr">
        <is>
          <t>Articulado</t>
        </is>
      </c>
      <c r="Z2147" s="2" t="inlineStr">
        <is>
          <t>Aditamento (Artigo PPL)</t>
        </is>
      </c>
      <c r="AA2147" s="2" t="inlineStr">
        <is>
          <t>Rejeitado(a) em Comissão</t>
        </is>
      </c>
      <c r="AB2147" s="2" t="inlineStr"/>
      <c r="AC2147" s="2" t="inlineStr">
        <is>
          <t>1</t>
        </is>
      </c>
      <c r="AD2147" s="2" t="inlineStr">
        <is>
          <t>1</t>
        </is>
      </c>
      <c r="AE2147" s="2" t="inlineStr">
        <is>
          <t>25287</t>
        </is>
      </c>
      <c r="AF2147" s="2" t="inlineStr">
        <is>
          <t>https://www.parlamento.pt/OrcamentoEstado/Paginas/DetalhePropostaAlteracao.aspx?BID=25287</t>
        </is>
      </c>
      <c r="AG2147" s="2" t="inlineStr">
        <is>
          <t>https://app.parlamento.pt/webutils/docs/doc.pdf?path=6148523063484d364c793942556b356c6443397a6158526c63793959566b6c4a544556484c3039464c7a49774d6a59794d4449314d5441774f533951515339685a44646c5a6a55334e69316c5a4749784c5451354d6a49744f4451775a5330355a6a49344f4463794e6d49344f574d756347526d&amp;Fich=ad7ef576-edb1-4922-840e-9f288726b89c.pdf&amp;Inline=true</t>
        </is>
      </c>
      <c r="AH2147" s="3" t="n">
        <v>46321.77847222222</v>
      </c>
      <c r="AI2147" s="3" t="n">
        <v>46321.78055555555</v>
      </c>
      <c r="AJ2147" s="2" t="inlineStr"/>
    </row>
    <row r="2148">
      <c r="A2148" s="2" t="n">
        <v>2147</v>
      </c>
      <c r="B2148" s="2" t="inlineStr">
        <is>
          <t>2031C-2</t>
        </is>
      </c>
      <c r="C2148" s="3" t="n">
        <v>45968.79305555556</v>
      </c>
      <c r="D2148" s="2" t="inlineStr">
        <is>
          <t>Original</t>
        </is>
      </c>
      <c r="E2148" s="2" t="inlineStr">
        <is>
          <t>L</t>
        </is>
      </c>
      <c r="F2148" s="2" t="inlineStr">
        <is>
          <t>Filipa Pinto; Isabel Mendes Lopes; Jorge Pinto; Patrícia Gonçalves; Paulo Muacho; Rui Tavares</t>
        </is>
      </c>
      <c r="G2148" s="2" t="inlineStr">
        <is>
          <t>Art. 123.º-B (aditamento)</t>
        </is>
      </c>
      <c r="H2148" s="2" t="n"/>
      <c r="I2148" s="2" t="n"/>
      <c r="J2148" s="2" t="n"/>
      <c r="K2148" s="2" t="n"/>
      <c r="L2148" s="2" t="inlineStr">
        <is>
          <t>Artigo 123.º-B (Programa Nacional dos Planos de Mobilidade Urbana Sustentável)</t>
        </is>
      </c>
      <c r="M2148" s="4" t="n"/>
      <c r="N2148" s="4" t="n"/>
      <c r="O2148" s="2" t="n"/>
      <c r="P2148" s="2" t="n"/>
      <c r="Q2148" s="2" t="n"/>
      <c r="R2148" s="2" t="n"/>
      <c r="S2148" s="2" t="inlineStr">
        <is>
          <t>Rejeitado(a) em Comissão</t>
        </is>
      </c>
      <c r="T2148" s="2" t="inlineStr">
        <is>
          <t>Rejeitada</t>
        </is>
      </c>
      <c r="U2148" s="2" t="inlineStr">
        <is>
          <t>Favor: CH, L, BE, PAN; Contra: PSD, IL, CDS-PP; Abstenção: PS, PCP</t>
        </is>
      </c>
      <c r="V2148" s="3" t="n">
        <v>45985</v>
      </c>
      <c r="W2148" s="2" t="inlineStr">
        <is>
          <t>AR: https://www.parlamento.pt/OrcamentoEstado/Paginas/DetalhePropostaAlteracao.aspx?BID=25387 PDF: https://app.parlamento.pt/webutils/docs/doc.pdf?path=6148523063484d364c793942556b356c6443397a6158526c63793959566b6c4a544556484c3039464c7a49774d6a59794d4449314d5441774f533951515338314d44526b5a6d59304e6930794e6a4e684c545134595445744f47466b4e4330355a445a6b4f5746694e575a6c4f5745756347526d&amp;Fich=504dff46-263a-48a1-8ad4-9d6d9ab5fe9a.pdf&amp;Inline=true</t>
        </is>
      </c>
      <c r="X2148" s="2" t="inlineStr">
        <is>
          <t>Ambiente e Energia; Infraestruturas, Mobilidade e Habitação</t>
        </is>
      </c>
      <c r="Y2148" s="2" t="inlineStr">
        <is>
          <t>Articulado</t>
        </is>
      </c>
      <c r="Z2148" s="2" t="inlineStr">
        <is>
          <t>Aditamento (Artigo PPL)</t>
        </is>
      </c>
      <c r="AA2148" s="2" t="inlineStr">
        <is>
          <t>Rejeitado(a) em Comissão</t>
        </is>
      </c>
      <c r="AB2148" s="2" t="inlineStr"/>
      <c r="AC2148" s="2" t="inlineStr">
        <is>
          <t>2</t>
        </is>
      </c>
      <c r="AD2148" s="2" t="inlineStr">
        <is>
          <t>1</t>
        </is>
      </c>
      <c r="AE2148" s="2" t="inlineStr">
        <is>
          <t>25387</t>
        </is>
      </c>
      <c r="AF2148" s="2" t="inlineStr">
        <is>
          <t>https://www.parlamento.pt/OrcamentoEstado/Paginas/DetalhePropostaAlteracao.aspx?BID=25387</t>
        </is>
      </c>
      <c r="AG2148" s="2" t="inlineStr">
        <is>
          <t>https://app.parlamento.pt/webutils/docs/doc.pdf?path=6148523063484d364c793942556b356c6443397a6158526c63793959566b6c4a544556484c3039464c7a49774d6a59794d4449314d5441774f533951515338314d44526b5a6d59304e6930794e6a4e684c545134595445744f47466b4e4330355a445a6b4f5746694e575a6c4f5745756347526d&amp;Fich=504dff46-263a-48a1-8ad4-9d6d9ab5fe9a.pdf&amp;Inline=true</t>
        </is>
      </c>
      <c r="AH2148" s="3" t="n">
        <v>46321.77847222222</v>
      </c>
      <c r="AI2148" s="3" t="n">
        <v>46321.78055555555</v>
      </c>
      <c r="AJ2148" s="2" t="inlineStr"/>
    </row>
    <row r="2149">
      <c r="A2149" s="2" t="n">
        <v>2148</v>
      </c>
      <c r="B2149" s="2" t="inlineStr">
        <is>
          <t>2032C</t>
        </is>
      </c>
      <c r="C2149" s="3" t="n">
        <v>45968.79375</v>
      </c>
      <c r="D2149" s="2" t="inlineStr">
        <is>
          <t>Original</t>
        </is>
      </c>
      <c r="E2149" s="2" t="inlineStr">
        <is>
          <t>L</t>
        </is>
      </c>
      <c r="F2149" s="2" t="inlineStr">
        <is>
          <t>Filipa Pinto; Isabel Mendes Lopes; Jorge Pinto; Patrícia Gonçalves; Paulo Muacho; Rui Tavares</t>
        </is>
      </c>
      <c r="G2149" s="2" t="inlineStr">
        <is>
          <t>Art. 136.º-A (aditamento)</t>
        </is>
      </c>
      <c r="H2149" s="2" t="n"/>
      <c r="I2149" s="2" t="n"/>
      <c r="J2149" s="2" t="n"/>
      <c r="K2149" s="2" t="n"/>
      <c r="L2149" s="2" t="inlineStr">
        <is>
          <t>Artigo 136.º-A (Guia de Direitos e Recursos para Vítimas de Tráfico de Seres Humanos)</t>
        </is>
      </c>
      <c r="M2149" s="4" t="n"/>
      <c r="N2149" s="4" t="n"/>
      <c r="O2149" s="2" t="n"/>
      <c r="P2149" s="2" t="n"/>
      <c r="Q2149" s="2" t="n"/>
      <c r="R2149" s="2" t="n"/>
      <c r="S2149" s="2" t="inlineStr">
        <is>
          <t>Rejeitado(a) em Comissão</t>
        </is>
      </c>
      <c r="T2149" s="2" t="inlineStr">
        <is>
          <t>Rejeitada</t>
        </is>
      </c>
      <c r="U2149" s="2" t="inlineStr">
        <is>
          <t>Favor: CH, IL, L, PCP, BE, PAN; Contra: PSD, CDS-PP; Abstenção: PS</t>
        </is>
      </c>
      <c r="V2149" s="3" t="n">
        <v>45987</v>
      </c>
      <c r="W2149" s="2" t="inlineStr">
        <is>
          <t>AR: https://www.parlamento.pt/OrcamentoEstado/Paginas/DetalhePropostaAlteracao.aspx?BID=25288 PDF: https://app.parlamento.pt/webutils/docs/doc.pdf?path=6148523063484d364c793942556b356c6443397a6158526c63793959566b6c4a544556484c3039464c7a49774d6a59794d4449314d5441774f5339515153387a596a42695a4759794d69316b597a41794c5451794d7a63744f544d304f5330784d7a67784d6d5a6b59325933595467756347526d&amp;Fich=3b0bdf22-dc02-4237-9349-13812fdcf7a8.pdf&amp;Inline=true</t>
        </is>
      </c>
      <c r="X2149" s="2" t="inlineStr">
        <is>
          <t>Assuntos Constitucionais, Direitos, Liberdades e Garantias; Trabalho, Segurança Social e Inclusão</t>
        </is>
      </c>
      <c r="Y2149" s="2" t="inlineStr">
        <is>
          <t>Articulado</t>
        </is>
      </c>
      <c r="Z2149" s="2" t="inlineStr">
        <is>
          <t>Aditamento (Artigo PPL)</t>
        </is>
      </c>
      <c r="AA2149" s="2" t="inlineStr">
        <is>
          <t>Rejeitado(a) em Comissão</t>
        </is>
      </c>
      <c r="AB2149" s="2" t="inlineStr"/>
      <c r="AC2149" s="2" t="inlineStr"/>
      <c r="AD2149" s="2" t="inlineStr">
        <is>
          <t>1</t>
        </is>
      </c>
      <c r="AE2149" s="2" t="inlineStr">
        <is>
          <t>25288</t>
        </is>
      </c>
      <c r="AF2149" s="2" t="inlineStr">
        <is>
          <t>https://www.parlamento.pt/OrcamentoEstado/Paginas/DetalhePropostaAlteracao.aspx?BID=25288</t>
        </is>
      </c>
      <c r="AG2149" s="2" t="inlineStr">
        <is>
          <t>https://app.parlamento.pt/webutils/docs/doc.pdf?path=6148523063484d364c793942556b356c6443397a6158526c63793959566b6c4a544556484c3039464c7a49774d6a59794d4449314d5441774f5339515153387a596a42695a4759794d69316b597a41794c5451794d7a63744f544d304f5330784d7a67784d6d5a6b59325933595467756347526d&amp;Fich=3b0bdf22-dc02-4237-9349-13812fdcf7a8.pdf&amp;Inline=true</t>
        </is>
      </c>
      <c r="AH2149" s="3" t="n">
        <v>46321.77847222222</v>
      </c>
      <c r="AI2149" s="3" t="n">
        <v>46321.78055555555</v>
      </c>
      <c r="AJ2149" s="2" t="inlineStr"/>
    </row>
    <row r="2150">
      <c r="A2150" s="2" t="n">
        <v>2149</v>
      </c>
      <c r="B2150" s="2" t="inlineStr">
        <is>
          <t>2033C</t>
        </is>
      </c>
      <c r="C2150" s="3" t="n">
        <v>45968.79375</v>
      </c>
      <c r="D2150" s="2" t="inlineStr">
        <is>
          <t>Original</t>
        </is>
      </c>
      <c r="E2150" s="2" t="inlineStr">
        <is>
          <t>L</t>
        </is>
      </c>
      <c r="F2150" s="2" t="inlineStr">
        <is>
          <t>Filipa Pinto; Isabel Mendes Lopes; Jorge Pinto; Patrícia Gonçalves; Paulo Muacho; Rui Tavares</t>
        </is>
      </c>
      <c r="G2150" s="2" t="inlineStr">
        <is>
          <t>Art. 112.º-A (aditamento)</t>
        </is>
      </c>
      <c r="H2150" s="2" t="n"/>
      <c r="I2150" s="2" t="n"/>
      <c r="J2150" s="2" t="n"/>
      <c r="K2150" s="2" t="n"/>
      <c r="L2150" s="2" t="inlineStr">
        <is>
          <t>Artigo 112.º-A (Prevê a gratuitidade do procedimento de mudança da menção do sexo no registo civil e de nome próprio, alterando o Decreto-Lei n.º 322-A/2001, de 14 de dezembro)</t>
        </is>
      </c>
      <c r="M2150" s="4" t="n"/>
      <c r="N2150" s="4" t="n"/>
      <c r="O2150" s="2" t="n"/>
      <c r="P2150" s="2" t="n"/>
      <c r="Q2150" s="2" t="n"/>
      <c r="R2150" s="2" t="n"/>
      <c r="S2150" s="2" t="inlineStr">
        <is>
          <t>Rejeitado(a) em Comissão</t>
        </is>
      </c>
      <c r="T2150" s="2" t="inlineStr">
        <is>
          <t>Rejeitada</t>
        </is>
      </c>
      <c r="U2150" s="2" t="inlineStr">
        <is>
          <t>Favor: PS, L, BE, PAN; Contra: PSD, CH, IL, CDS-PP; Abstenção: PCP</t>
        </is>
      </c>
      <c r="V2150" s="3" t="n">
        <v>45982</v>
      </c>
      <c r="W2150" s="2" t="inlineStr">
        <is>
          <t>AR: https://www.parlamento.pt/OrcamentoEstado/Paginas/DetalhePropostaAlteracao.aspx?BID=25289 PDF: https://app.parlamento.pt/webutils/docs/doc.pdf?path=6148523063484d364c793942556b356c6443397a6158526c63793959566b6c4a544556484c3039464c7a49774d6a59794d4449314d5441774f533951515338784f446378597a59334e7930324d546b324c54517a593249744f47566c4e79303559545179595755784d7a4d304d4449756347526d&amp;Fich=1871c677-6196-43cb-8ee7-9a42ae133402.pdf&amp;Inline=true</t>
        </is>
      </c>
      <c r="X2150" s="2" t="inlineStr">
        <is>
          <t>Assuntos Constitucionais, Direitos, Liberdades e Garantias</t>
        </is>
      </c>
      <c r="Y2150" s="2" t="inlineStr">
        <is>
          <t>Articulado</t>
        </is>
      </c>
      <c r="Z2150" s="2" t="inlineStr">
        <is>
          <t>Aditamento (Artigo PPL)</t>
        </is>
      </c>
      <c r="AA2150" s="2" t="inlineStr">
        <is>
          <t>Rejeitado(a) em Comissão</t>
        </is>
      </c>
      <c r="AB2150" s="2" t="inlineStr"/>
      <c r="AC2150" s="2" t="inlineStr"/>
      <c r="AD2150" s="2" t="inlineStr">
        <is>
          <t>1</t>
        </is>
      </c>
      <c r="AE2150" s="2" t="inlineStr">
        <is>
          <t>25289</t>
        </is>
      </c>
      <c r="AF2150" s="2" t="inlineStr">
        <is>
          <t>https://www.parlamento.pt/OrcamentoEstado/Paginas/DetalhePropostaAlteracao.aspx?BID=25289</t>
        </is>
      </c>
      <c r="AG2150" s="2" t="inlineStr">
        <is>
          <t>https://app.parlamento.pt/webutils/docs/doc.pdf?path=6148523063484d364c793942556b356c6443397a6158526c63793959566b6c4a544556484c3039464c7a49774d6a59794d4449314d5441774f533951515338784f446378597a59334e7930324d546b324c54517a593249744f47566c4e79303559545179595755784d7a4d304d4449756347526d&amp;Fich=1871c677-6196-43cb-8ee7-9a42ae133402.pdf&amp;Inline=true</t>
        </is>
      </c>
      <c r="AH2150" s="3" t="n">
        <v>46321.77847222222</v>
      </c>
      <c r="AI2150" s="3" t="n">
        <v>46321.78055555555</v>
      </c>
      <c r="AJ2150" s="2" t="inlineStr"/>
    </row>
    <row r="2151">
      <c r="A2151" s="2" t="n">
        <v>2150</v>
      </c>
      <c r="B2151" s="2" t="inlineStr">
        <is>
          <t>2034C</t>
        </is>
      </c>
      <c r="C2151" s="3" t="n">
        <v>45968.79513888889</v>
      </c>
      <c r="D2151" s="2" t="inlineStr">
        <is>
          <t>Original</t>
        </is>
      </c>
      <c r="E2151" s="2" t="inlineStr">
        <is>
          <t>L</t>
        </is>
      </c>
      <c r="F2151" s="2" t="inlineStr">
        <is>
          <t>Filipa Pinto; Isabel Mendes Lopes; Jorge Pinto; Patrícia Gonçalves; Paulo Muacho; Rui Tavares</t>
        </is>
      </c>
      <c r="G2151" s="2" t="inlineStr">
        <is>
          <t>Art. 136.º-A (aditamento)</t>
        </is>
      </c>
      <c r="H2151" s="2" t="n"/>
      <c r="I2151" s="2" t="n"/>
      <c r="J2151" s="2" t="n"/>
      <c r="K2151" s="2" t="n"/>
      <c r="L2151" s="2" t="inlineStr">
        <is>
          <t>Artigo 136.º-A (Divulgação da Provedoria dos Utentes dos Serviços da AIMA)</t>
        </is>
      </c>
      <c r="M2151" s="4" t="n"/>
      <c r="N2151" s="4" t="n"/>
      <c r="O2151" s="2" t="n"/>
      <c r="P2151" s="2" t="n"/>
      <c r="Q2151" s="2" t="n"/>
      <c r="R2151" s="2" t="n"/>
      <c r="S2151" s="2" t="inlineStr">
        <is>
          <t>Rejeitado(a) em Comissão</t>
        </is>
      </c>
      <c r="T2151" s="2" t="inlineStr">
        <is>
          <t>Rejeitada</t>
        </is>
      </c>
      <c r="U2151" s="2" t="inlineStr">
        <is>
          <t>Favor: IL, L, PCP, BE, PAN; Contra: PSD, CH, CDS-PP; Abstenção: PS</t>
        </is>
      </c>
      <c r="V2151" s="3" t="n">
        <v>45987</v>
      </c>
      <c r="W2151" s="2" t="inlineStr">
        <is>
          <t>AR: https://www.parlamento.pt/OrcamentoEstado/Paginas/DetalhePropostaAlteracao.aspx?BID=25290 PDF: https://app.parlamento.pt/webutils/docs/doc.pdf?path=6148523063484d364c793942556b356c6443397a6158526c63793959566b6c4a544556484c3039464c7a49774d6a59794d4449314d5441774f533951515338324e324a6d4d5759794d793034597a63324c5451784f4459744f546b324f5330775a4759784e57466c4f546b354e6d49756347526d&amp;Fich=67bf1f23-8c76-4186-9969-0df15ae9996b.pdf&amp;Inline=true</t>
        </is>
      </c>
      <c r="X2151" s="2" t="inlineStr">
        <is>
          <t>Assuntos Constitucionais, Direitos, Liberdades e Garantias</t>
        </is>
      </c>
      <c r="Y2151" s="2" t="inlineStr">
        <is>
          <t>Articulado</t>
        </is>
      </c>
      <c r="Z2151" s="2" t="inlineStr">
        <is>
          <t>Aditamento (Artigo PPL)</t>
        </is>
      </c>
      <c r="AA2151" s="2" t="inlineStr">
        <is>
          <t>Rejeitado(a) em Comissão</t>
        </is>
      </c>
      <c r="AB2151" s="2" t="inlineStr"/>
      <c r="AC2151" s="2" t="inlineStr"/>
      <c r="AD2151" s="2" t="inlineStr">
        <is>
          <t>1</t>
        </is>
      </c>
      <c r="AE2151" s="2" t="inlineStr">
        <is>
          <t>25290</t>
        </is>
      </c>
      <c r="AF2151" s="2" t="inlineStr">
        <is>
          <t>https://www.parlamento.pt/OrcamentoEstado/Paginas/DetalhePropostaAlteracao.aspx?BID=25290</t>
        </is>
      </c>
      <c r="AG2151" s="2" t="inlineStr">
        <is>
          <t>https://app.parlamento.pt/webutils/docs/doc.pdf?path=6148523063484d364c793942556b356c6443397a6158526c63793959566b6c4a544556484c3039464c7a49774d6a59794d4449314d5441774f533951515338324e324a6d4d5759794d793034597a63324c5451784f4459744f546b324f5330775a4759784e57466c4f546b354e6d49756347526d&amp;Fich=67bf1f23-8c76-4186-9969-0df15ae9996b.pdf&amp;Inline=true</t>
        </is>
      </c>
      <c r="AH2151" s="3" t="n">
        <v>46321.77847222222</v>
      </c>
      <c r="AI2151" s="3" t="n">
        <v>46321.78055555555</v>
      </c>
      <c r="AJ2151" s="2" t="inlineStr"/>
    </row>
    <row r="2152">
      <c r="A2152" s="2" t="n">
        <v>2151</v>
      </c>
      <c r="B2152" s="2" t="inlineStr">
        <is>
          <t>2035C</t>
        </is>
      </c>
      <c r="C2152" s="3" t="n">
        <v>45968.79722222222</v>
      </c>
      <c r="D2152" s="2" t="inlineStr">
        <is>
          <t>Original</t>
        </is>
      </c>
      <c r="E2152" s="2" t="inlineStr">
        <is>
          <t>L</t>
        </is>
      </c>
      <c r="F2152" s="2" t="inlineStr">
        <is>
          <t>Filipa Pinto; Isabel Mendes Lopes; Jorge Pinto; Patrícia Gonçalves; Paulo Muacho; Rui Tavares</t>
        </is>
      </c>
      <c r="G2152" s="2" t="inlineStr">
        <is>
          <t>Art. 116.º-A (aditamento)</t>
        </is>
      </c>
      <c r="H2152" s="2" t="n"/>
      <c r="I2152" s="2" t="n"/>
      <c r="J2152" s="2" t="n"/>
      <c r="K2152" s="2" t="n"/>
      <c r="L2152" s="2" t="inlineStr">
        <is>
          <t>Artigo 116.º-A (Estratégia para a Igualdade, Inclusão e Participação das Comunidades Ciganas)</t>
        </is>
      </c>
      <c r="M2152" s="4" t="n"/>
      <c r="N2152" s="4" t="n"/>
      <c r="O2152" s="2" t="n"/>
      <c r="P2152" s="2" t="n"/>
      <c r="Q2152" s="2" t="n"/>
      <c r="R2152" s="2" t="n"/>
      <c r="S2152" s="2" t="inlineStr">
        <is>
          <t>Rejeitado(a) em Plenário</t>
        </is>
      </c>
      <c r="T2152" s="2" t="inlineStr">
        <is>
          <t>Rejeitada</t>
        </is>
      </c>
      <c r="U2152" s="2" t="inlineStr">
        <is>
          <t>Favor: PS, L, PCP, BE, PAN, JPP; Contra: PSD, CH, IL, CDS-PP</t>
        </is>
      </c>
      <c r="V2152" s="3" t="n">
        <v>45987</v>
      </c>
      <c r="W2152" s="2" t="inlineStr">
        <is>
          <t>Avocada a Plenário. AR: https://www.parlamento.pt/OrcamentoEstado/Paginas/DetalhePropostaAlteracao.aspx?BID=25291 PDF: https://app.parlamento.pt/webutils/docs/doc.pdf?path=6148523063484d364c793942556b356c6443397a6158526c63793959566b6c4a544556484c3039464c7a49774d6a59794d4449314d5441774f5339515153396c4e6d49334d32526a595330774d6d59784c5451344e474d74596a566b5a43316b597a59324d6d4a6a4d6a4134593245756347526d&amp;Fich=e6b73dca-02f1-484c-b5dd-dc662bc208ca.pdf&amp;Inline=true</t>
        </is>
      </c>
      <c r="X2152" s="2" t="inlineStr">
        <is>
          <t>Assuntos Constitucionais, Direitos, Liberdades e Garantias; Trabalho, Segurança Social e Inclusão</t>
        </is>
      </c>
      <c r="Y2152" s="2" t="inlineStr">
        <is>
          <t>Articulado</t>
        </is>
      </c>
      <c r="Z2152" s="2" t="inlineStr">
        <is>
          <t>Aditamento (Artigo PPL)</t>
        </is>
      </c>
      <c r="AA2152" s="2" t="inlineStr">
        <is>
          <t>Rejeitado(a) em Plenário</t>
        </is>
      </c>
      <c r="AB2152" s="2" t="inlineStr">
        <is>
          <t>S</t>
        </is>
      </c>
      <c r="AC2152" s="2" t="inlineStr"/>
      <c r="AD2152" s="2" t="inlineStr">
        <is>
          <t>2</t>
        </is>
      </c>
      <c r="AE2152" s="2" t="inlineStr">
        <is>
          <t>25291</t>
        </is>
      </c>
      <c r="AF2152" s="2" t="inlineStr">
        <is>
          <t>https://www.parlamento.pt/OrcamentoEstado/Paginas/DetalhePropostaAlteracao.aspx?BID=25291</t>
        </is>
      </c>
      <c r="AG2152" s="2" t="inlineStr">
        <is>
          <t>https://app.parlamento.pt/webutils/docs/doc.pdf?path=6148523063484d364c793942556b356c6443397a6158526c63793959566b6c4a544556484c3039464c7a49774d6a59794d4449314d5441774f5339515153396c4e6d49334d32526a595330774d6d59784c5451344e474d74596a566b5a43316b597a59324d6d4a6a4d6a4134593245756347526d&amp;Fich=e6b73dca-02f1-484c-b5dd-dc662bc208ca.pdf&amp;Inline=true</t>
        </is>
      </c>
      <c r="AH2152" s="3" t="n">
        <v>46321.77847222222</v>
      </c>
      <c r="AI2152" s="3" t="n">
        <v>46321.78055555555</v>
      </c>
      <c r="AJ2152" s="2" t="inlineStr"/>
    </row>
    <row r="2153">
      <c r="A2153" s="2" t="n">
        <v>2152</v>
      </c>
      <c r="B2153" s="2" t="inlineStr">
        <is>
          <t>2036C</t>
        </is>
      </c>
      <c r="C2153" s="3" t="n">
        <v>45968.79722222222</v>
      </c>
      <c r="D2153" s="2" t="inlineStr">
        <is>
          <t>Original</t>
        </is>
      </c>
      <c r="E2153" s="2" t="inlineStr">
        <is>
          <t>L</t>
        </is>
      </c>
      <c r="F2153" s="2" t="inlineStr">
        <is>
          <t>Filipa Pinto; Isabel Mendes Lopes; Jorge Pinto; Patrícia Gonçalves; Paulo Muacho; Rui Tavares</t>
        </is>
      </c>
      <c r="G2153" s="2" t="inlineStr">
        <is>
          <t>Art. 123.º-A (aditamento)</t>
        </is>
      </c>
      <c r="H2153" s="2" t="n"/>
      <c r="I2153" s="2" t="n"/>
      <c r="J2153" s="2" t="n"/>
      <c r="K2153" s="2" t="n"/>
      <c r="L2153" s="2" t="inlineStr">
        <is>
          <t>Artigo 123.º-A (Incentivo à criação de sistemas de bicicletas partilhadas ao nível municipal e intermunicipal)</t>
        </is>
      </c>
      <c r="M2153" s="4" t="n"/>
      <c r="N2153" s="4" t="n"/>
      <c r="O2153" s="2" t="n"/>
      <c r="P2153" s="2" t="n"/>
      <c r="Q2153" s="2" t="n"/>
      <c r="R2153" s="2" t="n"/>
      <c r="S2153" s="2" t="inlineStr">
        <is>
          <t>Rejeitado(a) em Comissão</t>
        </is>
      </c>
      <c r="T2153" s="2" t="inlineStr">
        <is>
          <t>Rejeitada</t>
        </is>
      </c>
      <c r="U2153" s="2" t="inlineStr">
        <is>
          <t>Favor: L, BE, PAN; Contra: PSD, CH, CDS-PP; Abstenção: PS, IL, PCP</t>
        </is>
      </c>
      <c r="V2153" s="3" t="n">
        <v>45985</v>
      </c>
      <c r="W2153" s="2" t="inlineStr">
        <is>
          <t>AR: https://www.parlamento.pt/OrcamentoEstado/Paginas/DetalhePropostaAlteracao.aspx?BID=25292 PDF: https://app.parlamento.pt/webutils/docs/doc.pdf?path=6148523063484d364c793942556b356c6443397a6158526c63793959566b6c4a544556484c3039464c7a49774d6a59794d4449314d5441774f533951515338335a47526a4d47466a4e43316c5a546b794c54513359545974595445354d7930354e7a5135595446684e3251794e3255756347526d&amp;Fich=7ddc0ac4-ee92-47a6-a193-9749a1a7d27e.pdf&amp;Inline=true</t>
        </is>
      </c>
      <c r="X2153" s="2" t="inlineStr">
        <is>
          <t>Ambiente e Energia; Infraestruturas, Mobilidade e Habitação</t>
        </is>
      </c>
      <c r="Y2153" s="2" t="inlineStr">
        <is>
          <t>Articulado</t>
        </is>
      </c>
      <c r="Z2153" s="2" t="inlineStr">
        <is>
          <t>Aditamento (Artigo PPL)</t>
        </is>
      </c>
      <c r="AA2153" s="2" t="inlineStr">
        <is>
          <t>Rejeitado(a) em Comissão</t>
        </is>
      </c>
      <c r="AB2153" s="2" t="inlineStr"/>
      <c r="AC2153" s="2" t="inlineStr"/>
      <c r="AD2153" s="2" t="inlineStr">
        <is>
          <t>1</t>
        </is>
      </c>
      <c r="AE2153" s="2" t="inlineStr">
        <is>
          <t>25292</t>
        </is>
      </c>
      <c r="AF2153" s="2" t="inlineStr">
        <is>
          <t>https://www.parlamento.pt/OrcamentoEstado/Paginas/DetalhePropostaAlteracao.aspx?BID=25292</t>
        </is>
      </c>
      <c r="AG2153" s="2" t="inlineStr">
        <is>
          <t>https://app.parlamento.pt/webutils/docs/doc.pdf?path=6148523063484d364c793942556b356c6443397a6158526c63793959566b6c4a544556484c3039464c7a49774d6a59794d4449314d5441774f533951515338335a47526a4d47466a4e43316c5a546b794c54513359545974595445354d7930354e7a5135595446684e3251794e3255756347526d&amp;Fich=7ddc0ac4-ee92-47a6-a193-9749a1a7d27e.pdf&amp;Inline=true</t>
        </is>
      </c>
      <c r="AH2153" s="3" t="n">
        <v>46321.77847222222</v>
      </c>
      <c r="AI2153" s="3" t="n">
        <v>46321.78055555555</v>
      </c>
      <c r="AJ2153" s="2" t="inlineStr"/>
    </row>
    <row r="2154">
      <c r="A2154" s="2" t="n">
        <v>2153</v>
      </c>
      <c r="B2154" s="2" t="inlineStr">
        <is>
          <t>2037C</t>
        </is>
      </c>
      <c r="C2154" s="3" t="n">
        <v>45968.79861111111</v>
      </c>
      <c r="D2154" s="2" t="inlineStr">
        <is>
          <t>Original</t>
        </is>
      </c>
      <c r="E2154" s="2" t="inlineStr">
        <is>
          <t>L</t>
        </is>
      </c>
      <c r="F2154" s="2" t="inlineStr">
        <is>
          <t>Filipa Pinto; Isabel Mendes Lopes; Jorge Pinto; Patrícia Gonçalves; Paulo Muacho; Rui Tavares</t>
        </is>
      </c>
      <c r="G2154" s="2" t="inlineStr">
        <is>
          <t>Art. 113.º-A (aditamento)</t>
        </is>
      </c>
      <c r="H2154" s="2" t="n"/>
      <c r="I2154" s="2" t="n"/>
      <c r="J2154" s="2" t="n"/>
      <c r="K2154" s="2" t="n"/>
      <c r="L2154" s="2" t="inlineStr">
        <is>
          <t>Artigo 113.º-A (Estatuto das Organizações Não Governamentais LGBTI+)</t>
        </is>
      </c>
      <c r="M2154" s="4" t="n"/>
      <c r="N2154" s="4" t="n"/>
      <c r="O2154" s="2" t="n"/>
      <c r="P2154" s="2" t="n"/>
      <c r="Q2154" s="2" t="n"/>
      <c r="R2154" s="2" t="n"/>
      <c r="S2154" s="2" t="inlineStr">
        <is>
          <t>Rejeitado(a) em Comissão</t>
        </is>
      </c>
      <c r="T2154" s="2" t="inlineStr">
        <is>
          <t>Rejeitada</t>
        </is>
      </c>
      <c r="U2154" s="2" t="inlineStr">
        <is>
          <t>Favor: L, PCP, BE, PAN; Contra: PSD, CH, IL, CDS-PP; Abstenção: PS</t>
        </is>
      </c>
      <c r="V2154" s="3" t="n">
        <v>45985</v>
      </c>
      <c r="W2154" s="2" t="inlineStr">
        <is>
          <t>AR: https://www.parlamento.pt/OrcamentoEstado/Paginas/DetalhePropostaAlteracao.aspx?BID=25293 PDF: https://app.parlamento.pt/webutils/docs/doc.pdf?path=6148523063484d364c793942556b356c6443397a6158526c63793959566b6c4a544556484c3039464c7a49774d6a59794d4449314d5441774f533951515338774d6a566a4d324d344d4330314f4451774c5451304f4749744f544d334e6930784d3245335a4755324d6d5579596d59756347526d&amp;Fich=025c3c80-5840-448b-9376-13a7de62e2bf.pdf&amp;Inline=true</t>
        </is>
      </c>
      <c r="X2154" s="2" t="inlineStr">
        <is>
          <t>Assuntos Constitucionais, Direitos, Liberdades e Garantias</t>
        </is>
      </c>
      <c r="Y2154" s="2" t="inlineStr">
        <is>
          <t>Articulado</t>
        </is>
      </c>
      <c r="Z2154" s="2" t="inlineStr">
        <is>
          <t>Aditamento (Artigo PPL)</t>
        </is>
      </c>
      <c r="AA2154" s="2" t="inlineStr">
        <is>
          <t>Rejeitado(a) em Comissão</t>
        </is>
      </c>
      <c r="AB2154" s="2" t="inlineStr"/>
      <c r="AC2154" s="2" t="inlineStr"/>
      <c r="AD2154" s="2" t="inlineStr">
        <is>
          <t>1</t>
        </is>
      </c>
      <c r="AE2154" s="2" t="inlineStr">
        <is>
          <t>25293</t>
        </is>
      </c>
      <c r="AF2154" s="2" t="inlineStr">
        <is>
          <t>https://www.parlamento.pt/OrcamentoEstado/Paginas/DetalhePropostaAlteracao.aspx?BID=25293</t>
        </is>
      </c>
      <c r="AG2154" s="2" t="inlineStr">
        <is>
          <t>https://app.parlamento.pt/webutils/docs/doc.pdf?path=6148523063484d364c793942556b356c6443397a6158526c63793959566b6c4a544556484c3039464c7a49774d6a59794d4449314d5441774f533951515338774d6a566a4d324d344d4330314f4451774c5451304f4749744f544d334e6930784d3245335a4755324d6d5579596d59756347526d&amp;Fich=025c3c80-5840-448b-9376-13a7de62e2bf.pdf&amp;Inline=true</t>
        </is>
      </c>
      <c r="AH2154" s="3" t="n">
        <v>46321.77847222222</v>
      </c>
      <c r="AI2154" s="3" t="n">
        <v>46321.78055555555</v>
      </c>
      <c r="AJ2154" s="2" t="inlineStr"/>
    </row>
    <row r="2155">
      <c r="A2155" s="2" t="n">
        <v>2154</v>
      </c>
      <c r="B2155" s="2" t="inlineStr">
        <is>
          <t>2038C</t>
        </is>
      </c>
      <c r="C2155" s="3" t="n">
        <v>45968.80069444444</v>
      </c>
      <c r="D2155" s="2" t="inlineStr">
        <is>
          <t>Original</t>
        </is>
      </c>
      <c r="E2155" s="2" t="inlineStr">
        <is>
          <t>L</t>
        </is>
      </c>
      <c r="F2155" s="2" t="inlineStr">
        <is>
          <t>Filipa Pinto; Isabel Mendes Lopes; Jorge Pinto; Patrícia Gonçalves; Paulo Muacho; Rui Tavares</t>
        </is>
      </c>
      <c r="G2155" s="2" t="inlineStr">
        <is>
          <t>Art. 136.º-A (aditamento)</t>
        </is>
      </c>
      <c r="H2155" s="2" t="n"/>
      <c r="I2155" s="2" t="n"/>
      <c r="J2155" s="2" t="n"/>
      <c r="K2155" s="2" t="n"/>
      <c r="L2155" s="2" t="inlineStr">
        <is>
          <t>Artigo 136.º-A (Estratégia Nacional para a Inclusão das Pessoas com Deficiência 2026-2030)</t>
        </is>
      </c>
      <c r="M2155" s="4" t="n"/>
      <c r="N2155" s="4" t="n"/>
      <c r="O2155" s="2" t="n"/>
      <c r="P2155" s="2" t="n"/>
      <c r="Q2155" s="2" t="n"/>
      <c r="R2155" s="2" t="n"/>
      <c r="S2155" s="2" t="inlineStr">
        <is>
          <t>Rejeitado(a) em Comissão</t>
        </is>
      </c>
      <c r="T2155" s="2" t="inlineStr">
        <is>
          <t>Rejeitada</t>
        </is>
      </c>
      <c r="U2155" s="2" t="inlineStr">
        <is>
          <t>Favor: PS, L, PCP, BE, PAN; Contra: PSD, IL, CDS-PP; Abstenção: CH</t>
        </is>
      </c>
      <c r="V2155" s="3" t="n">
        <v>45987</v>
      </c>
      <c r="W2155" s="2" t="inlineStr">
        <is>
          <t>AR: https://www.parlamento.pt/OrcamentoEstado/Paginas/DetalhePropostaAlteracao.aspx?BID=25294 PDF: https://app.parlamento.pt/webutils/docs/doc.pdf?path=6148523063484d364c793942556b356c6443397a6158526c63793959566b6c4a544556484c3039464c7a49774d6a59794d4449314d5441774f533951515338325a5455344e7a6c685a433033593249774c5451334e6a4d74595749784e79316b4e54466b4f5449784e7a45354e5745756347526d&amp;Fich=6e5879ad-7cb0-4763-ab17-d51d9217195a.pdf&amp;Inline=true</t>
        </is>
      </c>
      <c r="X2155" s="2" t="inlineStr">
        <is>
          <t>Assuntos Constitucionais, Direitos, Liberdades e Garantias; Trabalho, Segurança Social e Inclusão</t>
        </is>
      </c>
      <c r="Y2155" s="2" t="inlineStr">
        <is>
          <t>Articulado</t>
        </is>
      </c>
      <c r="Z2155" s="2" t="inlineStr">
        <is>
          <t>Aditamento (Artigo PPL)</t>
        </is>
      </c>
      <c r="AA2155" s="2" t="inlineStr">
        <is>
          <t>Rejeitado(a) em Comissão</t>
        </is>
      </c>
      <c r="AB2155" s="2" t="inlineStr"/>
      <c r="AC2155" s="2" t="inlineStr"/>
      <c r="AD2155" s="2" t="inlineStr">
        <is>
          <t>1</t>
        </is>
      </c>
      <c r="AE2155" s="2" t="inlineStr">
        <is>
          <t>25294</t>
        </is>
      </c>
      <c r="AF2155" s="2" t="inlineStr">
        <is>
          <t>https://www.parlamento.pt/OrcamentoEstado/Paginas/DetalhePropostaAlteracao.aspx?BID=25294</t>
        </is>
      </c>
      <c r="AG2155" s="2" t="inlineStr">
        <is>
          <t>https://app.parlamento.pt/webutils/docs/doc.pdf?path=6148523063484d364c793942556b356c6443397a6158526c63793959566b6c4a544556484c3039464c7a49774d6a59794d4449314d5441774f533951515338325a5455344e7a6c685a433033593249774c5451334e6a4d74595749784e79316b4e54466b4f5449784e7a45354e5745756347526d&amp;Fich=6e5879ad-7cb0-4763-ab17-d51d9217195a.pdf&amp;Inline=true</t>
        </is>
      </c>
      <c r="AH2155" s="3" t="n">
        <v>46321.77847222222</v>
      </c>
      <c r="AI2155" s="3" t="n">
        <v>46321.78055555555</v>
      </c>
      <c r="AJ2155" s="2" t="inlineStr"/>
    </row>
    <row r="2156">
      <c r="A2156" s="2" t="n">
        <v>2155</v>
      </c>
      <c r="B2156" s="2" t="inlineStr">
        <is>
          <t>2039C</t>
        </is>
      </c>
      <c r="C2156" s="3" t="n">
        <v>45968.80208333334</v>
      </c>
      <c r="D2156" s="2" t="inlineStr">
        <is>
          <t>Original</t>
        </is>
      </c>
      <c r="E2156" s="2" t="inlineStr">
        <is>
          <t>L</t>
        </is>
      </c>
      <c r="F2156" s="2" t="inlineStr">
        <is>
          <t>Filipa Pinto; Isabel Mendes Lopes; Jorge Pinto; Patrícia Gonçalves; Paulo Muacho; Rui Tavares</t>
        </is>
      </c>
      <c r="G2156" s="2" t="inlineStr">
        <is>
          <t>Art. 123.º-A (aditamento)</t>
        </is>
      </c>
      <c r="H2156" s="2" t="n"/>
      <c r="I2156" s="2" t="n"/>
      <c r="J2156" s="2" t="n"/>
      <c r="K2156" s="2" t="n"/>
      <c r="L2156" s="2" t="inlineStr">
        <is>
          <t>Artigo 123.º-A (Programa de Mobilidade Sustentável Casa-Trabalho e Casa-Escola)</t>
        </is>
      </c>
      <c r="M2156" s="4" t="n"/>
      <c r="N2156" s="4" t="n"/>
      <c r="O2156" s="2" t="n"/>
      <c r="P2156" s="2" t="n"/>
      <c r="Q2156" s="2" t="n"/>
      <c r="R2156" s="2" t="n"/>
      <c r="S2156" s="2" t="inlineStr">
        <is>
          <t>Rejeitado(a) em Comissão</t>
        </is>
      </c>
      <c r="T2156" s="2" t="inlineStr">
        <is>
          <t>Rejeitada</t>
        </is>
      </c>
      <c r="U2156" s="2" t="inlineStr">
        <is>
          <t>Favor: L, BE, PAN; Contra: PSD, CH, IL, PCP, CDS-PP; Abstenção: PS</t>
        </is>
      </c>
      <c r="V2156" s="3" t="n">
        <v>45985</v>
      </c>
      <c r="W2156" s="2" t="inlineStr">
        <is>
          <t>AR: https://www.parlamento.pt/OrcamentoEstado/Paginas/DetalhePropostaAlteracao.aspx?BID=25295 PDF: https://app.parlamento.pt/webutils/docs/doc.pdf?path=6148523063484d364c793942556b356c6443397a6158526c63793959566b6c4a544556484c3039464c7a49774d6a59794d4449314d5441774f5339515153396b4d7a67784d324e684d6931694e4755344c5451794d4745745954426b4d6930304e7a45794e4449305a57526c4d5451756347526d&amp;Fich=d3813ca2-b4e8-420a-a0d2-4712424ede14.pdf&amp;Inline=true</t>
        </is>
      </c>
      <c r="X2156" s="2" t="inlineStr">
        <is>
          <t>Ambiente e Energia; Infraestruturas, Mobilidade e Habitação</t>
        </is>
      </c>
      <c r="Y2156" s="2" t="inlineStr">
        <is>
          <t>Articulado</t>
        </is>
      </c>
      <c r="Z2156" s="2" t="inlineStr">
        <is>
          <t>Aditamento (Artigo PPL)</t>
        </is>
      </c>
      <c r="AA2156" s="2" t="inlineStr">
        <is>
          <t>Rejeitado(a) em Comissão</t>
        </is>
      </c>
      <c r="AB2156" s="2" t="inlineStr"/>
      <c r="AC2156" s="2" t="inlineStr"/>
      <c r="AD2156" s="2" t="inlineStr">
        <is>
          <t>1</t>
        </is>
      </c>
      <c r="AE2156" s="2" t="inlineStr">
        <is>
          <t>25295</t>
        </is>
      </c>
      <c r="AF2156" s="2" t="inlineStr">
        <is>
          <t>https://www.parlamento.pt/OrcamentoEstado/Paginas/DetalhePropostaAlteracao.aspx?BID=25295</t>
        </is>
      </c>
      <c r="AG2156" s="2" t="inlineStr">
        <is>
          <t>https://app.parlamento.pt/webutils/docs/doc.pdf?path=6148523063484d364c793942556b356c6443397a6158526c63793959566b6c4a544556484c3039464c7a49774d6a59794d4449314d5441774f5339515153396b4d7a67784d324e684d6931694e4755344c5451794d4745745954426b4d6930304e7a45794e4449305a57526c4d5451756347526d&amp;Fich=d3813ca2-b4e8-420a-a0d2-4712424ede14.pdf&amp;Inline=true</t>
        </is>
      </c>
      <c r="AH2156" s="3" t="n">
        <v>46321.77847222222</v>
      </c>
      <c r="AI2156" s="3" t="n">
        <v>46321.78055555555</v>
      </c>
      <c r="AJ2156" s="2" t="inlineStr"/>
    </row>
    <row r="2157">
      <c r="A2157" s="2" t="n">
        <v>2156</v>
      </c>
      <c r="B2157" s="2" t="inlineStr">
        <is>
          <t>2040C</t>
        </is>
      </c>
      <c r="C2157" s="3" t="n">
        <v>45968.80208333334</v>
      </c>
      <c r="D2157" s="2" t="inlineStr">
        <is>
          <t>Original</t>
        </is>
      </c>
      <c r="E2157" s="2" t="inlineStr">
        <is>
          <t>L</t>
        </is>
      </c>
      <c r="F2157" s="2" t="inlineStr">
        <is>
          <t>Filipa Pinto; Isabel Mendes Lopes; Jorge Pinto; Patrícia Gonçalves; Paulo Muacho; Rui Tavares</t>
        </is>
      </c>
      <c r="G2157" s="2" t="inlineStr">
        <is>
          <t>Art. 112.º-A (aditamento)</t>
        </is>
      </c>
      <c r="H2157" s="2" t="n"/>
      <c r="I2157" s="2" t="n"/>
      <c r="J2157" s="2" t="n"/>
      <c r="K2157" s="2" t="n"/>
      <c r="L2157" s="2" t="inlineStr">
        <is>
          <t>Artigo 112.º-A (Plano Nacional de Combate ao Racismo e à Discriminação)</t>
        </is>
      </c>
      <c r="M2157" s="4" t="n"/>
      <c r="N2157" s="4" t="n"/>
      <c r="O2157" s="2" t="n"/>
      <c r="P2157" s="2" t="n"/>
      <c r="Q2157" s="2" t="n"/>
      <c r="R2157" s="2" t="n"/>
      <c r="S2157" s="2" t="inlineStr">
        <is>
          <t>Rejeitado(a) em Comissão</t>
        </is>
      </c>
      <c r="T2157" s="2" t="inlineStr">
        <is>
          <t>Rejeitada</t>
        </is>
      </c>
      <c r="U2157" s="2" t="inlineStr">
        <is>
          <t>Favor: PS, IL, L, PCP, BE, PAN; Contra: PSD, CH, CDS-PP</t>
        </is>
      </c>
      <c r="V2157" s="3" t="n">
        <v>45982</v>
      </c>
      <c r="W2157" s="2" t="inlineStr">
        <is>
          <t>AR: https://www.parlamento.pt/OrcamentoEstado/Paginas/DetalhePropostaAlteracao.aspx?BID=25296 PDF: https://app.parlamento.pt/webutils/docs/doc.pdf?path=6148523063484d364c793942556b356c6443397a6158526c63793959566b6c4a544556484c3039464c7a49774d6a59794d4449314d5441774f533951515338325957466a4d5441315979307a596a6b784c5451784f5451744f54457a4e5330785a6d4d355a4749304d57597a4f4759756347526d&amp;Fich=6aac105c-3b91-4194-9135-1fc9db41f38f.pdf&amp;Inline=true</t>
        </is>
      </c>
      <c r="X2157" s="2" t="inlineStr">
        <is>
          <t>Assuntos Constitucionais, Direitos, Liberdades e Garantias</t>
        </is>
      </c>
      <c r="Y2157" s="2" t="inlineStr">
        <is>
          <t>Articulado</t>
        </is>
      </c>
      <c r="Z2157" s="2" t="inlineStr">
        <is>
          <t>Aditamento (Artigo PPL)</t>
        </is>
      </c>
      <c r="AA2157" s="2" t="inlineStr">
        <is>
          <t>Rejeitado(a) em Comissão</t>
        </is>
      </c>
      <c r="AB2157" s="2" t="inlineStr"/>
      <c r="AC2157" s="2" t="inlineStr"/>
      <c r="AD2157" s="2" t="inlineStr">
        <is>
          <t>1</t>
        </is>
      </c>
      <c r="AE2157" s="2" t="inlineStr">
        <is>
          <t>25296</t>
        </is>
      </c>
      <c r="AF2157" s="2" t="inlineStr">
        <is>
          <t>https://www.parlamento.pt/OrcamentoEstado/Paginas/DetalhePropostaAlteracao.aspx?BID=25296</t>
        </is>
      </c>
      <c r="AG2157" s="2" t="inlineStr">
        <is>
          <t>https://app.parlamento.pt/webutils/docs/doc.pdf?path=6148523063484d364c793942556b356c6443397a6158526c63793959566b6c4a544556484c3039464c7a49774d6a59794d4449314d5441774f533951515338325957466a4d5441315979307a596a6b784c5451784f5451744f54457a4e5330785a6d4d355a4749304d57597a4f4759756347526d&amp;Fich=6aac105c-3b91-4194-9135-1fc9db41f38f.pdf&amp;Inline=true</t>
        </is>
      </c>
      <c r="AH2157" s="3" t="n">
        <v>46321.77847222222</v>
      </c>
      <c r="AI2157" s="3" t="n">
        <v>46321.78055555555</v>
      </c>
      <c r="AJ2157" s="2" t="inlineStr"/>
    </row>
    <row r="2158">
      <c r="A2158" s="2" t="n">
        <v>2157</v>
      </c>
      <c r="B2158" s="2" t="inlineStr">
        <is>
          <t>2041C</t>
        </is>
      </c>
      <c r="C2158" s="3" t="n">
        <v>45968.80416666667</v>
      </c>
      <c r="D2158" s="2" t="inlineStr">
        <is>
          <t>Original</t>
        </is>
      </c>
      <c r="E2158" s="2" t="inlineStr">
        <is>
          <t>L</t>
        </is>
      </c>
      <c r="F2158" s="2" t="inlineStr">
        <is>
          <t>Filipa Pinto; Isabel Mendes Lopes; Jorge Pinto; Patrícia Gonçalves; Paulo Muacho; Rui Tavares</t>
        </is>
      </c>
      <c r="G2158" s="2" t="inlineStr">
        <is>
          <t>Art. 136.º-A (aditamento)</t>
        </is>
      </c>
      <c r="H2158" s="2" t="n"/>
      <c r="I2158" s="2" t="n"/>
      <c r="J2158" s="2" t="n"/>
      <c r="K2158" s="2" t="n"/>
      <c r="L2158" s="2" t="inlineStr">
        <is>
          <t>Artigo 136.º-A (Mapeamento das necessidades de intervenção em estabelecimentos prisionais)</t>
        </is>
      </c>
      <c r="M2158" s="4" t="n"/>
      <c r="N2158" s="4" t="n"/>
      <c r="O2158" s="2" t="n"/>
      <c r="P2158" s="2" t="n"/>
      <c r="Q2158" s="2" t="n"/>
      <c r="R2158" s="2" t="n"/>
      <c r="S2158" s="2" t="inlineStr">
        <is>
          <t>Rejeitado(a) em Comissão</t>
        </is>
      </c>
      <c r="T2158" s="2" t="inlineStr">
        <is>
          <t>Rejeitada</t>
        </is>
      </c>
      <c r="U2158" s="2" t="inlineStr">
        <is>
          <t>Favor: IL, L, PCP, BE, PAN; Contra: PSD, CDS-PP; Abstenção: CH, PS</t>
        </is>
      </c>
      <c r="V2158" s="3" t="n">
        <v>45987</v>
      </c>
      <c r="W2158" s="2" t="inlineStr">
        <is>
          <t>AR: https://www.parlamento.pt/OrcamentoEstado/Paginas/DetalhePropostaAlteracao.aspx?BID=25297 PDF: https://app.parlamento.pt/webutils/docs/doc.pdf?path=6148523063484d364c793942556b356c6443397a6158526c63793959566b6c4a544556484c3039464c7a49774d6a59794d4449314d5441774f53395151533831595467784d546b345969316a5a6d49304c54517a5a4751744f575930597930354e4441354e6a55775a5459314d7a41756347526d&amp;Fich=5a81198b-cfb4-43dd-9f4c-9409650e6530.pdf&amp;Inline=true</t>
        </is>
      </c>
      <c r="X2158" s="2" t="inlineStr">
        <is>
          <t>Assuntos Constitucionais, Direitos, Liberdades e Garantias; Infraestruturas, Mobilidade e Habitação; Trabalho, Segurança Social e Inclusão</t>
        </is>
      </c>
      <c r="Y2158" s="2" t="inlineStr">
        <is>
          <t>Articulado</t>
        </is>
      </c>
      <c r="Z2158" s="2" t="inlineStr">
        <is>
          <t>Aditamento (Artigo PPL)</t>
        </is>
      </c>
      <c r="AA2158" s="2" t="inlineStr">
        <is>
          <t>Rejeitado(a) em Comissão</t>
        </is>
      </c>
      <c r="AB2158" s="2" t="inlineStr"/>
      <c r="AC2158" s="2" t="inlineStr"/>
      <c r="AD2158" s="2" t="inlineStr">
        <is>
          <t>1</t>
        </is>
      </c>
      <c r="AE2158" s="2" t="inlineStr">
        <is>
          <t>25297</t>
        </is>
      </c>
      <c r="AF2158" s="2" t="inlineStr">
        <is>
          <t>https://www.parlamento.pt/OrcamentoEstado/Paginas/DetalhePropostaAlteracao.aspx?BID=25297</t>
        </is>
      </c>
      <c r="AG2158" s="2" t="inlineStr">
        <is>
          <t>https://app.parlamento.pt/webutils/docs/doc.pdf?path=6148523063484d364c793942556b356c6443397a6158526c63793959566b6c4a544556484c3039464c7a49774d6a59794d4449314d5441774f53395151533831595467784d546b345969316a5a6d49304c54517a5a4751744f575930597930354e4441354e6a55775a5459314d7a41756347526d&amp;Fich=5a81198b-cfb4-43dd-9f4c-9409650e6530.pdf&amp;Inline=true</t>
        </is>
      </c>
      <c r="AH2158" s="3" t="n">
        <v>46321.77847222222</v>
      </c>
      <c r="AI2158" s="3" t="n">
        <v>46321.78055555555</v>
      </c>
      <c r="AJ2158" s="2" t="inlineStr"/>
    </row>
    <row r="2159">
      <c r="A2159" s="2" t="n">
        <v>2158</v>
      </c>
      <c r="B2159" s="2" t="inlineStr">
        <is>
          <t>2042C</t>
        </is>
      </c>
      <c r="C2159" s="3" t="n">
        <v>45968.80625</v>
      </c>
      <c r="D2159" s="2" t="inlineStr">
        <is>
          <t>Original</t>
        </is>
      </c>
      <c r="E2159" s="2" t="inlineStr">
        <is>
          <t>L</t>
        </is>
      </c>
      <c r="F2159" s="2" t="inlineStr">
        <is>
          <t>Filipa Pinto; Isabel Mendes Lopes; Jorge Pinto; Patrícia Gonçalves; Paulo Muacho; Rui Tavares</t>
        </is>
      </c>
      <c r="G2159" s="2" t="inlineStr">
        <is>
          <t>Art. 136.º-A (aditamento)</t>
        </is>
      </c>
      <c r="H2159" s="2" t="n"/>
      <c r="I2159" s="2" t="n"/>
      <c r="J2159" s="2" t="n"/>
      <c r="K2159" s="2" t="n"/>
      <c r="L2159" s="2" t="inlineStr">
        <is>
          <t>Artigo 136.º-A (Estratégia nacional para a criação de uma infraestrutura para combustíveis alternativos)</t>
        </is>
      </c>
      <c r="M2159" s="4" t="n"/>
      <c r="N2159" s="4" t="n"/>
      <c r="O2159" s="2" t="n"/>
      <c r="P2159" s="2" t="n"/>
      <c r="Q2159" s="2" t="n"/>
      <c r="R2159" s="2" t="n"/>
      <c r="S2159" s="2" t="inlineStr">
        <is>
          <t>Rejeitado(a) em Comissão</t>
        </is>
      </c>
      <c r="T2159" s="2" t="inlineStr">
        <is>
          <t>Rejeitada</t>
        </is>
      </c>
      <c r="U2159" s="2" t="inlineStr">
        <is>
          <t>Favor: L, BE, PAN; Contra: PSD, IL, CDS-PP; Abstenção: CH, PS, PCP</t>
        </is>
      </c>
      <c r="V2159" s="3" t="n">
        <v>45987</v>
      </c>
      <c r="W2159" s="2" t="inlineStr">
        <is>
          <t>AR: https://www.parlamento.pt/OrcamentoEstado/Paginas/DetalhePropostaAlteracao.aspx?BID=25298 PDF: https://app.parlamento.pt/webutils/docs/doc.pdf?path=6148523063484d364c793942556b356c6443397a6158526c63793959566b6c4a544556484c3039464c7a49774d6a59794d4449314d5441774f53395151533835595755304f546735596930784d544e6b4c5451304f47597459575930597930344d6a59785a6a67784f445669597a6b756347526d&amp;Fich=9ae4989b-113d-448f-af4c-8261f8185bc9.pdf&amp;Inline=true</t>
        </is>
      </c>
      <c r="X2159" s="2" t="inlineStr">
        <is>
          <t>Ambiente e Energia; Infraestruturas, Mobilidade e Habitação</t>
        </is>
      </c>
      <c r="Y2159" s="2" t="inlineStr">
        <is>
          <t>Articulado</t>
        </is>
      </c>
      <c r="Z2159" s="2" t="inlineStr">
        <is>
          <t>Aditamento (Artigo PPL)</t>
        </is>
      </c>
      <c r="AA2159" s="2" t="inlineStr">
        <is>
          <t>Rejeitado(a) em Comissão</t>
        </is>
      </c>
      <c r="AB2159" s="2" t="inlineStr"/>
      <c r="AC2159" s="2" t="inlineStr"/>
      <c r="AD2159" s="2" t="inlineStr">
        <is>
          <t>1</t>
        </is>
      </c>
      <c r="AE2159" s="2" t="inlineStr">
        <is>
          <t>25298</t>
        </is>
      </c>
      <c r="AF2159" s="2" t="inlineStr">
        <is>
          <t>https://www.parlamento.pt/OrcamentoEstado/Paginas/DetalhePropostaAlteracao.aspx?BID=25298</t>
        </is>
      </c>
      <c r="AG2159" s="2" t="inlineStr">
        <is>
          <t>https://app.parlamento.pt/webutils/docs/doc.pdf?path=6148523063484d364c793942556b356c6443397a6158526c63793959566b6c4a544556484c3039464c7a49774d6a59794d4449314d5441774f53395151533835595755304f546735596930784d544e6b4c5451304f47597459575930597930344d6a59785a6a67784f445669597a6b756347526d&amp;Fich=9ae4989b-113d-448f-af4c-8261f8185bc9.pdf&amp;Inline=true</t>
        </is>
      </c>
      <c r="AH2159" s="3" t="n">
        <v>46321.77847222222</v>
      </c>
      <c r="AI2159" s="3" t="n">
        <v>46321.78055555555</v>
      </c>
      <c r="AJ2159" s="2" t="inlineStr"/>
    </row>
    <row r="2160">
      <c r="A2160" s="2" t="n">
        <v>2159</v>
      </c>
      <c r="B2160" s="2" t="inlineStr">
        <is>
          <t>2043C</t>
        </is>
      </c>
      <c r="C2160" s="3" t="n">
        <v>45968.80694444444</v>
      </c>
      <c r="D2160" s="2" t="inlineStr">
        <is>
          <t>Original</t>
        </is>
      </c>
      <c r="E2160" s="2" t="inlineStr">
        <is>
          <t>L</t>
        </is>
      </c>
      <c r="F2160" s="2" t="inlineStr">
        <is>
          <t>Filipa Pinto; Isabel Mendes Lopes; Jorge Pinto; Patrícia Gonçalves; Paulo Muacho; Rui Tavares</t>
        </is>
      </c>
      <c r="G2160" s="2" t="inlineStr">
        <is>
          <t>Art. 60.º (aditamento)</t>
        </is>
      </c>
      <c r="H2160" s="2" t="n"/>
      <c r="I2160" s="2" t="n"/>
      <c r="J2160" s="2" t="n"/>
      <c r="K2160" s="2" t="n"/>
      <c r="L2160" s="2" t="inlineStr">
        <is>
          <t>Alínea n), N.º 1, Artigo 78.º do Código do IRS</t>
        </is>
      </c>
      <c r="M2160" s="4" t="n"/>
      <c r="N2160" s="4" t="n"/>
      <c r="O2160" s="2" t="n"/>
      <c r="P2160" s="2" t="n"/>
      <c r="Q2160" s="2" t="n"/>
      <c r="R2160" s="2" t="n"/>
      <c r="S2160" s="2" t="inlineStr">
        <is>
          <t>Rejeitado(a) em Comissão</t>
        </is>
      </c>
      <c r="T2160" s="2" t="inlineStr">
        <is>
          <t>Rejeitada</t>
        </is>
      </c>
      <c r="U2160" s="2" t="inlineStr">
        <is>
          <t>Favor: CH, L, PCP, BE, PAN; Contra: PSD, CDS-PP; Abstenção: PS, IL</t>
        </is>
      </c>
      <c r="V2160" s="3" t="n">
        <v>45981</v>
      </c>
      <c r="W2160" s="2" t="inlineStr">
        <is>
          <t>AR: https://www.parlamento.pt/OrcamentoEstado/Paginas/DetalhePropostaAlteracao.aspx?BID=25299 PDF: https://app.parlamento.pt/webutils/docs/doc.pdf?path=6148523063484d364c793942556b356c6443397a6158526c63793959566b6c4a544556484c3039464c7a49774d6a59794d4449314d5441774f533951515338794e54457a4f546c6b4d693031593249784c54526c595451744f446b784d6930304f4455325a4749354d6a686c4f544d756347526d&amp;Fich=251399d2-5cb1-4ea4-8912-4856db928e93.pdf&amp;Inline=true</t>
        </is>
      </c>
      <c r="X2160" s="2" t="inlineStr">
        <is>
          <t>Agricultura e Pescas; Ambiente e Energia; Orçamento, Finanças e Administração Pública</t>
        </is>
      </c>
      <c r="Y2160" s="2" t="inlineStr">
        <is>
          <t>Articulado</t>
        </is>
      </c>
      <c r="Z2160" s="2" t="inlineStr">
        <is>
          <t>Aditamento (Números e Alíneas)</t>
        </is>
      </c>
      <c r="AA2160" s="2" t="inlineStr">
        <is>
          <t>Rejeitado(a) em Comissão</t>
        </is>
      </c>
      <c r="AB2160" s="2" t="inlineStr"/>
      <c r="AC2160" s="2" t="inlineStr"/>
      <c r="AD2160" s="2" t="inlineStr">
        <is>
          <t>1</t>
        </is>
      </c>
      <c r="AE2160" s="2" t="inlineStr">
        <is>
          <t>25299</t>
        </is>
      </c>
      <c r="AF2160" s="2" t="inlineStr">
        <is>
          <t>https://www.parlamento.pt/OrcamentoEstado/Paginas/DetalhePropostaAlteracao.aspx?BID=25299</t>
        </is>
      </c>
      <c r="AG2160" s="2" t="inlineStr">
        <is>
          <t>https://app.parlamento.pt/webutils/docs/doc.pdf?path=6148523063484d364c793942556b356c6443397a6158526c63793959566b6c4a544556484c3039464c7a49774d6a59794d4449314d5441774f533951515338794e54457a4f546c6b4d693031593249784c54526c595451744f446b784d6930304f4455325a4749354d6a686c4f544d756347526d&amp;Fich=251399d2-5cb1-4ea4-8912-4856db928e93.pdf&amp;Inline=true</t>
        </is>
      </c>
      <c r="AH2160" s="3" t="n">
        <v>46321.77847222222</v>
      </c>
      <c r="AI2160" s="3" t="n">
        <v>46321.78055555555</v>
      </c>
      <c r="AJ2160" s="2" t="inlineStr"/>
    </row>
    <row r="2161">
      <c r="A2161" s="2" t="n">
        <v>2160</v>
      </c>
      <c r="B2161" s="2" t="inlineStr">
        <is>
          <t>2044C</t>
        </is>
      </c>
      <c r="C2161" s="3" t="n">
        <v>45968.80763888889</v>
      </c>
      <c r="D2161" s="2" t="inlineStr">
        <is>
          <t>Original</t>
        </is>
      </c>
      <c r="E2161" s="2" t="inlineStr">
        <is>
          <t>Vários</t>
        </is>
      </c>
      <c r="F2161" s="2" t="inlineStr">
        <is>
          <t>Alberto Fonseca; António Rodrigues; Francisco Pimentel; Hugo Carneiro; Hugo Soares; Nuno Jorge Gonçalves; Paulo Lopes Marcelo; João Pinho de Almeida; Paulo Núncio</t>
        </is>
      </c>
      <c r="G2161" s="2" t="inlineStr">
        <is>
          <t>Art. 60.º (substituição)</t>
        </is>
      </c>
      <c r="H2161" s="2" t="n"/>
      <c r="I2161" s="2" t="n"/>
      <c r="J2161" s="2" t="n"/>
      <c r="K2161" s="2" t="n"/>
      <c r="L2161" s="2" t="inlineStr">
        <is>
          <t>N.º 7, Artigo 12.º, N.º 19, Artigo 72.º do Código do IRS</t>
        </is>
      </c>
      <c r="M2161" s="4" t="n"/>
      <c r="N2161" s="4" t="n"/>
      <c r="O2161" s="2" t="n"/>
      <c r="P2161" s="2" t="n"/>
      <c r="Q2161" s="2" t="n"/>
      <c r="R2161" s="2" t="n"/>
      <c r="S2161" s="2" t="inlineStr">
        <is>
          <t>Aprovado(a) Parcialmente em Comissão</t>
        </is>
      </c>
      <c r="T2161" s="2" t="inlineStr">
        <is>
          <t>Aprovada parcialmente</t>
        </is>
      </c>
      <c r="U2161" s="2" t="inlineStr">
        <is>
          <t>Favor: PSD, CH, PS, IL, L, PCP, CDS-PP, BE, PAN</t>
        </is>
      </c>
      <c r="V2161" s="3" t="n">
        <v>45981</v>
      </c>
      <c r="W2161" s="2" t="inlineStr">
        <is>
          <t>AR: https://www.parlamento.pt/OrcamentoEstado/Paginas/DetalhePropostaAlteracao.aspx?BID=25300 PDF: https://app.parlamento.pt/webutils/docs/doc.pdf?path=6148523063484d364c793942556b356c6443397a6158526c63793959566b6c4a544556484c3039464c7a49774d6a59794d4449314d5441774f533951515338344f545979595468694f4331684e325a6b4c5451344d5451744f4455324f433030596a4d784e574a6d5a446c694e6a55756347526d&amp;Fich=8962a8b8-a7fd-4814-8568-4b315bfd9b65.pdf&amp;Inline=true</t>
        </is>
      </c>
      <c r="X2161" s="2" t="inlineStr">
        <is>
          <t>Assuntos Constitucionais, Direitos, Liberdades e Garantias; Orçamento, Finanças e Administração Pública</t>
        </is>
      </c>
      <c r="Y2161" s="2" t="inlineStr">
        <is>
          <t>Articulado</t>
        </is>
      </c>
      <c r="Z2161" s="2" t="inlineStr">
        <is>
          <t>Substituição</t>
        </is>
      </c>
      <c r="AA2161" s="2" t="inlineStr">
        <is>
          <t>Aprovado(a) Parcialmente em Comissão</t>
        </is>
      </c>
      <c r="AB2161" s="2" t="inlineStr"/>
      <c r="AC2161" s="2" t="inlineStr"/>
      <c r="AD2161" s="2" t="inlineStr">
        <is>
          <t>2</t>
        </is>
      </c>
      <c r="AE2161" s="2" t="inlineStr">
        <is>
          <t>25300</t>
        </is>
      </c>
      <c r="AF2161" s="2" t="inlineStr">
        <is>
          <t>https://www.parlamento.pt/OrcamentoEstado/Paginas/DetalhePropostaAlteracao.aspx?BID=25300</t>
        </is>
      </c>
      <c r="AG2161" s="2" t="inlineStr">
        <is>
          <t>https://app.parlamento.pt/webutils/docs/doc.pdf?path=6148523063484d364c793942556b356c6443397a6158526c63793959566b6c4a544556484c3039464c7a49774d6a59794d4449314d5441774f533951515338344f545979595468694f4331684e325a6b4c5451344d5451744f4455324f433030596a4d784e574a6d5a446c694e6a55756347526d&amp;Fich=8962a8b8-a7fd-4814-8568-4b315bfd9b65.pdf&amp;Inline=true</t>
        </is>
      </c>
      <c r="AH2161" s="3" t="n">
        <v>46321.77847222222</v>
      </c>
      <c r="AI2161" s="3" t="n">
        <v>46321.78055555555</v>
      </c>
      <c r="AJ2161" s="2" t="inlineStr"/>
    </row>
    <row r="2162">
      <c r="A2162" s="2" t="n">
        <v>2161</v>
      </c>
      <c r="B2162" s="2" t="inlineStr">
        <is>
          <t>2045C</t>
        </is>
      </c>
      <c r="C2162" s="3" t="n">
        <v>45968.80833333333</v>
      </c>
      <c r="D2162" s="2" t="inlineStr">
        <is>
          <t>Original</t>
        </is>
      </c>
      <c r="E2162" s="2" t="inlineStr">
        <is>
          <t>L</t>
        </is>
      </c>
      <c r="F2162" s="2" t="inlineStr">
        <is>
          <t>Filipa Pinto; Isabel Mendes Lopes; Jorge Pinto; Patrícia Gonçalves; Paulo Muacho; Rui Tavares</t>
        </is>
      </c>
      <c r="G2162" s="2" t="inlineStr">
        <is>
          <t>Art. 112.º-A (aditamento)</t>
        </is>
      </c>
      <c r="H2162" s="2" t="n"/>
      <c r="I2162" s="2" t="n"/>
      <c r="J2162" s="2" t="n"/>
      <c r="K2162" s="2" t="n"/>
      <c r="L2162" s="2" t="inlineStr">
        <is>
          <t>Artigo 112.º-A (Portal dos serviços públicos da República Portuguesa)</t>
        </is>
      </c>
      <c r="M2162" s="4" t="n"/>
      <c r="N2162" s="4" t="n"/>
      <c r="O2162" s="2" t="n"/>
      <c r="P2162" s="2" t="n"/>
      <c r="Q2162" s="2" t="n"/>
      <c r="R2162" s="2" t="n"/>
      <c r="S2162" s="2" t="inlineStr">
        <is>
          <t>Rejeitado(a) em Comissão</t>
        </is>
      </c>
      <c r="T2162" s="2" t="inlineStr">
        <is>
          <t>Rejeitada</t>
        </is>
      </c>
      <c r="U2162" s="2" t="inlineStr">
        <is>
          <t>Favor: IL, L, PCP, BE, PAN; Contra: PSD, CDS-PP; Abstenção: CH, PS</t>
        </is>
      </c>
      <c r="V2162" s="3" t="n">
        <v>45982</v>
      </c>
      <c r="W2162" s="2" t="inlineStr">
        <is>
          <t>AR: https://www.parlamento.pt/OrcamentoEstado/Paginas/DetalhePropostaAlteracao.aspx?BID=25301 PDF: https://app.parlamento.pt/webutils/docs/doc.pdf?path=6148523063484d364c793942556b356c6443397a6158526c63793959566b6c4a544556484c3039464c7a49774d6a59794d4449314d5441774f53395151533969596a67304f4751774e53316b4d6a63774c5452694e6a5574596a6b7a5979316d5a6a6b794f47457a596d5269597a59756347526d&amp;Fich=bb848d05-d270-4b65-b93c-ff928a3bdbc6.pdf&amp;Inline=true</t>
        </is>
      </c>
      <c r="X2162" s="2" t="inlineStr">
        <is>
          <t>Transparência e Estatuto dos Deputados</t>
        </is>
      </c>
      <c r="Y2162" s="2" t="inlineStr">
        <is>
          <t>Articulado</t>
        </is>
      </c>
      <c r="Z2162" s="2" t="inlineStr">
        <is>
          <t>Aditamento (Artigo PPL)</t>
        </is>
      </c>
      <c r="AA2162" s="2" t="inlineStr">
        <is>
          <t>Rejeitado(a) em Comissão</t>
        </is>
      </c>
      <c r="AB2162" s="2" t="inlineStr"/>
      <c r="AC2162" s="2" t="inlineStr"/>
      <c r="AD2162" s="2" t="inlineStr">
        <is>
          <t>1</t>
        </is>
      </c>
      <c r="AE2162" s="2" t="inlineStr">
        <is>
          <t>25301</t>
        </is>
      </c>
      <c r="AF2162" s="2" t="inlineStr">
        <is>
          <t>https://www.parlamento.pt/OrcamentoEstado/Paginas/DetalhePropostaAlteracao.aspx?BID=25301</t>
        </is>
      </c>
      <c r="AG2162" s="2" t="inlineStr">
        <is>
          <t>https://app.parlamento.pt/webutils/docs/doc.pdf?path=6148523063484d364c793942556b356c6443397a6158526c63793959566b6c4a544556484c3039464c7a49774d6a59794d4449314d5441774f53395151533969596a67304f4751774e53316b4d6a63774c5452694e6a5574596a6b7a5979316d5a6a6b794f47457a596d5269597a59756347526d&amp;Fich=bb848d05-d270-4b65-b93c-ff928a3bdbc6.pdf&amp;Inline=true</t>
        </is>
      </c>
      <c r="AH2162" s="3" t="n">
        <v>46321.77847222222</v>
      </c>
      <c r="AI2162" s="3" t="n">
        <v>46321.78055555555</v>
      </c>
      <c r="AJ2162" s="2" t="inlineStr"/>
    </row>
    <row r="2163">
      <c r="A2163" s="2" t="n">
        <v>2162</v>
      </c>
      <c r="B2163" s="2" t="inlineStr">
        <is>
          <t>2046C-1</t>
        </is>
      </c>
      <c r="C2163" s="3" t="n">
        <v>45968.80972222222</v>
      </c>
      <c r="D2163" s="2" t="inlineStr">
        <is>
          <t>Original</t>
        </is>
      </c>
      <c r="E2163" s="2" t="inlineStr">
        <is>
          <t>L</t>
        </is>
      </c>
      <c r="F2163" s="2" t="inlineStr">
        <is>
          <t>Filipa Pinto; Isabel Mendes Lopes; Jorge Pinto; Patrícia Gonçalves; Paulo Muacho; Rui Tavares</t>
        </is>
      </c>
      <c r="G2163" s="2" t="inlineStr">
        <is>
          <t>Art. 62.º (substituição)</t>
        </is>
      </c>
      <c r="H2163" s="2" t="n"/>
      <c r="I2163" s="2" t="n"/>
      <c r="J2163" s="2" t="n"/>
      <c r="K2163" s="2" t="n"/>
      <c r="L2163" s="2" t="inlineStr">
        <is>
          <t>Alínea a), Alínea b), N.º 1, Artigo 19.º-B do EBF</t>
        </is>
      </c>
      <c r="M2163" s="4" t="n"/>
      <c r="N2163" s="4" t="n"/>
      <c r="O2163" s="2" t="n"/>
      <c r="P2163" s="2" t="n"/>
      <c r="Q2163" s="2" t="n"/>
      <c r="R2163" s="2" t="n"/>
      <c r="S2163" s="2" t="inlineStr">
        <is>
          <t>Rejeitado(a) em Comissão</t>
        </is>
      </c>
      <c r="T2163" s="2" t="inlineStr">
        <is>
          <t>Rejeitada</t>
        </is>
      </c>
      <c r="U2163" s="2" t="inlineStr">
        <is>
          <t>Favor: L, BE, PAN; Contra: PSD, CH, IL, PCP, CDS-PP; Abstenção: PS</t>
        </is>
      </c>
      <c r="V2163" s="3" t="n">
        <v>45981</v>
      </c>
      <c r="W2163" s="2" t="inlineStr">
        <is>
          <t>AR: https://www.parlamento.pt/OrcamentoEstado/Paginas/DetalhePropostaAlteracao.aspx?BID=25302 PDF: https://app.parlamento.pt/webutils/docs/doc.pdf?path=6148523063484d364c793942556b356c6443397a6158526c63793959566b6c4a544556484c3039464c7a49774d6a59794d4449314d5441774f533951515339695a444d7a5a6d5977596930334d6d55794c5451314e6a5174596d4d324f53316d5a47526d4d444530593249794d574d756347526d&amp;Fich=bd33ff0b-72e2-4564-bc69-fddf014cb21c.pdf&amp;Inline=true</t>
        </is>
      </c>
      <c r="X2163" s="2" t="inlineStr">
        <is>
          <t>Orçamento, Finanças e Administração Pública</t>
        </is>
      </c>
      <c r="Y2163" s="2" t="inlineStr">
        <is>
          <t>Articulado</t>
        </is>
      </c>
      <c r="Z2163" s="2" t="inlineStr">
        <is>
          <t>Substituição</t>
        </is>
      </c>
      <c r="AA2163" s="2" t="inlineStr">
        <is>
          <t>Rejeitado(a) em Comissão</t>
        </is>
      </c>
      <c r="AB2163" s="2" t="inlineStr"/>
      <c r="AC2163" s="2" t="inlineStr">
        <is>
          <t>1</t>
        </is>
      </c>
      <c r="AD2163" s="2" t="inlineStr">
        <is>
          <t>1</t>
        </is>
      </c>
      <c r="AE2163" s="2" t="inlineStr">
        <is>
          <t>25302</t>
        </is>
      </c>
      <c r="AF2163" s="2" t="inlineStr">
        <is>
          <t>https://www.parlamento.pt/OrcamentoEstado/Paginas/DetalhePropostaAlteracao.aspx?BID=25302</t>
        </is>
      </c>
      <c r="AG2163" s="2" t="inlineStr">
        <is>
          <t>https://app.parlamento.pt/webutils/docs/doc.pdf?path=6148523063484d364c793942556b356c6443397a6158526c63793959566b6c4a544556484c3039464c7a49774d6a59794d4449314d5441774f533951515339695a444d7a5a6d5977596930334d6d55794c5451314e6a5174596d4d324f53316d5a47526d4d444530593249794d574d756347526d&amp;Fich=bd33ff0b-72e2-4564-bc69-fddf014cb21c.pdf&amp;Inline=true</t>
        </is>
      </c>
      <c r="AH2163" s="3" t="n">
        <v>46321.77847222222</v>
      </c>
      <c r="AI2163" s="3" t="n">
        <v>46321.78055555555</v>
      </c>
      <c r="AJ2163" s="2" t="inlineStr"/>
    </row>
    <row r="2164">
      <c r="A2164" s="2" t="n">
        <v>2163</v>
      </c>
      <c r="B2164" s="2" t="inlineStr">
        <is>
          <t>2046C-2</t>
        </is>
      </c>
      <c r="C2164" s="3" t="n">
        <v>45968.80972222222</v>
      </c>
      <c r="D2164" s="2" t="inlineStr">
        <is>
          <t>Original</t>
        </is>
      </c>
      <c r="E2164" s="2" t="inlineStr">
        <is>
          <t>L</t>
        </is>
      </c>
      <c r="F2164" s="2" t="inlineStr">
        <is>
          <t>Filipa Pinto; Isabel Mendes Lopes; Jorge Pinto; Patrícia Gonçalves; Paulo Muacho; Rui Tavares</t>
        </is>
      </c>
      <c r="G2164" s="2" t="inlineStr">
        <is>
          <t>Art. 62.º (aditamento)</t>
        </is>
      </c>
      <c r="H2164" s="2" t="n"/>
      <c r="I2164" s="2" t="n"/>
      <c r="J2164" s="2" t="n"/>
      <c r="K2164" s="2" t="n"/>
      <c r="L2164" s="2" t="inlineStr">
        <is>
          <t>Alínea c), N.º 1, Artigo 19.º-B do EBF</t>
        </is>
      </c>
      <c r="M2164" s="4" t="n"/>
      <c r="N2164" s="4" t="n"/>
      <c r="O2164" s="2" t="n"/>
      <c r="P2164" s="2" t="n"/>
      <c r="Q2164" s="2" t="n"/>
      <c r="R2164" s="2" t="n"/>
      <c r="S2164" s="2" t="inlineStr">
        <is>
          <t>Rejeitado(a) em Comissão</t>
        </is>
      </c>
      <c r="T2164" s="2" t="inlineStr">
        <is>
          <t>Rejeitada</t>
        </is>
      </c>
      <c r="U2164" s="2" t="inlineStr">
        <is>
          <t>Favor: L, BE, PAN; Contra: PSD, CH, IL, PCP, CDS-PP; Abstenção: PS</t>
        </is>
      </c>
      <c r="V2164" s="3" t="n">
        <v>45981</v>
      </c>
      <c r="W2164" s="2" t="inlineStr">
        <is>
          <t>AR: https://www.parlamento.pt/OrcamentoEstado/Paginas/DetalhePropostaAlteracao.aspx?BID=25348 PDF: https://app.parlamento.pt/webutils/docs/doc.pdf?path=6148523063484d364c793942556b356c6443397a6158526c63793959566b6c4a544556484c3039464c7a49774d6a59794d4449314d5441774f533951515338354e4459304f4455314e5330785954426c4c5451794e6d497459574e6c4e5330314e4449334e7a5932595755314f474d756347526d&amp;Fich=94648555-1a0e-426b-ace5-5427766ae58c.pdf&amp;Inline=true</t>
        </is>
      </c>
      <c r="X2164" s="2" t="inlineStr">
        <is>
          <t>Orçamento, Finanças e Administração Pública</t>
        </is>
      </c>
      <c r="Y2164" s="2" t="inlineStr">
        <is>
          <t>Articulado</t>
        </is>
      </c>
      <c r="Z2164" s="2" t="inlineStr">
        <is>
          <t>Aditamento (Números e Alíneas)</t>
        </is>
      </c>
      <c r="AA2164" s="2" t="inlineStr">
        <is>
          <t>Rejeitado(a) em Comissão</t>
        </is>
      </c>
      <c r="AB2164" s="2" t="inlineStr"/>
      <c r="AC2164" s="2" t="inlineStr">
        <is>
          <t>2</t>
        </is>
      </c>
      <c r="AD2164" s="2" t="inlineStr">
        <is>
          <t>1</t>
        </is>
      </c>
      <c r="AE2164" s="2" t="inlineStr">
        <is>
          <t>25348</t>
        </is>
      </c>
      <c r="AF2164" s="2" t="inlineStr">
        <is>
          <t>https://www.parlamento.pt/OrcamentoEstado/Paginas/DetalhePropostaAlteracao.aspx?BID=25348</t>
        </is>
      </c>
      <c r="AG2164" s="2" t="inlineStr">
        <is>
          <t>https://app.parlamento.pt/webutils/docs/doc.pdf?path=6148523063484d364c793942556b356c6443397a6158526c63793959566b6c4a544556484c3039464c7a49774d6a59794d4449314d5441774f533951515338354e4459304f4455314e5330785954426c4c5451794e6d497459574e6c4e5330314e4449334e7a5932595755314f474d756347526d&amp;Fich=94648555-1a0e-426b-ace5-5427766ae58c.pdf&amp;Inline=true</t>
        </is>
      </c>
      <c r="AH2164" s="3" t="n">
        <v>46321.77847222222</v>
      </c>
      <c r="AI2164" s="3" t="n">
        <v>46321.78055555555</v>
      </c>
      <c r="AJ2164" s="2" t="inlineStr"/>
    </row>
    <row r="2165">
      <c r="A2165" s="2" t="n">
        <v>2164</v>
      </c>
      <c r="B2165" s="2" t="inlineStr">
        <is>
          <t>2047C</t>
        </is>
      </c>
      <c r="C2165" s="3" t="n">
        <v>45968.81041666667</v>
      </c>
      <c r="D2165" s="2" t="inlineStr">
        <is>
          <t>Original</t>
        </is>
      </c>
      <c r="E2165" s="2" t="inlineStr">
        <is>
          <t>L</t>
        </is>
      </c>
      <c r="F2165" s="2" t="inlineStr">
        <is>
          <t>Filipa Pinto; Isabel Mendes Lopes; Jorge Pinto; Patrícia Gonçalves; Paulo Muacho; Rui Tavares</t>
        </is>
      </c>
      <c r="G2165" s="2" t="inlineStr">
        <is>
          <t>Art. 117.º-A (aditamento)</t>
        </is>
      </c>
      <c r="H2165" s="2" t="n"/>
      <c r="I2165" s="2" t="n"/>
      <c r="J2165" s="2" t="n"/>
      <c r="K2165" s="2" t="n"/>
      <c r="L2165" s="2" t="inlineStr">
        <is>
          <t>Artigo 117.º-A (Projeto Piloto para a criação de Postos de Saúde Universitários)</t>
        </is>
      </c>
      <c r="M2165" s="4" t="n"/>
      <c r="N2165" s="4" t="n"/>
      <c r="O2165" s="2" t="n"/>
      <c r="P2165" s="2" t="n"/>
      <c r="Q2165" s="2" t="n"/>
      <c r="R2165" s="2" t="n"/>
      <c r="S2165" s="2" t="inlineStr">
        <is>
          <t>Rejeitado(a) em Comissão</t>
        </is>
      </c>
      <c r="T2165" s="2" t="inlineStr">
        <is>
          <t>Rejeitada</t>
        </is>
      </c>
      <c r="U2165" s="2" t="inlineStr">
        <is>
          <t>Favor: L, BE, PAN; Contra: PSD, CH, IL, CDS-PP; Abstenção: PS, PCP</t>
        </is>
      </c>
      <c r="V2165" s="3" t="n">
        <v>45985</v>
      </c>
      <c r="W2165" s="2" t="inlineStr">
        <is>
          <t>AR: https://www.parlamento.pt/OrcamentoEstado/Paginas/DetalhePropostaAlteracao.aspx?BID=25303 PDF: https://app.parlamento.pt/webutils/docs/doc.pdf?path=6148523063484d364c793942556b356c6443397a6158526c63793959566b6c4a544556484c3039464c7a49774d6a59794d4449314d5441774f53395151533878597a5935597a41315a693032597a6b334c5451314d3255744f574d334e693030595755334d6a677a596a5a6d4d444d756347526d&amp;Fich=1c69c05f-6c97-453e-9c76-4ae7283b6f03.pdf&amp;Inline=true</t>
        </is>
      </c>
      <c r="X2165" s="2" t="inlineStr">
        <is>
          <t>Educação e Ciência; Saúde</t>
        </is>
      </c>
      <c r="Y2165" s="2" t="inlineStr">
        <is>
          <t>Articulado</t>
        </is>
      </c>
      <c r="Z2165" s="2" t="inlineStr">
        <is>
          <t>Aditamento (Artigo PPL)</t>
        </is>
      </c>
      <c r="AA2165" s="2" t="inlineStr">
        <is>
          <t>Rejeitado(a) em Comissão</t>
        </is>
      </c>
      <c r="AB2165" s="2" t="inlineStr"/>
      <c r="AC2165" s="2" t="inlineStr"/>
      <c r="AD2165" s="2" t="inlineStr">
        <is>
          <t>1</t>
        </is>
      </c>
      <c r="AE2165" s="2" t="inlineStr">
        <is>
          <t>25303</t>
        </is>
      </c>
      <c r="AF2165" s="2" t="inlineStr">
        <is>
          <t>https://www.parlamento.pt/OrcamentoEstado/Paginas/DetalhePropostaAlteracao.aspx?BID=25303</t>
        </is>
      </c>
      <c r="AG2165" s="2" t="inlineStr">
        <is>
          <t>https://app.parlamento.pt/webutils/docs/doc.pdf?path=6148523063484d364c793942556b356c6443397a6158526c63793959566b6c4a544556484c3039464c7a49774d6a59794d4449314d5441774f53395151533878597a5935597a41315a693032597a6b334c5451314d3255744f574d334e693030595755334d6a677a596a5a6d4d444d756347526d&amp;Fich=1c69c05f-6c97-453e-9c76-4ae7283b6f03.pdf&amp;Inline=true</t>
        </is>
      </c>
      <c r="AH2165" s="3" t="n">
        <v>46321.77847222222</v>
      </c>
      <c r="AI2165" s="3" t="n">
        <v>46321.78055555555</v>
      </c>
      <c r="AJ2165" s="2" t="inlineStr"/>
    </row>
    <row r="2166">
      <c r="A2166" s="2" t="n">
        <v>2165</v>
      </c>
      <c r="B2166" s="2" t="inlineStr">
        <is>
          <t>2048C</t>
        </is>
      </c>
      <c r="C2166" s="3" t="n">
        <v>45968.81041666667</v>
      </c>
      <c r="D2166" s="2" t="inlineStr">
        <is>
          <t>Original</t>
        </is>
      </c>
      <c r="E2166" s="2" t="inlineStr">
        <is>
          <t>L</t>
        </is>
      </c>
      <c r="F2166" s="2" t="inlineStr">
        <is>
          <t>Filipa Pinto; Isabel Mendes Lopes; Jorge Pinto; Patrícia Gonçalves; Paulo Muacho; Rui Tavares</t>
        </is>
      </c>
      <c r="G2166" s="2" t="inlineStr">
        <is>
          <t>Art. 123.º-A (aditamento)</t>
        </is>
      </c>
      <c r="H2166" s="2" t="n"/>
      <c r="I2166" s="2" t="n"/>
      <c r="J2166" s="2" t="n"/>
      <c r="K2166" s="2" t="n"/>
      <c r="L2166" s="2" t="inlineStr">
        <is>
          <t>Artigo 123.º-A (Projeto-piloto num território de baixa densidade populacional para fomento de mobilidade flexível e a pedido e que responda à necessidade transporte escolar, elétrico e ecológico (3E))</t>
        </is>
      </c>
      <c r="M2166" s="4" t="n"/>
      <c r="N2166" s="4" t="n"/>
      <c r="O2166" s="2" t="n"/>
      <c r="P2166" s="2" t="n"/>
      <c r="Q2166" s="2" t="n"/>
      <c r="R2166" s="2" t="n"/>
      <c r="S2166" s="2" t="inlineStr">
        <is>
          <t>Rejeitado(a) em Comissão</t>
        </is>
      </c>
      <c r="T2166" s="2" t="inlineStr">
        <is>
          <t>Rejeitada</t>
        </is>
      </c>
      <c r="U2166" s="2" t="inlineStr">
        <is>
          <t>Favor: L, BE, PAN; Contra: PSD, CH, CDS-PP; Abstenção: PS, IL, PCP</t>
        </is>
      </c>
      <c r="V2166" s="3" t="n">
        <v>45985</v>
      </c>
      <c r="W2166" s="2" t="inlineStr">
        <is>
          <t>AR: https://www.parlamento.pt/OrcamentoEstado/Paginas/DetalhePropostaAlteracao.aspx?BID=25304 PDF: https://app.parlamento.pt/webutils/docs/doc.pdf?path=6148523063484d364c793942556b356c6443397a6158526c63793959566b6c4a544556484c3039464c7a49774d6a59794d4449314d5441774f533951515338324e7a55334d6a51325979316b5a6a55784c545177596d49744f546b344e7930314d325979595449355a6a4a6c4d5745756347526d&amp;Fich=6757246c-df51-40bb-9987-53f2a29f2e1a.pdf&amp;Inline=true</t>
        </is>
      </c>
      <c r="X2166" s="2" t="inlineStr">
        <is>
          <t>Ambiente e Energia; Comissão de Economia e Coesão Territorial; Infraestruturas, Mobilidade e Habitação</t>
        </is>
      </c>
      <c r="Y2166" s="2" t="inlineStr">
        <is>
          <t>Articulado</t>
        </is>
      </c>
      <c r="Z2166" s="2" t="inlineStr">
        <is>
          <t>Aditamento (Artigo PPL)</t>
        </is>
      </c>
      <c r="AA2166" s="2" t="inlineStr">
        <is>
          <t>Rejeitado(a) em Comissão</t>
        </is>
      </c>
      <c r="AB2166" s="2" t="inlineStr"/>
      <c r="AC2166" s="2" t="inlineStr"/>
      <c r="AD2166" s="2" t="inlineStr">
        <is>
          <t>1</t>
        </is>
      </c>
      <c r="AE2166" s="2" t="inlineStr">
        <is>
          <t>25304</t>
        </is>
      </c>
      <c r="AF2166" s="2" t="inlineStr">
        <is>
          <t>https://www.parlamento.pt/OrcamentoEstado/Paginas/DetalhePropostaAlteracao.aspx?BID=25304</t>
        </is>
      </c>
      <c r="AG2166" s="2" t="inlineStr">
        <is>
          <t>https://app.parlamento.pt/webutils/docs/doc.pdf?path=6148523063484d364c793942556b356c6443397a6158526c63793959566b6c4a544556484c3039464c7a49774d6a59794d4449314d5441774f533951515338324e7a55334d6a51325979316b5a6a55784c545177596d49744f546b344e7930314d325979595449355a6a4a6c4d5745756347526d&amp;Fich=6757246c-df51-40bb-9987-53f2a29f2e1a.pdf&amp;Inline=true</t>
        </is>
      </c>
      <c r="AH2166" s="3" t="n">
        <v>46321.77847222222</v>
      </c>
      <c r="AI2166" s="3" t="n">
        <v>46321.78055555555</v>
      </c>
      <c r="AJ2166" s="2" t="inlineStr"/>
    </row>
    <row r="2167">
      <c r="A2167" s="2" t="n">
        <v>2166</v>
      </c>
      <c r="B2167" s="2" t="inlineStr">
        <is>
          <t>2049C</t>
        </is>
      </c>
      <c r="C2167" s="3" t="n">
        <v>45968.81041666667</v>
      </c>
      <c r="D2167" s="2" t="inlineStr">
        <is>
          <t>Original</t>
        </is>
      </c>
      <c r="E2167" s="2" t="inlineStr">
        <is>
          <t>L</t>
        </is>
      </c>
      <c r="F2167" s="2" t="inlineStr">
        <is>
          <t>Filipa Pinto; Isabel Mendes Lopes; Jorge Pinto; Patrícia Gonçalves; Paulo Muacho; Rui Tavares</t>
        </is>
      </c>
      <c r="G2167" s="2" t="inlineStr">
        <is>
          <t>Art. 123.º-A (aditamento)</t>
        </is>
      </c>
      <c r="H2167" s="2" t="n"/>
      <c r="I2167" s="2" t="n"/>
      <c r="J2167" s="2" t="n"/>
      <c r="K2167" s="2" t="n"/>
      <c r="L2167" s="2" t="inlineStr">
        <is>
          <t>Artigo 123.º-A (Reforço de dotação Orçamental da CP)</t>
        </is>
      </c>
      <c r="M2167" s="4" t="n"/>
      <c r="N2167" s="4" t="n"/>
      <c r="O2167" s="2" t="n"/>
      <c r="P2167" s="2" t="n"/>
      <c r="Q2167" s="2" t="n"/>
      <c r="R2167" s="2" t="n"/>
      <c r="S2167" s="2" t="inlineStr">
        <is>
          <t>Rejeitado(a) em Comissão</t>
        </is>
      </c>
      <c r="T2167" s="2" t="inlineStr">
        <is>
          <t>Rejeitada</t>
        </is>
      </c>
      <c r="U2167" s="2" t="inlineStr">
        <is>
          <t>Favor: L, PCP, BE, PAN; Contra: PSD, IL, CDS-PP; Abstenção: CH, PS</t>
        </is>
      </c>
      <c r="V2167" s="3" t="n">
        <v>45985</v>
      </c>
      <c r="W2167" s="2" t="inlineStr">
        <is>
          <t>AR: https://www.parlamento.pt/OrcamentoEstado/Paginas/DetalhePropostaAlteracao.aspx?BID=25305 PDF: https://app.parlamento.pt/webutils/docs/doc.pdf?path=6148523063484d364c793942556b356c6443397a6158526c63793959566b6c4a544556484c3039464c7a49774d6a59794d4449314d5441774f533951515339684e574a684e5451784f533077597a6c6c4c5451334e7a6b744f5749324e433077596d52694f4459324e324578596a41756347526d&amp;Fich=a5ba5419-0c9e-4779-9b64-0bdb8667a1b0.pdf&amp;Inline=true</t>
        </is>
      </c>
      <c r="X2167" s="2" t="inlineStr">
        <is>
          <t>Infraestruturas, Mobilidade e Habitação; Orçamento, Finanças e Administração Pública</t>
        </is>
      </c>
      <c r="Y2167" s="2" t="inlineStr">
        <is>
          <t>Articulado</t>
        </is>
      </c>
      <c r="Z2167" s="2" t="inlineStr">
        <is>
          <t>Aditamento (Artigo PPL)</t>
        </is>
      </c>
      <c r="AA2167" s="2" t="inlineStr">
        <is>
          <t>Rejeitado(a) em Comissão</t>
        </is>
      </c>
      <c r="AB2167" s="2" t="inlineStr"/>
      <c r="AC2167" s="2" t="inlineStr"/>
      <c r="AD2167" s="2" t="inlineStr">
        <is>
          <t>1</t>
        </is>
      </c>
      <c r="AE2167" s="2" t="inlineStr">
        <is>
          <t>25305</t>
        </is>
      </c>
      <c r="AF2167" s="2" t="inlineStr">
        <is>
          <t>https://www.parlamento.pt/OrcamentoEstado/Paginas/DetalhePropostaAlteracao.aspx?BID=25305</t>
        </is>
      </c>
      <c r="AG2167" s="2" t="inlineStr">
        <is>
          <t>https://app.parlamento.pt/webutils/docs/doc.pdf?path=6148523063484d364c793942556b356c6443397a6158526c63793959566b6c4a544556484c3039464c7a49774d6a59794d4449314d5441774f533951515339684e574a684e5451784f533077597a6c6c4c5451334e7a6b744f5749324e433077596d52694f4459324e324578596a41756347526d&amp;Fich=a5ba5419-0c9e-4779-9b64-0bdb8667a1b0.pdf&amp;Inline=true</t>
        </is>
      </c>
      <c r="AH2167" s="3" t="n">
        <v>46321.77847222222</v>
      </c>
      <c r="AI2167" s="3" t="n">
        <v>46321.78055555555</v>
      </c>
      <c r="AJ2167" s="2" t="inlineStr"/>
    </row>
    <row r="2168">
      <c r="A2168" s="2" t="n">
        <v>2167</v>
      </c>
      <c r="B2168" s="2" t="inlineStr">
        <is>
          <t>2050C</t>
        </is>
      </c>
      <c r="C2168" s="3" t="n">
        <v>45968.81666666667</v>
      </c>
      <c r="D2168" s="2" t="inlineStr">
        <is>
          <t>Original</t>
        </is>
      </c>
      <c r="E2168" s="2" t="inlineStr">
        <is>
          <t>PAN</t>
        </is>
      </c>
      <c r="F2168" s="2" t="inlineStr">
        <is>
          <t>Inês de Sousa Real</t>
        </is>
      </c>
      <c r="G2168" s="2" t="inlineStr">
        <is>
          <t>Art. 116.º-A (aditamento)</t>
        </is>
      </c>
      <c r="H2168" s="2" t="n"/>
      <c r="I2168" s="2" t="n"/>
      <c r="J2168" s="2" t="n"/>
      <c r="K2168" s="2" t="n"/>
      <c r="L2168" s="2" t="inlineStr">
        <is>
          <t>Artigo 116.º-A (Cheque Repara &amp; Reusa)</t>
        </is>
      </c>
      <c r="M2168" s="4" t="n"/>
      <c r="N2168" s="4" t="n"/>
      <c r="O2168" s="2" t="n"/>
      <c r="P2168" s="2" t="n"/>
      <c r="Q2168" s="2" t="n"/>
      <c r="R2168" s="2" t="n"/>
      <c r="S2168" s="2" t="inlineStr">
        <is>
          <t>Rejeitado(a) em Comissão</t>
        </is>
      </c>
      <c r="T2168" s="2" t="inlineStr">
        <is>
          <t>Rejeitada</t>
        </is>
      </c>
      <c r="U2168" s="2" t="inlineStr">
        <is>
          <t>Favor: L, PAN; Contra: PSD, IL, PCP, CDS-PP, BE; Abstenção: CH, PS</t>
        </is>
      </c>
      <c r="V2168" s="3" t="n">
        <v>45985</v>
      </c>
      <c r="W2168" s="2" t="inlineStr">
        <is>
          <t>AR: https://www.parlamento.pt/OrcamentoEstado/Paginas/DetalhePropostaAlteracao.aspx?BID=25306 PDF: https://app.parlamento.pt/webutils/docs/doc.pdf?path=6148523063484d364c793942556b356c6443397a6158526c63793959566b6c4a544556484c3039464c7a49774d6a59794d4449314d5441774f533951515339684e7a677a4d7a5269595330354e4451784c5452694d474d744f4751334f4330354f4455314d54566b4e546c6c595755756347526d&amp;Fich=a78334ba-9441-4b0c-8d78-985515d59eae.pdf&amp;Inline=true</t>
        </is>
      </c>
      <c r="X2168" s="2" t="inlineStr">
        <is>
          <t>Ambiente e Energia</t>
        </is>
      </c>
      <c r="Y2168" s="2" t="inlineStr">
        <is>
          <t>Articulado</t>
        </is>
      </c>
      <c r="Z2168" s="2" t="inlineStr">
        <is>
          <t>Aditamento (Artigo PPL)</t>
        </is>
      </c>
      <c r="AA2168" s="2" t="inlineStr">
        <is>
          <t>Rejeitado(a) em Comissão</t>
        </is>
      </c>
      <c r="AB2168" s="2" t="inlineStr"/>
      <c r="AC2168" s="2" t="inlineStr"/>
      <c r="AD2168" s="2" t="inlineStr">
        <is>
          <t>1</t>
        </is>
      </c>
      <c r="AE2168" s="2" t="inlineStr">
        <is>
          <t>25306</t>
        </is>
      </c>
      <c r="AF2168" s="2" t="inlineStr">
        <is>
          <t>https://www.parlamento.pt/OrcamentoEstado/Paginas/DetalhePropostaAlteracao.aspx?BID=25306</t>
        </is>
      </c>
      <c r="AG2168" s="2" t="inlineStr">
        <is>
          <t>https://app.parlamento.pt/webutils/docs/doc.pdf?path=6148523063484d364c793942556b356c6443397a6158526c63793959566b6c4a544556484c3039464c7a49774d6a59794d4449314d5441774f533951515339684e7a677a4d7a5269595330354e4451784c5452694d474d744f4751334f4330354f4455314d54566b4e546c6c595755756347526d&amp;Fich=a78334ba-9441-4b0c-8d78-985515d59eae.pdf&amp;Inline=true</t>
        </is>
      </c>
      <c r="AH2168" s="3" t="n">
        <v>46321.77847222222</v>
      </c>
      <c r="AI2168" s="3" t="n">
        <v>46321.78055555555</v>
      </c>
      <c r="AJ2168" s="2" t="inlineStr"/>
    </row>
    <row r="2169">
      <c r="A2169" s="2" t="n">
        <v>2168</v>
      </c>
      <c r="B2169" s="2" t="inlineStr">
        <is>
          <t>2051C</t>
        </is>
      </c>
      <c r="C2169" s="3" t="n">
        <v>45968.81736111111</v>
      </c>
      <c r="D2169" s="2" t="inlineStr">
        <is>
          <t>Original</t>
        </is>
      </c>
      <c r="E2169" s="2" t="inlineStr">
        <is>
          <t>L</t>
        </is>
      </c>
      <c r="F2169" s="2" t="inlineStr">
        <is>
          <t>Filipa Pinto; Isabel Mendes Lopes; Jorge Pinto; Patrícia Gonçalves; Paulo Muacho; Rui Tavares</t>
        </is>
      </c>
      <c r="G2169" s="2" t="inlineStr">
        <is>
          <t>Art. 113.º-A (aditamento)</t>
        </is>
      </c>
      <c r="H2169" s="2" t="n"/>
      <c r="I2169" s="2" t="n"/>
      <c r="J2169" s="2" t="n"/>
      <c r="K2169" s="2" t="n"/>
      <c r="L2169" s="2" t="inlineStr">
        <is>
          <t>Artigo 113.º-A (Plano Nacional de Segurança Digital para crianças e jovens)</t>
        </is>
      </c>
      <c r="M2169" s="4" t="n"/>
      <c r="N2169" s="4" t="n"/>
      <c r="O2169" s="2" t="n"/>
      <c r="P2169" s="2" t="n"/>
      <c r="Q2169" s="2" t="n"/>
      <c r="R2169" s="2" t="n"/>
      <c r="S2169" s="2" t="inlineStr">
        <is>
          <t>Rejeitado(a) em Plenário</t>
        </is>
      </c>
      <c r="T2169" s="2" t="inlineStr">
        <is>
          <t>Rejeitada</t>
        </is>
      </c>
      <c r="U2169" s="2" t="inlineStr">
        <is>
          <t>Favor: IL, L, PCP, BE, PAN, JPP; Contra: PSD, CDS-PP; Abstenção: CH, PS</t>
        </is>
      </c>
      <c r="V2169" s="3" t="n">
        <v>45987</v>
      </c>
      <c r="W2169" s="2" t="inlineStr">
        <is>
          <t>Avocada a Plenário. AR: https://www.parlamento.pt/OrcamentoEstado/Paginas/DetalhePropostaAlteracao.aspx?BID=25307 PDF: https://app.parlamento.pt/webutils/docs/doc.pdf?path=6148523063484d364c793942556b356c6443397a6158526c63793959566b6c4a544556484c3039464c7a49774d6a59794d4449314d5441774f533951515338304e6a686b4e6d4a6d4f533035596a4e684c54526a4e6d49744f4467354e79307a596a526d4d574d314d6d4e6d4d5455756347526d&amp;Fich=468d6bf9-9b3a-4c6b-8897-3b4f1c52cf15.pdf&amp;Inline=true</t>
        </is>
      </c>
      <c r="X2169" s="2" t="inlineStr">
        <is>
          <t>Assuntos Constitucionais, Direitos, Liberdades e Garantias; Cultura, Comunicação, Juventude e Desporto</t>
        </is>
      </c>
      <c r="Y2169" s="2" t="inlineStr">
        <is>
          <t>Articulado</t>
        </is>
      </c>
      <c r="Z2169" s="2" t="inlineStr">
        <is>
          <t>Aditamento (Artigo PPL)</t>
        </is>
      </c>
      <c r="AA2169" s="2" t="inlineStr">
        <is>
          <t>Rejeitado(a) em Plenário</t>
        </is>
      </c>
      <c r="AB2169" s="2" t="inlineStr">
        <is>
          <t>S</t>
        </is>
      </c>
      <c r="AC2169" s="2" t="inlineStr"/>
      <c r="AD2169" s="2" t="inlineStr">
        <is>
          <t>2</t>
        </is>
      </c>
      <c r="AE2169" s="2" t="inlineStr">
        <is>
          <t>25307</t>
        </is>
      </c>
      <c r="AF2169" s="2" t="inlineStr">
        <is>
          <t>https://www.parlamento.pt/OrcamentoEstado/Paginas/DetalhePropostaAlteracao.aspx?BID=25307</t>
        </is>
      </c>
      <c r="AG2169" s="2" t="inlineStr">
        <is>
          <t>https://app.parlamento.pt/webutils/docs/doc.pdf?path=6148523063484d364c793942556b356c6443397a6158526c63793959566b6c4a544556484c3039464c7a49774d6a59794d4449314d5441774f533951515338304e6a686b4e6d4a6d4f533035596a4e684c54526a4e6d49744f4467354e79307a596a526d4d574d314d6d4e6d4d5455756347526d&amp;Fich=468d6bf9-9b3a-4c6b-8897-3b4f1c52cf15.pdf&amp;Inline=true</t>
        </is>
      </c>
      <c r="AH2169" s="3" t="n">
        <v>46321.77847222222</v>
      </c>
      <c r="AI2169" s="3" t="n">
        <v>46321.78055555555</v>
      </c>
      <c r="AJ2169" s="2" t="inlineStr"/>
    </row>
    <row r="2170">
      <c r="A2170" s="2" t="n">
        <v>2169</v>
      </c>
      <c r="B2170" s="2" t="inlineStr">
        <is>
          <t>2052C</t>
        </is>
      </c>
      <c r="C2170" s="3" t="n">
        <v>45968.81805555556</v>
      </c>
      <c r="D2170" s="2" t="inlineStr">
        <is>
          <t>Original</t>
        </is>
      </c>
      <c r="E2170" s="2" t="inlineStr">
        <is>
          <t>L</t>
        </is>
      </c>
      <c r="F2170" s="2" t="inlineStr">
        <is>
          <t>Filipa Pinto; Isabel Mendes Lopes; Jorge Pinto; Patrícia Gonçalves; Paulo Muacho; Rui Tavares</t>
        </is>
      </c>
      <c r="G2170" s="2" t="inlineStr">
        <is>
          <t>Art. 123.º-A (aditamento)</t>
        </is>
      </c>
      <c r="H2170" s="2" t="n"/>
      <c r="I2170" s="2" t="n"/>
      <c r="J2170" s="2" t="n"/>
      <c r="K2170" s="2" t="n"/>
      <c r="L2170" s="2" t="inlineStr">
        <is>
          <t>Artigo 123.º-A (Renovação da frota na Administração Pública)</t>
        </is>
      </c>
      <c r="M2170" s="4" t="n"/>
      <c r="N2170" s="4" t="n"/>
      <c r="O2170" s="2" t="n"/>
      <c r="P2170" s="2" t="n"/>
      <c r="Q2170" s="2" t="n"/>
      <c r="R2170" s="2" t="n"/>
      <c r="S2170" s="2" t="inlineStr">
        <is>
          <t>Rejeitado(a) em Comissão</t>
        </is>
      </c>
      <c r="T2170" s="2" t="inlineStr">
        <is>
          <t>Rejeitada</t>
        </is>
      </c>
      <c r="U2170" s="2" t="inlineStr">
        <is>
          <t>Favor: L, BE, PAN; Contra: PSD, CH, PS, CDS-PP; Abstenção: IL, PCP</t>
        </is>
      </c>
      <c r="V2170" s="3" t="n">
        <v>45985</v>
      </c>
      <c r="W2170" s="2" t="inlineStr">
        <is>
          <t>AR: https://www.parlamento.pt/OrcamentoEstado/Paginas/DetalhePropostaAlteracao.aspx?BID=25309 PDF: https://app.parlamento.pt/webutils/docs/doc.pdf?path=6148523063484d364c793942556b356c6443397a6158526c63793959566b6c4a544556484c3039464c7a49774d6a59794d4449314d5441774f533951515338354d32466c5a5451794f5331684d7a67774c54526a4e44557459544d314f5331684d6a45344d6d466c4f445131597a49756347526d&amp;Fich=93aee429-a380-4c45-a359-a2182ae845c2.pdf&amp;Inline=true</t>
        </is>
      </c>
      <c r="X2170" s="2" t="inlineStr">
        <is>
          <t>Ambiente e Energia; Infraestruturas, Mobilidade e Habitação; Orçamento, Finanças e Administração Pública</t>
        </is>
      </c>
      <c r="Y2170" s="2" t="inlineStr">
        <is>
          <t>Articulado</t>
        </is>
      </c>
      <c r="Z2170" s="2" t="inlineStr">
        <is>
          <t>Aditamento (Artigo PPL)</t>
        </is>
      </c>
      <c r="AA2170" s="2" t="inlineStr">
        <is>
          <t>Rejeitado(a) em Comissão</t>
        </is>
      </c>
      <c r="AB2170" s="2" t="inlineStr"/>
      <c r="AC2170" s="2" t="inlineStr"/>
      <c r="AD2170" s="2" t="inlineStr">
        <is>
          <t>1</t>
        </is>
      </c>
      <c r="AE2170" s="2" t="inlineStr">
        <is>
          <t>25309</t>
        </is>
      </c>
      <c r="AF2170" s="2" t="inlineStr">
        <is>
          <t>https://www.parlamento.pt/OrcamentoEstado/Paginas/DetalhePropostaAlteracao.aspx?BID=25309</t>
        </is>
      </c>
      <c r="AG2170" s="2" t="inlineStr">
        <is>
          <t>https://app.parlamento.pt/webutils/docs/doc.pdf?path=6148523063484d364c793942556b356c6443397a6158526c63793959566b6c4a544556484c3039464c7a49774d6a59794d4449314d5441774f533951515338354d32466c5a5451794f5331684d7a67774c54526a4e44557459544d314f5331684d6a45344d6d466c4f445131597a49756347526d&amp;Fich=93aee429-a380-4c45-a359-a2182ae845c2.pdf&amp;Inline=true</t>
        </is>
      </c>
      <c r="AH2170" s="3" t="n">
        <v>46321.77847222222</v>
      </c>
      <c r="AI2170" s="3" t="n">
        <v>46321.78055555555</v>
      </c>
      <c r="AJ2170" s="2" t="inlineStr"/>
    </row>
    <row r="2171">
      <c r="A2171" s="2" t="n">
        <v>2170</v>
      </c>
      <c r="B2171" s="2" t="inlineStr">
        <is>
          <t>2053C</t>
        </is>
      </c>
      <c r="C2171" s="3" t="n">
        <v>45968.81805555556</v>
      </c>
      <c r="D2171" s="2" t="inlineStr">
        <is>
          <t>Original</t>
        </is>
      </c>
      <c r="E2171" s="2" t="inlineStr">
        <is>
          <t>PAN</t>
        </is>
      </c>
      <c r="F2171" s="2" t="inlineStr">
        <is>
          <t>Inês de Sousa Real</t>
        </is>
      </c>
      <c r="G2171" s="2" t="inlineStr">
        <is>
          <t>Art. 43.º-A (aditamento)</t>
        </is>
      </c>
      <c r="H2171" s="2" t="n"/>
      <c r="I2171" s="2" t="n"/>
      <c r="J2171" s="2" t="n"/>
      <c r="K2171" s="2" t="n"/>
      <c r="L2171" s="2" t="inlineStr">
        <is>
          <t>Artigo 43.º-A (Programa Trabalhos &amp; Competências Verdes)</t>
        </is>
      </c>
      <c r="M2171" s="4" t="n"/>
      <c r="N2171" s="4" t="n"/>
      <c r="O2171" s="2" t="n"/>
      <c r="P2171" s="2" t="n"/>
      <c r="Q2171" s="2" t="n"/>
      <c r="R2171" s="2" t="n"/>
      <c r="S2171" s="2" t="inlineStr">
        <is>
          <t>Rejeitado(a) em Comissão</t>
        </is>
      </c>
      <c r="T2171" s="2" t="inlineStr">
        <is>
          <t>Rejeitada</t>
        </is>
      </c>
      <c r="U2171" s="2" t="inlineStr">
        <is>
          <t>Favor: L, BE, PAN; Contra: PSD, CH, IL, CDS-PP; Abstenção: PS, PCP</t>
        </is>
      </c>
      <c r="V2171" s="3" t="n">
        <v>45981</v>
      </c>
      <c r="W2171" s="2" t="inlineStr">
        <is>
          <t>AR: https://www.parlamento.pt/OrcamentoEstado/Paginas/DetalhePropostaAlteracao.aspx?BID=25310 PDF: https://app.parlamento.pt/webutils/docs/doc.pdf?path=6148523063484d364c793942556b356c6443397a6158526c63793959566b6c4a544556484c3039464c7a49774d6a59794d4449314d5441774f5339515153396a595463334d44566d4d53316959324d324c5451354e6a63744f4467345a5330774d545a6c4e7a4a69595463314d446b756347526d&amp;Fich=ca7705f1-bcc6-4967-888e-016e72ba7509.pdf&amp;Inline=true</t>
        </is>
      </c>
      <c r="X2171" s="2" t="inlineStr">
        <is>
          <t>Ambiente e Energia</t>
        </is>
      </c>
      <c r="Y2171" s="2" t="inlineStr">
        <is>
          <t>Articulado</t>
        </is>
      </c>
      <c r="Z2171" s="2" t="inlineStr">
        <is>
          <t>Aditamento (Artigo PPL)</t>
        </is>
      </c>
      <c r="AA2171" s="2" t="inlineStr">
        <is>
          <t>Rejeitado(a) em Comissão</t>
        </is>
      </c>
      <c r="AB2171" s="2" t="inlineStr"/>
      <c r="AC2171" s="2" t="inlineStr"/>
      <c r="AD2171" s="2" t="inlineStr">
        <is>
          <t>1</t>
        </is>
      </c>
      <c r="AE2171" s="2" t="inlineStr">
        <is>
          <t>25310</t>
        </is>
      </c>
      <c r="AF2171" s="2" t="inlineStr">
        <is>
          <t>https://www.parlamento.pt/OrcamentoEstado/Paginas/DetalhePropostaAlteracao.aspx?BID=25310</t>
        </is>
      </c>
      <c r="AG2171" s="2" t="inlineStr">
        <is>
          <t>https://app.parlamento.pt/webutils/docs/doc.pdf?path=6148523063484d364c793942556b356c6443397a6158526c63793959566b6c4a544556484c3039464c7a49774d6a59794d4449314d5441774f5339515153396a595463334d44566d4d53316959324d324c5451354e6a63744f4467345a5330774d545a6c4e7a4a69595463314d446b756347526d&amp;Fich=ca7705f1-bcc6-4967-888e-016e72ba7509.pdf&amp;Inline=true</t>
        </is>
      </c>
      <c r="AH2171" s="3" t="n">
        <v>46321.77847222222</v>
      </c>
      <c r="AI2171" s="3" t="n">
        <v>46321.78055555555</v>
      </c>
      <c r="AJ2171" s="2" t="inlineStr"/>
    </row>
    <row r="2172">
      <c r="A2172" s="2" t="n">
        <v>2171</v>
      </c>
      <c r="B2172" s="2" t="inlineStr">
        <is>
          <t>2054C</t>
        </is>
      </c>
      <c r="C2172" s="3" t="n">
        <v>45968.82013888889</v>
      </c>
      <c r="D2172" s="2" t="inlineStr">
        <is>
          <t>Original</t>
        </is>
      </c>
      <c r="E2172" s="2" t="inlineStr">
        <is>
          <t>L</t>
        </is>
      </c>
      <c r="F2172" s="2" t="inlineStr">
        <is>
          <t>Filipa Pinto; Isabel Mendes Lopes; Jorge Pinto; Patrícia Gonçalves; Paulo Muacho; Rui Tavares</t>
        </is>
      </c>
      <c r="G2172" s="2" t="inlineStr">
        <is>
          <t>Art. 72.º-A (aditamento)</t>
        </is>
      </c>
      <c r="H2172" s="2" t="n"/>
      <c r="I2172" s="2" t="n"/>
      <c r="J2172" s="2" t="n"/>
      <c r="K2172" s="2" t="n"/>
      <c r="L2172" s="2" t="inlineStr">
        <is>
          <t>Artigo 72.º-A (Alteração ao Regime Geral das Infrações Tributárias)</t>
        </is>
      </c>
      <c r="M2172" s="4" t="n"/>
      <c r="N2172" s="4" t="n"/>
      <c r="O2172" s="2" t="n"/>
      <c r="P2172" s="2" t="n"/>
      <c r="Q2172" s="2" t="n"/>
      <c r="R2172" s="2" t="n"/>
      <c r="S2172" s="2" t="inlineStr">
        <is>
          <t>Rejeitado(a) em Comissão</t>
        </is>
      </c>
      <c r="T2172" s="2" t="inlineStr">
        <is>
          <t>Rejeitada</t>
        </is>
      </c>
      <c r="U2172" s="2" t="inlineStr">
        <is>
          <t>Favor: L, BE, PAN; Contra: PSD, CH, PCP, CDS-PP; Abstenção: PS, IL</t>
        </is>
      </c>
      <c r="V2172" s="3" t="n">
        <v>45982</v>
      </c>
      <c r="W2172" s="2" t="inlineStr">
        <is>
          <t>AR: https://www.parlamento.pt/OrcamentoEstado/Paginas/DetalhePropostaAlteracao.aspx?BID=25311 PDF: https://app.parlamento.pt/webutils/docs/doc.pdf?path=6148523063484d364c793942556b356c6443397a6158526c63793959566b6c4a544556484c3039464c7a49774d6a59794d4449314d5441774f5339515153396859574a6c595752694f4330775a6d59344c5451315a444974596d4e694e6930324e475a6c595749344d4755314e4451756347526d&amp;Fich=aabeadb8-0ff8-45d2-bcb6-64feab80e544.pdf&amp;Inline=true</t>
        </is>
      </c>
      <c r="X2172" s="2" t="inlineStr">
        <is>
          <t>Orçamento, Finanças e Administração Pública</t>
        </is>
      </c>
      <c r="Y2172" s="2" t="inlineStr">
        <is>
          <t>Articulado</t>
        </is>
      </c>
      <c r="Z2172" s="2" t="inlineStr">
        <is>
          <t>Aditamento (Artigo PPL)</t>
        </is>
      </c>
      <c r="AA2172" s="2" t="inlineStr">
        <is>
          <t>Rejeitado(a) em Comissão</t>
        </is>
      </c>
      <c r="AB2172" s="2" t="inlineStr"/>
      <c r="AC2172" s="2" t="inlineStr"/>
      <c r="AD2172" s="2" t="inlineStr">
        <is>
          <t>1</t>
        </is>
      </c>
      <c r="AE2172" s="2" t="inlineStr">
        <is>
          <t>25311</t>
        </is>
      </c>
      <c r="AF2172" s="2" t="inlineStr">
        <is>
          <t>https://www.parlamento.pt/OrcamentoEstado/Paginas/DetalhePropostaAlteracao.aspx?BID=25311</t>
        </is>
      </c>
      <c r="AG2172" s="2" t="inlineStr">
        <is>
          <t>https://app.parlamento.pt/webutils/docs/doc.pdf?path=6148523063484d364c793942556b356c6443397a6158526c63793959566b6c4a544556484c3039464c7a49774d6a59794d4449314d5441774f5339515153396859574a6c595752694f4330775a6d59344c5451315a444974596d4e694e6930324e475a6c595749344d4755314e4451756347526d&amp;Fich=aabeadb8-0ff8-45d2-bcb6-64feab80e544.pdf&amp;Inline=true</t>
        </is>
      </c>
      <c r="AH2172" s="3" t="n">
        <v>46321.77847222222</v>
      </c>
      <c r="AI2172" s="3" t="n">
        <v>46321.78055555555</v>
      </c>
      <c r="AJ2172" s="2" t="inlineStr"/>
    </row>
    <row r="2173">
      <c r="A2173" s="2" t="n">
        <v>2172</v>
      </c>
      <c r="B2173" s="2" t="inlineStr">
        <is>
          <t>2055C</t>
        </is>
      </c>
      <c r="C2173" s="3" t="n">
        <v>45968.82083333333</v>
      </c>
      <c r="D2173" s="2" t="inlineStr">
        <is>
          <t>Original</t>
        </is>
      </c>
      <c r="E2173" s="2" t="inlineStr">
        <is>
          <t>L</t>
        </is>
      </c>
      <c r="F2173" s="2" t="inlineStr">
        <is>
          <t>Filipa Pinto; Isabel Mendes Lopes; Jorge Pinto; Patrícia Gonçalves; Paulo Muacho; Rui Tavares</t>
        </is>
      </c>
      <c r="G2173" s="2" t="inlineStr">
        <is>
          <t>Art. 46.º-A (aditamento)</t>
        </is>
      </c>
      <c r="H2173" s="2" t="n"/>
      <c r="I2173" s="2" t="n"/>
      <c r="J2173" s="2" t="n"/>
      <c r="K2173" s="2" t="n"/>
      <c r="L2173" s="2" t="inlineStr">
        <is>
          <t>Artigo 46.º-A (Projeto-piloto para a criação do Rendimento Básico Incondicional)</t>
        </is>
      </c>
      <c r="M2173" s="4" t="n"/>
      <c r="N2173" s="4" t="n"/>
      <c r="O2173" s="2" t="n"/>
      <c r="P2173" s="2" t="n"/>
      <c r="Q2173" s="2" t="n"/>
      <c r="R2173" s="2" t="n"/>
      <c r="S2173" s="2" t="inlineStr">
        <is>
          <t>Rejeitado(a) em Comissão</t>
        </is>
      </c>
      <c r="T2173" s="2" t="inlineStr">
        <is>
          <t>Rejeitada</t>
        </is>
      </c>
      <c r="U2173" s="2" t="inlineStr">
        <is>
          <t>Favor: L, PAN; Contra: PSD, CH, PS, IL, PCP, CDS-PP, BE</t>
        </is>
      </c>
      <c r="V2173" s="3" t="n">
        <v>45981</v>
      </c>
      <c r="W2173" s="2" t="inlineStr">
        <is>
          <t>AR: https://www.parlamento.pt/OrcamentoEstado/Paginas/DetalhePropostaAlteracao.aspx?BID=25312 PDF: https://app.parlamento.pt/webutils/docs/doc.pdf?path=6148523063484d364c793942556b356c6443397a6158526c63793959566b6c4a544556484c3039464c7a49774d6a59794d4449314d5441774f533951515338794e7a63354e6d45354d7931684d4752694c5451784f444174595755304d5330324f575a6d596a526d4f4451774e3255756347526d&amp;Fich=27796a93-a0db-4180-ae41-69ffb4f8407e.pdf&amp;Inline=true</t>
        </is>
      </c>
      <c r="X2173" s="2" t="inlineStr">
        <is>
          <t>Comissão de Economia e Coesão Territorial; Orçamento, Finanças e Administração Pública; Trabalho, Segurança Social e Inclusão</t>
        </is>
      </c>
      <c r="Y2173" s="2" t="inlineStr">
        <is>
          <t>Articulado</t>
        </is>
      </c>
      <c r="Z2173" s="2" t="inlineStr">
        <is>
          <t>Aditamento (Artigo PPL)</t>
        </is>
      </c>
      <c r="AA2173" s="2" t="inlineStr">
        <is>
          <t>Rejeitado(a) em Comissão</t>
        </is>
      </c>
      <c r="AB2173" s="2" t="inlineStr"/>
      <c r="AC2173" s="2" t="inlineStr"/>
      <c r="AD2173" s="2" t="inlineStr">
        <is>
          <t>1</t>
        </is>
      </c>
      <c r="AE2173" s="2" t="inlineStr">
        <is>
          <t>25312</t>
        </is>
      </c>
      <c r="AF2173" s="2" t="inlineStr">
        <is>
          <t>https://www.parlamento.pt/OrcamentoEstado/Paginas/DetalhePropostaAlteracao.aspx?BID=25312</t>
        </is>
      </c>
      <c r="AG2173" s="2" t="inlineStr">
        <is>
          <t>https://app.parlamento.pt/webutils/docs/doc.pdf?path=6148523063484d364c793942556b356c6443397a6158526c63793959566b6c4a544556484c3039464c7a49774d6a59794d4449314d5441774f533951515338794e7a63354e6d45354d7931684d4752694c5451784f444174595755304d5330324f575a6d596a526d4f4451774e3255756347526d&amp;Fich=27796a93-a0db-4180-ae41-69ffb4f8407e.pdf&amp;Inline=true</t>
        </is>
      </c>
      <c r="AH2173" s="3" t="n">
        <v>46321.77847222222</v>
      </c>
      <c r="AI2173" s="3" t="n">
        <v>46321.78055555555</v>
      </c>
      <c r="AJ2173" s="2" t="inlineStr"/>
    </row>
    <row r="2174">
      <c r="A2174" s="2" t="n">
        <v>2173</v>
      </c>
      <c r="B2174" s="2" t="inlineStr">
        <is>
          <t>2056C</t>
        </is>
      </c>
      <c r="C2174" s="3" t="n">
        <v>45968.82152777778</v>
      </c>
      <c r="D2174" s="2" t="inlineStr">
        <is>
          <t>Original</t>
        </is>
      </c>
      <c r="E2174" s="2" t="inlineStr">
        <is>
          <t>L</t>
        </is>
      </c>
      <c r="F2174" s="2" t="inlineStr">
        <is>
          <t>Filipa Pinto; Isabel Mendes Lopes; Jorge Pinto; Patrícia Gonçalves; Paulo Muacho; Rui Tavares</t>
        </is>
      </c>
      <c r="G2174" s="2" t="inlineStr">
        <is>
          <t>Art. 126.º-A (aditamento)</t>
        </is>
      </c>
      <c r="H2174" s="2" t="n"/>
      <c r="I2174" s="2" t="n"/>
      <c r="J2174" s="2" t="n"/>
      <c r="K2174" s="2" t="n"/>
      <c r="L2174" s="2" t="inlineStr">
        <is>
          <t>Artigo 126.º-A (Recolha e reciclagem de resíduos de equipamentos elétricos e eletrónicos)</t>
        </is>
      </c>
      <c r="M2174" s="4" t="n"/>
      <c r="N2174" s="4" t="n"/>
      <c r="O2174" s="2" t="n"/>
      <c r="P2174" s="2" t="n"/>
      <c r="Q2174" s="2" t="n"/>
      <c r="R2174" s="2" t="n"/>
      <c r="S2174" s="2" t="inlineStr">
        <is>
          <t>Rejeitado(a) em Comissão</t>
        </is>
      </c>
      <c r="T2174" s="2" t="inlineStr">
        <is>
          <t>Rejeitada</t>
        </is>
      </c>
      <c r="U2174" s="2" t="inlineStr">
        <is>
          <t>Favor: IL, L, PCP, BE, PAN; Contra: PSD, CDS-PP; Abstenção: CH, PS</t>
        </is>
      </c>
      <c r="V2174" s="3" t="n">
        <v>45985</v>
      </c>
      <c r="W2174" s="2" t="inlineStr">
        <is>
          <t>AR: https://www.parlamento.pt/OrcamentoEstado/Paginas/DetalhePropostaAlteracao.aspx?BID=25313 PDF: https://app.parlamento.pt/webutils/docs/doc.pdf?path=6148523063484d364c793942556b356c6443397a6158526c63793959566b6c4a544556484c3039464c7a49774d6a59794d4449314d5441774f533951515338304d5467785a6a4a6a4d5330775a546b794c54526c5a446b74596a51794e6930355a6d4d354e4445324d6a5578597a63756347526d&amp;Fich=4181f2c1-0e92-4ed9-b426-9fc9416251c7.pdf&amp;Inline=true</t>
        </is>
      </c>
      <c r="X2174" s="2" t="inlineStr">
        <is>
          <t>Ambiente e Energia</t>
        </is>
      </c>
      <c r="Y2174" s="2" t="inlineStr">
        <is>
          <t>Articulado</t>
        </is>
      </c>
      <c r="Z2174" s="2" t="inlineStr">
        <is>
          <t>Aditamento (Artigo PPL)</t>
        </is>
      </c>
      <c r="AA2174" s="2" t="inlineStr">
        <is>
          <t>Rejeitado(a) em Comissão</t>
        </is>
      </c>
      <c r="AB2174" s="2" t="inlineStr"/>
      <c r="AC2174" s="2" t="inlineStr"/>
      <c r="AD2174" s="2" t="inlineStr">
        <is>
          <t>1</t>
        </is>
      </c>
      <c r="AE2174" s="2" t="inlineStr">
        <is>
          <t>25313</t>
        </is>
      </c>
      <c r="AF2174" s="2" t="inlineStr">
        <is>
          <t>https://www.parlamento.pt/OrcamentoEstado/Paginas/DetalhePropostaAlteracao.aspx?BID=25313</t>
        </is>
      </c>
      <c r="AG2174" s="2" t="inlineStr">
        <is>
          <t>https://app.parlamento.pt/webutils/docs/doc.pdf?path=6148523063484d364c793942556b356c6443397a6158526c63793959566b6c4a544556484c3039464c7a49774d6a59794d4449314d5441774f533951515338304d5467785a6a4a6a4d5330775a546b794c54526c5a446b74596a51794e6930355a6d4d354e4445324d6a5578597a63756347526d&amp;Fich=4181f2c1-0e92-4ed9-b426-9fc9416251c7.pdf&amp;Inline=true</t>
        </is>
      </c>
      <c r="AH2174" s="3" t="n">
        <v>46321.77847222222</v>
      </c>
      <c r="AI2174" s="3" t="n">
        <v>46321.78055555555</v>
      </c>
      <c r="AJ2174" s="2" t="inlineStr"/>
    </row>
    <row r="2175">
      <c r="A2175" s="2" t="n">
        <v>2174</v>
      </c>
      <c r="B2175" s="2" t="inlineStr">
        <is>
          <t>2057C</t>
        </is>
      </c>
      <c r="C2175" s="3" t="n">
        <v>45968.82222222222</v>
      </c>
      <c r="D2175" s="2" t="inlineStr">
        <is>
          <t>Original</t>
        </is>
      </c>
      <c r="E2175" s="2" t="inlineStr">
        <is>
          <t>L</t>
        </is>
      </c>
      <c r="F2175" s="2" t="inlineStr">
        <is>
          <t>Filipa Pinto; Isabel Mendes Lopes; Jorge Pinto; Patrícia Gonçalves; Paulo Muacho; Rui Tavares</t>
        </is>
      </c>
      <c r="G2175" s="2" t="inlineStr">
        <is>
          <t>Art. 19.º-A (aditamento)</t>
        </is>
      </c>
      <c r="H2175" s="2" t="n"/>
      <c r="I2175" s="2" t="n"/>
      <c r="J2175" s="2" t="n"/>
      <c r="K2175" s="2" t="n"/>
      <c r="L2175" s="2" t="inlineStr">
        <is>
          <t>Artigo 19.º-A (Reforço orçamental para a adopção de software livre)</t>
        </is>
      </c>
      <c r="M2175" s="4" t="n"/>
      <c r="N2175" s="4" t="n"/>
      <c r="O2175" s="2" t="n"/>
      <c r="P2175" s="2" t="n"/>
      <c r="Q2175" s="2" t="n"/>
      <c r="R2175" s="2" t="n"/>
      <c r="S2175" s="2" t="inlineStr">
        <is>
          <t>Rejeitado(a) em Comissão</t>
        </is>
      </c>
      <c r="T2175" s="2" t="inlineStr">
        <is>
          <t>Rejeitada</t>
        </is>
      </c>
      <c r="U2175" s="2" t="inlineStr">
        <is>
          <t>Favor: L, PCP, BE, PAN; Contra: PSD, CH, CDS-PP; Abstenção: PS, IL</t>
        </is>
      </c>
      <c r="V2175" s="3" t="n">
        <v>45981</v>
      </c>
      <c r="W2175" s="2" t="inlineStr">
        <is>
          <t>AR: https://www.parlamento.pt/OrcamentoEstado/Paginas/DetalhePropostaAlteracao.aspx?BID=25314 PDF: https://app.parlamento.pt/webutils/docs/doc.pdf?path=6148523063484d364c793942556b356c6443397a6158526c63793959566b6c4a544556484c3039464c7a49774d6a59794d4449314d5441774f533951515338794e3255324e5467314d69316c4f5755344c5452684d6d49744f474a6c5a5330344e7a677a4e5749324f47566b593259756347526d&amp;Fich=27e65852-e9e8-4a2b-8bee-87835b68edcf.pdf&amp;Inline=true</t>
        </is>
      </c>
      <c r="X2175" s="2" t="inlineStr">
        <is>
          <t>Cultura, Comunicação, Juventude e Desporto; Orçamento, Finanças e Administração Pública</t>
        </is>
      </c>
      <c r="Y2175" s="2" t="inlineStr">
        <is>
          <t>Articulado</t>
        </is>
      </c>
      <c r="Z2175" s="2" t="inlineStr">
        <is>
          <t>Aditamento (Artigo PPL)</t>
        </is>
      </c>
      <c r="AA2175" s="2" t="inlineStr">
        <is>
          <t>Rejeitado(a) em Comissão</t>
        </is>
      </c>
      <c r="AB2175" s="2" t="inlineStr"/>
      <c r="AC2175" s="2" t="inlineStr"/>
      <c r="AD2175" s="2" t="inlineStr">
        <is>
          <t>1</t>
        </is>
      </c>
      <c r="AE2175" s="2" t="inlineStr">
        <is>
          <t>25314</t>
        </is>
      </c>
      <c r="AF2175" s="2" t="inlineStr">
        <is>
          <t>https://www.parlamento.pt/OrcamentoEstado/Paginas/DetalhePropostaAlteracao.aspx?BID=25314</t>
        </is>
      </c>
      <c r="AG2175" s="2" t="inlineStr">
        <is>
          <t>https://app.parlamento.pt/webutils/docs/doc.pdf?path=6148523063484d364c793942556b356c6443397a6158526c63793959566b6c4a544556484c3039464c7a49774d6a59794d4449314d5441774f533951515338794e3255324e5467314d69316c4f5755344c5452684d6d49744f474a6c5a5330344e7a677a4e5749324f47566b593259756347526d&amp;Fich=27e65852-e9e8-4a2b-8bee-87835b68edcf.pdf&amp;Inline=true</t>
        </is>
      </c>
      <c r="AH2175" s="3" t="n">
        <v>46321.77847222222</v>
      </c>
      <c r="AI2175" s="3" t="n">
        <v>46321.78055555555</v>
      </c>
      <c r="AJ2175" s="2" t="inlineStr"/>
    </row>
    <row r="2176">
      <c r="A2176" s="2" t="n">
        <v>2175</v>
      </c>
      <c r="B2176" s="2" t="inlineStr">
        <is>
          <t>2058C</t>
        </is>
      </c>
      <c r="C2176" s="3" t="n">
        <v>45968.82291666666</v>
      </c>
      <c r="D2176" s="2" t="inlineStr">
        <is>
          <t>Original</t>
        </is>
      </c>
      <c r="E2176" s="2" t="inlineStr">
        <is>
          <t>L</t>
        </is>
      </c>
      <c r="F2176" s="2" t="inlineStr">
        <is>
          <t>Filipa Pinto; Isabel Mendes Lopes; Jorge Pinto; Patrícia Gonçalves; Paulo Muacho; Rui Tavares</t>
        </is>
      </c>
      <c r="G2176" s="2" t="inlineStr">
        <is>
          <t>Art. 119.º-A (aditamento)</t>
        </is>
      </c>
      <c r="H2176" s="2" t="n"/>
      <c r="I2176" s="2" t="n"/>
      <c r="J2176" s="2" t="n"/>
      <c r="K2176" s="2" t="n"/>
      <c r="L2176" s="2" t="inlineStr">
        <is>
          <t>Artigo 119.º-A (Alteração ao Regime Jurídico dos Jogos e Apostas Online aprovado pelo Decreto-Lei n.º 66/2015, de 29 de abril)</t>
        </is>
      </c>
      <c r="M2176" s="4" t="n"/>
      <c r="N2176" s="4" t="n"/>
      <c r="O2176" s="2" t="n"/>
      <c r="P2176" s="2" t="n"/>
      <c r="Q2176" s="2" t="n"/>
      <c r="R2176" s="2" t="n"/>
      <c r="S2176" s="2" t="inlineStr">
        <is>
          <t>Rejeitado(a) em Comissão</t>
        </is>
      </c>
      <c r="T2176" s="2" t="inlineStr">
        <is>
          <t>Rejeitada</t>
        </is>
      </c>
      <c r="U2176" s="2" t="inlineStr">
        <is>
          <t>Favor: PS, IL, L, PCP, BE, PAN; Contra: PSD, CH, CDS-PP</t>
        </is>
      </c>
      <c r="V2176" s="3" t="n">
        <v>45985</v>
      </c>
      <c r="W2176" s="2" t="inlineStr">
        <is>
          <t>AR: https://www.parlamento.pt/OrcamentoEstado/Paginas/DetalhePropostaAlteracao.aspx?BID=25315 PDF: https://app.parlamento.pt/webutils/docs/doc.pdf?path=6148523063484d364c793942556b356c6443397a6158526c63793959566b6c4a544556484c3039464c7a49774d6a59794d4449314d5441774f533951515338314d6d4d304d5456695a6930314e6d52694c54526a595749744f544a6d4e5330325a6d566a4e6a59774d445a6c4f4459756347526d&amp;Fich=52c415bf-56db-4cab-92f5-6fec66006e86.pdf&amp;Inline=true</t>
        </is>
      </c>
      <c r="X2176" s="2" t="inlineStr">
        <is>
          <t>Comissão de Economia e Coesão Territorial; Saúde</t>
        </is>
      </c>
      <c r="Y2176" s="2" t="inlineStr">
        <is>
          <t>Articulado</t>
        </is>
      </c>
      <c r="Z2176" s="2" t="inlineStr">
        <is>
          <t>Aditamento (Artigo PPL)</t>
        </is>
      </c>
      <c r="AA2176" s="2" t="inlineStr">
        <is>
          <t>Rejeitado(a) em Comissão</t>
        </is>
      </c>
      <c r="AB2176" s="2" t="inlineStr"/>
      <c r="AC2176" s="2" t="inlineStr"/>
      <c r="AD2176" s="2" t="inlineStr">
        <is>
          <t>1</t>
        </is>
      </c>
      <c r="AE2176" s="2" t="inlineStr">
        <is>
          <t>25315</t>
        </is>
      </c>
      <c r="AF2176" s="2" t="inlineStr">
        <is>
          <t>https://www.parlamento.pt/OrcamentoEstado/Paginas/DetalhePropostaAlteracao.aspx?BID=25315</t>
        </is>
      </c>
      <c r="AG2176" s="2" t="inlineStr">
        <is>
          <t>https://app.parlamento.pt/webutils/docs/doc.pdf?path=6148523063484d364c793942556b356c6443397a6158526c63793959566b6c4a544556484c3039464c7a49774d6a59794d4449314d5441774f533951515338314d6d4d304d5456695a6930314e6d52694c54526a595749744f544a6d4e5330325a6d566a4e6a59774d445a6c4f4459756347526d&amp;Fich=52c415bf-56db-4cab-92f5-6fec66006e86.pdf&amp;Inline=true</t>
        </is>
      </c>
      <c r="AH2176" s="3" t="n">
        <v>46321.77847222222</v>
      </c>
      <c r="AI2176" s="3" t="n">
        <v>46321.78055555555</v>
      </c>
      <c r="AJ2176" s="2" t="inlineStr"/>
    </row>
    <row r="2177">
      <c r="A2177" s="2" t="n">
        <v>2176</v>
      </c>
      <c r="B2177" s="2" t="inlineStr">
        <is>
          <t>2059C</t>
        </is>
      </c>
      <c r="C2177" s="3" t="n">
        <v>45968.82361111111</v>
      </c>
      <c r="D2177" s="2" t="inlineStr">
        <is>
          <t>Original</t>
        </is>
      </c>
      <c r="E2177" s="2" t="inlineStr">
        <is>
          <t>L</t>
        </is>
      </c>
      <c r="F2177" s="2" t="inlineStr">
        <is>
          <t>Filipa Pinto; Isabel Mendes Lopes; Jorge Pinto; Patrícia Gonçalves; Paulo Muacho; Rui Tavares</t>
        </is>
      </c>
      <c r="G2177" s="2" t="inlineStr">
        <is>
          <t>Art. 123.º-A (aditamento)</t>
        </is>
      </c>
      <c r="H2177" s="2" t="n"/>
      <c r="I2177" s="2" t="n"/>
      <c r="J2177" s="2" t="n"/>
      <c r="K2177" s="2" t="n"/>
      <c r="L2177" s="2" t="inlineStr">
        <is>
          <t>Artigo 123.º-A (Reativação da Linha do Corgo)</t>
        </is>
      </c>
      <c r="M2177" s="4" t="n"/>
      <c r="N2177" s="4" t="n"/>
      <c r="O2177" s="2" t="n"/>
      <c r="P2177" s="2" t="n"/>
      <c r="Q2177" s="2" t="n"/>
      <c r="R2177" s="2" t="n"/>
      <c r="S2177" s="2" t="inlineStr">
        <is>
          <t>Rejeitado(a) em Comissão</t>
        </is>
      </c>
      <c r="T2177" s="2" t="inlineStr">
        <is>
          <t>Rejeitada</t>
        </is>
      </c>
      <c r="U2177" s="2" t="inlineStr">
        <is>
          <t>Favor: L, PCP, BE, PAN; Contra: PSD, IL, CDS-PP; Abstenção: CH, PS</t>
        </is>
      </c>
      <c r="V2177" s="3" t="n">
        <v>45985</v>
      </c>
      <c r="W2177" s="2" t="inlineStr">
        <is>
          <t>AR: https://www.parlamento.pt/OrcamentoEstado/Paginas/DetalhePropostaAlteracao.aspx?BID=25316 PDF: https://app.parlamento.pt/webutils/docs/doc.pdf?path=6148523063484d364c793942556b356c6443397a6158526c63793959566b6c4a544556484c3039464c7a49774d6a59794d4449314d5441774f533951515338784e6a6c6a5a6a55784e5330784e6d4d794c5451344f4455744f574e684f5331695a446869597a63345a4459344d6d45756347526d&amp;Fich=169cf515-16c2-4885-9ca9-bd8bc78d682a.pdf&amp;Inline=true</t>
        </is>
      </c>
      <c r="X2177" s="2" t="inlineStr">
        <is>
          <t>Infraestruturas, Mobilidade e Habitação</t>
        </is>
      </c>
      <c r="Y2177" s="2" t="inlineStr">
        <is>
          <t>Articulado</t>
        </is>
      </c>
      <c r="Z2177" s="2" t="inlineStr">
        <is>
          <t>Aditamento (Artigo PPL)</t>
        </is>
      </c>
      <c r="AA2177" s="2" t="inlineStr">
        <is>
          <t>Rejeitado(a) em Comissão</t>
        </is>
      </c>
      <c r="AB2177" s="2" t="inlineStr"/>
      <c r="AC2177" s="2" t="inlineStr"/>
      <c r="AD2177" s="2" t="inlineStr">
        <is>
          <t>1</t>
        </is>
      </c>
      <c r="AE2177" s="2" t="inlineStr">
        <is>
          <t>25316</t>
        </is>
      </c>
      <c r="AF2177" s="2" t="inlineStr">
        <is>
          <t>https://www.parlamento.pt/OrcamentoEstado/Paginas/DetalhePropostaAlteracao.aspx?BID=25316</t>
        </is>
      </c>
      <c r="AG2177" s="2" t="inlineStr">
        <is>
          <t>https://app.parlamento.pt/webutils/docs/doc.pdf?path=6148523063484d364c793942556b356c6443397a6158526c63793959566b6c4a544556484c3039464c7a49774d6a59794d4449314d5441774f533951515338784e6a6c6a5a6a55784e5330784e6d4d794c5451344f4455744f574e684f5331695a446869597a63345a4459344d6d45756347526d&amp;Fich=169cf515-16c2-4885-9ca9-bd8bc78d682a.pdf&amp;Inline=true</t>
        </is>
      </c>
      <c r="AH2177" s="3" t="n">
        <v>46321.77847222222</v>
      </c>
      <c r="AI2177" s="3" t="n">
        <v>46321.78055555555</v>
      </c>
      <c r="AJ2177" s="2" t="inlineStr"/>
    </row>
    <row r="2178">
      <c r="A2178" s="2" t="n">
        <v>2177</v>
      </c>
      <c r="B2178" s="2" t="inlineStr">
        <is>
          <t>2060C</t>
        </is>
      </c>
      <c r="C2178" s="3" t="n">
        <v>45968.82430555556</v>
      </c>
      <c r="D2178" s="2" t="inlineStr">
        <is>
          <t>Original</t>
        </is>
      </c>
      <c r="E2178" s="2" t="inlineStr">
        <is>
          <t>L</t>
        </is>
      </c>
      <c r="F2178" s="2" t="inlineStr">
        <is>
          <t>Filipa Pinto; Isabel Mendes Lopes; Jorge Pinto; Patrícia Gonçalves; Paulo Muacho; Rui Tavares</t>
        </is>
      </c>
      <c r="G2178" s="2" t="inlineStr">
        <is>
          <t>Art. 15.º (aditamento)</t>
        </is>
      </c>
      <c r="H2178" s="2" t="n"/>
      <c r="I2178" s="2" t="n"/>
      <c r="J2178" s="2" t="n"/>
      <c r="K2178" s="2" t="n"/>
      <c r="L2178" s="2" t="inlineStr">
        <is>
          <t>Alínea g), N.º 9, Artigo 15.º</t>
        </is>
      </c>
      <c r="M2178" s="4" t="n"/>
      <c r="N2178" s="4" t="n"/>
      <c r="O2178" s="2" t="n"/>
      <c r="P2178" s="2" t="n"/>
      <c r="Q2178" s="2" t="n"/>
      <c r="R2178" s="2" t="n"/>
      <c r="S2178" s="2" t="inlineStr">
        <is>
          <t>Rejeitado(a) em Comissão</t>
        </is>
      </c>
      <c r="T2178" s="2" t="inlineStr">
        <is>
          <t>Rejeitada</t>
        </is>
      </c>
      <c r="U2178" s="2" t="inlineStr">
        <is>
          <t>Favor: CH, IL, L, PCP, BE, PAN; Contra: PSD, CDS-PP; Abstenção: PS</t>
        </is>
      </c>
      <c r="V2178" s="3" t="n">
        <v>45981</v>
      </c>
      <c r="W2178" s="2" t="inlineStr">
        <is>
          <t>AR: https://www.parlamento.pt/OrcamentoEstado/Paginas/DetalhePropostaAlteracao.aspx?BID=25317 PDF: https://app.parlamento.pt/webutils/docs/doc.pdf?path=6148523063484d364c793942556b356c6443397a6158526c63793959566b6c4a544556484c3039464c7a49774d6a59794d4449314d5441774f53395151533830595455314d6d4a6b596931695a6a4e6b4c5451354f545174595464694d4331695954466a4d5449304f54417a5a4441756347526d&amp;Fich=4a552bdb-bf3d-4994-a7b0-ba1c124903d0.pdf&amp;Inline=true</t>
        </is>
      </c>
      <c r="X2178" s="2" t="inlineStr">
        <is>
          <t>Agricultura e Pescas; Ambiente e Energia; Assuntos Constitucionais, Direitos, Liberdades e Garantias</t>
        </is>
      </c>
      <c r="Y2178" s="2" t="inlineStr">
        <is>
          <t>Articulado</t>
        </is>
      </c>
      <c r="Z2178" s="2" t="inlineStr">
        <is>
          <t>Aditamento (Números e Alíneas)</t>
        </is>
      </c>
      <c r="AA2178" s="2" t="inlineStr">
        <is>
          <t>Rejeitado(a) em Comissão</t>
        </is>
      </c>
      <c r="AB2178" s="2" t="inlineStr"/>
      <c r="AC2178" s="2" t="inlineStr"/>
      <c r="AD2178" s="2" t="inlineStr">
        <is>
          <t>1</t>
        </is>
      </c>
      <c r="AE2178" s="2" t="inlineStr">
        <is>
          <t>25317</t>
        </is>
      </c>
      <c r="AF2178" s="2" t="inlineStr">
        <is>
          <t>https://www.parlamento.pt/OrcamentoEstado/Paginas/DetalhePropostaAlteracao.aspx?BID=25317</t>
        </is>
      </c>
      <c r="AG2178" s="2" t="inlineStr">
        <is>
          <t>https://app.parlamento.pt/webutils/docs/doc.pdf?path=6148523063484d364c793942556b356c6443397a6158526c63793959566b6c4a544556484c3039464c7a49774d6a59794d4449314d5441774f53395151533830595455314d6d4a6b596931695a6a4e6b4c5451354f545174595464694d4331695954466a4d5449304f54417a5a4441756347526d&amp;Fich=4a552bdb-bf3d-4994-a7b0-ba1c124903d0.pdf&amp;Inline=true</t>
        </is>
      </c>
      <c r="AH2178" s="3" t="n">
        <v>46321.77847222222</v>
      </c>
      <c r="AI2178" s="3" t="n">
        <v>46321.78055555555</v>
      </c>
      <c r="AJ2178" s="2" t="inlineStr"/>
    </row>
    <row r="2179">
      <c r="A2179" s="2" t="n">
        <v>2178</v>
      </c>
      <c r="B2179" s="2" t="inlineStr">
        <is>
          <t>2061C</t>
        </is>
      </c>
      <c r="C2179" s="3" t="n">
        <v>45968.825</v>
      </c>
      <c r="D2179" s="2" t="inlineStr">
        <is>
          <t>Original</t>
        </is>
      </c>
      <c r="E2179" s="2" t="inlineStr">
        <is>
          <t>L</t>
        </is>
      </c>
      <c r="F2179" s="2" t="inlineStr">
        <is>
          <t>Filipa Pinto; Isabel Mendes Lopes; Jorge Pinto; Patrícia Gonçalves; Paulo Muacho; Rui Tavares</t>
        </is>
      </c>
      <c r="G2179" s="2" t="inlineStr">
        <is>
          <t>Art. 116.º-A (aditamento)</t>
        </is>
      </c>
      <c r="H2179" s="2" t="n"/>
      <c r="I2179" s="2" t="n"/>
      <c r="J2179" s="2" t="n"/>
      <c r="K2179" s="2" t="n"/>
      <c r="L2179" s="2" t="inlineStr">
        <is>
          <t>Artigo 116.º-A (Estratégia da Cooperação Portuguesa)</t>
        </is>
      </c>
      <c r="M2179" s="4" t="n"/>
      <c r="N2179" s="4" t="n"/>
      <c r="O2179" s="2" t="n"/>
      <c r="P2179" s="2" t="n"/>
      <c r="Q2179" s="2" t="n"/>
      <c r="R2179" s="2" t="n"/>
      <c r="S2179" s="2" t="inlineStr">
        <is>
          <t>Rejeitado(a) em Comissão</t>
        </is>
      </c>
      <c r="T2179" s="2" t="inlineStr">
        <is>
          <t>Rejeitada</t>
        </is>
      </c>
      <c r="U2179" s="2" t="inlineStr">
        <is>
          <t>Favor: L, PCP, BE, PAN; Contra: PSD, CH, CDS-PP; Abstenção: PS, IL</t>
        </is>
      </c>
      <c r="V2179" s="3" t="n">
        <v>45985</v>
      </c>
      <c r="W2179" s="2" t="inlineStr">
        <is>
          <t>AR: https://www.parlamento.pt/OrcamentoEstado/Paginas/DetalhePropostaAlteracao.aspx?BID=25318 PDF: https://app.parlamento.pt/webutils/docs/doc.pdf?path=6148523063484d364c793942556b356c6443397a6158526c63793959566b6c4a544556484c3039464c7a49774d6a59794d4449314d5441774f533951515339685a5468684e6a5669597930794f4451784c54517859325974596a63304d53307a4d7a55304f446c694e4441775a4467756347526d&amp;Fich=ae8a65bc-2841-41cf-b741-335489b400d8.pdf&amp;Inline=true</t>
        </is>
      </c>
      <c r="X2179" s="2" t="inlineStr">
        <is>
          <t>Negócios Estrangeiros e Comunidades Portuguesas</t>
        </is>
      </c>
      <c r="Y2179" s="2" t="inlineStr">
        <is>
          <t>Articulado</t>
        </is>
      </c>
      <c r="Z2179" s="2" t="inlineStr">
        <is>
          <t>Aditamento (Artigo PPL)</t>
        </is>
      </c>
      <c r="AA2179" s="2" t="inlineStr">
        <is>
          <t>Rejeitado(a) em Comissão</t>
        </is>
      </c>
      <c r="AB2179" s="2" t="inlineStr"/>
      <c r="AC2179" s="2" t="inlineStr"/>
      <c r="AD2179" s="2" t="inlineStr">
        <is>
          <t>1</t>
        </is>
      </c>
      <c r="AE2179" s="2" t="inlineStr">
        <is>
          <t>25318</t>
        </is>
      </c>
      <c r="AF2179" s="2" t="inlineStr">
        <is>
          <t>https://www.parlamento.pt/OrcamentoEstado/Paginas/DetalhePropostaAlteracao.aspx?BID=25318</t>
        </is>
      </c>
      <c r="AG2179" s="2" t="inlineStr">
        <is>
          <t>https://app.parlamento.pt/webutils/docs/doc.pdf?path=6148523063484d364c793942556b356c6443397a6158526c63793959566b6c4a544556484c3039464c7a49774d6a59794d4449314d5441774f533951515339685a5468684e6a5669597930794f4451784c54517859325974596a63304d53307a4d7a55304f446c694e4441775a4467756347526d&amp;Fich=ae8a65bc-2841-41cf-b741-335489b400d8.pdf&amp;Inline=true</t>
        </is>
      </c>
      <c r="AH2179" s="3" t="n">
        <v>46321.77847222222</v>
      </c>
      <c r="AI2179" s="3" t="n">
        <v>46321.78055555555</v>
      </c>
      <c r="AJ2179" s="2" t="inlineStr"/>
    </row>
    <row r="2180">
      <c r="A2180" s="2" t="n">
        <v>2179</v>
      </c>
      <c r="B2180" s="2" t="inlineStr">
        <is>
          <t>2062C</t>
        </is>
      </c>
      <c r="C2180" s="3" t="n">
        <v>45968.82569444444</v>
      </c>
      <c r="D2180" s="2" t="inlineStr">
        <is>
          <t>Original</t>
        </is>
      </c>
      <c r="E2180" s="2" t="inlineStr">
        <is>
          <t>L</t>
        </is>
      </c>
      <c r="F2180" s="2" t="inlineStr">
        <is>
          <t>Filipa Pinto; Isabel Mendes Lopes; Jorge Pinto; Patrícia Gonçalves; Paulo Muacho; Rui Tavares</t>
        </is>
      </c>
      <c r="G2180" s="2" t="inlineStr">
        <is>
          <t>Art. 112.º-A (aditamento)</t>
        </is>
      </c>
      <c r="H2180" s="2" t="n"/>
      <c r="I2180" s="2" t="n"/>
      <c r="J2180" s="2" t="n"/>
      <c r="K2180" s="2" t="n"/>
      <c r="L2180" s="2" t="inlineStr">
        <is>
          <t>Artigo 112.º-A (Alteração ao Decreto-Lei n.º 32/96, de 16 de agosto)</t>
        </is>
      </c>
      <c r="M2180" s="4" t="n"/>
      <c r="N2180" s="4" t="n"/>
      <c r="O2180" s="2" t="n"/>
      <c r="P2180" s="2" t="n"/>
      <c r="Q2180" s="2" t="n"/>
      <c r="R2180" s="2" t="n"/>
      <c r="S2180" s="2" t="inlineStr">
        <is>
          <t>Rejeitado(a) em Comissão</t>
        </is>
      </c>
      <c r="T2180" s="2" t="inlineStr">
        <is>
          <t>Rejeitada</t>
        </is>
      </c>
      <c r="U2180" s="2" t="inlineStr">
        <is>
          <t>Favor: L, PCP, BE, PAN; Contra: PSD, PS, CDS-PP; Abstenção: CH, IL</t>
        </is>
      </c>
      <c r="V2180" s="3" t="n">
        <v>45982</v>
      </c>
      <c r="W2180" s="2" t="inlineStr">
        <is>
          <t>AR: https://www.parlamento.pt/OrcamentoEstado/Paginas/DetalhePropostaAlteracao.aspx?BID=25319 PDF: https://app.parlamento.pt/webutils/docs/doc.pdf?path=6148523063484d364c793942556b356c6443397a6158526c63793959566b6c4a544556484c3039464c7a49774d6a59794d4449314d5441774f5339515153396b4d4467354d44457a4d793035597a6b324c5451784e475174596a45334d7930344f545533597a5577597a67304d7a41756347526d&amp;Fich=d0890133-9c96-414d-b173-8957c50c8430.pdf&amp;Inline=true</t>
        </is>
      </c>
      <c r="X2180" s="2" t="inlineStr">
        <is>
          <t>Orçamento, Finanças e Administração Pública; Trabalho, Segurança Social e Inclusão</t>
        </is>
      </c>
      <c r="Y2180" s="2" t="inlineStr">
        <is>
          <t>Articulado</t>
        </is>
      </c>
      <c r="Z2180" s="2" t="inlineStr">
        <is>
          <t>Aditamento (Artigo PPL)</t>
        </is>
      </c>
      <c r="AA2180" s="2" t="inlineStr">
        <is>
          <t>Rejeitado(a) em Comissão</t>
        </is>
      </c>
      <c r="AB2180" s="2" t="inlineStr"/>
      <c r="AC2180" s="2" t="inlineStr"/>
      <c r="AD2180" s="2" t="inlineStr">
        <is>
          <t>1</t>
        </is>
      </c>
      <c r="AE2180" s="2" t="inlineStr">
        <is>
          <t>25319</t>
        </is>
      </c>
      <c r="AF2180" s="2" t="inlineStr">
        <is>
          <t>https://www.parlamento.pt/OrcamentoEstado/Paginas/DetalhePropostaAlteracao.aspx?BID=25319</t>
        </is>
      </c>
      <c r="AG2180" s="2" t="inlineStr">
        <is>
          <t>https://app.parlamento.pt/webutils/docs/doc.pdf?path=6148523063484d364c793942556b356c6443397a6158526c63793959566b6c4a544556484c3039464c7a49774d6a59794d4449314d5441774f5339515153396b4d4467354d44457a4d793035597a6b324c5451784e475174596a45334d7930344f545533597a5577597a67304d7a41756347526d&amp;Fich=d0890133-9c96-414d-b173-8957c50c8430.pdf&amp;Inline=true</t>
        </is>
      </c>
      <c r="AH2180" s="3" t="n">
        <v>46321.77847222222</v>
      </c>
      <c r="AI2180" s="3" t="n">
        <v>46321.78055555555</v>
      </c>
      <c r="AJ2180" s="2" t="inlineStr"/>
    </row>
    <row r="2181">
      <c r="A2181" s="2" t="n">
        <v>2180</v>
      </c>
      <c r="B2181" s="2" t="inlineStr">
        <is>
          <t>2063C</t>
        </is>
      </c>
      <c r="C2181" s="3" t="n">
        <v>45968.82638888889</v>
      </c>
      <c r="D2181" s="2" t="inlineStr">
        <is>
          <t>Original</t>
        </is>
      </c>
      <c r="E2181" s="2" t="inlineStr">
        <is>
          <t>L</t>
        </is>
      </c>
      <c r="F2181" s="2" t="inlineStr">
        <is>
          <t>Filipa Pinto; Isabel Mendes Lopes; Jorge Pinto; Patrícia Gonçalves; Paulo Muacho; Rui Tavares</t>
        </is>
      </c>
      <c r="G2181" s="2" t="inlineStr">
        <is>
          <t>Art. 77.º (aditamento)</t>
        </is>
      </c>
      <c r="H2181" s="2" t="n"/>
      <c r="I2181" s="2" t="n"/>
      <c r="J2181" s="2" t="n"/>
      <c r="K2181" s="2" t="n"/>
      <c r="L2181" s="2" t="inlineStr">
        <is>
          <t>N.º 2, Artigo 77.º</t>
        </is>
      </c>
      <c r="M2181" s="4" t="n"/>
      <c r="N2181" s="4" t="n"/>
      <c r="O2181" s="2" t="n"/>
      <c r="P2181" s="2" t="n"/>
      <c r="Q2181" s="2" t="n"/>
      <c r="R2181" s="2" t="n"/>
      <c r="S2181" s="2" t="inlineStr">
        <is>
          <t>Rejeitado(a) em Comissão</t>
        </is>
      </c>
      <c r="T2181" s="2" t="inlineStr">
        <is>
          <t>Rejeitada</t>
        </is>
      </c>
      <c r="U2181" s="2" t="inlineStr">
        <is>
          <t>Favor: L, PCP, BE, PAN; Contra: PSD, CH, IL, CDS-PP; Abstenção: PS</t>
        </is>
      </c>
      <c r="V2181" s="3" t="n">
        <v>45982</v>
      </c>
      <c r="W2181" s="2" t="inlineStr">
        <is>
          <t>AR: https://www.parlamento.pt/OrcamentoEstado/Paginas/DetalhePropostaAlteracao.aspx?BID=25320 PDF: https://app.parlamento.pt/webutils/docs/doc.pdf?path=6148523063484d364c793942556b356c6443397a6158526c63793959566b6c4a544556484c3039464c7a49774d6a59794d4449314d5441774f533951515338334f4463324e4745334e6930784e3245784c5451345a4759744f57526d4d79316a593245314d5455775a5755794e5759756347526d&amp;Fich=78764a76-17a1-48df-9df3-cca5150ee25f.pdf&amp;Inline=true</t>
        </is>
      </c>
      <c r="X2181" s="2" t="inlineStr">
        <is>
          <t>Orçamento, Finanças e Administração Pública</t>
        </is>
      </c>
      <c r="Y2181" s="2" t="inlineStr">
        <is>
          <t>Articulado</t>
        </is>
      </c>
      <c r="Z2181" s="2" t="inlineStr">
        <is>
          <t>Aditamento (Números e Alíneas)</t>
        </is>
      </c>
      <c r="AA2181" s="2" t="inlineStr">
        <is>
          <t>Rejeitado(a) em Comissão</t>
        </is>
      </c>
      <c r="AB2181" s="2" t="inlineStr"/>
      <c r="AC2181" s="2" t="inlineStr"/>
      <c r="AD2181" s="2" t="inlineStr">
        <is>
          <t>1</t>
        </is>
      </c>
      <c r="AE2181" s="2" t="inlineStr">
        <is>
          <t>25320</t>
        </is>
      </c>
      <c r="AF2181" s="2" t="inlineStr">
        <is>
          <t>https://www.parlamento.pt/OrcamentoEstado/Paginas/DetalhePropostaAlteracao.aspx?BID=25320</t>
        </is>
      </c>
      <c r="AG2181" s="2" t="inlineStr">
        <is>
          <t>https://app.parlamento.pt/webutils/docs/doc.pdf?path=6148523063484d364c793942556b356c6443397a6158526c63793959566b6c4a544556484c3039464c7a49774d6a59794d4449314d5441774f533951515338334f4463324e4745334e6930784e3245784c5451345a4759744f57526d4d79316a593245314d5455775a5755794e5759756347526d&amp;Fich=78764a76-17a1-48df-9df3-cca5150ee25f.pdf&amp;Inline=true</t>
        </is>
      </c>
      <c r="AH2181" s="3" t="n">
        <v>46321.77847222222</v>
      </c>
      <c r="AI2181" s="3" t="n">
        <v>46321.78055555555</v>
      </c>
      <c r="AJ2181" s="2" t="inlineStr"/>
    </row>
    <row r="2182">
      <c r="A2182" s="2" t="n">
        <v>2181</v>
      </c>
      <c r="B2182" s="2" t="inlineStr">
        <is>
          <t>2064C</t>
        </is>
      </c>
      <c r="C2182" s="3" t="n">
        <v>45968.82638888889</v>
      </c>
      <c r="D2182" s="2" t="inlineStr">
        <is>
          <t>Original</t>
        </is>
      </c>
      <c r="E2182" s="2" t="inlineStr">
        <is>
          <t>L</t>
        </is>
      </c>
      <c r="F2182" s="2" t="inlineStr">
        <is>
          <t>Filipa Pinto; Isabel Mendes Lopes; Jorge Pinto; Patrícia Gonçalves; Paulo Muacho; Rui Tavares</t>
        </is>
      </c>
      <c r="G2182" s="2" t="inlineStr">
        <is>
          <t>Art. 77.º (aditamento)</t>
        </is>
      </c>
      <c r="H2182" s="2" t="n"/>
      <c r="I2182" s="2" t="n"/>
      <c r="J2182" s="2" t="n"/>
      <c r="K2182" s="2" t="n"/>
      <c r="L2182" s="2" t="inlineStr">
        <is>
          <t>N.º 2, Artigo 77.º</t>
        </is>
      </c>
      <c r="M2182" s="4" t="n"/>
      <c r="N2182" s="4" t="n"/>
      <c r="O2182" s="2" t="n"/>
      <c r="P2182" s="2" t="n"/>
      <c r="Q2182" s="2" t="n"/>
      <c r="R2182" s="2" t="n"/>
      <c r="S2182" s="2" t="inlineStr">
        <is>
          <t>Rejeitado(a) em Comissão</t>
        </is>
      </c>
      <c r="T2182" s="2" t="inlineStr">
        <is>
          <t>Rejeitada</t>
        </is>
      </c>
      <c r="U2182" s="2" t="inlineStr">
        <is>
          <t>Favor: L, PAN; Contra: PSD, PS, PCP, CDS-PP, BE; Abstenção: CH, IL</t>
        </is>
      </c>
      <c r="V2182" s="3" t="n">
        <v>45982</v>
      </c>
      <c r="W2182" s="2" t="inlineStr">
        <is>
          <t>AR: https://www.parlamento.pt/OrcamentoEstado/Paginas/DetalhePropostaAlteracao.aspx?BID=25321 PDF: https://app.parlamento.pt/webutils/docs/doc.pdf?path=6148523063484d364c793942556b356c6443397a6158526c63793959566b6c4a544556484c3039464c7a49774d6a59794d4449314d5441774f533951515338355a5759354f5459794d5331684f475a6b4c545131596d45744f57566b4d5330345a544d784d325a6c4d6a6b7a4e4449756347526d&amp;Fich=9ef99621-a8fd-45ba-9ed1-8e313fe29342.pdf&amp;Inline=true</t>
        </is>
      </c>
      <c r="X2182" s="2" t="inlineStr">
        <is>
          <t>Ambiente e Energia</t>
        </is>
      </c>
      <c r="Y2182" s="2" t="inlineStr">
        <is>
          <t>Articulado</t>
        </is>
      </c>
      <c r="Z2182" s="2" t="inlineStr">
        <is>
          <t>Aditamento (Números e Alíneas)</t>
        </is>
      </c>
      <c r="AA2182" s="2" t="inlineStr">
        <is>
          <t>Rejeitado(a) em Comissão</t>
        </is>
      </c>
      <c r="AB2182" s="2" t="inlineStr"/>
      <c r="AC2182" s="2" t="inlineStr"/>
      <c r="AD2182" s="2" t="inlineStr">
        <is>
          <t>1</t>
        </is>
      </c>
      <c r="AE2182" s="2" t="inlineStr">
        <is>
          <t>25321</t>
        </is>
      </c>
      <c r="AF2182" s="2" t="inlineStr">
        <is>
          <t>https://www.parlamento.pt/OrcamentoEstado/Paginas/DetalhePropostaAlteracao.aspx?BID=25321</t>
        </is>
      </c>
      <c r="AG2182" s="2" t="inlineStr">
        <is>
          <t>https://app.parlamento.pt/webutils/docs/doc.pdf?path=6148523063484d364c793942556b356c6443397a6158526c63793959566b6c4a544556484c3039464c7a49774d6a59794d4449314d5441774f533951515338355a5759354f5459794d5331684f475a6b4c545131596d45744f57566b4d5330345a544d784d325a6c4d6a6b7a4e4449756347526d&amp;Fich=9ef99621-a8fd-45ba-9ed1-8e313fe29342.pdf&amp;Inline=true</t>
        </is>
      </c>
      <c r="AH2182" s="3" t="n">
        <v>46321.77847222222</v>
      </c>
      <c r="AI2182" s="3" t="n">
        <v>46321.78055555555</v>
      </c>
      <c r="AJ2182" s="2" t="inlineStr"/>
    </row>
    <row r="2183">
      <c r="A2183" s="2" t="n">
        <v>2182</v>
      </c>
      <c r="B2183" s="2" t="inlineStr">
        <is>
          <t>2065C</t>
        </is>
      </c>
      <c r="C2183" s="3" t="n">
        <v>45968.82777777778</v>
      </c>
      <c r="D2183" s="2" t="inlineStr">
        <is>
          <t>Original</t>
        </is>
      </c>
      <c r="E2183" s="2" t="inlineStr">
        <is>
          <t>L</t>
        </is>
      </c>
      <c r="F2183" s="2" t="inlineStr">
        <is>
          <t>Filipa Pinto; Isabel Mendes Lopes; Jorge Pinto; Patrícia Gonçalves; Paulo Muacho; Rui Tavares</t>
        </is>
      </c>
      <c r="G2183" s="2" t="inlineStr">
        <is>
          <t>Art. 136.º-A (aditamento)</t>
        </is>
      </c>
      <c r="H2183" s="2" t="n"/>
      <c r="I2183" s="2" t="n"/>
      <c r="J2183" s="2" t="n"/>
      <c r="K2183" s="2" t="n"/>
      <c r="L2183" s="2" t="inlineStr">
        <is>
          <t>Artigo 136.º-A (Tramitação eletrónica de processos na AIMA)</t>
        </is>
      </c>
      <c r="M2183" s="4" t="n"/>
      <c r="N2183" s="4" t="n"/>
      <c r="O2183" s="2" t="n"/>
      <c r="P2183" s="2" t="n"/>
      <c r="Q2183" s="2" t="n"/>
      <c r="R2183" s="2" t="n"/>
      <c r="S2183" s="2" t="inlineStr">
        <is>
          <t>Rejeitado(a) em Comissão</t>
        </is>
      </c>
      <c r="T2183" s="2" t="inlineStr">
        <is>
          <t>Rejeitada</t>
        </is>
      </c>
      <c r="U2183" s="2" t="inlineStr">
        <is>
          <t>Favor: L, PCP, BE, PAN; Contra: PSD, CH, CDS-PP; Abstenção: PS, IL</t>
        </is>
      </c>
      <c r="V2183" s="3" t="n">
        <v>45987</v>
      </c>
      <c r="W2183" s="2" t="inlineStr">
        <is>
          <t>AR: https://www.parlamento.pt/OrcamentoEstado/Paginas/DetalhePropostaAlteracao.aspx?BID=25322 PDF: https://app.parlamento.pt/webutils/docs/doc.pdf?path=6148523063484d364c793942556b356c6443397a6158526c63793959566b6c4a544556484c3039464c7a49774d6a59794d4449314d5441774f5339515153396d4f5467354e5456684d6930354f4751314c54526d59574574596a566c4e4330314e7a63314d6a55795a5756694e7a55756347526d&amp;Fich=f98955a2-98d5-4faa-b5e4-5775252eeb75.pdf&amp;Inline=true</t>
        </is>
      </c>
      <c r="X2183" s="2" t="inlineStr">
        <is>
          <t>Assuntos Constitucionais, Direitos, Liberdades e Garantias</t>
        </is>
      </c>
      <c r="Y2183" s="2" t="inlineStr">
        <is>
          <t>Articulado</t>
        </is>
      </c>
      <c r="Z2183" s="2" t="inlineStr">
        <is>
          <t>Aditamento (Artigo PPL)</t>
        </is>
      </c>
      <c r="AA2183" s="2" t="inlineStr">
        <is>
          <t>Rejeitado(a) em Comissão</t>
        </is>
      </c>
      <c r="AB2183" s="2" t="inlineStr"/>
      <c r="AC2183" s="2" t="inlineStr"/>
      <c r="AD2183" s="2" t="inlineStr">
        <is>
          <t>1</t>
        </is>
      </c>
      <c r="AE2183" s="2" t="inlineStr">
        <is>
          <t>25322</t>
        </is>
      </c>
      <c r="AF2183" s="2" t="inlineStr">
        <is>
          <t>https://www.parlamento.pt/OrcamentoEstado/Paginas/DetalhePropostaAlteracao.aspx?BID=25322</t>
        </is>
      </c>
      <c r="AG2183" s="2" t="inlineStr">
        <is>
          <t>https://app.parlamento.pt/webutils/docs/doc.pdf?path=6148523063484d364c793942556b356c6443397a6158526c63793959566b6c4a544556484c3039464c7a49774d6a59794d4449314d5441774f5339515153396d4f5467354e5456684d6930354f4751314c54526d59574574596a566c4e4330314e7a63314d6a55795a5756694e7a55756347526d&amp;Fich=f98955a2-98d5-4faa-b5e4-5775252eeb75.pdf&amp;Inline=true</t>
        </is>
      </c>
      <c r="AH2183" s="3" t="n">
        <v>46321.77847222222</v>
      </c>
      <c r="AI2183" s="3" t="n">
        <v>46321.78055555555</v>
      </c>
      <c r="AJ2183" s="2" t="inlineStr"/>
    </row>
    <row r="2184">
      <c r="A2184" s="2" t="n">
        <v>2183</v>
      </c>
      <c r="B2184" s="2" t="inlineStr">
        <is>
          <t>2066C</t>
        </is>
      </c>
      <c r="C2184" s="3" t="n">
        <v>45968.82777777778</v>
      </c>
      <c r="D2184" s="2" t="inlineStr">
        <is>
          <t>Original</t>
        </is>
      </c>
      <c r="E2184" s="2" t="inlineStr">
        <is>
          <t>L</t>
        </is>
      </c>
      <c r="F2184" s="2" t="inlineStr">
        <is>
          <t>Filipa Pinto; Isabel Mendes Lopes; Jorge Pinto; Patrícia Gonçalves; Paulo Muacho; Rui Tavares</t>
        </is>
      </c>
      <c r="G2184" s="2" t="inlineStr">
        <is>
          <t>Art. 38.º-A (aditamento)</t>
        </is>
      </c>
      <c r="H2184" s="2" t="n"/>
      <c r="I2184" s="2" t="n"/>
      <c r="J2184" s="2" t="n"/>
      <c r="K2184" s="2" t="n"/>
      <c r="L2184" s="2" t="inlineStr">
        <is>
          <t>Artigo 38.º-A (Aumento do valor mínimo das pensões de Antigos Combatentes)</t>
        </is>
      </c>
      <c r="M2184" s="4" t="n"/>
      <c r="N2184" s="4" t="n"/>
      <c r="O2184" s="2" t="n"/>
      <c r="P2184" s="2" t="n"/>
      <c r="Q2184" s="2" t="n"/>
      <c r="R2184" s="2" t="n"/>
      <c r="S2184" s="2" t="inlineStr">
        <is>
          <t>Rejeitado(a) em Comissão</t>
        </is>
      </c>
      <c r="T2184" s="2" t="inlineStr">
        <is>
          <t>Rejeitada</t>
        </is>
      </c>
      <c r="U2184" s="2" t="inlineStr">
        <is>
          <t>Favor: CH, L, PCP, BE, PAN; Contra: PSD, CDS-PP; Abstenção: PS, IL</t>
        </is>
      </c>
      <c r="V2184" s="3" t="n">
        <v>45981</v>
      </c>
      <c r="W2184" s="2" t="inlineStr">
        <is>
          <t>AR: https://www.parlamento.pt/OrcamentoEstado/Paginas/DetalhePropostaAlteracao.aspx?BID=25323 PDF: https://app.parlamento.pt/webutils/docs/doc.pdf?path=6148523063484d364c793942556b356c6443397a6158526c63793959566b6c4a544556484c3039464c7a49774d6a59794d4449314d5441774f533951515338314d44646d5a446c6c4d4331684d4751774c54526d59574974596a59344f5330774f4463354f47466a4d47466c4f4749756347526d&amp;Fich=507fd9e0-a0d0-4fab-b689-08798ac0ae8b.pdf&amp;Inline=true</t>
        </is>
      </c>
      <c r="X2184" s="2" t="inlineStr">
        <is>
          <t>Trabalho, Segurança Social e Inclusão</t>
        </is>
      </c>
      <c r="Y2184" s="2" t="inlineStr">
        <is>
          <t>Articulado</t>
        </is>
      </c>
      <c r="Z2184" s="2" t="inlineStr">
        <is>
          <t>Aditamento (Artigo PPL)</t>
        </is>
      </c>
      <c r="AA2184" s="2" t="inlineStr">
        <is>
          <t>Rejeitado(a) em Comissão</t>
        </is>
      </c>
      <c r="AB2184" s="2" t="inlineStr"/>
      <c r="AC2184" s="2" t="inlineStr"/>
      <c r="AD2184" s="2" t="inlineStr">
        <is>
          <t>1</t>
        </is>
      </c>
      <c r="AE2184" s="2" t="inlineStr">
        <is>
          <t>25323</t>
        </is>
      </c>
      <c r="AF2184" s="2" t="inlineStr">
        <is>
          <t>https://www.parlamento.pt/OrcamentoEstado/Paginas/DetalhePropostaAlteracao.aspx?BID=25323</t>
        </is>
      </c>
      <c r="AG2184" s="2" t="inlineStr">
        <is>
          <t>https://app.parlamento.pt/webutils/docs/doc.pdf?path=6148523063484d364c793942556b356c6443397a6158526c63793959566b6c4a544556484c3039464c7a49774d6a59794d4449314d5441774f533951515338314d44646d5a446c6c4d4331684d4751774c54526d59574974596a59344f5330774f4463354f47466a4d47466c4f4749756347526d&amp;Fich=507fd9e0-a0d0-4fab-b689-08798ac0ae8b.pdf&amp;Inline=true</t>
        </is>
      </c>
      <c r="AH2184" s="3" t="n">
        <v>46321.77847222222</v>
      </c>
      <c r="AI2184" s="3" t="n">
        <v>46321.78055555555</v>
      </c>
      <c r="AJ2184" s="2" t="inlineStr"/>
    </row>
    <row r="2185">
      <c r="A2185" s="2" t="n">
        <v>2184</v>
      </c>
      <c r="B2185" s="2" t="inlineStr">
        <is>
          <t>2067C</t>
        </is>
      </c>
      <c r="C2185" s="3" t="n">
        <v>45968.82916666667</v>
      </c>
      <c r="D2185" s="2" t="inlineStr">
        <is>
          <t>Original</t>
        </is>
      </c>
      <c r="E2185" s="2" t="inlineStr">
        <is>
          <t>L</t>
        </is>
      </c>
      <c r="F2185" s="2" t="inlineStr">
        <is>
          <t>Filipa Pinto; Isabel Mendes Lopes; Jorge Pinto; Patrícia Gonçalves; Paulo Muacho; Rui Tavares</t>
        </is>
      </c>
      <c r="G2185" s="2" t="inlineStr">
        <is>
          <t>Art. 19.º-A (aditamento)</t>
        </is>
      </c>
      <c r="H2185" s="2" t="n"/>
      <c r="I2185" s="2" t="n"/>
      <c r="J2185" s="2" t="n"/>
      <c r="K2185" s="2" t="n"/>
      <c r="L2185" s="2" t="inlineStr">
        <is>
          <t>Artigo 19.º-A (Reforço na divulgação de dados estatísticos)</t>
        </is>
      </c>
      <c r="M2185" s="4" t="n"/>
      <c r="N2185" s="4" t="n"/>
      <c r="O2185" s="2" t="n"/>
      <c r="P2185" s="2" t="n"/>
      <c r="Q2185" s="2" t="n"/>
      <c r="R2185" s="2" t="n"/>
      <c r="S2185" s="2" t="inlineStr">
        <is>
          <t>Rejeitado(a) em Comissão</t>
        </is>
      </c>
      <c r="T2185" s="2" t="inlineStr">
        <is>
          <t>Rejeitada</t>
        </is>
      </c>
      <c r="U2185" s="2" t="inlineStr">
        <is>
          <t>Favor: L, PCP, BE, PAN; Contra: PSD, CDS-PP; Abstenção: CH, PS, IL</t>
        </is>
      </c>
      <c r="V2185" s="3" t="n">
        <v>45981</v>
      </c>
      <c r="W2185" s="2" t="inlineStr">
        <is>
          <t>AR: https://www.parlamento.pt/OrcamentoEstado/Paginas/DetalhePropostaAlteracao.aspx?BID=25324 PDF: https://app.parlamento.pt/webutils/docs/doc.pdf?path=6148523063484d364c793942556b356c6443397a6158526c63793959566b6c4a544556484c3039464c7a49774d6a59794d4449314d5441774f5339515153396b4f4441334e4459305a4330344d6a5a6a4c5451344f57597459574d345a6930345a545a6b596a466a4e7a45334f5455756347526d&amp;Fich=d807464d-826c-489f-ac8f-8e6db1c71795.pdf&amp;Inline=true</t>
        </is>
      </c>
      <c r="X2185" s="2" t="inlineStr">
        <is>
          <t>Assuntos Constitucionais, Direitos, Liberdades e Garantias; Orçamento, Finanças e Administração Pública</t>
        </is>
      </c>
      <c r="Y2185" s="2" t="inlineStr">
        <is>
          <t>Articulado</t>
        </is>
      </c>
      <c r="Z2185" s="2" t="inlineStr">
        <is>
          <t>Aditamento (Artigo PPL)</t>
        </is>
      </c>
      <c r="AA2185" s="2" t="inlineStr">
        <is>
          <t>Rejeitado(a) em Comissão</t>
        </is>
      </c>
      <c r="AB2185" s="2" t="inlineStr"/>
      <c r="AC2185" s="2" t="inlineStr"/>
      <c r="AD2185" s="2" t="inlineStr">
        <is>
          <t>1</t>
        </is>
      </c>
      <c r="AE2185" s="2" t="inlineStr">
        <is>
          <t>25324</t>
        </is>
      </c>
      <c r="AF2185" s="2" t="inlineStr">
        <is>
          <t>https://www.parlamento.pt/OrcamentoEstado/Paginas/DetalhePropostaAlteracao.aspx?BID=25324</t>
        </is>
      </c>
      <c r="AG2185" s="2" t="inlineStr">
        <is>
          <t>https://app.parlamento.pt/webutils/docs/doc.pdf?path=6148523063484d364c793942556b356c6443397a6158526c63793959566b6c4a544556484c3039464c7a49774d6a59794d4449314d5441774f5339515153396b4f4441334e4459305a4330344d6a5a6a4c5451344f57597459574d345a6930345a545a6b596a466a4e7a45334f5455756347526d&amp;Fich=d807464d-826c-489f-ac8f-8e6db1c71795.pdf&amp;Inline=true</t>
        </is>
      </c>
      <c r="AH2185" s="3" t="n">
        <v>46321.77847222222</v>
      </c>
      <c r="AI2185" s="3" t="n">
        <v>46321.78055555555</v>
      </c>
      <c r="AJ2185" s="2" t="inlineStr"/>
    </row>
    <row r="2186">
      <c r="A2186" s="2" t="n">
        <v>2185</v>
      </c>
      <c r="B2186" s="2" t="inlineStr">
        <is>
          <t>2068C</t>
        </is>
      </c>
      <c r="C2186" s="3" t="n">
        <v>45968.82986111111</v>
      </c>
      <c r="D2186" s="2" t="inlineStr">
        <is>
          <t>Original</t>
        </is>
      </c>
      <c r="E2186" s="2" t="inlineStr">
        <is>
          <t>L</t>
        </is>
      </c>
      <c r="F2186" s="2" t="inlineStr">
        <is>
          <t>Filipa Pinto; Isabel Mendes Lopes; Jorge Pinto; Patrícia Gonçalves; Paulo Muacho; Rui Tavares</t>
        </is>
      </c>
      <c r="G2186" s="2" t="inlineStr">
        <is>
          <t>Art. 112.º-A (aditamento)</t>
        </is>
      </c>
      <c r="H2186" s="2" t="n"/>
      <c r="I2186" s="2" t="n"/>
      <c r="J2186" s="2" t="n"/>
      <c r="K2186" s="2" t="n"/>
      <c r="L2186" s="2" t="inlineStr">
        <is>
          <t>Artigo 112.º-A (Sistema de Atribuição de Produtos de Apoio)</t>
        </is>
      </c>
      <c r="M2186" s="4" t="n"/>
      <c r="N2186" s="4" t="n"/>
      <c r="O2186" s="2" t="n"/>
      <c r="P2186" s="2" t="n"/>
      <c r="Q2186" s="2" t="n"/>
      <c r="R2186" s="2" t="n"/>
      <c r="S2186" s="2" t="inlineStr">
        <is>
          <t>Rejeitado(a) em Comissão</t>
        </is>
      </c>
      <c r="T2186" s="2" t="inlineStr">
        <is>
          <t>Rejeitada</t>
        </is>
      </c>
      <c r="U2186" s="2" t="inlineStr">
        <is>
          <t>Favor: L, PCP, BE, PAN; Contra: PSD, CDS-PP; Abstenção: CH, PS, IL</t>
        </is>
      </c>
      <c r="V2186" s="3" t="n">
        <v>45982</v>
      </c>
      <c r="W2186" s="2" t="inlineStr">
        <is>
          <t>AR: https://www.parlamento.pt/OrcamentoEstado/Paginas/DetalhePropostaAlteracao.aspx?BID=25325 PDF: https://app.parlamento.pt/webutils/docs/doc.pdf?path=6148523063484d364c793942556b356c6443397a6158526c63793959566b6c4a544556484c3039464c7a49774d6a59794d4449314d5441774f5339515153396c59575931597a64684d7930354e6d526b4c5452685a6d457459574d305a43316b4d3249795a6a4133596a686a4f4759756347526d&amp;Fich=eaf5c7a3-96dd-4afa-ac4d-d3b2f07b8c8f.pdf&amp;Inline=true</t>
        </is>
      </c>
      <c r="X2186" s="2" t="inlineStr">
        <is>
          <t>Trabalho, Segurança Social e Inclusão</t>
        </is>
      </c>
      <c r="Y2186" s="2" t="inlineStr">
        <is>
          <t>Articulado</t>
        </is>
      </c>
      <c r="Z2186" s="2" t="inlineStr">
        <is>
          <t>Aditamento (Artigo PPL)</t>
        </is>
      </c>
      <c r="AA2186" s="2" t="inlineStr">
        <is>
          <t>Rejeitado(a) em Comissão</t>
        </is>
      </c>
      <c r="AB2186" s="2" t="inlineStr"/>
      <c r="AC2186" s="2" t="inlineStr"/>
      <c r="AD2186" s="2" t="inlineStr">
        <is>
          <t>1</t>
        </is>
      </c>
      <c r="AE2186" s="2" t="inlineStr">
        <is>
          <t>25325</t>
        </is>
      </c>
      <c r="AF2186" s="2" t="inlineStr">
        <is>
          <t>https://www.parlamento.pt/OrcamentoEstado/Paginas/DetalhePropostaAlteracao.aspx?BID=25325</t>
        </is>
      </c>
      <c r="AG2186" s="2" t="inlineStr">
        <is>
          <t>https://app.parlamento.pt/webutils/docs/doc.pdf?path=6148523063484d364c793942556b356c6443397a6158526c63793959566b6c4a544556484c3039464c7a49774d6a59794d4449314d5441774f5339515153396c59575931597a64684d7930354e6d526b4c5452685a6d457459574d305a43316b4d3249795a6a4133596a686a4f4759756347526d&amp;Fich=eaf5c7a3-96dd-4afa-ac4d-d3b2f07b8c8f.pdf&amp;Inline=true</t>
        </is>
      </c>
      <c r="AH2186" s="3" t="n">
        <v>46321.77847222222</v>
      </c>
      <c r="AI2186" s="3" t="n">
        <v>46321.78055555555</v>
      </c>
      <c r="AJ2186" s="2" t="inlineStr"/>
    </row>
    <row r="2187">
      <c r="A2187" s="2" t="n">
        <v>2186</v>
      </c>
      <c r="B2187" s="2" t="inlineStr">
        <is>
          <t>2069C</t>
        </is>
      </c>
      <c r="C2187" s="3" t="n">
        <v>45968.82986111111</v>
      </c>
      <c r="D2187" s="2" t="inlineStr">
        <is>
          <t>Original</t>
        </is>
      </c>
      <c r="E2187" s="2" t="inlineStr">
        <is>
          <t>L</t>
        </is>
      </c>
      <c r="F2187" s="2" t="inlineStr">
        <is>
          <t>Filipa Pinto; Isabel Mendes Lopes; Jorge Pinto; Patrícia Gonçalves; Paulo Muacho; Rui Tavares</t>
        </is>
      </c>
      <c r="G2187" s="2" t="inlineStr">
        <is>
          <t>Art. 7.º (aditamento)</t>
        </is>
      </c>
      <c r="H2187" s="2" t="n"/>
      <c r="I2187" s="2" t="n"/>
      <c r="J2187" s="2" t="n"/>
      <c r="K2187" s="2" t="n"/>
      <c r="L2187" s="2" t="inlineStr">
        <is>
          <t>Nova Verba 66, Mapa de alterações e transferências orçamentais, Artigo 7.º</t>
        </is>
      </c>
      <c r="M2187" s="4" t="n"/>
      <c r="N2187" s="4" t="n"/>
      <c r="O2187" s="2" t="n"/>
      <c r="P2187" s="2" t="n"/>
      <c r="Q2187" s="2" t="n"/>
      <c r="R2187" s="2" t="n"/>
      <c r="S2187" s="2" t="inlineStr">
        <is>
          <t>Rejeitado(a) em Comissão</t>
        </is>
      </c>
      <c r="T2187" s="2" t="inlineStr">
        <is>
          <t>Rejeitada</t>
        </is>
      </c>
      <c r="U2187" s="2" t="inlineStr">
        <is>
          <t>Favor: CH, IL, L, PCP, BE, PAN; Contra: PSD, CDS-PP; Abstenção: PS</t>
        </is>
      </c>
      <c r="V2187" s="3" t="n">
        <v>45987</v>
      </c>
      <c r="W2187" s="2" t="inlineStr">
        <is>
          <t>AR: https://www.parlamento.pt/OrcamentoEstado/Paginas/DetalhePropostaAlteracao.aspx?BID=25326 PDF: https://app.parlamento.pt/webutils/docs/doc.pdf?path=6148523063484d364c793942556b356c6443397a6158526c63793959566b6c4a544556484c3039464c7a49774d6a59794d4449314d5441774f5339515153396b4d474e685954417a5a5330314e7a63314c5451794d3259744f4749314e79307a596a457959574d7a5a574a694d6a4d756347526d&amp;Fich=d0caa03e-5775-423f-8b57-3b12ac3ebb23.pdf&amp;Inline=true</t>
        </is>
      </c>
      <c r="X2187" s="2" t="inlineStr">
        <is>
          <t>Cultura, Comunicação, Juventude e Desporto</t>
        </is>
      </c>
      <c r="Y2187" s="2" t="inlineStr">
        <is>
          <t>Mapas</t>
        </is>
      </c>
      <c r="Z2187" s="2" t="inlineStr">
        <is>
          <t>Aditamento (Números e Alíneas)</t>
        </is>
      </c>
      <c r="AA2187" s="2" t="inlineStr">
        <is>
          <t>Rejeitado(a) em Comissão</t>
        </is>
      </c>
      <c r="AB2187" s="2" t="inlineStr"/>
      <c r="AC2187" s="2" t="inlineStr"/>
      <c r="AD2187" s="2" t="inlineStr">
        <is>
          <t>1</t>
        </is>
      </c>
      <c r="AE2187" s="2" t="inlineStr">
        <is>
          <t>25326</t>
        </is>
      </c>
      <c r="AF2187" s="2" t="inlineStr">
        <is>
          <t>https://www.parlamento.pt/OrcamentoEstado/Paginas/DetalhePropostaAlteracao.aspx?BID=25326</t>
        </is>
      </c>
      <c r="AG2187" s="2" t="inlineStr">
        <is>
          <t>https://app.parlamento.pt/webutils/docs/doc.pdf?path=6148523063484d364c793942556b356c6443397a6158526c63793959566b6c4a544556484c3039464c7a49774d6a59794d4449314d5441774f5339515153396b4d474e685954417a5a5330314e7a63314c5451794d3259744f4749314e79307a596a457959574d7a5a574a694d6a4d756347526d&amp;Fich=d0caa03e-5775-423f-8b57-3b12ac3ebb23.pdf&amp;Inline=true</t>
        </is>
      </c>
      <c r="AH2187" s="3" t="n">
        <v>46321.77847222222</v>
      </c>
      <c r="AI2187" s="3" t="n">
        <v>46321.78055555555</v>
      </c>
      <c r="AJ2187" s="2" t="inlineStr"/>
    </row>
    <row r="2188">
      <c r="A2188" s="2" t="n">
        <v>2187</v>
      </c>
      <c r="B2188" s="2" t="inlineStr">
        <is>
          <t>2070C</t>
        </is>
      </c>
      <c r="C2188" s="3" t="n">
        <v>45968.83125</v>
      </c>
      <c r="D2188" s="2" t="inlineStr">
        <is>
          <t>Original</t>
        </is>
      </c>
      <c r="E2188" s="2" t="inlineStr">
        <is>
          <t>L</t>
        </is>
      </c>
      <c r="F2188" s="2" t="inlineStr">
        <is>
          <t>Filipa Pinto; Isabel Mendes Lopes; Jorge Pinto; Patrícia Gonçalves; Paulo Muacho; Rui Tavares</t>
        </is>
      </c>
      <c r="G2188" s="2" t="inlineStr">
        <is>
          <t>Art. 46.º-A (aditamento)</t>
        </is>
      </c>
      <c r="H2188" s="2" t="n"/>
      <c r="I2188" s="2" t="n"/>
      <c r="J2188" s="2" t="n"/>
      <c r="K2188" s="2" t="n"/>
      <c r="L2188" s="2" t="inlineStr">
        <is>
          <t>Artigo 46.º-A (Atualização do valor do Indexante dos Apoios Sociais)</t>
        </is>
      </c>
      <c r="M2188" s="4" t="n"/>
      <c r="N2188" s="4" t="n"/>
      <c r="O2188" s="2" t="n"/>
      <c r="P2188" s="2" t="n"/>
      <c r="Q2188" s="2" t="n"/>
      <c r="R2188" s="2" t="n"/>
      <c r="S2188" s="2" t="inlineStr">
        <is>
          <t>Rejeitado(a) em Comissão</t>
        </is>
      </c>
      <c r="T2188" s="2" t="inlineStr">
        <is>
          <t>Rejeitada</t>
        </is>
      </c>
      <c r="U2188" s="2" t="inlineStr">
        <is>
          <t>Favor: CH, L, PCP, BE, PAN; Contra: PSD, IL, CDS-PP; Abstenção: PS</t>
        </is>
      </c>
      <c r="V2188" s="3" t="n">
        <v>45981</v>
      </c>
      <c r="W2188" s="2" t="inlineStr">
        <is>
          <t>AR: https://www.parlamento.pt/OrcamentoEstado/Paginas/DetalhePropostaAlteracao.aspx?BID=25327 PDF: https://app.parlamento.pt/webutils/docs/doc.pdf?path=6148523063484d364c793942556b356c6443397a6158526c63793959566b6c4a544556484c3039464c7a49774d6a59794d4449314d5441774f5339515153387a597a646b59325a6a4e4331684e446b334c54526b4f544974596d59304d43316b4f574a6959544d775a474d784f4751756347526d&amp;Fich=3c7dcfc4-a497-4d92-bf40-d9bba30dc18d.pdf&amp;Inline=true</t>
        </is>
      </c>
      <c r="X2188" s="2" t="inlineStr">
        <is>
          <t>Orçamento, Finanças e Administração Pública; Trabalho, Segurança Social e Inclusão</t>
        </is>
      </c>
      <c r="Y2188" s="2" t="inlineStr">
        <is>
          <t>Articulado</t>
        </is>
      </c>
      <c r="Z2188" s="2" t="inlineStr">
        <is>
          <t>Aditamento (Artigo PPL)</t>
        </is>
      </c>
      <c r="AA2188" s="2" t="inlineStr">
        <is>
          <t>Rejeitado(a) em Comissão</t>
        </is>
      </c>
      <c r="AB2188" s="2" t="inlineStr"/>
      <c r="AC2188" s="2" t="inlineStr"/>
      <c r="AD2188" s="2" t="inlineStr">
        <is>
          <t>1</t>
        </is>
      </c>
      <c r="AE2188" s="2" t="inlineStr">
        <is>
          <t>25327</t>
        </is>
      </c>
      <c r="AF2188" s="2" t="inlineStr">
        <is>
          <t>https://www.parlamento.pt/OrcamentoEstado/Paginas/DetalhePropostaAlteracao.aspx?BID=25327</t>
        </is>
      </c>
      <c r="AG2188" s="2" t="inlineStr">
        <is>
          <t>https://app.parlamento.pt/webutils/docs/doc.pdf?path=6148523063484d364c793942556b356c6443397a6158526c63793959566b6c4a544556484c3039464c7a49774d6a59794d4449314d5441774f5339515153387a597a646b59325a6a4e4331684e446b334c54526b4f544974596d59304d43316b4f574a6959544d775a474d784f4751756347526d&amp;Fich=3c7dcfc4-a497-4d92-bf40-d9bba30dc18d.pdf&amp;Inline=true</t>
        </is>
      </c>
      <c r="AH2188" s="3" t="n">
        <v>46321.77847222222</v>
      </c>
      <c r="AI2188" s="3" t="n">
        <v>46321.78055555555</v>
      </c>
      <c r="AJ2188" s="2" t="inlineStr"/>
    </row>
    <row r="2189">
      <c r="A2189" s="2" t="n">
        <v>2188</v>
      </c>
      <c r="B2189" s="2" t="inlineStr">
        <is>
          <t>2071C</t>
        </is>
      </c>
      <c r="C2189" s="3" t="n">
        <v>45968.83125</v>
      </c>
      <c r="D2189" s="2" t="inlineStr">
        <is>
          <t>Original</t>
        </is>
      </c>
      <c r="E2189" s="2" t="inlineStr">
        <is>
          <t>L</t>
        </is>
      </c>
      <c r="F2189" s="2" t="inlineStr">
        <is>
          <t>Filipa Pinto; Isabel Mendes Lopes; Jorge Pinto; Patrícia Gonçalves; Paulo Muacho; Rui Tavares</t>
        </is>
      </c>
      <c r="G2189" s="2" t="inlineStr">
        <is>
          <t>Art. 112.º-A (aditamento)</t>
        </is>
      </c>
      <c r="H2189" s="2" t="n"/>
      <c r="I2189" s="2" t="n"/>
      <c r="J2189" s="2" t="n"/>
      <c r="K2189" s="2" t="n"/>
      <c r="L2189" s="2" t="inlineStr">
        <is>
          <t>Artigo 112.º-A (Contextualização da história e da cultura)</t>
        </is>
      </c>
      <c r="M2189" s="4" t="n"/>
      <c r="N2189" s="4" t="n"/>
      <c r="O2189" s="2" t="n"/>
      <c r="P2189" s="2" t="n"/>
      <c r="Q2189" s="2" t="n"/>
      <c r="R2189" s="2" t="n"/>
      <c r="S2189" s="2" t="inlineStr">
        <is>
          <t>Rejeitado(a) em Comissão</t>
        </is>
      </c>
      <c r="T2189" s="2" t="inlineStr">
        <is>
          <t>Rejeitada</t>
        </is>
      </c>
      <c r="U2189" s="2" t="inlineStr">
        <is>
          <t>Favor: PS, L, BE, PAN; Contra: PSD, CH, IL, CDS-PP; Abstenção: PCP</t>
        </is>
      </c>
      <c r="V2189" s="3" t="n">
        <v>45982</v>
      </c>
      <c r="W2189" s="2" t="inlineStr">
        <is>
          <t>AR: https://www.parlamento.pt/OrcamentoEstado/Paginas/DetalhePropostaAlteracao.aspx?BID=25328 PDF: https://app.parlamento.pt/webutils/docs/doc.pdf?path=6148523063484d364c793942556b356c6443397a6158526c63793959566b6c4a544556484c3039464c7a49774d6a59794d4449314d5441774f5339515153396c4e4759784e5749345a53316a5a4441314c54526b4f444574596a6c685979316b4d7a4932597a466b4e7a6b31595751756347526d&amp;Fich=e4f15b8e-cd05-4d81-b9ac-d326c1d795ad.pdf&amp;Inline=true</t>
        </is>
      </c>
      <c r="X2189" s="2" t="inlineStr">
        <is>
          <t>Cultura, Comunicação, Juventude e Desporto</t>
        </is>
      </c>
      <c r="Y2189" s="2" t="inlineStr">
        <is>
          <t>Articulado</t>
        </is>
      </c>
      <c r="Z2189" s="2" t="inlineStr">
        <is>
          <t>Aditamento (Artigo PPL)</t>
        </is>
      </c>
      <c r="AA2189" s="2" t="inlineStr">
        <is>
          <t>Rejeitado(a) em Comissão</t>
        </is>
      </c>
      <c r="AB2189" s="2" t="inlineStr"/>
      <c r="AC2189" s="2" t="inlineStr"/>
      <c r="AD2189" s="2" t="inlineStr">
        <is>
          <t>1</t>
        </is>
      </c>
      <c r="AE2189" s="2" t="inlineStr">
        <is>
          <t>25328</t>
        </is>
      </c>
      <c r="AF2189" s="2" t="inlineStr">
        <is>
          <t>https://www.parlamento.pt/OrcamentoEstado/Paginas/DetalhePropostaAlteracao.aspx?BID=25328</t>
        </is>
      </c>
      <c r="AG2189" s="2" t="inlineStr">
        <is>
          <t>https://app.parlamento.pt/webutils/docs/doc.pdf?path=6148523063484d364c793942556b356c6443397a6158526c63793959566b6c4a544556484c3039464c7a49774d6a59794d4449314d5441774f5339515153396c4e4759784e5749345a53316a5a4441314c54526b4f444574596a6c685979316b4d7a4932597a466b4e7a6b31595751756347526d&amp;Fich=e4f15b8e-cd05-4d81-b9ac-d326c1d795ad.pdf&amp;Inline=true</t>
        </is>
      </c>
      <c r="AH2189" s="3" t="n">
        <v>46321.77847222222</v>
      </c>
      <c r="AI2189" s="3" t="n">
        <v>46321.78055555555</v>
      </c>
      <c r="AJ2189" s="2" t="inlineStr"/>
    </row>
    <row r="2190">
      <c r="A2190" s="2" t="n">
        <v>2189</v>
      </c>
      <c r="B2190" s="2" t="inlineStr">
        <is>
          <t>2072C</t>
        </is>
      </c>
      <c r="C2190" s="3" t="n">
        <v>45968.83125</v>
      </c>
      <c r="D2190" s="2" t="inlineStr">
        <is>
          <t>Original</t>
        </is>
      </c>
      <c r="E2190" s="2" t="inlineStr">
        <is>
          <t>L</t>
        </is>
      </c>
      <c r="F2190" s="2" t="inlineStr">
        <is>
          <t>Filipa Pinto; Isabel Mendes Lopes; Jorge Pinto; Patrícia Gonçalves; Paulo Muacho; Rui Tavares</t>
        </is>
      </c>
      <c r="G2190" s="2" t="inlineStr">
        <is>
          <t>Art. 60.º (substituição)</t>
        </is>
      </c>
      <c r="H2190" s="2" t="n"/>
      <c r="I2190" s="2" t="n"/>
      <c r="J2190" s="2" t="n"/>
      <c r="K2190" s="2" t="n"/>
      <c r="L2190" s="2" t="inlineStr">
        <is>
          <t>N.º 1, N.º 2, Artigo 68.º-A do Código do IRS</t>
        </is>
      </c>
      <c r="M2190" s="4" t="n"/>
      <c r="N2190" s="4" t="n"/>
      <c r="O2190" s="2" t="n"/>
      <c r="P2190" s="2" t="n"/>
      <c r="Q2190" s="2" t="n"/>
      <c r="R2190" s="2" t="n"/>
      <c r="S2190" s="2" t="inlineStr">
        <is>
          <t>Rejeitado(a) em Comissão</t>
        </is>
      </c>
      <c r="T2190" s="2" t="inlineStr">
        <is>
          <t>Rejeitada</t>
        </is>
      </c>
      <c r="U2190" s="2" t="inlineStr">
        <is>
          <t>Favor: L, BE, PAN; Contra: PSD, CH, PS, IL, CDS-PP; Abstenção: PCP</t>
        </is>
      </c>
      <c r="V2190" s="3" t="n">
        <v>45981</v>
      </c>
      <c r="W2190" s="2" t="inlineStr">
        <is>
          <t>AR: https://www.parlamento.pt/OrcamentoEstado/Paginas/DetalhePropostaAlteracao.aspx?BID=25329 PDF: https://app.parlamento.pt/webutils/docs/doc.pdf?path=6148523063484d364c793942556b356c6443397a6158526c63793959566b6c4a544556484c3039464c7a49774d6a59794d4449314d5441774f533951515338345a574e6c4e44466a5a6930355a6a426b4c5451304d4459744f4464694e6930794e544179597a4d344e5449334d4749756347526d&amp;Fich=8ece41cf-9f0d-4406-87b6-2502c385270b.pdf&amp;Inline=true</t>
        </is>
      </c>
      <c r="X2190" s="2" t="inlineStr">
        <is>
          <t>Orçamento, Finanças e Administração Pública</t>
        </is>
      </c>
      <c r="Y2190" s="2" t="inlineStr">
        <is>
          <t>Articulado</t>
        </is>
      </c>
      <c r="Z2190" s="2" t="inlineStr">
        <is>
          <t>Substituição</t>
        </is>
      </c>
      <c r="AA2190" s="2" t="inlineStr">
        <is>
          <t>Rejeitado(a) em Comissão</t>
        </is>
      </c>
      <c r="AB2190" s="2" t="inlineStr"/>
      <c r="AC2190" s="2" t="inlineStr"/>
      <c r="AD2190" s="2" t="inlineStr">
        <is>
          <t>1</t>
        </is>
      </c>
      <c r="AE2190" s="2" t="inlineStr">
        <is>
          <t>25329</t>
        </is>
      </c>
      <c r="AF2190" s="2" t="inlineStr">
        <is>
          <t>https://www.parlamento.pt/OrcamentoEstado/Paginas/DetalhePropostaAlteracao.aspx?BID=25329</t>
        </is>
      </c>
      <c r="AG2190" s="2" t="inlineStr">
        <is>
          <t>https://app.parlamento.pt/webutils/docs/doc.pdf?path=6148523063484d364c793942556b356c6443397a6158526c63793959566b6c4a544556484c3039464c7a49774d6a59794d4449314d5441774f533951515338345a574e6c4e44466a5a6930355a6a426b4c5451304d4459744f4464694e6930794e544179597a4d344e5449334d4749756347526d&amp;Fich=8ece41cf-9f0d-4406-87b6-2502c385270b.pdf&amp;Inline=true</t>
        </is>
      </c>
      <c r="AH2190" s="3" t="n">
        <v>46321.77847222222</v>
      </c>
      <c r="AI2190" s="3" t="n">
        <v>46321.78055555555</v>
      </c>
      <c r="AJ2190" s="2" t="inlineStr"/>
    </row>
    <row r="2191">
      <c r="A2191" s="2" t="n">
        <v>2190</v>
      </c>
      <c r="B2191" s="2" t="inlineStr">
        <is>
          <t>2073C</t>
        </is>
      </c>
      <c r="C2191" s="3" t="n">
        <v>45968.83194444444</v>
      </c>
      <c r="D2191" s="2" t="inlineStr">
        <is>
          <t>Original</t>
        </is>
      </c>
      <c r="E2191" s="2" t="inlineStr">
        <is>
          <t>L</t>
        </is>
      </c>
      <c r="F2191" s="2" t="inlineStr">
        <is>
          <t>Filipa Pinto; Isabel Mendes Lopes; Jorge Pinto; Patrícia Gonçalves; Paulo Muacho; Rui Tavares</t>
        </is>
      </c>
      <c r="G2191" s="2" t="inlineStr">
        <is>
          <t>Art. 136.º-A (aditamento)</t>
        </is>
      </c>
      <c r="H2191" s="2" t="n"/>
      <c r="I2191" s="2" t="n"/>
      <c r="J2191" s="2" t="n"/>
      <c r="K2191" s="2" t="n"/>
      <c r="L2191" s="2" t="inlineStr">
        <is>
          <t>Artigo 136.º-A (Modelo de Apoio à Vida Independente)</t>
        </is>
      </c>
      <c r="M2191" s="4" t="n"/>
      <c r="N2191" s="4" t="n"/>
      <c r="O2191" s="2" t="n"/>
      <c r="P2191" s="2" t="n"/>
      <c r="Q2191" s="2" t="n"/>
      <c r="R2191" s="2" t="n"/>
      <c r="S2191" s="2" t="inlineStr">
        <is>
          <t>Aprovado(a) em Comissão</t>
        </is>
      </c>
      <c r="T2191" s="2" t="inlineStr">
        <is>
          <t>Aprovada</t>
        </is>
      </c>
      <c r="U2191" s="2" t="inlineStr">
        <is>
          <t>Favor: CH, PS, L, PCP, BE, PAN; Contra: PSD, CDS-PP; Abstenção: IL</t>
        </is>
      </c>
      <c r="V2191" s="3" t="n">
        <v>45987</v>
      </c>
      <c r="W2191" s="2" t="inlineStr">
        <is>
          <t>AR: https://www.parlamento.pt/OrcamentoEstado/Paginas/DetalhePropostaAlteracao.aspx?BID=25330 PDF: https://app.parlamento.pt/webutils/docs/doc.pdf?path=6148523063484d364c793942556b356c6443397a6158526c63793959566b6c4a544556484c3039464c7a49774d6a59794d4449314d5441774f5339515153396b4d444d785a4749314f4330324e7a45304c5452685a574974596a686a59693031597a6c694d446c6b4f474e69595745756347526d&amp;Fich=d031db58-6714-4aeb-b8cb-5c9b09d8cbaa.pdf&amp;Inline=true</t>
        </is>
      </c>
      <c r="X2191" s="2" t="inlineStr">
        <is>
          <t>Assuntos Constitucionais, Direitos, Liberdades e Garantias; Trabalho, Segurança Social e Inclusão</t>
        </is>
      </c>
      <c r="Y2191" s="2" t="inlineStr">
        <is>
          <t>Articulado</t>
        </is>
      </c>
      <c r="Z2191" s="2" t="inlineStr">
        <is>
          <t>Aditamento (Artigo PPL)</t>
        </is>
      </c>
      <c r="AA2191" s="2" t="inlineStr">
        <is>
          <t>Aprovado(a) em Comissão</t>
        </is>
      </c>
      <c r="AB2191" s="2" t="inlineStr"/>
      <c r="AC2191" s="2" t="inlineStr"/>
      <c r="AD2191" s="2" t="inlineStr">
        <is>
          <t>1</t>
        </is>
      </c>
      <c r="AE2191" s="2" t="inlineStr">
        <is>
          <t>25330</t>
        </is>
      </c>
      <c r="AF2191" s="2" t="inlineStr">
        <is>
          <t>https://www.parlamento.pt/OrcamentoEstado/Paginas/DetalhePropostaAlteracao.aspx?BID=25330</t>
        </is>
      </c>
      <c r="AG2191" s="2" t="inlineStr">
        <is>
          <t>https://app.parlamento.pt/webutils/docs/doc.pdf?path=6148523063484d364c793942556b356c6443397a6158526c63793959566b6c4a544556484c3039464c7a49774d6a59794d4449314d5441774f5339515153396b4d444d785a4749314f4330324e7a45304c5452685a574974596a686a59693031597a6c694d446c6b4f474e69595745756347526d&amp;Fich=d031db58-6714-4aeb-b8cb-5c9b09d8cbaa.pdf&amp;Inline=true</t>
        </is>
      </c>
      <c r="AH2191" s="3" t="n">
        <v>46321.77847222222</v>
      </c>
      <c r="AI2191" s="3" t="n">
        <v>46321.78055555555</v>
      </c>
      <c r="AJ2191" s="2" t="inlineStr"/>
    </row>
    <row r="2192">
      <c r="A2192" s="2" t="n">
        <v>2191</v>
      </c>
      <c r="B2192" s="2" t="inlineStr">
        <is>
          <t>2074C</t>
        </is>
      </c>
      <c r="C2192" s="3" t="n">
        <v>45968.83194444444</v>
      </c>
      <c r="D2192" s="2" t="inlineStr">
        <is>
          <t>Original</t>
        </is>
      </c>
      <c r="E2192" s="2" t="inlineStr">
        <is>
          <t>L</t>
        </is>
      </c>
      <c r="F2192" s="2" t="inlineStr">
        <is>
          <t>Filipa Pinto; Isabel Mendes Lopes; Jorge Pinto; Patrícia Gonçalves; Paulo Muacho; Rui Tavares</t>
        </is>
      </c>
      <c r="G2192" s="2" t="inlineStr">
        <is>
          <t>Art. 38.º-A (aditamento)</t>
        </is>
      </c>
      <c r="H2192" s="2" t="n"/>
      <c r="I2192" s="2" t="n"/>
      <c r="J2192" s="2" t="n"/>
      <c r="K2192" s="2" t="n"/>
      <c r="L2192" s="2" t="inlineStr">
        <is>
          <t>Artigo 38.º-A (Alteração ao Decreto-Lei n.º 74/2024, de 21 de outubro)</t>
        </is>
      </c>
      <c r="M2192" s="4" t="n"/>
      <c r="N2192" s="4" t="n"/>
      <c r="O2192" s="2" t="n"/>
      <c r="P2192" s="2" t="n"/>
      <c r="Q2192" s="2" t="n"/>
      <c r="R2192" s="2" t="n"/>
      <c r="S2192" s="2" t="inlineStr">
        <is>
          <t>Rejeitado(a) em Comissão</t>
        </is>
      </c>
      <c r="T2192" s="2" t="inlineStr">
        <is>
          <t>Rejeitada</t>
        </is>
      </c>
      <c r="U2192" s="2" t="inlineStr">
        <is>
          <t>Favor: L, PCP, BE, PAN; Contra: PSD, IL, CDS-PP; Abstenção: CH, PS</t>
        </is>
      </c>
      <c r="V2192" s="3" t="n">
        <v>45981</v>
      </c>
      <c r="W2192" s="2" t="inlineStr">
        <is>
          <t>AR: https://www.parlamento.pt/OrcamentoEstado/Paginas/DetalhePropostaAlteracao.aspx?BID=25331 PDF: https://app.parlamento.pt/webutils/docs/doc.pdf?path=6148523063484d364c793942556b356c6443397a6158526c63793959566b6c4a544556484c3039464c7a49774d6a59794d4449314d5441774f5339515153396d4d6a417a4d5746685979316a5932566c4c5451774d6d49744f5441334f53316c4f5467324e6a41774d6a466a597a4d756347526d&amp;Fich=f2031aac-ccee-402b-9079-e98660021cc3.pdf&amp;Inline=true</t>
        </is>
      </c>
      <c r="X2192" s="2" t="inlineStr">
        <is>
          <t>Trabalho, Segurança Social e Inclusão</t>
        </is>
      </c>
      <c r="Y2192" s="2" t="inlineStr">
        <is>
          <t>Articulado</t>
        </is>
      </c>
      <c r="Z2192" s="2" t="inlineStr">
        <is>
          <t>Aditamento (Artigo PPL)</t>
        </is>
      </c>
      <c r="AA2192" s="2" t="inlineStr">
        <is>
          <t>Rejeitado(a) em Comissão</t>
        </is>
      </c>
      <c r="AB2192" s="2" t="inlineStr"/>
      <c r="AC2192" s="2" t="inlineStr"/>
      <c r="AD2192" s="2" t="inlineStr">
        <is>
          <t>1</t>
        </is>
      </c>
      <c r="AE2192" s="2" t="inlineStr">
        <is>
          <t>25331</t>
        </is>
      </c>
      <c r="AF2192" s="2" t="inlineStr">
        <is>
          <t>https://www.parlamento.pt/OrcamentoEstado/Paginas/DetalhePropostaAlteracao.aspx?BID=25331</t>
        </is>
      </c>
      <c r="AG2192" s="2" t="inlineStr">
        <is>
          <t>https://app.parlamento.pt/webutils/docs/doc.pdf?path=6148523063484d364c793942556b356c6443397a6158526c63793959566b6c4a544556484c3039464c7a49774d6a59794d4449314d5441774f5339515153396d4d6a417a4d5746685979316a5932566c4c5451774d6d49744f5441334f53316c4f5467324e6a41774d6a466a597a4d756347526d&amp;Fich=f2031aac-ccee-402b-9079-e98660021cc3.pdf&amp;Inline=true</t>
        </is>
      </c>
      <c r="AH2192" s="3" t="n">
        <v>46321.77847222222</v>
      </c>
      <c r="AI2192" s="3" t="n">
        <v>46321.78055555555</v>
      </c>
      <c r="AJ2192" s="2" t="inlineStr"/>
    </row>
    <row r="2193">
      <c r="A2193" s="2" t="n">
        <v>2192</v>
      </c>
      <c r="B2193" s="2" t="inlineStr">
        <is>
          <t>2075C</t>
        </is>
      </c>
      <c r="C2193" s="3" t="n">
        <v>45968.83263888889</v>
      </c>
      <c r="D2193" s="2" t="inlineStr">
        <is>
          <t>Original</t>
        </is>
      </c>
      <c r="E2193" s="2" t="inlineStr">
        <is>
          <t>L</t>
        </is>
      </c>
      <c r="F2193" s="2" t="inlineStr">
        <is>
          <t>Filipa Pinto; Isabel Mendes Lopes; Jorge Pinto; Patrícia Gonçalves; Paulo Muacho; Rui Tavares</t>
        </is>
      </c>
      <c r="G2193" s="2" t="inlineStr">
        <is>
          <t>Art. 112.º-A (aditamento)</t>
        </is>
      </c>
      <c r="H2193" s="2" t="n"/>
      <c r="I2193" s="2" t="n"/>
      <c r="J2193" s="2" t="n"/>
      <c r="K2193" s="2" t="n"/>
      <c r="L2193" s="2" t="inlineStr">
        <is>
          <t>Artigo 112.º-A (Revisão do regime jurídico do Apoio Extraordinário à Renda)</t>
        </is>
      </c>
      <c r="M2193" s="4" t="n"/>
      <c r="N2193" s="4" t="n"/>
      <c r="O2193" s="2" t="n"/>
      <c r="P2193" s="2" t="n"/>
      <c r="Q2193" s="2" t="n"/>
      <c r="R2193" s="2" t="n"/>
      <c r="S2193" s="2" t="inlineStr">
        <is>
          <t>Rejeitado(a) em Comissão</t>
        </is>
      </c>
      <c r="T2193" s="2" t="inlineStr">
        <is>
          <t>Rejeitada</t>
        </is>
      </c>
      <c r="U2193" s="2" t="inlineStr">
        <is>
          <t>Favor: L, PCP, BE, PAN; Contra: PSD, CDS-PP; Abstenção: CH, PS, IL</t>
        </is>
      </c>
      <c r="V2193" s="3" t="n">
        <v>45982</v>
      </c>
      <c r="W2193" s="2" t="inlineStr">
        <is>
          <t>AR: https://www.parlamento.pt/OrcamentoEstado/Paginas/DetalhePropostaAlteracao.aspx?BID=25332 PDF: https://app.parlamento.pt/webutils/docs/doc.pdf?path=6148523063484d364c793942556b356c6443397a6158526c63793959566b6c4a544556484c3039464c7a49774d6a59794d4449314d5441774f533951515338324d475a6a5a6a59795a533031595441784c5451354e444d744f574d33597930345a44566b597a41785a4449324d7a45756347526d&amp;Fich=60fcf62e-5a01-4943-9c7c-8d5dc01d2631.pdf&amp;Inline=true</t>
        </is>
      </c>
      <c r="X2193" s="2" t="inlineStr">
        <is>
          <t>Infraestruturas, Mobilidade e Habitação</t>
        </is>
      </c>
      <c r="Y2193" s="2" t="inlineStr">
        <is>
          <t>Articulado</t>
        </is>
      </c>
      <c r="Z2193" s="2" t="inlineStr">
        <is>
          <t>Aditamento (Artigo PPL)</t>
        </is>
      </c>
      <c r="AA2193" s="2" t="inlineStr">
        <is>
          <t>Rejeitado(a) em Comissão</t>
        </is>
      </c>
      <c r="AB2193" s="2" t="inlineStr"/>
      <c r="AC2193" s="2" t="inlineStr"/>
      <c r="AD2193" s="2" t="inlineStr">
        <is>
          <t>1</t>
        </is>
      </c>
      <c r="AE2193" s="2" t="inlineStr">
        <is>
          <t>25332</t>
        </is>
      </c>
      <c r="AF2193" s="2" t="inlineStr">
        <is>
          <t>https://www.parlamento.pt/OrcamentoEstado/Paginas/DetalhePropostaAlteracao.aspx?BID=25332</t>
        </is>
      </c>
      <c r="AG2193" s="2" t="inlineStr">
        <is>
          <t>https://app.parlamento.pt/webutils/docs/doc.pdf?path=6148523063484d364c793942556b356c6443397a6158526c63793959566b6c4a544556484c3039464c7a49774d6a59794d4449314d5441774f533951515338324d475a6a5a6a59795a533031595441784c5451354e444d744f574d33597930345a44566b597a41785a4449324d7a45756347526d&amp;Fich=60fcf62e-5a01-4943-9c7c-8d5dc01d2631.pdf&amp;Inline=true</t>
        </is>
      </c>
      <c r="AH2193" s="3" t="n">
        <v>46321.77847222222</v>
      </c>
      <c r="AI2193" s="3" t="n">
        <v>46321.78055555555</v>
      </c>
      <c r="AJ2193" s="2" t="inlineStr"/>
    </row>
    <row r="2194">
      <c r="A2194" s="2" t="n">
        <v>2193</v>
      </c>
      <c r="B2194" s="2" t="inlineStr">
        <is>
          <t>2076C</t>
        </is>
      </c>
      <c r="C2194" s="3" t="n">
        <v>45968.83333333334</v>
      </c>
      <c r="D2194" s="2" t="inlineStr">
        <is>
          <t>Original</t>
        </is>
      </c>
      <c r="E2194" s="2" t="inlineStr">
        <is>
          <t>L</t>
        </is>
      </c>
      <c r="F2194" s="2" t="inlineStr">
        <is>
          <t>Filipa Pinto; Isabel Mendes Lopes; Jorge Pinto; Patrícia Gonçalves; Paulo Muacho; Rui Tavares</t>
        </is>
      </c>
      <c r="G2194" s="2" t="inlineStr">
        <is>
          <t>Art. 112.º-A (aditamento)</t>
        </is>
      </c>
      <c r="H2194" s="2" t="n"/>
      <c r="I2194" s="2" t="n"/>
      <c r="J2194" s="2" t="n"/>
      <c r="K2194" s="2" t="n"/>
      <c r="L2194" s="2" t="inlineStr">
        <is>
          <t>Artigo 112.º-A (Estratégia Nacional Anticorrupção)</t>
        </is>
      </c>
      <c r="M2194" s="4" t="n"/>
      <c r="N2194" s="4" t="n"/>
      <c r="O2194" s="2" t="n"/>
      <c r="P2194" s="2" t="n"/>
      <c r="Q2194" s="2" t="n"/>
      <c r="R2194" s="2" t="n"/>
      <c r="S2194" s="2" t="inlineStr">
        <is>
          <t>Aprovado(a) Parcialmente em Comissão</t>
        </is>
      </c>
      <c r="T2194" s="2" t="inlineStr">
        <is>
          <t>Aprovada parcialmente</t>
        </is>
      </c>
      <c r="U2194" s="2" t="inlineStr">
        <is>
          <t>Favor: CH, IL, L, PCP, BE, PAN; Abstenção: PSD, PS, CDS-PP</t>
        </is>
      </c>
      <c r="V2194" s="3" t="n">
        <v>45982</v>
      </c>
      <c r="W2194" s="2" t="inlineStr">
        <is>
          <t>AR: https://www.parlamento.pt/OrcamentoEstado/Paginas/DetalhePropostaAlteracao.aspx?BID=25333 PDF: https://app.parlamento.pt/webutils/docs/doc.pdf?path=6148523063484d364c793942556b356c6443397a6158526c63793959566b6c4a544556484c3039464c7a49774d6a59794d4449314d5441774f533951515338794e6a426c4d4455355a4330305a4459794c5451304e44457459544530597930324d4749784d7a526b4f44686d4f5759756347526d&amp;Fich=260e059d-4d62-4441-a14c-60b134d88f9f.pdf&amp;Inline=true</t>
        </is>
      </c>
      <c r="X2194" s="2" t="inlineStr">
        <is>
          <t>Assuntos Constitucionais, Direitos, Liberdades e Garantias; Orçamento, Finanças e Administração Pública</t>
        </is>
      </c>
      <c r="Y2194" s="2" t="inlineStr">
        <is>
          <t>Articulado</t>
        </is>
      </c>
      <c r="Z2194" s="2" t="inlineStr">
        <is>
          <t>Aditamento (Artigo PPL)</t>
        </is>
      </c>
      <c r="AA2194" s="2" t="inlineStr">
        <is>
          <t>Aprovado(a) Parcialmente em Comissão</t>
        </is>
      </c>
      <c r="AB2194" s="2" t="inlineStr"/>
      <c r="AC2194" s="2" t="inlineStr"/>
      <c r="AD2194" s="2" t="inlineStr">
        <is>
          <t>1</t>
        </is>
      </c>
      <c r="AE2194" s="2" t="inlineStr">
        <is>
          <t>25333</t>
        </is>
      </c>
      <c r="AF2194" s="2" t="inlineStr">
        <is>
          <t>https://www.parlamento.pt/OrcamentoEstado/Paginas/DetalhePropostaAlteracao.aspx?BID=25333</t>
        </is>
      </c>
      <c r="AG2194" s="2" t="inlineStr">
        <is>
          <t>https://app.parlamento.pt/webutils/docs/doc.pdf?path=6148523063484d364c793942556b356c6443397a6158526c63793959566b6c4a544556484c3039464c7a49774d6a59794d4449314d5441774f533951515338794e6a426c4d4455355a4330305a4459794c5451304e44457459544530597930324d4749784d7a526b4f44686d4f5759756347526d&amp;Fich=260e059d-4d62-4441-a14c-60b134d88f9f.pdf&amp;Inline=true</t>
        </is>
      </c>
      <c r="AH2194" s="3" t="n">
        <v>46321.77847222222</v>
      </c>
      <c r="AI2194" s="3" t="n">
        <v>46321.78055555555</v>
      </c>
      <c r="AJ2194" s="2" t="inlineStr"/>
    </row>
  </sheetData>
  <autoFilter ref="A1:AJ5001"/>
  <dataValidations count="8">
    <dataValidation sqref="D2:D5001" showDropDown="0" showInputMessage="0" showErrorMessage="0" allowBlank="1" type="list">
      <formula1>=Listas!$A$2:$A$4</formula1>
    </dataValidation>
    <dataValidation sqref="E2:E5001" showDropDown="0" showInputMessage="0" showErrorMessage="0" allowBlank="1" type="list">
      <formula1>=Listas!$B$2:$B$13</formula1>
    </dataValidation>
    <dataValidation sqref="H2:H5001" showDropDown="0" showInputMessage="0" showErrorMessage="0" allowBlank="1" type="list">
      <formula1>=Listas!$C$2:$C$6</formula1>
    </dataValidation>
    <dataValidation sqref="P2:P5001" showDropDown="0" showInputMessage="0" showErrorMessage="0" allowBlank="1" type="list">
      <formula1>=Listas!$D$2:$D$3</formula1>
    </dataValidation>
    <dataValidation sqref="Q2:Q5001" showDropDown="0" showInputMessage="0" showErrorMessage="0" allowBlank="1" type="list">
      <formula1>=Listas!$E$2:$E$4</formula1>
    </dataValidation>
    <dataValidation sqref="R2:R5001" showDropDown="0" showInputMessage="0" showErrorMessage="0" allowBlank="1" type="list">
      <formula1>=Listas!$D$2:$D$3</formula1>
    </dataValidation>
    <dataValidation sqref="T2:T5001" showDropDown="0" showInputMessage="0" showErrorMessage="0" allowBlank="1" type="list">
      <formula1>=Listas!$G$2:$G$6</formula1>
    </dataValidation>
    <dataValidation sqref="J2:J5001" showDropDown="0" showInputMessage="0" showErrorMessage="0" allowBlank="1" type="list">
      <formula1>=Listas!$H$2:$H$18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4" customWidth="1" min="4" max="4"/>
    <col width="13" customWidth="1" min="5" max="5"/>
    <col width="50" customWidth="1" min="6" max="6"/>
    <col width="18" customWidth="1" min="7" max="7"/>
    <col width="22" customWidth="1" min="8" max="8"/>
    <col width="24" customWidth="1" min="9" max="9"/>
    <col width="40" customWidth="1" min="10" max="10"/>
    <col width="12" customWidth="1" min="11" max="11"/>
    <col width="12" customWidth="1" min="12" max="12"/>
    <col width="40" customWidth="1" min="13" max="13"/>
  </cols>
  <sheetData>
    <row r="1" ht="30" customHeight="1">
      <c r="A1" s="1" t="inlineStr">
        <is>
          <t>ID</t>
        </is>
      </c>
      <c r="B1" s="1" t="inlineStr">
        <is>
          <t>Data do Anúncio</t>
        </is>
      </c>
      <c r="C1" s="1" t="inlineStr">
        <is>
          <t>Partido</t>
        </is>
      </c>
      <c r="D1" s="1" t="inlineStr">
        <is>
          <t>Quem Anunciou</t>
        </is>
      </c>
      <c r="E1" s="1" t="inlineStr">
        <is>
          <t>Natureza</t>
        </is>
      </c>
      <c r="F1" s="1" t="inlineStr">
        <is>
          <t>Medida Anunciada</t>
        </is>
      </c>
      <c r="G1" s="1" t="inlineStr">
        <is>
          <t>Tema</t>
        </is>
      </c>
      <c r="H1" s="1" t="inlineStr">
        <is>
          <t>Valor Anunciado</t>
        </is>
      </c>
      <c r="I1" s="1" t="inlineStr">
        <is>
          <t>Canal Oficial</t>
        </is>
      </c>
      <c r="J1" s="1" t="inlineStr">
        <is>
          <t>Ligação</t>
        </is>
      </c>
      <c r="K1" s="1" t="inlineStr">
        <is>
          <t>Entregue como PA (S/N)</t>
        </is>
      </c>
      <c r="L1" s="1" t="inlineStr">
        <is>
          <t>N.º PA Associada</t>
        </is>
      </c>
      <c r="M1" s="1" t="inlineStr">
        <is>
          <t>Observações</t>
        </is>
      </c>
    </row>
    <row r="2"/>
  </sheetData>
  <autoFilter ref="A1:M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13" customWidth="1" min="4" max="4"/>
  </cols>
  <sheetData>
    <row r="1">
      <c r="A1" s="5" t="inlineStr">
        <is>
          <t>Propostas de alteração à Proposta de Lei n.º 37/XVII/1.ª (Orçamento do Estado para 2026)</t>
        </is>
      </c>
      <c r="B1" s="2" t="n"/>
      <c r="C1" s="2" t="n"/>
      <c r="D1" s="2" t="n"/>
    </row>
    <row r="2">
      <c r="A2" s="2" t="inlineStr">
        <is>
          <t>Última atualização:</t>
        </is>
      </c>
      <c r="B2" s="2" t="inlineStr">
        <is>
          <t>26/10/2026, 21h59 UTC</t>
        </is>
      </c>
      <c r="C2" s="2" t="n"/>
      <c r="D2" s="2" t="n"/>
    </row>
    <row r="3">
      <c r="A3" s="2" t="inlineStr">
        <is>
          <t>Situação na fonte oficial:</t>
        </is>
      </c>
      <c r="B3" s="2" t="inlineStr">
        <is>
          <t>2076 PA (2193 registos, com as partes) publicadas pela AR; última entrada registada: 2025-11-07 20:00.</t>
        </is>
      </c>
      <c r="C3" s="2" t="n"/>
      <c r="D3" s="2" t="n"/>
    </row>
    <row r="4">
      <c r="A4" s="2" t="n"/>
      <c r="B4" s="2" t="n"/>
      <c r="C4" s="2" t="n"/>
      <c r="D4" s="2" t="n"/>
    </row>
    <row r="5">
      <c r="A5" s="2" t="inlineStr">
        <is>
          <t>Total de PA registadas</t>
        </is>
      </c>
      <c r="B5" s="2">
        <f>COUNTA('Propostas de Alteração'!B2:B5001)</f>
        <v/>
      </c>
      <c r="C5" s="2" t="n"/>
      <c r="D5" s="2" t="n"/>
    </row>
    <row r="6">
      <c r="A6" s="2" t="n"/>
      <c r="B6" s="2" t="n"/>
      <c r="C6" s="2" t="n"/>
      <c r="D6" s="2" t="n"/>
    </row>
    <row r="7">
      <c r="A7" s="6" t="inlineStr">
        <is>
          <t>Por partido</t>
        </is>
      </c>
      <c r="B7" s="2" t="n"/>
      <c r="C7" s="2" t="n"/>
      <c r="D7" s="2" t="n"/>
    </row>
    <row r="8">
      <c r="A8" s="6" t="inlineStr">
        <is>
          <t>Partido</t>
        </is>
      </c>
      <c r="B8" s="6" t="inlineStr">
        <is>
          <t>N.º PA</t>
        </is>
      </c>
      <c r="C8" s="6" t="inlineStr">
        <is>
          <t>Aprovadas</t>
        </is>
      </c>
      <c r="D8" s="6" t="inlineStr">
        <is>
          <t>Rejeitadas</t>
        </is>
      </c>
    </row>
    <row r="9">
      <c r="A9" s="2" t="inlineStr">
        <is>
          <t>PSD</t>
        </is>
      </c>
      <c r="B9" s="2">
        <f>COUNTIF('Propostas de Alteração'!$E$2:$E$5001,A9)</f>
        <v/>
      </c>
      <c r="C9" s="2">
        <f>COUNTIFS('Propostas de Alteração'!$E$2:$E$5001,A9,'Propostas de Alteração'!$T$2:$T$5001,"Aprovada")</f>
        <v/>
      </c>
      <c r="D9" s="2">
        <f>COUNTIFS('Propostas de Alteração'!$E$2:$E$5001,A9,'Propostas de Alteração'!$T$2:$T$5001,"Rejeitada")</f>
        <v/>
      </c>
    </row>
    <row r="10">
      <c r="A10" s="2" t="inlineStr">
        <is>
          <t>CH</t>
        </is>
      </c>
      <c r="B10" s="2">
        <f>COUNTIF('Propostas de Alteração'!$E$2:$E$5001,A10)</f>
        <v/>
      </c>
      <c r="C10" s="2">
        <f>COUNTIFS('Propostas de Alteração'!$E$2:$E$5001,A10,'Propostas de Alteração'!$T$2:$T$5001,"Aprovada")</f>
        <v/>
      </c>
      <c r="D10" s="2">
        <f>COUNTIFS('Propostas de Alteração'!$E$2:$E$5001,A10,'Propostas de Alteração'!$T$2:$T$5001,"Rejeitada")</f>
        <v/>
      </c>
    </row>
    <row r="11">
      <c r="A11" s="2" t="inlineStr">
        <is>
          <t>PS</t>
        </is>
      </c>
      <c r="B11" s="2">
        <f>COUNTIF('Propostas de Alteração'!$E$2:$E$5001,A11)</f>
        <v/>
      </c>
      <c r="C11" s="2">
        <f>COUNTIFS('Propostas de Alteração'!$E$2:$E$5001,A11,'Propostas de Alteração'!$T$2:$T$5001,"Aprovada")</f>
        <v/>
      </c>
      <c r="D11" s="2">
        <f>COUNTIFS('Propostas de Alteração'!$E$2:$E$5001,A11,'Propostas de Alteração'!$T$2:$T$5001,"Rejeitada")</f>
        <v/>
      </c>
    </row>
    <row r="12">
      <c r="A12" s="2" t="inlineStr">
        <is>
          <t>IL</t>
        </is>
      </c>
      <c r="B12" s="2">
        <f>COUNTIF('Propostas de Alteração'!$E$2:$E$5001,A12)</f>
        <v/>
      </c>
      <c r="C12" s="2">
        <f>COUNTIFS('Propostas de Alteração'!$E$2:$E$5001,A12,'Propostas de Alteração'!$T$2:$T$5001,"Aprovada")</f>
        <v/>
      </c>
      <c r="D12" s="2">
        <f>COUNTIFS('Propostas de Alteração'!$E$2:$E$5001,A12,'Propostas de Alteração'!$T$2:$T$5001,"Rejeitada")</f>
        <v/>
      </c>
    </row>
    <row r="13">
      <c r="A13" s="2" t="inlineStr">
        <is>
          <t>L</t>
        </is>
      </c>
      <c r="B13" s="2">
        <f>COUNTIF('Propostas de Alteração'!$E$2:$E$5001,A13)</f>
        <v/>
      </c>
      <c r="C13" s="2">
        <f>COUNTIFS('Propostas de Alteração'!$E$2:$E$5001,A13,'Propostas de Alteração'!$T$2:$T$5001,"Aprovada")</f>
        <v/>
      </c>
      <c r="D13" s="2">
        <f>COUNTIFS('Propostas de Alteração'!$E$2:$E$5001,A13,'Propostas de Alteração'!$T$2:$T$5001,"Rejeitada")</f>
        <v/>
      </c>
    </row>
    <row r="14">
      <c r="A14" s="2" t="inlineStr">
        <is>
          <t>PCP</t>
        </is>
      </c>
      <c r="B14" s="2">
        <f>COUNTIF('Propostas de Alteração'!$E$2:$E$5001,A14)</f>
        <v/>
      </c>
      <c r="C14" s="2">
        <f>COUNTIFS('Propostas de Alteração'!$E$2:$E$5001,A14,'Propostas de Alteração'!$T$2:$T$5001,"Aprovada")</f>
        <v/>
      </c>
      <c r="D14" s="2">
        <f>COUNTIFS('Propostas de Alteração'!$E$2:$E$5001,A14,'Propostas de Alteração'!$T$2:$T$5001,"Rejeitada")</f>
        <v/>
      </c>
    </row>
    <row r="15">
      <c r="A15" s="2" t="inlineStr">
        <is>
          <t>CDS-PP</t>
        </is>
      </c>
      <c r="B15" s="2">
        <f>COUNTIF('Propostas de Alteração'!$E$2:$E$5001,A15)</f>
        <v/>
      </c>
      <c r="C15" s="2">
        <f>COUNTIFS('Propostas de Alteração'!$E$2:$E$5001,A15,'Propostas de Alteração'!$T$2:$T$5001,"Aprovada")</f>
        <v/>
      </c>
      <c r="D15" s="2">
        <f>COUNTIFS('Propostas de Alteração'!$E$2:$E$5001,A15,'Propostas de Alteração'!$T$2:$T$5001,"Rejeitada")</f>
        <v/>
      </c>
    </row>
    <row r="16">
      <c r="A16" s="2" t="inlineStr">
        <is>
          <t>BE</t>
        </is>
      </c>
      <c r="B16" s="2">
        <f>COUNTIF('Propostas de Alteração'!$E$2:$E$5001,A16)</f>
        <v/>
      </c>
      <c r="C16" s="2">
        <f>COUNTIFS('Propostas de Alteração'!$E$2:$E$5001,A16,'Propostas de Alteração'!$T$2:$T$5001,"Aprovada")</f>
        <v/>
      </c>
      <c r="D16" s="2">
        <f>COUNTIFS('Propostas de Alteração'!$E$2:$E$5001,A16,'Propostas de Alteração'!$T$2:$T$5001,"Rejeitada")</f>
        <v/>
      </c>
    </row>
    <row r="17">
      <c r="A17" s="2" t="inlineStr">
        <is>
          <t>PAN</t>
        </is>
      </c>
      <c r="B17" s="2">
        <f>COUNTIF('Propostas de Alteração'!$E$2:$E$5001,A17)</f>
        <v/>
      </c>
      <c r="C17" s="2">
        <f>COUNTIFS('Propostas de Alteração'!$E$2:$E$5001,A17,'Propostas de Alteração'!$T$2:$T$5001,"Aprovada")</f>
        <v/>
      </c>
      <c r="D17" s="2">
        <f>COUNTIFS('Propostas de Alteração'!$E$2:$E$5001,A17,'Propostas de Alteração'!$T$2:$T$5001,"Rejeitada")</f>
        <v/>
      </c>
    </row>
    <row r="18">
      <c r="A18" s="2" t="inlineStr">
        <is>
          <t>JPP</t>
        </is>
      </c>
      <c r="B18" s="2">
        <f>COUNTIF('Propostas de Alteração'!$E$2:$E$5001,A18)</f>
        <v/>
      </c>
      <c r="C18" s="2">
        <f>COUNTIFS('Propostas de Alteração'!$E$2:$E$5001,A18,'Propostas de Alteração'!$T$2:$T$5001,"Aprovada")</f>
        <v/>
      </c>
      <c r="D18" s="2">
        <f>COUNTIFS('Propostas de Alteração'!$E$2:$E$5001,A18,'Propostas de Alteração'!$T$2:$T$5001,"Rejeitada")</f>
        <v/>
      </c>
    </row>
    <row r="19">
      <c r="A19" s="2" t="inlineStr">
        <is>
          <t>Deputado único/não inscrito</t>
        </is>
      </c>
      <c r="B19" s="2">
        <f>COUNTIF('Propostas de Alteração'!$E$2:$E$5001,A19)</f>
        <v/>
      </c>
      <c r="C19" s="2">
        <f>COUNTIFS('Propostas de Alteração'!$E$2:$E$5001,A19,'Propostas de Alteração'!$T$2:$T$5001,"Aprovada")</f>
        <v/>
      </c>
      <c r="D19" s="2">
        <f>COUNTIFS('Propostas de Alteração'!$E$2:$E$5001,A19,'Propostas de Alteração'!$T$2:$T$5001,"Rejeitada")</f>
        <v/>
      </c>
    </row>
    <row r="20">
      <c r="A20" s="2" t="inlineStr">
        <is>
          <t>Vários</t>
        </is>
      </c>
      <c r="B20" s="2">
        <f>COUNTIF('Propostas de Alteração'!$E$2:$E$5001,A20)</f>
        <v/>
      </c>
      <c r="C20" s="2">
        <f>COUNTIFS('Propostas de Alteração'!$E$2:$E$5001,A20,'Propostas de Alteração'!$T$2:$T$5001,"Aprovada")</f>
        <v/>
      </c>
      <c r="D20" s="2">
        <f>COUNTIFS('Propostas de Alteração'!$E$2:$E$5001,A20,'Propostas de Alteração'!$T$2:$T$5001,"Rejeitada")</f>
        <v/>
      </c>
    </row>
    <row r="21">
      <c r="A21" s="2" t="inlineStr">
        <is>
          <t>Total</t>
        </is>
      </c>
      <c r="B21" s="2">
        <f>SUM(B9:B20)</f>
        <v/>
      </c>
      <c r="C21" s="2">
        <f>SUM(C9:C20)</f>
        <v/>
      </c>
      <c r="D21" s="2">
        <f>SUM(D9:D20)</f>
        <v/>
      </c>
    </row>
    <row r="22">
      <c r="A22" s="2" t="n"/>
      <c r="B22" s="2" t="n"/>
      <c r="C22" s="2" t="n"/>
      <c r="D22" s="2" t="n"/>
    </row>
    <row r="23">
      <c r="A23" s="2" t="inlineStr">
        <is>
          <t>Por resultado da votação</t>
        </is>
      </c>
      <c r="B23" s="2" t="n"/>
      <c r="C23" s="2" t="n"/>
      <c r="D23" s="2" t="n"/>
    </row>
    <row r="24">
      <c r="A24" s="2" t="inlineStr">
        <is>
          <t>Resultado</t>
        </is>
      </c>
      <c r="B24" s="2" t="inlineStr">
        <is>
          <t>N.º PA</t>
        </is>
      </c>
      <c r="C24" s="2" t="n"/>
      <c r="D24" s="2" t="n"/>
    </row>
    <row r="25">
      <c r="A25" s="2" t="inlineStr">
        <is>
          <t>Aprovada</t>
        </is>
      </c>
      <c r="B25" s="2">
        <f>COUNTIF('Propostas de Alteração'!$T$2:$T$5001,A25)</f>
        <v/>
      </c>
      <c r="C25" s="2" t="n"/>
      <c r="D25" s="2" t="n"/>
    </row>
    <row r="26">
      <c r="A26" s="2" t="inlineStr">
        <is>
          <t>Rejeitada</t>
        </is>
      </c>
      <c r="B26" s="2">
        <f>COUNTIF('Propostas de Alteração'!$T$2:$T$5001,A26)</f>
        <v/>
      </c>
      <c r="C26" s="2" t="n"/>
      <c r="D26" s="2" t="n"/>
    </row>
    <row r="27">
      <c r="A27" s="2" t="inlineStr">
        <is>
          <t>Prejudicada</t>
        </is>
      </c>
      <c r="B27" s="2">
        <f>COUNTIF('Propostas de Alteração'!$T$2:$T$5001,A27)</f>
        <v/>
      </c>
      <c r="C27" s="2" t="n"/>
      <c r="D27" s="2" t="n"/>
    </row>
    <row r="28">
      <c r="A28" s="2" t="inlineStr">
        <is>
          <t>Retirada</t>
        </is>
      </c>
      <c r="B28" s="2">
        <f>COUNTIF('Propostas de Alteração'!$T$2:$T$5001,A28)</f>
        <v/>
      </c>
      <c r="C28" s="2" t="n"/>
      <c r="D28" s="2" t="n"/>
    </row>
    <row r="29">
      <c r="A29" s="2" t="inlineStr">
        <is>
          <t>Aprovada parcialmente</t>
        </is>
      </c>
      <c r="B29" s="2">
        <f>COUNTIF('Propostas de Alteração'!$T$2:$T$5001,A29)</f>
        <v/>
      </c>
      <c r="C29" s="2" t="n"/>
      <c r="D29" s="2" t="n"/>
    </row>
    <row r="30">
      <c r="A30" s="2" t="inlineStr">
        <is>
          <t>Sem resultado registado</t>
        </is>
      </c>
      <c r="B30" s="2">
        <f>B5-SUM(B25:B29)</f>
        <v/>
      </c>
      <c r="C30" s="2" t="n"/>
      <c r="D30" s="2" t="n"/>
    </row>
    <row r="31">
      <c r="A31" s="2" t="n"/>
      <c r="B31" s="2" t="n"/>
      <c r="C31" s="2" t="n"/>
      <c r="D31" s="2" t="n"/>
    </row>
    <row r="32">
      <c r="A32" s="2" t="inlineStr">
        <is>
          <t>Por tipo de PA</t>
        </is>
      </c>
      <c r="B32" s="2" t="n"/>
      <c r="C32" s="2" t="n"/>
      <c r="D32" s="2" t="n"/>
    </row>
    <row r="33">
      <c r="A33" s="2" t="inlineStr">
        <is>
          <t>Tipo de PA</t>
        </is>
      </c>
      <c r="B33" s="2" t="inlineStr">
        <is>
          <t>N.º PA</t>
        </is>
      </c>
      <c r="C33" s="2" t="inlineStr">
        <is>
          <t>Impacto Receita (€)</t>
        </is>
      </c>
      <c r="D33" s="2" t="inlineStr">
        <is>
          <t>Impacto Despesa (€)</t>
        </is>
      </c>
    </row>
    <row r="34">
      <c r="A34" s="2" t="inlineStr">
        <is>
          <t>Receita</t>
        </is>
      </c>
      <c r="B34" s="2">
        <f>COUNTIF('Propostas de Alteração'!$H$2:$H$5001,A34)</f>
        <v/>
      </c>
      <c r="C34" s="2">
        <f>SUMIF('Propostas de Alteração'!$H$2:$H$5001,A34,'Propostas de Alteração'!$M$2:$M$5001)</f>
        <v/>
      </c>
      <c r="D34" s="2">
        <f>SUMIF('Propostas de Alteração'!$H$2:$H$5001,A34,'Propostas de Alteração'!$N$2:$N$5001)</f>
        <v/>
      </c>
    </row>
    <row r="35">
      <c r="A35" s="2" t="inlineStr">
        <is>
          <t>Despesa</t>
        </is>
      </c>
      <c r="B35" s="2">
        <f>COUNTIF('Propostas de Alteração'!$H$2:$H$5001,A35)</f>
        <v/>
      </c>
      <c r="C35" s="2">
        <f>SUMIF('Propostas de Alteração'!$H$2:$H$5001,A35,'Propostas de Alteração'!$M$2:$M$5001)</f>
        <v/>
      </c>
      <c r="D35" s="2">
        <f>SUMIF('Propostas de Alteração'!$H$2:$H$5001,A35,'Propostas de Alteração'!$N$2:$N$5001)</f>
        <v/>
      </c>
    </row>
    <row r="36">
      <c r="A36" s="2" t="inlineStr">
        <is>
          <t>Norma orçamental</t>
        </is>
      </c>
      <c r="B36" s="2">
        <f>COUNTIF('Propostas de Alteração'!$H$2:$H$5001,A36)</f>
        <v/>
      </c>
      <c r="C36" s="2">
        <f>SUMIF('Propostas de Alteração'!$H$2:$H$5001,A36,'Propostas de Alteração'!$M$2:$M$5001)</f>
        <v/>
      </c>
      <c r="D36" s="2">
        <f>SUMIF('Propostas de Alteração'!$H$2:$H$5001,A36,'Propostas de Alteração'!$N$2:$N$5001)</f>
        <v/>
      </c>
    </row>
    <row r="37">
      <c r="A37" s="2" t="inlineStr">
        <is>
          <t>Alteração a legislação avulsa</t>
        </is>
      </c>
      <c r="B37" s="2">
        <f>COUNTIF('Propostas de Alteração'!$H$2:$H$5001,A37)</f>
        <v/>
      </c>
      <c r="C37" s="2">
        <f>SUMIF('Propostas de Alteração'!$H$2:$H$5001,A37,'Propostas de Alteração'!$M$2:$M$5001)</f>
        <v/>
      </c>
      <c r="D37" s="2">
        <f>SUMIF('Propostas de Alteração'!$H$2:$H$5001,A37,'Propostas de Alteração'!$N$2:$N$5001)</f>
        <v/>
      </c>
    </row>
    <row r="38">
      <c r="A38" s="2" t="inlineStr">
        <is>
          <t>Autorização legislativa</t>
        </is>
      </c>
      <c r="B38" s="2">
        <f>COUNTIF('Propostas de Alteração'!$H$2:$H$5001,A38)</f>
        <v/>
      </c>
      <c r="C38" s="2">
        <f>SUMIF('Propostas de Alteração'!$H$2:$H$5001,A38,'Propostas de Alteração'!$M$2:$M$5001)</f>
        <v/>
      </c>
      <c r="D38" s="2">
        <f>SUMIF('Propostas de Alteração'!$H$2:$H$5001,A38,'Propostas de Alteração'!$N$2:$N$5001)</f>
        <v/>
      </c>
    </row>
    <row r="39">
      <c r="A39" s="2" t="n"/>
      <c r="B39" s="2" t="n"/>
      <c r="C39" s="2" t="n"/>
      <c r="D39" s="2" t="n"/>
    </row>
    <row r="40">
      <c r="A40" s="2" t="inlineStr">
        <is>
          <t>Nota: os impactos somam apenas os valores registados; PA sem quantificação na fonte não são contabilizadas.</t>
        </is>
      </c>
      <c r="B40" s="2" t="n"/>
      <c r="C40" s="2" t="n"/>
      <c r="D4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31" customWidth="1" min="3" max="3"/>
    <col width="13" customWidth="1" min="4" max="4"/>
    <col width="13" customWidth="1" min="5" max="5"/>
    <col width="20" customWidth="1" min="6" max="6"/>
    <col width="23" customWidth="1" min="7" max="7"/>
    <col width="44" customWidth="1" min="8" max="8"/>
  </cols>
  <sheetData>
    <row r="1">
      <c r="A1" s="6" t="inlineStr">
        <is>
          <t>Versão</t>
        </is>
      </c>
      <c r="B1" s="6" t="inlineStr">
        <is>
          <t>Partido</t>
        </is>
      </c>
      <c r="C1" s="6" t="inlineStr">
        <is>
          <t>Tipo de PA</t>
        </is>
      </c>
      <c r="D1" s="6" t="inlineStr">
        <is>
          <t>SN</t>
        </is>
      </c>
      <c r="E1" s="6" t="inlineStr">
        <is>
          <t>Relevância</t>
        </is>
      </c>
      <c r="F1" s="6" t="inlineStr">
        <is>
          <t>Estado</t>
        </is>
      </c>
      <c r="G1" s="6" t="inlineStr">
        <is>
          <t>Resultado</t>
        </is>
      </c>
      <c r="H1" s="6" t="inlineStr">
        <is>
          <t>Área Governativa</t>
        </is>
      </c>
    </row>
    <row r="2">
      <c r="A2" s="2" t="inlineStr">
        <is>
          <t>Original</t>
        </is>
      </c>
      <c r="B2" s="2" t="inlineStr">
        <is>
          <t>PSD</t>
        </is>
      </c>
      <c r="C2" s="2" t="inlineStr">
        <is>
          <t>Receita</t>
        </is>
      </c>
      <c r="D2" s="2" t="inlineStr">
        <is>
          <t>S</t>
        </is>
      </c>
      <c r="E2" s="2" t="inlineStr">
        <is>
          <t>Alta</t>
        </is>
      </c>
      <c r="F2" s="2" t="inlineStr">
        <is>
          <t>Entregue</t>
        </is>
      </c>
      <c r="G2" s="2" t="inlineStr">
        <is>
          <t>Aprovada</t>
        </is>
      </c>
      <c r="H2" s="2" t="inlineStr">
        <is>
          <t>Presidência</t>
        </is>
      </c>
    </row>
    <row r="3">
      <c r="A3" s="2" t="inlineStr">
        <is>
          <t>Substituição</t>
        </is>
      </c>
      <c r="B3" s="2" t="inlineStr">
        <is>
          <t>CH</t>
        </is>
      </c>
      <c r="C3" s="2" t="inlineStr">
        <is>
          <t>Despesa</t>
        </is>
      </c>
      <c r="D3" s="2" t="inlineStr">
        <is>
          <t>N</t>
        </is>
      </c>
      <c r="E3" s="2" t="inlineStr">
        <is>
          <t>Média</t>
        </is>
      </c>
      <c r="F3" s="2" t="inlineStr">
        <is>
          <t>Admitida</t>
        </is>
      </c>
      <c r="G3" s="2" t="inlineStr">
        <is>
          <t>Rejeitada</t>
        </is>
      </c>
      <c r="H3" s="2" t="inlineStr">
        <is>
          <t>Estado e Finanças</t>
        </is>
      </c>
    </row>
    <row r="4">
      <c r="A4" s="2" t="inlineStr">
        <is>
          <t>Retirada</t>
        </is>
      </c>
      <c r="B4" s="2" t="inlineStr">
        <is>
          <t>PS</t>
        </is>
      </c>
      <c r="C4" s="2" t="inlineStr">
        <is>
          <t>Norma orçamental</t>
        </is>
      </c>
      <c r="E4" s="2" t="inlineStr">
        <is>
          <t>Baixa</t>
        </is>
      </c>
      <c r="F4" s="2" t="inlineStr">
        <is>
          <t>Substituída</t>
        </is>
      </c>
      <c r="G4" s="2" t="inlineStr">
        <is>
          <t>Prejudicada</t>
        </is>
      </c>
      <c r="H4" s="2" t="inlineStr">
        <is>
          <t>Estado e Negócios Estrangeiros</t>
        </is>
      </c>
    </row>
    <row r="5">
      <c r="B5" s="2" t="inlineStr">
        <is>
          <t>IL</t>
        </is>
      </c>
      <c r="C5" s="2" t="inlineStr">
        <is>
          <t>Alteração a legislação avulsa</t>
        </is>
      </c>
      <c r="F5" s="2" t="inlineStr">
        <is>
          <t>Retirada</t>
        </is>
      </c>
      <c r="G5" s="2" t="inlineStr">
        <is>
          <t>Retirada</t>
        </is>
      </c>
      <c r="H5" s="2" t="inlineStr">
        <is>
          <t>Adjunto e Reforma do Estado</t>
        </is>
      </c>
    </row>
    <row r="6">
      <c r="B6" s="2" t="inlineStr">
        <is>
          <t>L</t>
        </is>
      </c>
      <c r="C6" s="2" t="inlineStr">
        <is>
          <t>Autorização legislativa</t>
        </is>
      </c>
      <c r="F6" s="2" t="inlineStr">
        <is>
          <t>Em votação</t>
        </is>
      </c>
      <c r="G6" s="2" t="inlineStr">
        <is>
          <t>Aprovada parcialmente</t>
        </is>
      </c>
      <c r="H6" s="2" t="inlineStr">
        <is>
          <t>Assuntos Parlamentares</t>
        </is>
      </c>
    </row>
    <row r="7">
      <c r="B7" s="2" t="inlineStr">
        <is>
          <t>PCP</t>
        </is>
      </c>
      <c r="F7" s="2" t="inlineStr">
        <is>
          <t>Votada</t>
        </is>
      </c>
      <c r="H7" s="2" t="inlineStr">
        <is>
          <t>Defesa Nacional</t>
        </is>
      </c>
    </row>
    <row r="8">
      <c r="B8" s="2" t="inlineStr">
        <is>
          <t>CDS-PP</t>
        </is>
      </c>
      <c r="F8" s="2" t="inlineStr">
        <is>
          <t>Avocada a Plenário</t>
        </is>
      </c>
      <c r="H8" s="2" t="inlineStr">
        <is>
          <t>Administração Interna</t>
        </is>
      </c>
    </row>
    <row r="9">
      <c r="B9" s="2" t="inlineStr">
        <is>
          <t>BE</t>
        </is>
      </c>
      <c r="H9" s="2" t="inlineStr">
        <is>
          <t>Justiça</t>
        </is>
      </c>
    </row>
    <row r="10">
      <c r="B10" s="2" t="inlineStr">
        <is>
          <t>PAN</t>
        </is>
      </c>
      <c r="H10" s="2" t="inlineStr">
        <is>
          <t>Economia e Coesão Territorial</t>
        </is>
      </c>
    </row>
    <row r="11">
      <c r="B11" s="2" t="inlineStr">
        <is>
          <t>JPP</t>
        </is>
      </c>
      <c r="H11" s="2" t="inlineStr">
        <is>
          <t>Educação, Ciência e Inovação</t>
        </is>
      </c>
    </row>
    <row r="12">
      <c r="B12" s="2" t="inlineStr">
        <is>
          <t>Deputado único/não inscrito</t>
        </is>
      </c>
      <c r="H12" s="2" t="inlineStr">
        <is>
          <t>Saúde</t>
        </is>
      </c>
    </row>
    <row r="13">
      <c r="B13" s="2" t="inlineStr">
        <is>
          <t>Vários</t>
        </is>
      </c>
      <c r="H13" s="2" t="inlineStr">
        <is>
          <t>Infraestruturas e Habitação</t>
        </is>
      </c>
    </row>
    <row r="14">
      <c r="H14" s="2" t="inlineStr">
        <is>
          <t>Trabalho, Solidariedade e Segurança Social</t>
        </is>
      </c>
    </row>
    <row r="15">
      <c r="H15" s="2" t="inlineStr">
        <is>
          <t>Ambiente e Energia</t>
        </is>
      </c>
    </row>
    <row r="16">
      <c r="H16" s="2" t="inlineStr">
        <is>
          <t>Agricultura e Mar</t>
        </is>
      </c>
    </row>
    <row r="17">
      <c r="H17" s="2" t="inlineStr">
        <is>
          <t>Cultura, Juventude e Desporto</t>
        </is>
      </c>
    </row>
    <row r="18">
      <c r="H18" s="2" t="inlineStr">
        <is>
          <t>Transversal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60" customWidth="1" min="3" max="3"/>
  </cols>
  <sheetData>
    <row r="1">
      <c r="A1" s="7" t="inlineStr">
        <is>
          <t>Instruções de preenchimento</t>
        </is>
      </c>
      <c r="B1" s="8" t="n"/>
      <c r="C1" s="8" t="n"/>
    </row>
    <row r="2">
      <c r="A2" s="8" t="inlineStr">
        <is>
          <t>Um registo por proposta de alteração (PA). Preencher apenas com informação constante de fontes oficiais. Quando a fonte não indicar o valor, deixar a célula em branco e referir a ausência em Observações.</t>
        </is>
      </c>
      <c r="B2" s="8" t="n"/>
      <c r="C2" s="8" t="n"/>
    </row>
    <row r="3">
      <c r="A3" s="8" t="n"/>
      <c r="B3" s="8" t="n"/>
      <c r="C3" s="8" t="n"/>
    </row>
    <row r="4">
      <c r="A4" s="9" t="inlineStr">
        <is>
          <t>Campo</t>
        </is>
      </c>
      <c r="B4" s="9" t="inlineStr">
        <is>
          <t>Conteúdo</t>
        </is>
      </c>
      <c r="C4" s="9" t="inlineStr">
        <is>
          <t>Valores admissíveis / formato</t>
        </is>
      </c>
    </row>
    <row r="5">
      <c r="A5" s="8" t="inlineStr">
        <is>
          <t>ID</t>
        </is>
      </c>
      <c r="B5" s="8" t="inlineStr">
        <is>
          <t>Número sequencial interno do registo.</t>
        </is>
      </c>
      <c r="C5" s="8" t="inlineStr">
        <is>
          <t>Inteiro (1, 2, 3…)</t>
        </is>
      </c>
    </row>
    <row r="6">
      <c r="A6" s="8" t="inlineStr">
        <is>
          <t>N.º PA</t>
        </is>
      </c>
      <c r="B6" s="8" t="inlineStr">
        <is>
          <t>Número atribuído à PA pela Assembleia da República.</t>
        </is>
      </c>
      <c r="C6" s="8" t="inlineStr">
        <is>
          <t>Conforme publicado pela AR</t>
        </is>
      </c>
    </row>
    <row r="7">
      <c r="A7" s="8" t="inlineStr">
        <is>
          <t>Data Entrada</t>
        </is>
      </c>
      <c r="B7" s="8" t="inlineStr">
        <is>
          <t>Data de entrada da PA na AR.</t>
        </is>
      </c>
      <c r="C7" s="8" t="inlineStr">
        <is>
          <t>DD/MM/AAAA</t>
        </is>
      </c>
    </row>
    <row r="8">
      <c r="A8" s="8" t="inlineStr">
        <is>
          <t>Versão</t>
        </is>
      </c>
      <c r="B8" s="8" t="inlineStr">
        <is>
          <t>Versão da PA. Cada PA mantém o número original; as substituições registam-se em nova linha.</t>
        </is>
      </c>
      <c r="C8" s="8" t="inlineStr">
        <is>
          <t>Original · Substituição · Retirada</t>
        </is>
      </c>
    </row>
    <row r="9">
      <c r="A9" s="8" t="inlineStr">
        <is>
          <t>Partido</t>
        </is>
      </c>
      <c r="B9" s="8" t="inlineStr">
        <is>
          <t>Grupo parlamentar ou partido proponente.</t>
        </is>
      </c>
      <c r="C9" s="8" t="inlineStr">
        <is>
          <t>PSD · CH · PS · IL · L · PCP · CDS-PP · BE · PAN · JPP · Deputado único/não inscrito · Vários</t>
        </is>
      </c>
    </row>
    <row r="10">
      <c r="A10" s="8" t="inlineStr">
        <is>
          <t>Deputado/Proponente</t>
        </is>
      </c>
      <c r="B10" s="8" t="inlineStr">
        <is>
          <t>Deputado(s) subscritor(es), conforme a PA.</t>
        </is>
      </c>
      <c r="C10" s="8" t="inlineStr">
        <is>
          <t>Texto</t>
        </is>
      </c>
    </row>
    <row r="11">
      <c r="A11" s="8" t="inlineStr">
        <is>
          <t>Artigo Alterado</t>
        </is>
      </c>
      <c r="B11" s="8" t="inlineStr">
        <is>
          <t>Artigo ou mapa da Proposta de Lei alterado, aditado ou eliminado.</t>
        </is>
      </c>
      <c r="C11" s="8" t="inlineStr">
        <is>
          <t>Ex.: formato «Art. n.º (alteração)», «Artigo novo», «Mapa n.º»</t>
        </is>
      </c>
    </row>
    <row r="12">
      <c r="A12" s="8" t="inlineStr">
        <is>
          <t>Tipo de PA</t>
        </is>
      </c>
      <c r="B12" s="8" t="inlineStr">
        <is>
          <t>Natureza da PA.</t>
        </is>
      </c>
      <c r="C12" s="8" t="inlineStr">
        <is>
          <t>Receita · Despesa · Norma orçamental · Alteração a legislação avulsa · Autorização legislativa</t>
        </is>
      </c>
    </row>
    <row r="13">
      <c r="A13" s="8" t="inlineStr">
        <is>
          <t>Tema</t>
        </is>
      </c>
      <c r="B13" s="8" t="inlineStr">
        <is>
          <t>Tema da PA.</t>
        </is>
      </c>
      <c r="C13" s="8" t="inlineStr">
        <is>
          <t>Texto (taxonomia a fixar pela DACDP)</t>
        </is>
      </c>
    </row>
    <row r="14">
      <c r="A14" s="8" t="inlineStr">
        <is>
          <t>Área Governativa</t>
        </is>
      </c>
      <c r="B14" s="8" t="inlineStr">
        <is>
          <t>Área governativa abrangida.</t>
        </is>
      </c>
      <c r="C14" s="8" t="inlineStr">
        <is>
          <t>Texto, conforme a orgânica do Governo</t>
        </is>
      </c>
    </row>
    <row r="15">
      <c r="A15" s="8" t="inlineStr">
        <is>
          <t>Ministério</t>
        </is>
      </c>
      <c r="B15" s="8" t="inlineStr">
        <is>
          <t>Ministério responsável pela execução.</t>
        </is>
      </c>
      <c r="C15" s="8" t="inlineStr">
        <is>
          <t>Texto, conforme a orgânica do Governo</t>
        </is>
      </c>
    </row>
    <row r="16">
      <c r="A16" s="8" t="inlineStr">
        <is>
          <t>Descrição Sumária</t>
        </is>
      </c>
      <c r="B16" s="8" t="inlineStr">
        <is>
          <t>Descrição numa linha do conteúdo da PA.</t>
        </is>
      </c>
      <c r="C16" s="8" t="inlineStr">
        <is>
          <t>Texto</t>
        </is>
      </c>
    </row>
    <row r="17">
      <c r="A17" s="8" t="inlineStr">
        <is>
          <t>Impacto Receita (€)</t>
        </is>
      </c>
      <c r="B17" s="8" t="inlineStr">
        <is>
          <t>Impacto estimado na receita, em euros.</t>
        </is>
      </c>
      <c r="C17" s="8" t="inlineStr">
        <is>
          <t>Número; em branco se não quantificado</t>
        </is>
      </c>
    </row>
    <row r="18">
      <c r="A18" s="8" t="inlineStr">
        <is>
          <t>Impacto Despesa (€)</t>
        </is>
      </c>
      <c r="B18" s="8" t="inlineStr">
        <is>
          <t>Impacto estimado na despesa, em euros.</t>
        </is>
      </c>
      <c r="C18" s="8" t="inlineStr">
        <is>
          <t>Número; em branco se não quantificado</t>
        </is>
      </c>
    </row>
    <row r="19">
      <c r="A19" s="8" t="inlineStr">
        <is>
          <t>Fonte da Estimativa</t>
        </is>
      </c>
      <c r="B19" s="8" t="inlineStr">
        <is>
          <t>Origem da quantificação do impacto.</t>
        </is>
      </c>
      <c r="C19" s="8" t="inlineStr">
        <is>
          <t>Proponente · UTAO · Governo · Sem quantificação</t>
        </is>
      </c>
    </row>
    <row r="20">
      <c r="A20" s="8" t="inlineStr">
        <is>
          <t>Medida Anunciada (S/N)</t>
        </is>
      </c>
      <c r="B20" s="8" t="inlineStr">
        <is>
          <t>A medida foi anunciada publicamente antes da entrega da PA?</t>
        </is>
      </c>
      <c r="C20" s="8" t="inlineStr">
        <is>
          <t>S · N (data e fonte em Observações)</t>
        </is>
      </c>
    </row>
    <row r="21">
      <c r="A21" s="8" t="inlineStr">
        <is>
          <t>Relevância</t>
        </is>
      </c>
      <c r="B21" s="8" t="inlineStr">
        <is>
          <t>Classificação de relevância para apoio à decisão.</t>
        </is>
      </c>
      <c r="C21" s="8" t="inlineStr">
        <is>
          <t>Alta · Média · Baixa (justificação em Observações)</t>
        </is>
      </c>
    </row>
    <row r="22">
      <c r="A22" s="8" t="inlineStr">
        <is>
          <t>Necessita Análise Jurídica (S/N)</t>
        </is>
      </c>
      <c r="B22" s="8" t="inlineStr">
        <is>
          <t>A PA requer análise jurídica (PA normativas, cavaleiros orçamentais, legislação avulsa).</t>
        </is>
      </c>
      <c r="C22" s="8" t="inlineStr">
        <is>
          <t>S · N</t>
        </is>
      </c>
    </row>
    <row r="23">
      <c r="A23" s="8" t="inlineStr">
        <is>
          <t>Estado</t>
        </is>
      </c>
      <c r="B23" s="8" t="inlineStr">
        <is>
          <t>Fase da tramitação da PA.</t>
        </is>
      </c>
      <c r="C23" s="8" t="inlineStr">
        <is>
          <t>Entregue · Admitida · Substituída · Retirada · Em votação · Votada · Avocada a Plenário</t>
        </is>
      </c>
    </row>
    <row r="24">
      <c r="A24" s="8" t="inlineStr">
        <is>
          <t>Resultado Votação</t>
        </is>
      </c>
      <c r="B24" s="8" t="inlineStr">
        <is>
          <t>Resultado da votação, conforme guião/súmula de votação.</t>
        </is>
      </c>
      <c r="C24" s="8" t="inlineStr">
        <is>
          <t>Aprovada · Rejeitada · Prejudicada · Retirada · Aprovada parcialmente</t>
        </is>
      </c>
    </row>
    <row r="25">
      <c r="A25" s="8" t="inlineStr">
        <is>
          <t>Sentido de Voto</t>
        </is>
      </c>
      <c r="B25" s="8" t="inlineStr">
        <is>
          <t>Sentido de voto por partido.</t>
        </is>
      </c>
      <c r="C25" s="8" t="inlineStr">
        <is>
          <t>«Favor: …; Contra: …; Abstenção: …»</t>
        </is>
      </c>
    </row>
    <row r="26">
      <c r="A26" s="8" t="inlineStr">
        <is>
          <t>Data Votação</t>
        </is>
      </c>
      <c r="B26" s="8" t="inlineStr">
        <is>
          <t>Data da votação.</t>
        </is>
      </c>
      <c r="C26" s="8" t="inlineStr">
        <is>
          <t>DD/MM/AAAA</t>
        </is>
      </c>
    </row>
    <row r="27">
      <c r="A27" s="8" t="inlineStr">
        <is>
          <t>Observações</t>
        </is>
      </c>
      <c r="B27" s="8" t="inlineStr">
        <is>
          <t>Fonte (com ligação), ausência de dados, avocação, histórico de versões e outras notas.</t>
        </is>
      </c>
      <c r="C27" s="8" t="inlineStr">
        <is>
          <t>Texto</t>
        </is>
      </c>
    </row>
    <row r="28">
      <c r="A28" s="8" t="n"/>
      <c r="B28" s="8" t="n"/>
      <c r="C28" s="8" t="n"/>
    </row>
    <row r="29">
      <c r="A29" s="9" t="inlineStr">
        <is>
          <t>Preenchimento automático pela UPE</t>
        </is>
      </c>
      <c r="B29" s="8" t="n"/>
      <c r="C29" s="8" t="n"/>
    </row>
    <row r="30">
      <c r="A30" s="8" t="inlineStr">
        <is>
          <t>As colunas B, C, E, F, G, L, S, T, U e V e as ligações em W são preenchidas a partir dos dados abertos da Assembleia da República em cada captura automática. As colunas X em diante são informação adicional publicada pela AR: tema, incidência, natureza e estado da PA, avocação, identificadores e ligações. As restantes colunas do modelo (D, H a K, M a R e o texto de W) são da DACDP e nunca são alteradas pela sincronização.</t>
        </is>
      </c>
      <c r="B30" s="8" t="n"/>
      <c r="C30" s="8" t="n"/>
    </row>
    <row r="31">
      <c r="A31" s="8" t="n"/>
      <c r="B31" s="8" t="n"/>
      <c r="C31" s="8" t="n"/>
    </row>
    <row r="32">
      <c r="A32" s="9" t="inlineStr">
        <is>
          <t>Fontes oficiais</t>
        </is>
      </c>
      <c r="B32" s="8" t="n"/>
      <c r="C32" s="8" t="n"/>
    </row>
    <row r="33">
      <c r="A33" s="8" t="inlineStr">
        <is>
          <t>Página do OE na COFAP</t>
        </is>
      </c>
      <c r="B33" s="8" t="inlineStr">
        <is>
          <t>https://www.parlamento.pt/sites/COM/XVIILeg/5COFAP/Paginas/OE2026.aspx</t>
        </is>
      </c>
      <c r="C33" s="8" t="n"/>
    </row>
    <row r="34">
      <c r="A34" s="8" t="inlineStr">
        <is>
          <t>Dados abertos — Orçamento do Estado</t>
        </is>
      </c>
      <c r="B34" s="8" t="inlineStr">
        <is>
          <t>https://www.parlamento.pt/Cidadania/Paginas/DAOE.aspx</t>
        </is>
      </c>
      <c r="C34" s="8" t="n"/>
    </row>
    <row r="35">
      <c r="A35" s="8" t="inlineStr">
        <is>
          <t>Painel UPE</t>
        </is>
      </c>
      <c r="B35" s="8" t="inlineStr">
        <is>
          <t>https://upe-sggov.github.io/oe2027-pa/</t>
        </is>
      </c>
      <c r="C35" s="8" t="n"/>
    </row>
    <row r="36">
      <c r="A36" s="8" t="inlineStr">
        <is>
          <t>Repositório</t>
        </is>
      </c>
      <c r="B36" s="8" t="inlineStr">
        <is>
          <t>https://github.com/upe-sggov/oe2027-pa</t>
        </is>
      </c>
      <c r="C36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70" customWidth="1" min="4" max="4"/>
    <col width="12" customWidth="1" min="5" max="5"/>
  </cols>
  <sheetData>
    <row r="1" ht="30" customHeight="1">
      <c r="A1" s="1" t="inlineStr">
        <is>
          <t>Data/hora</t>
        </is>
      </c>
      <c r="B1" s="1" t="inlineStr">
        <is>
          <t>Fonte</t>
        </is>
      </c>
      <c r="C1" s="1" t="inlineStr">
        <is>
          <t>Ligação</t>
        </is>
      </c>
      <c r="D1" s="1" t="inlineStr">
        <is>
          <t>Resultado da consulta</t>
        </is>
      </c>
      <c r="E1" s="1" t="inlineStr">
        <is>
          <t>N.º PA novas</t>
        </is>
      </c>
    </row>
    <row r="2">
      <c r="A2" s="8" t="inlineStr">
        <is>
          <t>2026-10-26 18:44 UTC</t>
        </is>
      </c>
      <c r="B2" s="8" t="inlineStr">
        <is>
          <t>Dados abertos da AR — ficheiro de PA da edição</t>
        </is>
      </c>
      <c r="C2" s="8" t="inlineStr">
        <is>
          <t>https://www.parlamento.pt/Cidadania/Paginas/DAOE.aspx</t>
        </is>
      </c>
      <c r="D2" s="8" t="inlineStr">
        <is>
          <t>Ficheiro OEPropostasAlteracao2026Or_json.txt: 2076 PA (2193 registos); última entrada 2025-11-07 20:00; atualizado pela AR: —</t>
        </is>
      </c>
      <c r="E2" s="8" t="n">
        <v>0</v>
      </c>
    </row>
    <row r="3">
      <c r="A3" s="8" t="inlineStr">
        <is>
          <t>2026-10-26 18:41 UTC</t>
        </is>
      </c>
      <c r="B3" s="8" t="inlineStr">
        <is>
          <t>Dados abertos da AR — ficheiro de PA da edição</t>
        </is>
      </c>
      <c r="C3" s="8" t="inlineStr">
        <is>
          <t>https://www.parlamento.pt/Cidadania/Paginas/DAOE.aspx</t>
        </is>
      </c>
      <c r="D3" s="8" t="inlineStr">
        <is>
          <t>Ficheiro OEPropostasAlteracao2026Or_json.txt: 2076 PA (2193 registos); última entrada 2025-11-07 20:00; atualizado pela AR: —</t>
        </is>
      </c>
      <c r="E3" s="8" t="n">
        <v>2193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50" customWidth="1" min="3" max="3"/>
    <col width="40" customWidth="1" min="4" max="4"/>
  </cols>
  <sheetData>
    <row r="1">
      <c r="A1" s="5" t="inlineStr">
        <is>
          <t>Calendário oficial e documentos publicados (situação a 26/10/2026)</t>
        </is>
      </c>
    </row>
    <row r="3">
      <c r="A3" s="6" t="inlineStr">
        <is>
          <t>Data</t>
        </is>
      </c>
      <c r="B3" s="6" t="inlineStr">
        <is>
          <t>Momento / Documento</t>
        </is>
      </c>
      <c r="C3" s="6" t="inlineStr">
        <is>
          <t>Fonte oficial</t>
        </is>
      </c>
      <c r="D3" s="6" t="inlineStr">
        <is>
          <t>Observações</t>
        </is>
      </c>
    </row>
    <row r="4">
      <c r="A4" s="8" t="inlineStr">
        <is>
          <t>—</t>
        </is>
      </c>
      <c r="B4" s="8" t="inlineStr">
        <is>
          <t>Resultado das votações em Comissão 1.º Dia (20.11.2025) - Artigo 2.º a Artigo 62.º-A (exceto Artigo 7.º + Artigo 53.º)</t>
        </is>
      </c>
      <c r="C4" s="8" t="inlineStr">
        <is>
          <t>https://app.parlamento.pt/webutils/docs/doc.pdf?path=3tlJ2UuiPRSNFcBby0XoDS3e5ZeDrETl1J4BMwqhYfqoFkz92ae0Q%2bdq0hFumIBcM8lBg3idm7v59tZ7UtiGYBGniGroJ49sTbN4CJ02B94hI%2f1Ipc0qclbuKc70%2fY5hscIyz33S2VpGw%2fnNLKa7q7ZzrcGsstxvjeQaR5tCkn70XzYNEJYxM0oxMOhPm4zBdMizPBPqDsK2obRRm89V6ss6T1Kqv6PnVr78yWJgLqKAZn0Eyygv92JcjspWNtC3zHWp32UZKqyLjceYpPI6tbAGvPsHbLnxtgPIZM1EdDvuiB0hDO%2b9aAgQpVZjkPo2Fj59SeZqOBviTY3bTvrYnRJvgaunHVdu91IzOs5DivLwOSw8%2fhIdbWnEP0nKj1oiWqdtnLa60TU3LfciLsuuhGZ8aSFGBtcXkvgxrrQcCEU8R1gpv%2bWKlZQga4D%2f60%2bdoOxWQ4SSXCRg6IIIT5xWAsBDtjIp%2bPnaZqFBEYeJz%2fqnUHzAot0AEt2%2bzur0BljY2sInLTRbMf0K40i%2fOMgc8WRiimTzu1L%2bZ5BcZqxAk%2fqLN%2bbveVZR7wYEDEZZ1A4wat384DqvM3jdH5o5wiH6xGNn9O8bMRPHtVobyww8EMrXxo1oJc%2b%2feGG8XA9wZy2T&amp;fich=Resultado+das+vota%c3%a7%c3%b5es+em+Comiss%c3%a3o+1.%c2%ba+Dia+(20.11.2025)+-+Artigo+2.%c2%ba+a+Artigo+62.%c2%ba-A+(exceto+Artigo+7.%c2%ba+%2b+Artigo+53.%c2%ba).pdf&amp;Inline=true</t>
        </is>
      </c>
      <c r="D4" s="8" t="inlineStr">
        <is>
          <t>Registado no painel em 2026-10-26 18:41</t>
        </is>
      </c>
    </row>
    <row r="5">
      <c r="A5" s="8" t="inlineStr">
        <is>
          <t>—</t>
        </is>
      </c>
      <c r="B5" s="8" t="inlineStr">
        <is>
          <t>Resultado de votações Plenário - Dia 21-11-2025</t>
        </is>
      </c>
      <c r="C5" s="8" t="inlineStr">
        <is>
          <t>https://app.parlamento.pt/webutils/docs/doc.pdf?path=h3AEE%2fTTXfXK3PG%2flqS28%2fTQw%2b3xUtg5CQugXfVIlmaJFtlvfrOZ8n%2fMU2NGMh8N%2fR2080kCWHobSV3D6d%2bfzY97UBdd1y3eZTulU0LXLp1iwcr2VEU9KBgkVuw6yWIUXItj5Q1zZk4kFFM2gao%2fqAkNjqOvUYrZAYj3TFLKODnYrDbJuPrQaw6%2bf9XY%2fUEZprk%2foIpbarao7%2ffKbw5AZXkkKyTBnfr9xCcu40op8rdQvznsUT2Os9wzTFtP9%2fZjagaD%2f2gXUN4wvo8ZXgdjqM4PHlgXL1425EEjUqNpdgF4Of2z%2b7PDs3dBZ1l7njsSw5IIJhJ5KVNaMfsOKHqH2EN1uy9Y6IyD9GalZv0HZuabnuoQzK7gjqhuXpxrucL5Jq4BdYntA%2bwhytSIMc7BoXddo%2fh1NtClFZm26jaaE0Q%3d&amp;fich=Resultado+de+vota%c3%a7%c3%b5es+-+Dia+21-11-2025.pdf&amp;Inline=true</t>
        </is>
      </c>
      <c r="D5" s="8" t="inlineStr">
        <is>
          <t>Registado no painel em 2026-10-26 18:41</t>
        </is>
      </c>
    </row>
    <row r="6">
      <c r="A6" s="8" t="inlineStr">
        <is>
          <t>—</t>
        </is>
      </c>
      <c r="B6" s="8" t="inlineStr">
        <is>
          <t>Resultado das votações em Comissão 2.º Dia (21.11.2025) - Artigo 63.º a Artigo 112.º-E</t>
        </is>
      </c>
      <c r="C6" s="8" t="inlineStr">
        <is>
          <t>https://app.parlamento.pt/webutils/docs/doc.pdf?path=Od%2fpGeJe28nrPzhuzzOtOhYYBFN%2fYYTTmKxUUwruC%2bdbPY6ds%2bwg6Ll2eK15ig2R5Z72YDL%2fB5vFmVw2ntO8Rw9y6eKXVo1Q3n8OiIMONtyGh4%2fN2HOYA9gFLOyuIVp9T2IfTqukn6316mPEgQWG%2frgZH9Wp9%2fHTfRfxTW5f9HxNJs%2flocNTrJEsIQBNy6rUJpn4kPPQoizjHEVDhwwU0QXCgmr6wwHBRKqYarpAHlD5sEx%2b5A69gWBXoobhA71JPtrgvk33GrH4P2Mr2flDkB3%2b02jHuaT9T2l8opCYec3hpngSNNK1lpPUQ46HRSCd8UVuxMZb1K5AZlC8Zij7x8%2btwqBu2sAdQYBfvic7cGO%2b4VVd2HtSKhprb4zg5Ep%2fxUl7rXNyOHV%2bCu1d9w5JbdeyzuRTapo1%2bgkFh7JbZgqYqMf7VMtUB2FGlwjCa15%2fKU%2fuQa8eJFbfvccnl6MQE4fOIqMms6wmyvxRWhDI5tluXQr%2bougfnn4wG18gzgxzVFn3amauOdZYgtW34XVQP4uCRvYVcACbSVdoifsbwM0%3d&amp;fich=Resultado+das+vota%c3%a7%c3%b5es+em+Comiss%c3%a3o+2.%c2%ba+Dia+(21.11.2025)+-+Artigo+63.%c2%ba+a+Artigo+112.%c2%ba-E.pdf&amp;Inline=true</t>
        </is>
      </c>
      <c r="D6" s="8" t="inlineStr">
        <is>
          <t>Registado no painel em 2026-10-26 18:41</t>
        </is>
      </c>
    </row>
    <row r="7">
      <c r="A7" s="8" t="inlineStr">
        <is>
          <t>—</t>
        </is>
      </c>
      <c r="B7" s="8" t="inlineStr">
        <is>
          <t>Resultado de votações Plenário - Dia 24-11-2025</t>
        </is>
      </c>
      <c r="C7" s="8" t="inlineStr">
        <is>
          <t>https://app.parlamento.pt/webutils/docs/doc.pdf?path=QP%2fmj2jjEuVXq6KEexux15p1q71IbATuBfM8wqhYZ5CpNPCBMmDuxHxwTkaNvgrj53vKGmFNOsB0tEM5jlBy2OcFWnnV5vfsPkzXMG86LWhkS8wWLm1N5bP%2bqeDbCCHnIZZnECUI7DpW699CqQbxgJqpcFFIpdfHrRhoAfUfS9PM9r%2bSJzsaqLrY7AaLUtsoRU7Airt9QvQUScj5YMQC57SoJxiURRy7nHQH9vz8WOeo3vQO8YxQQUrZkI%2bwsFjnhlMoKHKoqZfL01I7UNctG%2fgUJlh2Ae2Hlem3tIAUzCLRrTHpiAeisfbER8iYwgVfjBx6Bw2ONBfhwQJwKdelh5FMRv4ZOLJaj3NDYQQVZuVYzCP0Bqgls5Y0ZyvOOjvEYd6wCLvkG3bnWuSkCj7DCJuTV9dQHedc2ickZBLRNWE%3d&amp;fich=Resultado+de+vota%c3%a7%c3%b5es+-+Dia+24-11-2025.pdf&amp;Inline=true</t>
        </is>
      </c>
      <c r="D7" s="8" t="inlineStr">
        <is>
          <t>Registado no painel em 2026-10-26 18:41</t>
        </is>
      </c>
    </row>
    <row r="8">
      <c r="A8" s="8" t="inlineStr">
        <is>
          <t>—</t>
        </is>
      </c>
      <c r="B8" s="8" t="inlineStr">
        <is>
          <t>Resultado das votações em Comissão 3.º Dia (24.11.2025) - Artigo 113.º a Artigo 134.º-A</t>
        </is>
      </c>
      <c r="C8" s="8" t="inlineStr">
        <is>
          <t>https://app.parlamento.pt/webutils/docs/doc.pdf?path=M2WHnCUQTMzeZcrUA4XH%2b24y1rUvplIWMIbpQZMB6CtTtYqJV4X%2fNiMwZ38fT%2fdAMUCpm%2fudkKrMzvGsI%2bG%2bOE9r1WMWctuS%2bZziG7aIS3blmb7H6bwH7MD%2bV40MxDFN9LKelOk29oqwIuPEQiXQ1OZ3YzOofjQX2qqyza%2bVEg46GGD8gPqbYfy%2fxon6O98iTt82Ja1u6HXXogQRSLwATG6vQy6hjv8wQtXN%2fb4%2bqFPA653dDC7xDuH8GP%2bKrsJ5TotgI0WgPk7d1hV%2fKUntjVh%2bTbDrPmU2fv0Nr9WGkL7kN79fP3%2fl9x6ZSWA8RxHRs4Di8lP4FOzMPG850SvvRzJcCQkLvDoXkawHhRaM%2fJmqmbh0yA1unOS92biwGzg4%2briVuSnrTbPUoK%2fAPnC4Kmb3uZ3jkGruFFq4%2fVPCWdcTBd%2fZcr8OUGDbo4NGdhXxYbasE%2fgVztXcLAmQtlrWAj4MAywo54ddWEz3PhrxE0b5TOuYxsQz%2f6zhPcbJH7872MltFMxjqzTclU88wIWyOQ%3d%3d&amp;fich=Resultado+das+vota%c3%a7%c3%b5es+em+Comiss%c3%a3o+3.%c2%ba+Dia+(24.11.2025)+-+Artigo+113.%c2%ba+a+Artigo+134.%c2%ba-A.pdf&amp;Inline=true</t>
        </is>
      </c>
      <c r="D8" s="8" t="inlineStr">
        <is>
          <t>Registado no painel em 2026-10-26 18:41</t>
        </is>
      </c>
    </row>
    <row r="9">
      <c r="A9" s="8" t="inlineStr">
        <is>
          <t>—</t>
        </is>
      </c>
      <c r="B9" s="8" t="inlineStr">
        <is>
          <t>Resultado de votações Plenário - Dia 26-11-2025</t>
        </is>
      </c>
      <c r="C9" s="8" t="inlineStr">
        <is>
          <t>https://app.parlamento.pt/webutils/docs/doc.pdf?path=YmluDq8tVVfAppT0S%2f2zbMFyhJSsfiwY9iwiH6XCTNUmF2AfiJSWleA9rMryI3gTTwwKhps%2bXcjtlX95otkE0z%2bkNDIE12YyIEt6vCA1OU6S6%2f%2fNA0KS6M7MUPFjQqlJxlh0n8T0yoHLYihY4i7k%2fAjrYBYoBmXQ4eE5tcAsYfQ1CyCS%2fWd%2fr0R0zF1VcmyTlsNNf4E3N3eD5gRkQJg0G%2fdk5hPaVI4YfsE50OUlUIq5HAS%2f9Po9VmYh97TjOx8VCckoBqw5X1h43RycNnDM43QmI8s%2bNVm4KsmRK44hDXRbgnDnkC%2ff8BiSjV2YWfdnyEy%2fj43Bwpvj9ejbenWyuYgI2a6%2fhI0y7SY2l5er6Rjll7%2bkKCrSxYqzkROCRKMizGeurIrKEjsjMRg5XFNceOT4ghjrPF2R8BmDZL3gr1lI3UWFb6%2bjPGg104muKrMo&amp;fich=Resultado+de+vota%c3%a7%c3%b5es+-+Dia+26-11-2025.pdf&amp;Inline=true</t>
        </is>
      </c>
      <c r="D9" s="8" t="inlineStr">
        <is>
          <t>Registado no painel em 2026-10-26 18:41</t>
        </is>
      </c>
    </row>
    <row r="10">
      <c r="A10" s="8" t="inlineStr">
        <is>
          <t>—</t>
        </is>
      </c>
      <c r="B10" s="8" t="inlineStr">
        <is>
          <t>Resultado de Votações Plenário - Dia 27-11-2025</t>
        </is>
      </c>
      <c r="C10" s="8" t="inlineStr">
        <is>
          <t>https://app.parlamento.pt/webutils/docs/doc.pdf?path=4VlLIWuUGU5Zk7CWBpQlhtKtR8XYGFr%2fqCqc954BzrL57RJR48b5mjXZu%2fLw3xmjSMvzZUCopsaeHUgG4rC1HeEfBykvVH3NrHzm2xRZAPMBoH5i4G4xX9jFRHJf3hBoboHL%2bx48uqto9CciYV49RprmgVWzGwQ2IJxgVlvsfhl9h4hHNghQXrZfH7ZniULsAuJGIVjhU1D2MDNPp9v9iIYP0vGO7Ysgb%2bLaJ6S8ArxFM6dCAXAP1CEFWyvjNPZ4LZlRM1zziqBvb2QmZz6j5D1WskPfAaHFcNQUnL4w5dyw8HQ%2f9lTTNw3YEgPEbkpEbkPLEc9oOJC%2bJr2VSkiqBl6gNpPN3NcdxaSruvp3GVk6XmaOFPgNyJ1jFMo6VJxG7MrI5TN19zjjKs62uwyNcCvwuU9flXQkEXXAjhFBcnM%3d&amp;fich=Resultado+de+vota%c3%a7%c3%b5es+-+Dia+27-11-2025.pdf&amp;Inline=true</t>
        </is>
      </c>
      <c r="D10" s="8" t="inlineStr">
        <is>
          <t>Registado no painel em 2026-10-26 18:41</t>
        </is>
      </c>
    </row>
    <row r="11">
      <c r="A11" s="8" t="inlineStr">
        <is>
          <t>—</t>
        </is>
      </c>
      <c r="B11" s="8" t="inlineStr">
        <is>
          <t>Resultado das votações em Comissão 4.º Dia (26.11.2025) - Artigo 135.º a Artigo 139.º + Artigo 53.º + Artigo 7.º + Artigo 1.º</t>
        </is>
      </c>
      <c r="C11" s="8" t="inlineStr">
        <is>
          <t>https://app.parlamento.pt/webutils/docs/doc.pdf?path=eckHxNWxYhKzRzbyXUruWs1LbK5VX%2bNKe4oRR1j7PJ4ZcJfQdxbmIR2yLwDLssSZX3jPz7D8HgooJmpr%2fc6%2bbsI65mzSdtICkwsmFf8Jj7AtO2cbBxeTWnUr9u9Xb005u7JUX9hn6qW018ogvqyhsXhBZw6ihHtIRjy6In4JlYOkTZVImtAAjlkQLTAqe6n15AcIzfI5jnh7PMaPaVvvwmsa04ZUlhAI1flskjrAEqmb67FA%2fZxEbWMuDbHWr44%2bai3VnNQIi2AW0PvA5PHbj0TaX81%2fxpbsbZNIrh6yNIa2nwVprE2Szm8tILhnYDGmhJFfcp03cpopxb7PNRncQ5FiPRwoAqEqWtQshbZqYo%2bzHZBduu6uAGMe0jCXTQmRTd6Nptt%2fQFyKediVHeikqjuV2p77%2fwYKnMZiC3iGjWUIvWGaY44K2imfXd3Yt7szF0rIzmJx0gXAZ5bzeT%2fcYn4sHcGfgvEyAkEX%2fuQm4sw8fTV7a4g2dNVO58PWC4Q4YXKL4iD1STu5afwetphUfY1CEK9uwnfgHDLjM9JxB62x041NrH4V9BSVSJyxIIJgGalnrpO3lu6c8QY%2fGUqnYJ%2fWe84f%2fAqxg1zbPkZj9EaY9PdmdMdqhI2Uxk3BOHzICSW76KCA4mcF%2bRUL2vXf6kwaX4ljJWBVVV2GnOOuHrU%3d&amp;fich=Resultado+das+vota%c3%a7%c3%b5es+em+Comiss%c3%a3o+4.%c2%ba+Dia+(26.11.2025)+-+Artigo+135.%c2%ba+a+Artigo+139.%c2%ba+%2b+Artigo+53.%c2%ba+%2b+Artigo+7.%c2%ba+%2b+Artigo+1.%c2%ba.pdf&amp;Inline=true</t>
        </is>
      </c>
      <c r="D11" s="8" t="inlineStr">
        <is>
          <t>Registado no painel em 2026-10-26 18:41</t>
        </is>
      </c>
    </row>
    <row r="12">
      <c r="A12" s="8" t="inlineStr">
        <is>
          <t>—</t>
        </is>
      </c>
      <c r="B12" s="8" t="inlineStr">
        <is>
          <t>Guião Comissão - Artigos 2.º a 62.º-A, exceto Artigo 7.º e 53.º</t>
        </is>
      </c>
      <c r="C12" s="8" t="inlineStr">
        <is>
          <t>https://app.parlamento.pt/webutils/docs/doc.pdf?path=BPMtsE3xe%2ftBK2SzEKzgnuPjvbPEBjZnBY815f69ejXAuz6AeTqKVY%2fFzNebieYygy8xsiMLKFRaUiQx8MbwIW1w%2f73sSHdty0Nk0sSWli%2bNeNzk7gdlHFLgNiTDfXbCRHTowX6rlBJEk%2bxDpse3%2bxZlRIKcutZN8P4c2YTxOCpWm4I1t7AhkG17MIqLe4vrc0EoF41gI7aT9vIcO%2fPD9UAFU0LxgGe4cT5f5TYgWjx1pQKrfxrMsTwU5JUBYkS6SRHkiT%2fdTNa9yrOqm1onqYiq2cIQntMZBnb58oPOh4fT0qZsdRRoTr8bOyupDL3jiSFMqA338KKxW1YfZPkjTYjqUM1RlicXANIwEYIKxh%2bLl2gfJyXf5A6Duu%2f7nAcOaqdEJr6xkc5fM1dpRAUaIgND%2ftdr1Z%2fzpWPBIINA4WqZa7db%2bAJ2isGTdAgZCNa9MSIQ690OJ34Lndf2XTDHNsXpb9IYA2%2bhPCmYTS7o5lVEVqa6TMRcPIJivt0y3OEBeSBFxXul9TTnxcnKrMdPHQ%3d%3d&amp;fich=Gui%c3%a3o+-+1.%c2%ba+dia+-+Artigo+2.%c2%ba+a+62.%c2%ba-A+excepto+7.%c2%ba+e+53.%c2%ba.pdf&amp;Inline=true</t>
        </is>
      </c>
      <c r="D12" s="8" t="inlineStr">
        <is>
          <t>Registado no painel em 2026-10-26 18:41</t>
        </is>
      </c>
    </row>
    <row r="13">
      <c r="A13" s="8" t="inlineStr">
        <is>
          <t>—</t>
        </is>
      </c>
      <c r="B13" s="8" t="inlineStr">
        <is>
          <t>Guião - 1.º dia - Artigo 2.º a 62.º-A excepto 7.º e 53.º - consolidado</t>
        </is>
      </c>
      <c r="C13" s="8" t="inlineStr">
        <is>
          <t>https://app.parlamento.pt/webutils/docs/doc.pdf?path=vfAKDJIAEJzdAXEtHynjZTY4MYn7Jt5rARDxf%2fG9YBW2ex4gOUMenlemAt%2ffsaogmt6YRwlDgSZIqDJHDoN18AcY2Z5h7o17QI1TeSry7PmPDkX4A8k1Z1sk17mkNOAJppugPRFAOV%2fKCJ9foVD%2fDDcJVrjgTQsl7J3BkRzi%2bNZa0xVsDUC%2bvJ0Te5k6O2qhpYbCpXGTZIPxhGGRBhtKfj3gdq3ho5cVCLdepNc0hRHddHGTotry4E4MW6XuqN2X%2fTenrn5crBTaapyjTI42lDZM6HXE41r8eNQIGbki9EtQVmRsrYEDfh7FHbPzw4U%2bzIbGSAqTdYwvag26oBtuYJtgCdi%2fkI%2fXuwqjUcjDAxv%2bJeFK8AcH5zaKTLeeHZpSIhXYqwlhCCHBNjRGcOkVBiCO0r3USEmiPqQWb%2b1g06uxihHw8fx56Eo247Dd%2b32nrAR%2b%2bgU5dk3EMWWLXWYrv6UNv0tzJZXeKBGgUJk3BUKEXdKsXUFIRi66w0mITCpizx5eChAyI9vm4B3wggIlfyFPNTA4zgHBesl5AXwkpIE%3d&amp;fich=Gui%c3%a3o+-+1.%c2%ba+dia+-+Artigo+2.%c2%ba+a+62.%c2%ba-A+excepto+7.%c2%ba+e+53.%c2%ba+-+consolidado.pdf&amp;Inline=true</t>
        </is>
      </c>
      <c r="D13" s="8" t="inlineStr">
        <is>
          <t>Registado no painel em 2026-10-26 18:41</t>
        </is>
      </c>
    </row>
    <row r="14">
      <c r="A14" s="8" t="inlineStr">
        <is>
          <t>—</t>
        </is>
      </c>
      <c r="B14" s="8" t="inlineStr">
        <is>
          <t>Guião Comissão - Artigos 63.º a 112.º-E</t>
        </is>
      </c>
      <c r="C14" s="8" t="inlineStr">
        <is>
          <t>https://app.parlamento.pt/webutils/docs/doc.pdf?path=5O9dh0WChjJVdyNDHXASYujtFIWgI3T4FS3brJ92afylVph%2bucQdaV1PVhq12X%2fLt3VKa89beYxkGtzDdVylZG2RaMjObbPeLOV5jHWkMkvyIxURsqk6O9LSBW7XwiWLfdh9FgZzyusC363gOGvjp1JXFxAz7WA7AssawhB%2b092RG5Yw3qaJ6JYRhGZqIOhJ46NTZuTDu0nZJ0nqk0imlDnaQ6enUagTnFz0i8plLDmLUQgpuG5049n5rnWw0d7qBzMENXIoe7kr6T0IznRIV98uAu6D1M9KH4cBo4VJ4E73HLoTSyWfguDLgj5MvgQtC1Mb8p4jmbhc1ld6GROpBK9pQ6bMTBYnuWqymy2K0RY9mMVW9EjuHZne7r8rwYhGR6KPrwPbeVs2s3eeoZQGowT4nrTNyY8dVwUn8fXQwbn8UW8NeGp0VGJJAF%2bNmQWY&amp;fich=Gui%c3%a3o+-+2.%c2%ba+dia+-+Artigo+63.%c2%ba+a+112.%c2%ba-E.pdf&amp;Inline=true</t>
        </is>
      </c>
      <c r="D14" s="8" t="inlineStr">
        <is>
          <t>Registado no painel em 2026-10-26 18:41</t>
        </is>
      </c>
    </row>
    <row r="15">
      <c r="A15" s="8" t="inlineStr">
        <is>
          <t>—</t>
        </is>
      </c>
      <c r="B15" s="8" t="inlineStr">
        <is>
          <t>Guião - 2.º dia - Artigo 63.º a 112.º-E - consolidado</t>
        </is>
      </c>
      <c r="C15" s="8" t="inlineStr">
        <is>
          <t>https://app.parlamento.pt/webutils/docs/doc.pdf?path=6YLTt9qeMzYXddRFRizW0X4RRLQvzqfa4CJ7oriO5XWaeGh%2fVqHjnOQT1cR71P%2fFxwzB9BiV%2fYbZe65YFw2kt4lcAlvUw6GWKPkYsRJ4pY9GC%2fQbFZwGgBe%2bp65R2xxvX%2bqdCAzw9HCdwY1Q8omh8XxBA1vQBHTbIBVQ5pDqfHw%2fSfMXPwEDdryNCcJGS41tLg%2bTU2%2f0NUp2vUxooZK00zy8cxJe%2facjsVtPKD2IkAGkuaGF%2fg9X%2be8E8TBX9NSDRfektMXE6ZIRLItiIeU3muj606YYwCbW0H4BgJgeJrD%2bcDUTiIDXYzSWfkWZ1S9gIxnBH3WfLMRh83R9OyENahq0Tj5NNFiTnwAS%2fOlqLRjqsF231et%2fQvAtW9uwy839rq3Mke5IU6BrlvNaaq76K43YHsbkCxa1fYfRES%2bP6o0yZBRlHkWBPeIDZy8m0GJKp25Xia2YTI7vKCHdZWVyF2sr3Sum8d7TF2GaCWTPiTkxBurG0ribtDOii9REhISecTIfdeQwLMbyZDXkr%2bDEYQ%3d%3d&amp;fich=Gui%c3%a3o+-+2.%c2%ba+dia+-+Artigo+63.%c2%ba+a+112.%c2%ba-E+-+consolidado.pdf&amp;Inline=true</t>
        </is>
      </c>
      <c r="D15" s="8" t="inlineStr">
        <is>
          <t>Registado no painel em 2026-10-26 18:41</t>
        </is>
      </c>
    </row>
    <row r="16">
      <c r="A16" s="8" t="inlineStr">
        <is>
          <t>—</t>
        </is>
      </c>
      <c r="B16" s="8" t="inlineStr">
        <is>
          <t>Guião Plenário - Dia 21-11-2025 - Artigo remetido a Plenário e normas avocadas</t>
        </is>
      </c>
      <c r="C16" s="8" t="inlineStr">
        <is>
          <t>https://app.parlamento.pt/webutils/docs/doc.pdf?path=gzYp5F0OQVkKeFF4Y25nOtzQL%2fDtAGW6%2bUksGB78lA2qN%2f0WPukQ8N2fRZtvh9tF3o9Szdi%2fvE%2bNVL47%2fCLbvg8anIyo0GWmbQSJdvv0S5zP5NA%2fI46AxDsKuL5KrVj7HWbLZ7BNJ%2b9pRhbcp61NdlUqod3B7Jy1TUiDmKzCbGz6QEnE69N%2bfM3XYsAUCd9Tll%2bS4uXQqXr1g1e1Rpk8z%2fNxBCW67PSl7zOn7G3rKRc4S4AgpSZVnoE9KKlFtzZUGf5NzBdJOtDruQTknuH6ogQA3c02lAbUV9TyucsZkj2N3rLibUouw8yXfttfWrkjoDzXuqZW%2bv6hL6YKMA%2ftFKqJXtKUFzMoVX1lMYUn%2fMoxOoPF48X9WXkqEQA2gd9Y1v%2fOp3VgXmg%2bM%2b0Z0b09LkSiUj5Ne0Hk%2f%2bNqgYRawZs%3d&amp;fich=Gui%c3%a3o+Plen%c3%a1rio+-+Dia+21-11-2025.pdf&amp;Inline=true</t>
        </is>
      </c>
      <c r="D16" s="8" t="inlineStr">
        <is>
          <t>Registado no painel em 2026-10-26 18:41</t>
        </is>
      </c>
    </row>
    <row r="17">
      <c r="A17" s="8" t="inlineStr">
        <is>
          <t>—</t>
        </is>
      </c>
      <c r="B17" s="8" t="inlineStr">
        <is>
          <t>Dossier de Acompanhamento Plenário - Dia 21-11-2025- Artigo remetido a Plenário e normas avocadas</t>
        </is>
      </c>
      <c r="C17" s="8" t="inlineStr">
        <is>
          <t>https://app.parlamento.pt/webutils/docs/doc.pdf?path=C3FajUMdw8CGolk4xqlyMW%2f6dnZt%2fAinRmdrlgJuBrDUsaQAT5l%2b62fjloszGNZ9d6idITgT9pONNwvkvQcNzk8NldkfWG%2fESPhXgJpNwfHRwrk%2bCUM0DkSdm3v1YAtpM%2fyla06fuDatgDFJysDFThM99MFFGJGhyiG0v1y%2bCso2Kw2q%2f6%2bb%2bJ%2fGGhbRRKRr9QDjqprMNUBuf25xeSXlI5noqQzVs%2bQXf5b58HSXDe1eeOrKLpAuXKl0BwdLB%2bwoZwkNH%2boypZkBwhFiqMX1SMZku%2ft5Qlw6cXCcgMzRi%2f4NMiFMaqHPkhWSyWJRCcniXYgM56Qp%2b4KippGFlxdeiFESeYdd%2fyUDfdqZ2AfFTbO7A%2fziw9lXaI8v49j0gTRxOC1LReC%2fqGhD0x4bzA67dlKqsDz28ayi%2flrrqDR%2bgW9UsBu7pIhVC8dy1YpyJgUqcVpRZ6ZImJnZsGm9QlAiLyjA%2bmgM8Wsdqq6tgWRoqr0%3d&amp;fich=Dossier+de+Acompanhamento+Plen%c3%a1rio+-+Dia+21-11-2025.pdf&amp;Inline=true</t>
        </is>
      </c>
      <c r="D17" s="8" t="inlineStr">
        <is>
          <t>Registado no painel em 2026-10-26 18:41</t>
        </is>
      </c>
    </row>
    <row r="18">
      <c r="A18" s="8" t="inlineStr">
        <is>
          <t>—</t>
        </is>
      </c>
      <c r="B18" s="8" t="inlineStr">
        <is>
          <t>Guião Comissão - Artigos 113.º a 134.º-A</t>
        </is>
      </c>
      <c r="C18" s="8" t="inlineStr">
        <is>
          <t>https://app.parlamento.pt/webutils/docs/doc.pdf?path=ySByRcJ1zI6hRq%2bjhobybZa6mdxuJ6dqZ4cD%2bq52eGvl77Jad48EjrrxFbeGRVCbmgEEggTrelyPKkyYXVFT8RKlegQD2zrxAEbUXlZllA%2fRsOIvZEMQdsJ97hmh%2fymJLnAeDhtzBdjcGMsvKKxUpElBXMra%2bi%2bLFnp3%2bA1cCS1H0LEoQZ5DvyAP3TQY0uS287hDfxpjLSv%2bcnnPdUFabZFHxNkBXBllkDgiqmuXgwFTZPwnDKtzpoHOcgJ6PIt46vTc3tF7%2fjIPmwcUbiYfAAPHNReVvooWQLf0bs0d4rzEVAWMyIYrEPSBE2qDgMmDV2wAIv5tTu7caHuloSSA8OHQVqu2E89IZG5OgbxJN%2b8gFqlxxs%2bhO4AsoyOVVmAcPULH%2bVHwujE5yasEMXv1UakmoSrX7ia%2fT7L7VMfWaNJL9EM2eBqMRI40r6V8So1n&amp;fich=Gui%c3%a3o+-+3.%c2%ba+dia+-+Artigo+113.%c2%ba+a+134.%c2%ba-A.pdf&amp;Inline=true</t>
        </is>
      </c>
      <c r="D18" s="8" t="inlineStr">
        <is>
          <t>Registado no painel em 2026-10-26 18:41</t>
        </is>
      </c>
    </row>
    <row r="19">
      <c r="A19" s="8" t="inlineStr">
        <is>
          <t>—</t>
        </is>
      </c>
      <c r="B19" s="8" t="inlineStr">
        <is>
          <t>Guião - 3.º dia - Artigo 113.º a 134.º-A - consolidado</t>
        </is>
      </c>
      <c r="C19" s="8" t="inlineStr">
        <is>
          <t>https://app.parlamento.pt/webutils/docs/doc.pdf?path=pa1kjOHmrFZCvrcSfQodQLScYk9JbQW9I3JLqSVjxnz3sLOvZCDuilwr%2brbatSmroldjdjFT92O5tEH1t25xbFZRR2%2fJkxQXPRdFv4WFz8IUTGNaunopYhh5sSY%2fiFnSC%2bFDQx1MZZe%2fg5rfA4B675iIN8DknA3mngnSsFQvT3JdHGxj%2fU%2bzXR%2b4lJWoBoPAhlQUidIvFfXG8cfhzL1zMSsQvOQCql3fWmqPFiQI3ay1QF7Lyg8BQnYArukLN1h8nzGmgUhhuA%2bJuUYtLgPe%2b%2b7vkbSTVVboMGkh93GHQEzP0FsJXyTxDL4aUJ2t4YNWqic3xOYphV734LS4Kw4qFixn%2ff%2b2FqucEy0QM7BLBxVlcIKVsHKu4oVWMxOImTEmnQJJTRbieWrsD18uSJ%2bhMpt%2fJUDzSaZ2qAb3NR92ZshcC%2bUG2%2fgiFm9q0S4tqfiy0LsDYEuMMLZuvDGsF%2fyTR8EcpIRVet2NWL%2fnooI7kw7J6IC%2bZSYc7M64bo1qcRF3&amp;fich=Gui%c3%a3o+-+3.%c2%ba+dia+-+Artigo+113.%c2%ba+a+134.%c2%ba-A+-+consolidado.pdf&amp;Inline=true</t>
        </is>
      </c>
      <c r="D19" s="8" t="inlineStr">
        <is>
          <t>Registado no painel em 2026-10-26 18:41</t>
        </is>
      </c>
    </row>
    <row r="20">
      <c r="A20" s="8" t="inlineStr">
        <is>
          <t>—</t>
        </is>
      </c>
      <c r="B20" s="8" t="inlineStr">
        <is>
          <t>Guião Plenário - Dia 24-11-2025 - Artigo remetido a Plenário e normas avocadas</t>
        </is>
      </c>
      <c r="C20" s="8" t="inlineStr">
        <is>
          <t>https://app.parlamento.pt/webutils/docs/doc.pdf?path=BD6AaHOI7AHOoDe7VyfQy8GjLZXkIecQMxZOySbh%2bjQuNrme5c5z%2bEq6X%2fTelII9m%2bHz1MmbHA4nP4FLSdO9uQvHk9rDFTXdNpO2yz%2fgQinrFjQXzsoNwbJ1mRJk30XcLNNdmxYaJIIQIMEN07V5l3ki05xYWndeHE6wqUtZViN3kgDn6TwDmoy5bWnrrwZZYIy%2bz5nY9bjWt1gc6i7ZRs0HWcyRxpN5faorAU9FzDyIqqn0x8%2bLS4fsJt0hETKOPAlo%2fTpy9WMadsbj%2bcaHSVnCF9JtDWWuZ%2bcg0zreTeIN75%2fhdNECw9YVVRCNEBrj5W9fCynDESnOlH1aPudR3OLpFGC6wah61HRQEF%2bebaC5dW9%2b1T2sXGmEm2A7wRyXrczn%2f8jtezPqM30GPRY4WEMPkMdgpyeLz2KFuVISwursbbwkkN1qsdTPOlgSq%2btQ&amp;fich=Gui%c3%a3o+Plen%c3%a1rio+-+Dia+24-11-2025.pdf&amp;Inline=true</t>
        </is>
      </c>
      <c r="D20" s="8" t="inlineStr">
        <is>
          <t>Registado no painel em 2026-10-26 18:41</t>
        </is>
      </c>
    </row>
    <row r="21">
      <c r="A21" s="8" t="inlineStr">
        <is>
          <t>—</t>
        </is>
      </c>
      <c r="B21" s="8" t="inlineStr">
        <is>
          <t>Dossier de Acompanhamento Plenário - Dia 24-11-2025- Artigo remetido a Plenário e normas avocadas</t>
        </is>
      </c>
      <c r="C21" s="8" t="inlineStr">
        <is>
          <t>https://app.parlamento.pt/webutils/docs/doc.pdf?path=tv3IZfP9URbfKpSj%2fqZqa5FC9q8jjkjg2FkTuDuPFj2%2bnqIG2GwGHpeWZrl48A3wk7Fjv7gWr1vmrYJKTOztbfQ9g8LyUn2XSDGdLJ2N2981dIdrRz22%2fhntkNa6VpBOs7QtIrnThQUXNVkBQW2k9nA%2fpIzIE5nKyGXRWhOl%2fuKGXMhFxvjrU3Z04cVB7eO25OpMZOoyuVKw5MzAQIvAKBcEpQu7mEAGg1I9EUfXJLitXGZr2hJAoqNT%2fOfZNpM00f0dEQi3n3641EjJlNzv2D73cKc8%2bG687FluTkMJV5tLHgZF6Xe%2f4wFbNoD0ywS3dAYQU4kgnc%2fByF28eiiac8fugSqPWHmgz3Zwe3ZsLHkWrPIvLaTye8Oi%2fGBmN7PCDZapVNFCH%2fDeOhV9ArzAkIG8UNNmCszTl4uviC2WHwV9es%2fJsVwxl7D9csF9YNJT&amp;fich=Dossier+de+Acompanhamento+Plen%c3%a1rio-Dia+24-11-2025.pdf&amp;Inline=true</t>
        </is>
      </c>
      <c r="D21" s="8" t="inlineStr">
        <is>
          <t>Registado no painel em 2026-10-26 18:41</t>
        </is>
      </c>
    </row>
    <row r="22">
      <c r="A22" s="8" t="inlineStr">
        <is>
          <t>—</t>
        </is>
      </c>
      <c r="B22" s="8" t="inlineStr">
        <is>
          <t>Guião Comissão - Artigos 135.º a 139.º + 53.º, 7.º e 1.º</t>
        </is>
      </c>
      <c r="C22" s="8" t="inlineStr">
        <is>
          <t>https://app.parlamento.pt/webutils/docs/doc.pdf?path=8CiE4gT0KzZMPUX38Ntf%2b4FQBNk3dLxrHOvHkCKOVOT7Qa3jTSIPm2Fv1xJg0%2fyVz%2fBCtlUaffwuIfSZo6Xtr8AjtjbkZ5yiQc4uWGqA2V6zciWfyY4xoT%2boLdlwAeageRTHwjIRlCsSAWgiy7t7lKH2vYA%2buE3L0Jo%2bJrr1nxEWAbVhpK2YGuPOVJ2SgkC7T%2f7cJ8vwY0IpGRD%2bucDwXtSKnz5CeetRiNRFg%2fb2q7oWM7YuPO84Da4zRjofj5Pj10TmZSH9s1INRhKeU73JTYBS0%2fi2GEYNeuOj3jXn2vvwOqx2uFsmy4f72%2btOrNaKe%2fChvlrt4HlZ0nFYeOrpz0qfWDhogQkcJMO7365cKBkVe5ficux7p%2bDBGn8WW%2fO43m3%2bocq6qsvd7x3c6ppwSB8wu8Npj4N5ShGYfQPTCXfeuwLiRLbLw5u8HZF64rfnsh9E%2fe7MOjtX59BUTNfg%2b2WmmXzB9oI8yTcbxjG0mTB5DV4LGAFUQbXCpbjhjAk6R%2feB8ifpK4sATZ8LW0CEqA%3d%3d&amp;fich=Gui%c3%a3o+-+4.%c2%ba+dia+-+Artigo+135.%c2%ba+a+139.%c2%ba+%2b+53.%c2%ba+%2b+7.%c2%ba+%2b+1.%c2%ba.pdf&amp;Inline=true</t>
        </is>
      </c>
      <c r="D22" s="8" t="inlineStr">
        <is>
          <t>Registado no painel em 2026-10-26 18:41</t>
        </is>
      </c>
    </row>
    <row r="23">
      <c r="A23" s="8" t="inlineStr">
        <is>
          <t>—</t>
        </is>
      </c>
      <c r="B23" s="8" t="inlineStr">
        <is>
          <t>Guião - 4.º dia - Artigo 135.º a 139.º + 53.º + 7.º + 1.º - consolidado</t>
        </is>
      </c>
      <c r="C23" s="8" t="inlineStr">
        <is>
          <t>https://app.parlamento.pt/webutils/docs/doc.pdf?path=8ObhgIFRpy14C%2fn%2b2ificoBzJZ4dHeD%2flXZq4zijfvtoin6RNjaGbwfJw%2fKa2XUysjn8eLpKEGsygGQfsyGP0MrANSRdbwmPFijzZGv%2bVbIhspnjtUriKcuHty6sZ3WVu5vT6NBZXfNzaB5%2bE9m3KVC50x0xJN6Zk70LUsU7DAKojTsobDKdKOZtLgvsXOYOBrbkNOCqI58m%2bqLT4pd%2b1nF2YeJ8UKvAxBTqaZTalOhx7Tz3%2b7BikUS2UM7dpFMZmShdVpPw1rm1mdwxO%2bbCqQmWB6VYDZTUcb70hZnNYdyRpHKAtS0Gyc8Y6JAsDOOjbpcJjzfX3pnAYlZbkRcDHYuNCKKbJJsp7l6xhp8p4AY%2b6SXKZefafkc0UJ%2b3fee83l6qEPSWBvXP%2bTnOMUJdKRCaWmtK1iCOyKew0ceWMTP%2fbSmRkpzgMcoJQqUEVd%2bo9t8YOeLHVidYxWdpWh2ix4zZH4%2bO2QF5%2frkx%2bcwchnpW3R9vhQwzuEM1J8R%2fy5CZ25kZaHmTJr8li8fqQj2UKW%2fq09zgWaovIxRfHUDXXGgewsuvjfU3Qf1xsYGX6tK7bMaMDacURO6ihfuMO%2fSM8g%3d%3d&amp;fich=Gui%c3%a3o+-+4.%c2%ba+dia+-+Artigo+135.%c2%ba+a+139.%c2%ba+%2b+53.%c2%ba+%2b+7.%c2%ba+%2b+1.%c2%ba+-+consolidado.pdf&amp;Inline=true</t>
        </is>
      </c>
      <c r="D23" s="8" t="inlineStr">
        <is>
          <t>Registado no painel em 2026-10-26 18:41</t>
        </is>
      </c>
    </row>
    <row r="24">
      <c r="A24" s="8" t="inlineStr">
        <is>
          <t>—</t>
        </is>
      </c>
      <c r="B24" s="8" t="inlineStr">
        <is>
          <t>Dossier de Acompanhamento Plenário - Dia 26-11-2025- Normas avocadas</t>
        </is>
      </c>
      <c r="C24" s="8" t="inlineStr">
        <is>
          <t>https://app.parlamento.pt/webutils/docs/doc.pdf?path=pryVuEV%2fFQEPyYXnNiD7UHod4JMsPvZb%2fiB9izGuJQb%2fWr%2f8sWJ%2f6Uv9DlFdJavhLKtXHeVLCY%2fKfvoj8YVl3xWJ%2f6IlQWIKNLFJBGphapc83o3AatFlJ3EZZ1xka8L5ogCWEgH%2fENmqY7cXC4yFrzBs%2fZGkyKtuJMMQT3GyeevDKgciCb6hUkifXcFb9EcXBcsVJ87pF8XzNGDiSEN54lNQdUFKxYOLLfF0aVjudNWMzc01ws%2bbcPEJkVbTNoWjIqA5MLoy7anG4tTnN1Ir6IgqdBVrzfd2YZqy6CfTp7tIGe3WH79XE2WrF5kE9%2baY2j7cGB05bibcYL1vH2nG1L85qV5yp5cO6qhevF9GIBieFwJY9HpwdnfOUV0NJgc1IAZdsW7tpoEohB46wabwksxBe1LC3qTjhR0sDuegwXmCXrlBf8sbZZsrswPLtmxZnjb60n1BxAoIsiBgjsQlXQ%3d%3d&amp;fich=Dossier+de+Acompanhamento+Plen%c3%a1rio-Dia+26-11-2025.pdf&amp;Inline=true</t>
        </is>
      </c>
      <c r="D24" s="8" t="inlineStr">
        <is>
          <t>Registado no painel em 2026-10-26 18:41</t>
        </is>
      </c>
    </row>
    <row r="25">
      <c r="A25" s="8" t="inlineStr">
        <is>
          <t>—</t>
        </is>
      </c>
      <c r="B25" s="8" t="inlineStr">
        <is>
          <t>Guião Plenário - Dia 26-11-2025 - Normas avocadas</t>
        </is>
      </c>
      <c r="C25" s="8" t="inlineStr">
        <is>
          <t>https://app.parlamento.pt/webutils/docs/doc.pdf?path=9aBRhvRN%2bg5%2bVyd3HqEP%2fMN6NziBuNn0FeTsXTg%2bdF3NZKw24Y6j1whiQh5lmQOdAUwh62s%2b32iC1iqZVlu8hjpxveqxDlRW6rqWEHDfJy6Ga7m6h64cc3NO79Z7nZHV7BaWB2PDtP9IXzjkm351uCaU5f6GhDJkuwMhmiczH1VGP3Zkqv0HIqDobvPQih%2bSI1%2bsO85HsdPyfTTYpQ3bjJDa5F%2fv%2bR%2fK0K0Gs0BpGuYES%2bFhbTWw8DY%2boHXJ%2f1RinutMW3JXdLFegmTEQrLoDvMv6unBKFF46nFTPgEyI1NLg%2bLtrgouIi6aptRAebMaQLSurOHX%2fyy7SxRIgizNyVQyGcjmTd3v%2fhBpZTbS0RfvO9Cv9yXlw2mxOP0rpSa1O0q1mOhdHgyHUBMSjym9h%2fn4kBj1PJD%2fTt5y%2b0kRJGhavCbX6fivGf9gSFggos7i&amp;fich=Gui%c3%a3o+Plen%c3%a1rio+-+Dia+26-11-2025.pdf&amp;Inline=true</t>
        </is>
      </c>
      <c r="D25" s="8" t="inlineStr">
        <is>
          <t>Registado no painel em 2026-10-26 18:41</t>
        </is>
      </c>
    </row>
    <row r="26">
      <c r="A26" s="8" t="inlineStr">
        <is>
          <t>—</t>
        </is>
      </c>
      <c r="B26" s="8" t="inlineStr">
        <is>
          <t>Guião Plenário - Dia 27-11-2025 - Normas avocadas</t>
        </is>
      </c>
      <c r="C26" s="8" t="inlineStr">
        <is>
          <t>https://app.parlamento.pt/webutils/docs/doc.pdf?path=CG0ct314aoiKZrcOnI0tgZhdCtz5%2fqwKqFhxv9Q3vDKEVRMA1N8NsZYtTwtOme7f%2bYB%2fUhgb9FY8aSWcq8ExLq5JFG5Rbanv4nM5s0aeNwIjHNCiYECSwawbTqj3hGPyVNajEAFjKTCy1an8bMS98q3lcr8TE0fIztX3IDFcS4aADQHf%2bFuaj5h0T54O4C8M%2b4cWEu5G0UXWYM3EH1i%2fa0rCa23YnexED37ICde0aPjhykeghXxrl3DvqmgZ6RnKUBUdS3lXvceFK%2bPoKPMo9w2dLL02Gru55Jm2Iq9%2fls%2fLY8zh2ZwARhEkBaIyvMvkKgGFzpf8q6T6hUWxNfyC8PmL5fzNaiCAwO6%2f3aYlRs6T6Ct%2ffRiDEAom8RpFukTwb4RnzIolxsYfFWUys99UZe8JHMFbftYOnKkNVttkC8Q%3d&amp;fich=Gui%c3%a3o+Plen%c3%a1rio+-+Dia+27-11-2025.pdf&amp;Inline=true</t>
        </is>
      </c>
      <c r="D26" s="8" t="inlineStr">
        <is>
          <t>Registado no painel em 2026-10-26 18:41</t>
        </is>
      </c>
    </row>
    <row r="27">
      <c r="A27" s="8" t="inlineStr">
        <is>
          <t>—</t>
        </is>
      </c>
      <c r="B27" s="8" t="inlineStr">
        <is>
          <t>Dossier de Acompanhamento Plenário - Dia 27-11-2025 - Normas avocadas</t>
        </is>
      </c>
      <c r="C27" s="8" t="inlineStr">
        <is>
          <t>https://app.parlamento.pt/webutils/docs/doc.pdf?path=BGESSSIA2O7FgVAGu653PAoMs6ecwdObCDiNxICiFG9uzafjvUmhorgG8TfawOk0S9j3AJShSjFxT0TpLrUg3uIArz2C5%2f%2fVDwWh6y5UsYnurlGm1lIyT7hg1igvBBCc%2f7grUn6V5YyySKUOk1TvKtY7ZE6aUr%2bHhSYC2n20D%2fM3n0wDik9jcM0aMQ3Dg7ihEL479IYdonjVdHRtNw%2f0nVYLmDmXjB5SITQNHeAc2s2T6tzflqRiJ%2fUqmWTmv4DpM%2b2dduXRYipUlYt5KmL3joxG10I3odEnMvQCnGOuWqw23SeM%2bmBNIDHy7gnpIyga4imz0D55c%2bDS6iG14Jc2iXZq7Siy%2feZL%2bsTnMDDTHm7KjrP6XUb8yMzjRm80azbWRWIcVdR4BFxI%2bycC93au10vZDzOor37tkjr7e6FLQ4IMADoShSdAzvLsKVytzHFF9snkRYXm2wdFZ5DnOE%2fB%2f8zP%2fj1%2fZORmuw9JnNTYxn8%3d&amp;fich=Dossier+de+Acompanhamento+Plen%c3%a1rio+-+Dia+27-11-2025.pdf&amp;Inline=true</t>
        </is>
      </c>
      <c r="D27" s="8" t="inlineStr">
        <is>
          <t>Registado no painel em 2026-10-26 18:41</t>
        </is>
      </c>
    </row>
    <row r="28">
      <c r="A28" s="8" t="inlineStr">
        <is>
          <t>—</t>
        </is>
      </c>
      <c r="B28" s="8" t="inlineStr">
        <is>
          <t>Parecer CFP - Previsões macroeconómicas subjacentes à Proposta de Orçamento do Estado para 2026</t>
        </is>
      </c>
      <c r="C28" s="8" t="inlineStr">
        <is>
          <t>https://app.parlamento.pt/webutils/docs/doc.pdf?path=tpbw%2bI32ZdbvaInE3%2bXuVu1X2LsSkz5Y4AapKXoZR04UVO%2fp4%2fIyy%2fGh9sYHsWOH7uriz8zy3sSHLJ2WqIrnTVJSklu8oLZ5xAzsnvhUyPPqj43C%2fZG8JyO06psxL3XYK1%2bOD7EYeM6StZTzs7fZ67pCzhvNn7nqKUcL19zoQUYiqcoQaZnfyqHo5U6XhG%2bt9xFCwInZNsK8cRBlkdOXrYek9B%2bdmLA0t%2fStlcOEbRVS6qSJhcZosWk5fWfyv0lfPs7fTb5xAlWycf0Ku6am%2fcfyE71j1%2fXYpQCXdkpMQCAgIli6YpHjhUINCof2Q0qEUfRTN0UiJ5tGFGLV8kDDVg%3d%3d&amp;fich=CFP-Parecer-02-2025.pdf&amp;Inline=true</t>
        </is>
      </c>
      <c r="D28" s="8" t="inlineStr">
        <is>
          <t>Registado no painel em 2026-10-26 18:41</t>
        </is>
      </c>
    </row>
    <row r="29">
      <c r="A29" s="8" t="inlineStr">
        <is>
          <t>—</t>
        </is>
      </c>
      <c r="B29" s="8" t="inlineStr">
        <is>
          <t>Relatório UTAO - Apreciação preliminar da Proposta de Orçamento do Estado para 2026</t>
        </is>
      </c>
      <c r="C29" s="8" t="inlineStr">
        <is>
          <t>https://app.parlamento.pt/webutils/docs/doc.pdf?path=Tg6M1A6JJ%2buuDF3i59gVJodTWWjIVAEQV%2bfvnb2G%2fUlvB2BGdOk2%2f2aDGO5ClMnEG45oWwZ82UhhxJLiwmUZK9ZWmxT3F8Uxaj5c4HMEUeEVUe%2fjWdTcMxWzRdx0UMi1CQDajt9LxdiIydEByvkoIYV3esnEmb5UwJ5xmwmywWy%2bjavIFSSluBlmf1HWfEnAguC7rlhYNBqCJFVR9xyDcpnDh7Lexnnxrdtguq5mJRxev996itEFZk%2b34%2fh4Sfeq6DecfFjchOvJ3SfGljEiPdF2EEckDWXux3XjVaTLDDuUWyfrEaFeiz7ot4fdu5O7ZWzgqjfJHWZqD1ki0fScg1pu1mHcHd0NN7Zvg2Pl6U0%3d&amp;fich=UTAO-Rel-15-2025-POE2026.pdf&amp;Inline=true</t>
        </is>
      </c>
      <c r="D29" s="8" t="inlineStr">
        <is>
          <t>Registado no painel em 2026-10-26 18:41</t>
        </is>
      </c>
    </row>
    <row r="30">
      <c r="A30" s="8" t="inlineStr">
        <is>
          <t>—</t>
        </is>
      </c>
      <c r="B30" s="8" t="inlineStr">
        <is>
          <t>Parecer ANMP - Associação Nacional de Munícipios Portugueses</t>
        </is>
      </c>
      <c r="C30" s="8" t="inlineStr">
        <is>
          <t>https://app.parlamento.pt/webutils/docs/doc.pdf?path=u68skimvdk9BJVI2CmeG2Qt7P%2bzz55fk3Z49TV5fJNh8VkZckvVN%2fiaUDX4ViFcV1G4F8V%2f%2f%2bhYGACaR4%2fnV8ytLTU0MBOxV6l568ylfbiU5zarJdGql0OD5ocwjC85KcdO9CEXhHhTHEpBuGE0Vkg7Cv9MfTOU3Ox%2b2fuwWje7nvSnm8AA7JSs5MO5ie%2fMW5%2br4clWADzDmqd5yQB%2b4E1wNZkzNVIRL%2bfO9eIrJqG%2bLIEU3MU354ecyr3yONTGlktf5VOPc%2bMejFw8IZwkY8DMn41kFqXusvqhdJS1Yq85ZDzOcyI6SGCuy9d%2f2OGKV3pRZ%2bg3tKm4ImcczG4qRNYW7vzHvgHO3uGq49tu3Pdp%2fIXxwaghRCdu8mrAIBtcl&amp;fich=PLOE2026_parecer+ANMP.pdf&amp;Inline=true</t>
        </is>
      </c>
      <c r="D30" s="8" t="inlineStr">
        <is>
          <t>Registado no painel em 2026-10-26 18:41</t>
        </is>
      </c>
    </row>
    <row r="31">
      <c r="A31" s="8" t="inlineStr">
        <is>
          <t>—</t>
        </is>
      </c>
      <c r="B31" s="8" t="inlineStr">
        <is>
          <t>Relatório CFP - Análise da proposta de Orçamento do Estado para 2026</t>
        </is>
      </c>
      <c r="C31" s="8" t="inlineStr">
        <is>
          <t>https://app.parlamento.pt/webutils/docs/doc.pdf?path=WQSBnYU5dREXkLWdurDlbyRfmd078OF%2bRPjCNqdgqd8vSes46kjq96fvElKr8QK3wp%2byONDLHJKoJxWdLd6vkEuGUNe5eh31TRnNPTBqksjv%2bgfRF4nZ%2bZ338yc2cvVe5BIVJtOIbr8V8bkoYtNkS9yBLXGXVcDxhylhJASyavbEZ8xZ2vhxyxUQKuIAO%2bTOQKkkRy1V0eQX09h45BeUvigzM6OjaSbv1usZT30uVcvz2WHOczDB5kU8DfQpEcfXwjqnkEgMdGIEE9o0hnP9KXDTZ6YFBh3YpOLip0M6vNgpXrcCIL44rG%2f7CXYKKq%2f9ZNNDgYM0nsHxotTzM%2fkEBhGp3pIWlpn4LVZSF6Ig5LE%3d&amp;fich=CFP-REL-08-2025_POE2026.pdf&amp;Inline=true</t>
        </is>
      </c>
      <c r="D31" s="8" t="inlineStr">
        <is>
          <t>Registado no painel em 2026-10-26 18:41</t>
        </is>
      </c>
    </row>
    <row r="32">
      <c r="A32" s="8" t="inlineStr">
        <is>
          <t>—</t>
        </is>
      </c>
      <c r="B32" s="8" t="inlineStr">
        <is>
          <t>Parecer ANAFRE - Associação Nacional de Freguesias</t>
        </is>
      </c>
      <c r="C32" s="8" t="inlineStr">
        <is>
          <t>https://app.parlamento.pt/webutils/docs/doc.pdf?path=Lslf2YTCjUS1%2bDaTLvqZvXhLSUOa6VUSQTESMjH1lXRH4cC%2bdfBezx61B03n2oV09vZQV%2fau71LIF4Hpa8FkRPFU2NzGHf6oYYU77YFHyOqxCAlzyk6IYGNzK1oLF3MCJHe8hxcIMRcow7Lw%2fBwATcWPYSKNuw6z66hw%2bA4XU1LC4TJ%2fdwESVPb0UQUoBc6xkg%2bhCIGJWJuC13uXI2q8rtsXVj5oWjJ6N6ctuCQmi%2fR3tlmxhurAfALtiRccVcvaci5Ul8Uk%2fqfiMiH8qkuAoW8AWcvQ809wfjXIc9LGn7iImqPKuPV6HenPzSBFHVsF%2b4cGtUc%2fls1Lrti52zEdlH2%2fuA%2b%2bDM1%2bFwUqO5mqMhLSg%2bIl41KJO%2fXjcb%2bd%2f3uFxENszH7rd6%2fQRUCV3ZzQEXuovzxDb03xJo7%2bQqI0BnirJk9pK2d0b4f%2ftjNZEvNIkfZ4QMqRDGxbzMIOVVtLpEM8T08LOggQAbBm5rlck0SuldRcMNv4Di98vgCcIXZu8WmBd9NEppTCBWr%2fx%2fqCzGDfQ0PmPj6WAyxaqJfBqBE%3d&amp;fich=Parecer+ANAFRE+-+Proposta+de+Lei+n.%c2%ba+37-XVII-1.%c2%aa-GOV-Aprova+o+Or%c3%a7amento+do+Estado+para+2026.pdf&amp;Inline=true</t>
        </is>
      </c>
      <c r="D32" s="8" t="inlineStr">
        <is>
          <t>Registado no painel em 2026-10-26 18:41</t>
        </is>
      </c>
    </row>
    <row r="33">
      <c r="A33" s="8" t="inlineStr">
        <is>
          <t>—</t>
        </is>
      </c>
      <c r="B33" s="8" t="inlineStr">
        <is>
          <t>Parecer CNPD - Comissão Nacional de Proteção de Dados</t>
        </is>
      </c>
      <c r="C33" s="8" t="inlineStr">
        <is>
          <t>https://app.parlamento.pt/webutils/docs/doc.pdf?path=v8OxwVLgG9JDPHI5rn377536jiw%2bMdmEy3E3zzgrEC3xOCMI2za4bpxJtd7Yyo6y50%2ffZAk%2fZorNu7HJZEHUJ0T2acTxm2C5kpZL4uf2CAhEUMJoK%2bKM2%2bndGdirP5Ax%2fnc3EUJbh4o5PZM%2fZycUlU8s0FcuKKQZOLh1OQPyUaxbvk2Uc68kJa1avXFkD%2btTzbIX%2fUX7BUXjvjFYfL1u9hOVQHYqxb0wJvcnQYXk4z%2bLn0%2f7hdLIxBVcLdSyY6G4EWwLFJyP9V3H%2bqqvVJZPnn47zBsKYgPrTZWaiVOmNv3TH%2b3b8gZI6nNoW7%2fSLU4a0BwY3iLnFk9Tzdf1c5hlz%2fHh1jSivls7KDI6EXixyG0%3d&amp;fich=PARECER_2025_63_signed.pdf&amp;Inline=true</t>
        </is>
      </c>
      <c r="D33" s="8" t="inlineStr">
        <is>
          <t>Registado no painel em 2026-10-26 18:41</t>
        </is>
      </c>
    </row>
    <row r="34">
      <c r="A34" s="8" t="inlineStr">
        <is>
          <t>—</t>
        </is>
      </c>
      <c r="B34" s="8" t="inlineStr">
        <is>
          <t>Parecer CES - Conselho Económico e Social</t>
        </is>
      </c>
      <c r="C34" s="8" t="inlineStr">
        <is>
          <t>https://app.parlamento.pt/webutils/docs/doc.pdf?path=6uc5gCD9%2bqf8SjN2ancg0in%2f9kt51HxB1m3DY1vGIRdYY516mgLKK7sad8F36oRb6n8h%2b7ow09%2bmGTi5%2bic8DCIRvyHRX2SStz8ThHD3qR9BQuEVqoB%2ffgL7rz%2bM56jyuQue3KK%2beohzve%2b9l2K1CznG2V%2bVd5QQVz2jUT%2ftdn3MGOVLRDP09XuI77y7nxhuutEjKV9Hn0W0Gp%2bUYiu1nK5Dz%2fVJUuubwxlYXHeB2yvlTuRcIHTyVpsO4bgoVhKb1PQCXa7HVcDXqp6NEgFPug2BawHrmVpLLtwj1Z%2bBvaUVNvNvepCTUb%2bJePajRWUnjAdUWnl8CXlzH9IaXASKLpo8l0FERh%2b4ptGP%2fyx1Gf1k0%2fsvHOALf4yFUduJo%2f4M&amp;fich=Parecer+CES+OE2026_VF.pdf&amp;Inline=true</t>
        </is>
      </c>
      <c r="D34" s="8" t="inlineStr">
        <is>
          <t>Registado no painel em 2026-10-26 18:41</t>
        </is>
      </c>
    </row>
    <row r="35">
      <c r="A35" s="8" t="inlineStr">
        <is>
          <t>—</t>
        </is>
      </c>
      <c r="B35" s="8" t="inlineStr">
        <is>
          <t>Relatório UTAO - Apreciação final da Proposta de Orçamento do Estado para 2026</t>
        </is>
      </c>
      <c r="C35" s="8" t="inlineStr">
        <is>
          <t>https://app.parlamento.pt/webutils/docs/doc.pdf?path=s%2fhyg1TUzUjQkKw%2bACe%2fwItuEQ9vG2wWc1%2b3z530GMZiJfJk11PeyXeN910IyRo7LsiryqgRFnPPXiFGDfOFTChrBiy0jj9vKExuLhI5i%2b5MUBjNSuceUs1M4kD5lUU%2bFyMtkuFyp7LAZNMyBg2hlg5fd5jDiA%2bYCjpW1rsXsav6eXJxrGlyxm%2bWRtRCxCnW4HohsmQPa0axbjNMFPyNwtLKpx6uYlVDJMu%2fYT22ybr%2bV3Z0rXPPGWhZmXudCqrHy18vljbaWBLTBeC2tgn73PlK32KfNSI2ZrK3dBFuYgN1e%2bZHV4jP13RJffhqGbba0XrDCA92KCcjU1beA4qo7zIv36U82IkhgX8Dy8gTkpM%3d&amp;fich=UTAO-Rel-16-2025-POE2026.pdf&amp;Inline=true</t>
        </is>
      </c>
      <c r="D35" s="8" t="inlineStr">
        <is>
          <t>Registado no painel em 2026-10-26 18:41</t>
        </is>
      </c>
    </row>
    <row r="36">
      <c r="A36" s="8" t="inlineStr">
        <is>
          <t>—</t>
        </is>
      </c>
      <c r="B36" s="8" t="inlineStr">
        <is>
          <t>Relatório UTAO n.º 17/2025 - Impacto orçamental da Proposta de Alteração n.º 212C</t>
        </is>
      </c>
      <c r="C36" s="8" t="inlineStr">
        <is>
          <t>https://app.parlamento.pt/webutils/docs/doc.pdf?path=YQCsTGnXr9bSZkkh3D3inCVV81OfdPmYi72xoxUZnLqKz8lNjc44pRwv8GiWj2C%2bFHMurP1h06Kv%2fn743hVH9TN5MkN3iuj0cJ7FFTL8YzSHNukxbkZVsYz%2bSFpvsViaqe9Y1AP6AApJn%2bQKRXwlZuIM4I1JkO1agjv87lUTRQFbj12A6%2fZhzJCzPTInJpkkB0WqJ0o1WA37oKwCF8q5u1%2bB%2bwch26CkEbvrXDRSOIeEEAt5BnD%2f4vFVFTRJmDJou8ScP3k1PPX2TeOX8N5CGA5%2fJvZfyAOtc5rv3qFAXi0z7zKGCEqVMz8IonqHprysW7eV3kJTIaEvpd4TWKv89A%3d%3d&amp;fich=UTAO-Rel-17-2025-POE2026-PA-212C.pdf&amp;Inline=true</t>
        </is>
      </c>
      <c r="D36" s="8" t="inlineStr">
        <is>
          <t>Registado no painel em 2026-10-26 18:41</t>
        </is>
      </c>
    </row>
    <row r="37">
      <c r="A37" s="8" t="inlineStr">
        <is>
          <t>—</t>
        </is>
      </c>
      <c r="B37" s="8" t="inlineStr">
        <is>
          <t>Relatório UTAO n.º 18/2025 - Impacto orçamental da Proposta de Alteração n.º 275C</t>
        </is>
      </c>
      <c r="C37" s="8" t="inlineStr">
        <is>
          <t>https://app.parlamento.pt/webutils/docs/doc.pdf?path=BAaOhCsF%2fkmyhBvQEEKXCAlNK0no7ZbonTmerPsqjzcNrguvLdptJbqeOoMK0KYYjzAM0XoI%2b%2fGSLsxSf6RQYwU1g%2fWhajb6Tf5o%2fNbCY9wjmNtV%2bN7athxdAPqLyeCS05UIjTIgel%2fMpNjxmTbriNqD4aKWKCYeM%2fBH2HSJ9FRlpMJ%2fezen2bTE%2faJKiNLd7tToF8OIJC2z%2bN%2fy%2bS5ZSDaTFuFsJoO8VX%2b7Z%2fXm6ZIAcnWW1IkDU7jzTODk%2bvX4A4mdooz2gnf61Ar0Y8HKAZok0D2ROAGF%2bWtzJWnDOHe8%2bummRdPISgFjkME1I6o06jqg7gUJkTItn6lzZmV9FtYpSMaCa0xIBcaEsxZZanc%3d&amp;fich=UTAO-Rel-18-2025-PA-275C.pdf&amp;Inline=true</t>
        </is>
      </c>
      <c r="D37" s="8" t="inlineStr">
        <is>
          <t>Registado no painel em 2026-10-26 18:41</t>
        </is>
      </c>
    </row>
    <row r="38">
      <c r="A38" s="8" t="inlineStr">
        <is>
          <t>—</t>
        </is>
      </c>
      <c r="B38" s="8" t="inlineStr">
        <is>
          <t>Parecer 1.ª CACDLG relativo à constitucionalidade da PA 115C</t>
        </is>
      </c>
      <c r="C38" s="8" t="inlineStr">
        <is>
          <t>https://app.parlamento.pt/webutils/docs/doc.pdf?path=a1pWCOWDCxsJ7sl9K4hB4I867i57HnCrEx5QWeJhoSfql7R%2bz3Q5obqXb3mRFpvotl6PTJlLpmSfE%2f2H85ZiSEVfC8R92tzPwlhaEG330a0rEx%2bEEvWWa%2bxEIXME16sLmxC6B3itdnYSBYHK4fdakM8RbVb6dK8mB%2bh0CielGoLL2Td5fKNoQLSZ6wGuLQETo%2bigEU1xhnghus0z2rHQPknMjJ8NFZBx%2bV7eGqAABjtOXAONP4GZX%2fAlwZBzYtTfxR0KM8KEdef7fa5vKskcMeaxOJUryQUacDTPFJ1VskrJACNQiRfGzMG7rVYj0NHW2CPCvbcAlMMmDUq1eRRWRRyR0Xi%2byXYAEqbhY8uAd2tqUe1EMQm6MH%2bP8G9ghgZCbVE2NSnXcstdWcICHuvaSQ%3d%3d&amp;fich=Parecer+constitucionalidade+PA+115C.pdf&amp;Inline=true</t>
        </is>
      </c>
      <c r="D38" s="8" t="inlineStr">
        <is>
          <t>Registado no painel em 2026-10-26 18:41</t>
        </is>
      </c>
    </row>
    <row r="39">
      <c r="A39" s="8" t="inlineStr">
        <is>
          <t>—</t>
        </is>
      </c>
      <c r="B39" s="8" t="inlineStr">
        <is>
          <t>Relatório UTAO n.º 19/2025 - Impacto orçamental da Proposta de Alteração n.º 673C</t>
        </is>
      </c>
      <c r="C39" s="8" t="inlineStr">
        <is>
          <t>https://app.parlamento.pt/webutils/docs/doc.pdf?path=MD8bq7l7bWbrNiiaqelFm0CVjC%2fPUgcD7rwmYlRzxD0BShcT8c%2fOn0c7hJgjGmiEcQnsuZmZGJNEVlnLy%2faxPullVOSpwn54SRqUlVMERZWSFY0jjEQCYNImbwDo8bUnHoMh8D3LPUUEpebsnW28VW5MKGoaSyC6OFODI793A4k6EI58U%2fRRZ5xX20b%2fYSmWuAJrK%2fzWdnjFPH7t0slOipF0dWrj9gEdYoMJ4c59dLD1Z4XZu9rfVvoIjFdNdaP9yxJSNYDaGq7pOu2vrjQQoXPdYnVNUsvgDlqe1j9J9lfmDoVU6D1%2f99WTlgLyOgSzfA%2bf3u7Q4UlNdenGDpDytg%3d%3d&amp;fich=UTAO-Rel-19-2025-PA-673C.pdf&amp;Inline=true</t>
        </is>
      </c>
      <c r="D39" s="8" t="inlineStr">
        <is>
          <t>Registado no painel em 2026-10-26 18:41</t>
        </is>
      </c>
    </row>
    <row r="40">
      <c r="A40" s="8" t="inlineStr">
        <is>
          <t>—</t>
        </is>
      </c>
      <c r="B40" s="8" t="inlineStr">
        <is>
          <t>Relatório UTAO n.º 20/2025 - Impacto orçamental da Proposta de Alteração n.º 1491C</t>
        </is>
      </c>
      <c r="C40" s="8" t="inlineStr">
        <is>
          <t>https://app.parlamento.pt/webutils/docs/doc.pdf?path=ZFYC%2b%2bhrN776uL4X5WdQKgBKcoRd9MipxfqBrJhz46yvDa1kBYYWkeiCW%2fN5QwtuuZEm4E7C%2bwhqKBY6mFIkZ9KQ%2bt6d1at3iP9DfCr6mFmLQPeW%2fhwXuDVnFS4TjqihVK9CmLtxm9iEpFn4mawqKynaiBz6H9AC9y4Q20ODUl40MV0uNO6N5tPD01jg8O068dQPdcvLpbtCPkDOcdRUTj2YpxAlS1NG0MX4C5jklsMTphpymVWWxnEkSZwRnUQqB8pIoIn4IMf9QrRIf3dpWhs5w%2bTIMMkbHt%2fWZMFBstkMx4Ol%2fFednMB5rmYDKGgUbE5ZYaDey%2fjAagDqpNdlbub8aG5YvyL4zzHQ2M4A%2foU%3d&amp;fich=UTAO-Rel-20-2025-POE2026-PA-1491C.pdf&amp;Inline=true</t>
        </is>
      </c>
      <c r="D40" s="8" t="inlineStr">
        <is>
          <t>Registado no painel em 2026-10-26 18:41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80" customWidth="1" min="3" max="3"/>
    <col width="60" customWidth="1" min="4" max="4"/>
  </cols>
  <sheetData>
    <row r="1">
      <c r="A1" s="5" t="inlineStr">
        <is>
          <t>Resposta da UPE ao modelo da DACDP: o que a captura automática assegura, o que exige desenvolvimento e as limitações</t>
        </is>
      </c>
    </row>
    <row r="2">
      <c r="A2" s="8" t="inlineStr">
        <is>
          <t>Gerado automaticamente em 26/10/2026, 21h59 UTC a partir da informação publicada pela Assembleia da República. «Imediato»: preenchido em cada captura. «Desenvolvimento»: sugestão automática a validar pela DACDP. «Limitação»: sem fonte na AR.</t>
        </is>
      </c>
      <c r="B2" s="8" t="n"/>
      <c r="C2" s="8" t="n"/>
      <c r="D2" s="8" t="n"/>
    </row>
    <row r="3">
      <c r="A3" s="8" t="n"/>
      <c r="B3" s="8" t="n"/>
      <c r="C3" s="8" t="n"/>
      <c r="D3" s="8" t="n"/>
    </row>
    <row r="4">
      <c r="A4" s="9" t="inlineStr">
        <is>
          <t>Campo</t>
        </is>
      </c>
      <c r="B4" s="9" t="inlineStr">
        <is>
          <t>Classificação</t>
        </is>
      </c>
      <c r="C4" s="9" t="inlineStr">
        <is>
          <t>Como se preenche</t>
        </is>
      </c>
      <c r="D4" s="9" t="inlineStr">
        <is>
          <t>Observações</t>
        </is>
      </c>
    </row>
    <row r="5">
      <c r="A5" s="8" t="inlineStr">
        <is>
          <t>ID</t>
        </is>
      </c>
      <c r="B5" s="8" t="inlineStr">
        <is>
          <t>Imediato</t>
        </is>
      </c>
      <c r="C5" s="8" t="inlineStr">
        <is>
          <t>Número sequencial atribuído na exportação.</t>
        </is>
      </c>
      <c r="D5" s="8" t="inlineStr"/>
    </row>
    <row r="6">
      <c r="A6" s="8" t="inlineStr">
        <is>
          <t>N.º PA</t>
        </is>
      </c>
      <c r="B6" s="8" t="inlineStr">
        <is>
          <t>Imediato</t>
        </is>
      </c>
      <c r="C6" s="8" t="inlineStr">
        <is>
          <t>AR (dados abertos; reserva: página de cada PA).</t>
        </is>
      </c>
      <c r="D6" s="8" t="inlineStr">
        <is>
          <t>Uma PA com várias partes (120C-1, 120C-2) ocupa uma linha por parte, porque a AR as vota separadamente.</t>
        </is>
      </c>
    </row>
    <row r="7">
      <c r="A7" s="8" t="inlineStr">
        <is>
          <t>Data Entrada</t>
        </is>
      </c>
      <c r="B7" s="8" t="inlineStr">
        <is>
          <t>Imediato</t>
        </is>
      </c>
      <c r="C7" s="8" t="inlineStr">
        <is>
          <t>AR: data e hora de entrada.</t>
        </is>
      </c>
      <c r="D7" s="8" t="inlineStr"/>
    </row>
    <row r="8">
      <c r="A8" s="8" t="inlineStr">
        <is>
          <t>Versão</t>
        </is>
      </c>
      <c r="B8" s="8" t="inlineStr">
        <is>
          <t>Limitação</t>
        </is>
      </c>
      <c r="C8" s="8" t="inlineStr">
        <is>
          <t>A AR não publica a ligação entre uma PA e a que ela substitui. A coluna recebe «Retirada» quando a AR publica esse estado e «Original» nos restantes casos.</t>
        </is>
      </c>
      <c r="D8" s="8" t="inlineStr">
        <is>
          <t>Confirmação pela DACDP.</t>
        </is>
      </c>
    </row>
    <row r="9">
      <c r="A9" s="8" t="inlineStr">
        <is>
          <t>Partido</t>
        </is>
      </c>
      <c r="B9" s="8" t="inlineStr">
        <is>
          <t>Imediato</t>
        </is>
      </c>
      <c r="C9" s="8" t="inlineStr">
        <is>
          <t>AR: grupo(s) parlamentar(es) proponente(s). «Vários» quando há mais de um.</t>
        </is>
      </c>
      <c r="D9" s="8" t="inlineStr">
        <is>
          <t>Sigla normalizada (CDS-P → CDS-PP).</t>
        </is>
      </c>
    </row>
    <row r="10">
      <c r="A10" s="8" t="inlineStr">
        <is>
          <t>Deputado/Proponente</t>
        </is>
      </c>
      <c r="B10" s="8" t="inlineStr">
        <is>
          <t>Imediato</t>
        </is>
      </c>
      <c r="C10" s="8" t="inlineStr">
        <is>
          <t>AR: deputados signatários.</t>
        </is>
      </c>
      <c r="D10" s="8" t="inlineStr"/>
    </row>
    <row r="11">
      <c r="A11" s="8" t="inlineStr">
        <is>
          <t>Artigo Alterado</t>
        </is>
      </c>
      <c r="B11" s="8" t="inlineStr">
        <is>
          <t>Imediato</t>
        </is>
      </c>
      <c r="C11" s="8" t="inlineStr">
        <is>
          <t>AR: artigo ou mapa e natureza (alteração, aditamento, eliminação).</t>
        </is>
      </c>
      <c r="D11" s="8" t="inlineStr"/>
    </row>
    <row r="12">
      <c r="A12" s="8" t="inlineStr">
        <is>
          <t>Tipo de PA</t>
        </is>
      </c>
      <c r="B12" s="8" t="inlineStr">
        <is>
          <t>Limitação</t>
        </is>
      </c>
      <c r="C12" s="8" t="inlineStr">
        <is>
          <t>Sem fonte na AR (a AR publica a natureza da PA: aditamento, substituição, eliminação, na coluna «Tipo (AR)»).</t>
        </is>
      </c>
      <c r="D12" s="8" t="inlineStr">
        <is>
          <t>Classificação da DACDP. Fase posterior: sugestão automática a validar.</t>
        </is>
      </c>
    </row>
    <row r="13">
      <c r="A13" s="8" t="inlineStr">
        <is>
          <t>Tema</t>
        </is>
      </c>
      <c r="B13" s="8" t="inlineStr">
        <is>
          <t>Limitação</t>
        </is>
      </c>
      <c r="C13" s="8" t="inlineStr">
        <is>
          <t>A AR atribui um tema próprio (coluna «Tema AR»). A taxonomia da DACDP é preenchida pela DACDP.</t>
        </is>
      </c>
      <c r="D13" s="8" t="inlineStr"/>
    </row>
    <row r="14">
      <c r="A14" s="8" t="inlineStr">
        <is>
          <t>Área Governativa</t>
        </is>
      </c>
      <c r="B14" s="8" t="inlineStr">
        <is>
          <t>Desenvolvimento (fase posterior)</t>
        </is>
      </c>
      <c r="C14" s="8" t="inlineStr">
        <is>
          <t>Sem fonte na AR. O tema atribuído pela AR (coluna «Tema AR», a comissão parlamentar competente) é a aproximação disponível. A classificação por área governativa será feita numa fase posterior, com validação humana.</t>
        </is>
      </c>
      <c r="D14" s="8" t="inlineStr">
        <is>
          <t>Nesta fase, o painel e o Excel só usam variáveis dos dados abertos da AR.</t>
        </is>
      </c>
    </row>
    <row r="15">
      <c r="A15" s="8" t="inlineStr">
        <is>
          <t>Ministério</t>
        </is>
      </c>
      <c r="B15" s="8" t="inlineStr">
        <is>
          <t>Desenvolvimento (fase posterior)</t>
        </is>
      </c>
      <c r="C15" s="8" t="inlineStr">
        <is>
          <t>Decorre da área governativa.</t>
        </is>
      </c>
      <c r="D15" s="8" t="inlineStr"/>
    </row>
    <row r="16">
      <c r="A16" s="8" t="inlineStr">
        <is>
          <t>Descrição Sumária</t>
        </is>
      </c>
      <c r="B16" s="8" t="inlineStr">
        <is>
          <t>Imediato (parcial)</t>
        </is>
      </c>
      <c r="C16" s="8" t="inlineStr">
        <is>
          <t>AR: título da PA tal como publicado. A DACDP pode reescrever; a UPE não substitui texto já escrito.</t>
        </is>
      </c>
      <c r="D16" s="8" t="inlineStr"/>
    </row>
    <row r="17">
      <c r="A17" s="8" t="inlineStr">
        <is>
          <t>Impacto Receita (€)</t>
        </is>
      </c>
      <c r="B17" s="8" t="inlineStr">
        <is>
          <t>Limitação</t>
        </is>
      </c>
      <c r="C17" s="8" t="inlineStr">
        <is>
          <t>Sem fonte na AR. Só existe quando a UTAO ou o proponente publicam uma estimativa.</t>
        </is>
      </c>
      <c r="D17" s="8" t="inlineStr">
        <is>
          <t>A UPE pode extrair o texto da nota justificativa do PDF de cada PA para facilitar a leitura.</t>
        </is>
      </c>
    </row>
    <row r="18">
      <c r="A18" s="8" t="inlineStr">
        <is>
          <t>Impacto Despesa (€)</t>
        </is>
      </c>
      <c r="B18" s="8" t="inlineStr">
        <is>
          <t>Limitação</t>
        </is>
      </c>
      <c r="C18" s="8" t="inlineStr">
        <is>
          <t>Idem.</t>
        </is>
      </c>
      <c r="D18" s="8" t="inlineStr"/>
    </row>
    <row r="19">
      <c r="A19" s="8" t="inlineStr">
        <is>
          <t>Fonte da Estimativa</t>
        </is>
      </c>
      <c r="B19" s="8" t="inlineStr">
        <is>
          <t>Limitação</t>
        </is>
      </c>
      <c r="C19" s="8" t="inlineStr">
        <is>
          <t>Idem.</t>
        </is>
      </c>
      <c r="D19" s="8" t="inlineStr"/>
    </row>
    <row r="20">
      <c r="A20" s="8" t="inlineStr">
        <is>
          <t>Medida Anunciada (S/N)</t>
        </is>
      </c>
      <c r="B20" s="8" t="inlineStr">
        <is>
          <t>Limitação</t>
        </is>
      </c>
      <c r="C20" s="8" t="inlineStr">
        <is>
          <t>Sem fonte na AR. Ligação à folha «Medidas Anunciadas» pelo n.º da PA, a cargo da DACDP.</t>
        </is>
      </c>
      <c r="D20" s="8" t="inlineStr"/>
    </row>
    <row r="21">
      <c r="A21" s="8" t="inlineStr">
        <is>
          <t>Relevância</t>
        </is>
      </c>
      <c r="B21" s="8" t="inlineStr">
        <is>
          <t>Limitação</t>
        </is>
      </c>
      <c r="C21" s="8" t="inlineStr">
        <is>
          <t>Juízo da DACDP.</t>
        </is>
      </c>
      <c r="D21" s="8" t="inlineStr"/>
    </row>
    <row r="22">
      <c r="A22" s="8" t="inlineStr">
        <is>
          <t>Necessita Análise Jurídica (S/N)</t>
        </is>
      </c>
      <c r="B22" s="8" t="inlineStr">
        <is>
          <t>Limitação</t>
        </is>
      </c>
      <c r="C22" s="8" t="inlineStr">
        <is>
          <t>Juízo da DACDP.</t>
        </is>
      </c>
      <c r="D22" s="8" t="inlineStr"/>
    </row>
    <row r="23">
      <c r="A23" s="8" t="inlineStr">
        <is>
          <t>Estado</t>
        </is>
      </c>
      <c r="B23" s="8" t="inlineStr">
        <is>
          <t>Imediato</t>
        </is>
      </c>
      <c r="C23" s="8" t="inlineStr">
        <is>
          <t>AR: estado publicado (coluna «Estado (AR)»); a coluna «Estado» recebe o estado da AR, que é o único verificável.</t>
        </is>
      </c>
      <c r="D23" s="8" t="inlineStr">
        <is>
          <t>A lista do modelo (Entregue, Admitida, …) não coincide com os estados que a AR publica.</t>
        </is>
      </c>
    </row>
    <row r="24">
      <c r="A24" s="8" t="inlineStr">
        <is>
          <t>Resultado Votação</t>
        </is>
      </c>
      <c r="B24" s="8" t="inlineStr">
        <is>
          <t>Imediato</t>
        </is>
      </c>
      <c r="C24" s="8" t="inlineStr">
        <is>
          <t>AR: resultado da última votação, nos valores do modelo (Aprovada, Rejeitada, Prejudicada, Retirada, Aprovada parcialmente).</t>
        </is>
      </c>
      <c r="D24" s="8" t="inlineStr"/>
    </row>
    <row r="25">
      <c r="A25" s="8" t="inlineStr">
        <is>
          <t>Sentido de Voto</t>
        </is>
      </c>
      <c r="B25" s="8" t="inlineStr">
        <is>
          <t>Imediato</t>
        </is>
      </c>
      <c r="C25" s="8" t="inlineStr">
        <is>
          <t>AR: sentido de voto de cada grupo parlamentar, no formato do modelo.</t>
        </is>
      </c>
      <c r="D25" s="8" t="inlineStr">
        <is>
          <t>Inclui os deputados únicos representantes de partido.</t>
        </is>
      </c>
    </row>
    <row r="26">
      <c r="A26" s="8" t="inlineStr">
        <is>
          <t>Data Votação</t>
        </is>
      </c>
      <c r="B26" s="8" t="inlineStr">
        <is>
          <t>Imediato</t>
        </is>
      </c>
      <c r="C26" s="8" t="inlineStr">
        <is>
          <t>AR: data da última votação.</t>
        </is>
      </c>
      <c r="D26" s="8" t="inlineStr"/>
    </row>
    <row r="27">
      <c r="A27" s="8" t="inlineStr">
        <is>
          <t>Observações</t>
        </is>
      </c>
      <c r="B27" s="8" t="inlineStr">
        <is>
          <t>Imediato (parcial)</t>
        </is>
      </c>
      <c r="C27" s="8" t="inlineStr">
        <is>
          <t>A UPE acrescenta a ligação à ficha da PA e ao PDF, a avocação a Plenário e a nota «ausente da fonte» quando a PA deixa de constar da publicação. O resto é da DACDP.</t>
        </is>
      </c>
      <c r="D27" s="8" t="inlineStr"/>
    </row>
    <row r="28">
      <c r="A28" s="8" t="inlineStr">
        <is>
          <t>Medidas Anunciadas (folha)</t>
        </is>
      </c>
      <c r="B28" s="8" t="inlineStr">
        <is>
          <t>Limitação</t>
        </is>
      </c>
      <c r="C28" s="8" t="inlineStr">
        <is>
          <t>Fora das fontes da AR: fica a cargo da DACDP. A UPE preserva o conteúdo nas sincronizações.</t>
        </is>
      </c>
      <c r="D28" s="8" t="inlineStr"/>
    </row>
    <row r="29">
      <c r="A29" s="8" t="inlineStr">
        <is>
          <t>Ponto de Situação (folha)</t>
        </is>
      </c>
      <c r="B29" s="8" t="inlineStr">
        <is>
          <t>Imediato</t>
        </is>
      </c>
      <c r="C29" s="8" t="inlineStr">
        <is>
          <t>Fórmulas do modelo, alargadas a 5 000 linhas; situação na fonte oficial preenchida pela captura.</t>
        </is>
      </c>
      <c r="D29" s="8" t="inlineStr"/>
    </row>
    <row r="30">
      <c r="A30" s="8" t="inlineStr">
        <is>
          <t>Registo de Consultas (folha)</t>
        </is>
      </c>
      <c r="B30" s="8" t="inlineStr">
        <is>
          <t>Imediato</t>
        </is>
      </c>
      <c r="C30" s="8" t="inlineStr">
        <is>
          <t>Cada captura automática regista fonte, momento, resultado e PA novas.</t>
        </is>
      </c>
      <c r="D30" s="8" t="inlineStr"/>
    </row>
    <row r="31">
      <c r="A31" s="8" t="inlineStr">
        <is>
          <t>Calendário e Documentos (folha)</t>
        </is>
      </c>
      <c r="B31" s="8" t="inlineStr">
        <is>
          <t>Imediato</t>
        </is>
      </c>
      <c r="C31" s="8" t="inlineStr">
        <is>
          <t>Calendário oficial da AR e documentos publicados na página da COFAP.</t>
        </is>
      </c>
      <c r="D3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2026-10-26T21:59:40Z</dcterms:created>
  <dcterms:modified xmlns:dcterms="http://purl.org/dc/terms/" xmlns:xsi="http://www.w3.org/2001/XMLSchema-instance" xsi:type="dcterms:W3CDTF">2026-10-26T21:59:41Z</dcterms:modified>
</cp:coreProperties>
</file>