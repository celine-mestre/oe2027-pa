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tas de Alteração" sheetId="1" state="visible" r:id="rId1"/>
    <sheet name="Medidas Anunciadas" sheetId="2" state="visible" r:id="rId2"/>
    <sheet name="Ponto de Situação" sheetId="3" state="visible" r:id="rId3"/>
    <sheet name="Listas" sheetId="4" state="visible" r:id="rId4"/>
    <sheet name="Instruções" sheetId="5" state="visible" r:id="rId5"/>
    <sheet name="Registo de Consultas" sheetId="6" state="visible" r:id="rId6"/>
    <sheet name="Calendário e Documentos" sheetId="7" state="visible" r:id="rId7"/>
    <sheet name="Resposta UPE" sheetId="8" state="visible" r:id="rId8"/>
  </sheets>
  <definedNames>
    <definedName name="_xlnm._FilterDatabase" localSheetId="0" hidden="1">'Propostas de Alteração'!$A$1:$AO$5001</definedName>
    <definedName name="_xlnm._FilterDatabase" localSheetId="1" hidden="1">'Medidas Anunciadas'!$A$1:$M$5001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3" customWidth="1" min="4" max="4"/>
    <col width="11" customWidth="1" min="5" max="5"/>
    <col width="24" customWidth="1" min="6" max="6"/>
    <col width="18" customWidth="1" min="7" max="7"/>
    <col width="22" customWidth="1" min="8" max="8"/>
    <col width="18" customWidth="1" min="9" max="9"/>
    <col width="22" customWidth="1" min="10" max="10"/>
    <col width="22" customWidth="1" min="11" max="11"/>
    <col width="50" customWidth="1" min="12" max="12"/>
    <col width="14" customWidth="1" min="13" max="13"/>
    <col width="14" customWidth="1" min="14" max="14"/>
    <col width="16" customWidth="1" min="15" max="15"/>
    <col width="12" customWidth="1" min="16" max="16"/>
    <col width="11" customWidth="1" min="17" max="17"/>
    <col width="14" customWidth="1" min="18" max="18"/>
    <col width="22" customWidth="1" min="19" max="19"/>
    <col width="18" customWidth="1" min="20" max="20"/>
    <col width="40" customWidth="1" min="21" max="21"/>
    <col width="12" customWidth="1" min="22" max="22"/>
    <col width="40" customWidth="1" min="23" max="23"/>
    <col width="22" customWidth="1" min="24" max="24"/>
    <col width="30" customWidth="1" min="25" max="25"/>
    <col width="30" customWidth="1" min="26" max="26"/>
    <col width="11" customWidth="1" min="27" max="27"/>
    <col width="22" customWidth="1" min="28" max="28"/>
    <col width="24" customWidth="1" min="29" max="29"/>
    <col width="10" customWidth="1" min="30" max="30"/>
    <col width="30" customWidth="1" min="31" max="31"/>
    <col width="12" customWidth="1" min="32" max="32"/>
    <col width="16" customWidth="1" min="33" max="33"/>
    <col width="7" customWidth="1" min="34" max="34"/>
    <col width="9" customWidth="1" min="35" max="35"/>
    <col width="9" customWidth="1" min="36" max="36"/>
    <col width="40" customWidth="1" min="37" max="37"/>
    <col width="40" customWidth="1" min="38" max="38"/>
    <col width="17" customWidth="1" min="39" max="39"/>
    <col width="17" customWidth="1" min="40" max="40"/>
    <col width="17" customWidth="1" min="41" max="41"/>
  </cols>
  <sheetData>
    <row r="1" ht="30" customHeight="1">
      <c r="A1" s="1" t="inlineStr">
        <is>
          <t>ID</t>
        </is>
      </c>
      <c r="B1" s="1" t="inlineStr">
        <is>
          <t>N.º PA</t>
        </is>
      </c>
      <c r="C1" s="1" t="inlineStr">
        <is>
          <t>Data Entrada</t>
        </is>
      </c>
      <c r="D1" s="1" t="inlineStr">
        <is>
          <t>Versão</t>
        </is>
      </c>
      <c r="E1" s="1" t="inlineStr">
        <is>
          <t>Partido</t>
        </is>
      </c>
      <c r="F1" s="1" t="inlineStr">
        <is>
          <t>Deputado/Proponente</t>
        </is>
      </c>
      <c r="G1" s="1" t="inlineStr">
        <is>
          <t>Artigo Alterado</t>
        </is>
      </c>
      <c r="H1" s="1" t="inlineStr">
        <is>
          <t>Tipo de PA</t>
        </is>
      </c>
      <c r="I1" s="1" t="inlineStr">
        <is>
          <t>Tema</t>
        </is>
      </c>
      <c r="J1" s="1" t="inlineStr">
        <is>
          <t>Área Governativa</t>
        </is>
      </c>
      <c r="K1" s="1" t="inlineStr">
        <is>
          <t>Ministério</t>
        </is>
      </c>
      <c r="L1" s="1" t="inlineStr">
        <is>
          <t>Descrição Sumária</t>
        </is>
      </c>
      <c r="M1" s="1" t="inlineStr">
        <is>
          <t>Impacto Receita (€)</t>
        </is>
      </c>
      <c r="N1" s="1" t="inlineStr">
        <is>
          <t>Impacto Despesa (€)</t>
        </is>
      </c>
      <c r="O1" s="1" t="inlineStr">
        <is>
          <t>Fonte da Estimativa</t>
        </is>
      </c>
      <c r="P1" s="1" t="inlineStr">
        <is>
          <t>Medida Anunciada (S/N)</t>
        </is>
      </c>
      <c r="Q1" s="1" t="inlineStr">
        <is>
          <t>Relevância</t>
        </is>
      </c>
      <c r="R1" s="1" t="inlineStr">
        <is>
          <t>Necessita Análise Jurídica (S/N)</t>
        </is>
      </c>
      <c r="S1" s="1" t="inlineStr">
        <is>
          <t>Estado</t>
        </is>
      </c>
      <c r="T1" s="1" t="inlineStr">
        <is>
          <t>Resultado Votação</t>
        </is>
      </c>
      <c r="U1" s="1" t="inlineStr">
        <is>
          <t>Sentido de Voto</t>
        </is>
      </c>
      <c r="V1" s="1" t="inlineStr">
        <is>
          <t>Data Votação</t>
        </is>
      </c>
      <c r="W1" s="1" t="inlineStr">
        <is>
          <t>Observações</t>
        </is>
      </c>
      <c r="X1" s="1" t="inlineStr">
        <is>
          <t>Tema AR</t>
        </is>
      </c>
      <c r="Y1" s="1" t="inlineStr">
        <is>
          <t>Epígrafe do artigo (AR)</t>
        </is>
      </c>
      <c r="Z1" s="1" t="inlineStr">
        <is>
          <t>Diplomas alterados (AR)</t>
        </is>
      </c>
      <c r="AA1" s="1" t="inlineStr">
        <is>
          <t>Incide</t>
        </is>
      </c>
      <c r="AB1" s="1" t="inlineStr">
        <is>
          <t>Tipo (AR)</t>
        </is>
      </c>
      <c r="AC1" s="1" t="inlineStr">
        <is>
          <t>Estado (AR)</t>
        </is>
      </c>
      <c r="AD1" s="1" t="inlineStr">
        <is>
          <t>Avocação a Plenário</t>
        </is>
      </c>
      <c r="AE1" s="1" t="inlineStr">
        <is>
          <t>Requerimentos (AR)</t>
        </is>
      </c>
      <c r="AF1" s="1" t="inlineStr">
        <is>
          <t>Parecer Regiões Autónomas (AR)</t>
        </is>
      </c>
      <c r="AG1" s="1" t="inlineStr">
        <is>
          <t>Ministério (AR)</t>
        </is>
      </c>
      <c r="AH1" s="1" t="inlineStr">
        <is>
          <t>Parte</t>
        </is>
      </c>
      <c r="AI1" s="1" t="inlineStr">
        <is>
          <t>N.º de votações</t>
        </is>
      </c>
      <c r="AJ1" s="1" t="inlineStr">
        <is>
          <t>ID AR</t>
        </is>
      </c>
      <c r="AK1" s="1" t="inlineStr">
        <is>
          <t>Ligação AR</t>
        </is>
      </c>
      <c r="AL1" s="1" t="inlineStr">
        <is>
          <t>PDF</t>
        </is>
      </c>
      <c r="AM1" s="1" t="inlineStr">
        <is>
          <t>Primeira captura</t>
        </is>
      </c>
      <c r="AN1" s="1" t="inlineStr">
        <is>
          <t>Última captura</t>
        </is>
      </c>
      <c r="AO1" s="1" t="inlineStr">
        <is>
          <t>Ausente da fonte</t>
        </is>
      </c>
    </row>
    <row r="2">
      <c r="A2" s="2" t="n"/>
      <c r="B2" s="2" t="n"/>
      <c r="C2" s="3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3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3" t="n"/>
      <c r="AN2" s="3" t="n"/>
      <c r="AO2" s="2" t="n"/>
    </row>
  </sheetData>
  <autoFilter ref="A1:AO5001"/>
  <dataValidations count="7">
    <dataValidation sqref="D2:D5001" showDropDown="0" showInputMessage="0" showErrorMessage="0" allowBlank="1" type="list">
      <formula1>=Listas!$A$2:$A$4</formula1>
    </dataValidation>
    <dataValidation sqref="E2:E5001" showDropDown="0" showInputMessage="0" showErrorMessage="0" allowBlank="1" type="list">
      <formula1>=Listas!$B$2:$B$13</formula1>
    </dataValidation>
    <dataValidation sqref="H2:H5001" showDropDown="0" showInputMessage="0" showErrorMessage="0" allowBlank="1" type="list">
      <formula1>=Listas!$C$2:$C$6</formula1>
    </dataValidation>
    <dataValidation sqref="P2:P5001" showDropDown="0" showInputMessage="0" showErrorMessage="0" allowBlank="1" type="list">
      <formula1>=Listas!$D$2:$D$3</formula1>
    </dataValidation>
    <dataValidation sqref="Q2:Q5001" showDropDown="0" showInputMessage="0" showErrorMessage="0" allowBlank="1" type="list">
      <formula1>=Listas!$E$2:$E$4</formula1>
    </dataValidation>
    <dataValidation sqref="R2:R5001" showDropDown="0" showInputMessage="0" showErrorMessage="0" allowBlank="1" type="list">
      <formula1>=Listas!$D$2:$D$3</formula1>
    </dataValidation>
    <dataValidation sqref="T2:T5001" showDropDown="0" showInputMessage="0" showErrorMessage="0" allowBlank="1" type="list">
      <formula1>=Listas!$G$2:$G$6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4" customWidth="1" min="4" max="4"/>
    <col width="13" customWidth="1" min="5" max="5"/>
    <col width="50" customWidth="1" min="6" max="6"/>
    <col width="18" customWidth="1" min="7" max="7"/>
    <col width="22" customWidth="1" min="8" max="8"/>
    <col width="24" customWidth="1" min="9" max="9"/>
    <col width="40" customWidth="1" min="10" max="10"/>
    <col width="12" customWidth="1" min="11" max="11"/>
    <col width="12" customWidth="1" min="12" max="12"/>
    <col width="40" customWidth="1" min="13" max="13"/>
  </cols>
  <sheetData>
    <row r="1" ht="30" customHeight="1">
      <c r="A1" s="1" t="inlineStr">
        <is>
          <t>ID</t>
        </is>
      </c>
      <c r="B1" s="1" t="inlineStr">
        <is>
          <t>Data do Anúncio</t>
        </is>
      </c>
      <c r="C1" s="1" t="inlineStr">
        <is>
          <t>Partido</t>
        </is>
      </c>
      <c r="D1" s="1" t="inlineStr">
        <is>
          <t>Quem Anunciou</t>
        </is>
      </c>
      <c r="E1" s="1" t="inlineStr">
        <is>
          <t>Natureza</t>
        </is>
      </c>
      <c r="F1" s="1" t="inlineStr">
        <is>
          <t>Medida Anunciada</t>
        </is>
      </c>
      <c r="G1" s="1" t="inlineStr">
        <is>
          <t>Tema</t>
        </is>
      </c>
      <c r="H1" s="1" t="inlineStr">
        <is>
          <t>Valor Anunciado</t>
        </is>
      </c>
      <c r="I1" s="1" t="inlineStr">
        <is>
          <t>Canal Oficial</t>
        </is>
      </c>
      <c r="J1" s="1" t="inlineStr">
        <is>
          <t>Ligação</t>
        </is>
      </c>
      <c r="K1" s="1" t="inlineStr">
        <is>
          <t>Entregue como PA (S/N)</t>
        </is>
      </c>
      <c r="L1" s="1" t="inlineStr">
        <is>
          <t>N.º PA Associada</t>
        </is>
      </c>
      <c r="M1" s="1" t="inlineStr">
        <is>
          <t>Observações</t>
        </is>
      </c>
    </row>
    <row r="2"/>
  </sheetData>
  <autoFilter ref="A1:M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3" customWidth="1" min="4" max="4"/>
  </cols>
  <sheetData>
    <row r="1">
      <c r="A1" s="5" t="inlineStr">
        <is>
          <t>Propostas de alteração à Proposta de Lei n.º 110/XVII/2.ª (Orçamento do Estado para 2027)</t>
        </is>
      </c>
      <c r="B1" s="2" t="n"/>
      <c r="C1" s="2" t="n"/>
      <c r="D1" s="2" t="n"/>
    </row>
    <row r="2">
      <c r="A2" s="2" t="inlineStr">
        <is>
          <t>Última atualização:</t>
        </is>
      </c>
      <c r="B2" s="2" t="inlineStr">
        <is>
          <t>27/10/2026, 10h08 UTC</t>
        </is>
      </c>
      <c r="C2" s="2" t="n"/>
      <c r="D2" s="2" t="n"/>
    </row>
    <row r="3">
      <c r="A3" s="2" t="inlineStr">
        <is>
          <t>Situação na fonte oficial:</t>
        </is>
      </c>
      <c r="B3" s="2" t="inlineStr">
        <is>
          <t>Sem propostas de alteração publicadas pela AR. Registo a partir de 29/10/2026, 09h00 (início do prazo de inserção, segundo o calendário da AR).</t>
        </is>
      </c>
      <c r="C3" s="2" t="n"/>
      <c r="D3" s="2" t="n"/>
    </row>
    <row r="4">
      <c r="A4" s="2" t="n"/>
      <c r="B4" s="2" t="n"/>
      <c r="C4" s="2" t="n"/>
      <c r="D4" s="2" t="n"/>
    </row>
    <row r="5">
      <c r="A5" s="2" t="inlineStr">
        <is>
          <t>Total de PA registadas</t>
        </is>
      </c>
      <c r="B5" s="2">
        <f>COUNTA('Propostas de Alteração'!B2:B5001)</f>
        <v/>
      </c>
      <c r="C5" s="2" t="n"/>
      <c r="D5" s="2" t="n"/>
    </row>
    <row r="6">
      <c r="A6" s="2" t="n"/>
      <c r="B6" s="2" t="n"/>
      <c r="C6" s="2" t="n"/>
      <c r="D6" s="2" t="n"/>
    </row>
    <row r="7">
      <c r="A7" s="6" t="inlineStr">
        <is>
          <t>Por partido</t>
        </is>
      </c>
      <c r="B7" s="2" t="n"/>
      <c r="C7" s="2" t="n"/>
      <c r="D7" s="2" t="n"/>
    </row>
    <row r="8">
      <c r="A8" s="6" t="inlineStr">
        <is>
          <t>Partido</t>
        </is>
      </c>
      <c r="B8" s="6" t="inlineStr">
        <is>
          <t>N.º PA</t>
        </is>
      </c>
      <c r="C8" s="6" t="inlineStr">
        <is>
          <t>Aprovadas</t>
        </is>
      </c>
      <c r="D8" s="6" t="inlineStr">
        <is>
          <t>Rejeitadas</t>
        </is>
      </c>
    </row>
    <row r="9">
      <c r="A9" s="2" t="inlineStr">
        <is>
          <t>PSD</t>
        </is>
      </c>
      <c r="B9" s="2">
        <f>COUNTIF('Propostas de Alteração'!$E$2:$E$5001,A9)</f>
        <v/>
      </c>
      <c r="C9" s="2">
        <f>COUNTIFS('Propostas de Alteração'!$E$2:$E$5001,A9,'Propostas de Alteração'!$T$2:$T$5001,"Aprovada")</f>
        <v/>
      </c>
      <c r="D9" s="2">
        <f>COUNTIFS('Propostas de Alteração'!$E$2:$E$5001,A9,'Propostas de Alteração'!$T$2:$T$5001,"Rejeitada")</f>
        <v/>
      </c>
    </row>
    <row r="10">
      <c r="A10" s="2" t="inlineStr">
        <is>
          <t>CH</t>
        </is>
      </c>
      <c r="B10" s="2">
        <f>COUNTIF('Propostas de Alteração'!$E$2:$E$5001,A10)</f>
        <v/>
      </c>
      <c r="C10" s="2">
        <f>COUNTIFS('Propostas de Alteração'!$E$2:$E$5001,A10,'Propostas de Alteração'!$T$2:$T$5001,"Aprovada")</f>
        <v/>
      </c>
      <c r="D10" s="2">
        <f>COUNTIFS('Propostas de Alteração'!$E$2:$E$5001,A10,'Propostas de Alteração'!$T$2:$T$5001,"Rejeitada")</f>
        <v/>
      </c>
    </row>
    <row r="11">
      <c r="A11" s="2" t="inlineStr">
        <is>
          <t>PS</t>
        </is>
      </c>
      <c r="B11" s="2">
        <f>COUNTIF('Propostas de Alteração'!$E$2:$E$5001,A11)</f>
        <v/>
      </c>
      <c r="C11" s="2">
        <f>COUNTIFS('Propostas de Alteração'!$E$2:$E$5001,A11,'Propostas de Alteração'!$T$2:$T$5001,"Aprovada")</f>
        <v/>
      </c>
      <c r="D11" s="2">
        <f>COUNTIFS('Propostas de Alteração'!$E$2:$E$5001,A11,'Propostas de Alteração'!$T$2:$T$5001,"Rejeitada")</f>
        <v/>
      </c>
    </row>
    <row r="12">
      <c r="A12" s="2" t="inlineStr">
        <is>
          <t>IL</t>
        </is>
      </c>
      <c r="B12" s="2">
        <f>COUNTIF('Propostas de Alteração'!$E$2:$E$5001,A12)</f>
        <v/>
      </c>
      <c r="C12" s="2">
        <f>COUNTIFS('Propostas de Alteração'!$E$2:$E$5001,A12,'Propostas de Alteração'!$T$2:$T$5001,"Aprovada")</f>
        <v/>
      </c>
      <c r="D12" s="2">
        <f>COUNTIFS('Propostas de Alteração'!$E$2:$E$5001,A12,'Propostas de Alteração'!$T$2:$T$5001,"Rejeitada")</f>
        <v/>
      </c>
    </row>
    <row r="13">
      <c r="A13" s="2" t="inlineStr">
        <is>
          <t>L</t>
        </is>
      </c>
      <c r="B13" s="2">
        <f>COUNTIF('Propostas de Alteração'!$E$2:$E$5001,A13)</f>
        <v/>
      </c>
      <c r="C13" s="2">
        <f>COUNTIFS('Propostas de Alteração'!$E$2:$E$5001,A13,'Propostas de Alteração'!$T$2:$T$5001,"Aprovada")</f>
        <v/>
      </c>
      <c r="D13" s="2">
        <f>COUNTIFS('Propostas de Alteração'!$E$2:$E$5001,A13,'Propostas de Alteração'!$T$2:$T$5001,"Rejeitada")</f>
        <v/>
      </c>
    </row>
    <row r="14">
      <c r="A14" s="2" t="inlineStr">
        <is>
          <t>PCP</t>
        </is>
      </c>
      <c r="B14" s="2">
        <f>COUNTIF('Propostas de Alteração'!$E$2:$E$5001,A14)</f>
        <v/>
      </c>
      <c r="C14" s="2">
        <f>COUNTIFS('Propostas de Alteração'!$E$2:$E$5001,A14,'Propostas de Alteração'!$T$2:$T$5001,"Aprovada")</f>
        <v/>
      </c>
      <c r="D14" s="2">
        <f>COUNTIFS('Propostas de Alteração'!$E$2:$E$5001,A14,'Propostas de Alteração'!$T$2:$T$5001,"Rejeitada")</f>
        <v/>
      </c>
    </row>
    <row r="15">
      <c r="A15" s="2" t="inlineStr">
        <is>
          <t>CDS-PP</t>
        </is>
      </c>
      <c r="B15" s="2">
        <f>COUNTIF('Propostas de Alteração'!$E$2:$E$5001,A15)</f>
        <v/>
      </c>
      <c r="C15" s="2">
        <f>COUNTIFS('Propostas de Alteração'!$E$2:$E$5001,A15,'Propostas de Alteração'!$T$2:$T$5001,"Aprovada")</f>
        <v/>
      </c>
      <c r="D15" s="2">
        <f>COUNTIFS('Propostas de Alteração'!$E$2:$E$5001,A15,'Propostas de Alteração'!$T$2:$T$5001,"Rejeitada")</f>
        <v/>
      </c>
    </row>
    <row r="16">
      <c r="A16" s="2" t="inlineStr">
        <is>
          <t>BE</t>
        </is>
      </c>
      <c r="B16" s="2">
        <f>COUNTIF('Propostas de Alteração'!$E$2:$E$5001,A16)</f>
        <v/>
      </c>
      <c r="C16" s="2">
        <f>COUNTIFS('Propostas de Alteração'!$E$2:$E$5001,A16,'Propostas de Alteração'!$T$2:$T$5001,"Aprovada")</f>
        <v/>
      </c>
      <c r="D16" s="2">
        <f>COUNTIFS('Propostas de Alteração'!$E$2:$E$5001,A16,'Propostas de Alteração'!$T$2:$T$5001,"Rejeitada")</f>
        <v/>
      </c>
    </row>
    <row r="17">
      <c r="A17" s="2" t="inlineStr">
        <is>
          <t>PAN</t>
        </is>
      </c>
      <c r="B17" s="2">
        <f>COUNTIF('Propostas de Alteração'!$E$2:$E$5001,A17)</f>
        <v/>
      </c>
      <c r="C17" s="2">
        <f>COUNTIFS('Propostas de Alteração'!$E$2:$E$5001,A17,'Propostas de Alteração'!$T$2:$T$5001,"Aprovada")</f>
        <v/>
      </c>
      <c r="D17" s="2">
        <f>COUNTIFS('Propostas de Alteração'!$E$2:$E$5001,A17,'Propostas de Alteração'!$T$2:$T$5001,"Rejeitada")</f>
        <v/>
      </c>
    </row>
    <row r="18">
      <c r="A18" s="2" t="inlineStr">
        <is>
          <t>JPP</t>
        </is>
      </c>
      <c r="B18" s="2">
        <f>COUNTIF('Propostas de Alteração'!$E$2:$E$5001,A18)</f>
        <v/>
      </c>
      <c r="C18" s="2">
        <f>COUNTIFS('Propostas de Alteração'!$E$2:$E$5001,A18,'Propostas de Alteração'!$T$2:$T$5001,"Aprovada")</f>
        <v/>
      </c>
      <c r="D18" s="2">
        <f>COUNTIFS('Propostas de Alteração'!$E$2:$E$5001,A18,'Propostas de Alteração'!$T$2:$T$5001,"Rejeitada")</f>
        <v/>
      </c>
    </row>
    <row r="19">
      <c r="A19" s="2" t="inlineStr">
        <is>
          <t>Deputado único/não inscrito</t>
        </is>
      </c>
      <c r="B19" s="2">
        <f>COUNTIF('Propostas de Alteração'!$E$2:$E$5001,A19)</f>
        <v/>
      </c>
      <c r="C19" s="2">
        <f>COUNTIFS('Propostas de Alteração'!$E$2:$E$5001,A19,'Propostas de Alteração'!$T$2:$T$5001,"Aprovada")</f>
        <v/>
      </c>
      <c r="D19" s="2">
        <f>COUNTIFS('Propostas de Alteração'!$E$2:$E$5001,A19,'Propostas de Alteração'!$T$2:$T$5001,"Rejeitada")</f>
        <v/>
      </c>
    </row>
    <row r="20">
      <c r="A20" s="2" t="inlineStr">
        <is>
          <t>Vários</t>
        </is>
      </c>
      <c r="B20" s="2">
        <f>COUNTIF('Propostas de Alteração'!$E$2:$E$5001,A20)</f>
        <v/>
      </c>
      <c r="C20" s="2">
        <f>COUNTIFS('Propostas de Alteração'!$E$2:$E$5001,A20,'Propostas de Alteração'!$T$2:$T$5001,"Aprovada")</f>
        <v/>
      </c>
      <c r="D20" s="2">
        <f>COUNTIFS('Propostas de Alteração'!$E$2:$E$5001,A20,'Propostas de Alteração'!$T$2:$T$5001,"Rejeitada")</f>
        <v/>
      </c>
    </row>
    <row r="21">
      <c r="A21" s="2" t="inlineStr">
        <is>
          <t>Total</t>
        </is>
      </c>
      <c r="B21" s="2">
        <f>SUM(B9:B20)</f>
        <v/>
      </c>
      <c r="C21" s="2">
        <f>SUM(C9:C20)</f>
        <v/>
      </c>
      <c r="D21" s="2">
        <f>SUM(D9:D20)</f>
        <v/>
      </c>
    </row>
    <row r="22">
      <c r="A22" s="2" t="n"/>
      <c r="B22" s="2" t="n"/>
      <c r="C22" s="2" t="n"/>
      <c r="D22" s="2" t="n"/>
    </row>
    <row r="23">
      <c r="A23" s="2" t="inlineStr">
        <is>
          <t>Por resultado da votação</t>
        </is>
      </c>
      <c r="B23" s="2" t="n"/>
      <c r="C23" s="2" t="n"/>
      <c r="D23" s="2" t="n"/>
    </row>
    <row r="24">
      <c r="A24" s="2" t="inlineStr">
        <is>
          <t>Resultado</t>
        </is>
      </c>
      <c r="B24" s="2" t="inlineStr">
        <is>
          <t>N.º PA</t>
        </is>
      </c>
      <c r="C24" s="2" t="n"/>
      <c r="D24" s="2" t="n"/>
    </row>
    <row r="25">
      <c r="A25" s="2" t="inlineStr">
        <is>
          <t>Aprovada</t>
        </is>
      </c>
      <c r="B25" s="2">
        <f>COUNTIF('Propostas de Alteração'!$T$2:$T$5001,A25)</f>
        <v/>
      </c>
      <c r="C25" s="2" t="n"/>
      <c r="D25" s="2" t="n"/>
    </row>
    <row r="26">
      <c r="A26" s="2" t="inlineStr">
        <is>
          <t>Rejeitada</t>
        </is>
      </c>
      <c r="B26" s="2">
        <f>COUNTIF('Propostas de Alteração'!$T$2:$T$5001,A26)</f>
        <v/>
      </c>
      <c r="C26" s="2" t="n"/>
      <c r="D26" s="2" t="n"/>
    </row>
    <row r="27">
      <c r="A27" s="2" t="inlineStr">
        <is>
          <t>Prejudicada</t>
        </is>
      </c>
      <c r="B27" s="2">
        <f>COUNTIF('Propostas de Alteração'!$T$2:$T$5001,A27)</f>
        <v/>
      </c>
      <c r="C27" s="2" t="n"/>
      <c r="D27" s="2" t="n"/>
    </row>
    <row r="28">
      <c r="A28" s="2" t="inlineStr">
        <is>
          <t>Retirada</t>
        </is>
      </c>
      <c r="B28" s="2">
        <f>COUNTIF('Propostas de Alteração'!$T$2:$T$5001,A28)</f>
        <v/>
      </c>
      <c r="C28" s="2" t="n"/>
      <c r="D28" s="2" t="n"/>
    </row>
    <row r="29">
      <c r="A29" s="2" t="inlineStr">
        <is>
          <t>Aprovada parcialmente</t>
        </is>
      </c>
      <c r="B29" s="2">
        <f>COUNTIF('Propostas de Alteração'!$T$2:$T$5001,A29)</f>
        <v/>
      </c>
      <c r="C29" s="2" t="n"/>
      <c r="D29" s="2" t="n"/>
    </row>
    <row r="30">
      <c r="A30" s="2" t="inlineStr">
        <is>
          <t>Sem resultado registado</t>
        </is>
      </c>
      <c r="B30" s="2">
        <f>B5-SUM(B25:B29)</f>
        <v/>
      </c>
      <c r="C30" s="2" t="n"/>
      <c r="D30" s="2" t="n"/>
    </row>
    <row r="31">
      <c r="A31" s="2" t="n"/>
      <c r="B31" s="2" t="n"/>
      <c r="C31" s="2" t="n"/>
      <c r="D31" s="2" t="n"/>
    </row>
    <row r="32">
      <c r="A32" s="2" t="inlineStr">
        <is>
          <t>Por tipo de PA</t>
        </is>
      </c>
      <c r="B32" s="2" t="n"/>
      <c r="C32" s="2" t="n"/>
      <c r="D32" s="2" t="n"/>
    </row>
    <row r="33">
      <c r="A33" s="2" t="inlineStr">
        <is>
          <t>Tipo de PA</t>
        </is>
      </c>
      <c r="B33" s="2" t="inlineStr">
        <is>
          <t>N.º PA</t>
        </is>
      </c>
      <c r="C33" s="2" t="inlineStr">
        <is>
          <t>Impacto Receita (€)</t>
        </is>
      </c>
      <c r="D33" s="2" t="inlineStr">
        <is>
          <t>Impacto Despesa (€)</t>
        </is>
      </c>
    </row>
    <row r="34">
      <c r="A34" s="2" t="inlineStr">
        <is>
          <t>Receita</t>
        </is>
      </c>
      <c r="B34" s="2">
        <f>COUNTIF('Propostas de Alteração'!$H$2:$H$5001,A34)</f>
        <v/>
      </c>
      <c r="C34" s="2">
        <f>SUMIF('Propostas de Alteração'!$H$2:$H$5001,A34,'Propostas de Alteração'!$M$2:$M$5001)</f>
        <v/>
      </c>
      <c r="D34" s="2">
        <f>SUMIF('Propostas de Alteração'!$H$2:$H$5001,A34,'Propostas de Alteração'!$N$2:$N$5001)</f>
        <v/>
      </c>
    </row>
    <row r="35">
      <c r="A35" s="2" t="inlineStr">
        <is>
          <t>Despesa</t>
        </is>
      </c>
      <c r="B35" s="2">
        <f>COUNTIF('Propostas de Alteração'!$H$2:$H$5001,A35)</f>
        <v/>
      </c>
      <c r="C35" s="2">
        <f>SUMIF('Propostas de Alteração'!$H$2:$H$5001,A35,'Propostas de Alteração'!$M$2:$M$5001)</f>
        <v/>
      </c>
      <c r="D35" s="2">
        <f>SUMIF('Propostas de Alteração'!$H$2:$H$5001,A35,'Propostas de Alteração'!$N$2:$N$5001)</f>
        <v/>
      </c>
    </row>
    <row r="36">
      <c r="A36" s="2" t="inlineStr">
        <is>
          <t>Norma orçamental</t>
        </is>
      </c>
      <c r="B36" s="2">
        <f>COUNTIF('Propostas de Alteração'!$H$2:$H$5001,A36)</f>
        <v/>
      </c>
      <c r="C36" s="2">
        <f>SUMIF('Propostas de Alteração'!$H$2:$H$5001,A36,'Propostas de Alteração'!$M$2:$M$5001)</f>
        <v/>
      </c>
      <c r="D36" s="2">
        <f>SUMIF('Propostas de Alteração'!$H$2:$H$5001,A36,'Propostas de Alteração'!$N$2:$N$5001)</f>
        <v/>
      </c>
    </row>
    <row r="37">
      <c r="A37" s="2" t="inlineStr">
        <is>
          <t>Alteração a legislação avulsa</t>
        </is>
      </c>
      <c r="B37" s="2">
        <f>COUNTIF('Propostas de Alteração'!$H$2:$H$5001,A37)</f>
        <v/>
      </c>
      <c r="C37" s="2">
        <f>SUMIF('Propostas de Alteração'!$H$2:$H$5001,A37,'Propostas de Alteração'!$M$2:$M$5001)</f>
        <v/>
      </c>
      <c r="D37" s="2">
        <f>SUMIF('Propostas de Alteração'!$H$2:$H$5001,A37,'Propostas de Alteração'!$N$2:$N$5001)</f>
        <v/>
      </c>
    </row>
    <row r="38">
      <c r="A38" s="2" t="inlineStr">
        <is>
          <t>Autorização legislativa</t>
        </is>
      </c>
      <c r="B38" s="2">
        <f>COUNTIF('Propostas de Alteração'!$H$2:$H$5001,A38)</f>
        <v/>
      </c>
      <c r="C38" s="2">
        <f>SUMIF('Propostas de Alteração'!$H$2:$H$5001,A38,'Propostas de Alteração'!$M$2:$M$5001)</f>
        <v/>
      </c>
      <c r="D38" s="2">
        <f>SUMIF('Propostas de Alteração'!$H$2:$H$5001,A38,'Propostas de Alteração'!$N$2:$N$5001)</f>
        <v/>
      </c>
    </row>
    <row r="39">
      <c r="A39" s="2" t="n"/>
      <c r="B39" s="2" t="n"/>
      <c r="C39" s="2" t="n"/>
      <c r="D39" s="2" t="n"/>
    </row>
    <row r="40">
      <c r="A40" s="2" t="inlineStr">
        <is>
          <t>Nota: os impactos somam apenas os valores registados; PA sem quantificação na fonte não são contabilizadas.</t>
        </is>
      </c>
      <c r="B40" s="2" t="n"/>
      <c r="C40" s="2" t="n"/>
      <c r="D4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31" customWidth="1" min="3" max="3"/>
    <col width="13" customWidth="1" min="4" max="4"/>
    <col width="13" customWidth="1" min="5" max="5"/>
    <col width="20" customWidth="1" min="6" max="6"/>
    <col width="23" customWidth="1" min="7" max="7"/>
  </cols>
  <sheetData>
    <row r="1">
      <c r="A1" s="6" t="inlineStr">
        <is>
          <t>Versão</t>
        </is>
      </c>
      <c r="B1" s="6" t="inlineStr">
        <is>
          <t>Partido</t>
        </is>
      </c>
      <c r="C1" s="6" t="inlineStr">
        <is>
          <t>Tipo de PA</t>
        </is>
      </c>
      <c r="D1" s="6" t="inlineStr">
        <is>
          <t>SN</t>
        </is>
      </c>
      <c r="E1" s="6" t="inlineStr">
        <is>
          <t>Relevância</t>
        </is>
      </c>
      <c r="F1" s="6" t="inlineStr">
        <is>
          <t>Estado</t>
        </is>
      </c>
      <c r="G1" s="6" t="inlineStr">
        <is>
          <t>Resultado</t>
        </is>
      </c>
    </row>
    <row r="2">
      <c r="A2" s="2" t="inlineStr">
        <is>
          <t>Original</t>
        </is>
      </c>
      <c r="B2" s="2" t="inlineStr">
        <is>
          <t>PSD</t>
        </is>
      </c>
      <c r="C2" s="2" t="inlineStr">
        <is>
          <t>Receita</t>
        </is>
      </c>
      <c r="D2" s="2" t="inlineStr">
        <is>
          <t>S</t>
        </is>
      </c>
      <c r="E2" s="2" t="inlineStr">
        <is>
          <t>Alta</t>
        </is>
      </c>
      <c r="F2" s="2" t="inlineStr">
        <is>
          <t>Entregue</t>
        </is>
      </c>
      <c r="G2" s="2" t="inlineStr">
        <is>
          <t>Aprovada</t>
        </is>
      </c>
    </row>
    <row r="3">
      <c r="A3" s="2" t="inlineStr">
        <is>
          <t>Substituição</t>
        </is>
      </c>
      <c r="B3" s="2" t="inlineStr">
        <is>
          <t>CH</t>
        </is>
      </c>
      <c r="C3" s="2" t="inlineStr">
        <is>
          <t>Despesa</t>
        </is>
      </c>
      <c r="D3" s="2" t="inlineStr">
        <is>
          <t>N</t>
        </is>
      </c>
      <c r="E3" s="2" t="inlineStr">
        <is>
          <t>Média</t>
        </is>
      </c>
      <c r="F3" s="2" t="inlineStr">
        <is>
          <t>Admitida</t>
        </is>
      </c>
      <c r="G3" s="2" t="inlineStr">
        <is>
          <t>Rejeitada</t>
        </is>
      </c>
    </row>
    <row r="4">
      <c r="A4" s="2" t="inlineStr">
        <is>
          <t>Retirada</t>
        </is>
      </c>
      <c r="B4" s="2" t="inlineStr">
        <is>
          <t>PS</t>
        </is>
      </c>
      <c r="C4" s="2" t="inlineStr">
        <is>
          <t>Norma orçamental</t>
        </is>
      </c>
      <c r="E4" s="2" t="inlineStr">
        <is>
          <t>Baixa</t>
        </is>
      </c>
      <c r="F4" s="2" t="inlineStr">
        <is>
          <t>Substituída</t>
        </is>
      </c>
      <c r="G4" s="2" t="inlineStr">
        <is>
          <t>Prejudicada</t>
        </is>
      </c>
    </row>
    <row r="5">
      <c r="B5" s="2" t="inlineStr">
        <is>
          <t>IL</t>
        </is>
      </c>
      <c r="C5" s="2" t="inlineStr">
        <is>
          <t>Alteração a legislação avulsa</t>
        </is>
      </c>
      <c r="F5" s="2" t="inlineStr">
        <is>
          <t>Retirada</t>
        </is>
      </c>
      <c r="G5" s="2" t="inlineStr">
        <is>
          <t>Retirada</t>
        </is>
      </c>
    </row>
    <row r="6">
      <c r="B6" s="2" t="inlineStr">
        <is>
          <t>L</t>
        </is>
      </c>
      <c r="C6" s="2" t="inlineStr">
        <is>
          <t>Autorização legislativa</t>
        </is>
      </c>
      <c r="F6" s="2" t="inlineStr">
        <is>
          <t>Em votação</t>
        </is>
      </c>
      <c r="G6" s="2" t="inlineStr">
        <is>
          <t>Aprovada parcialmente</t>
        </is>
      </c>
    </row>
    <row r="7">
      <c r="B7" s="2" t="inlineStr">
        <is>
          <t>PCP</t>
        </is>
      </c>
      <c r="F7" s="2" t="inlineStr">
        <is>
          <t>Votada</t>
        </is>
      </c>
    </row>
    <row r="8">
      <c r="B8" s="2" t="inlineStr">
        <is>
          <t>CDS-PP</t>
        </is>
      </c>
      <c r="F8" s="2" t="inlineStr">
        <is>
          <t>Avocada a Plenário</t>
        </is>
      </c>
    </row>
    <row r="9">
      <c r="B9" s="2" t="inlineStr">
        <is>
          <t>BE</t>
        </is>
      </c>
    </row>
    <row r="10">
      <c r="B10" s="2" t="inlineStr">
        <is>
          <t>PAN</t>
        </is>
      </c>
    </row>
    <row r="11">
      <c r="B11" s="2" t="inlineStr">
        <is>
          <t>JPP</t>
        </is>
      </c>
    </row>
    <row r="12">
      <c r="B12" s="2" t="inlineStr">
        <is>
          <t>Deputado único/não inscrito</t>
        </is>
      </c>
    </row>
    <row r="13">
      <c r="B13" s="2" t="inlineStr">
        <is>
          <t>Vários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</cols>
  <sheetData>
    <row r="1">
      <c r="A1" s="7" t="inlineStr">
        <is>
          <t>Instruções de preenchimento</t>
        </is>
      </c>
      <c r="B1" s="8" t="n"/>
      <c r="C1" s="8" t="n"/>
    </row>
    <row r="2">
      <c r="A2" s="8" t="inlineStr">
        <is>
          <t>Um registo por proposta de alteração (PA). Preencher apenas com informação constante de fontes oficiais. Quando a fonte não indicar o valor, deixar a célula em branco e referir a ausência em Observações.</t>
        </is>
      </c>
      <c r="B2" s="8" t="n"/>
      <c r="C2" s="8" t="n"/>
    </row>
    <row r="3">
      <c r="A3" s="8" t="n"/>
      <c r="B3" s="8" t="n"/>
      <c r="C3" s="8" t="n"/>
    </row>
    <row r="4">
      <c r="A4" s="9" t="inlineStr">
        <is>
          <t>Campo</t>
        </is>
      </c>
      <c r="B4" s="9" t="inlineStr">
        <is>
          <t>Conteúdo</t>
        </is>
      </c>
      <c r="C4" s="9" t="inlineStr">
        <is>
          <t>Valores admissíveis / formato</t>
        </is>
      </c>
    </row>
    <row r="5">
      <c r="A5" s="8" t="inlineStr">
        <is>
          <t>ID</t>
        </is>
      </c>
      <c r="B5" s="8" t="inlineStr">
        <is>
          <t>Número sequencial interno do registo.</t>
        </is>
      </c>
      <c r="C5" s="8" t="inlineStr">
        <is>
          <t>Inteiro (1, 2, 3…)</t>
        </is>
      </c>
    </row>
    <row r="6">
      <c r="A6" s="8" t="inlineStr">
        <is>
          <t>N.º PA</t>
        </is>
      </c>
      <c r="B6" s="8" t="inlineStr">
        <is>
          <t>Número atribuído à PA pela Assembleia da República.</t>
        </is>
      </c>
      <c r="C6" s="8" t="inlineStr">
        <is>
          <t>Conforme publicado pela AR</t>
        </is>
      </c>
    </row>
    <row r="7">
      <c r="A7" s="8" t="inlineStr">
        <is>
          <t>Data Entrada</t>
        </is>
      </c>
      <c r="B7" s="8" t="inlineStr">
        <is>
          <t>Data de entrada da PA na AR.</t>
        </is>
      </c>
      <c r="C7" s="8" t="inlineStr">
        <is>
          <t>DD/MM/AAAA</t>
        </is>
      </c>
    </row>
    <row r="8">
      <c r="A8" s="8" t="inlineStr">
        <is>
          <t>Versão</t>
        </is>
      </c>
      <c r="B8" s="8" t="inlineStr">
        <is>
          <t>Versão da PA. Cada PA mantém o número original; as substituições registam-se em nova linha.</t>
        </is>
      </c>
      <c r="C8" s="8" t="inlineStr">
        <is>
          <t>Original · Substituição · Retirada</t>
        </is>
      </c>
    </row>
    <row r="9">
      <c r="A9" s="8" t="inlineStr">
        <is>
          <t>Partido</t>
        </is>
      </c>
      <c r="B9" s="8" t="inlineStr">
        <is>
          <t>Grupo parlamentar ou partido proponente.</t>
        </is>
      </c>
      <c r="C9" s="8" t="inlineStr">
        <is>
          <t>PSD · CH · PS · IL · L · PCP · CDS-PP · BE · PAN · JPP · Deputado único/não inscrito · Vários</t>
        </is>
      </c>
    </row>
    <row r="10">
      <c r="A10" s="8" t="inlineStr">
        <is>
          <t>Deputado/Proponente</t>
        </is>
      </c>
      <c r="B10" s="8" t="inlineStr">
        <is>
          <t>Deputado(s) subscritor(es), conforme a PA.</t>
        </is>
      </c>
      <c r="C10" s="8" t="inlineStr">
        <is>
          <t>Texto</t>
        </is>
      </c>
    </row>
    <row r="11">
      <c r="A11" s="8" t="inlineStr">
        <is>
          <t>Artigo Alterado</t>
        </is>
      </c>
      <c r="B11" s="8" t="inlineStr">
        <is>
          <t>Artigo ou mapa da Proposta de Lei alterado, aditado ou eliminado.</t>
        </is>
      </c>
      <c r="C11" s="8" t="inlineStr">
        <is>
          <t>Ex.: formato «Art. n.º (alteração)», «Artigo novo», «Mapa n.º»</t>
        </is>
      </c>
    </row>
    <row r="12">
      <c r="A12" s="8" t="inlineStr">
        <is>
          <t>Tipo de PA</t>
        </is>
      </c>
      <c r="B12" s="8" t="inlineStr">
        <is>
          <t>Natureza da PA.</t>
        </is>
      </c>
      <c r="C12" s="8" t="inlineStr">
        <is>
          <t>Receita · Despesa · Norma orçamental · Alteração a legislação avulsa · Autorização legislativa</t>
        </is>
      </c>
    </row>
    <row r="13">
      <c r="A13" s="8" t="inlineStr">
        <is>
          <t>Tema</t>
        </is>
      </c>
      <c r="B13" s="8" t="inlineStr">
        <is>
          <t>Tema da PA.</t>
        </is>
      </c>
      <c r="C13" s="8" t="inlineStr">
        <is>
          <t>Texto (taxonomia a fixar pela DACDP)</t>
        </is>
      </c>
    </row>
    <row r="14">
      <c r="A14" s="8" t="inlineStr">
        <is>
          <t>Área Governativa</t>
        </is>
      </c>
      <c r="B14" s="8" t="inlineStr">
        <is>
          <t>Área governativa abrangida.</t>
        </is>
      </c>
      <c r="C14" s="8" t="inlineStr">
        <is>
          <t>Texto, conforme a orgânica do Governo</t>
        </is>
      </c>
    </row>
    <row r="15">
      <c r="A15" s="8" t="inlineStr">
        <is>
          <t>Ministério</t>
        </is>
      </c>
      <c r="B15" s="8" t="inlineStr">
        <is>
          <t>Ministério responsável pela execução.</t>
        </is>
      </c>
      <c r="C15" s="8" t="inlineStr">
        <is>
          <t>Texto, conforme a orgânica do Governo</t>
        </is>
      </c>
    </row>
    <row r="16">
      <c r="A16" s="8" t="inlineStr">
        <is>
          <t>Descrição Sumária</t>
        </is>
      </c>
      <c r="B16" s="8" t="inlineStr">
        <is>
          <t>Descrição numa linha do conteúdo da PA.</t>
        </is>
      </c>
      <c r="C16" s="8" t="inlineStr">
        <is>
          <t>Texto</t>
        </is>
      </c>
    </row>
    <row r="17">
      <c r="A17" s="8" t="inlineStr">
        <is>
          <t>Impacto Receita (€)</t>
        </is>
      </c>
      <c r="B17" s="8" t="inlineStr">
        <is>
          <t>Impacto estimado na receita, em euros.</t>
        </is>
      </c>
      <c r="C17" s="8" t="inlineStr">
        <is>
          <t>Número; em branco se não quantificado</t>
        </is>
      </c>
    </row>
    <row r="18">
      <c r="A18" s="8" t="inlineStr">
        <is>
          <t>Impacto Despesa (€)</t>
        </is>
      </c>
      <c r="B18" s="8" t="inlineStr">
        <is>
          <t>Impacto estimado na despesa, em euros.</t>
        </is>
      </c>
      <c r="C18" s="8" t="inlineStr">
        <is>
          <t>Número; em branco se não quantificado</t>
        </is>
      </c>
    </row>
    <row r="19">
      <c r="A19" s="8" t="inlineStr">
        <is>
          <t>Fonte da Estimativa</t>
        </is>
      </c>
      <c r="B19" s="8" t="inlineStr">
        <is>
          <t>Origem da quantificação do impacto.</t>
        </is>
      </c>
      <c r="C19" s="8" t="inlineStr">
        <is>
          <t>Proponente · UTAO · Governo · Sem quantificação</t>
        </is>
      </c>
    </row>
    <row r="20">
      <c r="A20" s="8" t="inlineStr">
        <is>
          <t>Medida Anunciada (S/N)</t>
        </is>
      </c>
      <c r="B20" s="8" t="inlineStr">
        <is>
          <t>A medida foi anunciada publicamente antes da entrega da PA?</t>
        </is>
      </c>
      <c r="C20" s="8" t="inlineStr">
        <is>
          <t>S · N (data e fonte em Observações)</t>
        </is>
      </c>
    </row>
    <row r="21">
      <c r="A21" s="8" t="inlineStr">
        <is>
          <t>Relevância</t>
        </is>
      </c>
      <c r="B21" s="8" t="inlineStr">
        <is>
          <t>Classificação de relevância para apoio à decisão.</t>
        </is>
      </c>
      <c r="C21" s="8" t="inlineStr">
        <is>
          <t>Alta · Média · Baixa (justificação em Observações)</t>
        </is>
      </c>
    </row>
    <row r="22">
      <c r="A22" s="8" t="inlineStr">
        <is>
          <t>Necessita Análise Jurídica (S/N)</t>
        </is>
      </c>
      <c r="B22" s="8" t="inlineStr">
        <is>
          <t>A PA requer análise jurídica (PA normativas, cavaleiros orçamentais, legislação avulsa).</t>
        </is>
      </c>
      <c r="C22" s="8" t="inlineStr">
        <is>
          <t>S · N</t>
        </is>
      </c>
    </row>
    <row r="23">
      <c r="A23" s="8" t="inlineStr">
        <is>
          <t>Estado</t>
        </is>
      </c>
      <c r="B23" s="8" t="inlineStr">
        <is>
          <t>Fase da tramitação da PA.</t>
        </is>
      </c>
      <c r="C23" s="8" t="inlineStr">
        <is>
          <t>Entregue · Admitida · Substituída · Retirada · Em votação · Votada · Avocada a Plenário</t>
        </is>
      </c>
    </row>
    <row r="24">
      <c r="A24" s="8" t="inlineStr">
        <is>
          <t>Resultado Votação</t>
        </is>
      </c>
      <c r="B24" s="8" t="inlineStr">
        <is>
          <t>Resultado da votação, conforme guião/súmula de votação.</t>
        </is>
      </c>
      <c r="C24" s="8" t="inlineStr">
        <is>
          <t>Aprovada · Rejeitada · Prejudicada · Retirada · Aprovada parcialmente</t>
        </is>
      </c>
    </row>
    <row r="25">
      <c r="A25" s="8" t="inlineStr">
        <is>
          <t>Sentido de Voto</t>
        </is>
      </c>
      <c r="B25" s="8" t="inlineStr">
        <is>
          <t>Sentido de voto por partido.</t>
        </is>
      </c>
      <c r="C25" s="8" t="inlineStr">
        <is>
          <t>«Favor: …; Contra: …; Abstenção: …»</t>
        </is>
      </c>
    </row>
    <row r="26">
      <c r="A26" s="8" t="inlineStr">
        <is>
          <t>Data Votação</t>
        </is>
      </c>
      <c r="B26" s="8" t="inlineStr">
        <is>
          <t>Data da votação.</t>
        </is>
      </c>
      <c r="C26" s="8" t="inlineStr">
        <is>
          <t>DD/MM/AAAA</t>
        </is>
      </c>
    </row>
    <row r="27">
      <c r="A27" s="8" t="inlineStr">
        <is>
          <t>Observações</t>
        </is>
      </c>
      <c r="B27" s="8" t="inlineStr">
        <is>
          <t>Fonte (com ligação), ausência de dados, avocação, histórico de versões e outras notas.</t>
        </is>
      </c>
      <c r="C27" s="8" t="inlineStr">
        <is>
          <t>Texto</t>
        </is>
      </c>
    </row>
    <row r="28">
      <c r="A28" s="8" t="n"/>
      <c r="B28" s="8" t="n"/>
      <c r="C28" s="8" t="n"/>
    </row>
    <row r="29">
      <c r="A29" s="9" t="inlineStr">
        <is>
          <t>Preenchimento automático pela UPE</t>
        </is>
      </c>
      <c r="B29" s="8" t="n"/>
      <c r="C29" s="8" t="n"/>
    </row>
    <row r="30">
      <c r="A30" s="8" t="inlineStr">
        <is>
          <t>As colunas B, C, E, F, G, L, S, T, U e V e as ligações em W são preenchidas a partir dos dados abertos da Assembleia da República em cada captura automática. As colunas X em diante são informação adicional publicada pela AR: tema, epígrafe, diplomas alterados, incidência, natureza e estado da PA, avocação, requerimentos, pareceres das Regiões Autónomas, identificadores e ligações. As restantes colunas do modelo (D, H a K, M a R e o texto de W) são da DACDP e nunca são alteradas pela sincronização.</t>
        </is>
      </c>
      <c r="B30" s="8" t="n"/>
      <c r="C30" s="8" t="n"/>
    </row>
    <row r="31">
      <c r="A31" s="8" t="n"/>
      <c r="B31" s="8" t="n"/>
      <c r="C31" s="8" t="n"/>
    </row>
    <row r="32">
      <c r="A32" s="9" t="inlineStr">
        <is>
          <t>Fontes oficiais</t>
        </is>
      </c>
      <c r="B32" s="8" t="n"/>
      <c r="C32" s="8" t="n"/>
    </row>
    <row r="33">
      <c r="A33" s="8" t="inlineStr">
        <is>
          <t>Ficha da proposta de lei</t>
        </is>
      </c>
      <c r="B33" s="8" t="inlineStr">
        <is>
          <t>https://www.parlamento.pt/ActividadeParlamentar/Paginas/DetalheIniciativa.aspx?BID=377352</t>
        </is>
      </c>
      <c r="C33" s="8" t="n"/>
    </row>
    <row r="34">
      <c r="A34" s="8" t="inlineStr">
        <is>
          <t>Página do OE na COFAP</t>
        </is>
      </c>
      <c r="B34" s="8" t="inlineStr">
        <is>
          <t>https://www.parlamento.pt/sites/COM/XVIILeg/5COFAP/Paginas/OE2027.aspx</t>
        </is>
      </c>
      <c r="C34" s="8" t="n"/>
    </row>
    <row r="35">
      <c r="A35" s="8" t="inlineStr">
        <is>
          <t>Calendário de apreciação</t>
        </is>
      </c>
      <c r="B35" s="8" t="inlineStr">
        <is>
          <t>https://www.parlamento.pt/Documents/2026/outubro/calendario-OE2027.pdf</t>
        </is>
      </c>
      <c r="C35" s="8" t="n"/>
    </row>
    <row r="36">
      <c r="A36" s="8" t="inlineStr">
        <is>
          <t>Dados abertos — Orçamento do Estado</t>
        </is>
      </c>
      <c r="B36" s="8" t="inlineStr">
        <is>
          <t>https://www.parlamento.pt/Cidadania/Paginas/DAOE.aspx</t>
        </is>
      </c>
      <c r="C36" s="8" t="n"/>
    </row>
    <row r="37">
      <c r="A37" s="8" t="inlineStr">
        <is>
          <t>Painel UPE</t>
        </is>
      </c>
      <c r="B37" s="8" t="inlineStr">
        <is>
          <t>https://upe-sggov.github.io/oe2027-pa/</t>
        </is>
      </c>
      <c r="C37" s="8" t="n"/>
    </row>
    <row r="38">
      <c r="A38" s="8" t="inlineStr">
        <is>
          <t>Repositório</t>
        </is>
      </c>
      <c r="B38" s="8" t="inlineStr">
        <is>
          <t>https://github.com/upe-sggov/oe2027-pa</t>
        </is>
      </c>
      <c r="C38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70" customWidth="1" min="4" max="4"/>
    <col width="12" customWidth="1" min="5" max="5"/>
  </cols>
  <sheetData>
    <row r="1" ht="30" customHeight="1">
      <c r="A1" s="1" t="inlineStr">
        <is>
          <t>Data/hora</t>
        </is>
      </c>
      <c r="B1" s="1" t="inlineStr">
        <is>
          <t>Fonte</t>
        </is>
      </c>
      <c r="C1" s="1" t="inlineStr">
        <is>
          <t>Ligação</t>
        </is>
      </c>
      <c r="D1" s="1" t="inlineStr">
        <is>
          <t>Resultado da consulta</t>
        </is>
      </c>
      <c r="E1" s="1" t="inlineStr">
        <is>
          <t>N.º PA novas</t>
        </is>
      </c>
    </row>
    <row r="2">
      <c r="A2" s="8" t="inlineStr">
        <is>
          <t>2026-10-27 10:07 UTC</t>
        </is>
      </c>
      <c r="B2" s="8" t="inlineStr">
        <is>
          <t>Dados abertos da AR — ficheiro de PA da edição</t>
        </is>
      </c>
      <c r="C2" s="8" t="inlineStr">
        <is>
          <t>https://www.parlamento.pt/Cidadania/Paginas/DAOE.aspx</t>
        </is>
      </c>
      <c r="D2" s="8" t="inlineStr">
        <is>
          <t>Ficheiro da edição ainda não publicado na pasta dos dados abertos.</t>
        </is>
      </c>
      <c r="E2" s="8" t="n">
        <v>0</v>
      </c>
    </row>
    <row r="3">
      <c r="A3" s="8" t="inlineStr">
        <is>
          <t>2026-10-27 10:07 UTC</t>
        </is>
      </c>
      <c r="B3" s="8" t="inlineStr">
        <is>
          <t>Portal da AR — página de cada PA (reserva)</t>
        </is>
      </c>
      <c r="C3" s="8" t="inlineStr">
        <is>
          <t>https://www.parlamento.pt/OrcamentoEstado/Paginas/DetalhePropostaAlteracao.aspx?BID=…</t>
        </is>
      </c>
      <c r="D3" s="8" t="inlineStr">
        <is>
          <t>Identificadores 25391–25415: 0 PA novas, 0 atualizadas</t>
        </is>
      </c>
      <c r="E3" s="8" t="n"/>
    </row>
    <row r="4">
      <c r="A4" s="8" t="inlineStr">
        <is>
          <t>2026-10-27 09:42 UTC</t>
        </is>
      </c>
      <c r="B4" s="8" t="inlineStr">
        <is>
          <t>Dados abertos da AR — ficheiro de PA da edição</t>
        </is>
      </c>
      <c r="C4" s="8" t="inlineStr">
        <is>
          <t>https://www.parlamento.pt/Cidadania/Paginas/DAOE.aspx</t>
        </is>
      </c>
      <c r="D4" s="8" t="inlineStr">
        <is>
          <t>Ficheiro da edição ainda não publicado na pasta dos dados abertos.</t>
        </is>
      </c>
      <c r="E4" s="8" t="n">
        <v>0</v>
      </c>
    </row>
    <row r="5">
      <c r="A5" s="8" t="inlineStr">
        <is>
          <t>2026-10-27 09:42 UTC</t>
        </is>
      </c>
      <c r="B5" s="8" t="inlineStr">
        <is>
          <t>Portal da AR — página de cada PA (reserva)</t>
        </is>
      </c>
      <c r="C5" s="8" t="inlineStr">
        <is>
          <t>https://www.parlamento.pt/OrcamentoEstado/Paginas/DetalhePropostaAlteracao.aspx?BID=…</t>
        </is>
      </c>
      <c r="D5" s="8" t="inlineStr">
        <is>
          <t>Identificadores 25391–25415: 0 PA novas, 0 atualizadas</t>
        </is>
      </c>
      <c r="E5" s="8" t="n"/>
    </row>
    <row r="6">
      <c r="A6" s="8" t="inlineStr">
        <is>
          <t>2026-10-27 09:36 UTC</t>
        </is>
      </c>
      <c r="B6" s="8" t="inlineStr">
        <is>
          <t>Dados abertos da AR — ficheiro de PA da edição</t>
        </is>
      </c>
      <c r="C6" s="8" t="inlineStr">
        <is>
          <t>https://www.parlamento.pt/Cidadania/Paginas/DAOE.aspx</t>
        </is>
      </c>
      <c r="D6" s="8" t="inlineStr">
        <is>
          <t>Ficheiro da edição ainda não publicado na pasta dos dados abertos.</t>
        </is>
      </c>
      <c r="E6" s="8" t="n">
        <v>0</v>
      </c>
    </row>
    <row r="7">
      <c r="A7" s="8" t="inlineStr">
        <is>
          <t>2026-10-27 09:36 UTC</t>
        </is>
      </c>
      <c r="B7" s="8" t="inlineStr">
        <is>
          <t>Portal da AR — página de cada PA (reserva)</t>
        </is>
      </c>
      <c r="C7" s="8" t="inlineStr">
        <is>
          <t>https://www.parlamento.pt/OrcamentoEstado/Paginas/DetalhePropostaAlteracao.aspx?BID=…</t>
        </is>
      </c>
      <c r="D7" s="8" t="inlineStr">
        <is>
          <t>Identificadores 25391–25415: 0 PA novas, 0 atualizadas</t>
        </is>
      </c>
      <c r="E7" s="8" t="n"/>
    </row>
    <row r="8">
      <c r="A8" s="8" t="inlineStr">
        <is>
          <t>2026-10-26 23:05 UTC</t>
        </is>
      </c>
      <c r="B8" s="8" t="inlineStr">
        <is>
          <t>Dados abertos da AR — ficheiro de PA da edição</t>
        </is>
      </c>
      <c r="C8" s="8" t="inlineStr">
        <is>
          <t>https://www.parlamento.pt/Cidadania/Paginas/DAOE.aspx</t>
        </is>
      </c>
      <c r="D8" s="8" t="inlineStr">
        <is>
          <t>Ficheiro da edição ainda não publicado na pasta dos dados abertos.</t>
        </is>
      </c>
      <c r="E8" s="8" t="n">
        <v>0</v>
      </c>
    </row>
    <row r="9">
      <c r="A9" s="8" t="inlineStr">
        <is>
          <t>2026-10-26 23:05 UTC</t>
        </is>
      </c>
      <c r="B9" s="8" t="inlineStr">
        <is>
          <t>Portal da AR — página de cada PA (reserva)</t>
        </is>
      </c>
      <c r="C9" s="8" t="inlineStr">
        <is>
          <t>https://www.parlamento.pt/OrcamentoEstado/Paginas/DetalhePropostaAlteracao.aspx?BID=…</t>
        </is>
      </c>
      <c r="D9" s="8" t="inlineStr">
        <is>
          <t>Identificadores 25391–25415: 0 PA novas, 0 atualizadas</t>
        </is>
      </c>
      <c r="E9" s="8" t="n"/>
    </row>
    <row r="10">
      <c r="A10" s="8" t="inlineStr">
        <is>
          <t>2026-10-26 22:49 UTC</t>
        </is>
      </c>
      <c r="B10" s="8" t="inlineStr">
        <is>
          <t>Dados abertos da AR — ficheiro de PA da edição</t>
        </is>
      </c>
      <c r="C10" s="8" t="inlineStr">
        <is>
          <t>https://www.parlamento.pt/Cidadania/Paginas/DAOE.aspx</t>
        </is>
      </c>
      <c r="D10" s="8" t="inlineStr">
        <is>
          <t>Ficheiro da edição ainda não publicado na pasta dos dados abertos.</t>
        </is>
      </c>
      <c r="E10" s="8" t="n">
        <v>0</v>
      </c>
    </row>
    <row r="11">
      <c r="A11" s="8" t="inlineStr">
        <is>
          <t>2026-10-26 22:49 UTC</t>
        </is>
      </c>
      <c r="B11" s="8" t="inlineStr">
        <is>
          <t>Portal da AR — página de cada PA (reserva)</t>
        </is>
      </c>
      <c r="C11" s="8" t="inlineStr">
        <is>
          <t>https://www.parlamento.pt/OrcamentoEstado/Paginas/DetalhePropostaAlteracao.aspx?BID=…</t>
        </is>
      </c>
      <c r="D11" s="8" t="inlineStr">
        <is>
          <t>Identificadores 25391–25415: 0 PA novas, 0 atualizadas</t>
        </is>
      </c>
      <c r="E11" s="8" t="n"/>
    </row>
    <row r="12">
      <c r="A12" s="8" t="inlineStr">
        <is>
          <t>2026-10-26 22:48 UTC</t>
        </is>
      </c>
      <c r="B12" s="8" t="inlineStr">
        <is>
          <t>Dados abertos da AR — ficheiro de PA da edição</t>
        </is>
      </c>
      <c r="C12" s="8" t="inlineStr">
        <is>
          <t>https://www.parlamento.pt/Cidadania/Paginas/DAOE.aspx</t>
        </is>
      </c>
      <c r="D12" s="8" t="inlineStr">
        <is>
          <t>Ficheiro da edição ainda não publicado na pasta dos dados abertos.</t>
        </is>
      </c>
      <c r="E12" s="8" t="n">
        <v>0</v>
      </c>
    </row>
    <row r="13">
      <c r="A13" s="8" t="inlineStr">
        <is>
          <t>2026-10-26 22:48 UTC</t>
        </is>
      </c>
      <c r="B13" s="8" t="inlineStr">
        <is>
          <t>Portal da AR — página de cada PA (reserva)</t>
        </is>
      </c>
      <c r="C13" s="8" t="inlineStr">
        <is>
          <t>https://www.parlamento.pt/OrcamentoEstado/Paginas/DetalhePropostaAlteracao.aspx?BID=…</t>
        </is>
      </c>
      <c r="D13" s="8" t="inlineStr">
        <is>
          <t>Identificadores 25391–25415: 0 PA novas, 0 atualizadas</t>
        </is>
      </c>
      <c r="E13" s="8" t="n"/>
    </row>
    <row r="14">
      <c r="A14" s="8" t="inlineStr">
        <is>
          <t>2026-10-26 22:06 UTC</t>
        </is>
      </c>
      <c r="B14" s="8" t="inlineStr">
        <is>
          <t>Dados abertos da AR — ficheiro de PA da edição</t>
        </is>
      </c>
      <c r="C14" s="8" t="inlineStr">
        <is>
          <t>https://www.parlamento.pt/Cidadania/Paginas/DAOE.aspx</t>
        </is>
      </c>
      <c r="D14" s="8" t="inlineStr">
        <is>
          <t>Ficheiro da edição ainda não publicado na pasta dos dados abertos.</t>
        </is>
      </c>
      <c r="E14" s="8" t="n">
        <v>0</v>
      </c>
    </row>
    <row r="15">
      <c r="A15" s="8" t="inlineStr">
        <is>
          <t>2026-10-26 22:06 UTC</t>
        </is>
      </c>
      <c r="B15" s="8" t="inlineStr">
        <is>
          <t>Portal da AR — página de cada PA (reserva)</t>
        </is>
      </c>
      <c r="C15" s="8" t="inlineStr">
        <is>
          <t>https://www.parlamento.pt/OrcamentoEstado/Paginas/DetalhePropostaAlteracao.aspx?BID=…</t>
        </is>
      </c>
      <c r="D15" s="8" t="inlineStr">
        <is>
          <t>Identificadores 25391–25415: 0 PA novas, 0 atualizadas</t>
        </is>
      </c>
      <c r="E15" s="8" t="n"/>
    </row>
    <row r="16">
      <c r="A16" s="8" t="inlineStr">
        <is>
          <t>2026-10-26 22:00 UTC</t>
        </is>
      </c>
      <c r="B16" s="8" t="inlineStr">
        <is>
          <t>Dados abertos da AR — ficheiro de PA da edição</t>
        </is>
      </c>
      <c r="C16" s="8" t="inlineStr">
        <is>
          <t>https://www.parlamento.pt/Cidadania/Paginas/DAOE.aspx</t>
        </is>
      </c>
      <c r="D16" s="8" t="inlineStr">
        <is>
          <t>Ficheiro da edição ainda não publicado na pasta dos dados abertos.</t>
        </is>
      </c>
      <c r="E16" s="8" t="n">
        <v>0</v>
      </c>
    </row>
    <row r="17">
      <c r="A17" s="8" t="inlineStr">
        <is>
          <t>2026-10-26 22:00 UTC</t>
        </is>
      </c>
      <c r="B17" s="8" t="inlineStr">
        <is>
          <t>Portal da AR — página de cada PA (reserva)</t>
        </is>
      </c>
      <c r="C17" s="8" t="inlineStr">
        <is>
          <t>https://www.parlamento.pt/OrcamentoEstado/Paginas/DetalhePropostaAlteracao.aspx?BID=…</t>
        </is>
      </c>
      <c r="D17" s="8" t="inlineStr">
        <is>
          <t>Identificadores 25391–25415: 0 PA novas, 0 atualizadas</t>
        </is>
      </c>
      <c r="E17" s="8" t="n"/>
    </row>
    <row r="18">
      <c r="A18" s="8" t="inlineStr">
        <is>
          <t>2026-10-26 18:47 UTC</t>
        </is>
      </c>
      <c r="B18" s="8" t="inlineStr">
        <is>
          <t>Dados abertos da AR — ficheiro de PA da edição</t>
        </is>
      </c>
      <c r="C18" s="8" t="inlineStr">
        <is>
          <t>https://www.parlamento.pt/Cidadania/Paginas/DAOE.aspx</t>
        </is>
      </c>
      <c r="D18" s="8" t="inlineStr">
        <is>
          <t>Ficheiro da edição ainda não publicado na pasta dos dados abertos.</t>
        </is>
      </c>
      <c r="E18" s="8" t="n">
        <v>0</v>
      </c>
    </row>
    <row r="19">
      <c r="A19" s="8" t="inlineStr">
        <is>
          <t>2026-10-26 18:47 UTC</t>
        </is>
      </c>
      <c r="B19" s="8" t="inlineStr">
        <is>
          <t>Portal da AR — página de cada PA (reserva)</t>
        </is>
      </c>
      <c r="C19" s="8" t="inlineStr">
        <is>
          <t>https://www.parlamento.pt/OrcamentoEstado/Paginas/DetalhePropostaAlteracao.aspx?BID=…</t>
        </is>
      </c>
      <c r="D19" s="8" t="inlineStr">
        <is>
          <t>Identificadores 25391–25415: 0 PA novas, 0 atualizadas</t>
        </is>
      </c>
      <c r="E19" s="8" t="n"/>
    </row>
    <row r="20">
      <c r="A20" s="8" t="inlineStr">
        <is>
          <t>2026-10-26 18:45 UTC</t>
        </is>
      </c>
      <c r="B20" s="8" t="inlineStr">
        <is>
          <t>Dados abertos da AR — ficheiro de PA da edição</t>
        </is>
      </c>
      <c r="C20" s="8" t="inlineStr">
        <is>
          <t>https://www.parlamento.pt/Cidadania/Paginas/DAOE.aspx</t>
        </is>
      </c>
      <c r="D20" s="8" t="inlineStr">
        <is>
          <t>Ficheiro da edição ainda não publicado na pasta dos dados abertos.</t>
        </is>
      </c>
      <c r="E20" s="8" t="n">
        <v>0</v>
      </c>
    </row>
    <row r="21">
      <c r="A21" s="8" t="inlineStr">
        <is>
          <t>2026-10-26 18:45 UTC</t>
        </is>
      </c>
      <c r="B21" s="8" t="inlineStr">
        <is>
          <t>Portal da AR — página de cada PA (reserva)</t>
        </is>
      </c>
      <c r="C21" s="8" t="inlineStr">
        <is>
          <t>https://www.parlamento.pt/OrcamentoEstado/Paginas/DetalhePropostaAlteracao.aspx?BID=…</t>
        </is>
      </c>
      <c r="D21" s="8" t="inlineStr">
        <is>
          <t>Identificadores 25391–25415: 0 PA novas, 0 atualizadas</t>
        </is>
      </c>
      <c r="E21" s="8" t="n"/>
    </row>
    <row r="22">
      <c r="A22" s="8" t="inlineStr">
        <is>
          <t>2026-10-26 18:42 UTC</t>
        </is>
      </c>
      <c r="B22" s="8" t="inlineStr">
        <is>
          <t>Portal da AR — página de cada PA (reserva)</t>
        </is>
      </c>
      <c r="C22" s="8" t="inlineStr">
        <is>
          <t>https://www.parlamento.pt/OrcamentoEstado/Paginas/DetalhePropostaAlteracao.aspx?BID=…</t>
        </is>
      </c>
      <c r="D22" s="8" t="inlineStr">
        <is>
          <t>Identificadores 25391–25415: 0 PA novas, 0 atualizadas</t>
        </is>
      </c>
      <c r="E22" s="8" t="n"/>
    </row>
    <row r="23">
      <c r="A23" s="8" t="inlineStr">
        <is>
          <t>2026-10-26 18:41 UTC</t>
        </is>
      </c>
      <c r="B23" s="8" t="inlineStr">
        <is>
          <t>Dados abertos da AR — ficheiro de PA da edição</t>
        </is>
      </c>
      <c r="C23" s="8" t="inlineStr">
        <is>
          <t>https://www.parlamento.pt/Cidadania/Paginas/DAOE.aspx</t>
        </is>
      </c>
      <c r="D23" s="8" t="inlineStr">
        <is>
          <t>Ficheiro da edição ainda não publicado na pasta dos dados abertos.</t>
        </is>
      </c>
      <c r="E23" s="8" t="n">
        <v>0</v>
      </c>
    </row>
    <row r="24">
      <c r="A24" s="8" t="inlineStr">
        <is>
          <t>2026-10-26 04:51 UTC</t>
        </is>
      </c>
      <c r="B24" s="8" t="inlineStr">
        <is>
          <t>Dados abertos da AR — ficheiro de PA da edição</t>
        </is>
      </c>
      <c r="C24" s="8" t="inlineStr">
        <is>
          <t>https://www.parlamento.pt/Cidadania/Paginas/DAOE.aspx</t>
        </is>
      </c>
      <c r="D24" s="8" t="inlineStr">
        <is>
          <t>Ficheiro da edição ainda não publicado na pasta dos dados abertos.</t>
        </is>
      </c>
      <c r="E24" s="8" t="n">
        <v>0</v>
      </c>
    </row>
    <row r="25">
      <c r="A25" s="8" t="inlineStr">
        <is>
          <t>2026-10-26 04:51 UTC</t>
        </is>
      </c>
      <c r="B25" s="8" t="inlineStr">
        <is>
          <t>Portal da AR — página de cada PA (reserva)</t>
        </is>
      </c>
      <c r="C25" s="8" t="inlineStr">
        <is>
          <t>https://www.parlamento.pt/OrcamentoEstado/Paginas/DetalhePropostaAlteracao.aspx?BID=…</t>
        </is>
      </c>
      <c r="D25" s="8" t="inlineStr">
        <is>
          <t>Identificadores 25391–25415: 0 PA novas, 0 atualizadas</t>
        </is>
      </c>
      <c r="E25" s="8" t="n"/>
    </row>
    <row r="26">
      <c r="A26" s="8" t="inlineStr">
        <is>
          <t>2026-10-26 04:39 UTC</t>
        </is>
      </c>
      <c r="B26" s="8" t="inlineStr">
        <is>
          <t>Portal da AR — pesquisa de PA</t>
        </is>
      </c>
      <c r="C26" s="8" t="inlineStr">
        <is>
          <t>https://www.parlamento.pt/OrcamentoEstado/Paginas/PesquisaPropAlteracao110XVII.aspx</t>
        </is>
      </c>
      <c r="D26" s="8" t="inlineStr">
        <is>
          <t>{"disponivel": false, "erro": ""}</t>
        </is>
      </c>
      <c r="E26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0" customWidth="1" min="3" max="3"/>
    <col width="40" customWidth="1" min="4" max="4"/>
  </cols>
  <sheetData>
    <row r="1">
      <c r="A1" s="5" t="inlineStr">
        <is>
          <t>Calendário oficial e documentos publicados (situação a 27/10/2026)</t>
        </is>
      </c>
    </row>
    <row r="3">
      <c r="A3" s="6" t="inlineStr">
        <is>
          <t>Data</t>
        </is>
      </c>
      <c r="B3" s="6" t="inlineStr">
        <is>
          <t>Momento / Documento</t>
        </is>
      </c>
      <c r="C3" s="6" t="inlineStr">
        <is>
          <t>Fonte oficial</t>
        </is>
      </c>
      <c r="D3" s="6" t="inlineStr">
        <is>
          <t>Observações</t>
        </is>
      </c>
    </row>
    <row r="4">
      <c r="A4" s="8" t="inlineStr">
        <is>
          <t>23/10/2026</t>
        </is>
      </c>
      <c r="B4" s="8" t="inlineStr">
        <is>
          <t>10h00 · COFAP · generalidade · audição do Ministro de Estado e das Finanças</t>
        </is>
      </c>
      <c r="C4" s="8" t="inlineStr">
        <is>
          <t>https://www.parlamento.pt/Documents/2026/outubro/calendario-OE2027.pdf</t>
        </is>
      </c>
      <c r="D4" s="8" t="n"/>
    </row>
    <row r="5">
      <c r="A5" s="8" t="inlineStr">
        <is>
          <t>26/10/2026</t>
        </is>
      </c>
      <c r="B5" s="8" t="inlineStr">
        <is>
          <t>15h00 · COFAP · generalidade · audição da Ministra do Trabalho, Solidariedade e Segurança Social · 18h00 prazo para pareceres CPP</t>
        </is>
      </c>
      <c r="C5" s="8" t="inlineStr">
        <is>
          <t>https://www.parlamento.pt/Documents/2026/outubro/calendario-OE2027.pdf</t>
        </is>
      </c>
      <c r="D5" s="8" t="n"/>
    </row>
    <row r="6">
      <c r="A6" s="8" t="inlineStr">
        <is>
          <t>27/10/2026</t>
        </is>
      </c>
      <c r="B6" s="8" t="inlineStr">
        <is>
          <t>11h00 · COFAP · parecer final · 15h00 · Plenário · debate na generalidade</t>
        </is>
      </c>
      <c r="C6" s="8" t="inlineStr">
        <is>
          <t>https://www.parlamento.pt/Documents/2026/outubro/calendario-OE2027.pdf</t>
        </is>
      </c>
      <c r="D6" s="8" t="n"/>
    </row>
    <row r="7">
      <c r="A7" s="8" t="inlineStr">
        <is>
          <t>28/10/2026</t>
        </is>
      </c>
      <c r="B7" s="8" t="inlineStr">
        <is>
          <t>10h00 e 15h00 · Plenário · encerramento e votação na generalidade</t>
        </is>
      </c>
      <c r="C7" s="8" t="inlineStr">
        <is>
          <t>https://www.parlamento.pt/Documents/2026/outubro/calendario-OE2027.pdf</t>
        </is>
      </c>
      <c r="D7" s="8" t="n"/>
    </row>
    <row r="8">
      <c r="A8" s="8" t="inlineStr">
        <is>
          <t>29/10/2026</t>
        </is>
      </c>
      <c r="B8" s="8" t="inlineStr">
        <is>
          <t>9h00 · início do prazo para inserção de PA (nova aplicação) · início das audições na especialidade</t>
        </is>
      </c>
      <c r="C8" s="8" t="inlineStr">
        <is>
          <t>https://www.parlamento.pt/Documents/2026/outubro/calendario-OE2027.pdf</t>
        </is>
      </c>
      <c r="D8" s="8" t="n"/>
    </row>
    <row r="9">
      <c r="A9" s="8" t="inlineStr">
        <is>
          <t>06/11/2026</t>
        </is>
      </c>
      <c r="B9" s="8" t="inlineStr">
        <is>
          <t>15h00 · audição do Ministro de Estado e das Finanças · prazo para PA (nova aplicação)</t>
        </is>
      </c>
      <c r="C9" s="8" t="inlineStr">
        <is>
          <t>https://www.parlamento.pt/Documents/2026/outubro/calendario-OE2027.pdf</t>
        </is>
      </c>
      <c r="D9" s="8" t="n"/>
    </row>
    <row r="10">
      <c r="A10" s="8" t="inlineStr">
        <is>
          <t>11/11/2026</t>
        </is>
      </c>
      <c r="B10" s="8" t="inlineStr">
        <is>
          <t>18h00 · distribuição e análise do 1.º guião de votação (*)</t>
        </is>
      </c>
      <c r="C10" s="8" t="inlineStr">
        <is>
          <t>https://www.parlamento.pt/Documents/2026/outubro/calendario-OE2027.pdf</t>
        </is>
      </c>
      <c r="D10" s="8" t="n"/>
    </row>
    <row r="11">
      <c r="A11" s="8" t="inlineStr">
        <is>
          <t>12/11/2026</t>
        </is>
      </c>
      <c r="B11" s="8" t="inlineStr">
        <is>
          <t>13h00 · 2.º guião de votação · 18h00 · 3.º guião de votação (*)</t>
        </is>
      </c>
      <c r="C11" s="8" t="inlineStr">
        <is>
          <t>https://www.parlamento.pt/Documents/2026/outubro/calendario-OE2027.pdf</t>
        </is>
      </c>
      <c r="D11" s="8" t="n"/>
    </row>
    <row r="12">
      <c r="A12" s="8" t="inlineStr">
        <is>
          <t>13/11/2026</t>
        </is>
      </c>
      <c r="B12" s="8" t="inlineStr">
        <is>
          <t>13h00 · 4.º guião de votação · 16h00 · reunião COFAP M&amp;C (*)</t>
        </is>
      </c>
      <c r="C12" s="8" t="inlineStr">
        <is>
          <t>https://www.parlamento.pt/Documents/2026/outubro/calendario-OE2027.pdf</t>
        </is>
      </c>
      <c r="D12" s="8" t="n"/>
    </row>
    <row r="13">
      <c r="A13" s="8" t="inlineStr">
        <is>
          <t>18/11/2026</t>
        </is>
      </c>
      <c r="B13" s="8" t="inlineStr">
        <is>
          <t>10h00 · Plenário · debate na especialidade · 15h00 · COFAP · votações</t>
        </is>
      </c>
      <c r="C13" s="8" t="inlineStr">
        <is>
          <t>https://www.parlamento.pt/Documents/2026/outubro/calendario-OE2027.pdf</t>
        </is>
      </c>
      <c r="D13" s="8" t="n"/>
    </row>
    <row r="14">
      <c r="A14" s="8" t="inlineStr">
        <is>
          <t>19/11/2026</t>
        </is>
      </c>
      <c r="B14" s="8" t="inlineStr">
        <is>
          <t>10h00 · Plenário · debate na especialidade · 15h00 · COFAP · votações</t>
        </is>
      </c>
      <c r="C14" s="8" t="inlineStr">
        <is>
          <t>https://www.parlamento.pt/Documents/2026/outubro/calendario-OE2027.pdf</t>
        </is>
      </c>
      <c r="D14" s="8" t="n"/>
    </row>
    <row r="15">
      <c r="A15" s="8" t="inlineStr">
        <is>
          <t>20/11/2026</t>
        </is>
      </c>
      <c r="B15" s="8" t="inlineStr">
        <is>
          <t>10h00 · Plenário · debate na especialidade · 15h00 · COFAP · votações</t>
        </is>
      </c>
      <c r="C15" s="8" t="inlineStr">
        <is>
          <t>https://www.parlamento.pt/Documents/2026/outubro/calendario-OE2027.pdf</t>
        </is>
      </c>
      <c r="D15" s="8" t="n"/>
    </row>
    <row r="16">
      <c r="A16" s="8" t="inlineStr">
        <is>
          <t>23/11/2026</t>
        </is>
      </c>
      <c r="B16" s="8" t="inlineStr">
        <is>
          <t>10h00 · Plenário · debate na especialidade · 15h00 · COFAP · votações</t>
        </is>
      </c>
      <c r="C16" s="8" t="inlineStr">
        <is>
          <t>https://www.parlamento.pt/Documents/2026/outubro/calendario-OE2027.pdf</t>
        </is>
      </c>
      <c r="D16" s="8" t="n"/>
    </row>
    <row r="17">
      <c r="A17" s="8" t="inlineStr">
        <is>
          <t>24/11/2026</t>
        </is>
      </c>
      <c r="B17" s="8" t="inlineStr">
        <is>
          <t>10h00 · Plenário · debate, encerramento e votação final global</t>
        </is>
      </c>
      <c r="C17" s="8" t="inlineStr">
        <is>
          <t>https://www.parlamento.pt/Documents/2026/outubro/calendario-OE2027.pdf</t>
        </is>
      </c>
      <c r="D17" s="8" t="n"/>
    </row>
    <row r="18">
      <c r="A18" s="8" t="inlineStr">
        <is>
          <t>09/12/2026</t>
        </is>
      </c>
      <c r="B18" s="8" t="inlineStr">
        <is>
          <t>Prazo da redação final</t>
        </is>
      </c>
      <c r="C18" s="8" t="inlineStr">
        <is>
          <t>https://www.parlamento.pt/Documents/2026/outubro/calendario-OE2027.pdf</t>
        </is>
      </c>
      <c r="D18" s="8" t="inlineStr">
        <is>
          <t>(*) De acordo com o plano de contingência para introdução de PA, este prazo poderá ser adiado em 24 horas úteis, se necessário.</t>
        </is>
      </c>
    </row>
    <row r="19">
      <c r="A19" s="8" t="inlineStr">
        <is>
          <t>—</t>
        </is>
      </c>
      <c r="B19" s="8" t="inlineStr">
        <is>
          <t>Parecer ANMP - Associação Nacional de Municípios Portugueses</t>
        </is>
      </c>
      <c r="C19" s="8" t="inlineStr">
        <is>
          <t>https://app.parlamento.pt/webutils/docs/doc.pdf?path=dC9rQqNYGyJQXgcZhSAnCg10jPTqaC6nNvHbSBoxlSC7itNejkurPQvkBLoR%2fiIzdmTARYwM0qDkAhrWqLCSY1m8lb0PyKxiqtRMYKYVH19qcZFCCt%2fd%2frYVrmD5DVCJToMGVG8ZUuLpUYJoVVnMHhF8lySKxWp%2fzA6IXyFheQJs5qiHy7%2bXWY1LxM6B8QQRwIcKxfyNoT1B1%2fpvL3suta2wg9F4svRFG6h5369yu3p%2fBRUXlthfYX4A4Y84xqOEsmq%2bu7uBd5dflEc20bsJaLTZFDdoj6BKEfUOpWR6nrx7StxFMz1jbLbO1ja59C8m9IF6cI4vvAy%2bW6dJW7L43A4FXn29IlApHjjnnjq4lrs%3d&amp;fich=PLOE2027_Parecer+ANMP.pdf&amp;Inline=true</t>
        </is>
      </c>
      <c r="D19" s="8" t="inlineStr">
        <is>
          <t>Registado no painel em 2026-10-26 18:43</t>
        </is>
      </c>
    </row>
    <row r="20">
      <c r="A20" s="8" t="inlineStr">
        <is>
          <t>—</t>
        </is>
      </c>
      <c r="B20" s="8" t="inlineStr">
        <is>
          <t>Relatório CFP - Análise da Proposta de Orçamento do Estado para 2027</t>
        </is>
      </c>
      <c r="C20" s="8" t="inlineStr">
        <is>
          <t>https://app.parlamento.pt/webutils/docs/doc.pdf?path=3%2fk%2bg8TKMWryONdGdPw9P9AOCwbR32Zl4rqKSmL5a7ggF1z9Z8c01T%2bzEtPFE4CVDOWR7nM5kp7%2fqpUJiMbo6xz%2bwhxPaGuYEoq2kNDlKc6JC5KVwnCRgwpm54KirCGs5MyVMLOHe82g6DzOALAIS%2bfltTcclEHevn89BXi8tbCrZGwLO11u4BoZ9w%2fccG95KsDIkw2cd%2b2wFtDxvAOBx6tP0IHv4Ilq0fgMhjDMm5jsqoAG%2bl6c6hEb1TkhAuXvx8hiapqRE8TFy53Sx9IqPyWGc6VRx7Lnra%2bvhEZJvOwpA7cxrYVEz0H%2f7Ex2TzDB1%2b6V%2bErzuLEZSOjws%2fTGrNRNu2KRpF6Iu86kaHKFmac%3d&amp;fich=CFP-REL-08-2026_POE2027.pdf&amp;Inline=true</t>
        </is>
      </c>
      <c r="D20" s="8" t="inlineStr">
        <is>
          <t>Registado no painel em 2026-10-26 18:43</t>
        </is>
      </c>
    </row>
    <row r="21">
      <c r="A21" s="8" t="inlineStr">
        <is>
          <t>—</t>
        </is>
      </c>
      <c r="B21" s="8" t="inlineStr">
        <is>
          <t>Parecer CFP - Previsões macroeconómicas subjacentes à Proposta de Orçamento do Estado para 2027</t>
        </is>
      </c>
      <c r="C21" s="8" t="inlineStr">
        <is>
          <t>https://app.parlamento.pt/webutils/docs/doc.pdf?path=QS08w0gPFTKQqaK0hnUDNxByJ0fgs6smsC7y90tiBLHp1ZVTB%2fwbW%2b%2fR686TNuvd%2bc%2fkPoYmTYcP1ksOX96ul%2baCRgIspms7qC2mSselXAPxdms67MGox%2bK9Yv4LrWtrk%2bm0cm3Zu0Xfqt5%2fHFYo9hPZ2XdODPZ7IeaOEdo9p%2fjV2mw56wpD2qiNbgpi6%2bd%2baKRIsBei%2fEzyasZ2wOxqXsBEnYkocDquJvv0EVAvg8irlcociBLqRoFBzi4ofxOOxnEAdWYJGWF2LJuyU7E%2bk5ZCVOONJX1AAYL7cHph86EjjGPY6Hns5DoO0wdAeoN75LeD3ixBBllODjdy3MBbAQ%3d%3d&amp;fich=CFP-Parecer-05-2026.pdf&amp;Inline=true</t>
        </is>
      </c>
      <c r="D21" s="8" t="inlineStr">
        <is>
          <t>Registado no painel em 2026-10-26 04:39</t>
        </is>
      </c>
    </row>
    <row r="22">
      <c r="A22" s="8" t="inlineStr">
        <is>
          <t>—</t>
        </is>
      </c>
      <c r="B22" s="8" t="inlineStr">
        <is>
          <t>Relatório UTAO - Apreciação preliminar da Proposta de Orçamento do Estado para 2027</t>
        </is>
      </c>
      <c r="C22" s="8" t="inlineStr">
        <is>
          <t>https://app.parlamento.pt/webutils/docs/doc.pdf?path=i8w8bN%2fLuCKcExevGRu8IuUESwBkE8DS0vHHjcAoCziAx993HO0jcnymSBPeLPN5XHnDf%2bhVzBlzugGwnBqqgJ3jvOjJ5AS3bPgxeRRcQB%2fp1PzAJbyBxQqdWeojlnuPtmhL0NxJKrL6PKbV67g5TRjxnVf1iUMexlAIdgEwbFhTzSzEPYQdQ%2f625h8mZJl3UkSo81JeFKJ0tmWT7bcHGsSbV97ECES2xm6HORtkbQipDNAIc0T9cR6%2fXodDsQ4K7jzkHkQ6zk0D7x1sj4t4Hg02swr5bc15ppBA074lu%2bNMhvgSmJwwgo2TfzeqpbFGN5LwQc%2bkZOQ9GzxYNQ4seVUmcOgi%2bsOUBE5TpMAQ9v8%3d&amp;fich=Relat%c3%b3rio+UTAO.pdf&amp;Inline=true</t>
        </is>
      </c>
      <c r="D22" s="8" t="inlineStr">
        <is>
          <t>Registado no painel em 2026-10-26 04:19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80" customWidth="1" min="3" max="3"/>
    <col width="60" customWidth="1" min="4" max="4"/>
  </cols>
  <sheetData>
    <row r="1">
      <c r="A1" s="5" t="inlineStr">
        <is>
          <t>Resposta da UPE ao modelo da DACDP: o que a captura automática assegura, o que exige desenvolvimento e as limitações</t>
        </is>
      </c>
    </row>
    <row r="2">
      <c r="A2" s="8" t="inlineStr">
        <is>
          <t>Gerado automaticamente em 27/10/2026, 10h08 UTC a partir da informação publicada pela Assembleia da República. «Imediato»: preenchido em cada captura. «Desenvolvimento»: sugestão automática a validar pela DACDP. «Limitação»: sem fonte na AR.</t>
        </is>
      </c>
      <c r="B2" s="8" t="n"/>
      <c r="C2" s="8" t="n"/>
      <c r="D2" s="8" t="n"/>
    </row>
    <row r="3">
      <c r="A3" s="8" t="n"/>
      <c r="B3" s="8" t="n"/>
      <c r="C3" s="8" t="n"/>
      <c r="D3" s="8" t="n"/>
    </row>
    <row r="4">
      <c r="A4" s="9" t="inlineStr">
        <is>
          <t>Campo</t>
        </is>
      </c>
      <c r="B4" s="9" t="inlineStr">
        <is>
          <t>Classificação</t>
        </is>
      </c>
      <c r="C4" s="9" t="inlineStr">
        <is>
          <t>Como se preenche</t>
        </is>
      </c>
      <c r="D4" s="9" t="inlineStr">
        <is>
          <t>Observações</t>
        </is>
      </c>
    </row>
    <row r="5">
      <c r="A5" s="8" t="inlineStr">
        <is>
          <t>ID</t>
        </is>
      </c>
      <c r="B5" s="8" t="inlineStr">
        <is>
          <t>Imediato</t>
        </is>
      </c>
      <c r="C5" s="8" t="inlineStr">
        <is>
          <t>Número sequencial atribuído na exportação.</t>
        </is>
      </c>
      <c r="D5" s="8" t="inlineStr"/>
    </row>
    <row r="6">
      <c r="A6" s="8" t="inlineStr">
        <is>
          <t>N.º PA</t>
        </is>
      </c>
      <c r="B6" s="8" t="inlineStr">
        <is>
          <t>Imediato</t>
        </is>
      </c>
      <c r="C6" s="8" t="inlineStr">
        <is>
          <t>AR (dados abertos; reserva: página de cada PA).</t>
        </is>
      </c>
      <c r="D6" s="8" t="inlineStr">
        <is>
          <t>Uma PA com várias partes (120C-1, 120C-2) ocupa uma linha por parte, porque a AR as vota separadamente.</t>
        </is>
      </c>
    </row>
    <row r="7">
      <c r="A7" s="8" t="inlineStr">
        <is>
          <t>Data Entrada</t>
        </is>
      </c>
      <c r="B7" s="8" t="inlineStr">
        <is>
          <t>Imediato</t>
        </is>
      </c>
      <c r="C7" s="8" t="inlineStr">
        <is>
          <t>AR: data e hora de entrada.</t>
        </is>
      </c>
      <c r="D7" s="8" t="inlineStr"/>
    </row>
    <row r="8">
      <c r="A8" s="8" t="inlineStr">
        <is>
          <t>Versão</t>
        </is>
      </c>
      <c r="B8" s="8" t="inlineStr">
        <is>
          <t>Limitação</t>
        </is>
      </c>
      <c r="C8" s="8" t="inlineStr">
        <is>
          <t>A AR não publica a ligação entre uma PA e a que ela substitui. A coluna recebe «Retirada» quando a AR publica esse estado e «Original» nos restantes casos.</t>
        </is>
      </c>
      <c r="D8" s="8" t="inlineStr">
        <is>
          <t>Confirmação pela DACDP.</t>
        </is>
      </c>
    </row>
    <row r="9">
      <c r="A9" s="8" t="inlineStr">
        <is>
          <t>Partido</t>
        </is>
      </c>
      <c r="B9" s="8" t="inlineStr">
        <is>
          <t>Imediato</t>
        </is>
      </c>
      <c r="C9" s="8" t="inlineStr">
        <is>
          <t>AR: grupo(s) parlamentar(es) proponente(s). «Vários» quando há mais de um.</t>
        </is>
      </c>
      <c r="D9" s="8" t="inlineStr">
        <is>
          <t>Sigla normalizada (CDS-P → CDS-PP).</t>
        </is>
      </c>
    </row>
    <row r="10">
      <c r="A10" s="8" t="inlineStr">
        <is>
          <t>Deputado/Proponente</t>
        </is>
      </c>
      <c r="B10" s="8" t="inlineStr">
        <is>
          <t>Imediato</t>
        </is>
      </c>
      <c r="C10" s="8" t="inlineStr">
        <is>
          <t>AR: deputados signatários.</t>
        </is>
      </c>
      <c r="D10" s="8" t="inlineStr"/>
    </row>
    <row r="11">
      <c r="A11" s="8" t="inlineStr">
        <is>
          <t>Artigo Alterado</t>
        </is>
      </c>
      <c r="B11" s="8" t="inlineStr">
        <is>
          <t>Imediato</t>
        </is>
      </c>
      <c r="C11" s="8" t="inlineStr">
        <is>
          <t>AR: artigo ou mapa e natureza (alteração, aditamento, eliminação).</t>
        </is>
      </c>
      <c r="D11" s="8" t="inlineStr"/>
    </row>
    <row r="12">
      <c r="A12" s="8" t="inlineStr">
        <is>
          <t>Tipo de PA</t>
        </is>
      </c>
      <c r="B12" s="8" t="inlineStr">
        <is>
          <t>Limitação</t>
        </is>
      </c>
      <c r="C12" s="8" t="inlineStr">
        <is>
          <t>Sem fonte na AR (a AR publica a natureza da PA: aditamento, substituição, eliminação, na coluna «Tipo (AR)»).</t>
        </is>
      </c>
      <c r="D12" s="8" t="inlineStr">
        <is>
          <t>Classificação da DACDP.</t>
        </is>
      </c>
    </row>
    <row r="13">
      <c r="A13" s="8" t="inlineStr">
        <is>
          <t>Tema</t>
        </is>
      </c>
      <c r="B13" s="8" t="inlineStr">
        <is>
          <t>Limitação</t>
        </is>
      </c>
      <c r="C13" s="8" t="inlineStr">
        <is>
          <t>A AR atribui um tema próprio (coluna «Tema AR»). A taxonomia da DACDP é preenchida pela DACDP.</t>
        </is>
      </c>
      <c r="D13" s="8" t="inlineStr"/>
    </row>
    <row r="14">
      <c r="A14" s="8" t="inlineStr">
        <is>
          <t>Área Governativa</t>
        </is>
      </c>
      <c r="B14" s="8" t="inlineStr">
        <is>
          <t>Limitação</t>
        </is>
      </c>
      <c r="C14" s="8" t="inlineStr">
        <is>
          <t>Sem fonte na AR. O tema atribuído pela AR (coluna «Tema AR»; em 2026, a comissão parlamentar competente) é a aproximação disponível.</t>
        </is>
      </c>
      <c r="D14" s="8" t="inlineStr">
        <is>
          <t>Classificação da DACDP.</t>
        </is>
      </c>
    </row>
    <row r="15">
      <c r="A15" s="8" t="inlineStr">
        <is>
          <t>Ministério</t>
        </is>
      </c>
      <c r="B15" s="8" t="inlineStr">
        <is>
          <t>Limitação</t>
        </is>
      </c>
      <c r="C15" s="8" t="inlineStr">
        <is>
          <t>Sem fonte na AR.</t>
        </is>
      </c>
      <c r="D15" s="8" t="inlineStr">
        <is>
          <t>Classificação da DACDP.</t>
        </is>
      </c>
    </row>
    <row r="16">
      <c r="A16" s="8" t="inlineStr">
        <is>
          <t>Descrição Sumária</t>
        </is>
      </c>
      <c r="B16" s="8" t="inlineStr">
        <is>
          <t>Imediato (parcial)</t>
        </is>
      </c>
      <c r="C16" s="8" t="inlineStr">
        <is>
          <t>AR: título da PA tal como publicado. A DACDP pode reescrever; a UPE não substitui texto já escrito.</t>
        </is>
      </c>
      <c r="D16" s="8" t="inlineStr"/>
    </row>
    <row r="17">
      <c r="A17" s="8" t="inlineStr">
        <is>
          <t>Impacto Receita (€)</t>
        </is>
      </c>
      <c r="B17" s="8" t="inlineStr">
        <is>
          <t>Limitação</t>
        </is>
      </c>
      <c r="C17" s="8" t="inlineStr">
        <is>
          <t>Sem fonte na AR. Só existe quando a UTAO ou o proponente publicam uma estimativa.</t>
        </is>
      </c>
      <c r="D17" s="8" t="inlineStr">
        <is>
          <t>A UPE pode extrair o texto da nota justificativa do PDF de cada PA para facilitar a leitura.</t>
        </is>
      </c>
    </row>
    <row r="18">
      <c r="A18" s="8" t="inlineStr">
        <is>
          <t>Impacto Despesa (€)</t>
        </is>
      </c>
      <c r="B18" s="8" t="inlineStr">
        <is>
          <t>Limitação</t>
        </is>
      </c>
      <c r="C18" s="8" t="inlineStr">
        <is>
          <t>Idem.</t>
        </is>
      </c>
      <c r="D18" s="8" t="inlineStr"/>
    </row>
    <row r="19">
      <c r="A19" s="8" t="inlineStr">
        <is>
          <t>Fonte da Estimativa</t>
        </is>
      </c>
      <c r="B19" s="8" t="inlineStr">
        <is>
          <t>Limitação</t>
        </is>
      </c>
      <c r="C19" s="8" t="inlineStr">
        <is>
          <t>Idem.</t>
        </is>
      </c>
      <c r="D19" s="8" t="inlineStr"/>
    </row>
    <row r="20">
      <c r="A20" s="8" t="inlineStr">
        <is>
          <t>Medida Anunciada (S/N)</t>
        </is>
      </c>
      <c r="B20" s="8" t="inlineStr">
        <is>
          <t>Limitação</t>
        </is>
      </c>
      <c r="C20" s="8" t="inlineStr">
        <is>
          <t>Sem fonte na AR. Ligação à folha «Medidas Anunciadas» pelo n.º da PA, a cargo da DACDP.</t>
        </is>
      </c>
      <c r="D20" s="8" t="inlineStr"/>
    </row>
    <row r="21">
      <c r="A21" s="8" t="inlineStr">
        <is>
          <t>Relevância</t>
        </is>
      </c>
      <c r="B21" s="8" t="inlineStr">
        <is>
          <t>Limitação</t>
        </is>
      </c>
      <c r="C21" s="8" t="inlineStr">
        <is>
          <t>Juízo da DACDP.</t>
        </is>
      </c>
      <c r="D21" s="8" t="inlineStr"/>
    </row>
    <row r="22">
      <c r="A22" s="8" t="inlineStr">
        <is>
          <t>Necessita Análise Jurídica (S/N)</t>
        </is>
      </c>
      <c r="B22" s="8" t="inlineStr">
        <is>
          <t>Limitação</t>
        </is>
      </c>
      <c r="C22" s="8" t="inlineStr">
        <is>
          <t>Juízo da DACDP.</t>
        </is>
      </c>
      <c r="D22" s="8" t="inlineStr"/>
    </row>
    <row r="23">
      <c r="A23" s="8" t="inlineStr">
        <is>
          <t>Estado</t>
        </is>
      </c>
      <c r="B23" s="8" t="inlineStr">
        <is>
          <t>Imediato</t>
        </is>
      </c>
      <c r="C23" s="8" t="inlineStr">
        <is>
          <t>AR: estado publicado (coluna «Estado (AR)»); a coluna «Estado» recebe o estado da AR, que é o único verificável.</t>
        </is>
      </c>
      <c r="D23" s="8" t="inlineStr">
        <is>
          <t>A lista do modelo (Entregue, Admitida, …) não coincide com os estados que a AR publica.</t>
        </is>
      </c>
    </row>
    <row r="24">
      <c r="A24" s="8" t="inlineStr">
        <is>
          <t>Resultado Votação</t>
        </is>
      </c>
      <c r="B24" s="8" t="inlineStr">
        <is>
          <t>Imediato</t>
        </is>
      </c>
      <c r="C24" s="8" t="inlineStr">
        <is>
          <t>AR: resultado da última votação, nos valores do modelo (Aprovada, Rejeitada, Prejudicada, Retirada, Aprovada parcialmente).</t>
        </is>
      </c>
      <c r="D24" s="8" t="inlineStr"/>
    </row>
    <row r="25">
      <c r="A25" s="8" t="inlineStr">
        <is>
          <t>Sentido de Voto</t>
        </is>
      </c>
      <c r="B25" s="8" t="inlineStr">
        <is>
          <t>Imediato</t>
        </is>
      </c>
      <c r="C25" s="8" t="inlineStr">
        <is>
          <t>AR: sentido de voto de cada grupo parlamentar, no formato do modelo.</t>
        </is>
      </c>
      <c r="D25" s="8" t="inlineStr">
        <is>
          <t>Inclui os deputados únicos representantes de partido.</t>
        </is>
      </c>
    </row>
    <row r="26">
      <c r="A26" s="8" t="inlineStr">
        <is>
          <t>Data Votação</t>
        </is>
      </c>
      <c r="B26" s="8" t="inlineStr">
        <is>
          <t>Imediato</t>
        </is>
      </c>
      <c r="C26" s="8" t="inlineStr">
        <is>
          <t>AR: data da última votação.</t>
        </is>
      </c>
      <c r="D26" s="8" t="inlineStr"/>
    </row>
    <row r="27">
      <c r="A27" s="8" t="inlineStr">
        <is>
          <t>Observações</t>
        </is>
      </c>
      <c r="B27" s="8" t="inlineStr">
        <is>
          <t>Imediato (parcial)</t>
        </is>
      </c>
      <c r="C27" s="8" t="inlineStr">
        <is>
          <t>A UPE acrescenta a ligação à ficha da PA e ao PDF, a avocação a Plenário e a nota «ausente da fonte» quando a PA deixa de constar da publicação. O resto é da DACDP.</t>
        </is>
      </c>
      <c r="D27" s="8" t="inlineStr"/>
    </row>
    <row r="28">
      <c r="A28" s="8" t="inlineStr">
        <is>
          <t>Medidas Anunciadas (folha)</t>
        </is>
      </c>
      <c r="B28" s="8" t="inlineStr">
        <is>
          <t>Limitação</t>
        </is>
      </c>
      <c r="C28" s="8" t="inlineStr">
        <is>
          <t>Fora das fontes da AR: fica a cargo da DACDP. A UPE preserva o conteúdo nas sincronizações.</t>
        </is>
      </c>
      <c r="D28" s="8" t="inlineStr"/>
    </row>
    <row r="29">
      <c r="A29" s="8" t="inlineStr">
        <is>
          <t>Ponto de Situação (folha)</t>
        </is>
      </c>
      <c r="B29" s="8" t="inlineStr">
        <is>
          <t>Imediato</t>
        </is>
      </c>
      <c r="C29" s="8" t="inlineStr">
        <is>
          <t>Fórmulas do modelo, alargadas a 5 000 linhas; situação na fonte oficial preenchida pela captura.</t>
        </is>
      </c>
      <c r="D29" s="8" t="inlineStr"/>
    </row>
    <row r="30">
      <c r="A30" s="8" t="inlineStr">
        <is>
          <t>Registo de Consultas (folha)</t>
        </is>
      </c>
      <c r="B30" s="8" t="inlineStr">
        <is>
          <t>Imediato</t>
        </is>
      </c>
      <c r="C30" s="8" t="inlineStr">
        <is>
          <t>Cada captura automática regista fonte, momento, resultado e PA novas.</t>
        </is>
      </c>
      <c r="D30" s="8" t="inlineStr"/>
    </row>
    <row r="31">
      <c r="A31" s="8" t="inlineStr">
        <is>
          <t>Calendário e Documentos (folha)</t>
        </is>
      </c>
      <c r="B31" s="8" t="inlineStr">
        <is>
          <t>Imediato</t>
        </is>
      </c>
      <c r="C31" s="8" t="inlineStr">
        <is>
          <t>Calendário oficial da AR e documentos publicados na página da COFAP.</t>
        </is>
      </c>
      <c r="D3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2026-10-27T10:08:04Z</dcterms:created>
  <dcterms:modified xsi:type="dcterms:W3CDTF">2026-10-27T10:08:04Z</dcterms:modified>
</cp:coreProperties>
</file>