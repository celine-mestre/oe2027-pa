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Alteração'!$A$1:$AN$5001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26" customWidth="1" min="25" max="25"/>
    <col width="14" customWidth="1" min="26" max="26"/>
    <col width="11" customWidth="1" min="27" max="27"/>
    <col width="20" customWidth="1" min="28" max="28"/>
    <col width="11" customWidth="1" min="29" max="29"/>
    <col width="22" customWidth="1" min="30" max="30"/>
    <col width="24" customWidth="1" min="31" max="31"/>
    <col width="10" customWidth="1" min="32" max="32"/>
    <col width="7" customWidth="1" min="33" max="33"/>
    <col width="9" customWidth="1" min="34" max="34"/>
    <col width="9" customWidth="1" min="35" max="35"/>
    <col width="40" customWidth="1" min="36" max="36"/>
    <col width="40" customWidth="1" min="37" max="37"/>
    <col width="17" customWidth="1" min="38" max="38"/>
    <col width="17" customWidth="1" min="39" max="39"/>
    <col width="17" customWidth="1" min="40" max="40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Área Governativa (sugestão SGGov)</t>
        </is>
      </c>
      <c r="Z1" s="1" t="inlineStr">
        <is>
          <t>Método da sugestão</t>
        </is>
      </c>
      <c r="AA1" s="1" t="inlineStr">
        <is>
          <t>Confiança</t>
        </is>
      </c>
      <c r="AB1" s="1" t="inlineStr">
        <is>
          <t>Tipo de PA (sugestão)</t>
        </is>
      </c>
      <c r="AC1" s="1" t="inlineStr">
        <is>
          <t>Incide</t>
        </is>
      </c>
      <c r="AD1" s="1" t="inlineStr">
        <is>
          <t>Tipo (AR)</t>
        </is>
      </c>
      <c r="AE1" s="1" t="inlineStr">
        <is>
          <t>Estado (AR)</t>
        </is>
      </c>
      <c r="AF1" s="1" t="inlineStr">
        <is>
          <t>Avocação a Plenário</t>
        </is>
      </c>
      <c r="AG1" s="1" t="inlineStr">
        <is>
          <t>Parte</t>
        </is>
      </c>
      <c r="AH1" s="1" t="inlineStr">
        <is>
          <t>N.º de votações</t>
        </is>
      </c>
      <c r="AI1" s="1" t="inlineStr">
        <is>
          <t>ID AR</t>
        </is>
      </c>
      <c r="AJ1" s="1" t="inlineStr">
        <is>
          <t>Ligação AR</t>
        </is>
      </c>
      <c r="AK1" s="1" t="inlineStr">
        <is>
          <t>PDF</t>
        </is>
      </c>
      <c r="AL1" s="1" t="inlineStr">
        <is>
          <t>Primeira captura</t>
        </is>
      </c>
      <c r="AM1" s="1" t="inlineStr">
        <is>
          <t>Última captura</t>
        </is>
      </c>
      <c r="AN1" s="1" t="inlineStr">
        <is>
          <t>Ausente da fonte</t>
        </is>
      </c>
    </row>
    <row r="2">
      <c r="A2" s="2" t="n"/>
      <c r="B2" s="2" t="n"/>
      <c r="C2" s="3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4" t="n"/>
      <c r="N2" s="4" t="n"/>
      <c r="O2" s="2" t="n"/>
      <c r="P2" s="2" t="n"/>
      <c r="Q2" s="2" t="n"/>
      <c r="R2" s="2" t="n"/>
      <c r="S2" s="2" t="n"/>
      <c r="T2" s="2" t="n"/>
      <c r="U2" s="2" t="n"/>
      <c r="V2" s="3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3" t="n"/>
      <c r="AM2" s="3" t="n"/>
      <c r="AN2" s="2" t="n"/>
    </row>
  </sheetData>
  <autoFilter ref="A1:AN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110/XVII/2.ª (Orçamento do Estado para 2027)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18h41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Sem propostas de alteração publicadas pela AR. Registo a partir de 29/10/2026, 09h00 (início do prazo de inserção, segundo o calendário da AR).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inlineStr">
        <is>
          <t>Por área governativa (sugestão SGGov, coluna Y; substituir pela coluna J quando validada pela DACDP)</t>
        </is>
      </c>
      <c r="B42" s="2" t="n"/>
      <c r="C42" s="2" t="n"/>
      <c r="D42" s="2" t="n"/>
    </row>
    <row r="43">
      <c r="A43" s="2" t="inlineStr">
        <is>
          <t>Área governativa</t>
        </is>
      </c>
      <c r="B43" s="2" t="inlineStr">
        <is>
          <t>N.º PA</t>
        </is>
      </c>
      <c r="C43" s="2" t="inlineStr">
        <is>
          <t>Aprovadas</t>
        </is>
      </c>
      <c r="D43" s="2" t="inlineStr">
        <is>
          <t>Rejeitadas</t>
        </is>
      </c>
    </row>
    <row r="44">
      <c r="A44" s="2" t="inlineStr">
        <is>
          <t>Presidência</t>
        </is>
      </c>
      <c r="B44" s="2">
        <f>COUNTIF('Propostas de Alteração'!$Y$2:$Y$5001,A44)</f>
        <v/>
      </c>
      <c r="C44" s="2">
        <f>COUNTIFS('Propostas de Alteração'!$Y$2:$Y$5001,A44,'Propostas de Alteração'!$T$2:$T$5001,"Aprovada")</f>
        <v/>
      </c>
      <c r="D44" s="2">
        <f>COUNTIFS('Propostas de Alteração'!$Y$2:$Y$5001,A44,'Propostas de Alteração'!$T$2:$T$5001,"Rejeitada")</f>
        <v/>
      </c>
    </row>
    <row r="45">
      <c r="A45" s="2" t="inlineStr">
        <is>
          <t>Estado e Finanças</t>
        </is>
      </c>
      <c r="B45" s="2">
        <f>COUNTIF('Propostas de Alteração'!$Y$2:$Y$5001,A45)</f>
        <v/>
      </c>
      <c r="C45" s="2">
        <f>COUNTIFS('Propostas de Alteração'!$Y$2:$Y$5001,A45,'Propostas de Alteração'!$T$2:$T$5001,"Aprovada")</f>
        <v/>
      </c>
      <c r="D45" s="2">
        <f>COUNTIFS('Propostas de Alteração'!$Y$2:$Y$5001,A45,'Propostas de Alteração'!$T$2:$T$5001,"Rejeitada")</f>
        <v/>
      </c>
    </row>
    <row r="46">
      <c r="A46" s="2" t="inlineStr">
        <is>
          <t>Estado e Negócios Estrangeiros</t>
        </is>
      </c>
      <c r="B46" s="2">
        <f>COUNTIF('Propostas de Alteração'!$Y$2:$Y$5001,A46)</f>
        <v/>
      </c>
      <c r="C46" s="2">
        <f>COUNTIFS('Propostas de Alteração'!$Y$2:$Y$5001,A46,'Propostas de Alteração'!$T$2:$T$5001,"Aprovada")</f>
        <v/>
      </c>
      <c r="D46" s="2">
        <f>COUNTIFS('Propostas de Alteração'!$Y$2:$Y$5001,A46,'Propostas de Alteração'!$T$2:$T$5001,"Rejeitada")</f>
        <v/>
      </c>
    </row>
    <row r="47">
      <c r="A47" s="2" t="inlineStr">
        <is>
          <t>Adjunto e Reforma do Estado</t>
        </is>
      </c>
      <c r="B47" s="2">
        <f>COUNTIF('Propostas de Alteração'!$Y$2:$Y$5001,A47)</f>
        <v/>
      </c>
      <c r="C47" s="2">
        <f>COUNTIFS('Propostas de Alteração'!$Y$2:$Y$5001,A47,'Propostas de Alteração'!$T$2:$T$5001,"Aprovada")</f>
        <v/>
      </c>
      <c r="D47" s="2">
        <f>COUNTIFS('Propostas de Alteração'!$Y$2:$Y$5001,A47,'Propostas de Alteração'!$T$2:$T$5001,"Rejeitada")</f>
        <v/>
      </c>
    </row>
    <row r="48">
      <c r="A48" s="2" t="inlineStr">
        <is>
          <t>Assuntos Parlamentares</t>
        </is>
      </c>
      <c r="B48" s="2">
        <f>COUNTIF('Propostas de Alteração'!$Y$2:$Y$5001,A48)</f>
        <v/>
      </c>
      <c r="C48" s="2">
        <f>COUNTIFS('Propostas de Alteração'!$Y$2:$Y$5001,A48,'Propostas de Alteração'!$T$2:$T$5001,"Aprovada")</f>
        <v/>
      </c>
      <c r="D48" s="2">
        <f>COUNTIFS('Propostas de Alteração'!$Y$2:$Y$5001,A48,'Propostas de Alteração'!$T$2:$T$5001,"Rejeitada")</f>
        <v/>
      </c>
    </row>
    <row r="49">
      <c r="A49" s="2" t="inlineStr">
        <is>
          <t>Defesa Nacional</t>
        </is>
      </c>
      <c r="B49" s="2">
        <f>COUNTIF('Propostas de Alteração'!$Y$2:$Y$5001,A49)</f>
        <v/>
      </c>
      <c r="C49" s="2">
        <f>COUNTIFS('Propostas de Alteração'!$Y$2:$Y$5001,A49,'Propostas de Alteração'!$T$2:$T$5001,"Aprovada")</f>
        <v/>
      </c>
      <c r="D49" s="2">
        <f>COUNTIFS('Propostas de Alteração'!$Y$2:$Y$5001,A49,'Propostas de Alteração'!$T$2:$T$5001,"Rejeitada")</f>
        <v/>
      </c>
    </row>
    <row r="50">
      <c r="A50" s="2" t="inlineStr">
        <is>
          <t>Administração Interna</t>
        </is>
      </c>
      <c r="B50" s="2">
        <f>COUNTIF('Propostas de Alteração'!$Y$2:$Y$5001,A50)</f>
        <v/>
      </c>
      <c r="C50" s="2">
        <f>COUNTIFS('Propostas de Alteração'!$Y$2:$Y$5001,A50,'Propostas de Alteração'!$T$2:$T$5001,"Aprovada")</f>
        <v/>
      </c>
      <c r="D50" s="2">
        <f>COUNTIFS('Propostas de Alteração'!$Y$2:$Y$5001,A50,'Propostas de Alteração'!$T$2:$T$5001,"Rejeitada")</f>
        <v/>
      </c>
    </row>
    <row r="51">
      <c r="A51" s="2" t="inlineStr">
        <is>
          <t>Justiça</t>
        </is>
      </c>
      <c r="B51" s="2">
        <f>COUNTIF('Propostas de Alteração'!$Y$2:$Y$5001,A51)</f>
        <v/>
      </c>
      <c r="C51" s="2">
        <f>COUNTIFS('Propostas de Alteração'!$Y$2:$Y$5001,A51,'Propostas de Alteração'!$T$2:$T$5001,"Aprovada")</f>
        <v/>
      </c>
      <c r="D51" s="2">
        <f>COUNTIFS('Propostas de Alteração'!$Y$2:$Y$5001,A51,'Propostas de Alteração'!$T$2:$T$5001,"Rejeitada")</f>
        <v/>
      </c>
    </row>
    <row r="52">
      <c r="A52" s="2" t="inlineStr">
        <is>
          <t>Economia e Coesão Territorial</t>
        </is>
      </c>
      <c r="B52" s="2">
        <f>COUNTIF('Propostas de Alteração'!$Y$2:$Y$5001,A52)</f>
        <v/>
      </c>
      <c r="C52" s="2">
        <f>COUNTIFS('Propostas de Alteração'!$Y$2:$Y$5001,A52,'Propostas de Alteração'!$T$2:$T$5001,"Aprovada")</f>
        <v/>
      </c>
      <c r="D52" s="2">
        <f>COUNTIFS('Propostas de Alteração'!$Y$2:$Y$5001,A52,'Propostas de Alteração'!$T$2:$T$5001,"Rejeitada")</f>
        <v/>
      </c>
    </row>
    <row r="53">
      <c r="A53" s="2" t="inlineStr">
        <is>
          <t>Educação, Ciência e Inovação</t>
        </is>
      </c>
      <c r="B53" s="2">
        <f>COUNTIF('Propostas de Alteração'!$Y$2:$Y$5001,A53)</f>
        <v/>
      </c>
      <c r="C53" s="2">
        <f>COUNTIFS('Propostas de Alteração'!$Y$2:$Y$5001,A53,'Propostas de Alteração'!$T$2:$T$5001,"Aprovada")</f>
        <v/>
      </c>
      <c r="D53" s="2">
        <f>COUNTIFS('Propostas de Alteração'!$Y$2:$Y$5001,A53,'Propostas de Alteração'!$T$2:$T$5001,"Rejeitada")</f>
        <v/>
      </c>
    </row>
    <row r="54">
      <c r="A54" s="2" t="inlineStr">
        <is>
          <t>Saúde</t>
        </is>
      </c>
      <c r="B54" s="2">
        <f>COUNTIF('Propostas de Alteração'!$Y$2:$Y$5001,A54)</f>
        <v/>
      </c>
      <c r="C54" s="2">
        <f>COUNTIFS('Propostas de Alteração'!$Y$2:$Y$5001,A54,'Propostas de Alteração'!$T$2:$T$5001,"Aprovada")</f>
        <v/>
      </c>
      <c r="D54" s="2">
        <f>COUNTIFS('Propostas de Alteração'!$Y$2:$Y$5001,A54,'Propostas de Alteração'!$T$2:$T$5001,"Rejeitada")</f>
        <v/>
      </c>
    </row>
    <row r="55">
      <c r="A55" s="2" t="inlineStr">
        <is>
          <t>Infraestruturas e Habitação</t>
        </is>
      </c>
      <c r="B55" s="2">
        <f>COUNTIF('Propostas de Alteração'!$Y$2:$Y$5001,A55)</f>
        <v/>
      </c>
      <c r="C55" s="2">
        <f>COUNTIFS('Propostas de Alteração'!$Y$2:$Y$5001,A55,'Propostas de Alteração'!$T$2:$T$5001,"Aprovada")</f>
        <v/>
      </c>
      <c r="D55" s="2">
        <f>COUNTIFS('Propostas de Alteração'!$Y$2:$Y$5001,A55,'Propostas de Alteração'!$T$2:$T$5001,"Rejeitada")</f>
        <v/>
      </c>
    </row>
    <row r="56">
      <c r="A56" s="2" t="inlineStr">
        <is>
          <t>Trabalho, Solidariedade e Segurança Social</t>
        </is>
      </c>
      <c r="B56" s="2">
        <f>COUNTIF('Propostas de Alteração'!$Y$2:$Y$5001,A56)</f>
        <v/>
      </c>
      <c r="C56" s="2">
        <f>COUNTIFS('Propostas de Alteração'!$Y$2:$Y$5001,A56,'Propostas de Alteração'!$T$2:$T$5001,"Aprovada")</f>
        <v/>
      </c>
      <c r="D56" s="2">
        <f>COUNTIFS('Propostas de Alteração'!$Y$2:$Y$5001,A56,'Propostas de Alteração'!$T$2:$T$5001,"Rejeitada")</f>
        <v/>
      </c>
    </row>
    <row r="57">
      <c r="A57" s="2" t="inlineStr">
        <is>
          <t>Ambiente e Energia</t>
        </is>
      </c>
      <c r="B57" s="2">
        <f>COUNTIF('Propostas de Alteração'!$Y$2:$Y$5001,A57)</f>
        <v/>
      </c>
      <c r="C57" s="2">
        <f>COUNTIFS('Propostas de Alteração'!$Y$2:$Y$5001,A57,'Propostas de Alteração'!$T$2:$T$5001,"Aprovada")</f>
        <v/>
      </c>
      <c r="D57" s="2">
        <f>COUNTIFS('Propostas de Alteração'!$Y$2:$Y$5001,A57,'Propostas de Alteração'!$T$2:$T$5001,"Rejeitada")</f>
        <v/>
      </c>
    </row>
    <row r="58">
      <c r="A58" s="2" t="inlineStr">
        <is>
          <t>Agricultura e Mar</t>
        </is>
      </c>
      <c r="B58" s="2">
        <f>COUNTIF('Propostas de Alteração'!$Y$2:$Y$5001,A58)</f>
        <v/>
      </c>
      <c r="C58" s="2">
        <f>COUNTIFS('Propostas de Alteração'!$Y$2:$Y$5001,A58,'Propostas de Alteração'!$T$2:$T$5001,"Aprovada")</f>
        <v/>
      </c>
      <c r="D58" s="2">
        <f>COUNTIFS('Propostas de Alteração'!$Y$2:$Y$5001,A58,'Propostas de Alteração'!$T$2:$T$5001,"Rejeitada")</f>
        <v/>
      </c>
    </row>
    <row r="59">
      <c r="A59" s="2" t="inlineStr">
        <is>
          <t>Cultura, Juventude e Desporto</t>
        </is>
      </c>
      <c r="B59" s="2">
        <f>COUNTIF('Propostas de Alteração'!$Y$2:$Y$5001,A59)</f>
        <v/>
      </c>
      <c r="C59" s="2">
        <f>COUNTIFS('Propostas de Alteração'!$Y$2:$Y$5001,A59,'Propostas de Alteração'!$T$2:$T$5001,"Aprovada")</f>
        <v/>
      </c>
      <c r="D59" s="2">
        <f>COUNTIFS('Propostas de Alteração'!$Y$2:$Y$5001,A59,'Propostas de Alteração'!$T$2:$T$5001,"Rejeitada")</f>
        <v/>
      </c>
    </row>
    <row r="60">
      <c r="A60" s="2" t="inlineStr">
        <is>
          <t>Transversal</t>
        </is>
      </c>
      <c r="B60" s="2">
        <f>COUNTIF('Propostas de Alteração'!$Y$2:$Y$5001,A60)</f>
        <v/>
      </c>
      <c r="C60" s="2">
        <f>COUNTIFS('Propostas de Alteração'!$Y$2:$Y$5001,A60,'Propostas de Alteração'!$T$2:$T$5001,"Aprovada")</f>
        <v/>
      </c>
      <c r="D60" s="2">
        <f>COUNTIFS('Propostas de Alteração'!$Y$2:$Y$5001,A60,'Propostas de Alteração'!$T$2:$T$5001,"Rejeitada")</f>
        <v/>
      </c>
    </row>
    <row r="61">
      <c r="A61" s="2" t="inlineStr">
        <is>
          <t>por classificar</t>
        </is>
      </c>
      <c r="B61" s="2">
        <f>COUNTIF('Propostas de Alteração'!$Y$2:$Y$5001,A61)</f>
        <v/>
      </c>
      <c r="C61" s="2">
        <f>COUNTIFS('Propostas de Alteração'!$Y$2:$Y$5001,A61,'Propostas de Alteração'!$T$2:$T$5001,"Aprovada")</f>
        <v/>
      </c>
      <c r="D61" s="2">
        <f>COUNTIFS('Propostas de Alteração'!$Y$2:$Y$5001,A61,'Propostas de Alteração'!$T$2:$T$5001,"Rejeitada")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da Assembleia da República em cada captura automática. As colunas X em diante são informação adicional da UPE: tema atribuído pela AR, sugestão de área governativa (classificação SGGov, com método e confiança), sugestão de tipo,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Ficha da proposta de lei</t>
        </is>
      </c>
      <c r="B33" s="8" t="inlineStr">
        <is>
          <t>https://www.parlamento.pt/ActividadeParlamentar/Paginas/DetalheIniciativa.aspx?BID=377352</t>
        </is>
      </c>
      <c r="C33" s="8" t="n"/>
    </row>
    <row r="34">
      <c r="A34" s="8" t="inlineStr">
        <is>
          <t>Página do OE na COFAP</t>
        </is>
      </c>
      <c r="B34" s="8" t="inlineStr">
        <is>
          <t>https://www.parlamento.pt/sites/COM/XVIILeg/5COFAP/Paginas/OE2027.aspx</t>
        </is>
      </c>
      <c r="C34" s="8" t="n"/>
    </row>
    <row r="35">
      <c r="A35" s="8" t="inlineStr">
        <is>
          <t>Calendário de apreciação</t>
        </is>
      </c>
      <c r="B35" s="8" t="inlineStr">
        <is>
          <t>https://www.parlamento.pt/Documents/2026/outubro/calendario-OE2027.pdf</t>
        </is>
      </c>
      <c r="C35" s="8" t="n"/>
    </row>
    <row r="36">
      <c r="A36" s="8" t="inlineStr">
        <is>
          <t>Dados abertos — Orçamento do Estado</t>
        </is>
      </c>
      <c r="B36" s="8" t="inlineStr">
        <is>
          <t>https://www.parlamento.pt/Cidadania/Paginas/DAOE.aspx</t>
        </is>
      </c>
      <c r="C36" s="8" t="n"/>
    </row>
    <row r="37">
      <c r="A37" s="8" t="inlineStr">
        <is>
          <t>Painel UPE</t>
        </is>
      </c>
      <c r="B37" s="8" t="inlineStr">
        <is>
          <t>https://upe-sggov.github.io/oe2027-pa/</t>
        </is>
      </c>
      <c r="C37" s="8" t="n"/>
    </row>
    <row r="38">
      <c r="A38" s="8" t="inlineStr">
        <is>
          <t>Repositório</t>
        </is>
      </c>
      <c r="B38" s="8" t="inlineStr">
        <is>
          <t>https://github.com/upe-sggov/oe2027-pa</t>
        </is>
      </c>
      <c r="C38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04:51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da edição ainda não publicado na pasta dos dados abertos.</t>
        </is>
      </c>
      <c r="E2" s="8" t="n">
        <v>0</v>
      </c>
    </row>
    <row r="3">
      <c r="A3" s="8" t="inlineStr">
        <is>
          <t>2026-10-26 04:51 UTC</t>
        </is>
      </c>
      <c r="B3" s="8" t="inlineStr">
        <is>
          <t>Portal da AR — página de cada PA (reserva)</t>
        </is>
      </c>
      <c r="C3" s="8" t="inlineStr">
        <is>
          <t>https://www.parlamento.pt/OrcamentoEstado/Paginas/DetalhePropostaAlteracao.aspx?BID=…</t>
        </is>
      </c>
      <c r="D3" s="8" t="inlineStr">
        <is>
          <t>Identificadores 25391–25415: 0 PA novas, 0 atualizadas</t>
        </is>
      </c>
      <c r="E3" s="8" t="n"/>
    </row>
    <row r="4">
      <c r="A4" s="8" t="inlineStr">
        <is>
          <t>2026-10-26 04:39 UTC</t>
        </is>
      </c>
      <c r="B4" s="8" t="inlineStr">
        <is>
          <t>Portal da AR — pesquisa de PA</t>
        </is>
      </c>
      <c r="C4" s="8" t="inlineStr">
        <is>
          <t>https://www.parlamento.pt/OrcamentoEstado/Paginas/PesquisaPropAlteracao110XVII.aspx</t>
        </is>
      </c>
      <c r="D4" s="8" t="inlineStr">
        <is>
          <t>{"disponivel": false, "erro": ""}</t>
        </is>
      </c>
      <c r="E4" s="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23/10/2026</t>
        </is>
      </c>
      <c r="B4" s="8" t="inlineStr">
        <is>
          <t>10h00 · COFAP · generalidade · audição do Ministro de Estado e das Finanças</t>
        </is>
      </c>
      <c r="C4" s="8" t="inlineStr">
        <is>
          <t>https://www.parlamento.pt/Documents/2026/outubro/calendario-OE2027.pdf</t>
        </is>
      </c>
      <c r="D4" s="8" t="n"/>
    </row>
    <row r="5">
      <c r="A5" s="8" t="inlineStr">
        <is>
          <t>26/10/2026</t>
        </is>
      </c>
      <c r="B5" s="8" t="inlineStr">
        <is>
          <t>15h00 · COFAP · generalidade · audição da Ministra do Trabalho, Solidariedade e Segurança Social · 18h00 prazo para pareceres CPP</t>
        </is>
      </c>
      <c r="C5" s="8" t="inlineStr">
        <is>
          <t>https://www.parlamento.pt/Documents/2026/outubro/calendario-OE2027.pdf</t>
        </is>
      </c>
      <c r="D5" s="8" t="n"/>
    </row>
    <row r="6">
      <c r="A6" s="8" t="inlineStr">
        <is>
          <t>27/10/2026</t>
        </is>
      </c>
      <c r="B6" s="8" t="inlineStr">
        <is>
          <t>11h00 · COFAP · parecer final · 15h00 · Plenário · debate na generalidade</t>
        </is>
      </c>
      <c r="C6" s="8" t="inlineStr">
        <is>
          <t>https://www.parlamento.pt/Documents/2026/outubro/calendario-OE2027.pdf</t>
        </is>
      </c>
      <c r="D6" s="8" t="n"/>
    </row>
    <row r="7">
      <c r="A7" s="8" t="inlineStr">
        <is>
          <t>28/10/2026</t>
        </is>
      </c>
      <c r="B7" s="8" t="inlineStr">
        <is>
          <t>10h00 e 15h00 · Plenário · encerramento e votação na generalidade</t>
        </is>
      </c>
      <c r="C7" s="8" t="inlineStr">
        <is>
          <t>https://www.parlamento.pt/Documents/2026/outubro/calendario-OE2027.pdf</t>
        </is>
      </c>
      <c r="D7" s="8" t="n"/>
    </row>
    <row r="8">
      <c r="A8" s="8" t="inlineStr">
        <is>
          <t>29/10/2026</t>
        </is>
      </c>
      <c r="B8" s="8" t="inlineStr">
        <is>
          <t>9h00 · início do prazo para inserção de PA (nova aplicação) · início das audições na especialidade</t>
        </is>
      </c>
      <c r="C8" s="8" t="inlineStr">
        <is>
          <t>https://www.parlamento.pt/Documents/2026/outubro/calendario-OE2027.pdf</t>
        </is>
      </c>
      <c r="D8" s="8" t="n"/>
    </row>
    <row r="9">
      <c r="A9" s="8" t="inlineStr">
        <is>
          <t>06/11/2026</t>
        </is>
      </c>
      <c r="B9" s="8" t="inlineStr">
        <is>
          <t>15h00 · audição do Ministro de Estado e das Finanças · prazo para PA (nova aplicação)</t>
        </is>
      </c>
      <c r="C9" s="8" t="inlineStr">
        <is>
          <t>https://www.parlamento.pt/Documents/2026/outubro/calendario-OE2027.pdf</t>
        </is>
      </c>
      <c r="D9" s="8" t="n"/>
    </row>
    <row r="10">
      <c r="A10" s="8" t="inlineStr">
        <is>
          <t>11/11/2026</t>
        </is>
      </c>
      <c r="B10" s="8" t="inlineStr">
        <is>
          <t>18h00 · distribuição e análise do 1.º guião de votação (*)</t>
        </is>
      </c>
      <c r="C10" s="8" t="inlineStr">
        <is>
          <t>https://www.parlamento.pt/Documents/2026/outubro/calendario-OE2027.pdf</t>
        </is>
      </c>
      <c r="D10" s="8" t="n"/>
    </row>
    <row r="11">
      <c r="A11" s="8" t="inlineStr">
        <is>
          <t>12/11/2026</t>
        </is>
      </c>
      <c r="B11" s="8" t="inlineStr">
        <is>
          <t>13h00 · 2.º guião de votação · 18h00 · 3.º guião de votação (*)</t>
        </is>
      </c>
      <c r="C11" s="8" t="inlineStr">
        <is>
          <t>https://www.parlamento.pt/Documents/2026/outubro/calendario-OE2027.pdf</t>
        </is>
      </c>
      <c r="D11" s="8" t="n"/>
    </row>
    <row r="12">
      <c r="A12" s="8" t="inlineStr">
        <is>
          <t>13/11/2026</t>
        </is>
      </c>
      <c r="B12" s="8" t="inlineStr">
        <is>
          <t>13h00 · 4.º guião de votação · 16h00 · reunião COFAP M&amp;C (*)</t>
        </is>
      </c>
      <c r="C12" s="8" t="inlineStr">
        <is>
          <t>https://www.parlamento.pt/Documents/2026/outubro/calendario-OE2027.pdf</t>
        </is>
      </c>
      <c r="D12" s="8" t="n"/>
    </row>
    <row r="13">
      <c r="A13" s="8" t="inlineStr">
        <is>
          <t>18/11/2026</t>
        </is>
      </c>
      <c r="B13" s="8" t="inlineStr">
        <is>
          <t>10h00 · Plenário · debate na especialidade · 15h00 · COFAP · votações</t>
        </is>
      </c>
      <c r="C13" s="8" t="inlineStr">
        <is>
          <t>https://www.parlamento.pt/Documents/2026/outubro/calendario-OE2027.pdf</t>
        </is>
      </c>
      <c r="D13" s="8" t="n"/>
    </row>
    <row r="14">
      <c r="A14" s="8" t="inlineStr">
        <is>
          <t>19/11/2026</t>
        </is>
      </c>
      <c r="B14" s="8" t="inlineStr">
        <is>
          <t>10h00 · Plenário · debate na especialidade · 15h00 · COFAP · votações</t>
        </is>
      </c>
      <c r="C14" s="8" t="inlineStr">
        <is>
          <t>https://www.parlamento.pt/Documents/2026/outubro/calendario-OE2027.pdf</t>
        </is>
      </c>
      <c r="D14" s="8" t="n"/>
    </row>
    <row r="15">
      <c r="A15" s="8" t="inlineStr">
        <is>
          <t>20/11/2026</t>
        </is>
      </c>
      <c r="B15" s="8" t="inlineStr">
        <is>
          <t>10h00 · Plenário · debate na especialidade · 15h00 · COFAP · votações</t>
        </is>
      </c>
      <c r="C15" s="8" t="inlineStr">
        <is>
          <t>https://www.parlamento.pt/Documents/2026/outubro/calendario-OE2027.pdf</t>
        </is>
      </c>
      <c r="D15" s="8" t="n"/>
    </row>
    <row r="16">
      <c r="A16" s="8" t="inlineStr">
        <is>
          <t>23/11/2026</t>
        </is>
      </c>
      <c r="B16" s="8" t="inlineStr">
        <is>
          <t>10h00 · Plenário · debate na especialidade · 15h00 · COFAP · votações</t>
        </is>
      </c>
      <c r="C16" s="8" t="inlineStr">
        <is>
          <t>https://www.parlamento.pt/Documents/2026/outubro/calendario-OE2027.pdf</t>
        </is>
      </c>
      <c r="D16" s="8" t="n"/>
    </row>
    <row r="17">
      <c r="A17" s="8" t="inlineStr">
        <is>
          <t>24/11/2026</t>
        </is>
      </c>
      <c r="B17" s="8" t="inlineStr">
        <is>
          <t>10h00 · Plenário · debate, encerramento e votação final global</t>
        </is>
      </c>
      <c r="C17" s="8" t="inlineStr">
        <is>
          <t>https://www.parlamento.pt/Documents/2026/outubro/calendario-OE2027.pdf</t>
        </is>
      </c>
      <c r="D17" s="8" t="n"/>
    </row>
    <row r="18">
      <c r="A18" s="8" t="inlineStr">
        <is>
          <t>09/12/2026</t>
        </is>
      </c>
      <c r="B18" s="8" t="inlineStr">
        <is>
          <t>Prazo da redação final</t>
        </is>
      </c>
      <c r="C18" s="8" t="inlineStr">
        <is>
          <t>https://www.parlamento.pt/Documents/2026/outubro/calendario-OE2027.pdf</t>
        </is>
      </c>
      <c r="D18" s="8" t="inlineStr">
        <is>
          <t>(*) De acordo com o plano de contingência para introdução de PA, este prazo poderá ser adiado em 24 horas úteis, se necessário.</t>
        </is>
      </c>
    </row>
    <row r="19">
      <c r="A19" s="8" t="inlineStr">
        <is>
          <t>—</t>
        </is>
      </c>
      <c r="B19" s="8" t="inlineStr">
        <is>
          <t>Parecer CFP - Previsões macroeconómicas subjacentes à Proposta de Orçamento do Estado para 2027</t>
        </is>
      </c>
      <c r="C19" s="8" t="inlineStr">
        <is>
          <t>https://app.parlamento.pt/webutils/docs/doc.pdf?path=hgfi1mTNXDwia4mp6cO0KyoSVDQlWRwqRaWgQyiH77Oc%2bazA7FRl7v%2fzcSnnF3w3ERJrvARf27qxeRO2fv5BNI3jxRB8SLIn3hlgxVE2oSMoWGxWvfWJWRPoIcZuRU2QKxZ6HWsFP8o5gt6%2fdilusWIS3d3f2K1eaMYaZseldp14n24dxhnA015pYtWugitdrBBXKKQ1fTMPilXVSOloMYt6Jq0NDJ5pagMATvLNJNZi%2bG711rXGoy1CnhEADq5CRmYb%2fKpGkoeaApvCYRLBTLpdQBby1Qsne34MBGCLNYaNXJaIhQcT5jD0HaOkcjI1&amp;fich=CFP-Parecer-05-2026.pdf&amp;Inline=true</t>
        </is>
      </c>
      <c r="D19" s="8" t="inlineStr">
        <is>
          <t>Registado no painel em 2026-10-26 04:39</t>
        </is>
      </c>
    </row>
    <row r="20">
      <c r="A20" s="8" t="inlineStr">
        <is>
          <t>—</t>
        </is>
      </c>
      <c r="B20" s="8" t="inlineStr">
        <is>
          <t>Relatório UTAO - Apreciação preliminar da Proposta de Orçamento do Estado para 2027</t>
        </is>
      </c>
      <c r="C20" s="8" t="inlineStr">
        <is>
          <t>https://app.parlamento.pt/webutils/docs/doc.pdf?path=NzSH7u9fWS1pIol46TtMSjZPmPGhdgb8G6JQjh813HJZf%2bm2n5HU02v1OeuqwwJ7r%2bJtqRmpbssXFvz3uuZGdffLImxqTpEQZju%2f4I%2foucAApKAx%2b6BJ4SLx6llkOqq9uno%2fnUr%2bvGM1yU0s3ypCF3s5x5o0dCewIEjJ55kRTGs%2fNoJTGsNWnsIxMzuOdeV5E66qewYOyhCQuOl4MpYCW6fWDHKX9Ds2XG4gLUZRA0%2b33iawXVVc0cTHPiWpMnkTsIY%2bZ8FGbtEC1cAd%2bo9m5%2bZbzBO3DnxAL2ivFpT%2fpos225ozsJ2XKHuWIg2xKtK3HbdTIUsjYggaVErr7i%2fRYQ%3d%3d&amp;fich=Relat%c3%b3rio+UTAO.pdf&amp;Inline=true</t>
        </is>
      </c>
      <c r="D20" s="8" t="inlineStr">
        <is>
          <t>Registado no painel em 2026-10-26 04:19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18h41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Desenvolvimento</t>
        </is>
      </c>
      <c r="C8" s="8" t="inlineStr">
        <is>
          <t>A AR não liga uma PA à que ela substitui. A UPE assinala candidatas (mesmo proponente e artigo, uma retirada e outra posterior) em Observações.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Desenvolvimento</t>
        </is>
      </c>
      <c r="C12" s="8" t="inlineStr">
        <is>
          <t>Sugestão por regra nos casos claros (mapas de receita e despesa, autorizações legislativas, alterações a códigos e leis avulsas), na coluna «Tipo de PA (sugestão)».</t>
        </is>
      </c>
      <c r="D12" s="8" t="inlineStr">
        <is>
          <t>Leitura humana nos restantes casos.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</t>
        </is>
      </c>
      <c r="C14" s="8" t="inlineStr">
        <is>
          <t>Sugestão SGGov na coluna «Área Governativa (sugestão SGGov)»: tabela artigo → área (feita uma vez por ano), programa orçamental nos mapas e palavras-chave; método e confiança indicados.</t>
        </is>
      </c>
      <c r="D14" s="8" t="inlineStr">
        <is>
          <t>Validação pela DACDP. A classificação validada volta ao painel, assinalada como classificação DACDP.</t>
        </is>
      </c>
    </row>
    <row r="15">
      <c r="A15" s="8" t="inlineStr">
        <is>
          <t>Ministério</t>
        </is>
      </c>
      <c r="B15" s="8" t="inlineStr">
        <is>
          <t>Desenvolvimento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Desenvolvimento</t>
        </is>
      </c>
      <c r="C20" s="8" t="inlineStr">
        <is>
          <t>Sugestão por semelhança entre o título da PA e as medidas da folha «Medidas Anunciadas».</t>
        </is>
      </c>
      <c r="D20" s="8" t="inlineStr">
        <is>
          <t>A ligação é juízo da DACDP.</t>
        </is>
      </c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Desenvolvimento</t>
        </is>
      </c>
      <c r="C22" s="8" t="inlineStr">
        <is>
          <t>Sugestão «S» quando a PA altera legislação avulsa.</t>
        </is>
      </c>
      <c r="D22" s="8" t="inlineStr">
        <is>
          <t>Juízo da DACDP nos restantes casos.</t>
        </is>
      </c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2026-10-26T18:41:24Z</dcterms:created>
  <dcterms:modified xsi:type="dcterms:W3CDTF">2026-10-26T18:41:24Z</dcterms:modified>
</cp:coreProperties>
</file>